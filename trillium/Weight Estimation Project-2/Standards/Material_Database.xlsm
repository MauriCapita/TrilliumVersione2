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816" codeName="{00000000-0000-0000-0000-000000000000}"/>
  <workbookPr filterPrivacy="1" codeName="Questa_cartella_di_lavoro" defaultThemeVersion="124226"/>
  <xr:revisionPtr revIDLastSave="0" documentId="8_{C7C4A559-5223-4FAE-A49C-05F98DDA3689}" xr6:coauthVersionLast="47" xr6:coauthVersionMax="47" xr10:uidLastSave="{00000000-0000-0000-0000-000000000000}"/>
  <bookViews>
    <workbookView minimized="1" xWindow="-120" yWindow="-120" windowWidth="29040" windowHeight="15840" xr2:uid="{00000000-000D-0000-FFFF-FFFF00000000}"/>
  </bookViews>
  <sheets>
    <sheet name="Database" sheetId="2" r:id="rId1"/>
    <sheet name="Change_Log" sheetId="6" state="hidden" r:id="rId2"/>
    <sheet name="Autorizations" sheetId="8" state="hidden" r:id="rId3"/>
    <sheet name="Readme" sheetId="7" state="hidden" r:id="rId4"/>
    <sheet name="Foglio1" sheetId="1" state="hidden" r:id="rId5"/>
    <sheet name="Foglio3" sheetId="3" state="hidden" r:id="rId6"/>
    <sheet name="Foglio4" sheetId="4" state="hidden" r:id="rId7"/>
    <sheet name="Foglio5" sheetId="5" state="hidden" r:id="rId8"/>
  </sheets>
  <definedNames>
    <definedName name="_xlnm._FilterDatabase" localSheetId="0" hidden="1">Database!$A$2:$DR$187</definedName>
    <definedName name="_xlnm._FilterDatabase" localSheetId="5" hidden="1">Foglio3!$C$323:$C$641</definedName>
    <definedName name="_xlnm._FilterDatabase" localSheetId="6" hidden="1">Foglio4!$I$1:$I$144</definedName>
    <definedName name="autorization1" localSheetId="2">Autorizations!$G$2</definedName>
    <definedName name="checkrev">Database!$EA$6</definedName>
    <definedName name="_xlnm.Database" localSheetId="0">OFFSET(Database!$A$2,0,0,COUNTA(Database!$A:$A),121)</definedName>
    <definedName name="SelectedCell" localSheetId="0">Database!$EA$3</definedName>
    <definedName name="SelectedRow" localSheetId="0">Database!$EA$4</definedName>
    <definedName name="SelectedValue" localSheetId="0">Database!$EA$5</definedName>
    <definedName name="user" localSheetId="2">Autorizations!$F$2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8" l="1"/>
  <c r="DK20" i="2" l="1"/>
  <c r="DL20" i="2"/>
  <c r="DL21" i="2" s="1"/>
  <c r="DM20" i="2"/>
  <c r="DM21" i="2" s="1"/>
  <c r="DN20" i="2"/>
  <c r="DN21" i="2" s="1"/>
  <c r="DK21" i="2"/>
  <c r="DI13" i="2"/>
  <c r="DI14" i="2" s="1"/>
  <c r="DI15" i="2" s="1"/>
  <c r="DI16" i="2" s="1"/>
  <c r="DI17" i="2" s="1"/>
  <c r="DJ13" i="2"/>
  <c r="DJ14" i="2" s="1"/>
  <c r="DJ15" i="2" s="1"/>
  <c r="DJ16" i="2" s="1"/>
  <c r="DJ17" i="2" s="1"/>
  <c r="DK13" i="2"/>
  <c r="DK14" i="2" s="1"/>
  <c r="DK15" i="2" s="1"/>
  <c r="DK16" i="2" s="1"/>
  <c r="DK17" i="2" s="1"/>
  <c r="DL13" i="2"/>
  <c r="DL14" i="2" s="1"/>
  <c r="DL15" i="2" s="1"/>
  <c r="DL16" i="2" s="1"/>
  <c r="DL17" i="2" s="1"/>
  <c r="DM13" i="2"/>
  <c r="DM14" i="2" s="1"/>
  <c r="DM15" i="2" s="1"/>
  <c r="DM16" i="2" s="1"/>
  <c r="DM17" i="2" s="1"/>
  <c r="DI20" i="2"/>
  <c r="DI21" i="2" s="1"/>
  <c r="DJ20" i="2"/>
  <c r="DJ21" i="2" s="1"/>
  <c r="DF13" i="2"/>
  <c r="DF14" i="2" s="1"/>
  <c r="DF15" i="2" s="1"/>
  <c r="DF16" i="2" s="1"/>
  <c r="DF17" i="2" s="1"/>
  <c r="DG13" i="2"/>
  <c r="DG14" i="2" s="1"/>
  <c r="DG15" i="2" s="1"/>
  <c r="DG16" i="2" s="1"/>
  <c r="DG17" i="2" s="1"/>
  <c r="DH13" i="2"/>
  <c r="DH14" i="2" s="1"/>
  <c r="DH15" i="2" s="1"/>
  <c r="DH16" i="2" s="1"/>
  <c r="DH17" i="2" s="1"/>
  <c r="DF20" i="2"/>
  <c r="DF21" i="2" s="1"/>
  <c r="DG20" i="2"/>
  <c r="DG21" i="2" s="1"/>
  <c r="DH20" i="2"/>
  <c r="DH21" i="2" s="1"/>
  <c r="DB8" i="2"/>
  <c r="DC8" i="2"/>
  <c r="DD8" i="2"/>
  <c r="DE8" i="2"/>
  <c r="DF8" i="2"/>
  <c r="DG8" i="2"/>
  <c r="DH8" i="2"/>
  <c r="DI8" i="2"/>
  <c r="DJ8" i="2"/>
  <c r="DK8" i="2"/>
  <c r="DL8" i="2"/>
  <c r="DM8" i="2"/>
  <c r="DB13" i="2"/>
  <c r="DB14" i="2" s="1"/>
  <c r="DB15" i="2" s="1"/>
  <c r="DC13" i="2"/>
  <c r="DC14" i="2" s="1"/>
  <c r="DC15" i="2" s="1"/>
  <c r="DD13" i="2"/>
  <c r="DD14" i="2" s="1"/>
  <c r="DD15" i="2" s="1"/>
  <c r="DE13" i="2"/>
  <c r="DE14" i="2" s="1"/>
  <c r="DE15" i="2" s="1"/>
  <c r="DB20" i="2"/>
  <c r="DB21" i="2" s="1"/>
  <c r="DC20" i="2"/>
  <c r="DC21" i="2" s="1"/>
  <c r="DD20" i="2"/>
  <c r="DD21" i="2" s="1"/>
  <c r="DE20" i="2"/>
  <c r="DE21" i="2" s="1"/>
  <c r="DB28" i="2"/>
  <c r="DC28" i="2"/>
  <c r="DD28" i="2"/>
  <c r="DE28" i="2"/>
  <c r="DF28" i="2"/>
  <c r="DG28" i="2"/>
  <c r="DH28" i="2"/>
  <c r="DI28" i="2"/>
  <c r="DJ28" i="2"/>
  <c r="DK28" i="2"/>
  <c r="DL28" i="2"/>
  <c r="DM28" i="2"/>
  <c r="DB30" i="2"/>
  <c r="DB31" i="2" s="1"/>
  <c r="DB32" i="2" s="1"/>
  <c r="DC30" i="2"/>
  <c r="DC31" i="2" s="1"/>
  <c r="DC32" i="2" s="1"/>
  <c r="DD30" i="2"/>
  <c r="DD31" i="2" s="1"/>
  <c r="DD32" i="2" s="1"/>
  <c r="DE30" i="2"/>
  <c r="DE31" i="2" s="1"/>
  <c r="DE32" i="2" s="1"/>
  <c r="DF30" i="2"/>
  <c r="DF31" i="2" s="1"/>
  <c r="DF32" i="2" s="1"/>
  <c r="DG30" i="2"/>
  <c r="DG31" i="2" s="1"/>
  <c r="DG32" i="2" s="1"/>
  <c r="DH30" i="2"/>
  <c r="DH31" i="2" s="1"/>
  <c r="DH32" i="2" s="1"/>
  <c r="DI30" i="2"/>
  <c r="DI31" i="2" s="1"/>
  <c r="DI32" i="2" s="1"/>
  <c r="DJ30" i="2"/>
  <c r="DJ31" i="2" s="1"/>
  <c r="DJ32" i="2" s="1"/>
  <c r="DK30" i="2"/>
  <c r="DK31" i="2" s="1"/>
  <c r="DK32" i="2" s="1"/>
  <c r="DL30" i="2"/>
  <c r="DL31" i="2" s="1"/>
  <c r="DL32" i="2" s="1"/>
  <c r="DM30" i="2"/>
  <c r="DM31" i="2" s="1"/>
  <c r="DM32" i="2" s="1"/>
  <c r="DN13" i="2"/>
  <c r="DN14" i="2" s="1"/>
  <c r="DN15" i="2" s="1"/>
  <c r="DN16" i="2" s="1"/>
  <c r="DN17" i="2" s="1"/>
  <c r="D177" i="5"/>
  <c r="D169" i="5"/>
  <c r="D170" i="5" s="1"/>
  <c r="D167" i="5"/>
  <c r="D163" i="5"/>
  <c r="D164" i="5" s="1"/>
  <c r="D165" i="5" s="1"/>
  <c r="D166" i="5" s="1"/>
  <c r="D158" i="5"/>
  <c r="D153" i="5"/>
  <c r="D152" i="5"/>
  <c r="D147" i="5"/>
  <c r="D148" i="5" s="1"/>
  <c r="D149" i="5" s="1"/>
  <c r="D141" i="5"/>
  <c r="D142" i="5" s="1"/>
  <c r="D143" i="5" s="1"/>
  <c r="D138" i="5"/>
  <c r="D132" i="5"/>
  <c r="D133" i="5" s="1"/>
  <c r="D134" i="5" s="1"/>
  <c r="D128" i="5"/>
  <c r="D129" i="5" s="1"/>
  <c r="D130" i="5" s="1"/>
  <c r="D123" i="5"/>
  <c r="D124" i="5" s="1"/>
  <c r="D119" i="5"/>
  <c r="D113" i="5"/>
  <c r="D109" i="5"/>
  <c r="D104" i="5"/>
  <c r="D102" i="5"/>
  <c r="D100" i="5"/>
  <c r="D98" i="5"/>
  <c r="D96" i="5"/>
  <c r="D90" i="5"/>
  <c r="D88" i="5"/>
  <c r="D79" i="5"/>
  <c r="D80" i="5" s="1"/>
  <c r="D81" i="5" s="1"/>
  <c r="D72" i="5"/>
  <c r="D71" i="5"/>
  <c r="D59" i="5"/>
  <c r="D49" i="5"/>
  <c r="D50" i="5" s="1"/>
  <c r="D51" i="5" s="1"/>
  <c r="D52" i="5" s="1"/>
  <c r="D42" i="5"/>
  <c r="D29" i="5"/>
  <c r="D30" i="5" s="1"/>
  <c r="D31" i="5" s="1"/>
  <c r="A29" i="5"/>
  <c r="A30" i="5" s="1"/>
  <c r="A31" i="5" s="1"/>
  <c r="D27" i="5"/>
  <c r="D21" i="5"/>
  <c r="D16" i="5"/>
  <c r="D13" i="5"/>
  <c r="D14" i="5" s="1"/>
  <c r="D10" i="5"/>
  <c r="D11" i="5" s="1"/>
  <c r="D8" i="5"/>
  <c r="D5" i="5"/>
  <c r="B1" i="5"/>
  <c r="C1" i="5" s="1"/>
  <c r="C319" i="3"/>
  <c r="C318" i="3"/>
  <c r="C317" i="3"/>
  <c r="C316" i="3"/>
  <c r="C315" i="3"/>
  <c r="C314" i="3"/>
  <c r="C313" i="3"/>
  <c r="C312" i="3"/>
  <c r="C311" i="3"/>
  <c r="C310" i="3"/>
  <c r="C309" i="3"/>
  <c r="C308" i="3"/>
  <c r="C307" i="3"/>
  <c r="C306" i="3"/>
  <c r="C305" i="3"/>
  <c r="C304" i="3"/>
  <c r="C303" i="3"/>
  <c r="C302" i="3"/>
  <c r="C301" i="3"/>
  <c r="C300" i="3"/>
  <c r="C299" i="3"/>
  <c r="C298" i="3"/>
  <c r="C297" i="3"/>
  <c r="C296" i="3"/>
  <c r="C295" i="3"/>
  <c r="C294" i="3"/>
  <c r="C293" i="3"/>
  <c r="C292" i="3"/>
  <c r="C291" i="3"/>
  <c r="C290" i="3"/>
  <c r="C289" i="3"/>
  <c r="C288" i="3"/>
  <c r="C287" i="3"/>
  <c r="C286" i="3"/>
  <c r="C285" i="3"/>
  <c r="C284" i="3"/>
  <c r="C283" i="3"/>
  <c r="C282" i="3"/>
  <c r="C281" i="3"/>
  <c r="C280" i="3"/>
  <c r="C279" i="3"/>
  <c r="C278" i="3"/>
  <c r="C277" i="3"/>
  <c r="C276" i="3"/>
  <c r="C275" i="3"/>
  <c r="C274" i="3"/>
  <c r="C273" i="3"/>
  <c r="C272" i="3"/>
  <c r="C271" i="3"/>
  <c r="C270" i="3"/>
  <c r="C269" i="3"/>
  <c r="C268" i="3"/>
  <c r="C267" i="3"/>
  <c r="C266" i="3"/>
  <c r="C265" i="3"/>
  <c r="C264" i="3"/>
  <c r="C263" i="3"/>
  <c r="C262" i="3"/>
  <c r="C261" i="3"/>
  <c r="C260" i="3"/>
  <c r="C259" i="3"/>
  <c r="C258" i="3"/>
  <c r="C257" i="3"/>
  <c r="C256" i="3"/>
  <c r="C255" i="3"/>
  <c r="C254" i="3"/>
  <c r="C253" i="3"/>
  <c r="C252" i="3"/>
  <c r="C251" i="3"/>
  <c r="C250" i="3"/>
  <c r="C249" i="3"/>
  <c r="C248" i="3"/>
  <c r="C247" i="3"/>
  <c r="C246" i="3"/>
  <c r="C245" i="3"/>
  <c r="C244" i="3"/>
  <c r="C243" i="3"/>
  <c r="C242" i="3"/>
  <c r="C241" i="3"/>
  <c r="C240" i="3"/>
  <c r="C239" i="3"/>
  <c r="C238" i="3"/>
  <c r="C237" i="3"/>
  <c r="C236" i="3"/>
  <c r="C235" i="3"/>
  <c r="C234" i="3"/>
  <c r="C233" i="3"/>
  <c r="C232" i="3"/>
  <c r="C231" i="3"/>
  <c r="C230" i="3"/>
  <c r="C229" i="3"/>
  <c r="C228" i="3"/>
  <c r="C227" i="3"/>
  <c r="C226" i="3"/>
  <c r="C225" i="3"/>
  <c r="C224" i="3"/>
  <c r="C223" i="3"/>
  <c r="C222" i="3"/>
  <c r="C221" i="3"/>
  <c r="C220" i="3"/>
  <c r="C219" i="3"/>
  <c r="C218" i="3"/>
  <c r="C217" i="3"/>
  <c r="C216" i="3"/>
  <c r="C215" i="3"/>
  <c r="C214" i="3"/>
  <c r="C213" i="3"/>
  <c r="C212" i="3"/>
  <c r="C211" i="3"/>
  <c r="C210" i="3"/>
  <c r="C209" i="3"/>
  <c r="C208" i="3"/>
  <c r="C207" i="3"/>
  <c r="C206" i="3"/>
  <c r="C205" i="3"/>
  <c r="C204" i="3"/>
  <c r="C203" i="3"/>
  <c r="C202" i="3"/>
  <c r="C201" i="3"/>
  <c r="C200" i="3"/>
  <c r="C199" i="3"/>
  <c r="C198" i="3"/>
  <c r="C197" i="3"/>
  <c r="C196" i="3"/>
  <c r="C195" i="3"/>
  <c r="C194" i="3"/>
  <c r="C193" i="3"/>
  <c r="C192" i="3"/>
  <c r="C191" i="3"/>
  <c r="C190" i="3"/>
  <c r="C189" i="3"/>
  <c r="C188" i="3"/>
  <c r="C187" i="3"/>
  <c r="C186" i="3"/>
  <c r="C185" i="3"/>
  <c r="C184" i="3"/>
  <c r="C183" i="3"/>
  <c r="C182" i="3"/>
  <c r="C181" i="3"/>
  <c r="C180" i="3"/>
  <c r="C179" i="3"/>
  <c r="C178" i="3"/>
  <c r="C177" i="3"/>
  <c r="C176" i="3"/>
  <c r="C175" i="3"/>
  <c r="C174" i="3"/>
  <c r="C173" i="3"/>
  <c r="C172" i="3"/>
  <c r="C171" i="3"/>
  <c r="C170" i="3"/>
  <c r="C169" i="3"/>
  <c r="C168" i="3"/>
  <c r="C167" i="3"/>
  <c r="C166" i="3"/>
  <c r="C165" i="3"/>
  <c r="C164" i="3"/>
  <c r="C163" i="3"/>
  <c r="C162" i="3"/>
  <c r="C161" i="3"/>
  <c r="C160" i="3"/>
  <c r="C159" i="3"/>
  <c r="C158" i="3"/>
  <c r="C157" i="3"/>
  <c r="C156" i="3"/>
  <c r="C155" i="3"/>
  <c r="C154" i="3"/>
  <c r="C153" i="3"/>
  <c r="C152" i="3"/>
  <c r="C151" i="3"/>
  <c r="C150" i="3"/>
  <c r="C149" i="3"/>
  <c r="C148" i="3"/>
  <c r="C147" i="3"/>
  <c r="C146" i="3"/>
  <c r="C145" i="3"/>
  <c r="C144" i="3"/>
  <c r="C143" i="3"/>
  <c r="C142" i="3"/>
  <c r="C141" i="3"/>
  <c r="C140" i="3"/>
  <c r="C139" i="3"/>
  <c r="C138" i="3"/>
  <c r="C137" i="3"/>
  <c r="C136" i="3"/>
  <c r="C135" i="3"/>
  <c r="C134" i="3"/>
  <c r="C133" i="3"/>
  <c r="C132" i="3"/>
  <c r="C131" i="3"/>
  <c r="C130" i="3"/>
  <c r="C129" i="3"/>
  <c r="C128" i="3"/>
  <c r="C127" i="3"/>
  <c r="C126" i="3"/>
  <c r="C125" i="3"/>
  <c r="C124" i="3"/>
  <c r="C123" i="3"/>
  <c r="C122" i="3"/>
  <c r="C121" i="3"/>
  <c r="C120" i="3"/>
  <c r="C119" i="3"/>
  <c r="C118" i="3"/>
  <c r="C117" i="3"/>
  <c r="C116" i="3"/>
  <c r="C115" i="3"/>
  <c r="C114" i="3"/>
  <c r="C113" i="3"/>
  <c r="C112" i="3"/>
  <c r="C111" i="3"/>
  <c r="C110" i="3"/>
  <c r="C109" i="3"/>
  <c r="C108" i="3"/>
  <c r="C107" i="3"/>
  <c r="C106" i="3"/>
  <c r="C105" i="3"/>
  <c r="C104" i="3"/>
  <c r="C103" i="3"/>
  <c r="C102" i="3"/>
  <c r="C101" i="3"/>
  <c r="C100" i="3"/>
  <c r="C99" i="3"/>
  <c r="C98" i="3"/>
  <c r="C97" i="3"/>
  <c r="C96" i="3"/>
  <c r="C95" i="3"/>
  <c r="C94" i="3"/>
  <c r="C93" i="3"/>
  <c r="C92" i="3"/>
  <c r="C91" i="3"/>
  <c r="C90" i="3"/>
  <c r="C89" i="3"/>
  <c r="C88" i="3"/>
  <c r="C87" i="3"/>
  <c r="C86" i="3"/>
  <c r="C85" i="3"/>
  <c r="C84" i="3"/>
  <c r="C83" i="3"/>
  <c r="C82" i="3"/>
  <c r="C81" i="3"/>
  <c r="C80" i="3"/>
  <c r="C79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C1" i="3"/>
  <c r="I70" i="1"/>
  <c r="I69" i="1"/>
  <c r="I68" i="1"/>
  <c r="J67" i="1"/>
  <c r="I67" i="1"/>
  <c r="G67" i="1"/>
  <c r="I66" i="1"/>
  <c r="G66" i="1"/>
  <c r="I65" i="1"/>
  <c r="G65" i="1"/>
  <c r="I63" i="1"/>
  <c r="G63" i="1"/>
  <c r="F63" i="1"/>
  <c r="F62" i="1"/>
  <c r="F61" i="1"/>
  <c r="F60" i="1"/>
  <c r="F59" i="1"/>
  <c r="G58" i="1"/>
  <c r="F58" i="1"/>
  <c r="G57" i="1"/>
  <c r="F57" i="1"/>
  <c r="I56" i="1"/>
  <c r="F56" i="1"/>
  <c r="F55" i="1"/>
  <c r="F54" i="1"/>
  <c r="F53" i="1"/>
  <c r="F52" i="1"/>
  <c r="I51" i="1"/>
  <c r="G51" i="1"/>
  <c r="F51" i="1"/>
  <c r="G50" i="1"/>
  <c r="F50" i="1"/>
  <c r="I49" i="1"/>
  <c r="F49" i="1"/>
  <c r="J48" i="1"/>
  <c r="I48" i="1"/>
  <c r="H48" i="1"/>
  <c r="G48" i="1"/>
  <c r="F48" i="1"/>
  <c r="I47" i="1"/>
  <c r="G47" i="1"/>
  <c r="F47" i="1"/>
  <c r="G46" i="1"/>
  <c r="F46" i="1"/>
  <c r="I45" i="1"/>
  <c r="G45" i="1"/>
  <c r="F45" i="1"/>
  <c r="J185" i="2"/>
  <c r="G185" i="2"/>
  <c r="F185" i="2"/>
  <c r="C185" i="2"/>
  <c r="J178" i="2"/>
  <c r="J179" i="2" s="1"/>
  <c r="G178" i="2"/>
  <c r="G179" i="2" s="1"/>
  <c r="DR176" i="2"/>
  <c r="DQ176" i="2"/>
  <c r="DP176" i="2"/>
  <c r="DO176" i="2"/>
  <c r="DN176" i="2"/>
  <c r="DM176" i="2"/>
  <c r="DL176" i="2"/>
  <c r="DK176" i="2"/>
  <c r="DJ176" i="2"/>
  <c r="DI176" i="2"/>
  <c r="DH176" i="2"/>
  <c r="DG176" i="2"/>
  <c r="DF176" i="2"/>
  <c r="DE176" i="2"/>
  <c r="DD176" i="2"/>
  <c r="DC176" i="2"/>
  <c r="DB176" i="2"/>
  <c r="DA176" i="2"/>
  <c r="CZ176" i="2"/>
  <c r="CY176" i="2"/>
  <c r="CX176" i="2"/>
  <c r="CW176" i="2"/>
  <c r="CV176" i="2"/>
  <c r="CU176" i="2"/>
  <c r="CT176" i="2"/>
  <c r="CS176" i="2"/>
  <c r="CR176" i="2"/>
  <c r="CQ176" i="2"/>
  <c r="CP176" i="2"/>
  <c r="CO176" i="2"/>
  <c r="CN176" i="2"/>
  <c r="CM176" i="2"/>
  <c r="CL176" i="2"/>
  <c r="CK176" i="2"/>
  <c r="CJ176" i="2"/>
  <c r="CI176" i="2"/>
  <c r="CH176" i="2"/>
  <c r="CG176" i="2"/>
  <c r="CF176" i="2"/>
  <c r="CE176" i="2"/>
  <c r="CD176" i="2"/>
  <c r="CC176" i="2"/>
  <c r="CB176" i="2"/>
  <c r="CA176" i="2"/>
  <c r="BZ176" i="2"/>
  <c r="BY176" i="2"/>
  <c r="BX176" i="2"/>
  <c r="BW176" i="2"/>
  <c r="BV176" i="2"/>
  <c r="BU176" i="2"/>
  <c r="BT176" i="2"/>
  <c r="BS176" i="2"/>
  <c r="BR176" i="2"/>
  <c r="BQ176" i="2"/>
  <c r="BP176" i="2"/>
  <c r="BO176" i="2"/>
  <c r="BN176" i="2"/>
  <c r="BM176" i="2"/>
  <c r="BL176" i="2"/>
  <c r="BK176" i="2"/>
  <c r="BJ176" i="2"/>
  <c r="BI176" i="2"/>
  <c r="BH176" i="2"/>
  <c r="BG176" i="2"/>
  <c r="BF176" i="2"/>
  <c r="BE176" i="2"/>
  <c r="BD176" i="2"/>
  <c r="BC176" i="2"/>
  <c r="BB176" i="2"/>
  <c r="BA176" i="2"/>
  <c r="AZ176" i="2"/>
  <c r="AY176" i="2"/>
  <c r="AX176" i="2"/>
  <c r="AW176" i="2"/>
  <c r="AV176" i="2"/>
  <c r="AU176" i="2"/>
  <c r="AT176" i="2"/>
  <c r="AS176" i="2"/>
  <c r="AR176" i="2"/>
  <c r="AQ176" i="2"/>
  <c r="AP176" i="2"/>
  <c r="AO176" i="2"/>
  <c r="AN176" i="2"/>
  <c r="AM176" i="2"/>
  <c r="AL176" i="2"/>
  <c r="AK176" i="2"/>
  <c r="AJ176" i="2"/>
  <c r="AI176" i="2"/>
  <c r="AH176" i="2"/>
  <c r="AG176" i="2"/>
  <c r="AF176" i="2"/>
  <c r="AE176" i="2"/>
  <c r="AD176" i="2"/>
  <c r="AC176" i="2"/>
  <c r="AB176" i="2"/>
  <c r="AA176" i="2"/>
  <c r="Z176" i="2"/>
  <c r="Y176" i="2"/>
  <c r="X176" i="2"/>
  <c r="W176" i="2"/>
  <c r="V176" i="2"/>
  <c r="U176" i="2"/>
  <c r="T176" i="2"/>
  <c r="S176" i="2"/>
  <c r="R176" i="2"/>
  <c r="Q176" i="2"/>
  <c r="P176" i="2"/>
  <c r="O176" i="2"/>
  <c r="N176" i="2"/>
  <c r="M176" i="2"/>
  <c r="L176" i="2"/>
  <c r="K176" i="2"/>
  <c r="J176" i="2"/>
  <c r="I176" i="2"/>
  <c r="H176" i="2"/>
  <c r="G176" i="2"/>
  <c r="F176" i="2"/>
  <c r="E176" i="2"/>
  <c r="D176" i="2"/>
  <c r="C176" i="2"/>
  <c r="DR174" i="2"/>
  <c r="DR175" i="2" s="1"/>
  <c r="DQ174" i="2"/>
  <c r="DQ175" i="2" s="1"/>
  <c r="DP174" i="2"/>
  <c r="DP175" i="2" s="1"/>
  <c r="DO174" i="2"/>
  <c r="DO175" i="2" s="1"/>
  <c r="DN174" i="2"/>
  <c r="DN175" i="2" s="1"/>
  <c r="DM174" i="2"/>
  <c r="DM175" i="2" s="1"/>
  <c r="DL174" i="2"/>
  <c r="DL175" i="2" s="1"/>
  <c r="DK174" i="2"/>
  <c r="DK175" i="2" s="1"/>
  <c r="DJ174" i="2"/>
  <c r="DJ175" i="2" s="1"/>
  <c r="DI174" i="2"/>
  <c r="DI175" i="2" s="1"/>
  <c r="DH174" i="2"/>
  <c r="DH175" i="2" s="1"/>
  <c r="DG174" i="2"/>
  <c r="DG175" i="2" s="1"/>
  <c r="DF174" i="2"/>
  <c r="DF175" i="2" s="1"/>
  <c r="DE174" i="2"/>
  <c r="DE175" i="2" s="1"/>
  <c r="DD174" i="2"/>
  <c r="DD175" i="2" s="1"/>
  <c r="DC174" i="2"/>
  <c r="DC175" i="2" s="1"/>
  <c r="DB174" i="2"/>
  <c r="DB175" i="2" s="1"/>
  <c r="DA174" i="2"/>
  <c r="DA175" i="2" s="1"/>
  <c r="CZ174" i="2"/>
  <c r="CZ175" i="2" s="1"/>
  <c r="CY174" i="2"/>
  <c r="CY175" i="2" s="1"/>
  <c r="CX174" i="2"/>
  <c r="CX175" i="2" s="1"/>
  <c r="CW174" i="2"/>
  <c r="CW175" i="2" s="1"/>
  <c r="CV174" i="2"/>
  <c r="CV175" i="2" s="1"/>
  <c r="CU174" i="2"/>
  <c r="CU175" i="2" s="1"/>
  <c r="CT174" i="2"/>
  <c r="CT175" i="2" s="1"/>
  <c r="CS174" i="2"/>
  <c r="CS175" i="2" s="1"/>
  <c r="CR174" i="2"/>
  <c r="CR175" i="2" s="1"/>
  <c r="CQ174" i="2"/>
  <c r="CQ175" i="2" s="1"/>
  <c r="CP174" i="2"/>
  <c r="CP175" i="2" s="1"/>
  <c r="CO174" i="2"/>
  <c r="CO175" i="2" s="1"/>
  <c r="CN174" i="2"/>
  <c r="CN175" i="2" s="1"/>
  <c r="CM174" i="2"/>
  <c r="CM175" i="2" s="1"/>
  <c r="CL174" i="2"/>
  <c r="CL175" i="2" s="1"/>
  <c r="CK174" i="2"/>
  <c r="CK175" i="2" s="1"/>
  <c r="CJ174" i="2"/>
  <c r="CJ175" i="2" s="1"/>
  <c r="CI174" i="2"/>
  <c r="CI175" i="2" s="1"/>
  <c r="CH174" i="2"/>
  <c r="CH175" i="2" s="1"/>
  <c r="I173" i="2"/>
  <c r="H173" i="2"/>
  <c r="F173" i="2"/>
  <c r="AV171" i="2"/>
  <c r="AV172" i="2" s="1"/>
  <c r="AV173" i="2" s="1"/>
  <c r="AV174" i="2" s="1"/>
  <c r="AV175" i="2" s="1"/>
  <c r="Y171" i="2"/>
  <c r="Y172" i="2" s="1"/>
  <c r="Y173" i="2" s="1"/>
  <c r="Y174" i="2" s="1"/>
  <c r="Y175" i="2" s="1"/>
  <c r="W171" i="2"/>
  <c r="W172" i="2" s="1"/>
  <c r="W173" i="2" s="1"/>
  <c r="W174" i="2" s="1"/>
  <c r="W175" i="2" s="1"/>
  <c r="U171" i="2"/>
  <c r="U172" i="2" s="1"/>
  <c r="U173" i="2" s="1"/>
  <c r="U174" i="2" s="1"/>
  <c r="U175" i="2" s="1"/>
  <c r="S171" i="2"/>
  <c r="S172" i="2" s="1"/>
  <c r="S173" i="2" s="1"/>
  <c r="S174" i="2" s="1"/>
  <c r="S175" i="2" s="1"/>
  <c r="Q171" i="2"/>
  <c r="Q172" i="2" s="1"/>
  <c r="Q173" i="2" s="1"/>
  <c r="Q174" i="2" s="1"/>
  <c r="Q175" i="2" s="1"/>
  <c r="O171" i="2"/>
  <c r="O172" i="2" s="1"/>
  <c r="O173" i="2" s="1"/>
  <c r="O174" i="2" s="1"/>
  <c r="O175" i="2" s="1"/>
  <c r="M171" i="2"/>
  <c r="M172" i="2" s="1"/>
  <c r="M173" i="2" s="1"/>
  <c r="M174" i="2" s="1"/>
  <c r="M175" i="2" s="1"/>
  <c r="K171" i="2"/>
  <c r="K172" i="2" s="1"/>
  <c r="K173" i="2" s="1"/>
  <c r="K174" i="2" s="1"/>
  <c r="K175" i="2" s="1"/>
  <c r="C171" i="2"/>
  <c r="C172" i="2" s="1"/>
  <c r="C173" i="2" s="1"/>
  <c r="C174" i="2" s="1"/>
  <c r="C175" i="2" s="1"/>
  <c r="CG169" i="2"/>
  <c r="CF169" i="2"/>
  <c r="CE169" i="2"/>
  <c r="CD169" i="2"/>
  <c r="CC169" i="2"/>
  <c r="CB169" i="2"/>
  <c r="CA169" i="2"/>
  <c r="BZ169" i="2"/>
  <c r="BY169" i="2"/>
  <c r="BX169" i="2"/>
  <c r="BW169" i="2"/>
  <c r="BV169" i="2"/>
  <c r="BU169" i="2"/>
  <c r="BT169" i="2"/>
  <c r="BS169" i="2"/>
  <c r="BR169" i="2"/>
  <c r="BQ169" i="2"/>
  <c r="BP169" i="2"/>
  <c r="BO169" i="2"/>
  <c r="BN169" i="2"/>
  <c r="BM169" i="2"/>
  <c r="BL169" i="2"/>
  <c r="BK169" i="2"/>
  <c r="BJ169" i="2"/>
  <c r="BI169" i="2"/>
  <c r="BH169" i="2"/>
  <c r="BG169" i="2"/>
  <c r="BF169" i="2"/>
  <c r="BE169" i="2"/>
  <c r="BD169" i="2"/>
  <c r="BC169" i="2"/>
  <c r="BB169" i="2"/>
  <c r="BA169" i="2"/>
  <c r="AZ169" i="2"/>
  <c r="AY169" i="2"/>
  <c r="AX169" i="2"/>
  <c r="AW169" i="2"/>
  <c r="AV169" i="2"/>
  <c r="AU169" i="2"/>
  <c r="AT169" i="2"/>
  <c r="AS169" i="2"/>
  <c r="AR169" i="2"/>
  <c r="AQ169" i="2"/>
  <c r="AP169" i="2"/>
  <c r="AO169" i="2"/>
  <c r="AN169" i="2"/>
  <c r="AM169" i="2"/>
  <c r="AL169" i="2"/>
  <c r="AK169" i="2"/>
  <c r="AJ169" i="2"/>
  <c r="AI169" i="2"/>
  <c r="AH169" i="2"/>
  <c r="AG169" i="2"/>
  <c r="AF169" i="2"/>
  <c r="AE169" i="2"/>
  <c r="AD169" i="2"/>
  <c r="AC169" i="2"/>
  <c r="AB169" i="2"/>
  <c r="AA169" i="2"/>
  <c r="Z169" i="2"/>
  <c r="Y169" i="2"/>
  <c r="X169" i="2"/>
  <c r="W169" i="2"/>
  <c r="V169" i="2"/>
  <c r="U169" i="2"/>
  <c r="T169" i="2"/>
  <c r="S169" i="2"/>
  <c r="R169" i="2"/>
  <c r="Q169" i="2"/>
  <c r="P169" i="2"/>
  <c r="O169" i="2"/>
  <c r="N169" i="2"/>
  <c r="M169" i="2"/>
  <c r="L169" i="2"/>
  <c r="K169" i="2"/>
  <c r="J169" i="2"/>
  <c r="I169" i="2"/>
  <c r="H169" i="2"/>
  <c r="G169" i="2"/>
  <c r="F169" i="2"/>
  <c r="C169" i="2"/>
  <c r="A169" i="2"/>
  <c r="CG163" i="2"/>
  <c r="CG164" i="2" s="1"/>
  <c r="CG165" i="2" s="1"/>
  <c r="CG166" i="2" s="1"/>
  <c r="CG167" i="2" s="1"/>
  <c r="CF163" i="2"/>
  <c r="CF164" i="2" s="1"/>
  <c r="CF165" i="2" s="1"/>
  <c r="CF166" i="2" s="1"/>
  <c r="CF167" i="2" s="1"/>
  <c r="CE163" i="2"/>
  <c r="CE164" i="2" s="1"/>
  <c r="CE165" i="2" s="1"/>
  <c r="CE166" i="2" s="1"/>
  <c r="CE167" i="2" s="1"/>
  <c r="CD163" i="2"/>
  <c r="CD164" i="2" s="1"/>
  <c r="CD165" i="2" s="1"/>
  <c r="CD166" i="2" s="1"/>
  <c r="CD167" i="2" s="1"/>
  <c r="CC163" i="2"/>
  <c r="CC164" i="2" s="1"/>
  <c r="CC165" i="2" s="1"/>
  <c r="CC166" i="2" s="1"/>
  <c r="CC167" i="2" s="1"/>
  <c r="CB163" i="2"/>
  <c r="CB164" i="2" s="1"/>
  <c r="CB165" i="2" s="1"/>
  <c r="CB166" i="2" s="1"/>
  <c r="CB167" i="2" s="1"/>
  <c r="CA163" i="2"/>
  <c r="CA164" i="2" s="1"/>
  <c r="CA165" i="2" s="1"/>
  <c r="CA166" i="2" s="1"/>
  <c r="CA167" i="2" s="1"/>
  <c r="BZ163" i="2"/>
  <c r="BZ164" i="2" s="1"/>
  <c r="BZ165" i="2" s="1"/>
  <c r="BZ166" i="2" s="1"/>
  <c r="BZ167" i="2" s="1"/>
  <c r="BY163" i="2"/>
  <c r="BY164" i="2" s="1"/>
  <c r="BY165" i="2" s="1"/>
  <c r="BY166" i="2" s="1"/>
  <c r="BY167" i="2" s="1"/>
  <c r="BX163" i="2"/>
  <c r="BX164" i="2" s="1"/>
  <c r="BX165" i="2" s="1"/>
  <c r="BX166" i="2" s="1"/>
  <c r="BX167" i="2" s="1"/>
  <c r="BW163" i="2"/>
  <c r="BW164" i="2" s="1"/>
  <c r="BW165" i="2" s="1"/>
  <c r="BW166" i="2" s="1"/>
  <c r="BW167" i="2" s="1"/>
  <c r="BV163" i="2"/>
  <c r="BV164" i="2" s="1"/>
  <c r="BV165" i="2" s="1"/>
  <c r="BV166" i="2" s="1"/>
  <c r="BV167" i="2" s="1"/>
  <c r="BU163" i="2"/>
  <c r="BU164" i="2" s="1"/>
  <c r="BU165" i="2" s="1"/>
  <c r="BU166" i="2" s="1"/>
  <c r="BU167" i="2" s="1"/>
  <c r="BT163" i="2"/>
  <c r="BT164" i="2" s="1"/>
  <c r="BT165" i="2" s="1"/>
  <c r="BT166" i="2" s="1"/>
  <c r="BT167" i="2" s="1"/>
  <c r="BS163" i="2"/>
  <c r="BS164" i="2" s="1"/>
  <c r="BS165" i="2" s="1"/>
  <c r="BS166" i="2" s="1"/>
  <c r="BS167" i="2" s="1"/>
  <c r="BR163" i="2"/>
  <c r="BR164" i="2" s="1"/>
  <c r="BR165" i="2" s="1"/>
  <c r="BR166" i="2" s="1"/>
  <c r="BR167" i="2" s="1"/>
  <c r="BQ163" i="2"/>
  <c r="BQ164" i="2" s="1"/>
  <c r="BQ165" i="2" s="1"/>
  <c r="BQ166" i="2" s="1"/>
  <c r="BQ167" i="2" s="1"/>
  <c r="BP163" i="2"/>
  <c r="BP164" i="2" s="1"/>
  <c r="BP165" i="2" s="1"/>
  <c r="BP166" i="2" s="1"/>
  <c r="BP167" i="2" s="1"/>
  <c r="BO163" i="2"/>
  <c r="BO164" i="2" s="1"/>
  <c r="BO165" i="2" s="1"/>
  <c r="BO166" i="2" s="1"/>
  <c r="BO167" i="2" s="1"/>
  <c r="BN163" i="2"/>
  <c r="BN164" i="2" s="1"/>
  <c r="BN165" i="2" s="1"/>
  <c r="BN166" i="2" s="1"/>
  <c r="BN167" i="2" s="1"/>
  <c r="BM163" i="2"/>
  <c r="BM164" i="2" s="1"/>
  <c r="BM165" i="2" s="1"/>
  <c r="BM166" i="2" s="1"/>
  <c r="BM167" i="2" s="1"/>
  <c r="BL163" i="2"/>
  <c r="BL164" i="2" s="1"/>
  <c r="BL165" i="2" s="1"/>
  <c r="BL166" i="2" s="1"/>
  <c r="BL167" i="2" s="1"/>
  <c r="BK163" i="2"/>
  <c r="BK164" i="2" s="1"/>
  <c r="BK165" i="2" s="1"/>
  <c r="BK166" i="2" s="1"/>
  <c r="BK167" i="2" s="1"/>
  <c r="BJ163" i="2"/>
  <c r="BJ164" i="2" s="1"/>
  <c r="BJ165" i="2" s="1"/>
  <c r="BJ166" i="2" s="1"/>
  <c r="BJ167" i="2" s="1"/>
  <c r="BI163" i="2"/>
  <c r="BI164" i="2" s="1"/>
  <c r="BI165" i="2" s="1"/>
  <c r="BI166" i="2" s="1"/>
  <c r="BI167" i="2" s="1"/>
  <c r="BH163" i="2"/>
  <c r="BH164" i="2" s="1"/>
  <c r="BH165" i="2" s="1"/>
  <c r="BH166" i="2" s="1"/>
  <c r="BH167" i="2" s="1"/>
  <c r="BG163" i="2"/>
  <c r="BG164" i="2" s="1"/>
  <c r="BG165" i="2" s="1"/>
  <c r="BG166" i="2" s="1"/>
  <c r="BG167" i="2" s="1"/>
  <c r="BF163" i="2"/>
  <c r="BF164" i="2" s="1"/>
  <c r="BF165" i="2" s="1"/>
  <c r="BF166" i="2" s="1"/>
  <c r="BF167" i="2" s="1"/>
  <c r="BE163" i="2"/>
  <c r="BE164" i="2" s="1"/>
  <c r="BE165" i="2" s="1"/>
  <c r="BE166" i="2" s="1"/>
  <c r="BE167" i="2" s="1"/>
  <c r="BD163" i="2"/>
  <c r="BD164" i="2" s="1"/>
  <c r="BD165" i="2" s="1"/>
  <c r="BD166" i="2" s="1"/>
  <c r="BD167" i="2" s="1"/>
  <c r="BC163" i="2"/>
  <c r="BC164" i="2" s="1"/>
  <c r="BC165" i="2" s="1"/>
  <c r="BC166" i="2" s="1"/>
  <c r="BC167" i="2" s="1"/>
  <c r="BB163" i="2"/>
  <c r="BB164" i="2" s="1"/>
  <c r="BB165" i="2" s="1"/>
  <c r="BB166" i="2" s="1"/>
  <c r="BB167" i="2" s="1"/>
  <c r="BA163" i="2"/>
  <c r="BA164" i="2" s="1"/>
  <c r="BA165" i="2" s="1"/>
  <c r="BA166" i="2" s="1"/>
  <c r="BA167" i="2" s="1"/>
  <c r="AZ163" i="2"/>
  <c r="AZ164" i="2" s="1"/>
  <c r="AZ165" i="2" s="1"/>
  <c r="AZ166" i="2" s="1"/>
  <c r="AZ167" i="2" s="1"/>
  <c r="AY163" i="2"/>
  <c r="AY164" i="2" s="1"/>
  <c r="AY165" i="2" s="1"/>
  <c r="AY166" i="2" s="1"/>
  <c r="AY167" i="2" s="1"/>
  <c r="AX163" i="2"/>
  <c r="AX164" i="2" s="1"/>
  <c r="AX165" i="2" s="1"/>
  <c r="AX166" i="2" s="1"/>
  <c r="AX167" i="2" s="1"/>
  <c r="AW163" i="2"/>
  <c r="AW164" i="2" s="1"/>
  <c r="AW165" i="2" s="1"/>
  <c r="AW166" i="2" s="1"/>
  <c r="AW167" i="2" s="1"/>
  <c r="AV163" i="2"/>
  <c r="AV164" i="2" s="1"/>
  <c r="AV165" i="2" s="1"/>
  <c r="AV166" i="2" s="1"/>
  <c r="AV167" i="2" s="1"/>
  <c r="AU163" i="2"/>
  <c r="AU164" i="2" s="1"/>
  <c r="AU165" i="2" s="1"/>
  <c r="AU166" i="2" s="1"/>
  <c r="AU167" i="2" s="1"/>
  <c r="AT163" i="2"/>
  <c r="AT164" i="2" s="1"/>
  <c r="AT165" i="2" s="1"/>
  <c r="AT166" i="2" s="1"/>
  <c r="AT167" i="2" s="1"/>
  <c r="AS163" i="2"/>
  <c r="AS164" i="2" s="1"/>
  <c r="AS165" i="2" s="1"/>
  <c r="AS166" i="2" s="1"/>
  <c r="AS167" i="2" s="1"/>
  <c r="AR163" i="2"/>
  <c r="AR164" i="2" s="1"/>
  <c r="AR165" i="2" s="1"/>
  <c r="AR166" i="2" s="1"/>
  <c r="AR167" i="2" s="1"/>
  <c r="AQ163" i="2"/>
  <c r="AQ164" i="2" s="1"/>
  <c r="AQ165" i="2" s="1"/>
  <c r="AQ166" i="2" s="1"/>
  <c r="AQ167" i="2" s="1"/>
  <c r="AP163" i="2"/>
  <c r="AP164" i="2" s="1"/>
  <c r="AP165" i="2" s="1"/>
  <c r="AP166" i="2" s="1"/>
  <c r="AP167" i="2" s="1"/>
  <c r="AO163" i="2"/>
  <c r="AO164" i="2" s="1"/>
  <c r="AO165" i="2" s="1"/>
  <c r="AO166" i="2" s="1"/>
  <c r="AO167" i="2" s="1"/>
  <c r="AN163" i="2"/>
  <c r="AN164" i="2" s="1"/>
  <c r="AN165" i="2" s="1"/>
  <c r="AN166" i="2" s="1"/>
  <c r="AN167" i="2" s="1"/>
  <c r="AM163" i="2"/>
  <c r="AM164" i="2" s="1"/>
  <c r="AM165" i="2" s="1"/>
  <c r="AM166" i="2" s="1"/>
  <c r="AM167" i="2" s="1"/>
  <c r="AL163" i="2"/>
  <c r="AL164" i="2" s="1"/>
  <c r="AL165" i="2" s="1"/>
  <c r="AL166" i="2" s="1"/>
  <c r="AL167" i="2" s="1"/>
  <c r="AK163" i="2"/>
  <c r="AK164" i="2" s="1"/>
  <c r="AK165" i="2" s="1"/>
  <c r="AK166" i="2" s="1"/>
  <c r="AK167" i="2" s="1"/>
  <c r="AJ163" i="2"/>
  <c r="AJ164" i="2" s="1"/>
  <c r="AJ165" i="2" s="1"/>
  <c r="AJ166" i="2" s="1"/>
  <c r="AJ167" i="2" s="1"/>
  <c r="AI163" i="2"/>
  <c r="AI164" i="2" s="1"/>
  <c r="AI165" i="2" s="1"/>
  <c r="AI166" i="2" s="1"/>
  <c r="AI167" i="2" s="1"/>
  <c r="AH163" i="2"/>
  <c r="AH164" i="2" s="1"/>
  <c r="AH165" i="2" s="1"/>
  <c r="AH166" i="2" s="1"/>
  <c r="AH167" i="2" s="1"/>
  <c r="AG163" i="2"/>
  <c r="AG164" i="2" s="1"/>
  <c r="AG165" i="2" s="1"/>
  <c r="AG166" i="2" s="1"/>
  <c r="AG167" i="2" s="1"/>
  <c r="AF163" i="2"/>
  <c r="AF164" i="2" s="1"/>
  <c r="AF165" i="2" s="1"/>
  <c r="AF166" i="2" s="1"/>
  <c r="AF167" i="2" s="1"/>
  <c r="AE163" i="2"/>
  <c r="AE164" i="2" s="1"/>
  <c r="AE165" i="2" s="1"/>
  <c r="AE166" i="2" s="1"/>
  <c r="AE167" i="2" s="1"/>
  <c r="AD163" i="2"/>
  <c r="AD164" i="2" s="1"/>
  <c r="AD165" i="2" s="1"/>
  <c r="AD166" i="2" s="1"/>
  <c r="AD167" i="2" s="1"/>
  <c r="AC163" i="2"/>
  <c r="AC164" i="2" s="1"/>
  <c r="AC165" i="2" s="1"/>
  <c r="AC166" i="2" s="1"/>
  <c r="AC167" i="2" s="1"/>
  <c r="AB163" i="2"/>
  <c r="AB164" i="2" s="1"/>
  <c r="AB165" i="2" s="1"/>
  <c r="AB166" i="2" s="1"/>
  <c r="AB167" i="2" s="1"/>
  <c r="AA163" i="2"/>
  <c r="AA164" i="2" s="1"/>
  <c r="AA165" i="2" s="1"/>
  <c r="AA166" i="2" s="1"/>
  <c r="AA167" i="2" s="1"/>
  <c r="Z163" i="2"/>
  <c r="Z164" i="2" s="1"/>
  <c r="Z165" i="2" s="1"/>
  <c r="Z166" i="2" s="1"/>
  <c r="Z167" i="2" s="1"/>
  <c r="Y163" i="2"/>
  <c r="Y164" i="2" s="1"/>
  <c r="Y165" i="2" s="1"/>
  <c r="Y166" i="2" s="1"/>
  <c r="Y167" i="2" s="1"/>
  <c r="X163" i="2"/>
  <c r="X164" i="2" s="1"/>
  <c r="X165" i="2" s="1"/>
  <c r="X166" i="2" s="1"/>
  <c r="X167" i="2" s="1"/>
  <c r="W163" i="2"/>
  <c r="W164" i="2" s="1"/>
  <c r="W165" i="2" s="1"/>
  <c r="W166" i="2" s="1"/>
  <c r="W167" i="2" s="1"/>
  <c r="V163" i="2"/>
  <c r="V164" i="2" s="1"/>
  <c r="V165" i="2" s="1"/>
  <c r="V166" i="2" s="1"/>
  <c r="V167" i="2" s="1"/>
  <c r="U163" i="2"/>
  <c r="U164" i="2" s="1"/>
  <c r="U165" i="2" s="1"/>
  <c r="U166" i="2" s="1"/>
  <c r="U167" i="2" s="1"/>
  <c r="T163" i="2"/>
  <c r="T164" i="2" s="1"/>
  <c r="T165" i="2" s="1"/>
  <c r="T166" i="2" s="1"/>
  <c r="T167" i="2" s="1"/>
  <c r="S163" i="2"/>
  <c r="S164" i="2" s="1"/>
  <c r="S165" i="2" s="1"/>
  <c r="S166" i="2" s="1"/>
  <c r="S167" i="2" s="1"/>
  <c r="R163" i="2"/>
  <c r="R164" i="2" s="1"/>
  <c r="R165" i="2" s="1"/>
  <c r="R166" i="2" s="1"/>
  <c r="R167" i="2" s="1"/>
  <c r="Q163" i="2"/>
  <c r="Q164" i="2" s="1"/>
  <c r="Q165" i="2" s="1"/>
  <c r="Q166" i="2" s="1"/>
  <c r="Q167" i="2" s="1"/>
  <c r="P163" i="2"/>
  <c r="P164" i="2" s="1"/>
  <c r="P165" i="2" s="1"/>
  <c r="P166" i="2" s="1"/>
  <c r="P167" i="2" s="1"/>
  <c r="O163" i="2"/>
  <c r="O164" i="2" s="1"/>
  <c r="O165" i="2" s="1"/>
  <c r="O166" i="2" s="1"/>
  <c r="O167" i="2" s="1"/>
  <c r="N163" i="2"/>
  <c r="N164" i="2" s="1"/>
  <c r="N165" i="2" s="1"/>
  <c r="N166" i="2" s="1"/>
  <c r="N167" i="2" s="1"/>
  <c r="M163" i="2"/>
  <c r="M164" i="2" s="1"/>
  <c r="M165" i="2" s="1"/>
  <c r="M166" i="2" s="1"/>
  <c r="M167" i="2" s="1"/>
  <c r="L163" i="2"/>
  <c r="L164" i="2" s="1"/>
  <c r="L165" i="2" s="1"/>
  <c r="L166" i="2" s="1"/>
  <c r="L167" i="2" s="1"/>
  <c r="K163" i="2"/>
  <c r="K164" i="2" s="1"/>
  <c r="K165" i="2" s="1"/>
  <c r="K166" i="2" s="1"/>
  <c r="K167" i="2" s="1"/>
  <c r="J163" i="2"/>
  <c r="J164" i="2" s="1"/>
  <c r="J165" i="2" s="1"/>
  <c r="J166" i="2" s="1"/>
  <c r="J167" i="2" s="1"/>
  <c r="I163" i="2"/>
  <c r="I164" i="2" s="1"/>
  <c r="I165" i="2" s="1"/>
  <c r="I166" i="2" s="1"/>
  <c r="I167" i="2" s="1"/>
  <c r="H163" i="2"/>
  <c r="H164" i="2" s="1"/>
  <c r="H165" i="2" s="1"/>
  <c r="H166" i="2" s="1"/>
  <c r="H167" i="2" s="1"/>
  <c r="G163" i="2"/>
  <c r="G164" i="2" s="1"/>
  <c r="G165" i="2" s="1"/>
  <c r="G166" i="2" s="1"/>
  <c r="G167" i="2" s="1"/>
  <c r="F163" i="2"/>
  <c r="F164" i="2" s="1"/>
  <c r="F165" i="2" s="1"/>
  <c r="F166" i="2" s="1"/>
  <c r="F167" i="2" s="1"/>
  <c r="C163" i="2"/>
  <c r="C164" i="2" s="1"/>
  <c r="C165" i="2" s="1"/>
  <c r="C166" i="2" s="1"/>
  <c r="C167" i="2" s="1"/>
  <c r="A163" i="2"/>
  <c r="A164" i="2" s="1"/>
  <c r="A165" i="2" s="1"/>
  <c r="A166" i="2" s="1"/>
  <c r="A167" i="2" s="1"/>
  <c r="DR160" i="2"/>
  <c r="DQ160" i="2"/>
  <c r="DP160" i="2"/>
  <c r="DO160" i="2"/>
  <c r="DN160" i="2"/>
  <c r="DM160" i="2"/>
  <c r="DL160" i="2"/>
  <c r="DK160" i="2"/>
  <c r="DJ160" i="2"/>
  <c r="DI160" i="2"/>
  <c r="DH160" i="2"/>
  <c r="DG160" i="2"/>
  <c r="DF160" i="2"/>
  <c r="DE160" i="2"/>
  <c r="DD160" i="2"/>
  <c r="DC160" i="2"/>
  <c r="DB160" i="2"/>
  <c r="DA160" i="2"/>
  <c r="CZ160" i="2"/>
  <c r="CY160" i="2"/>
  <c r="CX160" i="2"/>
  <c r="CW160" i="2"/>
  <c r="CV160" i="2"/>
  <c r="CU160" i="2"/>
  <c r="CT160" i="2"/>
  <c r="CS160" i="2"/>
  <c r="CR160" i="2"/>
  <c r="CQ160" i="2"/>
  <c r="CP160" i="2"/>
  <c r="CO160" i="2"/>
  <c r="CN160" i="2"/>
  <c r="CM160" i="2"/>
  <c r="CL160" i="2"/>
  <c r="CK160" i="2"/>
  <c r="CJ160" i="2"/>
  <c r="CI160" i="2"/>
  <c r="CH160" i="2"/>
  <c r="J160" i="2"/>
  <c r="G160" i="2"/>
  <c r="C160" i="2"/>
  <c r="AU155" i="2"/>
  <c r="AT155" i="2"/>
  <c r="AS155" i="2"/>
  <c r="AR155" i="2"/>
  <c r="AQ155" i="2"/>
  <c r="AP155" i="2"/>
  <c r="AO155" i="2"/>
  <c r="AN155" i="2"/>
  <c r="AM155" i="2"/>
  <c r="AL155" i="2"/>
  <c r="AK155" i="2"/>
  <c r="AJ155" i="2"/>
  <c r="AI155" i="2"/>
  <c r="AH155" i="2"/>
  <c r="AG155" i="2"/>
  <c r="AF155" i="2"/>
  <c r="AE155" i="2"/>
  <c r="AD155" i="2"/>
  <c r="AC155" i="2"/>
  <c r="AB155" i="2"/>
  <c r="AA155" i="2"/>
  <c r="Z155" i="2"/>
  <c r="Y155" i="2"/>
  <c r="X155" i="2"/>
  <c r="W155" i="2"/>
  <c r="V155" i="2"/>
  <c r="U155" i="2"/>
  <c r="T155" i="2"/>
  <c r="S155" i="2"/>
  <c r="R155" i="2"/>
  <c r="Q155" i="2"/>
  <c r="P155" i="2"/>
  <c r="O155" i="2"/>
  <c r="N155" i="2"/>
  <c r="M155" i="2"/>
  <c r="L155" i="2"/>
  <c r="K155" i="2"/>
  <c r="J155" i="2"/>
  <c r="I155" i="2"/>
  <c r="H155" i="2"/>
  <c r="G155" i="2"/>
  <c r="F155" i="2"/>
  <c r="E155" i="2"/>
  <c r="D155" i="2"/>
  <c r="C155" i="2"/>
  <c r="CG154" i="2"/>
  <c r="CF154" i="2"/>
  <c r="CE154" i="2"/>
  <c r="CD154" i="2"/>
  <c r="CC154" i="2"/>
  <c r="CB154" i="2"/>
  <c r="CA154" i="2"/>
  <c r="BZ154" i="2"/>
  <c r="BY154" i="2"/>
  <c r="BX154" i="2"/>
  <c r="BW154" i="2"/>
  <c r="BV154" i="2"/>
  <c r="BU154" i="2"/>
  <c r="BT154" i="2"/>
  <c r="BS154" i="2"/>
  <c r="BR154" i="2"/>
  <c r="BQ154" i="2"/>
  <c r="BP154" i="2"/>
  <c r="BO154" i="2"/>
  <c r="BN154" i="2"/>
  <c r="BM154" i="2"/>
  <c r="BL154" i="2"/>
  <c r="BK154" i="2"/>
  <c r="BJ154" i="2"/>
  <c r="BI154" i="2"/>
  <c r="BH154" i="2"/>
  <c r="BG154" i="2"/>
  <c r="BF154" i="2"/>
  <c r="BE154" i="2"/>
  <c r="BD154" i="2"/>
  <c r="BC154" i="2"/>
  <c r="BB154" i="2"/>
  <c r="BA154" i="2"/>
  <c r="AZ154" i="2"/>
  <c r="AY154" i="2"/>
  <c r="AX154" i="2"/>
  <c r="AW154" i="2"/>
  <c r="AV154" i="2"/>
  <c r="J154" i="2"/>
  <c r="G154" i="2"/>
  <c r="J149" i="2"/>
  <c r="J150" i="2" s="1"/>
  <c r="J151" i="2" s="1"/>
  <c r="G149" i="2"/>
  <c r="G150" i="2" s="1"/>
  <c r="G151" i="2" s="1"/>
  <c r="F149" i="2"/>
  <c r="F150" i="2" s="1"/>
  <c r="F151" i="2" s="1"/>
  <c r="J142" i="2"/>
  <c r="J143" i="2" s="1"/>
  <c r="J144" i="2" s="1"/>
  <c r="G142" i="2"/>
  <c r="G143" i="2" s="1"/>
  <c r="G144" i="2" s="1"/>
  <c r="J139" i="2"/>
  <c r="G139" i="2"/>
  <c r="J133" i="2"/>
  <c r="J134" i="2" s="1"/>
  <c r="J135" i="2" s="1"/>
  <c r="G133" i="2"/>
  <c r="G134" i="2" s="1"/>
  <c r="G135" i="2" s="1"/>
  <c r="J129" i="2"/>
  <c r="J130" i="2" s="1"/>
  <c r="J131" i="2" s="1"/>
  <c r="G129" i="2"/>
  <c r="G130" i="2" s="1"/>
  <c r="G131" i="2" s="1"/>
  <c r="AV124" i="2"/>
  <c r="AV125" i="2" s="1"/>
  <c r="J124" i="2"/>
  <c r="J125" i="2" s="1"/>
  <c r="G124" i="2"/>
  <c r="G125" i="2" s="1"/>
  <c r="F124" i="2"/>
  <c r="F125" i="2" s="1"/>
  <c r="AU122" i="2"/>
  <c r="AT122" i="2"/>
  <c r="AS122" i="2"/>
  <c r="AR122" i="2"/>
  <c r="AQ122" i="2"/>
  <c r="AP122" i="2"/>
  <c r="AO122" i="2"/>
  <c r="AN122" i="2"/>
  <c r="AM122" i="2"/>
  <c r="AL122" i="2"/>
  <c r="AK122" i="2"/>
  <c r="AJ122" i="2"/>
  <c r="AI122" i="2"/>
  <c r="AH122" i="2"/>
  <c r="AG122" i="2"/>
  <c r="AF122" i="2"/>
  <c r="AE122" i="2"/>
  <c r="AD122" i="2"/>
  <c r="AC122" i="2"/>
  <c r="AB122" i="2"/>
  <c r="AA122" i="2"/>
  <c r="Z122" i="2"/>
  <c r="Y122" i="2"/>
  <c r="X122" i="2"/>
  <c r="W122" i="2"/>
  <c r="V122" i="2"/>
  <c r="U122" i="2"/>
  <c r="T122" i="2"/>
  <c r="S122" i="2"/>
  <c r="R122" i="2"/>
  <c r="Q122" i="2"/>
  <c r="P122" i="2"/>
  <c r="O122" i="2"/>
  <c r="N122" i="2"/>
  <c r="M122" i="2"/>
  <c r="L122" i="2"/>
  <c r="K122" i="2"/>
  <c r="I122" i="2"/>
  <c r="H122" i="2"/>
  <c r="E122" i="2"/>
  <c r="D122" i="2"/>
  <c r="AU121" i="2"/>
  <c r="AT121" i="2"/>
  <c r="AS121" i="2"/>
  <c r="AR121" i="2"/>
  <c r="AQ121" i="2"/>
  <c r="AP121" i="2"/>
  <c r="AO121" i="2"/>
  <c r="AN121" i="2"/>
  <c r="AM121" i="2"/>
  <c r="AL121" i="2"/>
  <c r="AK121" i="2"/>
  <c r="AJ121" i="2"/>
  <c r="AI121" i="2"/>
  <c r="AH121" i="2"/>
  <c r="AG121" i="2"/>
  <c r="AF121" i="2"/>
  <c r="AE121" i="2"/>
  <c r="AD121" i="2"/>
  <c r="AC121" i="2"/>
  <c r="AB121" i="2"/>
  <c r="AA121" i="2"/>
  <c r="Z121" i="2"/>
  <c r="Y121" i="2"/>
  <c r="X121" i="2"/>
  <c r="W121" i="2"/>
  <c r="V121" i="2"/>
  <c r="U121" i="2"/>
  <c r="T121" i="2"/>
  <c r="S121" i="2"/>
  <c r="R121" i="2"/>
  <c r="Q121" i="2"/>
  <c r="P121" i="2"/>
  <c r="O121" i="2"/>
  <c r="N121" i="2"/>
  <c r="M121" i="2"/>
  <c r="L121" i="2"/>
  <c r="K121" i="2"/>
  <c r="I121" i="2"/>
  <c r="H121" i="2"/>
  <c r="E121" i="2"/>
  <c r="D121" i="2"/>
  <c r="AU120" i="2"/>
  <c r="AT120" i="2"/>
  <c r="AS120" i="2"/>
  <c r="AR120" i="2"/>
  <c r="AQ120" i="2"/>
  <c r="AP120" i="2"/>
  <c r="AO120" i="2"/>
  <c r="AN120" i="2"/>
  <c r="AM120" i="2"/>
  <c r="AL120" i="2"/>
  <c r="AK120" i="2"/>
  <c r="AJ120" i="2"/>
  <c r="AI120" i="2"/>
  <c r="AH120" i="2"/>
  <c r="AG120" i="2"/>
  <c r="AF120" i="2"/>
  <c r="AE120" i="2"/>
  <c r="AD120" i="2"/>
  <c r="AC120" i="2"/>
  <c r="AB120" i="2"/>
  <c r="AA120" i="2"/>
  <c r="Z120" i="2"/>
  <c r="Y120" i="2"/>
  <c r="X120" i="2"/>
  <c r="W120" i="2"/>
  <c r="V120" i="2"/>
  <c r="U120" i="2"/>
  <c r="T120" i="2"/>
  <c r="S120" i="2"/>
  <c r="R120" i="2"/>
  <c r="Q120" i="2"/>
  <c r="P120" i="2"/>
  <c r="O120" i="2"/>
  <c r="N120" i="2"/>
  <c r="M120" i="2"/>
  <c r="L120" i="2"/>
  <c r="K120" i="2"/>
  <c r="J120" i="2"/>
  <c r="I120" i="2"/>
  <c r="H120" i="2"/>
  <c r="G120" i="2"/>
  <c r="F120" i="2"/>
  <c r="E120" i="2"/>
  <c r="D120" i="2"/>
  <c r="C120" i="2"/>
  <c r="DR114" i="2"/>
  <c r="DQ114" i="2"/>
  <c r="DP114" i="2"/>
  <c r="DO114" i="2"/>
  <c r="DN114" i="2"/>
  <c r="DM114" i="2"/>
  <c r="DL114" i="2"/>
  <c r="DK114" i="2"/>
  <c r="DJ114" i="2"/>
  <c r="DI114" i="2"/>
  <c r="DH114" i="2"/>
  <c r="DG114" i="2"/>
  <c r="DF114" i="2"/>
  <c r="DE114" i="2"/>
  <c r="DD114" i="2"/>
  <c r="DC114" i="2"/>
  <c r="DB114" i="2"/>
  <c r="DA114" i="2"/>
  <c r="CZ114" i="2"/>
  <c r="CY114" i="2"/>
  <c r="CX114" i="2"/>
  <c r="CW114" i="2"/>
  <c r="CV114" i="2"/>
  <c r="CU114" i="2"/>
  <c r="CT114" i="2"/>
  <c r="CS114" i="2"/>
  <c r="CR114" i="2"/>
  <c r="CQ114" i="2"/>
  <c r="CP114" i="2"/>
  <c r="CO114" i="2"/>
  <c r="CN114" i="2"/>
  <c r="CM114" i="2"/>
  <c r="CL114" i="2"/>
  <c r="CK114" i="2"/>
  <c r="CJ114" i="2"/>
  <c r="CI114" i="2"/>
  <c r="CH114" i="2"/>
  <c r="CG114" i="2"/>
  <c r="CF114" i="2"/>
  <c r="CE114" i="2"/>
  <c r="CD114" i="2"/>
  <c r="CC114" i="2"/>
  <c r="CB114" i="2"/>
  <c r="CA114" i="2"/>
  <c r="BZ114" i="2"/>
  <c r="BY114" i="2"/>
  <c r="BX114" i="2"/>
  <c r="BW114" i="2"/>
  <c r="BV114" i="2"/>
  <c r="BU114" i="2"/>
  <c r="BT114" i="2"/>
  <c r="BS114" i="2"/>
  <c r="BR114" i="2"/>
  <c r="BQ114" i="2"/>
  <c r="BP114" i="2"/>
  <c r="BO114" i="2"/>
  <c r="BN114" i="2"/>
  <c r="BM114" i="2"/>
  <c r="BL114" i="2"/>
  <c r="BK114" i="2"/>
  <c r="BJ114" i="2"/>
  <c r="BI114" i="2"/>
  <c r="BH114" i="2"/>
  <c r="BG114" i="2"/>
  <c r="BF114" i="2"/>
  <c r="BE114" i="2"/>
  <c r="BD114" i="2"/>
  <c r="BC114" i="2"/>
  <c r="BB114" i="2"/>
  <c r="BA114" i="2"/>
  <c r="AZ114" i="2"/>
  <c r="AY114" i="2"/>
  <c r="AX114" i="2"/>
  <c r="AW114" i="2"/>
  <c r="AV114" i="2"/>
  <c r="AU114" i="2"/>
  <c r="AT114" i="2"/>
  <c r="AS114" i="2"/>
  <c r="AR114" i="2"/>
  <c r="AQ114" i="2"/>
  <c r="AP114" i="2"/>
  <c r="AO114" i="2"/>
  <c r="AN114" i="2"/>
  <c r="AM114" i="2"/>
  <c r="AL114" i="2"/>
  <c r="AK114" i="2"/>
  <c r="AJ114" i="2"/>
  <c r="AI114" i="2"/>
  <c r="AH114" i="2"/>
  <c r="AG114" i="2"/>
  <c r="AF114" i="2"/>
  <c r="AE114" i="2"/>
  <c r="AD114" i="2"/>
  <c r="AC114" i="2"/>
  <c r="AB114" i="2"/>
  <c r="AA114" i="2"/>
  <c r="Z114" i="2"/>
  <c r="Y114" i="2"/>
  <c r="X114" i="2"/>
  <c r="W114" i="2"/>
  <c r="V114" i="2"/>
  <c r="U114" i="2"/>
  <c r="T114" i="2"/>
  <c r="S114" i="2"/>
  <c r="R114" i="2"/>
  <c r="Q114" i="2"/>
  <c r="P114" i="2"/>
  <c r="O114" i="2"/>
  <c r="N114" i="2"/>
  <c r="M114" i="2"/>
  <c r="L114" i="2"/>
  <c r="K114" i="2"/>
  <c r="J114" i="2"/>
  <c r="I114" i="2"/>
  <c r="H114" i="2"/>
  <c r="G114" i="2"/>
  <c r="E114" i="2"/>
  <c r="D114" i="2"/>
  <c r="C114" i="2"/>
  <c r="DR110" i="2"/>
  <c r="DQ110" i="2"/>
  <c r="DP110" i="2"/>
  <c r="DO110" i="2"/>
  <c r="DN110" i="2"/>
  <c r="DM110" i="2"/>
  <c r="DL110" i="2"/>
  <c r="DK110" i="2"/>
  <c r="DJ110" i="2"/>
  <c r="DI110" i="2"/>
  <c r="DH110" i="2"/>
  <c r="DG110" i="2"/>
  <c r="DF110" i="2"/>
  <c r="DE110" i="2"/>
  <c r="DD110" i="2"/>
  <c r="DC110" i="2"/>
  <c r="DB110" i="2"/>
  <c r="DA110" i="2"/>
  <c r="CZ110" i="2"/>
  <c r="CY110" i="2"/>
  <c r="CX110" i="2"/>
  <c r="CW110" i="2"/>
  <c r="CV110" i="2"/>
  <c r="CU110" i="2"/>
  <c r="CT110" i="2"/>
  <c r="CS110" i="2"/>
  <c r="CR110" i="2"/>
  <c r="CQ110" i="2"/>
  <c r="CP110" i="2"/>
  <c r="CO110" i="2"/>
  <c r="CN110" i="2"/>
  <c r="CM110" i="2"/>
  <c r="CL110" i="2"/>
  <c r="CK110" i="2"/>
  <c r="CJ110" i="2"/>
  <c r="CI110" i="2"/>
  <c r="CH110" i="2"/>
  <c r="CG110" i="2"/>
  <c r="CF110" i="2"/>
  <c r="CE110" i="2"/>
  <c r="CD110" i="2"/>
  <c r="CC110" i="2"/>
  <c r="CB110" i="2"/>
  <c r="CA110" i="2"/>
  <c r="BZ110" i="2"/>
  <c r="BY110" i="2"/>
  <c r="BX110" i="2"/>
  <c r="BW110" i="2"/>
  <c r="BV110" i="2"/>
  <c r="BU110" i="2"/>
  <c r="BT110" i="2"/>
  <c r="BS110" i="2"/>
  <c r="BR110" i="2"/>
  <c r="BQ110" i="2"/>
  <c r="BP110" i="2"/>
  <c r="BO110" i="2"/>
  <c r="BN110" i="2"/>
  <c r="BM110" i="2"/>
  <c r="BL110" i="2"/>
  <c r="BK110" i="2"/>
  <c r="BJ110" i="2"/>
  <c r="BI110" i="2"/>
  <c r="BH110" i="2"/>
  <c r="BG110" i="2"/>
  <c r="BF110" i="2"/>
  <c r="BE110" i="2"/>
  <c r="BD110" i="2"/>
  <c r="BC110" i="2"/>
  <c r="BB110" i="2"/>
  <c r="BA110" i="2"/>
  <c r="AZ110" i="2"/>
  <c r="AY110" i="2"/>
  <c r="AX110" i="2"/>
  <c r="AW110" i="2"/>
  <c r="AV110" i="2"/>
  <c r="AU110" i="2"/>
  <c r="AT110" i="2"/>
  <c r="AS110" i="2"/>
  <c r="AR110" i="2"/>
  <c r="AQ110" i="2"/>
  <c r="AP110" i="2"/>
  <c r="AO110" i="2"/>
  <c r="AN110" i="2"/>
  <c r="AM110" i="2"/>
  <c r="AL110" i="2"/>
  <c r="AK110" i="2"/>
  <c r="AJ110" i="2"/>
  <c r="AI110" i="2"/>
  <c r="AH110" i="2"/>
  <c r="AG110" i="2"/>
  <c r="AF110" i="2"/>
  <c r="AE110" i="2"/>
  <c r="AD110" i="2"/>
  <c r="AC110" i="2"/>
  <c r="AB110" i="2"/>
  <c r="AA110" i="2"/>
  <c r="Z110" i="2"/>
  <c r="Y110" i="2"/>
  <c r="X110" i="2"/>
  <c r="W110" i="2"/>
  <c r="V110" i="2"/>
  <c r="U110" i="2"/>
  <c r="T110" i="2"/>
  <c r="S110" i="2"/>
  <c r="R110" i="2"/>
  <c r="Q110" i="2"/>
  <c r="P110" i="2"/>
  <c r="O110" i="2"/>
  <c r="N110" i="2"/>
  <c r="M110" i="2"/>
  <c r="L110" i="2"/>
  <c r="K110" i="2"/>
  <c r="J110" i="2"/>
  <c r="I110" i="2"/>
  <c r="H110" i="2"/>
  <c r="G110" i="2"/>
  <c r="E110" i="2"/>
  <c r="D110" i="2"/>
  <c r="C110" i="2"/>
  <c r="AU105" i="2"/>
  <c r="AT105" i="2"/>
  <c r="AS105" i="2"/>
  <c r="AR105" i="2"/>
  <c r="AQ105" i="2"/>
  <c r="AP105" i="2"/>
  <c r="AO105" i="2"/>
  <c r="AN105" i="2"/>
  <c r="AM105" i="2"/>
  <c r="AL105" i="2"/>
  <c r="AK105" i="2"/>
  <c r="AJ105" i="2"/>
  <c r="AI105" i="2"/>
  <c r="AH105" i="2"/>
  <c r="AG105" i="2"/>
  <c r="AF105" i="2"/>
  <c r="AE105" i="2"/>
  <c r="AD105" i="2"/>
  <c r="AC105" i="2"/>
  <c r="AB105" i="2"/>
  <c r="AA105" i="2"/>
  <c r="Z105" i="2"/>
  <c r="Y105" i="2"/>
  <c r="X105" i="2"/>
  <c r="W105" i="2"/>
  <c r="V105" i="2"/>
  <c r="U105" i="2"/>
  <c r="T105" i="2"/>
  <c r="S105" i="2"/>
  <c r="R105" i="2"/>
  <c r="Q105" i="2"/>
  <c r="P105" i="2"/>
  <c r="O105" i="2"/>
  <c r="N105" i="2"/>
  <c r="M105" i="2"/>
  <c r="L105" i="2"/>
  <c r="K105" i="2"/>
  <c r="J105" i="2"/>
  <c r="I105" i="2"/>
  <c r="H105" i="2"/>
  <c r="G105" i="2"/>
  <c r="E105" i="2"/>
  <c r="D105" i="2"/>
  <c r="C105" i="2"/>
  <c r="DR103" i="2"/>
  <c r="DQ103" i="2"/>
  <c r="DP103" i="2"/>
  <c r="DO103" i="2"/>
  <c r="DN103" i="2"/>
  <c r="DM103" i="2"/>
  <c r="DL103" i="2"/>
  <c r="DK103" i="2"/>
  <c r="DJ103" i="2"/>
  <c r="DI103" i="2"/>
  <c r="DH103" i="2"/>
  <c r="DG103" i="2"/>
  <c r="DF103" i="2"/>
  <c r="DE103" i="2"/>
  <c r="DD103" i="2"/>
  <c r="DC103" i="2"/>
  <c r="DB103" i="2"/>
  <c r="DA103" i="2"/>
  <c r="CZ103" i="2"/>
  <c r="CY103" i="2"/>
  <c r="CX103" i="2"/>
  <c r="CW103" i="2"/>
  <c r="CV103" i="2"/>
  <c r="CU103" i="2"/>
  <c r="CT103" i="2"/>
  <c r="CS103" i="2"/>
  <c r="CR103" i="2"/>
  <c r="CQ103" i="2"/>
  <c r="CP103" i="2"/>
  <c r="CO103" i="2"/>
  <c r="CN103" i="2"/>
  <c r="CM103" i="2"/>
  <c r="CL103" i="2"/>
  <c r="CK103" i="2"/>
  <c r="CJ103" i="2"/>
  <c r="CI103" i="2"/>
  <c r="CH103" i="2"/>
  <c r="CG103" i="2"/>
  <c r="CF103" i="2"/>
  <c r="CE103" i="2"/>
  <c r="CD103" i="2"/>
  <c r="CC103" i="2"/>
  <c r="CB103" i="2"/>
  <c r="CA103" i="2"/>
  <c r="BZ103" i="2"/>
  <c r="BY103" i="2"/>
  <c r="BX103" i="2"/>
  <c r="BW103" i="2"/>
  <c r="BV103" i="2"/>
  <c r="BU103" i="2"/>
  <c r="BT103" i="2"/>
  <c r="BS103" i="2"/>
  <c r="BR103" i="2"/>
  <c r="BQ103" i="2"/>
  <c r="BP103" i="2"/>
  <c r="BO103" i="2"/>
  <c r="BN103" i="2"/>
  <c r="BM103" i="2"/>
  <c r="BL103" i="2"/>
  <c r="BK103" i="2"/>
  <c r="BJ103" i="2"/>
  <c r="BI103" i="2"/>
  <c r="BH103" i="2"/>
  <c r="BG103" i="2"/>
  <c r="BF103" i="2"/>
  <c r="BE103" i="2"/>
  <c r="BD103" i="2"/>
  <c r="BC103" i="2"/>
  <c r="BB103" i="2"/>
  <c r="BA103" i="2"/>
  <c r="AZ103" i="2"/>
  <c r="AY103" i="2"/>
  <c r="AX103" i="2"/>
  <c r="AW103" i="2"/>
  <c r="AV103" i="2"/>
  <c r="AU103" i="2"/>
  <c r="AT103" i="2"/>
  <c r="AS103" i="2"/>
  <c r="AR103" i="2"/>
  <c r="AQ103" i="2"/>
  <c r="AP103" i="2"/>
  <c r="AO103" i="2"/>
  <c r="AN103" i="2"/>
  <c r="AM103" i="2"/>
  <c r="AL103" i="2"/>
  <c r="AK103" i="2"/>
  <c r="AJ103" i="2"/>
  <c r="AI103" i="2"/>
  <c r="AH103" i="2"/>
  <c r="AG103" i="2"/>
  <c r="AF103" i="2"/>
  <c r="AE103" i="2"/>
  <c r="AD103" i="2"/>
  <c r="AC103" i="2"/>
  <c r="AB103" i="2"/>
  <c r="AA103" i="2"/>
  <c r="Z103" i="2"/>
  <c r="Y103" i="2"/>
  <c r="X103" i="2"/>
  <c r="W103" i="2"/>
  <c r="V103" i="2"/>
  <c r="U103" i="2"/>
  <c r="T103" i="2"/>
  <c r="S103" i="2"/>
  <c r="R103" i="2"/>
  <c r="Q103" i="2"/>
  <c r="P103" i="2"/>
  <c r="O103" i="2"/>
  <c r="N103" i="2"/>
  <c r="M103" i="2"/>
  <c r="L103" i="2"/>
  <c r="K103" i="2"/>
  <c r="J103" i="2"/>
  <c r="I103" i="2"/>
  <c r="H103" i="2"/>
  <c r="G103" i="2"/>
  <c r="E103" i="2"/>
  <c r="D103" i="2"/>
  <c r="C103" i="2"/>
  <c r="AU101" i="2"/>
  <c r="AT101" i="2"/>
  <c r="AS101" i="2"/>
  <c r="AR101" i="2"/>
  <c r="AQ101" i="2"/>
  <c r="AP101" i="2"/>
  <c r="AO101" i="2"/>
  <c r="AN101" i="2"/>
  <c r="AM101" i="2"/>
  <c r="AL101" i="2"/>
  <c r="AK101" i="2"/>
  <c r="AJ101" i="2"/>
  <c r="AI101" i="2"/>
  <c r="AH101" i="2"/>
  <c r="AG101" i="2"/>
  <c r="AF101" i="2"/>
  <c r="AE101" i="2"/>
  <c r="AD101" i="2"/>
  <c r="AC101" i="2"/>
  <c r="AB101" i="2"/>
  <c r="AA101" i="2"/>
  <c r="Z101" i="2"/>
  <c r="Y101" i="2"/>
  <c r="X101" i="2"/>
  <c r="W101" i="2"/>
  <c r="V101" i="2"/>
  <c r="U101" i="2"/>
  <c r="T101" i="2"/>
  <c r="S101" i="2"/>
  <c r="R101" i="2"/>
  <c r="Q101" i="2"/>
  <c r="P101" i="2"/>
  <c r="O101" i="2"/>
  <c r="N101" i="2"/>
  <c r="M101" i="2"/>
  <c r="L101" i="2"/>
  <c r="K101" i="2"/>
  <c r="J101" i="2"/>
  <c r="I101" i="2"/>
  <c r="H101" i="2"/>
  <c r="G101" i="2"/>
  <c r="E101" i="2"/>
  <c r="D101" i="2"/>
  <c r="C101" i="2"/>
  <c r="DR99" i="2"/>
  <c r="DQ99" i="2"/>
  <c r="DP99" i="2"/>
  <c r="DO99" i="2"/>
  <c r="DN99" i="2"/>
  <c r="DM99" i="2"/>
  <c r="DL99" i="2"/>
  <c r="DK99" i="2"/>
  <c r="DJ99" i="2"/>
  <c r="DI99" i="2"/>
  <c r="DH99" i="2"/>
  <c r="DG99" i="2"/>
  <c r="DF99" i="2"/>
  <c r="DE99" i="2"/>
  <c r="DD99" i="2"/>
  <c r="DC99" i="2"/>
  <c r="DB99" i="2"/>
  <c r="DA99" i="2"/>
  <c r="CZ99" i="2"/>
  <c r="CY99" i="2"/>
  <c r="CX99" i="2"/>
  <c r="CW99" i="2"/>
  <c r="CV99" i="2"/>
  <c r="CU99" i="2"/>
  <c r="CT99" i="2"/>
  <c r="CS99" i="2"/>
  <c r="CR99" i="2"/>
  <c r="CQ99" i="2"/>
  <c r="CP99" i="2"/>
  <c r="CO99" i="2"/>
  <c r="CN99" i="2"/>
  <c r="CM99" i="2"/>
  <c r="CL99" i="2"/>
  <c r="CK99" i="2"/>
  <c r="CJ99" i="2"/>
  <c r="CI99" i="2"/>
  <c r="CH99" i="2"/>
  <c r="CG99" i="2"/>
  <c r="CF99" i="2"/>
  <c r="CE99" i="2"/>
  <c r="CD99" i="2"/>
  <c r="CC99" i="2"/>
  <c r="CB99" i="2"/>
  <c r="CA99" i="2"/>
  <c r="BZ99" i="2"/>
  <c r="BY99" i="2"/>
  <c r="BX99" i="2"/>
  <c r="BW99" i="2"/>
  <c r="BV99" i="2"/>
  <c r="BU99" i="2"/>
  <c r="BT99" i="2"/>
  <c r="BS99" i="2"/>
  <c r="BR99" i="2"/>
  <c r="BQ99" i="2"/>
  <c r="BP99" i="2"/>
  <c r="BO99" i="2"/>
  <c r="BN99" i="2"/>
  <c r="BM99" i="2"/>
  <c r="BL99" i="2"/>
  <c r="BK99" i="2"/>
  <c r="BJ99" i="2"/>
  <c r="BI99" i="2"/>
  <c r="BH99" i="2"/>
  <c r="BG99" i="2"/>
  <c r="BF99" i="2"/>
  <c r="BE99" i="2"/>
  <c r="BD99" i="2"/>
  <c r="BC99" i="2"/>
  <c r="BB99" i="2"/>
  <c r="BA99" i="2"/>
  <c r="AZ99" i="2"/>
  <c r="AY99" i="2"/>
  <c r="AX99" i="2"/>
  <c r="AW99" i="2"/>
  <c r="AV99" i="2"/>
  <c r="AU99" i="2"/>
  <c r="AT99" i="2"/>
  <c r="AS99" i="2"/>
  <c r="AR99" i="2"/>
  <c r="AQ99" i="2"/>
  <c r="AP99" i="2"/>
  <c r="AO99" i="2"/>
  <c r="AN99" i="2"/>
  <c r="AM99" i="2"/>
  <c r="AL99" i="2"/>
  <c r="AK99" i="2"/>
  <c r="AJ99" i="2"/>
  <c r="AI99" i="2"/>
  <c r="AH99" i="2"/>
  <c r="AG99" i="2"/>
  <c r="AF99" i="2"/>
  <c r="AE99" i="2"/>
  <c r="AD99" i="2"/>
  <c r="AC99" i="2"/>
  <c r="AB99" i="2"/>
  <c r="AA99" i="2"/>
  <c r="Z99" i="2"/>
  <c r="Y99" i="2"/>
  <c r="X99" i="2"/>
  <c r="W99" i="2"/>
  <c r="V99" i="2"/>
  <c r="U99" i="2"/>
  <c r="T99" i="2"/>
  <c r="S99" i="2"/>
  <c r="R99" i="2"/>
  <c r="Q99" i="2"/>
  <c r="P99" i="2"/>
  <c r="O99" i="2"/>
  <c r="N99" i="2"/>
  <c r="M99" i="2"/>
  <c r="L99" i="2"/>
  <c r="K99" i="2"/>
  <c r="J99" i="2"/>
  <c r="I99" i="2"/>
  <c r="H99" i="2"/>
  <c r="G99" i="2"/>
  <c r="E99" i="2"/>
  <c r="D99" i="2"/>
  <c r="C99" i="2"/>
  <c r="DR97" i="2"/>
  <c r="DQ97" i="2"/>
  <c r="DP97" i="2"/>
  <c r="DO97" i="2"/>
  <c r="DN97" i="2"/>
  <c r="DM97" i="2"/>
  <c r="DL97" i="2"/>
  <c r="DK97" i="2"/>
  <c r="DJ97" i="2"/>
  <c r="DI97" i="2"/>
  <c r="DH97" i="2"/>
  <c r="DG97" i="2"/>
  <c r="DF97" i="2"/>
  <c r="DE97" i="2"/>
  <c r="DD97" i="2"/>
  <c r="DC97" i="2"/>
  <c r="DB97" i="2"/>
  <c r="DA97" i="2"/>
  <c r="CZ97" i="2"/>
  <c r="CY97" i="2"/>
  <c r="CX97" i="2"/>
  <c r="CW97" i="2"/>
  <c r="CV97" i="2"/>
  <c r="CU97" i="2"/>
  <c r="CT97" i="2"/>
  <c r="CS97" i="2"/>
  <c r="CR97" i="2"/>
  <c r="CQ97" i="2"/>
  <c r="CP97" i="2"/>
  <c r="CO97" i="2"/>
  <c r="CN97" i="2"/>
  <c r="CM97" i="2"/>
  <c r="CL97" i="2"/>
  <c r="CK97" i="2"/>
  <c r="CJ97" i="2"/>
  <c r="CI97" i="2"/>
  <c r="CH97" i="2"/>
  <c r="CG97" i="2"/>
  <c r="CF97" i="2"/>
  <c r="CE97" i="2"/>
  <c r="CD97" i="2"/>
  <c r="CC97" i="2"/>
  <c r="CB97" i="2"/>
  <c r="CA97" i="2"/>
  <c r="BZ97" i="2"/>
  <c r="BY97" i="2"/>
  <c r="BX97" i="2"/>
  <c r="BW97" i="2"/>
  <c r="BV97" i="2"/>
  <c r="BU97" i="2"/>
  <c r="BT97" i="2"/>
  <c r="BS97" i="2"/>
  <c r="BR97" i="2"/>
  <c r="BQ97" i="2"/>
  <c r="BP97" i="2"/>
  <c r="BO97" i="2"/>
  <c r="BN97" i="2"/>
  <c r="BM97" i="2"/>
  <c r="BL97" i="2"/>
  <c r="BK97" i="2"/>
  <c r="BJ97" i="2"/>
  <c r="BI97" i="2"/>
  <c r="BH97" i="2"/>
  <c r="BG97" i="2"/>
  <c r="BF97" i="2"/>
  <c r="BE97" i="2"/>
  <c r="BD97" i="2"/>
  <c r="BC97" i="2"/>
  <c r="BB97" i="2"/>
  <c r="BA97" i="2"/>
  <c r="AZ97" i="2"/>
  <c r="AY97" i="2"/>
  <c r="AX97" i="2"/>
  <c r="AW97" i="2"/>
  <c r="AV97" i="2"/>
  <c r="AU97" i="2"/>
  <c r="AT97" i="2"/>
  <c r="AS97" i="2"/>
  <c r="AR97" i="2"/>
  <c r="AQ97" i="2"/>
  <c r="AP97" i="2"/>
  <c r="AO97" i="2"/>
  <c r="AN97" i="2"/>
  <c r="AM97" i="2"/>
  <c r="AL97" i="2"/>
  <c r="AK97" i="2"/>
  <c r="AJ97" i="2"/>
  <c r="AI97" i="2"/>
  <c r="AH97" i="2"/>
  <c r="AG97" i="2"/>
  <c r="AF97" i="2"/>
  <c r="AE97" i="2"/>
  <c r="AD97" i="2"/>
  <c r="AC97" i="2"/>
  <c r="AB97" i="2"/>
  <c r="AA97" i="2"/>
  <c r="Z97" i="2"/>
  <c r="Y97" i="2"/>
  <c r="X97" i="2"/>
  <c r="W97" i="2"/>
  <c r="V97" i="2"/>
  <c r="U97" i="2"/>
  <c r="T97" i="2"/>
  <c r="S97" i="2"/>
  <c r="R97" i="2"/>
  <c r="Q97" i="2"/>
  <c r="P97" i="2"/>
  <c r="O97" i="2"/>
  <c r="N97" i="2"/>
  <c r="M97" i="2"/>
  <c r="L97" i="2"/>
  <c r="K97" i="2"/>
  <c r="J97" i="2"/>
  <c r="I97" i="2"/>
  <c r="H97" i="2"/>
  <c r="G97" i="2"/>
  <c r="E97" i="2"/>
  <c r="D97" i="2"/>
  <c r="C97" i="2"/>
  <c r="DR91" i="2"/>
  <c r="DQ91" i="2"/>
  <c r="DP91" i="2"/>
  <c r="DO91" i="2"/>
  <c r="DN91" i="2"/>
  <c r="DM91" i="2"/>
  <c r="DL91" i="2"/>
  <c r="DK91" i="2"/>
  <c r="DJ91" i="2"/>
  <c r="DI91" i="2"/>
  <c r="DH91" i="2"/>
  <c r="DG91" i="2"/>
  <c r="DF91" i="2"/>
  <c r="DE91" i="2"/>
  <c r="DD91" i="2"/>
  <c r="DC91" i="2"/>
  <c r="DB91" i="2"/>
  <c r="DA91" i="2"/>
  <c r="CZ91" i="2"/>
  <c r="CY91" i="2"/>
  <c r="CX91" i="2"/>
  <c r="CW91" i="2"/>
  <c r="CV91" i="2"/>
  <c r="CU91" i="2"/>
  <c r="CT91" i="2"/>
  <c r="CS91" i="2"/>
  <c r="CR91" i="2"/>
  <c r="CQ91" i="2"/>
  <c r="CP91" i="2"/>
  <c r="CO91" i="2"/>
  <c r="CN91" i="2"/>
  <c r="CM91" i="2"/>
  <c r="CL91" i="2"/>
  <c r="CK91" i="2"/>
  <c r="CJ91" i="2"/>
  <c r="CI91" i="2"/>
  <c r="CH91" i="2"/>
  <c r="CG91" i="2"/>
  <c r="CF91" i="2"/>
  <c r="CE91" i="2"/>
  <c r="CD91" i="2"/>
  <c r="CC91" i="2"/>
  <c r="CB91" i="2"/>
  <c r="CA91" i="2"/>
  <c r="BZ91" i="2"/>
  <c r="BY91" i="2"/>
  <c r="BX91" i="2"/>
  <c r="BW91" i="2"/>
  <c r="BV91" i="2"/>
  <c r="BU91" i="2"/>
  <c r="BT91" i="2"/>
  <c r="BS91" i="2"/>
  <c r="BR91" i="2"/>
  <c r="BQ91" i="2"/>
  <c r="BP91" i="2"/>
  <c r="BO91" i="2"/>
  <c r="BN91" i="2"/>
  <c r="BM91" i="2"/>
  <c r="BL91" i="2"/>
  <c r="BK91" i="2"/>
  <c r="BJ91" i="2"/>
  <c r="BI91" i="2"/>
  <c r="BH91" i="2"/>
  <c r="BG91" i="2"/>
  <c r="BF91" i="2"/>
  <c r="BE91" i="2"/>
  <c r="BD91" i="2"/>
  <c r="BC91" i="2"/>
  <c r="BB91" i="2"/>
  <c r="BA91" i="2"/>
  <c r="AZ91" i="2"/>
  <c r="AY91" i="2"/>
  <c r="AX91" i="2"/>
  <c r="AW91" i="2"/>
  <c r="AV91" i="2"/>
  <c r="AU91" i="2"/>
  <c r="AT91" i="2"/>
  <c r="AS91" i="2"/>
  <c r="AR91" i="2"/>
  <c r="AQ91" i="2"/>
  <c r="AP91" i="2"/>
  <c r="AO91" i="2"/>
  <c r="AN91" i="2"/>
  <c r="AM91" i="2"/>
  <c r="AL91" i="2"/>
  <c r="AK91" i="2"/>
  <c r="AJ91" i="2"/>
  <c r="AI91" i="2"/>
  <c r="AH91" i="2"/>
  <c r="AG91" i="2"/>
  <c r="AF91" i="2"/>
  <c r="AE91" i="2"/>
  <c r="AD91" i="2"/>
  <c r="AC91" i="2"/>
  <c r="AB91" i="2"/>
  <c r="AA91" i="2"/>
  <c r="Z91" i="2"/>
  <c r="Y91" i="2"/>
  <c r="X91" i="2"/>
  <c r="W91" i="2"/>
  <c r="V91" i="2"/>
  <c r="U91" i="2"/>
  <c r="T91" i="2"/>
  <c r="S91" i="2"/>
  <c r="R91" i="2"/>
  <c r="Q91" i="2"/>
  <c r="P91" i="2"/>
  <c r="O91" i="2"/>
  <c r="N91" i="2"/>
  <c r="M91" i="2"/>
  <c r="L91" i="2"/>
  <c r="K91" i="2"/>
  <c r="J91" i="2"/>
  <c r="I91" i="2"/>
  <c r="H91" i="2"/>
  <c r="G91" i="2"/>
  <c r="E91" i="2"/>
  <c r="D91" i="2"/>
  <c r="C91" i="2"/>
  <c r="DR89" i="2"/>
  <c r="DQ89" i="2"/>
  <c r="DP89" i="2"/>
  <c r="DO89" i="2"/>
  <c r="DN89" i="2"/>
  <c r="DM89" i="2"/>
  <c r="DL89" i="2"/>
  <c r="DK89" i="2"/>
  <c r="DJ89" i="2"/>
  <c r="DI89" i="2"/>
  <c r="DH89" i="2"/>
  <c r="DG89" i="2"/>
  <c r="DF89" i="2"/>
  <c r="DE89" i="2"/>
  <c r="DD89" i="2"/>
  <c r="DC89" i="2"/>
  <c r="DB89" i="2"/>
  <c r="DA89" i="2"/>
  <c r="CZ89" i="2"/>
  <c r="CY89" i="2"/>
  <c r="CX89" i="2"/>
  <c r="CW89" i="2"/>
  <c r="CV89" i="2"/>
  <c r="CU89" i="2"/>
  <c r="CT89" i="2"/>
  <c r="CS89" i="2"/>
  <c r="CR89" i="2"/>
  <c r="CQ89" i="2"/>
  <c r="CP89" i="2"/>
  <c r="CO89" i="2"/>
  <c r="CN89" i="2"/>
  <c r="CM89" i="2"/>
  <c r="CL89" i="2"/>
  <c r="CK89" i="2"/>
  <c r="CJ89" i="2"/>
  <c r="CI89" i="2"/>
  <c r="CH89" i="2"/>
  <c r="CG89" i="2"/>
  <c r="CF89" i="2"/>
  <c r="CE89" i="2"/>
  <c r="CD89" i="2"/>
  <c r="CC89" i="2"/>
  <c r="CB89" i="2"/>
  <c r="CA89" i="2"/>
  <c r="BZ89" i="2"/>
  <c r="BY89" i="2"/>
  <c r="BX89" i="2"/>
  <c r="BW89" i="2"/>
  <c r="BV89" i="2"/>
  <c r="BU89" i="2"/>
  <c r="BT89" i="2"/>
  <c r="BS89" i="2"/>
  <c r="BR89" i="2"/>
  <c r="BQ89" i="2"/>
  <c r="BP89" i="2"/>
  <c r="BO89" i="2"/>
  <c r="BN89" i="2"/>
  <c r="BM89" i="2"/>
  <c r="BL89" i="2"/>
  <c r="BK89" i="2"/>
  <c r="BJ89" i="2"/>
  <c r="BI89" i="2"/>
  <c r="BH89" i="2"/>
  <c r="BG89" i="2"/>
  <c r="BF89" i="2"/>
  <c r="BE89" i="2"/>
  <c r="BD89" i="2"/>
  <c r="BC89" i="2"/>
  <c r="BB89" i="2"/>
  <c r="BA89" i="2"/>
  <c r="AZ89" i="2"/>
  <c r="AY89" i="2"/>
  <c r="AX89" i="2"/>
  <c r="AW89" i="2"/>
  <c r="AV89" i="2"/>
  <c r="AU89" i="2"/>
  <c r="AT89" i="2"/>
  <c r="AS89" i="2"/>
  <c r="AR89" i="2"/>
  <c r="AQ89" i="2"/>
  <c r="AP89" i="2"/>
  <c r="AO89" i="2"/>
  <c r="AN89" i="2"/>
  <c r="AM89" i="2"/>
  <c r="AL89" i="2"/>
  <c r="AK89" i="2"/>
  <c r="AJ89" i="2"/>
  <c r="AI89" i="2"/>
  <c r="AH89" i="2"/>
  <c r="AG89" i="2"/>
  <c r="AF89" i="2"/>
  <c r="AE89" i="2"/>
  <c r="AD89" i="2"/>
  <c r="AC89" i="2"/>
  <c r="AB89" i="2"/>
  <c r="AA89" i="2"/>
  <c r="Z89" i="2"/>
  <c r="Y89" i="2"/>
  <c r="X89" i="2"/>
  <c r="W89" i="2"/>
  <c r="V89" i="2"/>
  <c r="U89" i="2"/>
  <c r="T89" i="2"/>
  <c r="S89" i="2"/>
  <c r="R89" i="2"/>
  <c r="Q89" i="2"/>
  <c r="P89" i="2"/>
  <c r="O89" i="2"/>
  <c r="N89" i="2"/>
  <c r="M89" i="2"/>
  <c r="L89" i="2"/>
  <c r="K89" i="2"/>
  <c r="J89" i="2"/>
  <c r="I89" i="2"/>
  <c r="H89" i="2"/>
  <c r="G89" i="2"/>
  <c r="E89" i="2"/>
  <c r="D89" i="2"/>
  <c r="C89" i="2"/>
  <c r="AU86" i="2"/>
  <c r="AT86" i="2"/>
  <c r="AS86" i="2"/>
  <c r="AR86" i="2"/>
  <c r="AQ86" i="2"/>
  <c r="AP86" i="2"/>
  <c r="AO86" i="2"/>
  <c r="AN86" i="2"/>
  <c r="AM86" i="2"/>
  <c r="AL86" i="2"/>
  <c r="AK86" i="2"/>
  <c r="AJ86" i="2"/>
  <c r="AI86" i="2"/>
  <c r="AH86" i="2"/>
  <c r="AG86" i="2"/>
  <c r="AF86" i="2"/>
  <c r="AE86" i="2"/>
  <c r="AD86" i="2"/>
  <c r="AC86" i="2"/>
  <c r="AB86" i="2"/>
  <c r="AA86" i="2"/>
  <c r="Z86" i="2"/>
  <c r="Y86" i="2"/>
  <c r="X86" i="2"/>
  <c r="W86" i="2"/>
  <c r="V86" i="2"/>
  <c r="U86" i="2"/>
  <c r="T86" i="2"/>
  <c r="S86" i="2"/>
  <c r="R86" i="2"/>
  <c r="Q86" i="2"/>
  <c r="P86" i="2"/>
  <c r="O86" i="2"/>
  <c r="N86" i="2"/>
  <c r="M86" i="2"/>
  <c r="L86" i="2"/>
  <c r="K86" i="2"/>
  <c r="AU85" i="2"/>
  <c r="AT85" i="2"/>
  <c r="AS85" i="2"/>
  <c r="AR85" i="2"/>
  <c r="AQ85" i="2"/>
  <c r="AP85" i="2"/>
  <c r="AO85" i="2"/>
  <c r="AN85" i="2"/>
  <c r="AM85" i="2"/>
  <c r="AL85" i="2"/>
  <c r="AK85" i="2"/>
  <c r="AJ85" i="2"/>
  <c r="AI85" i="2"/>
  <c r="AH85" i="2"/>
  <c r="AG85" i="2"/>
  <c r="AF85" i="2"/>
  <c r="AE85" i="2"/>
  <c r="AD85" i="2"/>
  <c r="AC85" i="2"/>
  <c r="AB85" i="2"/>
  <c r="AA85" i="2"/>
  <c r="Z85" i="2"/>
  <c r="Y85" i="2"/>
  <c r="X85" i="2"/>
  <c r="W85" i="2"/>
  <c r="V85" i="2"/>
  <c r="U85" i="2"/>
  <c r="T85" i="2"/>
  <c r="S85" i="2"/>
  <c r="R85" i="2"/>
  <c r="Q85" i="2"/>
  <c r="P85" i="2"/>
  <c r="O85" i="2"/>
  <c r="N85" i="2"/>
  <c r="M85" i="2"/>
  <c r="L85" i="2"/>
  <c r="K85" i="2"/>
  <c r="DR84" i="2"/>
  <c r="DR85" i="2" s="1"/>
  <c r="DR86" i="2" s="1"/>
  <c r="DQ84" i="2"/>
  <c r="DQ85" i="2" s="1"/>
  <c r="DQ86" i="2" s="1"/>
  <c r="DP84" i="2"/>
  <c r="DP85" i="2" s="1"/>
  <c r="DP86" i="2" s="1"/>
  <c r="DO84" i="2"/>
  <c r="DO85" i="2" s="1"/>
  <c r="DO86" i="2" s="1"/>
  <c r="DN84" i="2"/>
  <c r="DN85" i="2" s="1"/>
  <c r="DN86" i="2" s="1"/>
  <c r="DM84" i="2"/>
  <c r="DM85" i="2" s="1"/>
  <c r="DM86" i="2" s="1"/>
  <c r="DL84" i="2"/>
  <c r="DL85" i="2" s="1"/>
  <c r="DL86" i="2" s="1"/>
  <c r="DK84" i="2"/>
  <c r="DK85" i="2" s="1"/>
  <c r="DK86" i="2" s="1"/>
  <c r="DJ84" i="2"/>
  <c r="DJ85" i="2" s="1"/>
  <c r="DJ86" i="2" s="1"/>
  <c r="DI84" i="2"/>
  <c r="DI85" i="2" s="1"/>
  <c r="DI86" i="2" s="1"/>
  <c r="DH84" i="2"/>
  <c r="DH85" i="2" s="1"/>
  <c r="DH86" i="2" s="1"/>
  <c r="DG84" i="2"/>
  <c r="DG85" i="2" s="1"/>
  <c r="DG86" i="2" s="1"/>
  <c r="DF84" i="2"/>
  <c r="DF85" i="2" s="1"/>
  <c r="DF86" i="2" s="1"/>
  <c r="DE84" i="2"/>
  <c r="DE85" i="2" s="1"/>
  <c r="DE86" i="2" s="1"/>
  <c r="DD84" i="2"/>
  <c r="DD85" i="2" s="1"/>
  <c r="DD86" i="2" s="1"/>
  <c r="DC84" i="2"/>
  <c r="DC85" i="2" s="1"/>
  <c r="DC86" i="2" s="1"/>
  <c r="DB84" i="2"/>
  <c r="DB85" i="2" s="1"/>
  <c r="DB86" i="2" s="1"/>
  <c r="DA84" i="2"/>
  <c r="DA85" i="2" s="1"/>
  <c r="DA86" i="2" s="1"/>
  <c r="CZ84" i="2"/>
  <c r="CZ85" i="2" s="1"/>
  <c r="CZ86" i="2" s="1"/>
  <c r="CY84" i="2"/>
  <c r="CY85" i="2" s="1"/>
  <c r="CY86" i="2" s="1"/>
  <c r="CX84" i="2"/>
  <c r="CX85" i="2" s="1"/>
  <c r="CX86" i="2" s="1"/>
  <c r="CW84" i="2"/>
  <c r="CW85" i="2" s="1"/>
  <c r="CW86" i="2" s="1"/>
  <c r="CV84" i="2"/>
  <c r="CV85" i="2" s="1"/>
  <c r="CV86" i="2" s="1"/>
  <c r="CU84" i="2"/>
  <c r="CU85" i="2" s="1"/>
  <c r="CU86" i="2" s="1"/>
  <c r="CT84" i="2"/>
  <c r="CT85" i="2" s="1"/>
  <c r="CT86" i="2" s="1"/>
  <c r="CS84" i="2"/>
  <c r="CS85" i="2" s="1"/>
  <c r="CS86" i="2" s="1"/>
  <c r="CR84" i="2"/>
  <c r="CR85" i="2" s="1"/>
  <c r="CR86" i="2" s="1"/>
  <c r="CQ84" i="2"/>
  <c r="CQ85" i="2" s="1"/>
  <c r="CQ86" i="2" s="1"/>
  <c r="CP84" i="2"/>
  <c r="CP85" i="2" s="1"/>
  <c r="CP86" i="2" s="1"/>
  <c r="CO84" i="2"/>
  <c r="CO85" i="2" s="1"/>
  <c r="CO86" i="2" s="1"/>
  <c r="CN84" i="2"/>
  <c r="CN85" i="2" s="1"/>
  <c r="CN86" i="2" s="1"/>
  <c r="CM84" i="2"/>
  <c r="CM85" i="2" s="1"/>
  <c r="CM86" i="2" s="1"/>
  <c r="CL84" i="2"/>
  <c r="CL85" i="2" s="1"/>
  <c r="CL86" i="2" s="1"/>
  <c r="CK84" i="2"/>
  <c r="CK85" i="2" s="1"/>
  <c r="CK86" i="2" s="1"/>
  <c r="CJ84" i="2"/>
  <c r="CJ85" i="2" s="1"/>
  <c r="CJ86" i="2" s="1"/>
  <c r="CI84" i="2"/>
  <c r="CI85" i="2" s="1"/>
  <c r="CI86" i="2" s="1"/>
  <c r="CH84" i="2"/>
  <c r="CH85" i="2" s="1"/>
  <c r="CH86" i="2" s="1"/>
  <c r="CG84" i="2"/>
  <c r="CG85" i="2" s="1"/>
  <c r="CG86" i="2" s="1"/>
  <c r="CF84" i="2"/>
  <c r="CF85" i="2" s="1"/>
  <c r="CF86" i="2" s="1"/>
  <c r="CE84" i="2"/>
  <c r="CE85" i="2" s="1"/>
  <c r="CE86" i="2" s="1"/>
  <c r="CD84" i="2"/>
  <c r="CD85" i="2" s="1"/>
  <c r="CD86" i="2" s="1"/>
  <c r="CC84" i="2"/>
  <c r="CC85" i="2" s="1"/>
  <c r="CC86" i="2" s="1"/>
  <c r="CB84" i="2"/>
  <c r="CB85" i="2" s="1"/>
  <c r="CB86" i="2" s="1"/>
  <c r="CA84" i="2"/>
  <c r="CA85" i="2" s="1"/>
  <c r="CA86" i="2" s="1"/>
  <c r="BZ84" i="2"/>
  <c r="BZ85" i="2" s="1"/>
  <c r="BZ86" i="2" s="1"/>
  <c r="BY84" i="2"/>
  <c r="BY85" i="2" s="1"/>
  <c r="BY86" i="2" s="1"/>
  <c r="BX84" i="2"/>
  <c r="BX85" i="2" s="1"/>
  <c r="BX86" i="2" s="1"/>
  <c r="BW84" i="2"/>
  <c r="BW85" i="2" s="1"/>
  <c r="BW86" i="2" s="1"/>
  <c r="BV84" i="2"/>
  <c r="BV85" i="2" s="1"/>
  <c r="BV86" i="2" s="1"/>
  <c r="BU84" i="2"/>
  <c r="BU85" i="2" s="1"/>
  <c r="BU86" i="2" s="1"/>
  <c r="BT84" i="2"/>
  <c r="BT85" i="2" s="1"/>
  <c r="BT86" i="2" s="1"/>
  <c r="BS84" i="2"/>
  <c r="BS85" i="2" s="1"/>
  <c r="BS86" i="2" s="1"/>
  <c r="BR84" i="2"/>
  <c r="BR85" i="2" s="1"/>
  <c r="BR86" i="2" s="1"/>
  <c r="BQ84" i="2"/>
  <c r="BQ85" i="2" s="1"/>
  <c r="BQ86" i="2" s="1"/>
  <c r="BP84" i="2"/>
  <c r="BP85" i="2" s="1"/>
  <c r="BP86" i="2" s="1"/>
  <c r="BO84" i="2"/>
  <c r="BO85" i="2" s="1"/>
  <c r="BO86" i="2" s="1"/>
  <c r="BN84" i="2"/>
  <c r="BN85" i="2" s="1"/>
  <c r="BN86" i="2" s="1"/>
  <c r="BM84" i="2"/>
  <c r="BM85" i="2" s="1"/>
  <c r="BM86" i="2" s="1"/>
  <c r="BL84" i="2"/>
  <c r="BL85" i="2" s="1"/>
  <c r="BL86" i="2" s="1"/>
  <c r="BK84" i="2"/>
  <c r="BK85" i="2" s="1"/>
  <c r="BK86" i="2" s="1"/>
  <c r="BJ84" i="2"/>
  <c r="BJ85" i="2" s="1"/>
  <c r="BJ86" i="2" s="1"/>
  <c r="BI84" i="2"/>
  <c r="BI85" i="2" s="1"/>
  <c r="BI86" i="2" s="1"/>
  <c r="BH84" i="2"/>
  <c r="BH85" i="2" s="1"/>
  <c r="BH86" i="2" s="1"/>
  <c r="BG84" i="2"/>
  <c r="BG85" i="2" s="1"/>
  <c r="BG86" i="2" s="1"/>
  <c r="BF84" i="2"/>
  <c r="BF85" i="2" s="1"/>
  <c r="BF86" i="2" s="1"/>
  <c r="BE84" i="2"/>
  <c r="BE85" i="2" s="1"/>
  <c r="BE86" i="2" s="1"/>
  <c r="BD84" i="2"/>
  <c r="BD85" i="2" s="1"/>
  <c r="BD86" i="2" s="1"/>
  <c r="BC84" i="2"/>
  <c r="BC85" i="2" s="1"/>
  <c r="BC86" i="2" s="1"/>
  <c r="BB84" i="2"/>
  <c r="BB85" i="2" s="1"/>
  <c r="BB86" i="2" s="1"/>
  <c r="BA84" i="2"/>
  <c r="BA85" i="2" s="1"/>
  <c r="BA86" i="2" s="1"/>
  <c r="AZ84" i="2"/>
  <c r="AZ85" i="2" s="1"/>
  <c r="AZ86" i="2" s="1"/>
  <c r="AY84" i="2"/>
  <c r="AY85" i="2" s="1"/>
  <c r="AY86" i="2" s="1"/>
  <c r="AX84" i="2"/>
  <c r="AX85" i="2" s="1"/>
  <c r="AX86" i="2" s="1"/>
  <c r="AW84" i="2"/>
  <c r="AW85" i="2" s="1"/>
  <c r="AW86" i="2" s="1"/>
  <c r="AV84" i="2"/>
  <c r="AV85" i="2" s="1"/>
  <c r="AV86" i="2" s="1"/>
  <c r="AU84" i="2"/>
  <c r="AT84" i="2"/>
  <c r="AS84" i="2"/>
  <c r="AR84" i="2"/>
  <c r="AQ84" i="2"/>
  <c r="AP84" i="2"/>
  <c r="AO84" i="2"/>
  <c r="AN84" i="2"/>
  <c r="AM84" i="2"/>
  <c r="AL84" i="2"/>
  <c r="AK84" i="2"/>
  <c r="AJ84" i="2"/>
  <c r="AI84" i="2"/>
  <c r="AH84" i="2"/>
  <c r="AG84" i="2"/>
  <c r="AF84" i="2"/>
  <c r="AE84" i="2"/>
  <c r="AD84" i="2"/>
  <c r="AC84" i="2"/>
  <c r="AB84" i="2"/>
  <c r="AA84" i="2"/>
  <c r="Z84" i="2"/>
  <c r="Y84" i="2"/>
  <c r="X84" i="2"/>
  <c r="W84" i="2"/>
  <c r="V84" i="2"/>
  <c r="U84" i="2"/>
  <c r="T84" i="2"/>
  <c r="S84" i="2"/>
  <c r="R84" i="2"/>
  <c r="Q84" i="2"/>
  <c r="P84" i="2"/>
  <c r="O84" i="2"/>
  <c r="N84" i="2"/>
  <c r="M84" i="2"/>
  <c r="L84" i="2"/>
  <c r="K84" i="2"/>
  <c r="DR80" i="2"/>
  <c r="DR81" i="2" s="1"/>
  <c r="DR82" i="2" s="1"/>
  <c r="DQ80" i="2"/>
  <c r="DQ81" i="2" s="1"/>
  <c r="DQ82" i="2" s="1"/>
  <c r="DP80" i="2"/>
  <c r="DP81" i="2" s="1"/>
  <c r="DP82" i="2" s="1"/>
  <c r="DO80" i="2"/>
  <c r="DO81" i="2" s="1"/>
  <c r="DO82" i="2" s="1"/>
  <c r="DN80" i="2"/>
  <c r="DN81" i="2" s="1"/>
  <c r="DN82" i="2" s="1"/>
  <c r="DM80" i="2"/>
  <c r="DM81" i="2" s="1"/>
  <c r="DM82" i="2" s="1"/>
  <c r="DL80" i="2"/>
  <c r="DL81" i="2" s="1"/>
  <c r="DL82" i="2" s="1"/>
  <c r="DK80" i="2"/>
  <c r="DK81" i="2" s="1"/>
  <c r="DK82" i="2" s="1"/>
  <c r="DJ80" i="2"/>
  <c r="DJ81" i="2" s="1"/>
  <c r="DJ82" i="2" s="1"/>
  <c r="DI80" i="2"/>
  <c r="DI81" i="2" s="1"/>
  <c r="DI82" i="2" s="1"/>
  <c r="DH80" i="2"/>
  <c r="DH81" i="2" s="1"/>
  <c r="DH82" i="2" s="1"/>
  <c r="DG80" i="2"/>
  <c r="DG81" i="2" s="1"/>
  <c r="DG82" i="2" s="1"/>
  <c r="DF80" i="2"/>
  <c r="DF81" i="2" s="1"/>
  <c r="DF82" i="2" s="1"/>
  <c r="DE80" i="2"/>
  <c r="DE81" i="2" s="1"/>
  <c r="DE82" i="2" s="1"/>
  <c r="DD80" i="2"/>
  <c r="DD81" i="2" s="1"/>
  <c r="DD82" i="2" s="1"/>
  <c r="DC80" i="2"/>
  <c r="DC81" i="2" s="1"/>
  <c r="DC82" i="2" s="1"/>
  <c r="DB80" i="2"/>
  <c r="DB81" i="2" s="1"/>
  <c r="DB82" i="2" s="1"/>
  <c r="DA80" i="2"/>
  <c r="DA81" i="2" s="1"/>
  <c r="DA82" i="2" s="1"/>
  <c r="CZ80" i="2"/>
  <c r="CZ81" i="2" s="1"/>
  <c r="CZ82" i="2" s="1"/>
  <c r="CY80" i="2"/>
  <c r="CY81" i="2" s="1"/>
  <c r="CY82" i="2" s="1"/>
  <c r="CX80" i="2"/>
  <c r="CX81" i="2" s="1"/>
  <c r="CX82" i="2" s="1"/>
  <c r="CW80" i="2"/>
  <c r="CW81" i="2" s="1"/>
  <c r="CW82" i="2" s="1"/>
  <c r="CV80" i="2"/>
  <c r="CV81" i="2" s="1"/>
  <c r="CV82" i="2" s="1"/>
  <c r="CU80" i="2"/>
  <c r="CU81" i="2" s="1"/>
  <c r="CU82" i="2" s="1"/>
  <c r="CT80" i="2"/>
  <c r="CT81" i="2" s="1"/>
  <c r="CT82" i="2" s="1"/>
  <c r="CS80" i="2"/>
  <c r="CS81" i="2" s="1"/>
  <c r="CS82" i="2" s="1"/>
  <c r="CR80" i="2"/>
  <c r="CR81" i="2" s="1"/>
  <c r="CR82" i="2" s="1"/>
  <c r="CQ80" i="2"/>
  <c r="CQ81" i="2" s="1"/>
  <c r="CQ82" i="2" s="1"/>
  <c r="CP80" i="2"/>
  <c r="CP81" i="2" s="1"/>
  <c r="CP82" i="2" s="1"/>
  <c r="CO80" i="2"/>
  <c r="CO81" i="2" s="1"/>
  <c r="CO82" i="2" s="1"/>
  <c r="CN80" i="2"/>
  <c r="CN81" i="2" s="1"/>
  <c r="CN82" i="2" s="1"/>
  <c r="CM80" i="2"/>
  <c r="CM81" i="2" s="1"/>
  <c r="CM82" i="2" s="1"/>
  <c r="CL80" i="2"/>
  <c r="CL81" i="2" s="1"/>
  <c r="CL82" i="2" s="1"/>
  <c r="CK80" i="2"/>
  <c r="CK81" i="2" s="1"/>
  <c r="CK82" i="2" s="1"/>
  <c r="CJ80" i="2"/>
  <c r="CJ81" i="2" s="1"/>
  <c r="CJ82" i="2" s="1"/>
  <c r="CI80" i="2"/>
  <c r="CI81" i="2" s="1"/>
  <c r="CI82" i="2" s="1"/>
  <c r="CH80" i="2"/>
  <c r="CH81" i="2" s="1"/>
  <c r="CH82" i="2" s="1"/>
  <c r="CG80" i="2"/>
  <c r="CG81" i="2" s="1"/>
  <c r="CG82" i="2" s="1"/>
  <c r="CF80" i="2"/>
  <c r="CF81" i="2" s="1"/>
  <c r="CF82" i="2" s="1"/>
  <c r="CE80" i="2"/>
  <c r="CE81" i="2" s="1"/>
  <c r="CE82" i="2" s="1"/>
  <c r="CD80" i="2"/>
  <c r="CD81" i="2" s="1"/>
  <c r="CD82" i="2" s="1"/>
  <c r="CC80" i="2"/>
  <c r="CC81" i="2" s="1"/>
  <c r="CC82" i="2" s="1"/>
  <c r="CB80" i="2"/>
  <c r="CB81" i="2" s="1"/>
  <c r="CB82" i="2" s="1"/>
  <c r="CA80" i="2"/>
  <c r="CA81" i="2" s="1"/>
  <c r="CA82" i="2" s="1"/>
  <c r="BZ80" i="2"/>
  <c r="BZ81" i="2" s="1"/>
  <c r="BZ82" i="2" s="1"/>
  <c r="BY80" i="2"/>
  <c r="BY81" i="2" s="1"/>
  <c r="BY82" i="2" s="1"/>
  <c r="BX80" i="2"/>
  <c r="BX81" i="2" s="1"/>
  <c r="BX82" i="2" s="1"/>
  <c r="BW80" i="2"/>
  <c r="BW81" i="2" s="1"/>
  <c r="BW82" i="2" s="1"/>
  <c r="BV80" i="2"/>
  <c r="BV81" i="2" s="1"/>
  <c r="BV82" i="2" s="1"/>
  <c r="BU80" i="2"/>
  <c r="BU81" i="2" s="1"/>
  <c r="BU82" i="2" s="1"/>
  <c r="BT80" i="2"/>
  <c r="BT81" i="2" s="1"/>
  <c r="BT82" i="2" s="1"/>
  <c r="BS80" i="2"/>
  <c r="BS81" i="2" s="1"/>
  <c r="BS82" i="2" s="1"/>
  <c r="BR80" i="2"/>
  <c r="BR81" i="2" s="1"/>
  <c r="BR82" i="2" s="1"/>
  <c r="BQ80" i="2"/>
  <c r="BQ81" i="2" s="1"/>
  <c r="BQ82" i="2" s="1"/>
  <c r="BP80" i="2"/>
  <c r="BP81" i="2" s="1"/>
  <c r="BP82" i="2" s="1"/>
  <c r="BO80" i="2"/>
  <c r="BO81" i="2" s="1"/>
  <c r="BO82" i="2" s="1"/>
  <c r="BN80" i="2"/>
  <c r="BN81" i="2" s="1"/>
  <c r="BN82" i="2" s="1"/>
  <c r="BM80" i="2"/>
  <c r="BM81" i="2" s="1"/>
  <c r="BM82" i="2" s="1"/>
  <c r="BL80" i="2"/>
  <c r="BL81" i="2" s="1"/>
  <c r="BL82" i="2" s="1"/>
  <c r="BK80" i="2"/>
  <c r="BK81" i="2" s="1"/>
  <c r="BK82" i="2" s="1"/>
  <c r="BJ80" i="2"/>
  <c r="BJ81" i="2" s="1"/>
  <c r="BJ82" i="2" s="1"/>
  <c r="BI80" i="2"/>
  <c r="BI81" i="2" s="1"/>
  <c r="BI82" i="2" s="1"/>
  <c r="BH80" i="2"/>
  <c r="BH81" i="2" s="1"/>
  <c r="BH82" i="2" s="1"/>
  <c r="BG80" i="2"/>
  <c r="BG81" i="2" s="1"/>
  <c r="BG82" i="2" s="1"/>
  <c r="BF80" i="2"/>
  <c r="BF81" i="2" s="1"/>
  <c r="BF82" i="2" s="1"/>
  <c r="BE80" i="2"/>
  <c r="BE81" i="2" s="1"/>
  <c r="BE82" i="2" s="1"/>
  <c r="BD80" i="2"/>
  <c r="BD81" i="2" s="1"/>
  <c r="BD82" i="2" s="1"/>
  <c r="BC80" i="2"/>
  <c r="BC81" i="2" s="1"/>
  <c r="BC82" i="2" s="1"/>
  <c r="BB80" i="2"/>
  <c r="BB81" i="2" s="1"/>
  <c r="BB82" i="2" s="1"/>
  <c r="BA80" i="2"/>
  <c r="BA81" i="2" s="1"/>
  <c r="BA82" i="2" s="1"/>
  <c r="AZ80" i="2"/>
  <c r="AZ81" i="2" s="1"/>
  <c r="AZ82" i="2" s="1"/>
  <c r="AY80" i="2"/>
  <c r="AY81" i="2" s="1"/>
  <c r="AY82" i="2" s="1"/>
  <c r="AX80" i="2"/>
  <c r="AX81" i="2" s="1"/>
  <c r="AX82" i="2" s="1"/>
  <c r="AW80" i="2"/>
  <c r="AW81" i="2" s="1"/>
  <c r="AW82" i="2" s="1"/>
  <c r="AV80" i="2"/>
  <c r="AV81" i="2" s="1"/>
  <c r="AV82" i="2" s="1"/>
  <c r="AU80" i="2"/>
  <c r="AU81" i="2" s="1"/>
  <c r="AU82" i="2" s="1"/>
  <c r="AT80" i="2"/>
  <c r="AT81" i="2" s="1"/>
  <c r="AT82" i="2" s="1"/>
  <c r="AS80" i="2"/>
  <c r="AS81" i="2" s="1"/>
  <c r="AS82" i="2" s="1"/>
  <c r="AR80" i="2"/>
  <c r="AR81" i="2" s="1"/>
  <c r="AR82" i="2" s="1"/>
  <c r="AQ80" i="2"/>
  <c r="AQ81" i="2" s="1"/>
  <c r="AQ82" i="2" s="1"/>
  <c r="AP80" i="2"/>
  <c r="AP81" i="2" s="1"/>
  <c r="AP82" i="2" s="1"/>
  <c r="AO80" i="2"/>
  <c r="AO81" i="2" s="1"/>
  <c r="AO82" i="2" s="1"/>
  <c r="AN80" i="2"/>
  <c r="AN81" i="2" s="1"/>
  <c r="AN82" i="2" s="1"/>
  <c r="AM80" i="2"/>
  <c r="AM81" i="2" s="1"/>
  <c r="AM82" i="2" s="1"/>
  <c r="AL80" i="2"/>
  <c r="AL81" i="2" s="1"/>
  <c r="AL82" i="2" s="1"/>
  <c r="AK80" i="2"/>
  <c r="AK81" i="2" s="1"/>
  <c r="AK82" i="2" s="1"/>
  <c r="AJ80" i="2"/>
  <c r="AJ81" i="2" s="1"/>
  <c r="AJ82" i="2" s="1"/>
  <c r="AI80" i="2"/>
  <c r="AI81" i="2" s="1"/>
  <c r="AI82" i="2" s="1"/>
  <c r="AH80" i="2"/>
  <c r="AH81" i="2" s="1"/>
  <c r="AH82" i="2" s="1"/>
  <c r="AG80" i="2"/>
  <c r="AG81" i="2" s="1"/>
  <c r="AG82" i="2" s="1"/>
  <c r="AF80" i="2"/>
  <c r="AF81" i="2" s="1"/>
  <c r="AF82" i="2" s="1"/>
  <c r="AE80" i="2"/>
  <c r="AE81" i="2" s="1"/>
  <c r="AE82" i="2" s="1"/>
  <c r="AD80" i="2"/>
  <c r="AD81" i="2" s="1"/>
  <c r="AD82" i="2" s="1"/>
  <c r="AC80" i="2"/>
  <c r="AC81" i="2" s="1"/>
  <c r="AC82" i="2" s="1"/>
  <c r="AB80" i="2"/>
  <c r="AB81" i="2" s="1"/>
  <c r="AB82" i="2" s="1"/>
  <c r="AA80" i="2"/>
  <c r="AA81" i="2" s="1"/>
  <c r="AA82" i="2" s="1"/>
  <c r="Z80" i="2"/>
  <c r="Z81" i="2" s="1"/>
  <c r="Z82" i="2" s="1"/>
  <c r="Y80" i="2"/>
  <c r="Y81" i="2" s="1"/>
  <c r="Y82" i="2" s="1"/>
  <c r="X80" i="2"/>
  <c r="X81" i="2" s="1"/>
  <c r="X82" i="2" s="1"/>
  <c r="W80" i="2"/>
  <c r="W81" i="2" s="1"/>
  <c r="W82" i="2" s="1"/>
  <c r="V80" i="2"/>
  <c r="V81" i="2" s="1"/>
  <c r="V82" i="2" s="1"/>
  <c r="U80" i="2"/>
  <c r="U81" i="2" s="1"/>
  <c r="U82" i="2" s="1"/>
  <c r="T80" i="2"/>
  <c r="T81" i="2" s="1"/>
  <c r="T82" i="2" s="1"/>
  <c r="S80" i="2"/>
  <c r="S81" i="2" s="1"/>
  <c r="S82" i="2" s="1"/>
  <c r="R80" i="2"/>
  <c r="R81" i="2" s="1"/>
  <c r="R82" i="2" s="1"/>
  <c r="Q80" i="2"/>
  <c r="Q81" i="2" s="1"/>
  <c r="Q82" i="2" s="1"/>
  <c r="P80" i="2"/>
  <c r="P81" i="2" s="1"/>
  <c r="P82" i="2" s="1"/>
  <c r="O80" i="2"/>
  <c r="O81" i="2" s="1"/>
  <c r="O82" i="2" s="1"/>
  <c r="N80" i="2"/>
  <c r="N81" i="2" s="1"/>
  <c r="N82" i="2" s="1"/>
  <c r="M80" i="2"/>
  <c r="M81" i="2" s="1"/>
  <c r="M82" i="2" s="1"/>
  <c r="L80" i="2"/>
  <c r="L81" i="2" s="1"/>
  <c r="L82" i="2" s="1"/>
  <c r="K80" i="2"/>
  <c r="K81" i="2" s="1"/>
  <c r="K82" i="2" s="1"/>
  <c r="J80" i="2"/>
  <c r="J81" i="2" s="1"/>
  <c r="J82" i="2" s="1"/>
  <c r="C80" i="2"/>
  <c r="C81" i="2" s="1"/>
  <c r="C82" i="2" s="1"/>
  <c r="DR75" i="2"/>
  <c r="DR76" i="2" s="1"/>
  <c r="DQ75" i="2"/>
  <c r="DQ76" i="2" s="1"/>
  <c r="DP75" i="2"/>
  <c r="DP76" i="2" s="1"/>
  <c r="DO75" i="2"/>
  <c r="DO76" i="2" s="1"/>
  <c r="DN75" i="2"/>
  <c r="DN76" i="2" s="1"/>
  <c r="DM75" i="2"/>
  <c r="DM76" i="2" s="1"/>
  <c r="DL75" i="2"/>
  <c r="DL76" i="2" s="1"/>
  <c r="DK75" i="2"/>
  <c r="DK76" i="2" s="1"/>
  <c r="DJ75" i="2"/>
  <c r="DJ76" i="2" s="1"/>
  <c r="DI75" i="2"/>
  <c r="DI76" i="2" s="1"/>
  <c r="DH75" i="2"/>
  <c r="DH76" i="2" s="1"/>
  <c r="DG75" i="2"/>
  <c r="DG76" i="2" s="1"/>
  <c r="DF75" i="2"/>
  <c r="DF76" i="2" s="1"/>
  <c r="DE75" i="2"/>
  <c r="DE76" i="2" s="1"/>
  <c r="DD75" i="2"/>
  <c r="DD76" i="2" s="1"/>
  <c r="DC75" i="2"/>
  <c r="DC76" i="2" s="1"/>
  <c r="DB75" i="2"/>
  <c r="DB76" i="2" s="1"/>
  <c r="DA75" i="2"/>
  <c r="DA76" i="2" s="1"/>
  <c r="CZ75" i="2"/>
  <c r="CZ76" i="2" s="1"/>
  <c r="CY75" i="2"/>
  <c r="CY76" i="2" s="1"/>
  <c r="CX75" i="2"/>
  <c r="CX76" i="2" s="1"/>
  <c r="CW75" i="2"/>
  <c r="CW76" i="2" s="1"/>
  <c r="CV75" i="2"/>
  <c r="CV76" i="2" s="1"/>
  <c r="CU75" i="2"/>
  <c r="CU76" i="2" s="1"/>
  <c r="CT75" i="2"/>
  <c r="CT76" i="2" s="1"/>
  <c r="CS75" i="2"/>
  <c r="CS76" i="2" s="1"/>
  <c r="CR75" i="2"/>
  <c r="CR76" i="2" s="1"/>
  <c r="CQ75" i="2"/>
  <c r="CQ76" i="2" s="1"/>
  <c r="CP75" i="2"/>
  <c r="CP76" i="2" s="1"/>
  <c r="CO75" i="2"/>
  <c r="CO76" i="2" s="1"/>
  <c r="CN75" i="2"/>
  <c r="CN76" i="2" s="1"/>
  <c r="CM75" i="2"/>
  <c r="CM76" i="2" s="1"/>
  <c r="CL75" i="2"/>
  <c r="CL76" i="2" s="1"/>
  <c r="CK75" i="2"/>
  <c r="CK76" i="2" s="1"/>
  <c r="CJ75" i="2"/>
  <c r="CJ76" i="2" s="1"/>
  <c r="CI75" i="2"/>
  <c r="CI76" i="2" s="1"/>
  <c r="CH75" i="2"/>
  <c r="CH76" i="2" s="1"/>
  <c r="Y75" i="2"/>
  <c r="Y76" i="2" s="1"/>
  <c r="Y77" i="2" s="1"/>
  <c r="Y78" i="2" s="1"/>
  <c r="W75" i="2"/>
  <c r="W76" i="2" s="1"/>
  <c r="W77" i="2" s="1"/>
  <c r="W78" i="2" s="1"/>
  <c r="U75" i="2"/>
  <c r="U76" i="2" s="1"/>
  <c r="U77" i="2" s="1"/>
  <c r="U78" i="2" s="1"/>
  <c r="S75" i="2"/>
  <c r="S76" i="2" s="1"/>
  <c r="S77" i="2" s="1"/>
  <c r="S78" i="2" s="1"/>
  <c r="Q75" i="2"/>
  <c r="Q76" i="2" s="1"/>
  <c r="Q77" i="2" s="1"/>
  <c r="Q78" i="2" s="1"/>
  <c r="O75" i="2"/>
  <c r="O76" i="2" s="1"/>
  <c r="O77" i="2" s="1"/>
  <c r="O78" i="2" s="1"/>
  <c r="M75" i="2"/>
  <c r="M76" i="2" s="1"/>
  <c r="M77" i="2" s="1"/>
  <c r="M78" i="2" s="1"/>
  <c r="K75" i="2"/>
  <c r="K76" i="2" s="1"/>
  <c r="K77" i="2" s="1"/>
  <c r="K78" i="2" s="1"/>
  <c r="J75" i="2"/>
  <c r="J76" i="2" s="1"/>
  <c r="J77" i="2" s="1"/>
  <c r="J78" i="2" s="1"/>
  <c r="AV74" i="2"/>
  <c r="AV75" i="2" s="1"/>
  <c r="AV76" i="2" s="1"/>
  <c r="AV77" i="2" s="1"/>
  <c r="AV78" i="2" s="1"/>
  <c r="C74" i="2"/>
  <c r="C75" i="2" s="1"/>
  <c r="C76" i="2" s="1"/>
  <c r="C77" i="2" s="1"/>
  <c r="C78" i="2" s="1"/>
  <c r="J72" i="2"/>
  <c r="G72" i="2"/>
  <c r="DR71" i="2"/>
  <c r="DR72" i="2" s="1"/>
  <c r="DQ71" i="2"/>
  <c r="DQ72" i="2" s="1"/>
  <c r="DP71" i="2"/>
  <c r="DP72" i="2" s="1"/>
  <c r="DO71" i="2"/>
  <c r="DO72" i="2" s="1"/>
  <c r="DN71" i="2"/>
  <c r="DN72" i="2" s="1"/>
  <c r="DM71" i="2"/>
  <c r="DM72" i="2" s="1"/>
  <c r="DL71" i="2"/>
  <c r="DL72" i="2" s="1"/>
  <c r="DK71" i="2"/>
  <c r="DK72" i="2" s="1"/>
  <c r="DJ71" i="2"/>
  <c r="DJ72" i="2" s="1"/>
  <c r="DI71" i="2"/>
  <c r="DI72" i="2" s="1"/>
  <c r="DH71" i="2"/>
  <c r="DH72" i="2" s="1"/>
  <c r="DG71" i="2"/>
  <c r="DG72" i="2" s="1"/>
  <c r="DF71" i="2"/>
  <c r="DF72" i="2" s="1"/>
  <c r="DE71" i="2"/>
  <c r="DE72" i="2" s="1"/>
  <c r="DD71" i="2"/>
  <c r="DD72" i="2" s="1"/>
  <c r="DC71" i="2"/>
  <c r="DC72" i="2" s="1"/>
  <c r="DB71" i="2"/>
  <c r="DB72" i="2" s="1"/>
  <c r="DA71" i="2"/>
  <c r="DA72" i="2" s="1"/>
  <c r="CZ71" i="2"/>
  <c r="CZ72" i="2" s="1"/>
  <c r="CY71" i="2"/>
  <c r="CY72" i="2" s="1"/>
  <c r="CX71" i="2"/>
  <c r="CX72" i="2" s="1"/>
  <c r="CW71" i="2"/>
  <c r="CW72" i="2" s="1"/>
  <c r="CV71" i="2"/>
  <c r="CV72" i="2" s="1"/>
  <c r="CU71" i="2"/>
  <c r="CU72" i="2" s="1"/>
  <c r="CT71" i="2"/>
  <c r="CT72" i="2" s="1"/>
  <c r="CS71" i="2"/>
  <c r="CS72" i="2" s="1"/>
  <c r="CR71" i="2"/>
  <c r="CR72" i="2" s="1"/>
  <c r="CQ71" i="2"/>
  <c r="CQ72" i="2" s="1"/>
  <c r="CP71" i="2"/>
  <c r="CP72" i="2" s="1"/>
  <c r="CO71" i="2"/>
  <c r="CO72" i="2" s="1"/>
  <c r="CN71" i="2"/>
  <c r="CN72" i="2" s="1"/>
  <c r="CM71" i="2"/>
  <c r="CM72" i="2" s="1"/>
  <c r="CL71" i="2"/>
  <c r="CL72" i="2" s="1"/>
  <c r="CK71" i="2"/>
  <c r="CK72" i="2" s="1"/>
  <c r="CJ71" i="2"/>
  <c r="CJ72" i="2" s="1"/>
  <c r="CI71" i="2"/>
  <c r="CI72" i="2" s="1"/>
  <c r="CH71" i="2"/>
  <c r="CH72" i="2" s="1"/>
  <c r="CG71" i="2"/>
  <c r="CG72" i="2" s="1"/>
  <c r="CF71" i="2"/>
  <c r="CF72" i="2" s="1"/>
  <c r="CE71" i="2"/>
  <c r="CE72" i="2" s="1"/>
  <c r="CD71" i="2"/>
  <c r="CD72" i="2" s="1"/>
  <c r="CC71" i="2"/>
  <c r="CC72" i="2" s="1"/>
  <c r="CB71" i="2"/>
  <c r="CB72" i="2" s="1"/>
  <c r="CA71" i="2"/>
  <c r="CA72" i="2" s="1"/>
  <c r="BZ71" i="2"/>
  <c r="BZ72" i="2" s="1"/>
  <c r="BY71" i="2"/>
  <c r="BY72" i="2" s="1"/>
  <c r="BX71" i="2"/>
  <c r="BX72" i="2" s="1"/>
  <c r="BW71" i="2"/>
  <c r="BW72" i="2" s="1"/>
  <c r="BV71" i="2"/>
  <c r="BV72" i="2" s="1"/>
  <c r="BU71" i="2"/>
  <c r="BU72" i="2" s="1"/>
  <c r="BT71" i="2"/>
  <c r="BT72" i="2" s="1"/>
  <c r="BS71" i="2"/>
  <c r="BS72" i="2" s="1"/>
  <c r="BR71" i="2"/>
  <c r="BR72" i="2" s="1"/>
  <c r="BQ71" i="2"/>
  <c r="BQ72" i="2" s="1"/>
  <c r="BP71" i="2"/>
  <c r="BP72" i="2" s="1"/>
  <c r="BO71" i="2"/>
  <c r="BO72" i="2" s="1"/>
  <c r="BN71" i="2"/>
  <c r="BN72" i="2" s="1"/>
  <c r="BM71" i="2"/>
  <c r="BM72" i="2" s="1"/>
  <c r="BL71" i="2"/>
  <c r="BL72" i="2" s="1"/>
  <c r="BK71" i="2"/>
  <c r="BK72" i="2" s="1"/>
  <c r="BJ71" i="2"/>
  <c r="BJ72" i="2" s="1"/>
  <c r="BI71" i="2"/>
  <c r="BI72" i="2" s="1"/>
  <c r="BH71" i="2"/>
  <c r="BH72" i="2" s="1"/>
  <c r="BG71" i="2"/>
  <c r="BG72" i="2" s="1"/>
  <c r="BF71" i="2"/>
  <c r="BF72" i="2" s="1"/>
  <c r="BE71" i="2"/>
  <c r="BE72" i="2" s="1"/>
  <c r="BD71" i="2"/>
  <c r="BD72" i="2" s="1"/>
  <c r="BC71" i="2"/>
  <c r="BC72" i="2" s="1"/>
  <c r="BB71" i="2"/>
  <c r="BB72" i="2" s="1"/>
  <c r="BA71" i="2"/>
  <c r="BA72" i="2" s="1"/>
  <c r="AZ71" i="2"/>
  <c r="AZ72" i="2" s="1"/>
  <c r="AY71" i="2"/>
  <c r="AY72" i="2" s="1"/>
  <c r="AX71" i="2"/>
  <c r="AX72" i="2" s="1"/>
  <c r="AW71" i="2"/>
  <c r="AW72" i="2" s="1"/>
  <c r="AV71" i="2"/>
  <c r="AV72" i="2" s="1"/>
  <c r="J71" i="2"/>
  <c r="G71" i="2"/>
  <c r="C71" i="2"/>
  <c r="C72" i="2" s="1"/>
  <c r="DR62" i="2"/>
  <c r="DR63" i="2" s="1"/>
  <c r="DR64" i="2" s="1"/>
  <c r="DR65" i="2" s="1"/>
  <c r="DR66" i="2" s="1"/>
  <c r="DR67" i="2" s="1"/>
  <c r="DR68" i="2" s="1"/>
  <c r="DQ62" i="2"/>
  <c r="DQ63" i="2" s="1"/>
  <c r="DQ64" i="2" s="1"/>
  <c r="DQ65" i="2" s="1"/>
  <c r="DQ66" i="2" s="1"/>
  <c r="DQ67" i="2" s="1"/>
  <c r="DQ68" i="2" s="1"/>
  <c r="DP62" i="2"/>
  <c r="DP63" i="2" s="1"/>
  <c r="DP64" i="2" s="1"/>
  <c r="DP65" i="2" s="1"/>
  <c r="DP66" i="2" s="1"/>
  <c r="DP67" i="2" s="1"/>
  <c r="DP68" i="2" s="1"/>
  <c r="DO62" i="2"/>
  <c r="DO63" i="2" s="1"/>
  <c r="DO64" i="2" s="1"/>
  <c r="DO65" i="2" s="1"/>
  <c r="DO66" i="2" s="1"/>
  <c r="DO67" i="2" s="1"/>
  <c r="DO68" i="2" s="1"/>
  <c r="DN62" i="2"/>
  <c r="DN63" i="2" s="1"/>
  <c r="DN64" i="2" s="1"/>
  <c r="DN65" i="2" s="1"/>
  <c r="DN66" i="2" s="1"/>
  <c r="DN67" i="2" s="1"/>
  <c r="DN68" i="2" s="1"/>
  <c r="DM62" i="2"/>
  <c r="DM63" i="2" s="1"/>
  <c r="DM64" i="2" s="1"/>
  <c r="DM65" i="2" s="1"/>
  <c r="DM66" i="2" s="1"/>
  <c r="DM67" i="2" s="1"/>
  <c r="DM68" i="2" s="1"/>
  <c r="DL62" i="2"/>
  <c r="DL63" i="2" s="1"/>
  <c r="DL64" i="2" s="1"/>
  <c r="DL65" i="2" s="1"/>
  <c r="DL66" i="2" s="1"/>
  <c r="DL67" i="2" s="1"/>
  <c r="DL68" i="2" s="1"/>
  <c r="DK62" i="2"/>
  <c r="DK63" i="2" s="1"/>
  <c r="DK64" i="2" s="1"/>
  <c r="DK65" i="2" s="1"/>
  <c r="DK66" i="2" s="1"/>
  <c r="DK67" i="2" s="1"/>
  <c r="DK68" i="2" s="1"/>
  <c r="DJ62" i="2"/>
  <c r="DJ63" i="2" s="1"/>
  <c r="DJ64" i="2" s="1"/>
  <c r="DJ65" i="2" s="1"/>
  <c r="DJ66" i="2" s="1"/>
  <c r="DJ67" i="2" s="1"/>
  <c r="DJ68" i="2" s="1"/>
  <c r="DI62" i="2"/>
  <c r="DI63" i="2" s="1"/>
  <c r="DI64" i="2" s="1"/>
  <c r="DI65" i="2" s="1"/>
  <c r="DI66" i="2" s="1"/>
  <c r="DI67" i="2" s="1"/>
  <c r="DI68" i="2" s="1"/>
  <c r="DH62" i="2"/>
  <c r="DH63" i="2" s="1"/>
  <c r="DH64" i="2" s="1"/>
  <c r="DH65" i="2" s="1"/>
  <c r="DH66" i="2" s="1"/>
  <c r="DH67" i="2" s="1"/>
  <c r="DH68" i="2" s="1"/>
  <c r="DG62" i="2"/>
  <c r="DG63" i="2" s="1"/>
  <c r="DG64" i="2" s="1"/>
  <c r="DG65" i="2" s="1"/>
  <c r="DG66" i="2" s="1"/>
  <c r="DG67" i="2" s="1"/>
  <c r="DG68" i="2" s="1"/>
  <c r="DF62" i="2"/>
  <c r="DF63" i="2" s="1"/>
  <c r="DF64" i="2" s="1"/>
  <c r="DF65" i="2" s="1"/>
  <c r="DF66" i="2" s="1"/>
  <c r="DF67" i="2" s="1"/>
  <c r="DF68" i="2" s="1"/>
  <c r="DE62" i="2"/>
  <c r="DE63" i="2" s="1"/>
  <c r="DE64" i="2" s="1"/>
  <c r="DE65" i="2" s="1"/>
  <c r="DE66" i="2" s="1"/>
  <c r="DE67" i="2" s="1"/>
  <c r="DE68" i="2" s="1"/>
  <c r="DD62" i="2"/>
  <c r="DD63" i="2" s="1"/>
  <c r="DD64" i="2" s="1"/>
  <c r="DD65" i="2" s="1"/>
  <c r="DD66" i="2" s="1"/>
  <c r="DD67" i="2" s="1"/>
  <c r="DD68" i="2" s="1"/>
  <c r="DC62" i="2"/>
  <c r="DC63" i="2" s="1"/>
  <c r="DC64" i="2" s="1"/>
  <c r="DC65" i="2" s="1"/>
  <c r="DC66" i="2" s="1"/>
  <c r="DC67" i="2" s="1"/>
  <c r="DC68" i="2" s="1"/>
  <c r="DB62" i="2"/>
  <c r="DB63" i="2" s="1"/>
  <c r="DB64" i="2" s="1"/>
  <c r="DB65" i="2" s="1"/>
  <c r="DB66" i="2" s="1"/>
  <c r="DB67" i="2" s="1"/>
  <c r="DB68" i="2" s="1"/>
  <c r="DA62" i="2"/>
  <c r="DA63" i="2" s="1"/>
  <c r="DA64" i="2" s="1"/>
  <c r="DA65" i="2" s="1"/>
  <c r="DA66" i="2" s="1"/>
  <c r="DA67" i="2" s="1"/>
  <c r="DA68" i="2" s="1"/>
  <c r="CZ62" i="2"/>
  <c r="CZ63" i="2" s="1"/>
  <c r="CZ64" i="2" s="1"/>
  <c r="CZ65" i="2" s="1"/>
  <c r="CZ66" i="2" s="1"/>
  <c r="CZ67" i="2" s="1"/>
  <c r="CZ68" i="2" s="1"/>
  <c r="CY62" i="2"/>
  <c r="CY63" i="2" s="1"/>
  <c r="CY64" i="2" s="1"/>
  <c r="CY65" i="2" s="1"/>
  <c r="CY66" i="2" s="1"/>
  <c r="CY67" i="2" s="1"/>
  <c r="CY68" i="2" s="1"/>
  <c r="CX62" i="2"/>
  <c r="CX63" i="2" s="1"/>
  <c r="CX64" i="2" s="1"/>
  <c r="CX65" i="2" s="1"/>
  <c r="CX66" i="2" s="1"/>
  <c r="CX67" i="2" s="1"/>
  <c r="CX68" i="2" s="1"/>
  <c r="CW62" i="2"/>
  <c r="CW63" i="2" s="1"/>
  <c r="CW64" i="2" s="1"/>
  <c r="CW65" i="2" s="1"/>
  <c r="CW66" i="2" s="1"/>
  <c r="CW67" i="2" s="1"/>
  <c r="CW68" i="2" s="1"/>
  <c r="CV62" i="2"/>
  <c r="CV63" i="2" s="1"/>
  <c r="CV64" i="2" s="1"/>
  <c r="CV65" i="2" s="1"/>
  <c r="CV66" i="2" s="1"/>
  <c r="CV67" i="2" s="1"/>
  <c r="CV68" i="2" s="1"/>
  <c r="CU62" i="2"/>
  <c r="CU63" i="2" s="1"/>
  <c r="CU64" i="2" s="1"/>
  <c r="CU65" i="2" s="1"/>
  <c r="CU66" i="2" s="1"/>
  <c r="CU67" i="2" s="1"/>
  <c r="CU68" i="2" s="1"/>
  <c r="CT62" i="2"/>
  <c r="CT63" i="2" s="1"/>
  <c r="CT64" i="2" s="1"/>
  <c r="CT65" i="2" s="1"/>
  <c r="CT66" i="2" s="1"/>
  <c r="CT67" i="2" s="1"/>
  <c r="CT68" i="2" s="1"/>
  <c r="CS62" i="2"/>
  <c r="CS63" i="2" s="1"/>
  <c r="CS64" i="2" s="1"/>
  <c r="CS65" i="2" s="1"/>
  <c r="CS66" i="2" s="1"/>
  <c r="CS67" i="2" s="1"/>
  <c r="CS68" i="2" s="1"/>
  <c r="CR62" i="2"/>
  <c r="CR63" i="2" s="1"/>
  <c r="CR64" i="2" s="1"/>
  <c r="CR65" i="2" s="1"/>
  <c r="CR66" i="2" s="1"/>
  <c r="CR67" i="2" s="1"/>
  <c r="CR68" i="2" s="1"/>
  <c r="CQ62" i="2"/>
  <c r="CQ63" i="2" s="1"/>
  <c r="CQ64" i="2" s="1"/>
  <c r="CQ65" i="2" s="1"/>
  <c r="CQ66" i="2" s="1"/>
  <c r="CQ67" i="2" s="1"/>
  <c r="CQ68" i="2" s="1"/>
  <c r="CP62" i="2"/>
  <c r="CP63" i="2" s="1"/>
  <c r="CP64" i="2" s="1"/>
  <c r="CP65" i="2" s="1"/>
  <c r="CP66" i="2" s="1"/>
  <c r="CP67" i="2" s="1"/>
  <c r="CP68" i="2" s="1"/>
  <c r="CO62" i="2"/>
  <c r="CO63" i="2" s="1"/>
  <c r="CO64" i="2" s="1"/>
  <c r="CO65" i="2" s="1"/>
  <c r="CO66" i="2" s="1"/>
  <c r="CO67" i="2" s="1"/>
  <c r="CO68" i="2" s="1"/>
  <c r="CN62" i="2"/>
  <c r="CN63" i="2" s="1"/>
  <c r="CN64" i="2" s="1"/>
  <c r="CN65" i="2" s="1"/>
  <c r="CN66" i="2" s="1"/>
  <c r="CN67" i="2" s="1"/>
  <c r="CN68" i="2" s="1"/>
  <c r="CM62" i="2"/>
  <c r="CM63" i="2" s="1"/>
  <c r="CM64" i="2" s="1"/>
  <c r="CM65" i="2" s="1"/>
  <c r="CM66" i="2" s="1"/>
  <c r="CM67" i="2" s="1"/>
  <c r="CM68" i="2" s="1"/>
  <c r="CL62" i="2"/>
  <c r="CL63" i="2" s="1"/>
  <c r="CL64" i="2" s="1"/>
  <c r="CL65" i="2" s="1"/>
  <c r="CL66" i="2" s="1"/>
  <c r="CL67" i="2" s="1"/>
  <c r="CL68" i="2" s="1"/>
  <c r="CK62" i="2"/>
  <c r="CK63" i="2" s="1"/>
  <c r="CK64" i="2" s="1"/>
  <c r="CK65" i="2" s="1"/>
  <c r="CK66" i="2" s="1"/>
  <c r="CK67" i="2" s="1"/>
  <c r="CK68" i="2" s="1"/>
  <c r="CJ62" i="2"/>
  <c r="CJ63" i="2" s="1"/>
  <c r="CJ64" i="2" s="1"/>
  <c r="CJ65" i="2" s="1"/>
  <c r="CJ66" i="2" s="1"/>
  <c r="CJ67" i="2" s="1"/>
  <c r="CJ68" i="2" s="1"/>
  <c r="CI62" i="2"/>
  <c r="CI63" i="2" s="1"/>
  <c r="CI64" i="2" s="1"/>
  <c r="CI65" i="2" s="1"/>
  <c r="CI66" i="2" s="1"/>
  <c r="CI67" i="2" s="1"/>
  <c r="CI68" i="2" s="1"/>
  <c r="CH62" i="2"/>
  <c r="CH63" i="2" s="1"/>
  <c r="CH64" i="2" s="1"/>
  <c r="CH65" i="2" s="1"/>
  <c r="CH66" i="2" s="1"/>
  <c r="CH67" i="2" s="1"/>
  <c r="CH68" i="2" s="1"/>
  <c r="CG62" i="2"/>
  <c r="CG63" i="2" s="1"/>
  <c r="CG64" i="2" s="1"/>
  <c r="CG65" i="2" s="1"/>
  <c r="CG66" i="2" s="1"/>
  <c r="CG67" i="2" s="1"/>
  <c r="CG68" i="2" s="1"/>
  <c r="CF62" i="2"/>
  <c r="CF63" i="2" s="1"/>
  <c r="CF64" i="2" s="1"/>
  <c r="CF65" i="2" s="1"/>
  <c r="CF66" i="2" s="1"/>
  <c r="CF67" i="2" s="1"/>
  <c r="CF68" i="2" s="1"/>
  <c r="CE62" i="2"/>
  <c r="CE63" i="2" s="1"/>
  <c r="CE64" i="2" s="1"/>
  <c r="CE65" i="2" s="1"/>
  <c r="CE66" i="2" s="1"/>
  <c r="CE67" i="2" s="1"/>
  <c r="CE68" i="2" s="1"/>
  <c r="CD62" i="2"/>
  <c r="CD63" i="2" s="1"/>
  <c r="CD64" i="2" s="1"/>
  <c r="CD65" i="2" s="1"/>
  <c r="CD66" i="2" s="1"/>
  <c r="CD67" i="2" s="1"/>
  <c r="CD68" i="2" s="1"/>
  <c r="CC62" i="2"/>
  <c r="CC63" i="2" s="1"/>
  <c r="CC64" i="2" s="1"/>
  <c r="CC65" i="2" s="1"/>
  <c r="CC66" i="2" s="1"/>
  <c r="CC67" i="2" s="1"/>
  <c r="CC68" i="2" s="1"/>
  <c r="CB62" i="2"/>
  <c r="CB63" i="2" s="1"/>
  <c r="CB64" i="2" s="1"/>
  <c r="CB65" i="2" s="1"/>
  <c r="CB66" i="2" s="1"/>
  <c r="CB67" i="2" s="1"/>
  <c r="CB68" i="2" s="1"/>
  <c r="CA62" i="2"/>
  <c r="CA63" i="2" s="1"/>
  <c r="CA64" i="2" s="1"/>
  <c r="CA65" i="2" s="1"/>
  <c r="CA66" i="2" s="1"/>
  <c r="CA67" i="2" s="1"/>
  <c r="CA68" i="2" s="1"/>
  <c r="BZ62" i="2"/>
  <c r="BZ63" i="2" s="1"/>
  <c r="BZ64" i="2" s="1"/>
  <c r="BZ65" i="2" s="1"/>
  <c r="BZ66" i="2" s="1"/>
  <c r="BZ67" i="2" s="1"/>
  <c r="BZ68" i="2" s="1"/>
  <c r="BY62" i="2"/>
  <c r="BY63" i="2" s="1"/>
  <c r="BY64" i="2" s="1"/>
  <c r="BY65" i="2" s="1"/>
  <c r="BY66" i="2" s="1"/>
  <c r="BY67" i="2" s="1"/>
  <c r="BY68" i="2" s="1"/>
  <c r="BX62" i="2"/>
  <c r="BX63" i="2" s="1"/>
  <c r="BX64" i="2" s="1"/>
  <c r="BX65" i="2" s="1"/>
  <c r="BX66" i="2" s="1"/>
  <c r="BX67" i="2" s="1"/>
  <c r="BX68" i="2" s="1"/>
  <c r="BW62" i="2"/>
  <c r="BW63" i="2" s="1"/>
  <c r="BW64" i="2" s="1"/>
  <c r="BW65" i="2" s="1"/>
  <c r="BW66" i="2" s="1"/>
  <c r="BW67" i="2" s="1"/>
  <c r="BW68" i="2" s="1"/>
  <c r="BV62" i="2"/>
  <c r="BV63" i="2" s="1"/>
  <c r="BV64" i="2" s="1"/>
  <c r="BV65" i="2" s="1"/>
  <c r="BV66" i="2" s="1"/>
  <c r="BV67" i="2" s="1"/>
  <c r="BV68" i="2" s="1"/>
  <c r="BU62" i="2"/>
  <c r="BU63" i="2" s="1"/>
  <c r="BU64" i="2" s="1"/>
  <c r="BU65" i="2" s="1"/>
  <c r="BU66" i="2" s="1"/>
  <c r="BU67" i="2" s="1"/>
  <c r="BU68" i="2" s="1"/>
  <c r="BT62" i="2"/>
  <c r="BT63" i="2" s="1"/>
  <c r="BT64" i="2" s="1"/>
  <c r="BT65" i="2" s="1"/>
  <c r="BT66" i="2" s="1"/>
  <c r="BT67" i="2" s="1"/>
  <c r="BT68" i="2" s="1"/>
  <c r="BS62" i="2"/>
  <c r="BS63" i="2" s="1"/>
  <c r="BS64" i="2" s="1"/>
  <c r="BS65" i="2" s="1"/>
  <c r="BS66" i="2" s="1"/>
  <c r="BS67" i="2" s="1"/>
  <c r="BS68" i="2" s="1"/>
  <c r="BR62" i="2"/>
  <c r="BR63" i="2" s="1"/>
  <c r="BR64" i="2" s="1"/>
  <c r="BR65" i="2" s="1"/>
  <c r="BR66" i="2" s="1"/>
  <c r="BR67" i="2" s="1"/>
  <c r="BR68" i="2" s="1"/>
  <c r="BQ62" i="2"/>
  <c r="BQ63" i="2" s="1"/>
  <c r="BQ64" i="2" s="1"/>
  <c r="BQ65" i="2" s="1"/>
  <c r="BQ66" i="2" s="1"/>
  <c r="BQ67" i="2" s="1"/>
  <c r="BQ68" i="2" s="1"/>
  <c r="BP62" i="2"/>
  <c r="BP63" i="2" s="1"/>
  <c r="BP64" i="2" s="1"/>
  <c r="BP65" i="2" s="1"/>
  <c r="BP66" i="2" s="1"/>
  <c r="BP67" i="2" s="1"/>
  <c r="BP68" i="2" s="1"/>
  <c r="BO62" i="2"/>
  <c r="BO63" i="2" s="1"/>
  <c r="BO64" i="2" s="1"/>
  <c r="BO65" i="2" s="1"/>
  <c r="BO66" i="2" s="1"/>
  <c r="BO67" i="2" s="1"/>
  <c r="BO68" i="2" s="1"/>
  <c r="BN62" i="2"/>
  <c r="BN63" i="2" s="1"/>
  <c r="BN64" i="2" s="1"/>
  <c r="BN65" i="2" s="1"/>
  <c r="BN66" i="2" s="1"/>
  <c r="BN67" i="2" s="1"/>
  <c r="BN68" i="2" s="1"/>
  <c r="BM62" i="2"/>
  <c r="BM63" i="2" s="1"/>
  <c r="BM64" i="2" s="1"/>
  <c r="BM65" i="2" s="1"/>
  <c r="BM66" i="2" s="1"/>
  <c r="BM67" i="2" s="1"/>
  <c r="BM68" i="2" s="1"/>
  <c r="BL62" i="2"/>
  <c r="BL63" i="2" s="1"/>
  <c r="BL64" i="2" s="1"/>
  <c r="BL65" i="2" s="1"/>
  <c r="BL66" i="2" s="1"/>
  <c r="BL67" i="2" s="1"/>
  <c r="BL68" i="2" s="1"/>
  <c r="BK62" i="2"/>
  <c r="BK63" i="2" s="1"/>
  <c r="BK64" i="2" s="1"/>
  <c r="BK65" i="2" s="1"/>
  <c r="BK66" i="2" s="1"/>
  <c r="BK67" i="2" s="1"/>
  <c r="BK68" i="2" s="1"/>
  <c r="BJ62" i="2"/>
  <c r="BJ63" i="2" s="1"/>
  <c r="BJ64" i="2" s="1"/>
  <c r="BJ65" i="2" s="1"/>
  <c r="BJ66" i="2" s="1"/>
  <c r="BJ67" i="2" s="1"/>
  <c r="BJ68" i="2" s="1"/>
  <c r="BI62" i="2"/>
  <c r="BI63" i="2" s="1"/>
  <c r="BI64" i="2" s="1"/>
  <c r="BI65" i="2" s="1"/>
  <c r="BI66" i="2" s="1"/>
  <c r="BI67" i="2" s="1"/>
  <c r="BI68" i="2" s="1"/>
  <c r="BH62" i="2"/>
  <c r="BH63" i="2" s="1"/>
  <c r="BH64" i="2" s="1"/>
  <c r="BH65" i="2" s="1"/>
  <c r="BH66" i="2" s="1"/>
  <c r="BH67" i="2" s="1"/>
  <c r="BH68" i="2" s="1"/>
  <c r="BG62" i="2"/>
  <c r="BG63" i="2" s="1"/>
  <c r="BG64" i="2" s="1"/>
  <c r="BG65" i="2" s="1"/>
  <c r="BG66" i="2" s="1"/>
  <c r="BG67" i="2" s="1"/>
  <c r="BG68" i="2" s="1"/>
  <c r="BF62" i="2"/>
  <c r="BF63" i="2" s="1"/>
  <c r="BF64" i="2" s="1"/>
  <c r="BF65" i="2" s="1"/>
  <c r="BF66" i="2" s="1"/>
  <c r="BF67" i="2" s="1"/>
  <c r="BF68" i="2" s="1"/>
  <c r="BE62" i="2"/>
  <c r="BE63" i="2" s="1"/>
  <c r="BE64" i="2" s="1"/>
  <c r="BE65" i="2" s="1"/>
  <c r="BE66" i="2" s="1"/>
  <c r="BE67" i="2" s="1"/>
  <c r="BE68" i="2" s="1"/>
  <c r="BD62" i="2"/>
  <c r="BD63" i="2" s="1"/>
  <c r="BD64" i="2" s="1"/>
  <c r="BD65" i="2" s="1"/>
  <c r="BD66" i="2" s="1"/>
  <c r="BD67" i="2" s="1"/>
  <c r="BD68" i="2" s="1"/>
  <c r="BC62" i="2"/>
  <c r="BC63" i="2" s="1"/>
  <c r="BC64" i="2" s="1"/>
  <c r="BC65" i="2" s="1"/>
  <c r="BC66" i="2" s="1"/>
  <c r="BC67" i="2" s="1"/>
  <c r="BC68" i="2" s="1"/>
  <c r="BB62" i="2"/>
  <c r="BB63" i="2" s="1"/>
  <c r="BB64" i="2" s="1"/>
  <c r="BB65" i="2" s="1"/>
  <c r="BB66" i="2" s="1"/>
  <c r="BB67" i="2" s="1"/>
  <c r="BB68" i="2" s="1"/>
  <c r="BA62" i="2"/>
  <c r="BA63" i="2" s="1"/>
  <c r="BA64" i="2" s="1"/>
  <c r="BA65" i="2" s="1"/>
  <c r="BA66" i="2" s="1"/>
  <c r="BA67" i="2" s="1"/>
  <c r="BA68" i="2" s="1"/>
  <c r="AZ62" i="2"/>
  <c r="AZ63" i="2" s="1"/>
  <c r="AZ64" i="2" s="1"/>
  <c r="AZ65" i="2" s="1"/>
  <c r="AZ66" i="2" s="1"/>
  <c r="AZ67" i="2" s="1"/>
  <c r="AZ68" i="2" s="1"/>
  <c r="AY62" i="2"/>
  <c r="AY63" i="2" s="1"/>
  <c r="AY64" i="2" s="1"/>
  <c r="AY65" i="2" s="1"/>
  <c r="AY66" i="2" s="1"/>
  <c r="AY67" i="2" s="1"/>
  <c r="AY68" i="2" s="1"/>
  <c r="AX62" i="2"/>
  <c r="AX63" i="2" s="1"/>
  <c r="AX64" i="2" s="1"/>
  <c r="AX65" i="2" s="1"/>
  <c r="AX66" i="2" s="1"/>
  <c r="AX67" i="2" s="1"/>
  <c r="AX68" i="2" s="1"/>
  <c r="AW62" i="2"/>
  <c r="AW63" i="2" s="1"/>
  <c r="AW64" i="2" s="1"/>
  <c r="AW65" i="2" s="1"/>
  <c r="AW66" i="2" s="1"/>
  <c r="AW67" i="2" s="1"/>
  <c r="AW68" i="2" s="1"/>
  <c r="AV62" i="2"/>
  <c r="AV63" i="2" s="1"/>
  <c r="AV64" i="2" s="1"/>
  <c r="AV65" i="2" s="1"/>
  <c r="AV66" i="2" s="1"/>
  <c r="AV67" i="2" s="1"/>
  <c r="AV68" i="2" s="1"/>
  <c r="C62" i="2"/>
  <c r="C63" i="2" s="1"/>
  <c r="CG59" i="2"/>
  <c r="CF59" i="2"/>
  <c r="CE59" i="2"/>
  <c r="CD59" i="2"/>
  <c r="CC59" i="2"/>
  <c r="CB59" i="2"/>
  <c r="CA59" i="2"/>
  <c r="BZ59" i="2"/>
  <c r="BY59" i="2"/>
  <c r="BX59" i="2"/>
  <c r="BW59" i="2"/>
  <c r="BV59" i="2"/>
  <c r="BU59" i="2"/>
  <c r="BT59" i="2"/>
  <c r="BS59" i="2"/>
  <c r="BR59" i="2"/>
  <c r="BQ59" i="2"/>
  <c r="BP59" i="2"/>
  <c r="BO59" i="2"/>
  <c r="BN59" i="2"/>
  <c r="BM59" i="2"/>
  <c r="BL59" i="2"/>
  <c r="BK59" i="2"/>
  <c r="BJ59" i="2"/>
  <c r="BI59" i="2"/>
  <c r="BH59" i="2"/>
  <c r="BG59" i="2"/>
  <c r="BF59" i="2"/>
  <c r="BE59" i="2"/>
  <c r="BD59" i="2"/>
  <c r="BC59" i="2"/>
  <c r="BB59" i="2"/>
  <c r="BA59" i="2"/>
  <c r="AZ59" i="2"/>
  <c r="AY59" i="2"/>
  <c r="AX59" i="2"/>
  <c r="AW59" i="2"/>
  <c r="AV59" i="2"/>
  <c r="J59" i="2"/>
  <c r="G59" i="2"/>
  <c r="AU57" i="2"/>
  <c r="AT57" i="2"/>
  <c r="AS57" i="2"/>
  <c r="AR57" i="2"/>
  <c r="AQ57" i="2"/>
  <c r="AP57" i="2"/>
  <c r="AO57" i="2"/>
  <c r="AN57" i="2"/>
  <c r="AM57" i="2"/>
  <c r="AL57" i="2"/>
  <c r="AK57" i="2"/>
  <c r="AJ57" i="2"/>
  <c r="AI57" i="2"/>
  <c r="AH57" i="2"/>
  <c r="AG57" i="2"/>
  <c r="AF57" i="2"/>
  <c r="AE57" i="2"/>
  <c r="AD57" i="2"/>
  <c r="AC57" i="2"/>
  <c r="AB57" i="2"/>
  <c r="AA57" i="2"/>
  <c r="Z57" i="2"/>
  <c r="Y57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I57" i="2"/>
  <c r="H57" i="2"/>
  <c r="AU56" i="2"/>
  <c r="AT56" i="2"/>
  <c r="AS56" i="2"/>
  <c r="AR56" i="2"/>
  <c r="AQ56" i="2"/>
  <c r="AP56" i="2"/>
  <c r="AO56" i="2"/>
  <c r="AN56" i="2"/>
  <c r="AM56" i="2"/>
  <c r="AL56" i="2"/>
  <c r="AK56" i="2"/>
  <c r="AJ56" i="2"/>
  <c r="AI56" i="2"/>
  <c r="AH56" i="2"/>
  <c r="AG56" i="2"/>
  <c r="AF56" i="2"/>
  <c r="AE56" i="2"/>
  <c r="AD56" i="2"/>
  <c r="AC56" i="2"/>
  <c r="AB56" i="2"/>
  <c r="AA56" i="2"/>
  <c r="Z56" i="2"/>
  <c r="Y56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I56" i="2"/>
  <c r="H56" i="2"/>
  <c r="AU55" i="2"/>
  <c r="AT55" i="2"/>
  <c r="AS55" i="2"/>
  <c r="AR55" i="2"/>
  <c r="AQ55" i="2"/>
  <c r="AP55" i="2"/>
  <c r="AO55" i="2"/>
  <c r="AN55" i="2"/>
  <c r="AM55" i="2"/>
  <c r="AL55" i="2"/>
  <c r="AK55" i="2"/>
  <c r="AJ55" i="2"/>
  <c r="AI55" i="2"/>
  <c r="AH55" i="2"/>
  <c r="AG55" i="2"/>
  <c r="AF55" i="2"/>
  <c r="AE55" i="2"/>
  <c r="AD55" i="2"/>
  <c r="AC55" i="2"/>
  <c r="AB55" i="2"/>
  <c r="AA55" i="2"/>
  <c r="Z55" i="2"/>
  <c r="Y55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I55" i="2"/>
  <c r="H55" i="2"/>
  <c r="AU54" i="2"/>
  <c r="AT54" i="2"/>
  <c r="AS54" i="2"/>
  <c r="AR54" i="2"/>
  <c r="AQ54" i="2"/>
  <c r="AP54" i="2"/>
  <c r="AO54" i="2"/>
  <c r="AN54" i="2"/>
  <c r="AM54" i="2"/>
  <c r="AL54" i="2"/>
  <c r="AK54" i="2"/>
  <c r="AJ54" i="2"/>
  <c r="AI54" i="2"/>
  <c r="AH54" i="2"/>
  <c r="AG54" i="2"/>
  <c r="AF54" i="2"/>
  <c r="AE54" i="2"/>
  <c r="AD54" i="2"/>
  <c r="AC54" i="2"/>
  <c r="AB54" i="2"/>
  <c r="AA54" i="2"/>
  <c r="Z54" i="2"/>
  <c r="Y54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I54" i="2"/>
  <c r="H54" i="2"/>
  <c r="G54" i="2"/>
  <c r="G55" i="2" s="1"/>
  <c r="G56" i="2" s="1"/>
  <c r="G57" i="2" s="1"/>
  <c r="F54" i="2"/>
  <c r="F55" i="2" s="1"/>
  <c r="F56" i="2" s="1"/>
  <c r="F57" i="2" s="1"/>
  <c r="AU53" i="2"/>
  <c r="AT53" i="2"/>
  <c r="AS53" i="2"/>
  <c r="AR53" i="2"/>
  <c r="AQ53" i="2"/>
  <c r="AP53" i="2"/>
  <c r="AO53" i="2"/>
  <c r="AN53" i="2"/>
  <c r="AM53" i="2"/>
  <c r="AL53" i="2"/>
  <c r="AK53" i="2"/>
  <c r="AJ53" i="2"/>
  <c r="AI53" i="2"/>
  <c r="AH53" i="2"/>
  <c r="AG53" i="2"/>
  <c r="AF53" i="2"/>
  <c r="AE53" i="2"/>
  <c r="AD53" i="2"/>
  <c r="AC53" i="2"/>
  <c r="AB53" i="2"/>
  <c r="AA53" i="2"/>
  <c r="Z53" i="2"/>
  <c r="Y53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I53" i="2"/>
  <c r="H53" i="2"/>
  <c r="C53" i="2"/>
  <c r="DR52" i="2"/>
  <c r="DR57" i="2" s="1"/>
  <c r="DQ52" i="2"/>
  <c r="DQ57" i="2" s="1"/>
  <c r="DP52" i="2"/>
  <c r="DP57" i="2" s="1"/>
  <c r="DO52" i="2"/>
  <c r="DO57" i="2" s="1"/>
  <c r="DN52" i="2"/>
  <c r="DN57" i="2" s="1"/>
  <c r="DM52" i="2"/>
  <c r="DM57" i="2" s="1"/>
  <c r="DL52" i="2"/>
  <c r="DL57" i="2" s="1"/>
  <c r="DK52" i="2"/>
  <c r="DK57" i="2" s="1"/>
  <c r="DJ52" i="2"/>
  <c r="DJ57" i="2" s="1"/>
  <c r="DI52" i="2"/>
  <c r="DI57" i="2" s="1"/>
  <c r="DH52" i="2"/>
  <c r="DH57" i="2" s="1"/>
  <c r="DG52" i="2"/>
  <c r="DG57" i="2" s="1"/>
  <c r="DF52" i="2"/>
  <c r="DF57" i="2" s="1"/>
  <c r="DE52" i="2"/>
  <c r="DE57" i="2" s="1"/>
  <c r="DD52" i="2"/>
  <c r="DD57" i="2" s="1"/>
  <c r="DC52" i="2"/>
  <c r="DC57" i="2" s="1"/>
  <c r="DB52" i="2"/>
  <c r="DB57" i="2" s="1"/>
  <c r="DA52" i="2"/>
  <c r="DA57" i="2" s="1"/>
  <c r="CZ52" i="2"/>
  <c r="CZ57" i="2" s="1"/>
  <c r="CY52" i="2"/>
  <c r="CY57" i="2" s="1"/>
  <c r="CX52" i="2"/>
  <c r="CX57" i="2" s="1"/>
  <c r="CW52" i="2"/>
  <c r="CW57" i="2" s="1"/>
  <c r="CV52" i="2"/>
  <c r="CV57" i="2" s="1"/>
  <c r="CU52" i="2"/>
  <c r="CU57" i="2" s="1"/>
  <c r="CT52" i="2"/>
  <c r="CT57" i="2" s="1"/>
  <c r="CS52" i="2"/>
  <c r="CS57" i="2" s="1"/>
  <c r="CR52" i="2"/>
  <c r="CR57" i="2" s="1"/>
  <c r="CQ52" i="2"/>
  <c r="CQ57" i="2" s="1"/>
  <c r="CP52" i="2"/>
  <c r="CP57" i="2" s="1"/>
  <c r="CO52" i="2"/>
  <c r="CO57" i="2" s="1"/>
  <c r="CN52" i="2"/>
  <c r="CN57" i="2" s="1"/>
  <c r="CM52" i="2"/>
  <c r="CM57" i="2" s="1"/>
  <c r="CL52" i="2"/>
  <c r="CL57" i="2" s="1"/>
  <c r="CK52" i="2"/>
  <c r="CK57" i="2" s="1"/>
  <c r="CJ52" i="2"/>
  <c r="CJ57" i="2" s="1"/>
  <c r="CI52" i="2"/>
  <c r="CI57" i="2" s="1"/>
  <c r="CH52" i="2"/>
  <c r="CH57" i="2" s="1"/>
  <c r="CG52" i="2"/>
  <c r="CG57" i="2" s="1"/>
  <c r="CF52" i="2"/>
  <c r="CF57" i="2" s="1"/>
  <c r="CE52" i="2"/>
  <c r="CE57" i="2" s="1"/>
  <c r="CD52" i="2"/>
  <c r="CD57" i="2" s="1"/>
  <c r="CC52" i="2"/>
  <c r="CC57" i="2" s="1"/>
  <c r="CB52" i="2"/>
  <c r="CB57" i="2" s="1"/>
  <c r="CA52" i="2"/>
  <c r="CA57" i="2" s="1"/>
  <c r="BZ52" i="2"/>
  <c r="BZ57" i="2" s="1"/>
  <c r="BY52" i="2"/>
  <c r="BY57" i="2" s="1"/>
  <c r="BX52" i="2"/>
  <c r="BX57" i="2" s="1"/>
  <c r="BW52" i="2"/>
  <c r="BW57" i="2" s="1"/>
  <c r="BV52" i="2"/>
  <c r="BV57" i="2" s="1"/>
  <c r="BU52" i="2"/>
  <c r="BU57" i="2" s="1"/>
  <c r="BT52" i="2"/>
  <c r="BT57" i="2" s="1"/>
  <c r="BS52" i="2"/>
  <c r="BS57" i="2" s="1"/>
  <c r="BR52" i="2"/>
  <c r="BR57" i="2" s="1"/>
  <c r="BQ52" i="2"/>
  <c r="BQ57" i="2" s="1"/>
  <c r="BP52" i="2"/>
  <c r="BP57" i="2" s="1"/>
  <c r="BO52" i="2"/>
  <c r="BO57" i="2" s="1"/>
  <c r="BN52" i="2"/>
  <c r="BN57" i="2" s="1"/>
  <c r="BM52" i="2"/>
  <c r="BM57" i="2" s="1"/>
  <c r="BL52" i="2"/>
  <c r="BL57" i="2" s="1"/>
  <c r="BK52" i="2"/>
  <c r="BK57" i="2" s="1"/>
  <c r="BJ52" i="2"/>
  <c r="BJ57" i="2" s="1"/>
  <c r="BI52" i="2"/>
  <c r="BI57" i="2" s="1"/>
  <c r="BH52" i="2"/>
  <c r="BH57" i="2" s="1"/>
  <c r="BG52" i="2"/>
  <c r="BG57" i="2" s="1"/>
  <c r="BF52" i="2"/>
  <c r="BF57" i="2" s="1"/>
  <c r="BE52" i="2"/>
  <c r="BE57" i="2" s="1"/>
  <c r="BD52" i="2"/>
  <c r="BD57" i="2" s="1"/>
  <c r="BC52" i="2"/>
  <c r="BC57" i="2" s="1"/>
  <c r="BB52" i="2"/>
  <c r="BB57" i="2" s="1"/>
  <c r="BA52" i="2"/>
  <c r="BA57" i="2" s="1"/>
  <c r="AZ52" i="2"/>
  <c r="AZ57" i="2" s="1"/>
  <c r="AY52" i="2"/>
  <c r="AY57" i="2" s="1"/>
  <c r="AX52" i="2"/>
  <c r="AX57" i="2" s="1"/>
  <c r="AW52" i="2"/>
  <c r="AW57" i="2" s="1"/>
  <c r="AU52" i="2"/>
  <c r="AT52" i="2"/>
  <c r="AS52" i="2"/>
  <c r="AR52" i="2"/>
  <c r="AQ52" i="2"/>
  <c r="AP52" i="2"/>
  <c r="AO52" i="2"/>
  <c r="AN52" i="2"/>
  <c r="AM52" i="2"/>
  <c r="AL52" i="2"/>
  <c r="AK52" i="2"/>
  <c r="AJ52" i="2"/>
  <c r="AI52" i="2"/>
  <c r="AH52" i="2"/>
  <c r="AG52" i="2"/>
  <c r="AF52" i="2"/>
  <c r="AE52" i="2"/>
  <c r="AD52" i="2"/>
  <c r="AC52" i="2"/>
  <c r="AB52" i="2"/>
  <c r="AA52" i="2"/>
  <c r="Z52" i="2"/>
  <c r="Y52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I52" i="2"/>
  <c r="H52" i="2"/>
  <c r="E52" i="2"/>
  <c r="E57" i="2" s="1"/>
  <c r="D52" i="2"/>
  <c r="D57" i="2" s="1"/>
  <c r="DR51" i="2"/>
  <c r="DR56" i="2" s="1"/>
  <c r="DQ51" i="2"/>
  <c r="DQ56" i="2" s="1"/>
  <c r="DP51" i="2"/>
  <c r="DP56" i="2" s="1"/>
  <c r="DO51" i="2"/>
  <c r="DO56" i="2" s="1"/>
  <c r="DN51" i="2"/>
  <c r="DN56" i="2" s="1"/>
  <c r="DM51" i="2"/>
  <c r="DM56" i="2" s="1"/>
  <c r="DL51" i="2"/>
  <c r="DL56" i="2" s="1"/>
  <c r="DK51" i="2"/>
  <c r="DK56" i="2" s="1"/>
  <c r="DJ51" i="2"/>
  <c r="DJ56" i="2" s="1"/>
  <c r="DI51" i="2"/>
  <c r="DI56" i="2" s="1"/>
  <c r="DH51" i="2"/>
  <c r="DH56" i="2" s="1"/>
  <c r="DG51" i="2"/>
  <c r="DG56" i="2" s="1"/>
  <c r="DF51" i="2"/>
  <c r="DF56" i="2" s="1"/>
  <c r="DE51" i="2"/>
  <c r="DE56" i="2" s="1"/>
  <c r="DD51" i="2"/>
  <c r="DD56" i="2" s="1"/>
  <c r="DC51" i="2"/>
  <c r="DC56" i="2" s="1"/>
  <c r="DB51" i="2"/>
  <c r="DB56" i="2" s="1"/>
  <c r="DA51" i="2"/>
  <c r="DA56" i="2" s="1"/>
  <c r="CZ51" i="2"/>
  <c r="CZ56" i="2" s="1"/>
  <c r="CY51" i="2"/>
  <c r="CY56" i="2" s="1"/>
  <c r="CX51" i="2"/>
  <c r="CX56" i="2" s="1"/>
  <c r="CW51" i="2"/>
  <c r="CW56" i="2" s="1"/>
  <c r="CV51" i="2"/>
  <c r="CV56" i="2" s="1"/>
  <c r="CU51" i="2"/>
  <c r="CU56" i="2" s="1"/>
  <c r="CT51" i="2"/>
  <c r="CT56" i="2" s="1"/>
  <c r="CS51" i="2"/>
  <c r="CS56" i="2" s="1"/>
  <c r="CR51" i="2"/>
  <c r="CR56" i="2" s="1"/>
  <c r="CQ51" i="2"/>
  <c r="CQ56" i="2" s="1"/>
  <c r="CP51" i="2"/>
  <c r="CP56" i="2" s="1"/>
  <c r="CO51" i="2"/>
  <c r="CO56" i="2" s="1"/>
  <c r="CN51" i="2"/>
  <c r="CN56" i="2" s="1"/>
  <c r="CM51" i="2"/>
  <c r="CM56" i="2" s="1"/>
  <c r="CL51" i="2"/>
  <c r="CL56" i="2" s="1"/>
  <c r="CK51" i="2"/>
  <c r="CK56" i="2" s="1"/>
  <c r="CJ51" i="2"/>
  <c r="CJ56" i="2" s="1"/>
  <c r="CI51" i="2"/>
  <c r="CI56" i="2" s="1"/>
  <c r="CH51" i="2"/>
  <c r="CH56" i="2" s="1"/>
  <c r="CG51" i="2"/>
  <c r="CG56" i="2" s="1"/>
  <c r="CF51" i="2"/>
  <c r="CF56" i="2" s="1"/>
  <c r="CE51" i="2"/>
  <c r="CE56" i="2" s="1"/>
  <c r="CD51" i="2"/>
  <c r="CD56" i="2" s="1"/>
  <c r="CC51" i="2"/>
  <c r="CC56" i="2" s="1"/>
  <c r="CB51" i="2"/>
  <c r="CB56" i="2" s="1"/>
  <c r="CA51" i="2"/>
  <c r="CA56" i="2" s="1"/>
  <c r="BZ51" i="2"/>
  <c r="BZ56" i="2" s="1"/>
  <c r="BY51" i="2"/>
  <c r="BY56" i="2" s="1"/>
  <c r="BX51" i="2"/>
  <c r="BX56" i="2" s="1"/>
  <c r="BW51" i="2"/>
  <c r="BW56" i="2" s="1"/>
  <c r="BV51" i="2"/>
  <c r="BV56" i="2" s="1"/>
  <c r="BU51" i="2"/>
  <c r="BU56" i="2" s="1"/>
  <c r="BT51" i="2"/>
  <c r="BT56" i="2" s="1"/>
  <c r="BS51" i="2"/>
  <c r="BS56" i="2" s="1"/>
  <c r="BR51" i="2"/>
  <c r="BR56" i="2" s="1"/>
  <c r="BQ51" i="2"/>
  <c r="BQ56" i="2" s="1"/>
  <c r="BP51" i="2"/>
  <c r="BP56" i="2" s="1"/>
  <c r="BO51" i="2"/>
  <c r="BO56" i="2" s="1"/>
  <c r="BN51" i="2"/>
  <c r="BN56" i="2" s="1"/>
  <c r="BM51" i="2"/>
  <c r="BM56" i="2" s="1"/>
  <c r="BL51" i="2"/>
  <c r="BL56" i="2" s="1"/>
  <c r="BK51" i="2"/>
  <c r="BK56" i="2" s="1"/>
  <c r="BJ51" i="2"/>
  <c r="BJ56" i="2" s="1"/>
  <c r="BI51" i="2"/>
  <c r="BI56" i="2" s="1"/>
  <c r="BH51" i="2"/>
  <c r="BH56" i="2" s="1"/>
  <c r="BG51" i="2"/>
  <c r="BG56" i="2" s="1"/>
  <c r="BF51" i="2"/>
  <c r="BF56" i="2" s="1"/>
  <c r="BE51" i="2"/>
  <c r="BE56" i="2" s="1"/>
  <c r="BD51" i="2"/>
  <c r="BD56" i="2" s="1"/>
  <c r="BC51" i="2"/>
  <c r="BC56" i="2" s="1"/>
  <c r="BB51" i="2"/>
  <c r="BB56" i="2" s="1"/>
  <c r="BA51" i="2"/>
  <c r="BA56" i="2" s="1"/>
  <c r="AZ51" i="2"/>
  <c r="AZ56" i="2" s="1"/>
  <c r="AY51" i="2"/>
  <c r="AY56" i="2" s="1"/>
  <c r="AX51" i="2"/>
  <c r="AX56" i="2" s="1"/>
  <c r="AW51" i="2"/>
  <c r="AW56" i="2" s="1"/>
  <c r="AU51" i="2"/>
  <c r="AT51" i="2"/>
  <c r="AS51" i="2"/>
  <c r="AR51" i="2"/>
  <c r="AQ51" i="2"/>
  <c r="AP51" i="2"/>
  <c r="AO51" i="2"/>
  <c r="AN51" i="2"/>
  <c r="AM51" i="2"/>
  <c r="AL51" i="2"/>
  <c r="AK51" i="2"/>
  <c r="AJ51" i="2"/>
  <c r="AI51" i="2"/>
  <c r="AH51" i="2"/>
  <c r="AG51" i="2"/>
  <c r="AF51" i="2"/>
  <c r="AE51" i="2"/>
  <c r="AD51" i="2"/>
  <c r="AC51" i="2"/>
  <c r="AB51" i="2"/>
  <c r="AA51" i="2"/>
  <c r="Z51" i="2"/>
  <c r="Y51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I51" i="2"/>
  <c r="H51" i="2"/>
  <c r="E51" i="2"/>
  <c r="E56" i="2" s="1"/>
  <c r="D51" i="2"/>
  <c r="D56" i="2" s="1"/>
  <c r="DR50" i="2"/>
  <c r="DR55" i="2" s="1"/>
  <c r="DQ50" i="2"/>
  <c r="DQ55" i="2" s="1"/>
  <c r="DP50" i="2"/>
  <c r="DP55" i="2" s="1"/>
  <c r="DO50" i="2"/>
  <c r="DO55" i="2" s="1"/>
  <c r="DN50" i="2"/>
  <c r="DN55" i="2" s="1"/>
  <c r="DM50" i="2"/>
  <c r="DM55" i="2" s="1"/>
  <c r="DL50" i="2"/>
  <c r="DL55" i="2" s="1"/>
  <c r="DK50" i="2"/>
  <c r="DK55" i="2" s="1"/>
  <c r="DJ50" i="2"/>
  <c r="DJ55" i="2" s="1"/>
  <c r="DI50" i="2"/>
  <c r="DI55" i="2" s="1"/>
  <c r="DH50" i="2"/>
  <c r="DH55" i="2" s="1"/>
  <c r="DG50" i="2"/>
  <c r="DG55" i="2" s="1"/>
  <c r="DF50" i="2"/>
  <c r="DF55" i="2" s="1"/>
  <c r="DE50" i="2"/>
  <c r="DE55" i="2" s="1"/>
  <c r="DD50" i="2"/>
  <c r="DD55" i="2" s="1"/>
  <c r="DC50" i="2"/>
  <c r="DC55" i="2" s="1"/>
  <c r="DB50" i="2"/>
  <c r="DB55" i="2" s="1"/>
  <c r="DA50" i="2"/>
  <c r="DA55" i="2" s="1"/>
  <c r="CZ50" i="2"/>
  <c r="CZ55" i="2" s="1"/>
  <c r="CY50" i="2"/>
  <c r="CY55" i="2" s="1"/>
  <c r="CX50" i="2"/>
  <c r="CX55" i="2" s="1"/>
  <c r="CW50" i="2"/>
  <c r="CW55" i="2" s="1"/>
  <c r="CV50" i="2"/>
  <c r="CV55" i="2" s="1"/>
  <c r="CU50" i="2"/>
  <c r="CU55" i="2" s="1"/>
  <c r="CT50" i="2"/>
  <c r="CT55" i="2" s="1"/>
  <c r="CS50" i="2"/>
  <c r="CS55" i="2" s="1"/>
  <c r="CR50" i="2"/>
  <c r="CR55" i="2" s="1"/>
  <c r="CQ50" i="2"/>
  <c r="CQ55" i="2" s="1"/>
  <c r="CP50" i="2"/>
  <c r="CP55" i="2" s="1"/>
  <c r="CO50" i="2"/>
  <c r="CO55" i="2" s="1"/>
  <c r="CN50" i="2"/>
  <c r="CN55" i="2" s="1"/>
  <c r="CM50" i="2"/>
  <c r="CM55" i="2" s="1"/>
  <c r="CL50" i="2"/>
  <c r="CL55" i="2" s="1"/>
  <c r="CK50" i="2"/>
  <c r="CK55" i="2" s="1"/>
  <c r="CJ50" i="2"/>
  <c r="CJ55" i="2" s="1"/>
  <c r="CI50" i="2"/>
  <c r="CI55" i="2" s="1"/>
  <c r="CH50" i="2"/>
  <c r="CH55" i="2" s="1"/>
  <c r="CG50" i="2"/>
  <c r="CG55" i="2" s="1"/>
  <c r="CF50" i="2"/>
  <c r="CF55" i="2" s="1"/>
  <c r="CE50" i="2"/>
  <c r="CE55" i="2" s="1"/>
  <c r="CD50" i="2"/>
  <c r="CD55" i="2" s="1"/>
  <c r="CC50" i="2"/>
  <c r="CC55" i="2" s="1"/>
  <c r="CB50" i="2"/>
  <c r="CB55" i="2" s="1"/>
  <c r="CA50" i="2"/>
  <c r="CA55" i="2" s="1"/>
  <c r="BZ50" i="2"/>
  <c r="BZ55" i="2" s="1"/>
  <c r="BY50" i="2"/>
  <c r="BY55" i="2" s="1"/>
  <c r="BX50" i="2"/>
  <c r="BX55" i="2" s="1"/>
  <c r="BW50" i="2"/>
  <c r="BW55" i="2" s="1"/>
  <c r="BV50" i="2"/>
  <c r="BV55" i="2" s="1"/>
  <c r="BU50" i="2"/>
  <c r="BU55" i="2" s="1"/>
  <c r="BT50" i="2"/>
  <c r="BT55" i="2" s="1"/>
  <c r="BS50" i="2"/>
  <c r="BS55" i="2" s="1"/>
  <c r="BR50" i="2"/>
  <c r="BR55" i="2" s="1"/>
  <c r="BQ50" i="2"/>
  <c r="BQ55" i="2" s="1"/>
  <c r="BP50" i="2"/>
  <c r="BP55" i="2" s="1"/>
  <c r="BO50" i="2"/>
  <c r="BO55" i="2" s="1"/>
  <c r="BN50" i="2"/>
  <c r="BN55" i="2" s="1"/>
  <c r="BM50" i="2"/>
  <c r="BM55" i="2" s="1"/>
  <c r="BL50" i="2"/>
  <c r="BL55" i="2" s="1"/>
  <c r="BK50" i="2"/>
  <c r="BK55" i="2" s="1"/>
  <c r="BJ50" i="2"/>
  <c r="BJ55" i="2" s="1"/>
  <c r="BI50" i="2"/>
  <c r="BI55" i="2" s="1"/>
  <c r="BH50" i="2"/>
  <c r="BH55" i="2" s="1"/>
  <c r="BG50" i="2"/>
  <c r="BG55" i="2" s="1"/>
  <c r="BF50" i="2"/>
  <c r="BF55" i="2" s="1"/>
  <c r="BE50" i="2"/>
  <c r="BE55" i="2" s="1"/>
  <c r="BD50" i="2"/>
  <c r="BD55" i="2" s="1"/>
  <c r="BC50" i="2"/>
  <c r="BC55" i="2" s="1"/>
  <c r="BB50" i="2"/>
  <c r="BB55" i="2" s="1"/>
  <c r="BA50" i="2"/>
  <c r="BA55" i="2" s="1"/>
  <c r="AZ50" i="2"/>
  <c r="AZ55" i="2" s="1"/>
  <c r="AY50" i="2"/>
  <c r="AY55" i="2" s="1"/>
  <c r="AX50" i="2"/>
  <c r="AX55" i="2" s="1"/>
  <c r="AW50" i="2"/>
  <c r="AW55" i="2" s="1"/>
  <c r="AU50" i="2"/>
  <c r="AT50" i="2"/>
  <c r="AS50" i="2"/>
  <c r="AR50" i="2"/>
  <c r="AQ50" i="2"/>
  <c r="AP50" i="2"/>
  <c r="AO50" i="2"/>
  <c r="AN50" i="2"/>
  <c r="AM50" i="2"/>
  <c r="AL50" i="2"/>
  <c r="AK50" i="2"/>
  <c r="AJ50" i="2"/>
  <c r="AI50" i="2"/>
  <c r="AH50" i="2"/>
  <c r="AG50" i="2"/>
  <c r="AF50" i="2"/>
  <c r="AE50" i="2"/>
  <c r="AD50" i="2"/>
  <c r="AC50" i="2"/>
  <c r="AB50" i="2"/>
  <c r="AA50" i="2"/>
  <c r="Z50" i="2"/>
  <c r="Y50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I50" i="2"/>
  <c r="H50" i="2"/>
  <c r="E50" i="2"/>
  <c r="E55" i="2" s="1"/>
  <c r="D50" i="2"/>
  <c r="D55" i="2" s="1"/>
  <c r="DR49" i="2"/>
  <c r="DR54" i="2" s="1"/>
  <c r="DQ49" i="2"/>
  <c r="DQ54" i="2" s="1"/>
  <c r="DP49" i="2"/>
  <c r="DP54" i="2" s="1"/>
  <c r="DO49" i="2"/>
  <c r="DO54" i="2" s="1"/>
  <c r="DN49" i="2"/>
  <c r="DN54" i="2" s="1"/>
  <c r="DM49" i="2"/>
  <c r="DM54" i="2" s="1"/>
  <c r="DL49" i="2"/>
  <c r="DL54" i="2" s="1"/>
  <c r="DK49" i="2"/>
  <c r="DK54" i="2" s="1"/>
  <c r="DJ49" i="2"/>
  <c r="DJ54" i="2" s="1"/>
  <c r="DI49" i="2"/>
  <c r="DI54" i="2" s="1"/>
  <c r="DH49" i="2"/>
  <c r="DH54" i="2" s="1"/>
  <c r="DG49" i="2"/>
  <c r="DG54" i="2" s="1"/>
  <c r="DF49" i="2"/>
  <c r="DF54" i="2" s="1"/>
  <c r="DE49" i="2"/>
  <c r="DE54" i="2" s="1"/>
  <c r="DD49" i="2"/>
  <c r="DD54" i="2" s="1"/>
  <c r="DC49" i="2"/>
  <c r="DC54" i="2" s="1"/>
  <c r="DB49" i="2"/>
  <c r="DB54" i="2" s="1"/>
  <c r="DA49" i="2"/>
  <c r="DA54" i="2" s="1"/>
  <c r="CZ49" i="2"/>
  <c r="CZ54" i="2" s="1"/>
  <c r="CY49" i="2"/>
  <c r="CY54" i="2" s="1"/>
  <c r="CX49" i="2"/>
  <c r="CX54" i="2" s="1"/>
  <c r="CW49" i="2"/>
  <c r="CW54" i="2" s="1"/>
  <c r="CV49" i="2"/>
  <c r="CV54" i="2" s="1"/>
  <c r="CU49" i="2"/>
  <c r="CU54" i="2" s="1"/>
  <c r="CT49" i="2"/>
  <c r="CT54" i="2" s="1"/>
  <c r="CS49" i="2"/>
  <c r="CS54" i="2" s="1"/>
  <c r="CR49" i="2"/>
  <c r="CR54" i="2" s="1"/>
  <c r="CQ49" i="2"/>
  <c r="CQ54" i="2" s="1"/>
  <c r="CP49" i="2"/>
  <c r="CP54" i="2" s="1"/>
  <c r="CO49" i="2"/>
  <c r="CO54" i="2" s="1"/>
  <c r="CN49" i="2"/>
  <c r="CN54" i="2" s="1"/>
  <c r="CM49" i="2"/>
  <c r="CM54" i="2" s="1"/>
  <c r="CL49" i="2"/>
  <c r="CL54" i="2" s="1"/>
  <c r="CK49" i="2"/>
  <c r="CK54" i="2" s="1"/>
  <c r="CJ49" i="2"/>
  <c r="CJ54" i="2" s="1"/>
  <c r="CI49" i="2"/>
  <c r="CI54" i="2" s="1"/>
  <c r="CH49" i="2"/>
  <c r="CH54" i="2" s="1"/>
  <c r="CG49" i="2"/>
  <c r="CG54" i="2" s="1"/>
  <c r="CF49" i="2"/>
  <c r="CF54" i="2" s="1"/>
  <c r="CE49" i="2"/>
  <c r="CE54" i="2" s="1"/>
  <c r="CD49" i="2"/>
  <c r="CD54" i="2" s="1"/>
  <c r="CC49" i="2"/>
  <c r="CC54" i="2" s="1"/>
  <c r="CB49" i="2"/>
  <c r="CB54" i="2" s="1"/>
  <c r="CA49" i="2"/>
  <c r="CA54" i="2" s="1"/>
  <c r="BZ49" i="2"/>
  <c r="BZ54" i="2" s="1"/>
  <c r="BY49" i="2"/>
  <c r="BY54" i="2" s="1"/>
  <c r="BX49" i="2"/>
  <c r="BX54" i="2" s="1"/>
  <c r="BW49" i="2"/>
  <c r="BW54" i="2" s="1"/>
  <c r="BV49" i="2"/>
  <c r="BV54" i="2" s="1"/>
  <c r="BU49" i="2"/>
  <c r="BU54" i="2" s="1"/>
  <c r="BT49" i="2"/>
  <c r="BT54" i="2" s="1"/>
  <c r="BS49" i="2"/>
  <c r="BS54" i="2" s="1"/>
  <c r="BR49" i="2"/>
  <c r="BR54" i="2" s="1"/>
  <c r="BQ49" i="2"/>
  <c r="BQ54" i="2" s="1"/>
  <c r="BP49" i="2"/>
  <c r="BP54" i="2" s="1"/>
  <c r="BO49" i="2"/>
  <c r="BO54" i="2" s="1"/>
  <c r="BN49" i="2"/>
  <c r="BN54" i="2" s="1"/>
  <c r="BM49" i="2"/>
  <c r="BM54" i="2" s="1"/>
  <c r="BL49" i="2"/>
  <c r="BL54" i="2" s="1"/>
  <c r="BK49" i="2"/>
  <c r="BK54" i="2" s="1"/>
  <c r="BJ49" i="2"/>
  <c r="BJ54" i="2" s="1"/>
  <c r="BI49" i="2"/>
  <c r="BI54" i="2" s="1"/>
  <c r="BH49" i="2"/>
  <c r="BH54" i="2" s="1"/>
  <c r="BG49" i="2"/>
  <c r="BG54" i="2" s="1"/>
  <c r="BF49" i="2"/>
  <c r="BF54" i="2" s="1"/>
  <c r="BE49" i="2"/>
  <c r="BE54" i="2" s="1"/>
  <c r="BD49" i="2"/>
  <c r="BD54" i="2" s="1"/>
  <c r="BC49" i="2"/>
  <c r="BC54" i="2" s="1"/>
  <c r="BB49" i="2"/>
  <c r="BB54" i="2" s="1"/>
  <c r="BA49" i="2"/>
  <c r="BA54" i="2" s="1"/>
  <c r="AZ49" i="2"/>
  <c r="AZ54" i="2" s="1"/>
  <c r="AY49" i="2"/>
  <c r="AY54" i="2" s="1"/>
  <c r="AX49" i="2"/>
  <c r="AX54" i="2" s="1"/>
  <c r="AW49" i="2"/>
  <c r="AW54" i="2" s="1"/>
  <c r="AU49" i="2"/>
  <c r="AT49" i="2"/>
  <c r="AS49" i="2"/>
  <c r="AR49" i="2"/>
  <c r="AQ49" i="2"/>
  <c r="AP49" i="2"/>
  <c r="AO49" i="2"/>
  <c r="AN49" i="2"/>
  <c r="AM49" i="2"/>
  <c r="AL49" i="2"/>
  <c r="AK49" i="2"/>
  <c r="AJ49" i="2"/>
  <c r="AI49" i="2"/>
  <c r="AH49" i="2"/>
  <c r="AG49" i="2"/>
  <c r="AF49" i="2"/>
  <c r="AE49" i="2"/>
  <c r="AD49" i="2"/>
  <c r="AC49" i="2"/>
  <c r="AB49" i="2"/>
  <c r="AA49" i="2"/>
  <c r="Z49" i="2"/>
  <c r="Y49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J50" i="2" s="1"/>
  <c r="J51" i="2" s="1"/>
  <c r="J52" i="2" s="1"/>
  <c r="I49" i="2"/>
  <c r="H49" i="2"/>
  <c r="G49" i="2"/>
  <c r="G50" i="2" s="1"/>
  <c r="G51" i="2" s="1"/>
  <c r="G52" i="2" s="1"/>
  <c r="F49" i="2"/>
  <c r="F50" i="2" s="1"/>
  <c r="F51" i="2" s="1"/>
  <c r="F52" i="2" s="1"/>
  <c r="E49" i="2"/>
  <c r="E54" i="2" s="1"/>
  <c r="D49" i="2"/>
  <c r="D54" i="2" s="1"/>
  <c r="DR48" i="2"/>
  <c r="DR53" i="2" s="1"/>
  <c r="DQ48" i="2"/>
  <c r="DQ53" i="2" s="1"/>
  <c r="DP48" i="2"/>
  <c r="DP53" i="2" s="1"/>
  <c r="DO48" i="2"/>
  <c r="DO53" i="2" s="1"/>
  <c r="DN48" i="2"/>
  <c r="DN53" i="2" s="1"/>
  <c r="DM48" i="2"/>
  <c r="DM53" i="2" s="1"/>
  <c r="DL48" i="2"/>
  <c r="DL53" i="2" s="1"/>
  <c r="DK48" i="2"/>
  <c r="DK53" i="2" s="1"/>
  <c r="DJ48" i="2"/>
  <c r="DJ53" i="2" s="1"/>
  <c r="DI48" i="2"/>
  <c r="DI53" i="2" s="1"/>
  <c r="DH48" i="2"/>
  <c r="DH53" i="2" s="1"/>
  <c r="DG48" i="2"/>
  <c r="DG53" i="2" s="1"/>
  <c r="DF48" i="2"/>
  <c r="DF53" i="2" s="1"/>
  <c r="DE48" i="2"/>
  <c r="DE53" i="2" s="1"/>
  <c r="DD48" i="2"/>
  <c r="DD53" i="2" s="1"/>
  <c r="DC48" i="2"/>
  <c r="DC53" i="2" s="1"/>
  <c r="DB48" i="2"/>
  <c r="DB53" i="2" s="1"/>
  <c r="DA48" i="2"/>
  <c r="DA53" i="2" s="1"/>
  <c r="CZ48" i="2"/>
  <c r="CZ53" i="2" s="1"/>
  <c r="CY48" i="2"/>
  <c r="CY53" i="2" s="1"/>
  <c r="CX48" i="2"/>
  <c r="CX53" i="2" s="1"/>
  <c r="CW48" i="2"/>
  <c r="CW53" i="2" s="1"/>
  <c r="CV48" i="2"/>
  <c r="CV53" i="2" s="1"/>
  <c r="CU48" i="2"/>
  <c r="CU53" i="2" s="1"/>
  <c r="CT48" i="2"/>
  <c r="CT53" i="2" s="1"/>
  <c r="CS48" i="2"/>
  <c r="CS53" i="2" s="1"/>
  <c r="CR48" i="2"/>
  <c r="CR53" i="2" s="1"/>
  <c r="CQ48" i="2"/>
  <c r="CQ53" i="2" s="1"/>
  <c r="CP48" i="2"/>
  <c r="CP53" i="2" s="1"/>
  <c r="CO48" i="2"/>
  <c r="CO53" i="2" s="1"/>
  <c r="CN48" i="2"/>
  <c r="CN53" i="2" s="1"/>
  <c r="CM48" i="2"/>
  <c r="CM53" i="2" s="1"/>
  <c r="CL48" i="2"/>
  <c r="CL53" i="2" s="1"/>
  <c r="CK48" i="2"/>
  <c r="CK53" i="2" s="1"/>
  <c r="CJ48" i="2"/>
  <c r="CJ53" i="2" s="1"/>
  <c r="CI48" i="2"/>
  <c r="CI53" i="2" s="1"/>
  <c r="CH48" i="2"/>
  <c r="CH53" i="2" s="1"/>
  <c r="CG48" i="2"/>
  <c r="CG53" i="2" s="1"/>
  <c r="CF48" i="2"/>
  <c r="CF53" i="2" s="1"/>
  <c r="CE48" i="2"/>
  <c r="CE53" i="2" s="1"/>
  <c r="CD48" i="2"/>
  <c r="CD53" i="2" s="1"/>
  <c r="CC48" i="2"/>
  <c r="CC53" i="2" s="1"/>
  <c r="CB48" i="2"/>
  <c r="CB53" i="2" s="1"/>
  <c r="CA48" i="2"/>
  <c r="CA53" i="2" s="1"/>
  <c r="BZ48" i="2"/>
  <c r="BZ53" i="2" s="1"/>
  <c r="BY48" i="2"/>
  <c r="BY53" i="2" s="1"/>
  <c r="BX48" i="2"/>
  <c r="BX53" i="2" s="1"/>
  <c r="BW48" i="2"/>
  <c r="BW53" i="2" s="1"/>
  <c r="BV48" i="2"/>
  <c r="BV53" i="2" s="1"/>
  <c r="BU48" i="2"/>
  <c r="BU53" i="2" s="1"/>
  <c r="BT48" i="2"/>
  <c r="BT53" i="2" s="1"/>
  <c r="BS48" i="2"/>
  <c r="BS53" i="2" s="1"/>
  <c r="BR48" i="2"/>
  <c r="BR53" i="2" s="1"/>
  <c r="BQ48" i="2"/>
  <c r="BQ53" i="2" s="1"/>
  <c r="BP48" i="2"/>
  <c r="BP53" i="2" s="1"/>
  <c r="BO48" i="2"/>
  <c r="BO53" i="2" s="1"/>
  <c r="BN48" i="2"/>
  <c r="BN53" i="2" s="1"/>
  <c r="BM48" i="2"/>
  <c r="BM53" i="2" s="1"/>
  <c r="BL48" i="2"/>
  <c r="BL53" i="2" s="1"/>
  <c r="BK48" i="2"/>
  <c r="BK53" i="2" s="1"/>
  <c r="BJ48" i="2"/>
  <c r="BJ53" i="2" s="1"/>
  <c r="BI48" i="2"/>
  <c r="BI53" i="2" s="1"/>
  <c r="BH48" i="2"/>
  <c r="BH53" i="2" s="1"/>
  <c r="BG48" i="2"/>
  <c r="BG53" i="2" s="1"/>
  <c r="BF48" i="2"/>
  <c r="BF53" i="2" s="1"/>
  <c r="BE48" i="2"/>
  <c r="BE53" i="2" s="1"/>
  <c r="BD48" i="2"/>
  <c r="BD53" i="2" s="1"/>
  <c r="BC48" i="2"/>
  <c r="BC53" i="2" s="1"/>
  <c r="BB48" i="2"/>
  <c r="BB53" i="2" s="1"/>
  <c r="BA48" i="2"/>
  <c r="BA53" i="2" s="1"/>
  <c r="AZ48" i="2"/>
  <c r="AZ53" i="2" s="1"/>
  <c r="AY48" i="2"/>
  <c r="AY53" i="2" s="1"/>
  <c r="AX48" i="2"/>
  <c r="AX53" i="2" s="1"/>
  <c r="AW48" i="2"/>
  <c r="AW53" i="2" s="1"/>
  <c r="AU48" i="2"/>
  <c r="AT48" i="2"/>
  <c r="AS48" i="2"/>
  <c r="AR48" i="2"/>
  <c r="AQ48" i="2"/>
  <c r="AP48" i="2"/>
  <c r="AO48" i="2"/>
  <c r="AN48" i="2"/>
  <c r="AM48" i="2"/>
  <c r="AL48" i="2"/>
  <c r="AK48" i="2"/>
  <c r="AJ48" i="2"/>
  <c r="AI48" i="2"/>
  <c r="AH48" i="2"/>
  <c r="AG48" i="2"/>
  <c r="AF48" i="2"/>
  <c r="AE48" i="2"/>
  <c r="AD48" i="2"/>
  <c r="AC48" i="2"/>
  <c r="AB48" i="2"/>
  <c r="AA48" i="2"/>
  <c r="Z48" i="2"/>
  <c r="Y48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I48" i="2"/>
  <c r="H48" i="2"/>
  <c r="E48" i="2"/>
  <c r="E53" i="2" s="1"/>
  <c r="D48" i="2"/>
  <c r="D53" i="2" s="1"/>
  <c r="C48" i="2"/>
  <c r="AV44" i="2"/>
  <c r="AV45" i="2" s="1"/>
  <c r="AV46" i="2" s="1"/>
  <c r="AV47" i="2" s="1"/>
  <c r="AV48" i="2" s="1"/>
  <c r="AV49" i="2" s="1"/>
  <c r="AV50" i="2" s="1"/>
  <c r="AV51" i="2" s="1"/>
  <c r="AV52" i="2" s="1"/>
  <c r="AV53" i="2" s="1"/>
  <c r="AV54" i="2" s="1"/>
  <c r="AV55" i="2" s="1"/>
  <c r="AV56" i="2" s="1"/>
  <c r="AV57" i="2" s="1"/>
  <c r="G44" i="2"/>
  <c r="G45" i="2" s="1"/>
  <c r="G46" i="2" s="1"/>
  <c r="G47" i="2" s="1"/>
  <c r="F44" i="2"/>
  <c r="F45" i="2" s="1"/>
  <c r="F46" i="2" s="1"/>
  <c r="F47" i="2" s="1"/>
  <c r="C44" i="2"/>
  <c r="C45" i="2" s="1"/>
  <c r="C55" i="2" s="1"/>
  <c r="DR42" i="2"/>
  <c r="DQ42" i="2"/>
  <c r="DP42" i="2"/>
  <c r="DO42" i="2"/>
  <c r="DN42" i="2"/>
  <c r="DM42" i="2"/>
  <c r="DL42" i="2"/>
  <c r="DK42" i="2"/>
  <c r="DJ42" i="2"/>
  <c r="DI42" i="2"/>
  <c r="DH42" i="2"/>
  <c r="DG42" i="2"/>
  <c r="DF42" i="2"/>
  <c r="DE42" i="2"/>
  <c r="DD42" i="2"/>
  <c r="DC42" i="2"/>
  <c r="DB42" i="2"/>
  <c r="DA42" i="2"/>
  <c r="CZ42" i="2"/>
  <c r="CY42" i="2"/>
  <c r="CX42" i="2"/>
  <c r="CW42" i="2"/>
  <c r="CV42" i="2"/>
  <c r="CU42" i="2"/>
  <c r="CT42" i="2"/>
  <c r="CS42" i="2"/>
  <c r="CR42" i="2"/>
  <c r="CQ42" i="2"/>
  <c r="CP42" i="2"/>
  <c r="CO42" i="2"/>
  <c r="CN42" i="2"/>
  <c r="CM42" i="2"/>
  <c r="CL42" i="2"/>
  <c r="CK42" i="2"/>
  <c r="CJ42" i="2"/>
  <c r="CI42" i="2"/>
  <c r="CH42" i="2"/>
  <c r="CG42" i="2"/>
  <c r="CF42" i="2"/>
  <c r="CE42" i="2"/>
  <c r="CD42" i="2"/>
  <c r="CC42" i="2"/>
  <c r="CB42" i="2"/>
  <c r="CA42" i="2"/>
  <c r="BZ42" i="2"/>
  <c r="BY42" i="2"/>
  <c r="BX42" i="2"/>
  <c r="BW42" i="2"/>
  <c r="BV42" i="2"/>
  <c r="BU42" i="2"/>
  <c r="BT42" i="2"/>
  <c r="BS42" i="2"/>
  <c r="BR42" i="2"/>
  <c r="BQ42" i="2"/>
  <c r="BP42" i="2"/>
  <c r="BO42" i="2"/>
  <c r="BN42" i="2"/>
  <c r="BM42" i="2"/>
  <c r="BL42" i="2"/>
  <c r="BK42" i="2"/>
  <c r="BJ42" i="2"/>
  <c r="BI42" i="2"/>
  <c r="BH42" i="2"/>
  <c r="BG42" i="2"/>
  <c r="BF42" i="2"/>
  <c r="BE42" i="2"/>
  <c r="BD42" i="2"/>
  <c r="BC42" i="2"/>
  <c r="BB42" i="2"/>
  <c r="BA42" i="2"/>
  <c r="AZ42" i="2"/>
  <c r="AY42" i="2"/>
  <c r="AX42" i="2"/>
  <c r="AW42" i="2"/>
  <c r="AV42" i="2"/>
  <c r="AU42" i="2"/>
  <c r="AT42" i="2"/>
  <c r="AS42" i="2"/>
  <c r="AR42" i="2"/>
  <c r="AQ42" i="2"/>
  <c r="AP42" i="2"/>
  <c r="AO42" i="2"/>
  <c r="AN42" i="2"/>
  <c r="AM42" i="2"/>
  <c r="AL42" i="2"/>
  <c r="AK42" i="2"/>
  <c r="AJ42" i="2"/>
  <c r="AI42" i="2"/>
  <c r="AH42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T42" i="2"/>
  <c r="S42" i="2"/>
  <c r="R42" i="2"/>
  <c r="Q42" i="2"/>
  <c r="P42" i="2"/>
  <c r="O42" i="2"/>
  <c r="N42" i="2"/>
  <c r="L42" i="2"/>
  <c r="K42" i="2"/>
  <c r="J42" i="2"/>
  <c r="I42" i="2"/>
  <c r="H42" i="2"/>
  <c r="G42" i="2"/>
  <c r="E42" i="2"/>
  <c r="D42" i="2"/>
  <c r="C42" i="2"/>
  <c r="AV37" i="2"/>
  <c r="AV38" i="2" s="1"/>
  <c r="AV39" i="2" s="1"/>
  <c r="AV40" i="2" s="1"/>
  <c r="G37" i="2"/>
  <c r="G38" i="2" s="1"/>
  <c r="G39" i="2" s="1"/>
  <c r="G40" i="2" s="1"/>
  <c r="F37" i="2"/>
  <c r="F38" i="2" s="1"/>
  <c r="F39" i="2" s="1"/>
  <c r="F40" i="2" s="1"/>
  <c r="C37" i="2"/>
  <c r="C38" i="2" s="1"/>
  <c r="C39" i="2" s="1"/>
  <c r="C40" i="2" s="1"/>
  <c r="S32" i="2"/>
  <c r="R32" i="2"/>
  <c r="Q32" i="2"/>
  <c r="P32" i="2"/>
  <c r="O32" i="2"/>
  <c r="N32" i="2"/>
  <c r="M32" i="2"/>
  <c r="L32" i="2"/>
  <c r="K32" i="2"/>
  <c r="S31" i="2"/>
  <c r="R31" i="2"/>
  <c r="Q31" i="2"/>
  <c r="P31" i="2"/>
  <c r="O31" i="2"/>
  <c r="N31" i="2"/>
  <c r="M31" i="2"/>
  <c r="L31" i="2"/>
  <c r="K31" i="2"/>
  <c r="DR30" i="2"/>
  <c r="DR31" i="2" s="1"/>
  <c r="DR32" i="2" s="1"/>
  <c r="DQ30" i="2"/>
  <c r="DQ31" i="2" s="1"/>
  <c r="DQ32" i="2" s="1"/>
  <c r="DP30" i="2"/>
  <c r="DP31" i="2" s="1"/>
  <c r="DP32" i="2" s="1"/>
  <c r="DO30" i="2"/>
  <c r="DO31" i="2" s="1"/>
  <c r="DO32" i="2" s="1"/>
  <c r="DN30" i="2"/>
  <c r="DN31" i="2" s="1"/>
  <c r="DN32" i="2" s="1"/>
  <c r="DA30" i="2"/>
  <c r="DA31" i="2" s="1"/>
  <c r="DA32" i="2" s="1"/>
  <c r="CZ30" i="2"/>
  <c r="CZ31" i="2" s="1"/>
  <c r="CZ32" i="2" s="1"/>
  <c r="CY30" i="2"/>
  <c r="CY31" i="2" s="1"/>
  <c r="CY32" i="2" s="1"/>
  <c r="CX30" i="2"/>
  <c r="CX31" i="2" s="1"/>
  <c r="CX32" i="2" s="1"/>
  <c r="CW30" i="2"/>
  <c r="CW31" i="2" s="1"/>
  <c r="CW32" i="2" s="1"/>
  <c r="CV30" i="2"/>
  <c r="CV31" i="2" s="1"/>
  <c r="CV32" i="2" s="1"/>
  <c r="CU30" i="2"/>
  <c r="CU31" i="2" s="1"/>
  <c r="CU32" i="2" s="1"/>
  <c r="CT30" i="2"/>
  <c r="CT31" i="2" s="1"/>
  <c r="CT32" i="2" s="1"/>
  <c r="CS30" i="2"/>
  <c r="CS31" i="2" s="1"/>
  <c r="CS32" i="2" s="1"/>
  <c r="CR30" i="2"/>
  <c r="CR31" i="2" s="1"/>
  <c r="CR32" i="2" s="1"/>
  <c r="CQ30" i="2"/>
  <c r="CQ31" i="2" s="1"/>
  <c r="CQ32" i="2" s="1"/>
  <c r="CP30" i="2"/>
  <c r="CP31" i="2" s="1"/>
  <c r="CP32" i="2" s="1"/>
  <c r="CO30" i="2"/>
  <c r="CO31" i="2" s="1"/>
  <c r="CO32" i="2" s="1"/>
  <c r="CN30" i="2"/>
  <c r="CN31" i="2" s="1"/>
  <c r="CN32" i="2" s="1"/>
  <c r="CM30" i="2"/>
  <c r="CM31" i="2" s="1"/>
  <c r="CM32" i="2" s="1"/>
  <c r="CL30" i="2"/>
  <c r="CL31" i="2" s="1"/>
  <c r="CL32" i="2" s="1"/>
  <c r="CK30" i="2"/>
  <c r="CK31" i="2" s="1"/>
  <c r="CK32" i="2" s="1"/>
  <c r="CJ30" i="2"/>
  <c r="CJ31" i="2" s="1"/>
  <c r="CJ32" i="2" s="1"/>
  <c r="CI30" i="2"/>
  <c r="CI31" i="2" s="1"/>
  <c r="CI32" i="2" s="1"/>
  <c r="CH30" i="2"/>
  <c r="CH31" i="2" s="1"/>
  <c r="CH32" i="2" s="1"/>
  <c r="CG30" i="2"/>
  <c r="CG31" i="2" s="1"/>
  <c r="CG32" i="2" s="1"/>
  <c r="CF30" i="2"/>
  <c r="CF31" i="2" s="1"/>
  <c r="CF32" i="2" s="1"/>
  <c r="CE30" i="2"/>
  <c r="CE31" i="2" s="1"/>
  <c r="CE32" i="2" s="1"/>
  <c r="CD30" i="2"/>
  <c r="CD31" i="2" s="1"/>
  <c r="CD32" i="2" s="1"/>
  <c r="CC30" i="2"/>
  <c r="CC31" i="2" s="1"/>
  <c r="CC32" i="2" s="1"/>
  <c r="CB30" i="2"/>
  <c r="CB31" i="2" s="1"/>
  <c r="CB32" i="2" s="1"/>
  <c r="CA30" i="2"/>
  <c r="CA31" i="2" s="1"/>
  <c r="CA32" i="2" s="1"/>
  <c r="BZ30" i="2"/>
  <c r="BZ31" i="2" s="1"/>
  <c r="BZ32" i="2" s="1"/>
  <c r="BY30" i="2"/>
  <c r="BY31" i="2" s="1"/>
  <c r="BY32" i="2" s="1"/>
  <c r="BX30" i="2"/>
  <c r="BX31" i="2" s="1"/>
  <c r="BX32" i="2" s="1"/>
  <c r="BW30" i="2"/>
  <c r="BW31" i="2" s="1"/>
  <c r="BW32" i="2" s="1"/>
  <c r="BV30" i="2"/>
  <c r="BV31" i="2" s="1"/>
  <c r="BV32" i="2" s="1"/>
  <c r="BU30" i="2"/>
  <c r="BU31" i="2" s="1"/>
  <c r="BU32" i="2" s="1"/>
  <c r="BT30" i="2"/>
  <c r="BT31" i="2" s="1"/>
  <c r="BT32" i="2" s="1"/>
  <c r="BS30" i="2"/>
  <c r="BS31" i="2" s="1"/>
  <c r="BS32" i="2" s="1"/>
  <c r="BR30" i="2"/>
  <c r="BR31" i="2" s="1"/>
  <c r="BR32" i="2" s="1"/>
  <c r="BQ30" i="2"/>
  <c r="BQ31" i="2" s="1"/>
  <c r="BQ32" i="2" s="1"/>
  <c r="BP30" i="2"/>
  <c r="BP31" i="2" s="1"/>
  <c r="BP32" i="2" s="1"/>
  <c r="BO30" i="2"/>
  <c r="BO31" i="2" s="1"/>
  <c r="BO32" i="2" s="1"/>
  <c r="BN30" i="2"/>
  <c r="BN31" i="2" s="1"/>
  <c r="BN32" i="2" s="1"/>
  <c r="BM30" i="2"/>
  <c r="BM31" i="2" s="1"/>
  <c r="BM32" i="2" s="1"/>
  <c r="BL30" i="2"/>
  <c r="BL31" i="2" s="1"/>
  <c r="BL32" i="2" s="1"/>
  <c r="BK30" i="2"/>
  <c r="BK31" i="2" s="1"/>
  <c r="BK32" i="2" s="1"/>
  <c r="BJ30" i="2"/>
  <c r="BJ31" i="2" s="1"/>
  <c r="BJ32" i="2" s="1"/>
  <c r="BI30" i="2"/>
  <c r="BI31" i="2" s="1"/>
  <c r="BI32" i="2" s="1"/>
  <c r="BH30" i="2"/>
  <c r="BH31" i="2" s="1"/>
  <c r="BH32" i="2" s="1"/>
  <c r="BG30" i="2"/>
  <c r="BG31" i="2" s="1"/>
  <c r="BG32" i="2" s="1"/>
  <c r="BF30" i="2"/>
  <c r="BF31" i="2" s="1"/>
  <c r="BF32" i="2" s="1"/>
  <c r="BE30" i="2"/>
  <c r="BE31" i="2" s="1"/>
  <c r="BE32" i="2" s="1"/>
  <c r="BD30" i="2"/>
  <c r="BD31" i="2" s="1"/>
  <c r="BD32" i="2" s="1"/>
  <c r="BC30" i="2"/>
  <c r="BC31" i="2" s="1"/>
  <c r="BC32" i="2" s="1"/>
  <c r="BB30" i="2"/>
  <c r="BB31" i="2" s="1"/>
  <c r="BB32" i="2" s="1"/>
  <c r="BA30" i="2"/>
  <c r="BA31" i="2" s="1"/>
  <c r="BA32" i="2" s="1"/>
  <c r="AZ30" i="2"/>
  <c r="AZ31" i="2" s="1"/>
  <c r="AZ32" i="2" s="1"/>
  <c r="AY30" i="2"/>
  <c r="AY31" i="2" s="1"/>
  <c r="AY32" i="2" s="1"/>
  <c r="AX30" i="2"/>
  <c r="AX31" i="2" s="1"/>
  <c r="AX32" i="2" s="1"/>
  <c r="AW30" i="2"/>
  <c r="AW31" i="2" s="1"/>
  <c r="AW32" i="2" s="1"/>
  <c r="AV30" i="2"/>
  <c r="AV31" i="2" s="1"/>
  <c r="AV32" i="2" s="1"/>
  <c r="S30" i="2"/>
  <c r="R30" i="2"/>
  <c r="Q30" i="2"/>
  <c r="P30" i="2"/>
  <c r="O30" i="2"/>
  <c r="N30" i="2"/>
  <c r="M30" i="2"/>
  <c r="L30" i="2"/>
  <c r="K30" i="2"/>
  <c r="J30" i="2"/>
  <c r="J31" i="2" s="1"/>
  <c r="J32" i="2" s="1"/>
  <c r="G30" i="2"/>
  <c r="G31" i="2" s="1"/>
  <c r="G32" i="2" s="1"/>
  <c r="C30" i="2"/>
  <c r="C31" i="2" s="1"/>
  <c r="C32" i="2" s="1"/>
  <c r="A30" i="2"/>
  <c r="A31" i="2" s="1"/>
  <c r="A32" i="2" s="1"/>
  <c r="DR28" i="2"/>
  <c r="DQ28" i="2"/>
  <c r="DP28" i="2"/>
  <c r="DO28" i="2"/>
  <c r="DN28" i="2"/>
  <c r="DA28" i="2"/>
  <c r="CZ28" i="2"/>
  <c r="CY28" i="2"/>
  <c r="CX28" i="2"/>
  <c r="CW28" i="2"/>
  <c r="CV28" i="2"/>
  <c r="CU28" i="2"/>
  <c r="CT28" i="2"/>
  <c r="CS28" i="2"/>
  <c r="CR28" i="2"/>
  <c r="CQ28" i="2"/>
  <c r="CP28" i="2"/>
  <c r="CO28" i="2"/>
  <c r="CN28" i="2"/>
  <c r="CM28" i="2"/>
  <c r="CL28" i="2"/>
  <c r="CK28" i="2"/>
  <c r="CJ28" i="2"/>
  <c r="CI28" i="2"/>
  <c r="CH28" i="2"/>
  <c r="CG28" i="2"/>
  <c r="CF28" i="2"/>
  <c r="CE28" i="2"/>
  <c r="CD28" i="2"/>
  <c r="CC28" i="2"/>
  <c r="CB28" i="2"/>
  <c r="CA28" i="2"/>
  <c r="BZ28" i="2"/>
  <c r="BY28" i="2"/>
  <c r="BX28" i="2"/>
  <c r="BW28" i="2"/>
  <c r="BV28" i="2"/>
  <c r="BU28" i="2"/>
  <c r="BT28" i="2"/>
  <c r="BS28" i="2"/>
  <c r="BR28" i="2"/>
  <c r="BQ28" i="2"/>
  <c r="BP28" i="2"/>
  <c r="BO28" i="2"/>
  <c r="BN28" i="2"/>
  <c r="BM28" i="2"/>
  <c r="BL28" i="2"/>
  <c r="BK28" i="2"/>
  <c r="BJ28" i="2"/>
  <c r="BI28" i="2"/>
  <c r="BH28" i="2"/>
  <c r="BG28" i="2"/>
  <c r="BF28" i="2"/>
  <c r="BE28" i="2"/>
  <c r="BD28" i="2"/>
  <c r="BC28" i="2"/>
  <c r="BB28" i="2"/>
  <c r="BA28" i="2"/>
  <c r="AZ28" i="2"/>
  <c r="AY28" i="2"/>
  <c r="AX28" i="2"/>
  <c r="AW28" i="2"/>
  <c r="AV28" i="2"/>
  <c r="AU28" i="2"/>
  <c r="AT28" i="2"/>
  <c r="AS28" i="2"/>
  <c r="AR28" i="2"/>
  <c r="AQ28" i="2"/>
  <c r="AP28" i="2"/>
  <c r="AO28" i="2"/>
  <c r="AN28" i="2"/>
  <c r="AM28" i="2"/>
  <c r="AL28" i="2"/>
  <c r="AK28" i="2"/>
  <c r="AJ28" i="2"/>
  <c r="AI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L28" i="2"/>
  <c r="K28" i="2"/>
  <c r="J28" i="2"/>
  <c r="I28" i="2"/>
  <c r="H28" i="2"/>
  <c r="G28" i="2"/>
  <c r="E28" i="2"/>
  <c r="D28" i="2"/>
  <c r="C28" i="2"/>
  <c r="AV25" i="2"/>
  <c r="AU25" i="2"/>
  <c r="AT25" i="2"/>
  <c r="AS25" i="2"/>
  <c r="AR25" i="2"/>
  <c r="AQ25" i="2"/>
  <c r="AP25" i="2"/>
  <c r="AO25" i="2"/>
  <c r="AN25" i="2"/>
  <c r="AM25" i="2"/>
  <c r="AL25" i="2"/>
  <c r="AK25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C25" i="2"/>
  <c r="AU21" i="2"/>
  <c r="AT21" i="2"/>
  <c r="AS21" i="2"/>
  <c r="AR21" i="2"/>
  <c r="AQ21" i="2"/>
  <c r="AP21" i="2"/>
  <c r="AO21" i="2"/>
  <c r="AN21" i="2"/>
  <c r="AM21" i="2"/>
  <c r="AL21" i="2"/>
  <c r="AK21" i="2"/>
  <c r="AJ21" i="2"/>
  <c r="AI21" i="2"/>
  <c r="AH21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L21" i="2"/>
  <c r="K21" i="2"/>
  <c r="J21" i="2"/>
  <c r="I21" i="2"/>
  <c r="H21" i="2"/>
  <c r="G21" i="2"/>
  <c r="E21" i="2"/>
  <c r="D21" i="2"/>
  <c r="C21" i="2"/>
  <c r="DR20" i="2"/>
  <c r="DR21" i="2" s="1"/>
  <c r="DQ20" i="2"/>
  <c r="DQ21" i="2" s="1"/>
  <c r="DP20" i="2"/>
  <c r="DP21" i="2" s="1"/>
  <c r="DO20" i="2"/>
  <c r="DO21" i="2" s="1"/>
  <c r="DA20" i="2"/>
  <c r="DA21" i="2" s="1"/>
  <c r="CZ20" i="2"/>
  <c r="CZ21" i="2" s="1"/>
  <c r="CY20" i="2"/>
  <c r="CY21" i="2" s="1"/>
  <c r="CX20" i="2"/>
  <c r="CX21" i="2" s="1"/>
  <c r="CW20" i="2"/>
  <c r="CW21" i="2" s="1"/>
  <c r="CV20" i="2"/>
  <c r="CV21" i="2" s="1"/>
  <c r="CU20" i="2"/>
  <c r="CU21" i="2" s="1"/>
  <c r="CT20" i="2"/>
  <c r="CT21" i="2" s="1"/>
  <c r="CS20" i="2"/>
  <c r="CS21" i="2" s="1"/>
  <c r="CR20" i="2"/>
  <c r="CR21" i="2" s="1"/>
  <c r="CQ20" i="2"/>
  <c r="CQ21" i="2" s="1"/>
  <c r="CP20" i="2"/>
  <c r="CP21" i="2" s="1"/>
  <c r="CO20" i="2"/>
  <c r="CO21" i="2" s="1"/>
  <c r="CN20" i="2"/>
  <c r="CN21" i="2" s="1"/>
  <c r="CM20" i="2"/>
  <c r="CM21" i="2" s="1"/>
  <c r="CL20" i="2"/>
  <c r="CL21" i="2" s="1"/>
  <c r="CK20" i="2"/>
  <c r="CK21" i="2" s="1"/>
  <c r="CJ20" i="2"/>
  <c r="CJ21" i="2" s="1"/>
  <c r="CI20" i="2"/>
  <c r="CI21" i="2" s="1"/>
  <c r="CH20" i="2"/>
  <c r="CH21" i="2" s="1"/>
  <c r="CG20" i="2"/>
  <c r="CG21" i="2" s="1"/>
  <c r="CF20" i="2"/>
  <c r="CF21" i="2" s="1"/>
  <c r="CE20" i="2"/>
  <c r="CE21" i="2" s="1"/>
  <c r="CD20" i="2"/>
  <c r="CD21" i="2" s="1"/>
  <c r="CC20" i="2"/>
  <c r="CC21" i="2" s="1"/>
  <c r="CB20" i="2"/>
  <c r="CB21" i="2" s="1"/>
  <c r="CA20" i="2"/>
  <c r="CA21" i="2" s="1"/>
  <c r="BZ20" i="2"/>
  <c r="BZ21" i="2" s="1"/>
  <c r="BY20" i="2"/>
  <c r="BY21" i="2" s="1"/>
  <c r="BX20" i="2"/>
  <c r="BX21" i="2" s="1"/>
  <c r="BW20" i="2"/>
  <c r="BW21" i="2" s="1"/>
  <c r="BV20" i="2"/>
  <c r="BV21" i="2" s="1"/>
  <c r="BU20" i="2"/>
  <c r="BU21" i="2" s="1"/>
  <c r="BT20" i="2"/>
  <c r="BT21" i="2" s="1"/>
  <c r="BS20" i="2"/>
  <c r="BS21" i="2" s="1"/>
  <c r="BR20" i="2"/>
  <c r="BR21" i="2" s="1"/>
  <c r="BQ20" i="2"/>
  <c r="BQ21" i="2" s="1"/>
  <c r="BP20" i="2"/>
  <c r="BP21" i="2" s="1"/>
  <c r="BO20" i="2"/>
  <c r="BO21" i="2" s="1"/>
  <c r="BN20" i="2"/>
  <c r="BN21" i="2" s="1"/>
  <c r="BM20" i="2"/>
  <c r="BM21" i="2" s="1"/>
  <c r="BL20" i="2"/>
  <c r="BL21" i="2" s="1"/>
  <c r="BK20" i="2"/>
  <c r="BK21" i="2" s="1"/>
  <c r="BJ20" i="2"/>
  <c r="BJ21" i="2" s="1"/>
  <c r="BI20" i="2"/>
  <c r="BI21" i="2" s="1"/>
  <c r="BH20" i="2"/>
  <c r="BH21" i="2" s="1"/>
  <c r="BG20" i="2"/>
  <c r="BG21" i="2" s="1"/>
  <c r="BF20" i="2"/>
  <c r="BF21" i="2" s="1"/>
  <c r="BE20" i="2"/>
  <c r="BE21" i="2" s="1"/>
  <c r="BD20" i="2"/>
  <c r="BD21" i="2" s="1"/>
  <c r="BC20" i="2"/>
  <c r="BC21" i="2" s="1"/>
  <c r="BB20" i="2"/>
  <c r="BB21" i="2" s="1"/>
  <c r="BA20" i="2"/>
  <c r="BA21" i="2" s="1"/>
  <c r="AZ20" i="2"/>
  <c r="AZ21" i="2" s="1"/>
  <c r="AY20" i="2"/>
  <c r="AY21" i="2" s="1"/>
  <c r="AX20" i="2"/>
  <c r="AX21" i="2" s="1"/>
  <c r="AW20" i="2"/>
  <c r="AW21" i="2" s="1"/>
  <c r="AV20" i="2"/>
  <c r="AV21" i="2" s="1"/>
  <c r="J16" i="2"/>
  <c r="J121" i="2" s="1"/>
  <c r="G16" i="2"/>
  <c r="G121" i="2" s="1"/>
  <c r="F16" i="2"/>
  <c r="F121" i="2" s="1"/>
  <c r="C16" i="2"/>
  <c r="C121" i="2" s="1"/>
  <c r="DR13" i="2"/>
  <c r="DR14" i="2" s="1"/>
  <c r="DR15" i="2" s="1"/>
  <c r="DQ13" i="2"/>
  <c r="DQ14" i="2" s="1"/>
  <c r="DQ15" i="2" s="1"/>
  <c r="DP13" i="2"/>
  <c r="DP14" i="2" s="1"/>
  <c r="DP15" i="2" s="1"/>
  <c r="DO13" i="2"/>
  <c r="DO14" i="2" s="1"/>
  <c r="DO15" i="2" s="1"/>
  <c r="DA13" i="2"/>
  <c r="DA14" i="2" s="1"/>
  <c r="DA15" i="2" s="1"/>
  <c r="CZ13" i="2"/>
  <c r="CZ14" i="2" s="1"/>
  <c r="CZ15" i="2" s="1"/>
  <c r="CY13" i="2"/>
  <c r="CY14" i="2" s="1"/>
  <c r="CY15" i="2" s="1"/>
  <c r="CX13" i="2"/>
  <c r="CX14" i="2" s="1"/>
  <c r="CX15" i="2" s="1"/>
  <c r="CW13" i="2"/>
  <c r="CW14" i="2" s="1"/>
  <c r="CW15" i="2" s="1"/>
  <c r="CW120" i="2" s="1"/>
  <c r="CV13" i="2"/>
  <c r="CV14" i="2" s="1"/>
  <c r="CV15" i="2" s="1"/>
  <c r="CU13" i="2"/>
  <c r="CU14" i="2" s="1"/>
  <c r="CU15" i="2" s="1"/>
  <c r="CT13" i="2"/>
  <c r="CT14" i="2" s="1"/>
  <c r="CT15" i="2" s="1"/>
  <c r="CS13" i="2"/>
  <c r="CS14" i="2" s="1"/>
  <c r="CS15" i="2" s="1"/>
  <c r="CS120" i="2" s="1"/>
  <c r="CR13" i="2"/>
  <c r="CR14" i="2" s="1"/>
  <c r="CR15" i="2" s="1"/>
  <c r="CQ13" i="2"/>
  <c r="CQ14" i="2" s="1"/>
  <c r="CQ15" i="2" s="1"/>
  <c r="CQ120" i="2" s="1"/>
  <c r="CP13" i="2"/>
  <c r="CP14" i="2" s="1"/>
  <c r="CP15" i="2" s="1"/>
  <c r="CO13" i="2"/>
  <c r="CO14" i="2" s="1"/>
  <c r="CO15" i="2" s="1"/>
  <c r="CN13" i="2"/>
  <c r="CN14" i="2" s="1"/>
  <c r="CN15" i="2" s="1"/>
  <c r="CM13" i="2"/>
  <c r="CM14" i="2" s="1"/>
  <c r="CM15" i="2" s="1"/>
  <c r="CM120" i="2" s="1"/>
  <c r="CL13" i="2"/>
  <c r="CL14" i="2" s="1"/>
  <c r="CL15" i="2" s="1"/>
  <c r="CK13" i="2"/>
  <c r="CK14" i="2" s="1"/>
  <c r="CK15" i="2" s="1"/>
  <c r="CK120" i="2" s="1"/>
  <c r="CJ13" i="2"/>
  <c r="CJ14" i="2" s="1"/>
  <c r="CJ15" i="2" s="1"/>
  <c r="CJ120" i="2" s="1"/>
  <c r="CI13" i="2"/>
  <c r="CI14" i="2" s="1"/>
  <c r="CI15" i="2" s="1"/>
  <c r="CH13" i="2"/>
  <c r="CH14" i="2" s="1"/>
  <c r="CH15" i="2" s="1"/>
  <c r="CG13" i="2"/>
  <c r="CG14" i="2" s="1"/>
  <c r="CG15" i="2" s="1"/>
  <c r="CF13" i="2"/>
  <c r="CF14" i="2" s="1"/>
  <c r="CF15" i="2" s="1"/>
  <c r="CE13" i="2"/>
  <c r="CE14" i="2" s="1"/>
  <c r="CE15" i="2" s="1"/>
  <c r="CD13" i="2"/>
  <c r="CD14" i="2" s="1"/>
  <c r="CD15" i="2" s="1"/>
  <c r="CD120" i="2" s="1"/>
  <c r="CC13" i="2"/>
  <c r="CC14" i="2" s="1"/>
  <c r="CC15" i="2" s="1"/>
  <c r="CB13" i="2"/>
  <c r="CB14" i="2" s="1"/>
  <c r="CB15" i="2" s="1"/>
  <c r="CA13" i="2"/>
  <c r="CA14" i="2" s="1"/>
  <c r="CA15" i="2" s="1"/>
  <c r="BZ13" i="2"/>
  <c r="BZ14" i="2" s="1"/>
  <c r="BZ15" i="2" s="1"/>
  <c r="BY13" i="2"/>
  <c r="BY14" i="2" s="1"/>
  <c r="BY15" i="2" s="1"/>
  <c r="BX13" i="2"/>
  <c r="BX14" i="2" s="1"/>
  <c r="BX15" i="2" s="1"/>
  <c r="BX120" i="2" s="1"/>
  <c r="BW13" i="2"/>
  <c r="BW14" i="2" s="1"/>
  <c r="BW15" i="2" s="1"/>
  <c r="BW120" i="2" s="1"/>
  <c r="BV13" i="2"/>
  <c r="BV14" i="2" s="1"/>
  <c r="BV15" i="2" s="1"/>
  <c r="BU13" i="2"/>
  <c r="BU14" i="2" s="1"/>
  <c r="BU15" i="2" s="1"/>
  <c r="BT13" i="2"/>
  <c r="BT14" i="2" s="1"/>
  <c r="BT15" i="2" s="1"/>
  <c r="BS13" i="2"/>
  <c r="BS14" i="2" s="1"/>
  <c r="BS15" i="2" s="1"/>
  <c r="BS120" i="2" s="1"/>
  <c r="BR13" i="2"/>
  <c r="BR14" i="2" s="1"/>
  <c r="BR15" i="2" s="1"/>
  <c r="BQ13" i="2"/>
  <c r="BQ14" i="2" s="1"/>
  <c r="BQ15" i="2" s="1"/>
  <c r="BP13" i="2"/>
  <c r="BP14" i="2" s="1"/>
  <c r="BP15" i="2" s="1"/>
  <c r="BO13" i="2"/>
  <c r="BO14" i="2" s="1"/>
  <c r="BO15" i="2" s="1"/>
  <c r="BN13" i="2"/>
  <c r="BN14" i="2" s="1"/>
  <c r="BN15" i="2" s="1"/>
  <c r="BM13" i="2"/>
  <c r="BM14" i="2" s="1"/>
  <c r="BM15" i="2" s="1"/>
  <c r="BL13" i="2"/>
  <c r="BL14" i="2" s="1"/>
  <c r="BL15" i="2" s="1"/>
  <c r="BL120" i="2" s="1"/>
  <c r="BK13" i="2"/>
  <c r="BK14" i="2" s="1"/>
  <c r="BK15" i="2" s="1"/>
  <c r="BJ13" i="2"/>
  <c r="BJ14" i="2" s="1"/>
  <c r="BJ15" i="2" s="1"/>
  <c r="BJ120" i="2" s="1"/>
  <c r="BI13" i="2"/>
  <c r="BI14" i="2" s="1"/>
  <c r="BI15" i="2" s="1"/>
  <c r="BH13" i="2"/>
  <c r="BH14" i="2" s="1"/>
  <c r="BH15" i="2" s="1"/>
  <c r="BG13" i="2"/>
  <c r="BG14" i="2" s="1"/>
  <c r="BG15" i="2" s="1"/>
  <c r="BG120" i="2" s="1"/>
  <c r="BF13" i="2"/>
  <c r="BF14" i="2" s="1"/>
  <c r="BF15" i="2" s="1"/>
  <c r="BE13" i="2"/>
  <c r="BE14" i="2" s="1"/>
  <c r="BE15" i="2" s="1"/>
  <c r="BD13" i="2"/>
  <c r="BD14" i="2" s="1"/>
  <c r="BD15" i="2" s="1"/>
  <c r="BC13" i="2"/>
  <c r="BC14" i="2" s="1"/>
  <c r="BC15" i="2" s="1"/>
  <c r="BB13" i="2"/>
  <c r="BB14" i="2" s="1"/>
  <c r="BB15" i="2" s="1"/>
  <c r="BA13" i="2"/>
  <c r="BA14" i="2" s="1"/>
  <c r="BA15" i="2" s="1"/>
  <c r="AZ13" i="2"/>
  <c r="AZ14" i="2" s="1"/>
  <c r="AZ15" i="2" s="1"/>
  <c r="AZ120" i="2" s="1"/>
  <c r="AY13" i="2"/>
  <c r="AY14" i="2" s="1"/>
  <c r="AY15" i="2" s="1"/>
  <c r="AY120" i="2" s="1"/>
  <c r="AX13" i="2"/>
  <c r="AX14" i="2" s="1"/>
  <c r="AX15" i="2" s="1"/>
  <c r="AW13" i="2"/>
  <c r="AW14" i="2" s="1"/>
  <c r="AW15" i="2" s="1"/>
  <c r="AW120" i="2" s="1"/>
  <c r="AV13" i="2"/>
  <c r="AV14" i="2" s="1"/>
  <c r="AV15" i="2" s="1"/>
  <c r="J13" i="2"/>
  <c r="J14" i="2" s="1"/>
  <c r="G13" i="2"/>
  <c r="G14" i="2" s="1"/>
  <c r="F13" i="2"/>
  <c r="F14" i="2" s="1"/>
  <c r="C13" i="2"/>
  <c r="C14" i="2" s="1"/>
  <c r="J10" i="2"/>
  <c r="J11" i="2" s="1"/>
  <c r="G10" i="2"/>
  <c r="G11" i="2" s="1"/>
  <c r="F10" i="2"/>
  <c r="F11" i="2" s="1"/>
  <c r="C10" i="2"/>
  <c r="C11" i="2" s="1"/>
  <c r="DR8" i="2"/>
  <c r="DQ8" i="2"/>
  <c r="DP8" i="2"/>
  <c r="DO8" i="2"/>
  <c r="DN8" i="2"/>
  <c r="DA8" i="2"/>
  <c r="CZ8" i="2"/>
  <c r="CY8" i="2"/>
  <c r="CX8" i="2"/>
  <c r="CW8" i="2"/>
  <c r="CV8" i="2"/>
  <c r="CU8" i="2"/>
  <c r="CT8" i="2"/>
  <c r="CS8" i="2"/>
  <c r="CR8" i="2"/>
  <c r="CQ8" i="2"/>
  <c r="CP8" i="2"/>
  <c r="CO8" i="2"/>
  <c r="CN8" i="2"/>
  <c r="CM8" i="2"/>
  <c r="CL8" i="2"/>
  <c r="CK8" i="2"/>
  <c r="CJ8" i="2"/>
  <c r="CI8" i="2"/>
  <c r="CH8" i="2"/>
  <c r="CG8" i="2"/>
  <c r="CF8" i="2"/>
  <c r="CE8" i="2"/>
  <c r="CD8" i="2"/>
  <c r="CC8" i="2"/>
  <c r="CB8" i="2"/>
  <c r="CA8" i="2"/>
  <c r="BZ8" i="2"/>
  <c r="BY8" i="2"/>
  <c r="BX8" i="2"/>
  <c r="BW8" i="2"/>
  <c r="BV8" i="2"/>
  <c r="BU8" i="2"/>
  <c r="BT8" i="2"/>
  <c r="BS8" i="2"/>
  <c r="BR8" i="2"/>
  <c r="BQ8" i="2"/>
  <c r="BP8" i="2"/>
  <c r="BO8" i="2"/>
  <c r="BN8" i="2"/>
  <c r="BM8" i="2"/>
  <c r="BL8" i="2"/>
  <c r="BK8" i="2"/>
  <c r="BJ8" i="2"/>
  <c r="BI8" i="2"/>
  <c r="BH8" i="2"/>
  <c r="BG8" i="2"/>
  <c r="BF8" i="2"/>
  <c r="BE8" i="2"/>
  <c r="BD8" i="2"/>
  <c r="BC8" i="2"/>
  <c r="BB8" i="2"/>
  <c r="BA8" i="2"/>
  <c r="AZ8" i="2"/>
  <c r="AY8" i="2"/>
  <c r="AX8" i="2"/>
  <c r="AW8" i="2"/>
  <c r="AV8" i="2"/>
  <c r="AU8" i="2"/>
  <c r="AT8" i="2"/>
  <c r="AS8" i="2"/>
  <c r="AR8" i="2"/>
  <c r="AQ8" i="2"/>
  <c r="AP8" i="2"/>
  <c r="AO8" i="2"/>
  <c r="AN8" i="2"/>
  <c r="AM8" i="2"/>
  <c r="AL8" i="2"/>
  <c r="AK8" i="2"/>
  <c r="AJ8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L8" i="2"/>
  <c r="K8" i="2"/>
  <c r="J8" i="2"/>
  <c r="I8" i="2"/>
  <c r="H8" i="2"/>
  <c r="G8" i="2"/>
  <c r="C8" i="2"/>
  <c r="DR5" i="2"/>
  <c r="DQ5" i="2"/>
  <c r="DP5" i="2"/>
  <c r="DO5" i="2"/>
  <c r="DN5" i="2"/>
  <c r="DM5" i="2"/>
  <c r="DL5" i="2"/>
  <c r="DK5" i="2"/>
  <c r="DJ5" i="2"/>
  <c r="DI5" i="2"/>
  <c r="DH5" i="2"/>
  <c r="DG5" i="2"/>
  <c r="DF5" i="2"/>
  <c r="DE5" i="2"/>
  <c r="DD5" i="2"/>
  <c r="DC5" i="2"/>
  <c r="DB5" i="2"/>
  <c r="DA5" i="2"/>
  <c r="CZ5" i="2"/>
  <c r="CY5" i="2"/>
  <c r="CX5" i="2"/>
  <c r="CW5" i="2"/>
  <c r="CV5" i="2"/>
  <c r="CU5" i="2"/>
  <c r="CT5" i="2"/>
  <c r="CS5" i="2"/>
  <c r="CR5" i="2"/>
  <c r="CQ5" i="2"/>
  <c r="CP5" i="2"/>
  <c r="CO5" i="2"/>
  <c r="CN5" i="2"/>
  <c r="CM5" i="2"/>
  <c r="CL5" i="2"/>
  <c r="CK5" i="2"/>
  <c r="CJ5" i="2"/>
  <c r="CI5" i="2"/>
  <c r="CH5" i="2"/>
  <c r="CG5" i="2"/>
  <c r="CF5" i="2"/>
  <c r="CE5" i="2"/>
  <c r="CD5" i="2"/>
  <c r="CC5" i="2"/>
  <c r="CB5" i="2"/>
  <c r="CA5" i="2"/>
  <c r="BZ5" i="2"/>
  <c r="BY5" i="2"/>
  <c r="BX5" i="2"/>
  <c r="BW5" i="2"/>
  <c r="BV5" i="2"/>
  <c r="BU5" i="2"/>
  <c r="BT5" i="2"/>
  <c r="BS5" i="2"/>
  <c r="BR5" i="2"/>
  <c r="BQ5" i="2"/>
  <c r="BP5" i="2"/>
  <c r="BO5" i="2"/>
  <c r="BN5" i="2"/>
  <c r="BM5" i="2"/>
  <c r="BL5" i="2"/>
  <c r="BK5" i="2"/>
  <c r="BJ5" i="2"/>
  <c r="BI5" i="2"/>
  <c r="BH5" i="2"/>
  <c r="BG5" i="2"/>
  <c r="BF5" i="2"/>
  <c r="BE5" i="2"/>
  <c r="BD5" i="2"/>
  <c r="BC5" i="2"/>
  <c r="BB5" i="2"/>
  <c r="BA5" i="2"/>
  <c r="AZ5" i="2"/>
  <c r="AY5" i="2"/>
  <c r="AX5" i="2"/>
  <c r="AW5" i="2"/>
  <c r="AV5" i="2"/>
  <c r="AU5" i="2"/>
  <c r="AT5" i="2"/>
  <c r="AS5" i="2"/>
  <c r="AR5" i="2"/>
  <c r="AQ5" i="2"/>
  <c r="AP5" i="2"/>
  <c r="AO5" i="2"/>
  <c r="AN5" i="2"/>
  <c r="AM5" i="2"/>
  <c r="AL5" i="2"/>
  <c r="AK5" i="2"/>
  <c r="AJ5" i="2"/>
  <c r="AI5" i="2"/>
  <c r="AH5" i="2"/>
  <c r="AG5" i="2"/>
  <c r="AF5" i="2"/>
  <c r="AE5" i="2"/>
  <c r="AD5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G5" i="2"/>
  <c r="E5" i="2"/>
  <c r="D5" i="2"/>
  <c r="C5" i="2"/>
  <c r="D120" i="5" l="1"/>
  <c r="D17" i="5"/>
  <c r="D121" i="5" s="1"/>
  <c r="C64" i="2"/>
  <c r="C66" i="2"/>
  <c r="CR120" i="2"/>
  <c r="CR16" i="2"/>
  <c r="AV120" i="2"/>
  <c r="AV16" i="2"/>
  <c r="BT120" i="2"/>
  <c r="BT16" i="2"/>
  <c r="BU120" i="2"/>
  <c r="BU16" i="2"/>
  <c r="CU120" i="2"/>
  <c r="CU16" i="2"/>
  <c r="CP120" i="2"/>
  <c r="CP16" i="2"/>
  <c r="BA120" i="2"/>
  <c r="BA16" i="2"/>
  <c r="BM120" i="2"/>
  <c r="BM16" i="2"/>
  <c r="BY120" i="2"/>
  <c r="BY16" i="2"/>
  <c r="AX120" i="2"/>
  <c r="AX16" i="2"/>
  <c r="BV120" i="2"/>
  <c r="BV16" i="2"/>
  <c r="CL120" i="2"/>
  <c r="CL16" i="2"/>
  <c r="BB120" i="2"/>
  <c r="BB16" i="2"/>
  <c r="BC120" i="2"/>
  <c r="BC16" i="2"/>
  <c r="CX120" i="2"/>
  <c r="CX16" i="2"/>
  <c r="CA120" i="2"/>
  <c r="CA16" i="2"/>
  <c r="BD120" i="2"/>
  <c r="BD16" i="2"/>
  <c r="BP120" i="2"/>
  <c r="BP16" i="2"/>
  <c r="CB120" i="2"/>
  <c r="CB16" i="2"/>
  <c r="CN120" i="2"/>
  <c r="CN16" i="2"/>
  <c r="CZ120" i="2"/>
  <c r="CZ16" i="2"/>
  <c r="CC120" i="2"/>
  <c r="CC16" i="2"/>
  <c r="BN120" i="2"/>
  <c r="BN16" i="2"/>
  <c r="BO120" i="2"/>
  <c r="BO16" i="2"/>
  <c r="CV120" i="2"/>
  <c r="CV16" i="2"/>
  <c r="BE120" i="2"/>
  <c r="BE16" i="2"/>
  <c r="BZ120" i="2"/>
  <c r="BZ16" i="2"/>
  <c r="CY120" i="2"/>
  <c r="CY16" i="2"/>
  <c r="BQ120" i="2"/>
  <c r="BQ16" i="2"/>
  <c r="CO120" i="2"/>
  <c r="CO16" i="2"/>
  <c r="BH120" i="2"/>
  <c r="BH16" i="2"/>
  <c r="DA120" i="2"/>
  <c r="DA16" i="2"/>
  <c r="BF120" i="2"/>
  <c r="BF16" i="2"/>
  <c r="BR120" i="2"/>
  <c r="BR16" i="2"/>
  <c r="DO120" i="2"/>
  <c r="DO16" i="2"/>
  <c r="BI120" i="2"/>
  <c r="BI16" i="2"/>
  <c r="CG120" i="2"/>
  <c r="CG16" i="2"/>
  <c r="DP120" i="2"/>
  <c r="DP16" i="2"/>
  <c r="CT120" i="2"/>
  <c r="CT16" i="2"/>
  <c r="CE120" i="2"/>
  <c r="CE16" i="2"/>
  <c r="CI120" i="2"/>
  <c r="CI16" i="2"/>
  <c r="BK120" i="2"/>
  <c r="BK16" i="2"/>
  <c r="CF120" i="2"/>
  <c r="CF16" i="2"/>
  <c r="DQ120" i="2"/>
  <c r="DQ16" i="2"/>
  <c r="DR120" i="2"/>
  <c r="DR16" i="2"/>
  <c r="CH120" i="2"/>
  <c r="CH16" i="2"/>
  <c r="CW16" i="2"/>
  <c r="BX16" i="2"/>
  <c r="CK16" i="2"/>
  <c r="AW16" i="2"/>
  <c r="AY16" i="2"/>
  <c r="BL16" i="2"/>
  <c r="CJ16" i="2"/>
  <c r="BJ16" i="2"/>
  <c r="AZ16" i="2"/>
  <c r="C54" i="2"/>
  <c r="C49" i="2"/>
  <c r="CM16" i="2"/>
  <c r="BW16" i="2"/>
  <c r="CD16" i="2"/>
  <c r="CQ16" i="2"/>
  <c r="CS16" i="2"/>
  <c r="C17" i="2"/>
  <c r="C122" i="2" s="1"/>
  <c r="C46" i="2"/>
  <c r="C50" i="2"/>
  <c r="BS16" i="2"/>
  <c r="F17" i="2"/>
  <c r="F122" i="2" s="1"/>
  <c r="BG16" i="2"/>
  <c r="G17" i="2"/>
  <c r="G122" i="2" s="1"/>
  <c r="J17" i="2"/>
  <c r="J122" i="2" s="1"/>
  <c r="DD120" i="2"/>
  <c r="DD16" i="2"/>
  <c r="C65" i="2"/>
  <c r="C68" i="2" s="1"/>
  <c r="C67" i="2"/>
  <c r="DE16" i="2"/>
  <c r="DE120" i="2"/>
  <c r="DC16" i="2"/>
  <c r="DC120" i="2"/>
  <c r="DB120" i="2"/>
  <c r="DB16" i="2"/>
  <c r="DH120" i="2"/>
  <c r="DI120" i="2"/>
  <c r="DF120" i="2"/>
  <c r="DJ120" i="2"/>
  <c r="DG120" i="2"/>
  <c r="DK120" i="2"/>
  <c r="DN120" i="2"/>
  <c r="DM120" i="2"/>
  <c r="DL120" i="2"/>
  <c r="DQ121" i="2" l="1"/>
  <c r="DQ17" i="2"/>
  <c r="DQ122" i="2" s="1"/>
  <c r="BE121" i="2"/>
  <c r="BE17" i="2"/>
  <c r="BE122" i="2" s="1"/>
  <c r="CS121" i="2"/>
  <c r="CS17" i="2"/>
  <c r="CS122" i="2" s="1"/>
  <c r="BK121" i="2"/>
  <c r="BK17" i="2"/>
  <c r="BK122" i="2" s="1"/>
  <c r="CO121" i="2"/>
  <c r="CO17" i="2"/>
  <c r="CO122" i="2" s="1"/>
  <c r="BP121" i="2"/>
  <c r="BP17" i="2"/>
  <c r="BP122" i="2" s="1"/>
  <c r="CL121" i="2"/>
  <c r="CL17" i="2"/>
  <c r="CL122" i="2" s="1"/>
  <c r="CQ121" i="2"/>
  <c r="CQ17" i="2"/>
  <c r="CQ122" i="2" s="1"/>
  <c r="CK121" i="2"/>
  <c r="CK17" i="2"/>
  <c r="CK122" i="2" s="1"/>
  <c r="BJ121" i="2"/>
  <c r="BJ17" i="2"/>
  <c r="BJ122" i="2" s="1"/>
  <c r="BC121" i="2"/>
  <c r="BC17" i="2"/>
  <c r="BC122" i="2" s="1"/>
  <c r="AW121" i="2"/>
  <c r="AW17" i="2"/>
  <c r="AW122" i="2" s="1"/>
  <c r="BI121" i="2"/>
  <c r="BI17" i="2"/>
  <c r="BI122" i="2" s="1"/>
  <c r="BO121" i="2"/>
  <c r="BO17" i="2"/>
  <c r="BO122" i="2" s="1"/>
  <c r="CP121" i="2"/>
  <c r="CP17" i="2"/>
  <c r="CP122" i="2" s="1"/>
  <c r="DD121" i="2"/>
  <c r="DD17" i="2"/>
  <c r="DD122" i="2" s="1"/>
  <c r="CD121" i="2"/>
  <c r="CD17" i="2"/>
  <c r="CD122" i="2" s="1"/>
  <c r="BX121" i="2"/>
  <c r="BX17" i="2"/>
  <c r="BX122" i="2" s="1"/>
  <c r="CI121" i="2"/>
  <c r="CI17" i="2"/>
  <c r="CI122" i="2" s="1"/>
  <c r="DO121" i="2"/>
  <c r="DO17" i="2"/>
  <c r="DO122" i="2" s="1"/>
  <c r="BQ121" i="2"/>
  <c r="BQ17" i="2"/>
  <c r="BQ122" i="2" s="1"/>
  <c r="BN121" i="2"/>
  <c r="BN17" i="2"/>
  <c r="BN122" i="2" s="1"/>
  <c r="BD121" i="2"/>
  <c r="BD17" i="2"/>
  <c r="BD122" i="2" s="1"/>
  <c r="BV121" i="2"/>
  <c r="BV17" i="2"/>
  <c r="BV122" i="2" s="1"/>
  <c r="CU121" i="2"/>
  <c r="CU17" i="2"/>
  <c r="CU122" i="2" s="1"/>
  <c r="DP121" i="2"/>
  <c r="DP17" i="2"/>
  <c r="DP122" i="2" s="1"/>
  <c r="CN121" i="2"/>
  <c r="CN17" i="2"/>
  <c r="CN122" i="2" s="1"/>
  <c r="CW121" i="2"/>
  <c r="CW17" i="2"/>
  <c r="CW122" i="2" s="1"/>
  <c r="CM121" i="2"/>
  <c r="CM17" i="2"/>
  <c r="CM122" i="2" s="1"/>
  <c r="CH121" i="2"/>
  <c r="CH17" i="2"/>
  <c r="CH122" i="2" s="1"/>
  <c r="CE121" i="2"/>
  <c r="CE17" i="2"/>
  <c r="CE122" i="2" s="1"/>
  <c r="BR121" i="2"/>
  <c r="BR17" i="2"/>
  <c r="BR122" i="2" s="1"/>
  <c r="CY121" i="2"/>
  <c r="CY17" i="2"/>
  <c r="CY122" i="2" s="1"/>
  <c r="CC121" i="2"/>
  <c r="CC17" i="2"/>
  <c r="CC122" i="2" s="1"/>
  <c r="CA121" i="2"/>
  <c r="CA17" i="2"/>
  <c r="CA122" i="2" s="1"/>
  <c r="AX121" i="2"/>
  <c r="AX17" i="2"/>
  <c r="AX122" i="2" s="1"/>
  <c r="BU121" i="2"/>
  <c r="BU17" i="2"/>
  <c r="BU122" i="2" s="1"/>
  <c r="BS121" i="2"/>
  <c r="BS17" i="2"/>
  <c r="BS122" i="2" s="1"/>
  <c r="BM121" i="2"/>
  <c r="BM17" i="2"/>
  <c r="BM122" i="2" s="1"/>
  <c r="BW121" i="2"/>
  <c r="BW17" i="2"/>
  <c r="BW122" i="2" s="1"/>
  <c r="DB17" i="2"/>
  <c r="DB122" i="2" s="1"/>
  <c r="DB121" i="2"/>
  <c r="BG121" i="2"/>
  <c r="BG17" i="2"/>
  <c r="BG122" i="2" s="1"/>
  <c r="DR121" i="2"/>
  <c r="DR17" i="2"/>
  <c r="DR122" i="2" s="1"/>
  <c r="CT121" i="2"/>
  <c r="CT17" i="2"/>
  <c r="CT122" i="2" s="1"/>
  <c r="BF121" i="2"/>
  <c r="BF17" i="2"/>
  <c r="BF122" i="2" s="1"/>
  <c r="BZ121" i="2"/>
  <c r="BZ17" i="2"/>
  <c r="BZ122" i="2" s="1"/>
  <c r="CZ121" i="2"/>
  <c r="CZ17" i="2"/>
  <c r="CZ122" i="2" s="1"/>
  <c r="CX121" i="2"/>
  <c r="CX17" i="2"/>
  <c r="CX122" i="2" s="1"/>
  <c r="BY121" i="2"/>
  <c r="BY17" i="2"/>
  <c r="BY122" i="2" s="1"/>
  <c r="BT121" i="2"/>
  <c r="BT17" i="2"/>
  <c r="BT122" i="2" s="1"/>
  <c r="AZ121" i="2"/>
  <c r="AZ17" i="2"/>
  <c r="AZ122" i="2" s="1"/>
  <c r="DA121" i="2"/>
  <c r="DA17" i="2"/>
  <c r="DA122" i="2" s="1"/>
  <c r="AV121" i="2"/>
  <c r="AV17" i="2"/>
  <c r="AV122" i="2" s="1"/>
  <c r="DC121" i="2"/>
  <c r="DC17" i="2"/>
  <c r="DC122" i="2" s="1"/>
  <c r="CJ121" i="2"/>
  <c r="CJ17" i="2"/>
  <c r="CJ122" i="2" s="1"/>
  <c r="C47" i="2"/>
  <c r="C56" i="2"/>
  <c r="C51" i="2"/>
  <c r="BL121" i="2"/>
  <c r="BL17" i="2"/>
  <c r="BL122" i="2" s="1"/>
  <c r="CF121" i="2"/>
  <c r="CF17" i="2"/>
  <c r="CF122" i="2" s="1"/>
  <c r="CG121" i="2"/>
  <c r="CG17" i="2"/>
  <c r="CG122" i="2" s="1"/>
  <c r="BH121" i="2"/>
  <c r="BH17" i="2"/>
  <c r="BH122" i="2" s="1"/>
  <c r="CV121" i="2"/>
  <c r="CV17" i="2"/>
  <c r="CV122" i="2" s="1"/>
  <c r="CB121" i="2"/>
  <c r="CB17" i="2"/>
  <c r="CB122" i="2" s="1"/>
  <c r="BB121" i="2"/>
  <c r="BB17" i="2"/>
  <c r="BB122" i="2" s="1"/>
  <c r="BA121" i="2"/>
  <c r="BA17" i="2"/>
  <c r="BA122" i="2" s="1"/>
  <c r="CR121" i="2"/>
  <c r="CR17" i="2"/>
  <c r="CR122" i="2" s="1"/>
  <c r="DE17" i="2"/>
  <c r="DE122" i="2" s="1"/>
  <c r="DE121" i="2"/>
  <c r="AY121" i="2"/>
  <c r="AY17" i="2"/>
  <c r="AY122" i="2" s="1"/>
  <c r="DI121" i="2"/>
  <c r="DI122" i="2"/>
  <c r="DH122" i="2"/>
  <c r="DH121" i="2"/>
  <c r="DF121" i="2"/>
  <c r="DF122" i="2"/>
  <c r="DJ121" i="2"/>
  <c r="DJ122" i="2"/>
  <c r="DG121" i="2"/>
  <c r="DG122" i="2"/>
  <c r="DK121" i="2"/>
  <c r="DK122" i="2"/>
  <c r="DN122" i="2"/>
  <c r="DN121" i="2"/>
  <c r="DL122" i="2"/>
  <c r="DL121" i="2"/>
  <c r="DM121" i="2"/>
  <c r="DM122" i="2"/>
  <c r="C57" i="2" l="1"/>
  <c r="C52" i="2"/>
</calcChain>
</file>

<file path=xl/sharedStrings.xml><?xml version="1.0" encoding="utf-8"?>
<sst xmlns="http://schemas.openxmlformats.org/spreadsheetml/2006/main" count="14069" uniqueCount="1111">
  <si>
    <t>Size [mm]</t>
  </si>
  <si>
    <t>Allowable</t>
  </si>
  <si>
    <t>Tensile</t>
  </si>
  <si>
    <t>Yeld</t>
  </si>
  <si>
    <t>Material</t>
  </si>
  <si>
    <t>Type</t>
  </si>
  <si>
    <t>stato di fornitura</t>
  </si>
  <si>
    <t>&gt;</t>
  </si>
  <si>
    <t>&lt;=</t>
  </si>
  <si>
    <t>TMP code</t>
  </si>
  <si>
    <t>Norm T_amb</t>
  </si>
  <si>
    <t>Norm T &gt; T_amb</t>
  </si>
  <si>
    <t>Norm for high T</t>
  </si>
  <si>
    <t>ASTM A479 UNS S31803</t>
  </si>
  <si>
    <t>duplex</t>
  </si>
  <si>
    <t>bar</t>
  </si>
  <si>
    <t>-</t>
  </si>
  <si>
    <t>ASTM</t>
  </si>
  <si>
    <t>ASME</t>
  </si>
  <si>
    <t>SelectedCell</t>
  </si>
  <si>
    <t>$Y$188</t>
  </si>
  <si>
    <t>ASTM A276 UNS S31803</t>
  </si>
  <si>
    <t>D16</t>
  </si>
  <si>
    <t>SelectedRow</t>
  </si>
  <si>
    <t>ASTM A276 UNS S31803 (HRC&lt;25)</t>
  </si>
  <si>
    <t>D1E</t>
  </si>
  <si>
    <t>SelectedValue</t>
  </si>
  <si>
    <t>ASTM A479 Tp.316</t>
  </si>
  <si>
    <t>inox</t>
  </si>
  <si>
    <t>RevIndex</t>
  </si>
  <si>
    <t>ASTM A479 Tp.316L</t>
  </si>
  <si>
    <t>A83</t>
  </si>
  <si>
    <t>ASTM A479 Tp.316L (HRC&lt;22)</t>
  </si>
  <si>
    <t>A8H</t>
  </si>
  <si>
    <t>ASTM A276 Tp.316 HOT-FINISHED</t>
  </si>
  <si>
    <t>ASTM A276 Tp.316 COLD FINISHED</t>
  </si>
  <si>
    <t>ASTM A276 Tp.316L HOT-FINISHED</t>
  </si>
  <si>
    <t>A84</t>
  </si>
  <si>
    <t>ISO</t>
  </si>
  <si>
    <t>ASTM A276 Tp.316L COLD FINISHED</t>
  </si>
  <si>
    <t>ASTM A276 Tp.316L HOT-FINISHED (HRC&lt;22)</t>
  </si>
  <si>
    <t>A8I</t>
  </si>
  <si>
    <t>ASTM A276 Tp.316L COLD FINISHED (HRC&lt;22)</t>
  </si>
  <si>
    <t>EN10250-3 36CrNiMo4</t>
  </si>
  <si>
    <t>plate</t>
  </si>
  <si>
    <t>DIN</t>
  </si>
  <si>
    <t>ASTM A473 Tp.420</t>
  </si>
  <si>
    <t>bar: forgings</t>
  </si>
  <si>
    <t>C6C</t>
  </si>
  <si>
    <t>GB</t>
  </si>
  <si>
    <t>ASTM A276 Tp.420</t>
  </si>
  <si>
    <t>C69</t>
  </si>
  <si>
    <t>GOST</t>
  </si>
  <si>
    <t>ASTM A276 Tp.420 (HRC&lt;22)</t>
  </si>
  <si>
    <t>C6B</t>
  </si>
  <si>
    <t>ASTM A276 Tp.410</t>
  </si>
  <si>
    <t>bar: general</t>
  </si>
  <si>
    <t>C68</t>
  </si>
  <si>
    <t>AISI</t>
  </si>
  <si>
    <t>ASTM A182 F6NM</t>
  </si>
  <si>
    <t>forgings: pressure</t>
  </si>
  <si>
    <t>C65</t>
  </si>
  <si>
    <t>AISI 4140</t>
  </si>
  <si>
    <t>JIS</t>
  </si>
  <si>
    <t>EN</t>
  </si>
  <si>
    <t>ASTM A479 UNS S32760</t>
  </si>
  <si>
    <t>D27</t>
  </si>
  <si>
    <t>ASTM A276 UNS S32760</t>
  </si>
  <si>
    <t>D26</t>
  </si>
  <si>
    <t>ASTM A276 UNS S32760 (PREN&gt;40)</t>
  </si>
  <si>
    <t>D31</t>
  </si>
  <si>
    <t>ASTM A576 Gr.1045</t>
  </si>
  <si>
    <t>S42</t>
  </si>
  <si>
    <t>UNS</t>
  </si>
  <si>
    <t>ASTM B425 UNS N08825</t>
  </si>
  <si>
    <t>bar, rod</t>
  </si>
  <si>
    <t>ASTM A182 F55</t>
  </si>
  <si>
    <t>forgings</t>
  </si>
  <si>
    <t>D24</t>
  </si>
  <si>
    <t>ASTM A182 Tp. F51</t>
  </si>
  <si>
    <t>D14</t>
  </si>
  <si>
    <t>ASTM A434 Cl.BC</t>
  </si>
  <si>
    <t>S5B</t>
  </si>
  <si>
    <t>ASTM A890 Gr.1B</t>
  </si>
  <si>
    <t>pressure casting</t>
  </si>
  <si>
    <t>D11</t>
  </si>
  <si>
    <t>ASTM A890 Gr.1B (HRC&lt;25)</t>
  </si>
  <si>
    <t>D1C</t>
  </si>
  <si>
    <t>ASTM A434 Cl.BB</t>
  </si>
  <si>
    <t>ASTM A434 Cl.BB (HRC&lt;22)</t>
  </si>
  <si>
    <t>S5C</t>
  </si>
  <si>
    <t>ASTM A434 cl. BB/BC</t>
  </si>
  <si>
    <t>S5A</t>
  </si>
  <si>
    <t>UNS N05500 (HRC&lt;29)</t>
  </si>
  <si>
    <t>bolting</t>
  </si>
  <si>
    <t>ASTM B424 UNS N08825</t>
  </si>
  <si>
    <t>ASTM A322 Gr. 4140 class P3</t>
  </si>
  <si>
    <t>ASTM A322 Gr. 4140 class P1</t>
  </si>
  <si>
    <t>ASTM A322 Gr. 4140 class Q1</t>
  </si>
  <si>
    <t>ASTM A322 Gr. 4140 class Q2</t>
  </si>
  <si>
    <t>ASTM A322 Gr. 4140 class Q3</t>
  </si>
  <si>
    <t>ASTM A322 Gr. 4140 class Q4</t>
  </si>
  <si>
    <t>ASTM A322 Gr. 4140 class Q6</t>
  </si>
  <si>
    <t>ASTM A322 Gr. 4140 class Q7</t>
  </si>
  <si>
    <t>C45 UNI 7845</t>
  </si>
  <si>
    <t>UNI</t>
  </si>
  <si>
    <t>IS</t>
  </si>
  <si>
    <t>Fe 60 UNI 7230</t>
  </si>
  <si>
    <t>Fe 430b-FN UNI 7070</t>
  </si>
  <si>
    <t>rolled</t>
  </si>
  <si>
    <t>X30 Cr13 UNI 6900 (AISI 420)</t>
  </si>
  <si>
    <t>X10 Cr Ni 1809 UNI 6900</t>
  </si>
  <si>
    <t>ASTM A352 LCC</t>
  </si>
  <si>
    <t>casting</t>
  </si>
  <si>
    <t>ASTM A743 CA6NM</t>
  </si>
  <si>
    <t>C63</t>
  </si>
  <si>
    <t>ASTM A743 CA6NM (HRC&lt;22)</t>
  </si>
  <si>
    <t>C6D</t>
  </si>
  <si>
    <t>ASTM A743 CF3M</t>
  </si>
  <si>
    <t>A81</t>
  </si>
  <si>
    <t>ASTM A743 CF3M (HRC&lt;22)</t>
  </si>
  <si>
    <t>A8K</t>
  </si>
  <si>
    <t>ASTM A995 Gr.5A</t>
  </si>
  <si>
    <t>D2A</t>
  </si>
  <si>
    <t>ASTM A352  LC1</t>
  </si>
  <si>
    <t>ASTM A890 Gr.5A</t>
  </si>
  <si>
    <t>D21</t>
  </si>
  <si>
    <t>GAlSi9Cu1 EN AB 46400</t>
  </si>
  <si>
    <t>ASTM A351 CF8M</t>
  </si>
  <si>
    <t>A8A</t>
  </si>
  <si>
    <t>ASTM A351 CF8M (HRC&lt;22)</t>
  </si>
  <si>
    <t>A8J</t>
  </si>
  <si>
    <t>ASTM A352 LCB</t>
  </si>
  <si>
    <t>S60</t>
  </si>
  <si>
    <t>ASTM A352 LCB (HRC&lt;22)</t>
  </si>
  <si>
    <t>S61</t>
  </si>
  <si>
    <t>ASTM A995 Gr.4A</t>
  </si>
  <si>
    <t>D1B</t>
  </si>
  <si>
    <t>ASTM A995 Gr.4A (HRC&lt;28)</t>
  </si>
  <si>
    <t>D1F</t>
  </si>
  <si>
    <t>ASTM A216 WCB</t>
  </si>
  <si>
    <t>S50</t>
  </si>
  <si>
    <t>ASTM A216 WCB (HRC&lt;22)</t>
  </si>
  <si>
    <t>S58</t>
  </si>
  <si>
    <t>ASTM A487 CA6NM class B</t>
  </si>
  <si>
    <t>C61</t>
  </si>
  <si>
    <t>ASTM A487 CA6NM class B (HRC&lt;22)</t>
  </si>
  <si>
    <t>C75</t>
  </si>
  <si>
    <t>ASTM A494 Gr. Cu5MCuC</t>
  </si>
  <si>
    <t>ASTM A890 Gr.6A</t>
  </si>
  <si>
    <t>D22</t>
  </si>
  <si>
    <t>ASTM A995 Gr.6A</t>
  </si>
  <si>
    <t>D2B</t>
  </si>
  <si>
    <t>ASTM A743 CF8M</t>
  </si>
  <si>
    <t>A8D</t>
  </si>
  <si>
    <t>ASTM A743 CF8M (HRC&lt;22)</t>
  </si>
  <si>
    <t>A8L</t>
  </si>
  <si>
    <t>ASTM A494 Gr.M30C</t>
  </si>
  <si>
    <t>ASTM B148 C95500</t>
  </si>
  <si>
    <t>ASTM A351 CF3M</t>
  </si>
  <si>
    <t>A80</t>
  </si>
  <si>
    <t>ASTM A351 CF3M (HRC&lt;22)</t>
  </si>
  <si>
    <t>A8F</t>
  </si>
  <si>
    <t>ASTM A536 65.45.12</t>
  </si>
  <si>
    <t>ASTM A890 Gr. 4A</t>
  </si>
  <si>
    <t>D13</t>
  </si>
  <si>
    <t>ASTM B148 C95800</t>
  </si>
  <si>
    <t>ASTM A352 Gr. LC2</t>
  </si>
  <si>
    <t>S62</t>
  </si>
  <si>
    <t>AlSi7Mg EN AB 42000</t>
  </si>
  <si>
    <t>ASTM A276 Tp.316/316L (HRC&lt;22)</t>
  </si>
  <si>
    <t>ASTM A193 grade B7</t>
  </si>
  <si>
    <t>S43</t>
  </si>
  <si>
    <t>ASTM A193 grade B8M</t>
  </si>
  <si>
    <t>ASTM A193 Gr.B8MA Cl. 1A</t>
  </si>
  <si>
    <t>ASTM A193 B8M Cl.2</t>
  </si>
  <si>
    <t>ASTM A193 B8 Cl.2</t>
  </si>
  <si>
    <t>ASTM A193 B6</t>
  </si>
  <si>
    <t>C72</t>
  </si>
  <si>
    <t>ASTM A193 Gr. B7M</t>
  </si>
  <si>
    <t>S38</t>
  </si>
  <si>
    <t>ASTM A325M Tp. 1</t>
  </si>
  <si>
    <t>ASTM A320 Gr. L7</t>
  </si>
  <si>
    <t>S57</t>
  </si>
  <si>
    <t>ASTM A320 B8M Cl.2</t>
  </si>
  <si>
    <t>ASTM A36</t>
  </si>
  <si>
    <t>ASTM B425 N08825</t>
  </si>
  <si>
    <t>ASTM A479 Tp. XM19</t>
  </si>
  <si>
    <t>A74</t>
  </si>
  <si>
    <t>ASTM A479 Tp. XM19 (HRC&lt;22)</t>
  </si>
  <si>
    <t>ASTM F1554 Gr.36</t>
  </si>
  <si>
    <t>A4 ISO 3506</t>
  </si>
  <si>
    <t>A2 ISO 3506</t>
  </si>
  <si>
    <t>Class 45H UNI 3740</t>
  </si>
  <si>
    <t>5.8 UNI 3740</t>
  </si>
  <si>
    <t>8.8 UNI 3740</t>
  </si>
  <si>
    <t>12.9 UNI 3740</t>
  </si>
  <si>
    <t>Fe 490 UNI7070</t>
  </si>
  <si>
    <t>C15 UNI 7846</t>
  </si>
  <si>
    <t>42CrMo4 UNI7845</t>
  </si>
  <si>
    <t>AFCEN</t>
  </si>
  <si>
    <t>AISI 316L</t>
  </si>
  <si>
    <t>ASTM A193 Gr.B16</t>
  </si>
  <si>
    <t>ASTM A320 Gr. L7M</t>
  </si>
  <si>
    <t>ASTM A276 UNS S32750</t>
  </si>
  <si>
    <t>10.9 UNI 3740</t>
  </si>
  <si>
    <t>PCUZN40 UNI4891</t>
  </si>
  <si>
    <t>24CrMo5</t>
  </si>
  <si>
    <t>Incoloy 925</t>
  </si>
  <si>
    <t>ricottura di solubilizzazione</t>
  </si>
  <si>
    <t>solubizzato ed invecchiato</t>
  </si>
  <si>
    <t>ASTM A995 Gr. 1B (CD4MCuN)</t>
  </si>
  <si>
    <t>D17</t>
  </si>
  <si>
    <t>Log Details Table</t>
  </si>
  <si>
    <t>Date&amp;Time</t>
  </si>
  <si>
    <t>User</t>
  </si>
  <si>
    <t>Activity</t>
  </si>
  <si>
    <t>Sheet</t>
  </si>
  <si>
    <t>Cell</t>
  </si>
  <si>
    <t>Previous Value</t>
  </si>
  <si>
    <t>Updated Value</t>
  </si>
  <si>
    <t>maddaluno</t>
  </si>
  <si>
    <t>Cell Change</t>
  </si>
  <si>
    <t>Database</t>
  </si>
  <si>
    <t>$B$34</t>
  </si>
  <si>
    <t>forgins</t>
  </si>
  <si>
    <t>$B$35</t>
  </si>
  <si>
    <t>$B$73</t>
  </si>
  <si>
    <t>laminati</t>
  </si>
  <si>
    <t>$B$3</t>
  </si>
  <si>
    <t>Duplex</t>
  </si>
  <si>
    <t>$B$4</t>
  </si>
  <si>
    <t>$B$5</t>
  </si>
  <si>
    <t>$B$6</t>
  </si>
  <si>
    <t>Inox</t>
  </si>
  <si>
    <t>$B$7</t>
  </si>
  <si>
    <t>$B$8</t>
  </si>
  <si>
    <t>$B$9</t>
  </si>
  <si>
    <t>$B$10</t>
  </si>
  <si>
    <t>$B$11</t>
  </si>
  <si>
    <t>$B$12</t>
  </si>
  <si>
    <t>$B$13</t>
  </si>
  <si>
    <t>$B$14</t>
  </si>
  <si>
    <t>$B$15</t>
  </si>
  <si>
    <t>$B$16</t>
  </si>
  <si>
    <t>$B$17</t>
  </si>
  <si>
    <t>$B$2</t>
  </si>
  <si>
    <t>puccetti</t>
  </si>
  <si>
    <t>$A$188</t>
  </si>
  <si>
    <t>$C$188</t>
  </si>
  <si>
    <t>$G$188</t>
  </si>
  <si>
    <t>$F$188</t>
  </si>
  <si>
    <t>$B$188</t>
  </si>
  <si>
    <t>$H$188</t>
  </si>
  <si>
    <t>$I$188</t>
  </si>
  <si>
    <t>$J$188</t>
  </si>
  <si>
    <t>$L$188</t>
  </si>
  <si>
    <t>$N$188</t>
  </si>
  <si>
    <t>$M$188</t>
  </si>
  <si>
    <t>$Q$188</t>
  </si>
  <si>
    <t>$P$188</t>
  </si>
  <si>
    <t>$O$188</t>
  </si>
  <si>
    <t>$U$188</t>
  </si>
  <si>
    <t>$T$188</t>
  </si>
  <si>
    <t>$S$188</t>
  </si>
  <si>
    <t>$R$188</t>
  </si>
  <si>
    <t>$W$188</t>
  </si>
  <si>
    <t>$V$188</t>
  </si>
  <si>
    <t>$X$188</t>
  </si>
  <si>
    <t>Name</t>
  </si>
  <si>
    <t>User Name</t>
  </si>
  <si>
    <t>Jacopo Maddaluno</t>
  </si>
  <si>
    <t>R&amp;W</t>
  </si>
  <si>
    <t>dimella</t>
  </si>
  <si>
    <t>Matteo Toselli</t>
  </si>
  <si>
    <t>toselli</t>
  </si>
  <si>
    <t>Andrea Di Mella</t>
  </si>
  <si>
    <t>di mella</t>
  </si>
  <si>
    <t>Andrea Patierno</t>
  </si>
  <si>
    <t>patierno</t>
  </si>
  <si>
    <t>Tiziano Puccetti</t>
  </si>
  <si>
    <t>MATERIALE SENZA INFORMAZIONI</t>
  </si>
  <si>
    <t>NORME UTILIZZATE CHE SI RIFERISCONO A MATERIALI SIMILI A QUELLO SELEZIONATO (TROVATE CON TOTAL MATERIAL)</t>
  </si>
  <si>
    <t>DATI PRESI DA ASTM DA CONFERMARE, DECIDERE SE MANTENERE SOLO UNA RIGA A TENERLE TUTTE</t>
  </si>
  <si>
    <t>materiali da controllare</t>
  </si>
  <si>
    <t>Material-SHAFT</t>
  </si>
  <si>
    <t>Material-NON STANDARD KEY</t>
  </si>
  <si>
    <t>Material-KEY</t>
  </si>
  <si>
    <t>ASTM A479 UNS S31803 (HRC&lt;25)</t>
  </si>
  <si>
    <t>EN 10250-3 36CrNiMo4</t>
  </si>
  <si>
    <t>ASTM A479 Type 316L</t>
  </si>
  <si>
    <t>ASTM A479 UNS S31803 (HRC&lt;28)</t>
  </si>
  <si>
    <t>ASTM A276 Tp316L (HRC&lt;22)</t>
  </si>
  <si>
    <t>ASTM A479 Tp.XM19 (HRC&lt;22)</t>
  </si>
  <si>
    <t>ASTM B424 UNS N08825 (HRC&lt;35)</t>
  </si>
  <si>
    <t>ASTM A276 S32760</t>
  </si>
  <si>
    <t>ASTM A276 Tp.316L</t>
  </si>
  <si>
    <t>ASTM A276 UNS 31803</t>
  </si>
  <si>
    <t>ASTM A276 Tp420</t>
  </si>
  <si>
    <t>ASTM A479 Tp. XM19 (HRC&lt;22 RP 0.2% &gt; 415MPa)</t>
  </si>
  <si>
    <t>ASTM A479 Tp XM19 (HRC&lt;22, RP0,2%&gt;4,5 MPa)</t>
  </si>
  <si>
    <t>C45</t>
  </si>
  <si>
    <t>ASTM A276 S31803</t>
  </si>
  <si>
    <t>ASTM A182 F6NM (HRC&lt;23)</t>
  </si>
  <si>
    <t>Fe 430b UNI 7070</t>
  </si>
  <si>
    <t>ASTM A276 Tp420 (HRC&lt;22)</t>
  </si>
  <si>
    <t>ASTM A276 Tp. 420 (HRC&lt;22)</t>
  </si>
  <si>
    <t>ASTM A322 Gr. 4140</t>
  </si>
  <si>
    <t>ASTM A276 Tp.316L (HRC&lt;22)</t>
  </si>
  <si>
    <t>ASTM A322 Gr.4140 (HRC&lt;22)</t>
  </si>
  <si>
    <t>UNS N05500 (HRC&lt;29,Rp0.2% &gt;=590 MPa)</t>
  </si>
  <si>
    <t>ASTM A276 Tp. 410</t>
  </si>
  <si>
    <t>ASTM B425 UNS N08825 (HRC&lt;35)</t>
  </si>
  <si>
    <t>ASTM A276 UNS S32750 (PREN&gt;40)</t>
  </si>
  <si>
    <t>ASTM A276 UNS S32760 (HRC&lt;25)</t>
  </si>
  <si>
    <t>ASTM A182 UNS S32760</t>
  </si>
  <si>
    <t>ASTM A182 UNS S31803</t>
  </si>
  <si>
    <t>ASTM A434 Cl.BC (HRC&lt;22)</t>
  </si>
  <si>
    <t>ASTM A434 Class BB (HRC&lt;22)</t>
  </si>
  <si>
    <t>UNS N05500 (HRC&lt;29, Rp0.2% &gt;=590 MPa)</t>
  </si>
  <si>
    <t>k</t>
  </si>
  <si>
    <t>Tp.316L</t>
  </si>
  <si>
    <t>UNS S31803</t>
  </si>
  <si>
    <t>UNS S32760</t>
  </si>
  <si>
    <t>n</t>
  </si>
  <si>
    <t>Tp.XM19 (HRC&lt;22)</t>
  </si>
  <si>
    <t>Tp.420</t>
  </si>
  <si>
    <t>Tp.410</t>
  </si>
  <si>
    <t>F6NM (HRC&lt;23)</t>
  </si>
  <si>
    <t>F55</t>
  </si>
  <si>
    <t>Tp. F51</t>
  </si>
  <si>
    <t>?</t>
  </si>
  <si>
    <t>Gr.1045</t>
  </si>
  <si>
    <t>UNS N08825</t>
  </si>
  <si>
    <t>Cl.BC</t>
  </si>
  <si>
    <t>Cl.BB</t>
  </si>
  <si>
    <t>cl. BB/BC</t>
  </si>
  <si>
    <t>Gr.1B</t>
  </si>
  <si>
    <t>c'è solo con S davanti al numero</t>
  </si>
  <si>
    <t>UNS 31803</t>
  </si>
  <si>
    <t>Gr. 4140</t>
  </si>
  <si>
    <t>UNS S32750 (PREN&gt;40)</t>
  </si>
  <si>
    <t>allowable</t>
  </si>
  <si>
    <t>ASTM A 105 UNS K03504</t>
  </si>
  <si>
    <t>manca L o è seguita da UNS…</t>
  </si>
  <si>
    <t>ASTM A240 GR 316L (S31603)</t>
  </si>
  <si>
    <t>ASTM A 105 (ASME B31.3)</t>
  </si>
  <si>
    <t>SA-182 GR F316L (S31603)</t>
  </si>
  <si>
    <t>ASTM A 106 gr. B UNS K03006</t>
  </si>
  <si>
    <t>SA-182 GR F51 (S31803)</t>
  </si>
  <si>
    <t>ASTM A 182 F22 cl 3 UNS K21590</t>
  </si>
  <si>
    <t>SA-182 GR F6a CL1 (S41000)</t>
  </si>
  <si>
    <t>ASTM A 182 F304 UNS S30400 s &gt; 125 mm (Note G5)</t>
  </si>
  <si>
    <t>SA-182 GR F6NM (S41500)</t>
  </si>
  <si>
    <t>ASTM A 182 F304 UNS S30400 s &gt; 125 mm</t>
  </si>
  <si>
    <t>SA-182 Gr. 51 (S31803)</t>
  </si>
  <si>
    <t>ASTM A 182 F304 UNS S30400 s &lt;= 125 mm</t>
  </si>
  <si>
    <t>SA-182 Gr. 55 (S32760)</t>
  </si>
  <si>
    <t>ASTM A 182 F304 UNS S30400 s &lt;= 125 mm (Note G5)</t>
  </si>
  <si>
    <t>SA-193 Gr B7</t>
  </si>
  <si>
    <t>ASTM A 182 F304L UNS S30403 s &gt; 125 mm (Note G5)</t>
  </si>
  <si>
    <t>SA-216 GR WCB (J03002)</t>
  </si>
  <si>
    <t>ASTM A 182 F304L UNS S30403 s &gt; 125 mm</t>
  </si>
  <si>
    <t>SA-217 GR CA15 (J91150)</t>
  </si>
  <si>
    <t>ASTM A 182 F304L UNS S30403 s &lt;= 125 mm (Note G5)</t>
  </si>
  <si>
    <t>SA-240 TYPE 410 (S41000)</t>
  </si>
  <si>
    <t>ASTM A 182 F304L UNS S30403 s &lt;= 125 mm</t>
  </si>
  <si>
    <t>SA240-S31803</t>
  </si>
  <si>
    <t>ASTM A 182 F316 (ASME B31.3)</t>
  </si>
  <si>
    <t>SA-266 CL2 (K03506)</t>
  </si>
  <si>
    <t>ASTM A 182 F316 UNS S31600 s &gt; 125 mm (Note G5)</t>
  </si>
  <si>
    <t>SA-320 Gr. L7</t>
  </si>
  <si>
    <t>ASTM A 182 F316 UNS S31600 s &gt; 125 mm</t>
  </si>
  <si>
    <t>SA-351 CF3M</t>
  </si>
  <si>
    <t>ASTM A 182 F316 UNS S31600 s &lt;= 125 mm (Note G5)</t>
  </si>
  <si>
    <t>SA-351 CF8M</t>
  </si>
  <si>
    <t>ASTM A 182 F316 UNS S31600 s &lt;= 125 mm</t>
  </si>
  <si>
    <t>SA-351 GR CF3M (J92500)</t>
  </si>
  <si>
    <t>ASTM A 182 F316H UNS S31609 s &gt; 125 mm (Note G5)</t>
  </si>
  <si>
    <t>SA-351 CF3 (J92500)</t>
  </si>
  <si>
    <t>ASTM A 182 F316H UNS S31609 s &gt; 125 mm</t>
  </si>
  <si>
    <t>SA-352 Gr. LCB</t>
  </si>
  <si>
    <t>ASTM A 182 F316H UNS S31609 s &lt;= 125 mm (Note G5)</t>
  </si>
  <si>
    <t>SA479-S32550</t>
  </si>
  <si>
    <t>ASTM A 182 F316H UNS S31609 s &lt;= 125 mm</t>
  </si>
  <si>
    <t>SA-487 GR CA6NM (J91540)</t>
  </si>
  <si>
    <t>ASTM A 182 F316L UNS S31603 s &gt; 125 mm (Note G5)</t>
  </si>
  <si>
    <t>manca UNI7070</t>
  </si>
  <si>
    <t>SA-487 Gr. CA6NM</t>
  </si>
  <si>
    <t>ASTM A 182 F316L UNS S31603 s &gt; 125 mm</t>
  </si>
  <si>
    <t>S32760</t>
  </si>
  <si>
    <t>SA-487 TYPE 316L (S31603)</t>
  </si>
  <si>
    <t>ASTM A 182 F316L UNS S31603 s &lt;= 125 mm (Note G5)</t>
  </si>
  <si>
    <t>S31803</t>
  </si>
  <si>
    <t>sempre preceduto da UNS</t>
  </si>
  <si>
    <t>SA-516 GR 65 (K02403)</t>
  </si>
  <si>
    <t>ASTM A 182 F316L UNS S31603 s &lt;= 125 mm</t>
  </si>
  <si>
    <t>n° preceduto da S</t>
  </si>
  <si>
    <t>SA-516 GR 70 (K02700)</t>
  </si>
  <si>
    <t>ASTM A 182 F321H UNS S32109 s &lt;= 125 mm  (Note G5)</t>
  </si>
  <si>
    <t>SA-516 Gr. 60</t>
  </si>
  <si>
    <t>ASTM A 182 F321H UNS S32109 s &lt;= 125 mm</t>
  </si>
  <si>
    <t>SA-874 (Ductile CI)</t>
  </si>
  <si>
    <t>ASTM A 182 F321H UNS S32109 s &gt; 125 mm  (Note G5)</t>
  </si>
  <si>
    <t>A995 Gr. 6A J93380 (ZERON 100)</t>
  </si>
  <si>
    <t>ASTM A 182 F321H UNS S32109 s &gt; 125 mm</t>
  </si>
  <si>
    <t>SA-193 GR B8M</t>
  </si>
  <si>
    <t>ASTM A 182 GR F6a cl3 UNS S41000</t>
  </si>
  <si>
    <t xml:space="preserve">SA-479 GR 316L </t>
  </si>
  <si>
    <t>yield</t>
  </si>
  <si>
    <t>SA-434 Class BC</t>
  </si>
  <si>
    <t>ASTM A 193 B7 UNS G41400 100mm &lt; t &lt;= 175mm</t>
  </si>
  <si>
    <t>SA-540 GR B23 - Class 3</t>
  </si>
  <si>
    <t>ASTM A 193 B7 UNS G41400 64mm &lt; t &lt;= 100mm</t>
  </si>
  <si>
    <t>SA-540 GR B23 - Class 5</t>
  </si>
  <si>
    <t>ASTM A 193 B7 UNS G41400 t &lt;= 64mm</t>
  </si>
  <si>
    <t>SA-479 XM-19</t>
  </si>
  <si>
    <t>ASTM A 193 B7M UNS G41400 t &lt;= 64mm</t>
  </si>
  <si>
    <t>A995 Gr. 1B (ANDAMENTO ZERON)</t>
  </si>
  <si>
    <t>ASTM A 193 B8 UNS S30400 cl.1</t>
  </si>
  <si>
    <t>ASTM A 193 B8 UNS S30400 cl.2 32mm &lt; t &lt;= 38mm</t>
  </si>
  <si>
    <t>ASTM A 193 B8 UNS S30400 cl.2 25mm &lt; t &lt;= 32mm</t>
  </si>
  <si>
    <t>ASTM A 193 B8 UNS S30400 cl.2 19mm &lt; t &lt;= 25mm</t>
  </si>
  <si>
    <t>ASTM A 193 B8 UNS S30400 cl.2 t &lt;= 19mm</t>
  </si>
  <si>
    <t>ASTM A 193 B8M UNS S31600 cl.1</t>
  </si>
  <si>
    <t>ASTM A 193 B8M UNS S31600 cl.2 32mm &lt; t &lt;= 38mm</t>
  </si>
  <si>
    <t>ASTM A 193 B8M UNS S31600 cl.2 25mm &lt; t &lt;= 32mm</t>
  </si>
  <si>
    <t>ASTM A 193 B8M UNS S31600 cl.2 19mm &lt; t &lt;= 25mm</t>
  </si>
  <si>
    <t>ASTM A 193 B8M UNS S31600 cl.2 t &lt;= 19mm</t>
  </si>
  <si>
    <t>ASTM A 193 B8M2 UNS S31600 64mm&lt; t &lt;= 75mm</t>
  </si>
  <si>
    <t>ASTM A 193 B8M2 UNS S31600 50mm&lt; t &lt;= 64mm</t>
  </si>
  <si>
    <t>ASTM A 193 B8M2 UNS S31600  t &lt;= 50mm</t>
  </si>
  <si>
    <t>ASTM A 193 B8T UNS S32100 cl.1</t>
  </si>
  <si>
    <t>ASTM A 193 B8T UNS S32100 cl.2 32mm &lt; t &lt;= 38mm</t>
  </si>
  <si>
    <t>ASTM A 193 B8T UNS S32100 cl.2 25mm &lt; t &lt;= 32mm</t>
  </si>
  <si>
    <t>ASTM A 193 B8T UNS S32100 cl.2 19mm &lt; t &lt;= 25mm</t>
  </si>
  <si>
    <t>ASTM A 193 B8T UNS S32100 cl.2 t &lt;= 19mm</t>
  </si>
  <si>
    <t>ASTM A 193 B8S UNS 21800</t>
  </si>
  <si>
    <t>ASTM A 193 B16 UNS K14072 100mm &lt; t &lt;= 175mm</t>
  </si>
  <si>
    <t>ASTM A 193 B16 UNS K14072 64mm &lt; t &lt;= 100mm</t>
  </si>
  <si>
    <t>ASTM A 193 B16 UNS K14072  t &lt;= 64mm</t>
  </si>
  <si>
    <t>foglio</t>
  </si>
  <si>
    <t>R&amp;D</t>
  </si>
  <si>
    <t>norme</t>
  </si>
  <si>
    <t>tot</t>
  </si>
  <si>
    <t>ASTM A 213 XM19 UNS S20910</t>
  </si>
  <si>
    <t>ASTM A 216 WCB UNS J03002</t>
  </si>
  <si>
    <t>ASTM A 217 C5 UNS J42045</t>
  </si>
  <si>
    <t>ASTM A 217 WC6 UNS J12072</t>
  </si>
  <si>
    <t>ASTM A 217 WC9 UNS J21890</t>
  </si>
  <si>
    <t>ASTM A 240 304 UNS S30400</t>
  </si>
  <si>
    <t>ASTM A 240 304 UNS S30400 (Note G5)</t>
  </si>
  <si>
    <t>ASTM A 240 304L UNS S30403 (Note G5)</t>
  </si>
  <si>
    <t>ASTM A 240 304L UNS S30403</t>
  </si>
  <si>
    <t>ASTM A 240 316 UNS S31600 (Note G5)</t>
  </si>
  <si>
    <t>ASTM A 240 316 UNS S31600</t>
  </si>
  <si>
    <t>ASTM A 240 UNS S31803</t>
  </si>
  <si>
    <t>ASTM A 240 XM19 UNS S20910</t>
  </si>
  <si>
    <t>ASTM A 240 316L UNS S31603 (Note G5)</t>
  </si>
  <si>
    <t>ASTM A 240 316L UNS S31603</t>
  </si>
  <si>
    <t>ASTM A 240 347 UNS S34700</t>
  </si>
  <si>
    <t>ASTM A 240 347H UNS S34700</t>
  </si>
  <si>
    <t>ASTM A 276 Type 316</t>
  </si>
  <si>
    <t>ASTM A 307</t>
  </si>
  <si>
    <t>ASTM A 320 B8 UNS 30400 cl.1</t>
  </si>
  <si>
    <t>ASTM A 320 B8 UNS 30400 cl.2 32mm &lt; t &lt;= 38mm</t>
  </si>
  <si>
    <t>ASTM A 320 B8 UNS 30400 cl.2 25mm &lt; t &lt;= 32mm</t>
  </si>
  <si>
    <t>ASTM A 320 B8 UNS 30400 cl.2 19mm &lt; t &lt;= 25mm</t>
  </si>
  <si>
    <t>ASTM A 320 B8 UNS 30400 cl.2  t &lt;= 19mm</t>
  </si>
  <si>
    <t>ASTM A 320 B8M UNS 31600 cl.1</t>
  </si>
  <si>
    <t>ASTM A 320 B8M UNS 31600 cl.2 32mm &lt; t &lt;= 38mm</t>
  </si>
  <si>
    <t>ASTM A 320 B8M UNS 31600 cl.2 25mm &lt; t &lt;= 32mm</t>
  </si>
  <si>
    <t>ASTM A 320 B8M UNS 31600 cl.2 19mm &lt; t &lt;= 25mm</t>
  </si>
  <si>
    <t>ASTM A 320 B8M UNS 31600 cl.2 t &lt;= 19mm</t>
  </si>
  <si>
    <t>ASTM A 320 L7 UNS G41400 t &lt;= 64mm</t>
  </si>
  <si>
    <t>ASTM A 320 L7M UNS G41400 t &lt;= 64mm</t>
  </si>
  <si>
    <t>ASTM A 335 P11 UNS K11597</t>
  </si>
  <si>
    <t>ASTM A 350 LF2 cl 1 UNS K03011</t>
  </si>
  <si>
    <t>ASTM A 350 LF2 cl 2 UNS K03011</t>
  </si>
  <si>
    <t>ASTM A 350 LF3 cl 1 UNS K32025</t>
  </si>
  <si>
    <t>ASTM A 350 LF3 cl 2 UNS K32025</t>
  </si>
  <si>
    <t>ASTM A 350 LF5 cl 1 UNS K13050</t>
  </si>
  <si>
    <t>ASTM A 350 LF5 cl 2 UNS K13050</t>
  </si>
  <si>
    <t>ASTM A 351 CK3MCuN UNS J93254 (Note G5)</t>
  </si>
  <si>
    <t>ASTM A 351 CK3MCuN UNS J93254</t>
  </si>
  <si>
    <t>ASTM A 351 CF3 UNS J92500 (Note G5)</t>
  </si>
  <si>
    <t>ASTM A 351 CF3 UNS J92500</t>
  </si>
  <si>
    <t>ASTM A 351 CF3M UNS J92800 (Note G5)</t>
  </si>
  <si>
    <t>ASTM A 351 CF3M UNS J92800</t>
  </si>
  <si>
    <t>ASTM A 351 CF8 UNS J92600 (Note G5)</t>
  </si>
  <si>
    <t>ASTM A 351 CF8 UNS J92600</t>
  </si>
  <si>
    <t>ASTM A 351 CF8C (ASME B 31.3)</t>
  </si>
  <si>
    <t>ASTM A 351 CF8C UNS J92710 (Note G5)</t>
  </si>
  <si>
    <t>ASTM A 351 CF8C UNS J92710</t>
  </si>
  <si>
    <t>ASTM A 351 CF8M UNS J92900 (Note G5)</t>
  </si>
  <si>
    <t>ASTM A 351 CF8M UNS J92900</t>
  </si>
  <si>
    <t>ASTM A 351 CN7M UNS J95150 (Note G5)</t>
  </si>
  <si>
    <t>ASTM A 351 CN7M UNS J95150</t>
  </si>
  <si>
    <t>ASTM A 352 LCC UNS J02505</t>
  </si>
  <si>
    <t>ASTM A 352 LCB UNS J03003</t>
  </si>
  <si>
    <t>ASTM A 403 316 UNS S31600</t>
  </si>
  <si>
    <t>ASTM A 439 D2-C  F43002 (Ni-Resist)</t>
  </si>
  <si>
    <t>ASTM A 453 gr. 660 A UNS S66286</t>
  </si>
  <si>
    <t>ASTM A 479 XM19 UNS S20910 Annealed</t>
  </si>
  <si>
    <t>ASTM A 479 XM19 UNS S20910  75&lt;t&lt;=200 Hot Rolled</t>
  </si>
  <si>
    <t>ASTM A 479 XM19 UNS S20910  50&lt;t&lt;=75 Hot Rolled</t>
  </si>
  <si>
    <t>ASTM A 479 XM19 UNS S20910  t&lt;=50 Hot Rolled</t>
  </si>
  <si>
    <t>ASTM A 479 XM19 UNS 20910 (Nitronic 50)</t>
  </si>
  <si>
    <t>SIZING</t>
  </si>
  <si>
    <t>ASTM A 479 XM 19 - UNS S20910 0&lt;=d&lt;=50 SIZING</t>
  </si>
  <si>
    <t>ASTM A 479 XM 19 - UNS S20910 0&lt;=d&lt;=50</t>
  </si>
  <si>
    <t>ASTM A 479 XM 19 - UNS S20910 50&lt;d&lt;=80 SIZING</t>
  </si>
  <si>
    <t>ASTM A 479 XM 19 - UNS S20910 50&lt;d&lt;=75</t>
  </si>
  <si>
    <t>ASTM A 479 XM 19 - UNS S20910 80&lt;d&lt;=200 SIZING</t>
  </si>
  <si>
    <t>ASTM A 479 XM 19 - UNS S20910 75&lt;d&lt;=200</t>
  </si>
  <si>
    <t>ASTM A 479 XM 19 - UNS S20910 200&lt;d&lt;=400 SIZING</t>
  </si>
  <si>
    <t>ASTM A 479 XM 19 - UNS S20910 200&lt;d&lt;=400</t>
  </si>
  <si>
    <t>ASTM A 479 UNS S31600 - S30400</t>
  </si>
  <si>
    <t>ASTM A 479 gr. 316L UNS S31603</t>
  </si>
  <si>
    <t>ASTM A 479 GR 410 - UNS S41000</t>
  </si>
  <si>
    <t>ASTM A 479 UNS S43100</t>
  </si>
  <si>
    <t>ASTM A 479 UNS S21800</t>
  </si>
  <si>
    <t>ASTM A 479 UNS S31254 (SMO)</t>
  </si>
  <si>
    <t>ASTM A 479 UNS S31803 (Duplex)</t>
  </si>
  <si>
    <t>ASTM A 479 UNS S32750 (Super Duplex) d&lt;50mm</t>
  </si>
  <si>
    <t>ASTM A 479 UNS S32750 (Super Duplex) d&gt;50mm</t>
  </si>
  <si>
    <t>ASTM A 487 CA6NM UNS J91540 A</t>
  </si>
  <si>
    <t>ASTM A 494 CW-12MW</t>
  </si>
  <si>
    <t xml:space="preserve">ASTM A 511 gr. MT 316 </t>
  </si>
  <si>
    <t>ASTM A 516 gr.55 UNS K01800</t>
  </si>
  <si>
    <t>ASTM A 516 gr.60 UNS K02100</t>
  </si>
  <si>
    <t>ASTM A 516 gr.65 UNS K02403</t>
  </si>
  <si>
    <t>ASTM A 516 gr.70 UNS K02700</t>
  </si>
  <si>
    <t>ASTM A 536 gr 60-40-18 UNS F32800</t>
  </si>
  <si>
    <t>ASTM A 564 gr. 630 UNS S17400 H1150</t>
  </si>
  <si>
    <t>ASTM A 565 GR 615 - UNS S41800</t>
  </si>
  <si>
    <t>ASTM A 565 GR 616 - UNS S42200</t>
  </si>
  <si>
    <t>ASTM A 572 gr.50</t>
  </si>
  <si>
    <t>ASTM A 637 UNS N07080 (Alloy 80)</t>
  </si>
  <si>
    <t>ASTM A 638 gr 660 UNS S66286</t>
  </si>
  <si>
    <t>ASTM A 693 630 UNS S17400 H1075</t>
  </si>
  <si>
    <t>ASTM A 789 UNS S31803</t>
  </si>
  <si>
    <t>ASTM A 890 gr. 4 UNS J92205</t>
  </si>
  <si>
    <t>ASTM A 890 gr.5A UNS J93404</t>
  </si>
  <si>
    <t>ASTM A 890 gr. 5 UNS J93404</t>
  </si>
  <si>
    <t>ASTM B 148 C95800</t>
  </si>
  <si>
    <t>ASTM B 148 C95500 (Aluminium Bronze) B31.3</t>
  </si>
  <si>
    <t>ASTM B 150 M20 UNS C63000 50mm &lt; t &lt;= 100mm</t>
  </si>
  <si>
    <t>ASTM B 150 HR50 UNS C63000 50mm &lt; t &lt;= 100mm</t>
  </si>
  <si>
    <t>ASTM B 150 HR50 UNS C63000 25mm &lt; t &lt;= 50mm</t>
  </si>
  <si>
    <t>ASTM B 150 HR50 UNS C63000 13mm &lt; t &lt;= 25mm</t>
  </si>
  <si>
    <t>ASTM B 150 UNS C63000 (ASTM Bz Al)</t>
  </si>
  <si>
    <t>ASTM B 335 UNS N10665 (Note G5)</t>
  </si>
  <si>
    <t>ASTM B 335 UNS N10665</t>
  </si>
  <si>
    <t>ASTM B 348 UNS R52400 gr.7</t>
  </si>
  <si>
    <t>ASTM B 348 TITASTM ANIUM GR 5</t>
  </si>
  <si>
    <t>ASTM B 381 F2 UNS 50400</t>
  </si>
  <si>
    <t>ASTM B 408 UNS N08800 (Note G5)</t>
  </si>
  <si>
    <t>ASTM B 408 UNS N08800 (Alloy 800)</t>
  </si>
  <si>
    <t>ASTM B 408 UNS N08810 (Note G5)</t>
  </si>
  <si>
    <t>ASTM B 408 UNS N08810 (Alloy 800HT)</t>
  </si>
  <si>
    <t>ASTM B 425 UNS N08825 (Note G5)</t>
  </si>
  <si>
    <t>ASTM B 425 UNS N08825 (Alloy 825)</t>
  </si>
  <si>
    <t>ASTM B 446 UNS N06625 (Alloy 625 rupture life 10,000 h)</t>
  </si>
  <si>
    <t>ASTM B 462 N08020 (Alloy 20) Note G</t>
  </si>
  <si>
    <t>ASTM B 462 N08020 (Alloy 20)</t>
  </si>
  <si>
    <t>ASTM B 473 UNS N08020 (Alloy 20Cb3) Note G</t>
  </si>
  <si>
    <t>ASTM B 473 UNS N08020 (Alloy 20Cb3)</t>
  </si>
  <si>
    <t xml:space="preserve">ASTM B 564  UNS N04400 </t>
  </si>
  <si>
    <t>ASTM B 564 45 UNS N08810 (B31.3)</t>
  </si>
  <si>
    <t>ASTM B 574 UNS N10276 (HASTELLOY C276)</t>
  </si>
  <si>
    <t>ASTM B 574 UNS N10276 (Alloy C-276)</t>
  </si>
  <si>
    <t>ASTM B 574 UNS N10276 (Note G)</t>
  </si>
  <si>
    <t>ASTM B 574 UNS N10276</t>
  </si>
  <si>
    <t>ASTM B 574 UNS N10276 (Bolting)</t>
  </si>
  <si>
    <t>ASTM B 622 UNS N10276 (Note G)</t>
  </si>
  <si>
    <t>ASTM B 622 UNS N10276</t>
  </si>
  <si>
    <t>ASTM B 637 UNS N07718 (Inconel Alloy 718)</t>
  </si>
  <si>
    <t>ASTM B 865 UNS N05500 (Alloy K 500) d &lt;= 25</t>
  </si>
  <si>
    <t>ASTM B 865 UNS N05500 (Alloy K 500) d &gt; 25</t>
  </si>
  <si>
    <t>ASTM F 468 MT UNS N10276</t>
  </si>
  <si>
    <t>Alloy 105</t>
  </si>
  <si>
    <t xml:space="preserve">Alloy 925                      </t>
  </si>
  <si>
    <t>AMS 5387 Stellite 6</t>
  </si>
  <si>
    <t>C20 UNI 7874:1979</t>
  </si>
  <si>
    <t>C40 1.0511 (AISI 1040) t&lt;16mm</t>
  </si>
  <si>
    <t>C40 1.0511 (AISI 1040) 16&lt;t&lt;100 mm</t>
  </si>
  <si>
    <t>C40 1.0511 (AISI 1040) 100&lt;t&lt;250 mm</t>
  </si>
  <si>
    <t>A2 / A4 cl 70 &lt;= M24</t>
  </si>
  <si>
    <t>A2 / A4 cl 50 &lt; M39</t>
  </si>
  <si>
    <t>ISO 3.6</t>
  </si>
  <si>
    <t>ISO 4.6</t>
  </si>
  <si>
    <t>ISO 4.8</t>
  </si>
  <si>
    <t>ISO 5.6</t>
  </si>
  <si>
    <t>ISO 5.8</t>
  </si>
  <si>
    <t>ISO 6.8</t>
  </si>
  <si>
    <t>ISO 8.8 d&lt;16 mm</t>
  </si>
  <si>
    <t>ISO 8.8 d&gt;16 mm</t>
  </si>
  <si>
    <t>ISO 9.8</t>
  </si>
  <si>
    <t>ISO 10.9</t>
  </si>
  <si>
    <t>ISO 12.9</t>
  </si>
  <si>
    <t>EN 10028-2 1.0425 P265GH t &lt;= 16mm</t>
  </si>
  <si>
    <t>EN 10028-2 1.0425 P265GH  16mm &lt; t &lt;= 40mm</t>
  </si>
  <si>
    <t>EN 10028-2 1.0425 P265GH  40mm &lt; t &lt;= 60mm</t>
  </si>
  <si>
    <t>EN 10028-2 1.0425 P265GH  60mm &lt; t &lt;= 100mm</t>
  </si>
  <si>
    <t>EN 10028-2 1.0425 P265GH  100mm &lt; t &lt;= 150mm</t>
  </si>
  <si>
    <t>EN 10028-2 1.0425 P265GH  150mm &lt; t &lt;= 250mm</t>
  </si>
  <si>
    <t>EN 10028-2 1.5415 16Mo3 t &lt;= 16mm</t>
  </si>
  <si>
    <t>EN 10028-2 1.5415 16Mo3 16mm &lt; t &lt;= 40mm</t>
  </si>
  <si>
    <t>EN 10028-2 1.5415 16Mo3 40mm &lt; t &lt;= 60mm</t>
  </si>
  <si>
    <t>EN 10028-2 1.5415 16Mo3 60mm &lt; t &lt;= 100mm</t>
  </si>
  <si>
    <t>EN 10028-2 1.5415 16Mo3 100mm &lt; t &lt;= 150mm</t>
  </si>
  <si>
    <t>EN 10028-2 1.5415 16Mo3 150mm &lt; t &lt;= 250mm</t>
  </si>
  <si>
    <t>EN 10028-2 1.7335 13CrMo4-5 tr&lt;=16mm</t>
  </si>
  <si>
    <t>EN 10028-2 1.7335 13CrMo4-5 16mm&lt;tr&lt;=60mm</t>
  </si>
  <si>
    <t>EN 10028-2 1.7335 13CrMo4-5 60mm&lt;tr&lt;=100mm</t>
  </si>
  <si>
    <t>EN 10028-2 1.7335 13CrMo4-5 100mm&lt;tr&lt;=150mm</t>
  </si>
  <si>
    <t>EN 10028-2 1.7335 13CrMo4-5 150mm&lt;tr&lt;=250mm</t>
  </si>
  <si>
    <t>EN 10028-3 1.0565 P355NH  t &lt;= 16mm</t>
  </si>
  <si>
    <t>EN 10028-3 1.0565 P355NH   16mm &lt;  t &lt;= 40mm</t>
  </si>
  <si>
    <t>EN 10028-3 1.0565 P355NH   40mm &lt;  t &lt;= 60mm</t>
  </si>
  <si>
    <t>EN 10028-3 1.0565 P355NH   60mm &lt;  t &lt;= 100mm</t>
  </si>
  <si>
    <t>EN 10028-3 1.0565 P355NH   100mm &lt;  t &lt;= 160mm</t>
  </si>
  <si>
    <t>EN 10028-3 1.0565 P355NH   160mm &lt;  t &lt;= 250mm</t>
  </si>
  <si>
    <t>EN 10028-7 1.4301 X5CrNi18-10   t &lt;= 75mm</t>
  </si>
  <si>
    <t>EN 10028-7 1.4307 X2CrNi18-9   t &lt;= 75mm</t>
  </si>
  <si>
    <t>EN 10028-7 1.4401 X5CrNiMo17-12-2   t &lt;= 75mm</t>
  </si>
  <si>
    <t>EN 10028-7 1.4571 X6CrNiMoTi17-12-2   t &lt;= 75mm</t>
  </si>
  <si>
    <t>EN 10028-7 1.4910 X3CrNiMoBN17-13-3   t &lt;= 75mm</t>
  </si>
  <si>
    <t>EN 10213-4 1.4309 GX2CrNi19-11 t&lt;=150mm</t>
  </si>
  <si>
    <t>EN 10213-4 1.4408 GX5CrNiMo19-11-2</t>
  </si>
  <si>
    <t>EN 10213-4 1.4552 GX5CrNiNb19-11</t>
  </si>
  <si>
    <t>EN 10213-4 1.4581 GX5CrNiMoNb19-11-2</t>
  </si>
  <si>
    <t>EN 10213-2  1.0619 GP240GH</t>
  </si>
  <si>
    <t>EN 10213-2  1.5419 G20Mo5</t>
  </si>
  <si>
    <t>EN 10213-2  1.7357 G17CrMo5-5</t>
  </si>
  <si>
    <t>EN 10213-2  1.7379 G17CrMo9-10 (NO Creep Cond,)</t>
  </si>
  <si>
    <t>EN 10213-2  1.7379 G17CrMo9-10 (Creep Condition)</t>
  </si>
  <si>
    <t>EN 10217-7 1.4307 X2CrNi18-9  t&lt;=60 mm</t>
  </si>
  <si>
    <t>EN 10222-2 1.0352 P245GH tr&lt;=35mm</t>
  </si>
  <si>
    <t>EN 10222-2 1.0352 P245GH 35mm&lt; tr &lt;=50mm</t>
  </si>
  <si>
    <t>EN 10222-2 1.0352 P245GH 50mm &lt; tr &lt;=160mm</t>
  </si>
  <si>
    <t>EN 10222-2 1.0426 P280GH tr &lt;= 35 mm</t>
  </si>
  <si>
    <t>EN 10222-2 1.0426 P280GH 35mm &lt; tr &lt;=50mm</t>
  </si>
  <si>
    <t>EN 10222-2 1.0426 P280GH 50mm &lt; tr &lt;=160mm</t>
  </si>
  <si>
    <t>EN 10222-2 1.6920 15MnCrMoNiV 5-3 tr &lt;=100mm (NO Creep Cond)</t>
  </si>
  <si>
    <t>EN 10222-2 1.6920 15MnCrMoNiV 5-3 tr &lt;=100mm (Creep Condition)</t>
  </si>
  <si>
    <t>EN 10222-2 1.7335 13CrMo4-5  tr&lt;=60mm</t>
  </si>
  <si>
    <t>EN 10222-2 1.7335 13CrMo4-5 60mm&lt;tr&lt;=90mm</t>
  </si>
  <si>
    <t>EN 10222-2 1.7335 13CrMo4-5 90mm&lt;tr&lt;=150mm</t>
  </si>
  <si>
    <t>EN 10222-2 1.7335 13CrMo4-5 150mm&lt;tr&lt;=375mm</t>
  </si>
  <si>
    <t>EN 10222-2 1.7335 13CrMo4-5 375mm&lt;tr&lt;=500mm</t>
  </si>
  <si>
    <t>EN 10222-4 1.0565 P355NH  tr&lt;=50mm</t>
  </si>
  <si>
    <t>EN 10222-4 1.0565 P355NH  50&lt; tr&lt;=100mm</t>
  </si>
  <si>
    <t>EN 10222-4 1.0565 P355NH  100&lt; tr&lt;=150mm</t>
  </si>
  <si>
    <t>EN 10222-4 1.0565 P355NH  150&lt; tr&lt;=375mm</t>
  </si>
  <si>
    <t>EN 10222-4 1.0565 P355NH  tr&gt;375mm</t>
  </si>
  <si>
    <t>EN 10222-5 1.4301 X5CrNi18-10   t &lt;= 250mm</t>
  </si>
  <si>
    <t>EN 10222-5 1.4401 X5CrNiMo17-12-2   t &lt;= 250mm</t>
  </si>
  <si>
    <t>EN 10222-5 1.4571 X6CrNiMoTi17-12-2   t &lt;= 450mm</t>
  </si>
  <si>
    <t>EN 10222-5 1.4910 X3CrNiMoBN17-13-3   t &lt;= 75mm</t>
  </si>
  <si>
    <t>EN 10269 1.4401 X5CrNiMo17-12-2 d&lt;160mm</t>
  </si>
  <si>
    <t>EN 10269 1.7709 21CrMoV5-7 d&lt;160mm</t>
  </si>
  <si>
    <t>EN 10272 1.4301 X5CrNi18-10    d&lt;=160 mm</t>
  </si>
  <si>
    <t>EN 10272 1.4301 X5CrNi18-10  160&lt;d&lt;=200 mm</t>
  </si>
  <si>
    <t>EN 10272 1.4401 X5CrNiMo17-12-2 d&lt;=160 mm</t>
  </si>
  <si>
    <t>EN 10272 1.4401 X5CrNiMo17-12-2 160&lt;d&lt;=250 mm</t>
  </si>
  <si>
    <t>EN 10272 1.4404 X5CrNiMo17-12-2 d&lt;=160 mm</t>
  </si>
  <si>
    <t>EN 10272 1.4404 X5CrNiMo17-12-2 160&lt;d&lt;=200 mm</t>
  </si>
  <si>
    <t>EN 10273 1.0425 GP265GH d &lt;= 16mm</t>
  </si>
  <si>
    <t>EN 10273 1.0425 GP265GH 16mm&lt; d &lt;= 40mm</t>
  </si>
  <si>
    <t>EN 10273 1.0425 GP265GH 40mm&lt; d &lt;= 60mm</t>
  </si>
  <si>
    <t>EN 10273 1.0425 GP265GH 60mm&lt; d &lt;= 100mm</t>
  </si>
  <si>
    <t>EN 10273 1.0425 GP265GH 100mm&lt; d &lt;= 150mm</t>
  </si>
  <si>
    <t>Fe 430 B - EN 10025 1.0044 S275JR t&lt;16 mm</t>
  </si>
  <si>
    <t>Fe 430 B - EN 10025 1.0044 S275JR 16&lt;t&lt;40 mm</t>
  </si>
  <si>
    <t>Fe 430 B - EN 10025 1.0044 S275JR 40&lt;t&lt;63 mm</t>
  </si>
  <si>
    <t>Fe 430 B - EN 10025 1.0044 S275JR 63&lt;t&lt;80 mm</t>
  </si>
  <si>
    <t>Fe 430 B - EN 10025 1.0044 S275JR 80&lt;t&lt;100 mm</t>
  </si>
  <si>
    <t>Fe 430 B - EN 10025 1.0044 S275JR 100&lt;t&lt;150 mm</t>
  </si>
  <si>
    <t>Fe 430 B - EN 10025 1.0044 S275JR 150&lt;t&lt;200 mm</t>
  </si>
  <si>
    <t>Fe 430 B - EN 10025 1.0044 S275JR 200&lt;t&lt;250 mm</t>
  </si>
  <si>
    <t>Fe 360 B - EN 10025 1.0037 S235JR t&lt;16 mm</t>
  </si>
  <si>
    <t>Fe 360 B - EN 10025 1.0037 S235JR 16&lt;t&lt;40 mm</t>
  </si>
  <si>
    <t>1.4581 17445  G-X 5 CrNiMoNb 18 10</t>
  </si>
  <si>
    <t>1.1131 17240  CK 35</t>
  </si>
  <si>
    <t>1.4301 17440  A2 cl 50 DIN 267</t>
  </si>
  <si>
    <t>1.4401 17440  A4 cl 50 DIN 267</t>
  </si>
  <si>
    <t>1.7357 17240  Gs-17 CrMo 5 5</t>
  </si>
  <si>
    <t>ISO 3506-1 A2 / A4 cl 70 &lt;= M20</t>
  </si>
  <si>
    <t>ISO 3506-1 A2 / A4 cl 70 &gt; M20</t>
  </si>
  <si>
    <t xml:space="preserve"> UNS K03504</t>
  </si>
  <si>
    <t xml:space="preserve"> (ASME B31.3)</t>
  </si>
  <si>
    <t xml:space="preserve"> gr. B UNS K03006</t>
  </si>
  <si>
    <t xml:space="preserve"> F22 cl 3 UNS K21590</t>
  </si>
  <si>
    <t xml:space="preserve"> F304 UNS S30400 s &gt; 125 mm (Note G5)</t>
  </si>
  <si>
    <t xml:space="preserve"> F304 UNS S30400 s &gt; 125 mm</t>
  </si>
  <si>
    <t xml:space="preserve"> F304 UNS S30400 s &lt;= 125 mm</t>
  </si>
  <si>
    <t xml:space="preserve"> F304 UNS S30400 s &lt;= 125 mm (Note G5)</t>
  </si>
  <si>
    <t xml:space="preserve"> F304L UNS S30403 s &gt; 125 mm (Note G5)</t>
  </si>
  <si>
    <t xml:space="preserve"> F304L UNS S30403 s &gt; 125 mm</t>
  </si>
  <si>
    <t xml:space="preserve"> F304L UNS S30403 s &lt;= 125 mm (Note G5)</t>
  </si>
  <si>
    <t xml:space="preserve"> F304L UNS S30403 s &lt;= 125 mm</t>
  </si>
  <si>
    <t xml:space="preserve"> F316 (ASME B31.3)</t>
  </si>
  <si>
    <t xml:space="preserve"> F316 UNS S31600 s &gt; 125 mm (Note G5)</t>
  </si>
  <si>
    <t xml:space="preserve"> F316 UNS S31600 s &gt; 125 mm</t>
  </si>
  <si>
    <t xml:space="preserve"> F316 UNS S31600 s &lt;= 125 mm (Note G5)</t>
  </si>
  <si>
    <t xml:space="preserve"> F316 UNS S31600 s &lt;= 125 mm</t>
  </si>
  <si>
    <t xml:space="preserve"> F316H UNS S31609 s &gt; 125 mm (Note G5)</t>
  </si>
  <si>
    <t xml:space="preserve"> F316H UNS S31609 s &gt; 125 mm</t>
  </si>
  <si>
    <t xml:space="preserve"> F316H UNS S31609 s &lt;= 125 mm (Note G5)</t>
  </si>
  <si>
    <t xml:space="preserve"> F316H UNS S31609 s &lt;= 125 mm</t>
  </si>
  <si>
    <t xml:space="preserve"> F316L UNS S31603 s &gt; 125 mm (Note G5)</t>
  </si>
  <si>
    <t xml:space="preserve"> F316L UNS S31603 s &gt; 125 mm</t>
  </si>
  <si>
    <t xml:space="preserve"> F316L UNS S31603 s &lt;= 125 mm (Note G5)</t>
  </si>
  <si>
    <t xml:space="preserve"> F316L UNS S31603 s &lt;= 125 mm</t>
  </si>
  <si>
    <t xml:space="preserve"> F321H UNS S32109 s &lt;= 125 mm  (Note G5)</t>
  </si>
  <si>
    <t xml:space="preserve"> F321H UNS S32109 s &lt;= 125 mm</t>
  </si>
  <si>
    <t xml:space="preserve"> F321H UNS S32109 s &gt; 125 mm  (Note G5)</t>
  </si>
  <si>
    <t xml:space="preserve"> F321H UNS S32109 s &gt; 125 mm</t>
  </si>
  <si>
    <t xml:space="preserve"> GR F6a cl3 UNS S41000</t>
  </si>
  <si>
    <t xml:space="preserve"> B7 UNS G41400 100mm &lt; t &lt;= 175mm</t>
  </si>
  <si>
    <t xml:space="preserve"> B7 UNS G41400 64mm &lt; t &lt;= 100mm</t>
  </si>
  <si>
    <t xml:space="preserve"> B7 UNS G41400 t &lt;= 64mm</t>
  </si>
  <si>
    <t xml:space="preserve"> B7M UNS G41400 t &lt;= 64mm</t>
  </si>
  <si>
    <t xml:space="preserve"> B8 UNS S30400 cl.1</t>
  </si>
  <si>
    <t xml:space="preserve"> B8 UNS S30400 cl.2 32mm &lt; t &lt;= 38mm</t>
  </si>
  <si>
    <t xml:space="preserve"> B8 UNS S30400 cl.2 25mm &lt; t &lt;= 32mm</t>
  </si>
  <si>
    <t xml:space="preserve"> B8 UNS S30400 cl.2 19mm &lt; t &lt;= 25mm</t>
  </si>
  <si>
    <t xml:space="preserve"> B8 UNS S30400 cl.2 t &lt;= 19mm</t>
  </si>
  <si>
    <t xml:space="preserve"> B8M UNS S31600 cl.1</t>
  </si>
  <si>
    <t xml:space="preserve"> B8M UNS S31600 cl.2 32mm &lt; t &lt;= 38mm</t>
  </si>
  <si>
    <t xml:space="preserve"> B8M UNS S31600 cl.2 25mm &lt; t &lt;= 32mm</t>
  </si>
  <si>
    <t xml:space="preserve"> B8M UNS S31600 cl.2 19mm &lt; t &lt;= 25mm</t>
  </si>
  <si>
    <t xml:space="preserve"> B8M UNS S31600 cl.2 t &lt;= 19mm</t>
  </si>
  <si>
    <t xml:space="preserve"> B8M2 UNS S31600 64mm&lt; t &lt;= 75mm</t>
  </si>
  <si>
    <t xml:space="preserve"> B8M2 UNS S31600 50mm&lt; t &lt;= 64mm</t>
  </si>
  <si>
    <t xml:space="preserve"> B8M2 UNS S31600  t &lt;= 50mm</t>
  </si>
  <si>
    <t xml:space="preserve"> B8T UNS S32100 cl.1</t>
  </si>
  <si>
    <t xml:space="preserve"> B8T UNS S32100 cl.2 32mm &lt; t &lt;= 38mm</t>
  </si>
  <si>
    <t xml:space="preserve"> B8T UNS S32100 cl.2 25mm &lt; t &lt;= 32mm</t>
  </si>
  <si>
    <t xml:space="preserve"> B8T UNS S32100 cl.2 19mm &lt; t &lt;= 25mm</t>
  </si>
  <si>
    <t xml:space="preserve"> B8T UNS S32100 cl.2 t &lt;= 19mm</t>
  </si>
  <si>
    <t xml:space="preserve"> B8S UNS 21800</t>
  </si>
  <si>
    <t xml:space="preserve"> B16 UNS K14072 100mm &lt; t &lt;= 175mm</t>
  </si>
  <si>
    <t xml:space="preserve"> B16 UNS K14072 64mm &lt; t &lt;= 100mm</t>
  </si>
  <si>
    <t xml:space="preserve"> B16 UNS K14072  t &lt;= 64mm</t>
  </si>
  <si>
    <t xml:space="preserve"> XM19 UNS S20910</t>
  </si>
  <si>
    <t xml:space="preserve"> WCB UNS J03002</t>
  </si>
  <si>
    <t xml:space="preserve"> C5 UNS J42045</t>
  </si>
  <si>
    <t xml:space="preserve"> WC6 UNS J12072</t>
  </si>
  <si>
    <t xml:space="preserve"> WC9 UNS J21890</t>
  </si>
  <si>
    <t xml:space="preserve"> 304 UNS S30400</t>
  </si>
  <si>
    <t xml:space="preserve"> 304 UNS S30400 (Note G5)</t>
  </si>
  <si>
    <t xml:space="preserve"> 304L UNS S30403 (Note G5)</t>
  </si>
  <si>
    <t xml:space="preserve"> 304L UNS S30403</t>
  </si>
  <si>
    <t xml:space="preserve"> 316 UNS S31600 (Note G5)</t>
  </si>
  <si>
    <t xml:space="preserve"> 316 UNS S31600</t>
  </si>
  <si>
    <t xml:space="preserve"> UNS S31803</t>
  </si>
  <si>
    <t xml:space="preserve"> 316L UNS S31603 (Note G5)</t>
  </si>
  <si>
    <t xml:space="preserve"> 316L UNS S31603</t>
  </si>
  <si>
    <t xml:space="preserve"> 347 UNS S34700</t>
  </si>
  <si>
    <t xml:space="preserve"> 347H UNS S34700</t>
  </si>
  <si>
    <t xml:space="preserve"> Type 316</t>
  </si>
  <si>
    <t/>
  </si>
  <si>
    <t xml:space="preserve"> B8 UNS 30400 cl.1</t>
  </si>
  <si>
    <t xml:space="preserve"> B8 UNS 30400 cl.2 32mm &lt; t &lt;= 38mm</t>
  </si>
  <si>
    <t xml:space="preserve"> B8 UNS 30400 cl.2 25mm &lt; t &lt;= 32mm</t>
  </si>
  <si>
    <t xml:space="preserve"> B8 UNS 30400 cl.2 19mm &lt; t &lt;= 25mm</t>
  </si>
  <si>
    <t xml:space="preserve"> B8 UNS 30400 cl.2  t &lt;= 19mm</t>
  </si>
  <si>
    <t xml:space="preserve"> B8M UNS 31600 cl.1</t>
  </si>
  <si>
    <t xml:space="preserve"> B8M UNS 31600 cl.2 32mm &lt; t &lt;= 38mm</t>
  </si>
  <si>
    <t xml:space="preserve"> B8M UNS 31600 cl.2 25mm &lt; t &lt;= 32mm</t>
  </si>
  <si>
    <t xml:space="preserve"> B8M UNS 31600 cl.2 19mm &lt; t &lt;= 25mm</t>
  </si>
  <si>
    <t xml:space="preserve"> B8M UNS 31600 cl.2 t &lt;= 19mm</t>
  </si>
  <si>
    <t xml:space="preserve"> L7 UNS G41400 t &lt;= 64mm</t>
  </si>
  <si>
    <t xml:space="preserve"> L7M UNS G41400 t &lt;= 64mm</t>
  </si>
  <si>
    <t xml:space="preserve"> P11 UNS K11597</t>
  </si>
  <si>
    <t xml:space="preserve"> LF2 cl 1 UNS K03011</t>
  </si>
  <si>
    <t xml:space="preserve"> LF2 cl 2 UNS K03011</t>
  </si>
  <si>
    <t xml:space="preserve"> LF3 cl 1 UNS K32025</t>
  </si>
  <si>
    <t xml:space="preserve"> LF3 cl 2 UNS K32025</t>
  </si>
  <si>
    <t xml:space="preserve"> LF5 cl 1 UNS K13050</t>
  </si>
  <si>
    <t xml:space="preserve"> LF5 cl 2 UNS K13050</t>
  </si>
  <si>
    <t xml:space="preserve"> CK3MCuN UNS J93254 (Note G5)</t>
  </si>
  <si>
    <t xml:space="preserve"> CK3MCuN UNS J93254</t>
  </si>
  <si>
    <t xml:space="preserve"> CF3 UNS J92500 (Note G5)</t>
  </si>
  <si>
    <t xml:space="preserve"> CF3 UNS J92500</t>
  </si>
  <si>
    <t xml:space="preserve"> CF3M UNS J92800 (Note G5)</t>
  </si>
  <si>
    <t xml:space="preserve"> CF3M UNS J92800</t>
  </si>
  <si>
    <t xml:space="preserve"> CF8 UNS J92600 (Note G5)</t>
  </si>
  <si>
    <t xml:space="preserve"> CF8 UNS J92600</t>
  </si>
  <si>
    <t xml:space="preserve"> CF8C (ASME B 31.3)</t>
  </si>
  <si>
    <t xml:space="preserve"> CF8C UNS J92710 (Note G5)</t>
  </si>
  <si>
    <t xml:space="preserve"> CF8C UNS J92710</t>
  </si>
  <si>
    <t xml:space="preserve"> CF8M UNS J92900 (Note G5)</t>
  </si>
  <si>
    <t xml:space="preserve"> CF8M UNS J92900</t>
  </si>
  <si>
    <t xml:space="preserve"> CN7M UNS J95150 (Note G5)</t>
  </si>
  <si>
    <t xml:space="preserve"> CN7M UNS J95150</t>
  </si>
  <si>
    <t xml:space="preserve"> LCC UNS J02505</t>
  </si>
  <si>
    <t xml:space="preserve"> LCB UNS J03003</t>
  </si>
  <si>
    <t xml:space="preserve"> D2-C  F43002 (Ni-Resist)</t>
  </si>
  <si>
    <t xml:space="preserve"> gr. 660 A UNS S66286</t>
  </si>
  <si>
    <t xml:space="preserve"> XM19 UNS S20910 Annealed</t>
  </si>
  <si>
    <t xml:space="preserve"> XM19 UNS S20910  75&lt;t&lt;=200 Hot Rolled</t>
  </si>
  <si>
    <t xml:space="preserve"> XM19 UNS S20910  50&lt;t&lt;=75 Hot Rolled</t>
  </si>
  <si>
    <t xml:space="preserve"> XM19 UNS S20910  t&lt;=50 Hot Rolled</t>
  </si>
  <si>
    <t xml:space="preserve"> XM19 UNS 20910 (Nitronic 50)</t>
  </si>
  <si>
    <t xml:space="preserve"> XM 19 - UNS S20910 0&lt;=d&lt;=50 SIZING</t>
  </si>
  <si>
    <t xml:space="preserve"> XM 19 - UNS S20910 0&lt;=d&lt;=50</t>
  </si>
  <si>
    <t xml:space="preserve"> XM 19 - UNS S20910 50&lt;d&lt;=80 SIZING</t>
  </si>
  <si>
    <t xml:space="preserve"> XM 19 - UNS S20910 50&lt;d&lt;=75</t>
  </si>
  <si>
    <t xml:space="preserve"> XM 19 - UNS S20910 80&lt;d&lt;=200 SIZING</t>
  </si>
  <si>
    <t xml:space="preserve"> XM 19 - UNS S20910 75&lt;d&lt;=200</t>
  </si>
  <si>
    <t xml:space="preserve"> XM 19 - UNS S20910 200&lt;d&lt;=400 SIZING</t>
  </si>
  <si>
    <t xml:space="preserve"> XM 19 - UNS S20910 200&lt;d&lt;=400</t>
  </si>
  <si>
    <t xml:space="preserve"> UNS S31600 - S30400</t>
  </si>
  <si>
    <t xml:space="preserve"> gr. 316L UNS S31603</t>
  </si>
  <si>
    <t xml:space="preserve"> GR 410 - UNS S41000</t>
  </si>
  <si>
    <t xml:space="preserve"> UNS S43100</t>
  </si>
  <si>
    <t xml:space="preserve"> UNS S21800</t>
  </si>
  <si>
    <t xml:space="preserve"> UNS S31254 (SMO)</t>
  </si>
  <si>
    <t xml:space="preserve"> UNS S31803 (Duplex)</t>
  </si>
  <si>
    <t xml:space="preserve"> UNS S32750 (Super Duplex) d&lt;50mm</t>
  </si>
  <si>
    <t xml:space="preserve"> UNS S32750 (Super Duplex) d&gt;50mm</t>
  </si>
  <si>
    <t xml:space="preserve"> CA6NM UNS J91540 A</t>
  </si>
  <si>
    <t xml:space="preserve"> CW-12MW</t>
  </si>
  <si>
    <t xml:space="preserve"> gr. MT 316 </t>
  </si>
  <si>
    <t xml:space="preserve"> gr.55 UNS K01800</t>
  </si>
  <si>
    <t xml:space="preserve"> gr.60 UNS K02100</t>
  </si>
  <si>
    <t xml:space="preserve"> gr.65 UNS K02403</t>
  </si>
  <si>
    <t xml:space="preserve"> gr.70 UNS K02700</t>
  </si>
  <si>
    <t xml:space="preserve"> gr 60-40-18 UNS F32800</t>
  </si>
  <si>
    <t xml:space="preserve"> gr. 630 UNS S17400 H1150</t>
  </si>
  <si>
    <t xml:space="preserve"> GR 615 - UNS S41800</t>
  </si>
  <si>
    <t xml:space="preserve"> GR 616 - UNS S42200</t>
  </si>
  <si>
    <t xml:space="preserve"> gr.50</t>
  </si>
  <si>
    <t xml:space="preserve"> UNS N07080 (Alloy 80)</t>
  </si>
  <si>
    <t xml:space="preserve"> gr 660 UNS S66286</t>
  </si>
  <si>
    <t xml:space="preserve"> 630 UNS S17400 H1075</t>
  </si>
  <si>
    <t xml:space="preserve"> gr. 4 UNS J92205</t>
  </si>
  <si>
    <t xml:space="preserve"> gr.5A UNS J93404</t>
  </si>
  <si>
    <t xml:space="preserve"> gr. 5 UNS J93404</t>
  </si>
  <si>
    <t xml:space="preserve"> C95800</t>
  </si>
  <si>
    <t xml:space="preserve"> C95500 (Aluminium Bronze) B31.3</t>
  </si>
  <si>
    <t xml:space="preserve"> M20 UNS C63000 50mm &lt; t &lt;= 100mm</t>
  </si>
  <si>
    <t xml:space="preserve"> HR50 UNS C63000 50mm &lt; t &lt;= 100mm</t>
  </si>
  <si>
    <t xml:space="preserve"> HR50 UNS C63000 25mm &lt; t &lt;= 50mm</t>
  </si>
  <si>
    <t xml:space="preserve"> HR50 UNS C63000 13mm &lt; t &lt;= 25mm</t>
  </si>
  <si>
    <t xml:space="preserve"> UNS C63000 (ASTM Bz Al)</t>
  </si>
  <si>
    <t xml:space="preserve"> UNS N10665 (Note G5)</t>
  </si>
  <si>
    <t xml:space="preserve"> UNS N10665</t>
  </si>
  <si>
    <t xml:space="preserve"> UNS R52400 gr.7</t>
  </si>
  <si>
    <t xml:space="preserve"> TITASTM ANIUM GR 5</t>
  </si>
  <si>
    <t xml:space="preserve"> F2 UNS 50400</t>
  </si>
  <si>
    <t xml:space="preserve"> UNS N08800 (Note G5)</t>
  </si>
  <si>
    <t xml:space="preserve"> UNS N08800 (Alloy 800)</t>
  </si>
  <si>
    <t xml:space="preserve"> UNS N08810 (Note G5)</t>
  </si>
  <si>
    <t xml:space="preserve"> UNS N08810 (Alloy 800HT)</t>
  </si>
  <si>
    <t xml:space="preserve"> UNS N08825 (Note G5)</t>
  </si>
  <si>
    <t xml:space="preserve"> UNS N08825 (Alloy 825)</t>
  </si>
  <si>
    <t xml:space="preserve"> UNS N06625 (Alloy 625 rupture life 10,000 h)</t>
  </si>
  <si>
    <t xml:space="preserve"> N08020 (Alloy 20) Note G</t>
  </si>
  <si>
    <t xml:space="preserve"> N08020 (Alloy 20)</t>
  </si>
  <si>
    <t xml:space="preserve"> UNS N08020 (Alloy 20Cb3) Note G</t>
  </si>
  <si>
    <t xml:space="preserve"> UNS N08020 (Alloy 20Cb3)</t>
  </si>
  <si>
    <t xml:space="preserve">  UNS N04400 </t>
  </si>
  <si>
    <t xml:space="preserve"> 45 UNS N08810 (B31.3)</t>
  </si>
  <si>
    <t xml:space="preserve"> UNS N10276 (HASTELLOY C276)</t>
  </si>
  <si>
    <t xml:space="preserve"> UNS N10276 (Alloy C-276)</t>
  </si>
  <si>
    <t xml:space="preserve"> UNS N10276 (Note G)</t>
  </si>
  <si>
    <t xml:space="preserve"> UNS N10276</t>
  </si>
  <si>
    <t xml:space="preserve"> UNS N10276 (Bolting)</t>
  </si>
  <si>
    <t xml:space="preserve"> UNS N07718 (Inconel Alloy 718)</t>
  </si>
  <si>
    <t xml:space="preserve"> UNS N05500 (Alloy K 500) d &lt;= 25</t>
  </si>
  <si>
    <t xml:space="preserve"> UNS N05500 (Alloy K 500) d &gt; 25</t>
  </si>
  <si>
    <t xml:space="preserve"> MT UNS N10276</t>
  </si>
  <si>
    <t>A 278 Class 30</t>
  </si>
  <si>
    <t>I20</t>
  </si>
  <si>
    <t>A182 Gr. F 55</t>
  </si>
  <si>
    <t>ASTM A276 UNS  S32760 (PREN&gt;40)</t>
  </si>
  <si>
    <t>ASTM A193 B8M</t>
  </si>
  <si>
    <t>A 48 Class25</t>
  </si>
  <si>
    <t>S10</t>
  </si>
  <si>
    <t>A 182 Gr. F 51</t>
  </si>
  <si>
    <t>ASTM A193 B8 cl.2</t>
  </si>
  <si>
    <t>A 48 Class30</t>
  </si>
  <si>
    <t>S12</t>
  </si>
  <si>
    <t>A 182 Gr. F6NM</t>
  </si>
  <si>
    <t>ASTM A743 Gr. CF3M</t>
  </si>
  <si>
    <t>ASTM A193B8M</t>
  </si>
  <si>
    <t>ASTM A193/A193M Gr B7M</t>
  </si>
  <si>
    <t>A 48 Class40</t>
  </si>
  <si>
    <t>S13</t>
  </si>
  <si>
    <t>A 193 Gr. B6</t>
  </si>
  <si>
    <t>ASTM A487 CA6NM class A</t>
  </si>
  <si>
    <t>45H UNI 3740</t>
  </si>
  <si>
    <t>ASTM A193 B8MA Cl.1A</t>
  </si>
  <si>
    <t>A 532 Cl. II Type D</t>
  </si>
  <si>
    <t>S11</t>
  </si>
  <si>
    <t xml:space="preserve">A 193 Gr. B7    </t>
  </si>
  <si>
    <t>ASTM A193 B7</t>
  </si>
  <si>
    <t>R 40</t>
  </si>
  <si>
    <t>S4B</t>
  </si>
  <si>
    <t xml:space="preserve">A 193 Gr. B7M   </t>
  </si>
  <si>
    <t>ASTM A352M LC1</t>
  </si>
  <si>
    <t>A 216 Gr. WCB</t>
  </si>
  <si>
    <t>A 193 Gr.B 8 M</t>
  </si>
  <si>
    <t>A8E</t>
  </si>
  <si>
    <t>UNS S 32760</t>
  </si>
  <si>
    <t>A 216 Gr. WCB (HRC&lt;22)</t>
  </si>
  <si>
    <t>A 352 LCB</t>
  </si>
  <si>
    <t>A 352 LCB (HRC&lt;22)</t>
  </si>
  <si>
    <t>A 276 S32750 (PREN&gt;40)</t>
  </si>
  <si>
    <t>A 352 LC2</t>
  </si>
  <si>
    <t>A 276 S32760</t>
  </si>
  <si>
    <t>A 266 Class 2</t>
  </si>
  <si>
    <t>S40</t>
  </si>
  <si>
    <t>A 276 Type 410</t>
  </si>
  <si>
    <t>A 694 F65</t>
  </si>
  <si>
    <t>S59</t>
  </si>
  <si>
    <t xml:space="preserve">A 276 Type 420           </t>
  </si>
  <si>
    <t>ASTM A743 Gr. CF3M (HRC&lt;22)</t>
  </si>
  <si>
    <t>A 696 Gr.B40</t>
  </si>
  <si>
    <t>S41</t>
  </si>
  <si>
    <t>A 276 Type 420 (HRC&lt;22)</t>
  </si>
  <si>
    <t>ASTM A 276 Type 316L (HRC&lt;22)</t>
  </si>
  <si>
    <t>A 576 Gr 1045</t>
  </si>
  <si>
    <t>A 276 Type 316L</t>
  </si>
  <si>
    <t>ASTM A193 Gr.B6 (HRC&lt;22)</t>
  </si>
  <si>
    <t>ASTM A320 Gr B8M Cl. 2</t>
  </si>
  <si>
    <t>A 276 Type 316L    (HRC&lt;22)</t>
  </si>
  <si>
    <t>A 276 S31803</t>
  </si>
  <si>
    <t>CARBON STEEL</t>
  </si>
  <si>
    <t>ASTM A320 Gr L7</t>
  </si>
  <si>
    <t>ASTM A276 Tp. 316L</t>
  </si>
  <si>
    <t>A 320 Gr. L7</t>
  </si>
  <si>
    <t>A 276 S31803 (HRC&lt;25)</t>
  </si>
  <si>
    <t>Fe 430B UNI 7070</t>
  </si>
  <si>
    <t>A 194 Gr.2H</t>
  </si>
  <si>
    <t>S44</t>
  </si>
  <si>
    <t>ASTM A193 Gr.B8M cl.2 (HRC&lt;22)</t>
  </si>
  <si>
    <t>A 194 Gr.4 OPPURE Gr.7</t>
  </si>
  <si>
    <t>S56</t>
  </si>
  <si>
    <t xml:space="preserve">A 351 Gr. CF3M     </t>
  </si>
  <si>
    <t>PCuZn40</t>
  </si>
  <si>
    <t xml:space="preserve">A 516 Gr. 65          </t>
  </si>
  <si>
    <t>S45</t>
  </si>
  <si>
    <t>A 351 Gr. CF8M</t>
  </si>
  <si>
    <t>ASTM A494 Gr. Cu5MCuC (HRC&lt;35)</t>
  </si>
  <si>
    <t>A 516 Gr. 65  (HRC&lt;22)</t>
  </si>
  <si>
    <t>S4A</t>
  </si>
  <si>
    <t>A 351 Gr. CF3M (HRC&lt;22)</t>
  </si>
  <si>
    <t>A 516 Gr. 70</t>
  </si>
  <si>
    <t>S46</t>
  </si>
  <si>
    <t>A 351 Gr. CF8M (HRC&lt;22)</t>
  </si>
  <si>
    <t>ASTM A193 Gr. B6 (HRC&lt;22)</t>
  </si>
  <si>
    <t>A 516 Gr. 60</t>
  </si>
  <si>
    <t>ASTM B425 N08875 (HRC&lt;35)</t>
  </si>
  <si>
    <t>A 516 Gr. 60 (HRC&lt;22)</t>
  </si>
  <si>
    <t>S4C</t>
  </si>
  <si>
    <t>ASTM B425 N08825 (HRC&lt;35)</t>
  </si>
  <si>
    <t>S4D</t>
  </si>
  <si>
    <t>ASTM A494 Gr.M30C (HRC&lt;35)</t>
  </si>
  <si>
    <t>ASTM A890 Gr.3A</t>
  </si>
  <si>
    <t>A 106 Gr. B</t>
  </si>
  <si>
    <t>S47</t>
  </si>
  <si>
    <t>A 434 Class BB/BC</t>
  </si>
  <si>
    <t>A 106 Gr. B (HRC&lt;22)</t>
  </si>
  <si>
    <t>S54</t>
  </si>
  <si>
    <t>A 434 Class BC</t>
  </si>
  <si>
    <t xml:space="preserve">A 333 Gr.6 </t>
  </si>
  <si>
    <t>S37</t>
  </si>
  <si>
    <t>A 434 Class BB (HRC&lt;22)</t>
  </si>
  <si>
    <t>A 333 Gr.6 (HRC&lt;22)</t>
  </si>
  <si>
    <t>S55</t>
  </si>
  <si>
    <t>A 473 Type 420</t>
  </si>
  <si>
    <t>ASTM A743 Gr. CF8M</t>
  </si>
  <si>
    <t>A 333 Gr.3</t>
  </si>
  <si>
    <t>S39</t>
  </si>
  <si>
    <t xml:space="preserve">A 479 Type 316L          </t>
  </si>
  <si>
    <t>A 105</t>
  </si>
  <si>
    <t>S48</t>
  </si>
  <si>
    <t xml:space="preserve">A 479 Type 316L    (HRC&lt;22)      </t>
  </si>
  <si>
    <t>A 105 (HRC&lt;22)</t>
  </si>
  <si>
    <t>S52</t>
  </si>
  <si>
    <t>A 479 S32760</t>
  </si>
  <si>
    <t>ASTM A193 gr.B8M cl.2 (HRC&lt;22)</t>
  </si>
  <si>
    <t>A 350 LF2</t>
  </si>
  <si>
    <t>S51</t>
  </si>
  <si>
    <t>A 487 Gr. CA6NM Classe B</t>
  </si>
  <si>
    <t>ASTM A890 Gr. 4A (HRC&lt;28)</t>
  </si>
  <si>
    <t>A 350 LF2 (HRC&lt;22)</t>
  </si>
  <si>
    <t>S53</t>
  </si>
  <si>
    <t>A 487 Gr. CA6NM Classe B (HRC&lt;22)</t>
  </si>
  <si>
    <t>ASTM A193 Gr. B8M cl.1</t>
  </si>
  <si>
    <t>A 350 LF6</t>
  </si>
  <si>
    <t>S36</t>
  </si>
  <si>
    <t>A 350 LF3</t>
  </si>
  <si>
    <t>S49</t>
  </si>
  <si>
    <t>A 743 Gr. CA6NM</t>
  </si>
  <si>
    <t>R 40 UNI6602</t>
  </si>
  <si>
    <t>S70</t>
  </si>
  <si>
    <t>A 743 Gr. CA6NM (HRC&lt;22)</t>
  </si>
  <si>
    <t>UNS S 31803</t>
  </si>
  <si>
    <t>cl.8.8-ISO 3740</t>
  </si>
  <si>
    <t>S75</t>
  </si>
  <si>
    <t xml:space="preserve">A 743 Gr. CF3M            </t>
  </si>
  <si>
    <t>A 743 Gr. CF8M</t>
  </si>
  <si>
    <t>A 743 Gr. CF3M (HRC&lt;22)</t>
  </si>
  <si>
    <t>A 743 Gr. CF8M (HRC&lt;22)</t>
  </si>
  <si>
    <t>A 217 Gr. CA15</t>
  </si>
  <si>
    <t>C60</t>
  </si>
  <si>
    <t xml:space="preserve">A 890 Gr.1B                </t>
  </si>
  <si>
    <t xml:space="preserve">A 890 Gr.1B (HRC&lt;25)       </t>
  </si>
  <si>
    <t>A 487 Gr. CA6NM Classe A</t>
  </si>
  <si>
    <t>C6A</t>
  </si>
  <si>
    <t>A 890 Gr. 3A</t>
  </si>
  <si>
    <t>D12</t>
  </si>
  <si>
    <t>A 743 Gr. CA 15</t>
  </si>
  <si>
    <t>C62</t>
  </si>
  <si>
    <t>A 890 Gr. 4A</t>
  </si>
  <si>
    <t>A 890 Gr. 5A</t>
  </si>
  <si>
    <t xml:space="preserve">A 890 Gr. 6A                   </t>
  </si>
  <si>
    <t>A 182 Gr. F6a Cl. 1</t>
  </si>
  <si>
    <t>C64</t>
  </si>
  <si>
    <t>A 995 Gr. 5A</t>
  </si>
  <si>
    <t>A 995 Gr. 6A</t>
  </si>
  <si>
    <t>A 743 Type 410</t>
  </si>
  <si>
    <t>C66</t>
  </si>
  <si>
    <t>A 995 Gr. 4A</t>
  </si>
  <si>
    <t>A 479 Type 410</t>
  </si>
  <si>
    <t>C67</t>
  </si>
  <si>
    <t>A 995 Gr. 4A   (HRC&lt;28)</t>
  </si>
  <si>
    <t xml:space="preserve">A 473 Type 416 </t>
  </si>
  <si>
    <t>C70</t>
  </si>
  <si>
    <t>A 582 Type 416</t>
  </si>
  <si>
    <t>C71</t>
  </si>
  <si>
    <t>A 194 Gr 6</t>
  </si>
  <si>
    <t>C73</t>
  </si>
  <si>
    <t>A 240 Type 410</t>
  </si>
  <si>
    <t>C74</t>
  </si>
  <si>
    <t>A 240 TYPE 302</t>
  </si>
  <si>
    <t>A18</t>
  </si>
  <si>
    <t>A 351 Gr. CF3</t>
  </si>
  <si>
    <t>A70</t>
  </si>
  <si>
    <t>ASTM A479 Tp.XM19</t>
  </si>
  <si>
    <t>A 743 Gr. CF3</t>
  </si>
  <si>
    <t>A71</t>
  </si>
  <si>
    <t>A 744 Gr. CF8M</t>
  </si>
  <si>
    <t>A8B</t>
  </si>
  <si>
    <t>A 744 Gr. CF3M</t>
  </si>
  <si>
    <t>A8C</t>
  </si>
  <si>
    <t>A 182 Gr. F 304L</t>
  </si>
  <si>
    <t>A72</t>
  </si>
  <si>
    <t xml:space="preserve">A 182 Gr. F 316L          </t>
  </si>
  <si>
    <t>A82</t>
  </si>
  <si>
    <t>A 479 Type 304L</t>
  </si>
  <si>
    <t>A73</t>
  </si>
  <si>
    <t>A 479 Type XM19</t>
  </si>
  <si>
    <t>A 240 Gr. 304L</t>
  </si>
  <si>
    <t>A75</t>
  </si>
  <si>
    <t xml:space="preserve">A 240 Gr. 316L           </t>
  </si>
  <si>
    <t>A85</t>
  </si>
  <si>
    <t>A 240 Gr. 316L (HRC&lt;22)</t>
  </si>
  <si>
    <t>A8G</t>
  </si>
  <si>
    <t>A 312 Type 304L</t>
  </si>
  <si>
    <t>A76</t>
  </si>
  <si>
    <t xml:space="preserve">A 312 Type 316L         </t>
  </si>
  <si>
    <t>A86</t>
  </si>
  <si>
    <t>A 312 Type 316L  (HRC&lt;22)</t>
  </si>
  <si>
    <t>A89</t>
  </si>
  <si>
    <t xml:space="preserve">A 182 Gr. F 316L  (HRC&lt;22) </t>
  </si>
  <si>
    <t>A87</t>
  </si>
  <si>
    <t>A 194 gr. B 8 M</t>
  </si>
  <si>
    <t>A88</t>
  </si>
  <si>
    <t>A 351 Gr. CD4MCu</t>
  </si>
  <si>
    <t>D10</t>
  </si>
  <si>
    <t>A 995 Gr.1B</t>
  </si>
  <si>
    <t>A 995 Gr. 3A</t>
  </si>
  <si>
    <t>D1A</t>
  </si>
  <si>
    <t>A 479</t>
  </si>
  <si>
    <t>D15</t>
  </si>
  <si>
    <t>A 240 S31803</t>
  </si>
  <si>
    <t>D18</t>
  </si>
  <si>
    <t>A 240 S31803   (HRC&lt;28)</t>
  </si>
  <si>
    <t>D1D</t>
  </si>
  <si>
    <t>A 479  (HRC&lt;25)</t>
  </si>
  <si>
    <t>D1G</t>
  </si>
  <si>
    <t>A 790 S31803</t>
  </si>
  <si>
    <t>D19</t>
  </si>
  <si>
    <t>A182 Gr. F 51</t>
  </si>
  <si>
    <t>A 351 Gr. CD3MWCuN</t>
  </si>
  <si>
    <t>D20</t>
  </si>
  <si>
    <t>A 182 Gr.55 VERIFICARE MATERIALE</t>
  </si>
  <si>
    <t>D23</t>
  </si>
  <si>
    <t>A 240 S32760</t>
  </si>
  <si>
    <t>D28</t>
  </si>
  <si>
    <t>A 240 S32760 HRC&lt;25</t>
  </si>
  <si>
    <t>D2D</t>
  </si>
  <si>
    <t>A 790 S32750</t>
  </si>
  <si>
    <t>D30</t>
  </si>
  <si>
    <t>A 790 S32760</t>
  </si>
  <si>
    <t>D29</t>
  </si>
  <si>
    <t>A182 Gr. F 53</t>
  </si>
  <si>
    <t>D25</t>
  </si>
  <si>
    <t>ciao-pippo</t>
  </si>
  <si>
    <t>materiale</t>
  </si>
  <si>
    <t>TENSIONE AMM</t>
  </si>
  <si>
    <t>ALTE T</t>
  </si>
  <si>
    <t>normT_&gt;tamb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</si>
</sst>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5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3" fillId="19" borderId="0" applyNumberFormat="0" applyBorder="0" applyAlignment="0" applyProtection="0"/>
    <xf numFmtId="0" fontId="4" fillId="20" borderId="0" applyNumberFormat="0" applyBorder="0" applyAlignment="0" applyProtection="0"/>
  </cellStyleXfs>
  <cellXfs count="166">
    <xf numFmtId="0" fontId="0" fillId="0" borderId="0" xfId="0"/>
    <xf numFmtId="0" fontId="1" fillId="0" borderId="1" xfId="0" applyFont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2" borderId="4" xfId="0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7" xfId="0" applyFill="1" applyBorder="1"/>
    <xf numFmtId="0" fontId="0" fillId="0" borderId="9" xfId="0" applyBorder="1"/>
    <xf numFmtId="0" fontId="0" fillId="2" borderId="7" xfId="0" applyFill="1" applyBorder="1"/>
    <xf numFmtId="0" fontId="0" fillId="4" borderId="7" xfId="0" applyFill="1" applyBorder="1"/>
    <xf numFmtId="0" fontId="0" fillId="4" borderId="10" xfId="0" applyFill="1" applyBorder="1"/>
    <xf numFmtId="0" fontId="0" fillId="0" borderId="11" xfId="0" applyBorder="1"/>
    <xf numFmtId="0" fontId="0" fillId="0" borderId="12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3" borderId="4" xfId="0" applyFill="1" applyBorder="1"/>
    <xf numFmtId="0" fontId="0" fillId="3" borderId="5" xfId="0" applyFill="1" applyBorder="1"/>
    <xf numFmtId="0" fontId="0" fillId="5" borderId="8" xfId="0" applyFill="1" applyBorder="1"/>
    <xf numFmtId="0" fontId="0" fillId="5" borderId="9" xfId="0" applyFill="1" applyBorder="1"/>
    <xf numFmtId="0" fontId="0" fillId="6" borderId="7" xfId="0" applyFill="1" applyBorder="1"/>
    <xf numFmtId="0" fontId="0" fillId="0" borderId="10" xfId="0" applyBorder="1"/>
    <xf numFmtId="0" fontId="0" fillId="3" borderId="8" xfId="0" applyFill="1" applyBorder="1"/>
    <xf numFmtId="0" fontId="0" fillId="6" borderId="4" xfId="0" applyFill="1" applyBorder="1"/>
    <xf numFmtId="0" fontId="0" fillId="6" borderId="10" xfId="0" applyFill="1" applyBorder="1"/>
    <xf numFmtId="0" fontId="0" fillId="7" borderId="4" xfId="0" applyFill="1" applyBorder="1"/>
    <xf numFmtId="0" fontId="0" fillId="8" borderId="7" xfId="0" applyFill="1" applyBorder="1"/>
    <xf numFmtId="0" fontId="0" fillId="7" borderId="7" xfId="0" applyFill="1" applyBorder="1"/>
    <xf numFmtId="0" fontId="0" fillId="8" borderId="10" xfId="0" applyFill="1" applyBorder="1"/>
    <xf numFmtId="0" fontId="0" fillId="9" borderId="0" xfId="0" applyFill="1"/>
    <xf numFmtId="0" fontId="0" fillId="11" borderId="0" xfId="0" applyFill="1"/>
    <xf numFmtId="0" fontId="2" fillId="0" borderId="0" xfId="0" applyFont="1"/>
    <xf numFmtId="0" fontId="0" fillId="0" borderId="13" xfId="0" applyBorder="1"/>
    <xf numFmtId="0" fontId="0" fillId="8" borderId="13" xfId="0" applyFill="1" applyBorder="1"/>
    <xf numFmtId="0" fontId="2" fillId="3" borderId="13" xfId="0" applyFont="1" applyFill="1" applyBorder="1"/>
    <xf numFmtId="0" fontId="0" fillId="3" borderId="13" xfId="0" applyFill="1" applyBorder="1"/>
    <xf numFmtId="0" fontId="0" fillId="10" borderId="13" xfId="0" applyFill="1" applyBorder="1"/>
    <xf numFmtId="0" fontId="0" fillId="12" borderId="13" xfId="0" applyFill="1" applyBorder="1"/>
    <xf numFmtId="0" fontId="0" fillId="0" borderId="0" xfId="0" quotePrefix="1"/>
    <xf numFmtId="0" fontId="0" fillId="10" borderId="0" xfId="0" applyFill="1"/>
    <xf numFmtId="0" fontId="0" fillId="12" borderId="0" xfId="0" applyFill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11" borderId="13" xfId="0" applyFill="1" applyBorder="1"/>
    <xf numFmtId="0" fontId="2" fillId="0" borderId="13" xfId="0" applyFont="1" applyBorder="1"/>
    <xf numFmtId="0" fontId="0" fillId="0" borderId="25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20" xfId="0" applyBorder="1"/>
    <xf numFmtId="0" fontId="0" fillId="0" borderId="21" xfId="0" applyBorder="1"/>
    <xf numFmtId="0" fontId="0" fillId="0" borderId="18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2" xfId="0" applyBorder="1"/>
    <xf numFmtId="0" fontId="0" fillId="0" borderId="18" xfId="0" applyBorder="1"/>
    <xf numFmtId="0" fontId="0" fillId="0" borderId="25" xfId="0" applyBorder="1"/>
    <xf numFmtId="0" fontId="0" fillId="0" borderId="29" xfId="0" applyBorder="1" applyAlignment="1">
      <alignment vertical="center"/>
    </xf>
    <xf numFmtId="0" fontId="0" fillId="0" borderId="31" xfId="0" applyBorder="1" applyAlignment="1">
      <alignment vertical="center"/>
    </xf>
    <xf numFmtId="0" fontId="0" fillId="0" borderId="18" xfId="0" applyBorder="1" applyAlignment="1">
      <alignment vertical="center" wrapText="1"/>
    </xf>
    <xf numFmtId="0" fontId="0" fillId="0" borderId="19" xfId="0" applyBorder="1" applyAlignment="1">
      <alignment vertical="center"/>
    </xf>
    <xf numFmtId="0" fontId="0" fillId="0" borderId="34" xfId="0" applyBorder="1" applyAlignment="1">
      <alignment vertical="center"/>
    </xf>
    <xf numFmtId="0" fontId="0" fillId="0" borderId="31" xfId="0" applyBorder="1"/>
    <xf numFmtId="0" fontId="0" fillId="0" borderId="22" xfId="0" applyBorder="1" applyAlignment="1">
      <alignment vertical="center"/>
    </xf>
    <xf numFmtId="0" fontId="0" fillId="0" borderId="8" xfId="0" applyBorder="1" applyAlignment="1">
      <alignment vertical="center"/>
    </xf>
    <xf numFmtId="0" fontId="1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36" xfId="0" applyBorder="1" applyAlignment="1">
      <alignment vertical="center"/>
    </xf>
    <xf numFmtId="0" fontId="0" fillId="0" borderId="33" xfId="0" applyBorder="1" applyAlignment="1">
      <alignment vertical="center"/>
    </xf>
    <xf numFmtId="0" fontId="0" fillId="0" borderId="30" xfId="0" applyBorder="1" applyAlignment="1">
      <alignment vertical="center"/>
    </xf>
    <xf numFmtId="0" fontId="1" fillId="0" borderId="2" xfId="0" applyFont="1" applyBorder="1" applyAlignment="1">
      <alignment horizontal="center"/>
    </xf>
    <xf numFmtId="0" fontId="0" fillId="0" borderId="37" xfId="0" applyBorder="1" applyAlignment="1">
      <alignment vertical="center"/>
    </xf>
    <xf numFmtId="0" fontId="1" fillId="0" borderId="5" xfId="0" applyFont="1" applyBorder="1" applyAlignment="1">
      <alignment horizontal="center"/>
    </xf>
    <xf numFmtId="0" fontId="0" fillId="0" borderId="39" xfId="0" applyBorder="1"/>
    <xf numFmtId="0" fontId="0" fillId="0" borderId="9" xfId="0" applyBorder="1" applyAlignment="1">
      <alignment vertical="center"/>
    </xf>
    <xf numFmtId="0" fontId="1" fillId="0" borderId="3" xfId="0" applyFont="1" applyBorder="1" applyAlignment="1">
      <alignment horizontal="center"/>
    </xf>
    <xf numFmtId="0" fontId="0" fillId="0" borderId="32" xfId="0" applyBorder="1" applyAlignment="1">
      <alignment vertical="center"/>
    </xf>
    <xf numFmtId="0" fontId="0" fillId="13" borderId="18" xfId="0" applyFill="1" applyBorder="1" applyAlignment="1">
      <alignment vertical="center"/>
    </xf>
    <xf numFmtId="0" fontId="2" fillId="0" borderId="18" xfId="0" applyFont="1" applyBorder="1"/>
    <xf numFmtId="0" fontId="2" fillId="0" borderId="18" xfId="0" applyFont="1" applyBorder="1" applyAlignment="1">
      <alignment vertical="center"/>
    </xf>
    <xf numFmtId="0" fontId="0" fillId="0" borderId="36" xfId="0" applyBorder="1"/>
    <xf numFmtId="0" fontId="0" fillId="10" borderId="18" xfId="0" applyFill="1" applyBorder="1" applyAlignment="1">
      <alignment vertical="center"/>
    </xf>
    <xf numFmtId="0" fontId="0" fillId="10" borderId="18" xfId="0" applyFill="1" applyBorder="1"/>
    <xf numFmtId="0" fontId="0" fillId="0" borderId="24" xfId="0" applyBorder="1" applyAlignment="1">
      <alignment vertical="center"/>
    </xf>
    <xf numFmtId="0" fontId="0" fillId="0" borderId="41" xfId="0" applyBorder="1" applyAlignment="1">
      <alignment vertical="center"/>
    </xf>
    <xf numFmtId="0" fontId="0" fillId="0" borderId="38" xfId="0" applyBorder="1" applyAlignment="1">
      <alignment vertical="center"/>
    </xf>
    <xf numFmtId="0" fontId="0" fillId="0" borderId="41" xfId="0" applyBorder="1" applyAlignment="1">
      <alignment vertical="center" wrapText="1"/>
    </xf>
    <xf numFmtId="0" fontId="0" fillId="0" borderId="42" xfId="0" applyBorder="1" applyAlignment="1">
      <alignment vertical="center" wrapText="1"/>
    </xf>
    <xf numFmtId="0" fontId="0" fillId="0" borderId="23" xfId="0" applyBorder="1" applyAlignment="1">
      <alignment vertical="center"/>
    </xf>
    <xf numFmtId="0" fontId="0" fillId="10" borderId="7" xfId="0" applyFill="1" applyBorder="1"/>
    <xf numFmtId="0" fontId="0" fillId="13" borderId="7" xfId="0" applyFill="1" applyBorder="1" applyAlignment="1">
      <alignment vertical="center"/>
    </xf>
    <xf numFmtId="0" fontId="0" fillId="0" borderId="34" xfId="0" applyBorder="1"/>
    <xf numFmtId="0" fontId="0" fillId="13" borderId="18" xfId="0" applyFill="1" applyBorder="1"/>
    <xf numFmtId="0" fontId="0" fillId="14" borderId="18" xfId="0" applyFill="1" applyBorder="1"/>
    <xf numFmtId="0" fontId="0" fillId="0" borderId="39" xfId="0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44" xfId="0" applyBorder="1" applyAlignment="1">
      <alignment vertical="center"/>
    </xf>
    <xf numFmtId="0" fontId="0" fillId="0" borderId="44" xfId="0" applyBorder="1"/>
    <xf numFmtId="0" fontId="0" fillId="0" borderId="45" xfId="0" applyBorder="1"/>
    <xf numFmtId="0" fontId="0" fillId="10" borderId="34" xfId="0" applyFill="1" applyBorder="1"/>
    <xf numFmtId="0" fontId="0" fillId="0" borderId="46" xfId="0" applyBorder="1" applyAlignment="1">
      <alignment vertical="center"/>
    </xf>
    <xf numFmtId="0" fontId="0" fillId="0" borderId="45" xfId="0" applyBorder="1" applyAlignment="1">
      <alignment vertical="center"/>
    </xf>
    <xf numFmtId="0" fontId="0" fillId="0" borderId="47" xfId="0" applyBorder="1" applyAlignment="1">
      <alignment vertical="center"/>
    </xf>
    <xf numFmtId="0" fontId="0" fillId="14" borderId="1" xfId="0" applyFill="1" applyBorder="1"/>
    <xf numFmtId="0" fontId="0" fillId="13" borderId="1" xfId="0" applyFill="1" applyBorder="1"/>
    <xf numFmtId="0" fontId="0" fillId="10" borderId="1" xfId="0" applyFill="1" applyBorder="1"/>
    <xf numFmtId="0" fontId="1" fillId="0" borderId="35" xfId="0" applyFont="1" applyBorder="1" applyAlignment="1">
      <alignment horizontal="center"/>
    </xf>
    <xf numFmtId="0" fontId="0" fillId="13" borderId="34" xfId="0" applyFill="1" applyBorder="1" applyAlignment="1">
      <alignment vertical="center"/>
    </xf>
    <xf numFmtId="0" fontId="0" fillId="13" borderId="18" xfId="0" applyFill="1" applyBorder="1" applyAlignment="1">
      <alignment vertical="center" wrapText="1"/>
    </xf>
    <xf numFmtId="0" fontId="0" fillId="10" borderId="25" xfId="0" applyFill="1" applyBorder="1" applyAlignment="1">
      <alignment vertical="center"/>
    </xf>
    <xf numFmtId="0" fontId="2" fillId="0" borderId="25" xfId="0" applyFont="1" applyBorder="1" applyAlignment="1">
      <alignment vertical="center"/>
    </xf>
    <xf numFmtId="0" fontId="0" fillId="10" borderId="25" xfId="0" applyFill="1" applyBorder="1"/>
    <xf numFmtId="0" fontId="0" fillId="15" borderId="25" xfId="0" applyFill="1" applyBorder="1"/>
    <xf numFmtId="0" fontId="0" fillId="14" borderId="25" xfId="0" applyFill="1" applyBorder="1"/>
    <xf numFmtId="0" fontId="2" fillId="0" borderId="25" xfId="0" applyFont="1" applyBorder="1"/>
    <xf numFmtId="0" fontId="1" fillId="0" borderId="1" xfId="0" applyFont="1" applyBorder="1"/>
    <xf numFmtId="0" fontId="1" fillId="0" borderId="5" xfId="0" applyFont="1" applyBorder="1"/>
    <xf numFmtId="0" fontId="1" fillId="0" borderId="4" xfId="0" applyFont="1" applyBorder="1" applyAlignment="1">
      <alignment horizontal="center"/>
    </xf>
    <xf numFmtId="0" fontId="0" fillId="0" borderId="21" xfId="0" applyBorder="1" applyAlignment="1">
      <alignment vertical="center"/>
    </xf>
    <xf numFmtId="0" fontId="0" fillId="0" borderId="48" xfId="0" applyBorder="1" applyAlignment="1">
      <alignment vertical="center"/>
    </xf>
    <xf numFmtId="0" fontId="0" fillId="13" borderId="36" xfId="0" applyFill="1" applyBorder="1" applyAlignment="1">
      <alignment vertical="center"/>
    </xf>
    <xf numFmtId="0" fontId="0" fillId="0" borderId="36" xfId="0" applyBorder="1" applyAlignment="1">
      <alignment vertical="center" wrapText="1"/>
    </xf>
    <xf numFmtId="0" fontId="0" fillId="13" borderId="36" xfId="0" applyFill="1" applyBorder="1"/>
    <xf numFmtId="0" fontId="0" fillId="13" borderId="36" xfId="0" applyFill="1" applyBorder="1" applyAlignment="1">
      <alignment vertical="center" wrapText="1"/>
    </xf>
    <xf numFmtId="0" fontId="0" fillId="17" borderId="29" xfId="0" applyFill="1" applyBorder="1"/>
    <xf numFmtId="0" fontId="0" fillId="17" borderId="25" xfId="0" applyFill="1" applyBorder="1"/>
    <xf numFmtId="0" fontId="0" fillId="16" borderId="25" xfId="0" applyFill="1" applyBorder="1"/>
    <xf numFmtId="0" fontId="0" fillId="16" borderId="18" xfId="0" applyFill="1" applyBorder="1"/>
    <xf numFmtId="0" fontId="0" fillId="16" borderId="19" xfId="0" applyFill="1" applyBorder="1"/>
    <xf numFmtId="0" fontId="0" fillId="0" borderId="30" xfId="0" applyBorder="1"/>
    <xf numFmtId="0" fontId="0" fillId="16" borderId="17" xfId="0" applyFill="1" applyBorder="1"/>
    <xf numFmtId="0" fontId="0" fillId="0" borderId="41" xfId="0" applyBorder="1"/>
    <xf numFmtId="0" fontId="0" fillId="0" borderId="46" xfId="0" applyBorder="1"/>
    <xf numFmtId="0" fontId="0" fillId="0" borderId="50" xfId="0" applyBorder="1" applyAlignment="1">
      <alignment vertical="center"/>
    </xf>
    <xf numFmtId="0" fontId="0" fillId="0" borderId="15" xfId="0" applyBorder="1" applyAlignment="1">
      <alignment vertical="center"/>
    </xf>
    <xf numFmtId="0" fontId="0" fillId="13" borderId="25" xfId="0" applyFill="1" applyBorder="1"/>
    <xf numFmtId="0" fontId="0" fillId="13" borderId="25" xfId="0" applyFill="1" applyBorder="1" applyAlignment="1">
      <alignment vertical="center"/>
    </xf>
    <xf numFmtId="0" fontId="2" fillId="13" borderId="25" xfId="0" applyFont="1" applyFill="1" applyBorder="1"/>
    <xf numFmtId="0" fontId="0" fillId="13" borderId="39" xfId="0" applyFill="1" applyBorder="1" applyAlignment="1">
      <alignment vertical="center"/>
    </xf>
    <xf numFmtId="0" fontId="0" fillId="0" borderId="51" xfId="0" applyBorder="1" applyAlignment="1">
      <alignment vertical="center"/>
    </xf>
    <xf numFmtId="0" fontId="0" fillId="0" borderId="29" xfId="0" applyBorder="1"/>
    <xf numFmtId="0" fontId="0" fillId="18" borderId="18" xfId="0" applyFill="1" applyBorder="1"/>
    <xf numFmtId="0" fontId="0" fillId="18" borderId="25" xfId="0" applyFill="1" applyBorder="1"/>
    <xf numFmtId="0" fontId="0" fillId="18" borderId="1" xfId="0" applyFill="1" applyBorder="1"/>
    <xf numFmtId="0" fontId="3" fillId="19" borderId="1" xfId="1" applyBorder="1" applyAlignment="1">
      <alignment horizontal="center"/>
    </xf>
    <xf numFmtId="0" fontId="4" fillId="20" borderId="1" xfId="2" applyBorder="1" applyAlignment="1">
      <alignment horizontal="center"/>
    </xf>
    <xf numFmtId="0" fontId="0" fillId="0" borderId="52" xfId="0" applyBorder="1"/>
    <xf numFmtId="0" fontId="0" fillId="0" borderId="0" xfId="0" applyAlignment="1">
      <alignment horizontal="center"/>
    </xf>
    <xf numFmtId="22" fontId="1" fillId="0" borderId="0" xfId="0" applyNumberFormat="1" applyFont="1" applyAlignment="1">
      <alignment horizontal="center"/>
    </xf>
    <xf numFmtId="0" fontId="0" fillId="0" borderId="0" xfId="0" applyProtection="1">
      <protection locked="0" hidden="1"/>
    </xf>
    <xf numFmtId="0" fontId="1" fillId="0" borderId="5" xfId="0" applyFont="1" applyBorder="1" applyAlignment="1">
      <alignment horizontal="left" vertical="center"/>
    </xf>
    <xf numFmtId="0" fontId="1" fillId="0" borderId="26" xfId="0" applyFont="1" applyBorder="1" applyAlignment="1">
      <alignment horizontal="left" vertical="center"/>
    </xf>
    <xf numFmtId="0" fontId="1" fillId="0" borderId="40" xfId="0" applyFont="1" applyBorder="1" applyAlignment="1">
      <alignment horizontal="left" vertical="center"/>
    </xf>
    <xf numFmtId="0" fontId="1" fillId="0" borderId="27" xfId="0" applyFont="1" applyBorder="1" applyAlignment="1">
      <alignment horizontal="left" vertical="center"/>
    </xf>
    <xf numFmtId="0" fontId="1" fillId="0" borderId="28" xfId="0" applyFont="1" applyBorder="1" applyAlignment="1">
      <alignment horizontal="left" vertical="center"/>
    </xf>
    <xf numFmtId="0" fontId="1" fillId="0" borderId="49" xfId="0" applyFont="1" applyBorder="1" applyAlignment="1">
      <alignment horizontal="left" vertical="center"/>
    </xf>
    <xf numFmtId="22" fontId="0" fillId="0" borderId="0" xfId="0" applyNumberFormat="1"/>
    <xf numFmtId="0" fontId="1" fillId="0" borderId="2" xfId="0" applyFont="1" applyBorder="1" applyAlignment="1">
      <alignment horizontal="center"/>
    </xf>
    <xf numFmtId="0" fontId="1" fillId="0" borderId="35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 applyAlignment="1">
      <alignment horizontal="center"/>
    </xf>
  </cellXfs>
  <cellStyles count="3">
    <cellStyle name="Neutrale" xfId="2" builtinId="28"/>
    <cellStyle name="Normale" xfId="0" builtinId="0"/>
    <cellStyle name="Valore valido" xfId="1" builtinId="26"/>
  </cellStyles>
  <dxfs count="8">
    <dxf>
      <font>
        <b/>
        <i val="0"/>
        <color theme="0"/>
      </font>
      <fill>
        <patternFill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ill>
        <patternFill>
          <bgColor rgb="FFFFEB9C"/>
        </patternFill>
      </fill>
    </dxf>
    <dxf>
      <fill>
        <patternFill>
          <bgColor rgb="FFC6EFCE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ill>
        <patternFill>
          <bgColor rgb="FFFFEB9C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Medium9"/>
  <colors>
    <mruColors>
      <color rgb="FFFFEB9C"/>
      <color rgb="FFC6EFCE"/>
      <color rgb="FFFFFF66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5</xdr:row>
      <xdr:rowOff>0</xdr:rowOff>
    </xdr:from>
    <xdr:to>
      <xdr:col>6</xdr:col>
      <xdr:colOff>95250</xdr:colOff>
      <xdr:row>32</xdr:row>
      <xdr:rowOff>142875</xdr:rowOff>
    </xdr:to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2FBA8F1C-867C-467F-B435-E60989769516}"/>
            </a:ext>
          </a:extLst>
        </xdr:cNvPr>
        <xdr:cNvSpPr txBox="1"/>
      </xdr:nvSpPr>
      <xdr:spPr>
        <a:xfrm>
          <a:off x="114300" y="990600"/>
          <a:ext cx="3638550" cy="52863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il</a:t>
          </a:r>
          <a:r>
            <a:rPr lang="it-IT" sz="1100" baseline="0"/>
            <a:t> file si deve chiamare sempre </a:t>
          </a:r>
          <a:r>
            <a:rPr lang="it-IT" sz="1100" b="1" baseline="0"/>
            <a:t>UGUALE</a:t>
          </a:r>
          <a:r>
            <a:rPr lang="it-IT" sz="1100" baseline="0"/>
            <a:t> non deve essere aggiunta la revisione.</a:t>
          </a:r>
        </a:p>
        <a:p>
          <a:r>
            <a:rPr lang="it-IT" sz="1100" baseline="0"/>
            <a:t>ad ogni salvataggio in automatico viene aggiornato il file di controllo dell'indice di revisione e viene salvata una copia nella cartella back up</a:t>
          </a:r>
          <a:endParaRPr lang="it-IT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utorizations" displayName="Autorizations" ref="A1:C6" totalsRowShown="0">
  <autoFilter ref="A1:C6" xr:uid="{00000000-0009-0000-0100-000001000000}"/>
  <tableColumns count="3">
    <tableColumn id="1" xr3:uid="{00000000-0010-0000-0000-000001000000}" name="Name"/>
    <tableColumn id="2" xr3:uid="{00000000-0010-0000-0000-000002000000}" name="User Name"/>
    <tableColumn id="3" xr3:uid="{00000000-0010-0000-0000-000003000000}" name="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EA189"/>
  <sheetViews>
    <sheetView tabSelected="1" zoomScale="80" zoomScaleNormal="80" workbookViewId="0">
      <pane xSplit="1" ySplit="2" topLeftCell="F33" activePane="bottomRight" state="frozen"/>
      <selection pane="bottomRight" activeCell="O34" sqref="O34"/>
      <selection pane="bottomLeft" activeCell="A3" sqref="A3"/>
      <selection pane="topRight" activeCell="B1" sqref="B1"/>
    </sheetView>
  </sheetViews>
  <sheetFormatPr defaultRowHeight="15"/>
  <cols>
    <col min="1" max="1" width="47.140625" bestFit="1" customWidth="1"/>
    <col min="2" max="2" width="11.28515625" bestFit="1" customWidth="1"/>
    <col min="3" max="3" width="20.5703125" bestFit="1" customWidth="1"/>
    <col min="4" max="4" width="20.5703125" customWidth="1"/>
    <col min="5" max="5" width="21.140625" bestFit="1" customWidth="1"/>
    <col min="6" max="6" width="13" bestFit="1" customWidth="1"/>
    <col min="7" max="7" width="15.42578125" bestFit="1" customWidth="1"/>
    <col min="8" max="8" width="9.28515625" bestFit="1" customWidth="1"/>
    <col min="9" max="9" width="6.42578125" bestFit="1" customWidth="1"/>
    <col min="10" max="10" width="17.28515625" bestFit="1" customWidth="1"/>
    <col min="11" max="11" width="13.7109375" customWidth="1"/>
    <col min="12" max="12" width="13" customWidth="1"/>
    <col min="13" max="13" width="9.7109375" customWidth="1"/>
    <col min="14" max="14" width="8" customWidth="1"/>
    <col min="15" max="15" width="7.28515625" customWidth="1"/>
    <col min="47" max="47" width="11.5703125" customWidth="1"/>
    <col min="48" max="48" width="15.42578125" bestFit="1" customWidth="1"/>
    <col min="53" max="53" width="9.28515625" customWidth="1"/>
    <col min="56" max="56" width="9.42578125" customWidth="1"/>
    <col min="59" max="59" width="11.140625" customWidth="1"/>
    <col min="60" max="60" width="11" customWidth="1"/>
    <col min="130" max="130" width="16" hidden="1" customWidth="1"/>
    <col min="131" max="131" width="15.5703125" hidden="1" customWidth="1"/>
  </cols>
  <sheetData>
    <row r="1" spans="1:131" ht="15.75" thickBot="1">
      <c r="D1" s="162" t="s">
        <v>0</v>
      </c>
      <c r="E1" s="164"/>
      <c r="K1" s="162" t="s">
        <v>1</v>
      </c>
      <c r="L1" s="163"/>
      <c r="M1" s="163"/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  <c r="Y1" s="163"/>
      <c r="Z1" s="163"/>
      <c r="AA1" s="163"/>
      <c r="AB1" s="163"/>
      <c r="AC1" s="163"/>
      <c r="AD1" s="163"/>
      <c r="AE1" s="163"/>
      <c r="AF1" s="163"/>
      <c r="AG1" s="163"/>
      <c r="AH1" s="163"/>
      <c r="AI1" s="163"/>
      <c r="AJ1" s="163"/>
      <c r="AK1" s="163"/>
      <c r="AL1" s="163"/>
      <c r="AM1" s="163"/>
      <c r="AN1" s="163"/>
      <c r="AO1" s="163"/>
      <c r="AP1" s="163"/>
      <c r="AQ1" s="163"/>
      <c r="AR1" s="163"/>
      <c r="AS1" s="163"/>
      <c r="AT1" s="163"/>
      <c r="AU1" s="164"/>
      <c r="AV1" s="111"/>
      <c r="AW1" s="162" t="s">
        <v>2</v>
      </c>
      <c r="AX1" s="163"/>
      <c r="AY1" s="163"/>
      <c r="AZ1" s="163"/>
      <c r="BA1" s="163"/>
      <c r="BB1" s="163"/>
      <c r="BC1" s="163"/>
      <c r="BD1" s="163"/>
      <c r="BE1" s="163"/>
      <c r="BF1" s="163"/>
      <c r="BG1" s="163"/>
      <c r="BH1" s="163"/>
      <c r="BI1" s="163"/>
      <c r="BJ1" s="163"/>
      <c r="BK1" s="163"/>
      <c r="BL1" s="163"/>
      <c r="BM1" s="163"/>
      <c r="BN1" s="163"/>
      <c r="BO1" s="163"/>
      <c r="BP1" s="163"/>
      <c r="BQ1" s="163"/>
      <c r="BR1" s="163"/>
      <c r="BS1" s="163"/>
      <c r="BT1" s="163"/>
      <c r="BU1" s="163"/>
      <c r="BV1" s="163"/>
      <c r="BW1" s="163"/>
      <c r="BX1" s="163"/>
      <c r="BY1" s="163"/>
      <c r="BZ1" s="163"/>
      <c r="CA1" s="163"/>
      <c r="CB1" s="163"/>
      <c r="CC1" s="163"/>
      <c r="CD1" s="163"/>
      <c r="CE1" s="163"/>
      <c r="CF1" s="163"/>
      <c r="CG1" s="164"/>
      <c r="CH1" s="162" t="s">
        <v>3</v>
      </c>
      <c r="CI1" s="163"/>
      <c r="CJ1" s="163"/>
      <c r="CK1" s="163"/>
      <c r="CL1" s="163"/>
      <c r="CM1" s="163"/>
      <c r="CN1" s="163"/>
      <c r="CO1" s="163"/>
      <c r="CP1" s="163"/>
      <c r="CQ1" s="163"/>
      <c r="CR1" s="163"/>
      <c r="CS1" s="163"/>
      <c r="CT1" s="163"/>
      <c r="CU1" s="163"/>
      <c r="CV1" s="163"/>
      <c r="CW1" s="163"/>
      <c r="CX1" s="163"/>
      <c r="CY1" s="163"/>
      <c r="CZ1" s="163"/>
      <c r="DA1" s="163"/>
      <c r="DB1" s="163"/>
      <c r="DC1" s="163"/>
      <c r="DD1" s="163"/>
      <c r="DE1" s="163"/>
      <c r="DF1" s="163"/>
      <c r="DG1" s="163"/>
      <c r="DH1" s="163"/>
      <c r="DI1" s="163"/>
      <c r="DJ1" s="163"/>
      <c r="DK1" s="163"/>
      <c r="DL1" s="163"/>
      <c r="DM1" s="163"/>
      <c r="DN1" s="163"/>
      <c r="DO1" s="163"/>
      <c r="DP1" s="163"/>
      <c r="DQ1" s="163"/>
      <c r="DR1" s="164"/>
    </row>
    <row r="2" spans="1:131" ht="15.75" thickBot="1">
      <c r="A2" s="75" t="s">
        <v>4</v>
      </c>
      <c r="B2" s="75" t="s">
        <v>5</v>
      </c>
      <c r="C2" s="1" t="s">
        <v>6</v>
      </c>
      <c r="D2" s="80" t="s">
        <v>7</v>
      </c>
      <c r="E2" s="80" t="s">
        <v>8</v>
      </c>
      <c r="F2" s="1" t="s">
        <v>9</v>
      </c>
      <c r="G2" s="1" t="s">
        <v>10</v>
      </c>
      <c r="H2" s="149" t="s">
        <v>2</v>
      </c>
      <c r="I2" s="150" t="s">
        <v>3</v>
      </c>
      <c r="J2" s="1" t="s">
        <v>11</v>
      </c>
      <c r="K2" s="155">
        <v>20</v>
      </c>
      <c r="L2" s="156">
        <v>40</v>
      </c>
      <c r="M2" s="157">
        <v>50</v>
      </c>
      <c r="N2" s="158">
        <v>65</v>
      </c>
      <c r="O2" s="158">
        <v>100</v>
      </c>
      <c r="P2" s="158">
        <v>125</v>
      </c>
      <c r="Q2" s="158">
        <v>150</v>
      </c>
      <c r="R2" s="158">
        <v>175</v>
      </c>
      <c r="S2" s="158">
        <v>200</v>
      </c>
      <c r="T2" s="158">
        <v>225</v>
      </c>
      <c r="U2" s="158">
        <v>250</v>
      </c>
      <c r="V2" s="158">
        <v>275</v>
      </c>
      <c r="W2" s="158">
        <v>300</v>
      </c>
      <c r="X2" s="158">
        <v>325</v>
      </c>
      <c r="Y2" s="158">
        <v>350</v>
      </c>
      <c r="Z2" s="158">
        <v>375</v>
      </c>
      <c r="AA2" s="158">
        <v>400</v>
      </c>
      <c r="AB2" s="158">
        <v>425</v>
      </c>
      <c r="AC2" s="158">
        <v>450</v>
      </c>
      <c r="AD2" s="158">
        <v>475</v>
      </c>
      <c r="AE2" s="158">
        <v>500</v>
      </c>
      <c r="AF2" s="158">
        <v>525</v>
      </c>
      <c r="AG2" s="158">
        <v>550</v>
      </c>
      <c r="AH2" s="158">
        <v>575</v>
      </c>
      <c r="AI2" s="158">
        <v>600</v>
      </c>
      <c r="AJ2" s="158">
        <v>625</v>
      </c>
      <c r="AK2" s="158">
        <v>650</v>
      </c>
      <c r="AL2" s="158">
        <v>675</v>
      </c>
      <c r="AM2" s="158">
        <v>700</v>
      </c>
      <c r="AN2" s="158">
        <v>725</v>
      </c>
      <c r="AO2" s="158">
        <v>750</v>
      </c>
      <c r="AP2" s="158">
        <v>775</v>
      </c>
      <c r="AQ2" s="158">
        <v>800</v>
      </c>
      <c r="AR2" s="158">
        <v>825</v>
      </c>
      <c r="AS2" s="158">
        <v>850</v>
      </c>
      <c r="AT2" s="158">
        <v>875</v>
      </c>
      <c r="AU2" s="159">
        <v>900</v>
      </c>
      <c r="AV2" s="160" t="s">
        <v>12</v>
      </c>
      <c r="AW2" s="155">
        <v>20</v>
      </c>
      <c r="AX2" s="156">
        <v>40</v>
      </c>
      <c r="AY2" s="157">
        <v>50</v>
      </c>
      <c r="AZ2" s="158">
        <v>65</v>
      </c>
      <c r="BA2" s="158">
        <v>100</v>
      </c>
      <c r="BB2" s="158">
        <v>125</v>
      </c>
      <c r="BC2" s="158">
        <v>150</v>
      </c>
      <c r="BD2" s="158">
        <v>175</v>
      </c>
      <c r="BE2" s="158">
        <v>200</v>
      </c>
      <c r="BF2" s="158">
        <v>225</v>
      </c>
      <c r="BG2" s="158">
        <v>250</v>
      </c>
      <c r="BH2" s="158">
        <v>275</v>
      </c>
      <c r="BI2" s="158">
        <v>300</v>
      </c>
      <c r="BJ2" s="158">
        <v>325</v>
      </c>
      <c r="BK2" s="158">
        <v>350</v>
      </c>
      <c r="BL2" s="158">
        <v>375</v>
      </c>
      <c r="BM2" s="158">
        <v>400</v>
      </c>
      <c r="BN2" s="158">
        <v>425</v>
      </c>
      <c r="BO2" s="158">
        <v>450</v>
      </c>
      <c r="BP2" s="158">
        <v>475</v>
      </c>
      <c r="BQ2" s="158">
        <v>500</v>
      </c>
      <c r="BR2" s="158">
        <v>525</v>
      </c>
      <c r="BS2" s="158">
        <v>550</v>
      </c>
      <c r="BT2" s="158">
        <v>575</v>
      </c>
      <c r="BU2" s="158">
        <v>600</v>
      </c>
      <c r="BV2" s="158">
        <v>625</v>
      </c>
      <c r="BW2" s="158">
        <v>650</v>
      </c>
      <c r="BX2" s="158">
        <v>675</v>
      </c>
      <c r="BY2" s="158">
        <v>700</v>
      </c>
      <c r="BZ2" s="158">
        <v>725</v>
      </c>
      <c r="CA2" s="158">
        <v>750</v>
      </c>
      <c r="CB2" s="158">
        <v>775</v>
      </c>
      <c r="CC2" s="158">
        <v>800</v>
      </c>
      <c r="CD2" s="158">
        <v>825</v>
      </c>
      <c r="CE2" s="158">
        <v>850</v>
      </c>
      <c r="CF2" s="158">
        <v>875</v>
      </c>
      <c r="CG2" s="159">
        <v>900</v>
      </c>
      <c r="CH2" s="155">
        <v>20</v>
      </c>
      <c r="CI2" s="156">
        <v>40</v>
      </c>
      <c r="CJ2" s="157">
        <v>50</v>
      </c>
      <c r="CK2" s="158">
        <v>65</v>
      </c>
      <c r="CL2" s="158">
        <v>100</v>
      </c>
      <c r="CM2" s="158">
        <v>125</v>
      </c>
      <c r="CN2" s="158">
        <v>150</v>
      </c>
      <c r="CO2" s="158">
        <v>175</v>
      </c>
      <c r="CP2" s="158">
        <v>200</v>
      </c>
      <c r="CQ2" s="158">
        <v>225</v>
      </c>
      <c r="CR2" s="158">
        <v>250</v>
      </c>
      <c r="CS2" s="158">
        <v>275</v>
      </c>
      <c r="CT2" s="158">
        <v>300</v>
      </c>
      <c r="CU2" s="158">
        <v>325</v>
      </c>
      <c r="CV2" s="158">
        <v>350</v>
      </c>
      <c r="CW2" s="158">
        <v>375</v>
      </c>
      <c r="CX2" s="158">
        <v>400</v>
      </c>
      <c r="CY2" s="158">
        <v>425</v>
      </c>
      <c r="CZ2" s="158">
        <v>450</v>
      </c>
      <c r="DA2" s="158">
        <v>475</v>
      </c>
      <c r="DB2" s="158">
        <v>500</v>
      </c>
      <c r="DC2" s="158">
        <v>525</v>
      </c>
      <c r="DD2" s="158">
        <v>550</v>
      </c>
      <c r="DE2" s="158">
        <v>575</v>
      </c>
      <c r="DF2" s="158">
        <v>600</v>
      </c>
      <c r="DG2" s="158">
        <v>625</v>
      </c>
      <c r="DH2" s="158">
        <v>650</v>
      </c>
      <c r="DI2" s="158">
        <v>675</v>
      </c>
      <c r="DJ2" s="158">
        <v>700</v>
      </c>
      <c r="DK2" s="158">
        <v>725</v>
      </c>
      <c r="DL2" s="158">
        <v>750</v>
      </c>
      <c r="DM2" s="158">
        <v>775</v>
      </c>
      <c r="DN2" s="158">
        <v>800</v>
      </c>
      <c r="DO2" s="158">
        <v>825</v>
      </c>
      <c r="DP2" s="158">
        <v>850</v>
      </c>
      <c r="DQ2" s="158">
        <v>875</v>
      </c>
      <c r="DR2" s="159">
        <v>900</v>
      </c>
    </row>
    <row r="3" spans="1:131">
      <c r="A3" s="68" t="s">
        <v>13</v>
      </c>
      <c r="B3" s="68" t="s">
        <v>14</v>
      </c>
      <c r="C3" s="49" t="s">
        <v>15</v>
      </c>
      <c r="D3" s="49" t="s">
        <v>16</v>
      </c>
      <c r="E3" s="49" t="s">
        <v>16</v>
      </c>
      <c r="F3" s="49" t="s">
        <v>16</v>
      </c>
      <c r="G3" s="49" t="s">
        <v>17</v>
      </c>
      <c r="H3" s="124">
        <v>620</v>
      </c>
      <c r="I3" s="58">
        <v>450</v>
      </c>
      <c r="J3" s="49" t="s">
        <v>18</v>
      </c>
      <c r="K3" s="73" t="s">
        <v>16</v>
      </c>
      <c r="L3" s="50">
        <v>177</v>
      </c>
      <c r="M3" s="50" t="s">
        <v>16</v>
      </c>
      <c r="N3" s="50">
        <v>177</v>
      </c>
      <c r="O3" s="50">
        <v>177</v>
      </c>
      <c r="P3" s="50">
        <v>174</v>
      </c>
      <c r="Q3" s="50">
        <v>171</v>
      </c>
      <c r="R3" s="50" t="s">
        <v>16</v>
      </c>
      <c r="S3" s="50">
        <v>165</v>
      </c>
      <c r="T3" s="50" t="s">
        <v>16</v>
      </c>
      <c r="U3" s="50">
        <v>161</v>
      </c>
      <c r="V3" s="50" t="s">
        <v>16</v>
      </c>
      <c r="W3" s="50">
        <v>160</v>
      </c>
      <c r="X3" s="50">
        <v>159</v>
      </c>
      <c r="Y3" s="50" t="s">
        <v>16</v>
      </c>
      <c r="Z3" s="50" t="s">
        <v>16</v>
      </c>
      <c r="AA3" s="50" t="s">
        <v>16</v>
      </c>
      <c r="AB3" s="50" t="s">
        <v>16</v>
      </c>
      <c r="AC3" s="50" t="s">
        <v>16</v>
      </c>
      <c r="AD3" s="50" t="s">
        <v>16</v>
      </c>
      <c r="AE3" s="51" t="s">
        <v>16</v>
      </c>
      <c r="AF3" s="51" t="s">
        <v>16</v>
      </c>
      <c r="AG3" s="51" t="s">
        <v>16</v>
      </c>
      <c r="AH3" s="51" t="s">
        <v>16</v>
      </c>
      <c r="AI3" s="51" t="s">
        <v>16</v>
      </c>
      <c r="AJ3" s="51" t="s">
        <v>16</v>
      </c>
      <c r="AK3" s="51" t="s">
        <v>16</v>
      </c>
      <c r="AL3" s="51" t="s">
        <v>16</v>
      </c>
      <c r="AM3" s="51" t="s">
        <v>16</v>
      </c>
      <c r="AN3" s="51" t="s">
        <v>16</v>
      </c>
      <c r="AO3" s="51" t="s">
        <v>16</v>
      </c>
      <c r="AP3" s="51" t="s">
        <v>16</v>
      </c>
      <c r="AQ3" s="51" t="s">
        <v>16</v>
      </c>
      <c r="AR3" s="51" t="s">
        <v>16</v>
      </c>
      <c r="AS3" s="51" t="s">
        <v>16</v>
      </c>
      <c r="AT3" s="51" t="s">
        <v>16</v>
      </c>
      <c r="AU3" s="52" t="s">
        <v>16</v>
      </c>
      <c r="AV3" s="145" t="s">
        <v>18</v>
      </c>
      <c r="AW3" s="73" t="s">
        <v>16</v>
      </c>
      <c r="AX3" s="50">
        <v>621</v>
      </c>
      <c r="AY3" s="50" t="s">
        <v>16</v>
      </c>
      <c r="AZ3" s="50" t="s">
        <v>16</v>
      </c>
      <c r="BA3" s="50">
        <v>619</v>
      </c>
      <c r="BB3" s="50" t="s">
        <v>16</v>
      </c>
      <c r="BC3" s="50">
        <v>598</v>
      </c>
      <c r="BD3" s="50" t="s">
        <v>16</v>
      </c>
      <c r="BE3" s="50">
        <v>577</v>
      </c>
      <c r="BF3" s="50" t="s">
        <v>16</v>
      </c>
      <c r="BG3" s="50">
        <v>564</v>
      </c>
      <c r="BH3" s="50" t="s">
        <v>16</v>
      </c>
      <c r="BI3" s="50">
        <v>558</v>
      </c>
      <c r="BJ3" s="50">
        <v>556</v>
      </c>
      <c r="BK3" s="50">
        <v>555</v>
      </c>
      <c r="BL3" s="50" t="s">
        <v>16</v>
      </c>
      <c r="BM3" s="50" t="s">
        <v>16</v>
      </c>
      <c r="BN3" s="50" t="s">
        <v>16</v>
      </c>
      <c r="BO3" s="50" t="s">
        <v>16</v>
      </c>
      <c r="BP3" s="50" t="s">
        <v>16</v>
      </c>
      <c r="BQ3" s="50" t="s">
        <v>16</v>
      </c>
      <c r="BR3" s="50" t="s">
        <v>16</v>
      </c>
      <c r="BS3" s="50" t="s">
        <v>16</v>
      </c>
      <c r="BT3" s="50" t="s">
        <v>16</v>
      </c>
      <c r="BU3" s="50" t="s">
        <v>16</v>
      </c>
      <c r="BV3" s="50" t="s">
        <v>16</v>
      </c>
      <c r="BW3" s="50" t="s">
        <v>16</v>
      </c>
      <c r="BX3" s="50" t="s">
        <v>16</v>
      </c>
      <c r="BY3" s="50" t="s">
        <v>16</v>
      </c>
      <c r="BZ3" s="50" t="s">
        <v>16</v>
      </c>
      <c r="CA3" s="50" t="s">
        <v>16</v>
      </c>
      <c r="CB3" s="50" t="s">
        <v>16</v>
      </c>
      <c r="CC3" s="50" t="s">
        <v>16</v>
      </c>
      <c r="CD3" s="50" t="s">
        <v>16</v>
      </c>
      <c r="CE3" s="50" t="s">
        <v>16</v>
      </c>
      <c r="CF3" s="50" t="s">
        <v>16</v>
      </c>
      <c r="CG3" s="138" t="s">
        <v>16</v>
      </c>
      <c r="CH3" s="73" t="s">
        <v>16</v>
      </c>
      <c r="CI3" s="50">
        <v>448</v>
      </c>
      <c r="CJ3" s="50" t="s">
        <v>16</v>
      </c>
      <c r="CK3" s="50">
        <v>418</v>
      </c>
      <c r="CL3" s="50">
        <v>395</v>
      </c>
      <c r="CM3" s="50">
        <v>381</v>
      </c>
      <c r="CN3" s="50">
        <v>370</v>
      </c>
      <c r="CO3" s="50">
        <v>361</v>
      </c>
      <c r="CP3" s="50">
        <v>354</v>
      </c>
      <c r="CQ3" s="50">
        <v>349</v>
      </c>
      <c r="CR3" s="50">
        <v>344</v>
      </c>
      <c r="CS3" s="50">
        <v>339</v>
      </c>
      <c r="CT3" s="50">
        <v>334</v>
      </c>
      <c r="CU3" s="50">
        <v>328</v>
      </c>
      <c r="CV3" s="50">
        <v>322</v>
      </c>
      <c r="CW3" s="50" t="s">
        <v>16</v>
      </c>
      <c r="CX3" s="50" t="s">
        <v>16</v>
      </c>
      <c r="CY3" s="50" t="s">
        <v>16</v>
      </c>
      <c r="CZ3" s="50" t="s">
        <v>16</v>
      </c>
      <c r="DA3" s="50" t="s">
        <v>16</v>
      </c>
      <c r="DB3" s="50" t="s">
        <v>16</v>
      </c>
      <c r="DC3" s="50" t="s">
        <v>16</v>
      </c>
      <c r="DD3" s="50" t="s">
        <v>16</v>
      </c>
      <c r="DE3" s="50" t="s">
        <v>16</v>
      </c>
      <c r="DF3" s="50" t="s">
        <v>16</v>
      </c>
      <c r="DG3" s="50" t="s">
        <v>16</v>
      </c>
      <c r="DH3" s="50" t="s">
        <v>16</v>
      </c>
      <c r="DI3" s="50" t="s">
        <v>16</v>
      </c>
      <c r="DJ3" s="50" t="s">
        <v>16</v>
      </c>
      <c r="DK3" s="50" t="s">
        <v>16</v>
      </c>
      <c r="DL3" s="50" t="s">
        <v>16</v>
      </c>
      <c r="DM3" s="50" t="s">
        <v>16</v>
      </c>
      <c r="DN3" s="50" t="s">
        <v>16</v>
      </c>
      <c r="DO3" s="50" t="s">
        <v>16</v>
      </c>
      <c r="DP3" s="50" t="s">
        <v>16</v>
      </c>
      <c r="DQ3" s="50" t="s">
        <v>16</v>
      </c>
      <c r="DR3" s="123" t="s">
        <v>16</v>
      </c>
      <c r="DZ3" t="s">
        <v>19</v>
      </c>
      <c r="EA3" s="154" t="s">
        <v>20</v>
      </c>
    </row>
    <row r="4" spans="1:131">
      <c r="A4" s="53" t="s">
        <v>21</v>
      </c>
      <c r="B4" s="53" t="s">
        <v>14</v>
      </c>
      <c r="C4" s="53" t="s">
        <v>15</v>
      </c>
      <c r="D4" s="53" t="s">
        <v>16</v>
      </c>
      <c r="E4" s="53" t="s">
        <v>16</v>
      </c>
      <c r="F4" s="53" t="s">
        <v>22</v>
      </c>
      <c r="G4" s="53" t="s">
        <v>17</v>
      </c>
      <c r="H4" s="72">
        <v>620</v>
      </c>
      <c r="I4" s="48">
        <v>448</v>
      </c>
      <c r="J4" s="82" t="s">
        <v>17</v>
      </c>
      <c r="K4" s="59" t="s">
        <v>16</v>
      </c>
      <c r="L4" s="54" t="s">
        <v>16</v>
      </c>
      <c r="M4" s="54">
        <v>177</v>
      </c>
      <c r="N4" s="34" t="s">
        <v>16</v>
      </c>
      <c r="O4" s="34">
        <v>177</v>
      </c>
      <c r="P4" s="34" t="s">
        <v>16</v>
      </c>
      <c r="Q4" s="34">
        <v>171</v>
      </c>
      <c r="R4" s="34" t="s">
        <v>16</v>
      </c>
      <c r="S4" s="34">
        <v>165</v>
      </c>
      <c r="T4" s="34" t="s">
        <v>16</v>
      </c>
      <c r="U4" s="34">
        <v>161</v>
      </c>
      <c r="V4" s="34" t="s">
        <v>16</v>
      </c>
      <c r="W4" s="34">
        <v>160</v>
      </c>
      <c r="X4" s="34" t="s">
        <v>16</v>
      </c>
      <c r="Y4" s="34" t="s">
        <v>16</v>
      </c>
      <c r="Z4" s="34" t="s">
        <v>16</v>
      </c>
      <c r="AA4" s="34" t="s">
        <v>16</v>
      </c>
      <c r="AB4" s="34" t="s">
        <v>16</v>
      </c>
      <c r="AC4" s="34" t="s">
        <v>16</v>
      </c>
      <c r="AD4" s="34" t="s">
        <v>16</v>
      </c>
      <c r="AE4" s="34" t="s">
        <v>16</v>
      </c>
      <c r="AF4" s="34" t="s">
        <v>16</v>
      </c>
      <c r="AG4" s="34" t="s">
        <v>16</v>
      </c>
      <c r="AH4" s="34" t="s">
        <v>16</v>
      </c>
      <c r="AI4" s="34" t="s">
        <v>16</v>
      </c>
      <c r="AJ4" s="34" t="s">
        <v>16</v>
      </c>
      <c r="AK4" s="34" t="s">
        <v>16</v>
      </c>
      <c r="AL4" s="34" t="s">
        <v>16</v>
      </c>
      <c r="AM4" s="34" t="s">
        <v>16</v>
      </c>
      <c r="AN4" s="34" t="s">
        <v>16</v>
      </c>
      <c r="AO4" s="34" t="s">
        <v>16</v>
      </c>
      <c r="AP4" s="34" t="s">
        <v>16</v>
      </c>
      <c r="AQ4" s="34" t="s">
        <v>16</v>
      </c>
      <c r="AR4" s="34" t="s">
        <v>16</v>
      </c>
      <c r="AS4" s="34" t="s">
        <v>16</v>
      </c>
      <c r="AT4" s="34" t="s">
        <v>16</v>
      </c>
      <c r="AU4" s="55" t="s">
        <v>16</v>
      </c>
      <c r="AV4" s="140" t="s">
        <v>18</v>
      </c>
      <c r="AW4" s="59" t="s">
        <v>16</v>
      </c>
      <c r="AX4" s="54">
        <v>621</v>
      </c>
      <c r="AY4" s="54" t="s">
        <v>16</v>
      </c>
      <c r="AZ4" s="34" t="s">
        <v>16</v>
      </c>
      <c r="BA4" s="34">
        <v>619</v>
      </c>
      <c r="BB4" s="34" t="s">
        <v>16</v>
      </c>
      <c r="BC4" s="34">
        <v>598</v>
      </c>
      <c r="BD4" s="34" t="s">
        <v>16</v>
      </c>
      <c r="BE4" s="34">
        <v>577</v>
      </c>
      <c r="BF4" s="34" t="s">
        <v>16</v>
      </c>
      <c r="BG4" s="34">
        <v>564</v>
      </c>
      <c r="BH4" s="34" t="s">
        <v>16</v>
      </c>
      <c r="BI4" s="34">
        <v>558</v>
      </c>
      <c r="BJ4" s="34">
        <v>556</v>
      </c>
      <c r="BK4" s="34">
        <v>555</v>
      </c>
      <c r="BL4" s="34" t="s">
        <v>16</v>
      </c>
      <c r="BM4" s="34" t="s">
        <v>16</v>
      </c>
      <c r="BN4" s="34" t="s">
        <v>16</v>
      </c>
      <c r="BO4" s="34" t="s">
        <v>16</v>
      </c>
      <c r="BP4" s="34" t="s">
        <v>16</v>
      </c>
      <c r="BQ4" s="34" t="s">
        <v>16</v>
      </c>
      <c r="BR4" s="34" t="s">
        <v>16</v>
      </c>
      <c r="BS4" s="34" t="s">
        <v>16</v>
      </c>
      <c r="BT4" s="34" t="s">
        <v>16</v>
      </c>
      <c r="BU4" s="34" t="s">
        <v>16</v>
      </c>
      <c r="BV4" s="34" t="s">
        <v>16</v>
      </c>
      <c r="BW4" s="34" t="s">
        <v>16</v>
      </c>
      <c r="BX4" s="34" t="s">
        <v>16</v>
      </c>
      <c r="BY4" s="34" t="s">
        <v>16</v>
      </c>
      <c r="BZ4" s="34" t="s">
        <v>16</v>
      </c>
      <c r="CA4" s="34" t="s">
        <v>16</v>
      </c>
      <c r="CB4" s="34" t="s">
        <v>16</v>
      </c>
      <c r="CC4" s="34" t="s">
        <v>16</v>
      </c>
      <c r="CD4" s="34" t="s">
        <v>16</v>
      </c>
      <c r="CE4" s="34" t="s">
        <v>16</v>
      </c>
      <c r="CF4" s="34" t="s">
        <v>16</v>
      </c>
      <c r="CG4" s="44" t="s">
        <v>16</v>
      </c>
      <c r="CH4" s="59" t="s">
        <v>16</v>
      </c>
      <c r="CI4" s="54">
        <v>448</v>
      </c>
      <c r="CJ4" s="54" t="s">
        <v>16</v>
      </c>
      <c r="CK4" s="34">
        <v>418</v>
      </c>
      <c r="CL4" s="34">
        <v>395</v>
      </c>
      <c r="CM4" s="34">
        <v>381</v>
      </c>
      <c r="CN4" s="34">
        <v>370</v>
      </c>
      <c r="CO4" s="34">
        <v>361</v>
      </c>
      <c r="CP4" s="34">
        <v>354</v>
      </c>
      <c r="CQ4" s="34">
        <v>349</v>
      </c>
      <c r="CR4" s="34">
        <v>344</v>
      </c>
      <c r="CS4" s="34">
        <v>339</v>
      </c>
      <c r="CT4" s="34">
        <v>334</v>
      </c>
      <c r="CU4" s="34">
        <v>328</v>
      </c>
      <c r="CV4" s="34">
        <v>322</v>
      </c>
      <c r="CW4" s="34" t="s">
        <v>16</v>
      </c>
      <c r="CX4" s="34" t="s">
        <v>16</v>
      </c>
      <c r="CY4" s="34" t="s">
        <v>16</v>
      </c>
      <c r="CZ4" s="34" t="s">
        <v>16</v>
      </c>
      <c r="DA4" s="34" t="s">
        <v>16</v>
      </c>
      <c r="DB4" s="34" t="s">
        <v>16</v>
      </c>
      <c r="DC4" s="34" t="s">
        <v>16</v>
      </c>
      <c r="DD4" s="34" t="s">
        <v>16</v>
      </c>
      <c r="DE4" s="34" t="s">
        <v>16</v>
      </c>
      <c r="DF4" s="34" t="s">
        <v>16</v>
      </c>
      <c r="DG4" s="34" t="s">
        <v>16</v>
      </c>
      <c r="DH4" s="34" t="s">
        <v>16</v>
      </c>
      <c r="DI4" s="34" t="s">
        <v>16</v>
      </c>
      <c r="DJ4" s="34" t="s">
        <v>16</v>
      </c>
      <c r="DK4" s="34" t="s">
        <v>16</v>
      </c>
      <c r="DL4" s="34" t="s">
        <v>16</v>
      </c>
      <c r="DM4" s="34" t="s">
        <v>16</v>
      </c>
      <c r="DN4" s="34" t="s">
        <v>16</v>
      </c>
      <c r="DO4" s="34" t="s">
        <v>16</v>
      </c>
      <c r="DP4" s="34" t="s">
        <v>16</v>
      </c>
      <c r="DQ4" s="34" t="s">
        <v>16</v>
      </c>
      <c r="DR4" s="55" t="s">
        <v>16</v>
      </c>
      <c r="DS4" s="151"/>
      <c r="DZ4" t="s">
        <v>23</v>
      </c>
      <c r="EA4" s="154">
        <v>34</v>
      </c>
    </row>
    <row r="5" spans="1:131">
      <c r="A5" s="53" t="s">
        <v>24</v>
      </c>
      <c r="B5" s="53" t="s">
        <v>14</v>
      </c>
      <c r="C5" s="53" t="str">
        <f>C4</f>
        <v>bar</v>
      </c>
      <c r="D5" s="53" t="str">
        <f>D4</f>
        <v>-</v>
      </c>
      <c r="E5" s="53" t="str">
        <f>E4</f>
        <v>-</v>
      </c>
      <c r="F5" s="53" t="s">
        <v>25</v>
      </c>
      <c r="G5" s="53" t="str">
        <f t="shared" ref="G5:L5" si="0">G4</f>
        <v>ASTM</v>
      </c>
      <c r="H5" s="72">
        <f t="shared" si="0"/>
        <v>620</v>
      </c>
      <c r="I5" s="48">
        <f t="shared" si="0"/>
        <v>448</v>
      </c>
      <c r="J5" s="82" t="str">
        <f t="shared" si="0"/>
        <v>ASTM</v>
      </c>
      <c r="K5" s="59" t="str">
        <f t="shared" si="0"/>
        <v>-</v>
      </c>
      <c r="L5" s="54" t="str">
        <f t="shared" si="0"/>
        <v>-</v>
      </c>
      <c r="M5" s="54">
        <f t="shared" ref="M5:AU5" si="1">M4</f>
        <v>177</v>
      </c>
      <c r="N5" s="54" t="str">
        <f t="shared" si="1"/>
        <v>-</v>
      </c>
      <c r="O5" s="54">
        <f t="shared" si="1"/>
        <v>177</v>
      </c>
      <c r="P5" s="54" t="str">
        <f t="shared" si="1"/>
        <v>-</v>
      </c>
      <c r="Q5" s="54">
        <f t="shared" si="1"/>
        <v>171</v>
      </c>
      <c r="R5" s="54" t="str">
        <f t="shared" si="1"/>
        <v>-</v>
      </c>
      <c r="S5" s="54">
        <f t="shared" si="1"/>
        <v>165</v>
      </c>
      <c r="T5" s="54" t="str">
        <f t="shared" si="1"/>
        <v>-</v>
      </c>
      <c r="U5" s="54">
        <f t="shared" si="1"/>
        <v>161</v>
      </c>
      <c r="V5" s="54" t="str">
        <f t="shared" si="1"/>
        <v>-</v>
      </c>
      <c r="W5" s="54">
        <f t="shared" si="1"/>
        <v>160</v>
      </c>
      <c r="X5" s="54" t="str">
        <f t="shared" si="1"/>
        <v>-</v>
      </c>
      <c r="Y5" s="54" t="str">
        <f t="shared" si="1"/>
        <v>-</v>
      </c>
      <c r="Z5" s="54" t="str">
        <f t="shared" si="1"/>
        <v>-</v>
      </c>
      <c r="AA5" s="54" t="str">
        <f t="shared" si="1"/>
        <v>-</v>
      </c>
      <c r="AB5" s="54" t="str">
        <f t="shared" si="1"/>
        <v>-</v>
      </c>
      <c r="AC5" s="54" t="str">
        <f t="shared" si="1"/>
        <v>-</v>
      </c>
      <c r="AD5" s="54" t="str">
        <f t="shared" si="1"/>
        <v>-</v>
      </c>
      <c r="AE5" s="54" t="str">
        <f t="shared" si="1"/>
        <v>-</v>
      </c>
      <c r="AF5" s="54" t="str">
        <f t="shared" si="1"/>
        <v>-</v>
      </c>
      <c r="AG5" s="54" t="str">
        <f t="shared" si="1"/>
        <v>-</v>
      </c>
      <c r="AH5" s="54" t="str">
        <f t="shared" si="1"/>
        <v>-</v>
      </c>
      <c r="AI5" s="54" t="str">
        <f t="shared" si="1"/>
        <v>-</v>
      </c>
      <c r="AJ5" s="54" t="str">
        <f t="shared" si="1"/>
        <v>-</v>
      </c>
      <c r="AK5" s="54" t="str">
        <f t="shared" si="1"/>
        <v>-</v>
      </c>
      <c r="AL5" s="54" t="str">
        <f t="shared" si="1"/>
        <v>-</v>
      </c>
      <c r="AM5" s="54" t="str">
        <f t="shared" si="1"/>
        <v>-</v>
      </c>
      <c r="AN5" s="54" t="str">
        <f t="shared" si="1"/>
        <v>-</v>
      </c>
      <c r="AO5" s="54" t="str">
        <f t="shared" si="1"/>
        <v>-</v>
      </c>
      <c r="AP5" s="54" t="str">
        <f t="shared" si="1"/>
        <v>-</v>
      </c>
      <c r="AQ5" s="54" t="str">
        <f t="shared" si="1"/>
        <v>-</v>
      </c>
      <c r="AR5" s="54" t="str">
        <f t="shared" si="1"/>
        <v>-</v>
      </c>
      <c r="AS5" s="54" t="str">
        <f t="shared" si="1"/>
        <v>-</v>
      </c>
      <c r="AT5" s="54" t="str">
        <f t="shared" si="1"/>
        <v>-</v>
      </c>
      <c r="AU5" s="64" t="str">
        <f t="shared" si="1"/>
        <v>-</v>
      </c>
      <c r="AV5" s="48" t="str">
        <f t="shared" ref="AV5:CA5" si="2">AV4</f>
        <v>ASME</v>
      </c>
      <c r="AW5" s="59" t="str">
        <f t="shared" si="2"/>
        <v>-</v>
      </c>
      <c r="AX5" s="54">
        <f t="shared" si="2"/>
        <v>621</v>
      </c>
      <c r="AY5" s="54" t="str">
        <f t="shared" si="2"/>
        <v>-</v>
      </c>
      <c r="AZ5" s="54" t="str">
        <f t="shared" si="2"/>
        <v>-</v>
      </c>
      <c r="BA5" s="54">
        <f t="shared" si="2"/>
        <v>619</v>
      </c>
      <c r="BB5" s="54" t="str">
        <f t="shared" si="2"/>
        <v>-</v>
      </c>
      <c r="BC5" s="54">
        <f t="shared" si="2"/>
        <v>598</v>
      </c>
      <c r="BD5" s="54" t="str">
        <f t="shared" si="2"/>
        <v>-</v>
      </c>
      <c r="BE5" s="54">
        <f t="shared" si="2"/>
        <v>577</v>
      </c>
      <c r="BF5" s="54" t="str">
        <f t="shared" si="2"/>
        <v>-</v>
      </c>
      <c r="BG5" s="54">
        <f t="shared" si="2"/>
        <v>564</v>
      </c>
      <c r="BH5" s="54" t="str">
        <f t="shared" si="2"/>
        <v>-</v>
      </c>
      <c r="BI5" s="54">
        <f t="shared" si="2"/>
        <v>558</v>
      </c>
      <c r="BJ5" s="54">
        <f t="shared" si="2"/>
        <v>556</v>
      </c>
      <c r="BK5" s="54">
        <f t="shared" si="2"/>
        <v>555</v>
      </c>
      <c r="BL5" s="54" t="str">
        <f t="shared" si="2"/>
        <v>-</v>
      </c>
      <c r="BM5" s="54" t="str">
        <f t="shared" si="2"/>
        <v>-</v>
      </c>
      <c r="BN5" s="54" t="str">
        <f t="shared" si="2"/>
        <v>-</v>
      </c>
      <c r="BO5" s="54" t="str">
        <f t="shared" si="2"/>
        <v>-</v>
      </c>
      <c r="BP5" s="54" t="str">
        <f t="shared" si="2"/>
        <v>-</v>
      </c>
      <c r="BQ5" s="54" t="str">
        <f t="shared" si="2"/>
        <v>-</v>
      </c>
      <c r="BR5" s="54" t="str">
        <f t="shared" si="2"/>
        <v>-</v>
      </c>
      <c r="BS5" s="54" t="str">
        <f t="shared" si="2"/>
        <v>-</v>
      </c>
      <c r="BT5" s="54" t="str">
        <f t="shared" si="2"/>
        <v>-</v>
      </c>
      <c r="BU5" s="54" t="str">
        <f t="shared" si="2"/>
        <v>-</v>
      </c>
      <c r="BV5" s="54" t="str">
        <f t="shared" si="2"/>
        <v>-</v>
      </c>
      <c r="BW5" s="54" t="str">
        <f t="shared" si="2"/>
        <v>-</v>
      </c>
      <c r="BX5" s="54" t="str">
        <f t="shared" si="2"/>
        <v>-</v>
      </c>
      <c r="BY5" s="54" t="str">
        <f t="shared" si="2"/>
        <v>-</v>
      </c>
      <c r="BZ5" s="54" t="str">
        <f t="shared" si="2"/>
        <v>-</v>
      </c>
      <c r="CA5" s="54" t="str">
        <f t="shared" si="2"/>
        <v>-</v>
      </c>
      <c r="CB5" s="54" t="str">
        <f t="shared" ref="CB5:DG5" si="3">CB4</f>
        <v>-</v>
      </c>
      <c r="CC5" s="54" t="str">
        <f t="shared" si="3"/>
        <v>-</v>
      </c>
      <c r="CD5" s="54" t="str">
        <f t="shared" si="3"/>
        <v>-</v>
      </c>
      <c r="CE5" s="54" t="str">
        <f t="shared" si="3"/>
        <v>-</v>
      </c>
      <c r="CF5" s="54" t="str">
        <f t="shared" si="3"/>
        <v>-</v>
      </c>
      <c r="CG5" s="139" t="str">
        <f t="shared" si="3"/>
        <v>-</v>
      </c>
      <c r="CH5" s="59" t="str">
        <f t="shared" si="3"/>
        <v>-</v>
      </c>
      <c r="CI5" s="54">
        <f t="shared" si="3"/>
        <v>448</v>
      </c>
      <c r="CJ5" s="54" t="str">
        <f t="shared" si="3"/>
        <v>-</v>
      </c>
      <c r="CK5" s="54">
        <f t="shared" si="3"/>
        <v>418</v>
      </c>
      <c r="CL5" s="54">
        <f t="shared" si="3"/>
        <v>395</v>
      </c>
      <c r="CM5" s="54">
        <f t="shared" si="3"/>
        <v>381</v>
      </c>
      <c r="CN5" s="54">
        <f t="shared" si="3"/>
        <v>370</v>
      </c>
      <c r="CO5" s="54">
        <f t="shared" si="3"/>
        <v>361</v>
      </c>
      <c r="CP5" s="54">
        <f t="shared" si="3"/>
        <v>354</v>
      </c>
      <c r="CQ5" s="54">
        <f t="shared" si="3"/>
        <v>349</v>
      </c>
      <c r="CR5" s="54">
        <f t="shared" si="3"/>
        <v>344</v>
      </c>
      <c r="CS5" s="54">
        <f t="shared" si="3"/>
        <v>339</v>
      </c>
      <c r="CT5" s="54">
        <f t="shared" si="3"/>
        <v>334</v>
      </c>
      <c r="CU5" s="54">
        <f t="shared" si="3"/>
        <v>328</v>
      </c>
      <c r="CV5" s="54">
        <f t="shared" si="3"/>
        <v>322</v>
      </c>
      <c r="CW5" s="54" t="str">
        <f t="shared" si="3"/>
        <v>-</v>
      </c>
      <c r="CX5" s="54" t="str">
        <f t="shared" si="3"/>
        <v>-</v>
      </c>
      <c r="CY5" s="54" t="str">
        <f t="shared" si="3"/>
        <v>-</v>
      </c>
      <c r="CZ5" s="54" t="str">
        <f t="shared" si="3"/>
        <v>-</v>
      </c>
      <c r="DA5" s="54" t="str">
        <f t="shared" si="3"/>
        <v>-</v>
      </c>
      <c r="DB5" s="54" t="str">
        <f t="shared" si="3"/>
        <v>-</v>
      </c>
      <c r="DC5" s="54" t="str">
        <f t="shared" si="3"/>
        <v>-</v>
      </c>
      <c r="DD5" s="54" t="str">
        <f t="shared" si="3"/>
        <v>-</v>
      </c>
      <c r="DE5" s="54" t="str">
        <f t="shared" si="3"/>
        <v>-</v>
      </c>
      <c r="DF5" s="54" t="str">
        <f t="shared" si="3"/>
        <v>-</v>
      </c>
      <c r="DG5" s="54" t="str">
        <f t="shared" si="3"/>
        <v>-</v>
      </c>
      <c r="DH5" s="54" t="str">
        <f t="shared" ref="DH5:DR5" si="4">DH4</f>
        <v>-</v>
      </c>
      <c r="DI5" s="54" t="str">
        <f t="shared" si="4"/>
        <v>-</v>
      </c>
      <c r="DJ5" s="54" t="str">
        <f t="shared" si="4"/>
        <v>-</v>
      </c>
      <c r="DK5" s="54" t="str">
        <f t="shared" si="4"/>
        <v>-</v>
      </c>
      <c r="DL5" s="54" t="str">
        <f t="shared" si="4"/>
        <v>-</v>
      </c>
      <c r="DM5" s="54" t="str">
        <f t="shared" si="4"/>
        <v>-</v>
      </c>
      <c r="DN5" s="54" t="str">
        <f t="shared" si="4"/>
        <v>-</v>
      </c>
      <c r="DO5" s="54" t="str">
        <f t="shared" si="4"/>
        <v>-</v>
      </c>
      <c r="DP5" s="54" t="str">
        <f t="shared" si="4"/>
        <v>-</v>
      </c>
      <c r="DQ5" s="54" t="str">
        <f t="shared" si="4"/>
        <v>-</v>
      </c>
      <c r="DR5" s="64" t="str">
        <f t="shared" si="4"/>
        <v>-</v>
      </c>
      <c r="DZ5" t="s">
        <v>26</v>
      </c>
      <c r="EA5" s="154">
        <v>211</v>
      </c>
    </row>
    <row r="6" spans="1:131">
      <c r="A6" s="53" t="s">
        <v>27</v>
      </c>
      <c r="B6" s="53" t="s">
        <v>28</v>
      </c>
      <c r="C6" s="53" t="s">
        <v>15</v>
      </c>
      <c r="D6" s="53" t="s">
        <v>16</v>
      </c>
      <c r="E6" s="53" t="s">
        <v>16</v>
      </c>
      <c r="F6" s="53" t="s">
        <v>16</v>
      </c>
      <c r="G6" s="53" t="s">
        <v>17</v>
      </c>
      <c r="H6" s="72">
        <v>515</v>
      </c>
      <c r="I6" s="48">
        <v>205</v>
      </c>
      <c r="J6" s="53" t="s">
        <v>18</v>
      </c>
      <c r="K6" s="63" t="s">
        <v>16</v>
      </c>
      <c r="L6" s="34">
        <v>138</v>
      </c>
      <c r="M6" s="34" t="s">
        <v>16</v>
      </c>
      <c r="N6" s="34">
        <v>138</v>
      </c>
      <c r="O6" s="34">
        <v>138</v>
      </c>
      <c r="P6" s="34">
        <v>138</v>
      </c>
      <c r="Q6" s="34">
        <v>138</v>
      </c>
      <c r="R6" s="34" t="s">
        <v>16</v>
      </c>
      <c r="S6" s="34">
        <v>134</v>
      </c>
      <c r="T6" s="34" t="s">
        <v>16</v>
      </c>
      <c r="U6" s="34">
        <v>126</v>
      </c>
      <c r="V6" s="34" t="s">
        <v>16</v>
      </c>
      <c r="W6" s="34">
        <v>119</v>
      </c>
      <c r="X6" s="34">
        <v>116</v>
      </c>
      <c r="Y6" s="34">
        <v>114</v>
      </c>
      <c r="Z6" s="34">
        <v>112</v>
      </c>
      <c r="AA6" s="34">
        <v>111</v>
      </c>
      <c r="AB6" s="34">
        <v>110</v>
      </c>
      <c r="AC6" s="34">
        <v>108</v>
      </c>
      <c r="AD6" s="34">
        <v>108</v>
      </c>
      <c r="AE6" s="34">
        <v>107</v>
      </c>
      <c r="AF6" s="34">
        <v>106</v>
      </c>
      <c r="AG6" s="34">
        <v>105</v>
      </c>
      <c r="AH6" s="34">
        <v>99.8</v>
      </c>
      <c r="AI6" s="34">
        <v>80.3</v>
      </c>
      <c r="AJ6" s="34">
        <v>65.5</v>
      </c>
      <c r="AK6" s="34">
        <v>50.4</v>
      </c>
      <c r="AL6" s="34">
        <v>38.6</v>
      </c>
      <c r="AM6" s="34">
        <v>29.6</v>
      </c>
      <c r="AN6" s="34">
        <v>23</v>
      </c>
      <c r="AO6" s="34">
        <v>17.7</v>
      </c>
      <c r="AP6" s="34">
        <v>13.4</v>
      </c>
      <c r="AQ6" s="34">
        <v>10.4</v>
      </c>
      <c r="AR6" s="34">
        <v>8.0500000000000007</v>
      </c>
      <c r="AS6" s="34" t="s">
        <v>16</v>
      </c>
      <c r="AT6" s="34" t="s">
        <v>16</v>
      </c>
      <c r="AU6" s="55" t="s">
        <v>16</v>
      </c>
      <c r="AV6" s="57" t="s">
        <v>18</v>
      </c>
      <c r="AW6" s="63" t="s">
        <v>16</v>
      </c>
      <c r="AX6" s="34">
        <v>517</v>
      </c>
      <c r="AY6" s="34" t="s">
        <v>16</v>
      </c>
      <c r="AZ6" s="34" t="s">
        <v>16</v>
      </c>
      <c r="BA6" s="34">
        <v>516</v>
      </c>
      <c r="BB6" s="34" t="s">
        <v>16</v>
      </c>
      <c r="BC6" s="34">
        <v>502</v>
      </c>
      <c r="BD6" s="34" t="s">
        <v>16</v>
      </c>
      <c r="BE6" s="34">
        <v>496</v>
      </c>
      <c r="BF6" s="34" t="s">
        <v>16</v>
      </c>
      <c r="BG6" s="34">
        <v>495</v>
      </c>
      <c r="BH6" s="34" t="s">
        <v>16</v>
      </c>
      <c r="BI6" s="34">
        <v>495</v>
      </c>
      <c r="BJ6" s="34">
        <v>495</v>
      </c>
      <c r="BK6" s="34">
        <v>495</v>
      </c>
      <c r="BL6" s="34">
        <v>495</v>
      </c>
      <c r="BM6" s="34">
        <v>493</v>
      </c>
      <c r="BN6" s="34">
        <v>489</v>
      </c>
      <c r="BO6" s="34">
        <v>482</v>
      </c>
      <c r="BP6" s="34">
        <v>474</v>
      </c>
      <c r="BQ6" s="34">
        <v>463</v>
      </c>
      <c r="BR6" s="34">
        <v>450</v>
      </c>
      <c r="BS6" s="34" t="s">
        <v>16</v>
      </c>
      <c r="BT6" s="34" t="s">
        <v>16</v>
      </c>
      <c r="BU6" s="34" t="s">
        <v>16</v>
      </c>
      <c r="BV6" s="34" t="s">
        <v>16</v>
      </c>
      <c r="BW6" s="34" t="s">
        <v>16</v>
      </c>
      <c r="BX6" s="34" t="s">
        <v>16</v>
      </c>
      <c r="BY6" s="34" t="s">
        <v>16</v>
      </c>
      <c r="BZ6" s="34" t="s">
        <v>16</v>
      </c>
      <c r="CA6" s="34" t="s">
        <v>16</v>
      </c>
      <c r="CB6" s="34" t="s">
        <v>16</v>
      </c>
      <c r="CC6" s="34" t="s">
        <v>16</v>
      </c>
      <c r="CD6" s="34" t="s">
        <v>16</v>
      </c>
      <c r="CE6" s="34" t="s">
        <v>16</v>
      </c>
      <c r="CF6" s="34" t="s">
        <v>16</v>
      </c>
      <c r="CG6" s="44" t="s">
        <v>16</v>
      </c>
      <c r="CH6" s="63" t="s">
        <v>16</v>
      </c>
      <c r="CI6" s="34">
        <v>207</v>
      </c>
      <c r="CJ6" s="34" t="s">
        <v>16</v>
      </c>
      <c r="CK6" s="34">
        <v>189</v>
      </c>
      <c r="CL6" s="34">
        <v>176</v>
      </c>
      <c r="CM6" s="34">
        <v>168</v>
      </c>
      <c r="CN6" s="34">
        <v>161</v>
      </c>
      <c r="CO6" s="34">
        <v>154</v>
      </c>
      <c r="CP6" s="34">
        <v>148</v>
      </c>
      <c r="CQ6" s="34">
        <v>144</v>
      </c>
      <c r="CR6" s="34">
        <v>139</v>
      </c>
      <c r="CS6" s="34">
        <v>136</v>
      </c>
      <c r="CT6" s="34">
        <v>207</v>
      </c>
      <c r="CU6" s="34">
        <v>189</v>
      </c>
      <c r="CV6" s="34">
        <v>176</v>
      </c>
      <c r="CW6" s="34">
        <v>168</v>
      </c>
      <c r="CX6" s="34">
        <v>161</v>
      </c>
      <c r="CY6" s="34">
        <v>154</v>
      </c>
      <c r="CZ6" s="34">
        <v>148</v>
      </c>
      <c r="DA6" s="34">
        <v>144</v>
      </c>
      <c r="DB6" s="34">
        <v>139</v>
      </c>
      <c r="DC6" s="34">
        <v>136</v>
      </c>
      <c r="DD6" s="34" t="s">
        <v>16</v>
      </c>
      <c r="DE6" s="34" t="s">
        <v>16</v>
      </c>
      <c r="DF6" s="34" t="s">
        <v>16</v>
      </c>
      <c r="DG6" s="34" t="s">
        <v>16</v>
      </c>
      <c r="DH6" s="34" t="s">
        <v>16</v>
      </c>
      <c r="DI6" s="34" t="s">
        <v>16</v>
      </c>
      <c r="DJ6" s="34" t="s">
        <v>16</v>
      </c>
      <c r="DK6" s="34" t="s">
        <v>16</v>
      </c>
      <c r="DL6" s="34" t="s">
        <v>16</v>
      </c>
      <c r="DM6" s="34" t="s">
        <v>16</v>
      </c>
      <c r="DN6" s="34" t="s">
        <v>16</v>
      </c>
      <c r="DO6" s="34" t="s">
        <v>16</v>
      </c>
      <c r="DP6" s="34" t="s">
        <v>16</v>
      </c>
      <c r="DQ6" s="34" t="s">
        <v>16</v>
      </c>
      <c r="DR6" s="55" t="s">
        <v>16</v>
      </c>
      <c r="DZ6" t="s">
        <v>29</v>
      </c>
      <c r="EA6" s="154">
        <v>7</v>
      </c>
    </row>
    <row r="7" spans="1:131">
      <c r="A7" s="53" t="s">
        <v>30</v>
      </c>
      <c r="B7" s="53" t="s">
        <v>28</v>
      </c>
      <c r="C7" s="53" t="s">
        <v>15</v>
      </c>
      <c r="D7" s="53" t="s">
        <v>16</v>
      </c>
      <c r="E7" s="53" t="s">
        <v>16</v>
      </c>
      <c r="F7" s="53" t="s">
        <v>31</v>
      </c>
      <c r="G7" s="53" t="s">
        <v>17</v>
      </c>
      <c r="H7" s="72">
        <v>485</v>
      </c>
      <c r="I7" s="48">
        <v>170</v>
      </c>
      <c r="J7" s="53" t="s">
        <v>18</v>
      </c>
      <c r="K7" s="59" t="s">
        <v>16</v>
      </c>
      <c r="L7" s="54">
        <v>115</v>
      </c>
      <c r="M7" s="54" t="s">
        <v>16</v>
      </c>
      <c r="N7" s="54">
        <v>115</v>
      </c>
      <c r="O7" s="54">
        <v>115</v>
      </c>
      <c r="P7" s="54">
        <v>115</v>
      </c>
      <c r="Q7" s="54">
        <v>115</v>
      </c>
      <c r="R7" s="54" t="s">
        <v>16</v>
      </c>
      <c r="S7" s="54">
        <v>109</v>
      </c>
      <c r="T7" s="54" t="s">
        <v>16</v>
      </c>
      <c r="U7" s="54">
        <v>103</v>
      </c>
      <c r="V7" s="54" t="s">
        <v>16</v>
      </c>
      <c r="W7" s="54">
        <v>98</v>
      </c>
      <c r="X7" s="54">
        <v>95.7</v>
      </c>
      <c r="Y7" s="54">
        <v>94.1</v>
      </c>
      <c r="Z7" s="54">
        <v>92.8</v>
      </c>
      <c r="AA7" s="54">
        <v>90.9</v>
      </c>
      <c r="AB7" s="54">
        <v>89</v>
      </c>
      <c r="AC7" s="54">
        <v>87.8</v>
      </c>
      <c r="AD7" s="54">
        <v>86.6</v>
      </c>
      <c r="AE7" s="34" t="s">
        <v>16</v>
      </c>
      <c r="AF7" s="34" t="s">
        <v>16</v>
      </c>
      <c r="AG7" s="34" t="s">
        <v>16</v>
      </c>
      <c r="AH7" s="34" t="s">
        <v>16</v>
      </c>
      <c r="AI7" s="34" t="s">
        <v>16</v>
      </c>
      <c r="AJ7" s="34" t="s">
        <v>16</v>
      </c>
      <c r="AK7" s="34" t="s">
        <v>16</v>
      </c>
      <c r="AL7" s="34" t="s">
        <v>16</v>
      </c>
      <c r="AM7" s="34" t="s">
        <v>16</v>
      </c>
      <c r="AN7" s="34" t="s">
        <v>16</v>
      </c>
      <c r="AO7" s="34" t="s">
        <v>16</v>
      </c>
      <c r="AP7" s="34" t="s">
        <v>16</v>
      </c>
      <c r="AQ7" s="34" t="s">
        <v>16</v>
      </c>
      <c r="AR7" s="34" t="s">
        <v>16</v>
      </c>
      <c r="AS7" s="34" t="s">
        <v>16</v>
      </c>
      <c r="AT7" s="34" t="s">
        <v>16</v>
      </c>
      <c r="AU7" s="55" t="s">
        <v>16</v>
      </c>
      <c r="AV7" s="57" t="s">
        <v>18</v>
      </c>
      <c r="AW7" s="59" t="s">
        <v>16</v>
      </c>
      <c r="AX7" s="54">
        <v>483</v>
      </c>
      <c r="AY7" s="54" t="s">
        <v>16</v>
      </c>
      <c r="AZ7" s="54" t="s">
        <v>16</v>
      </c>
      <c r="BA7" s="54">
        <v>467</v>
      </c>
      <c r="BB7" s="54" t="s">
        <v>16</v>
      </c>
      <c r="BC7" s="54">
        <v>441</v>
      </c>
      <c r="BD7" s="54" t="s">
        <v>16</v>
      </c>
      <c r="BE7" s="54">
        <v>429</v>
      </c>
      <c r="BF7" s="54" t="s">
        <v>16</v>
      </c>
      <c r="BG7" s="54">
        <v>426</v>
      </c>
      <c r="BH7" s="54" t="s">
        <v>16</v>
      </c>
      <c r="BI7" s="54">
        <v>426</v>
      </c>
      <c r="BJ7" s="54">
        <v>425</v>
      </c>
      <c r="BK7" s="54">
        <v>425</v>
      </c>
      <c r="BL7" s="54">
        <v>424</v>
      </c>
      <c r="BM7" s="54">
        <v>421</v>
      </c>
      <c r="BN7" s="54">
        <v>417</v>
      </c>
      <c r="BO7" s="54">
        <v>413</v>
      </c>
      <c r="BP7" s="54">
        <v>406</v>
      </c>
      <c r="BQ7" s="34">
        <v>398</v>
      </c>
      <c r="BR7" s="34">
        <v>387</v>
      </c>
      <c r="BS7" s="34" t="s">
        <v>16</v>
      </c>
      <c r="BT7" s="34" t="s">
        <v>16</v>
      </c>
      <c r="BU7" s="34" t="s">
        <v>16</v>
      </c>
      <c r="BV7" s="34" t="s">
        <v>16</v>
      </c>
      <c r="BW7" s="34" t="s">
        <v>16</v>
      </c>
      <c r="BX7" s="34" t="s">
        <v>16</v>
      </c>
      <c r="BY7" s="34" t="s">
        <v>16</v>
      </c>
      <c r="BZ7" s="34" t="s">
        <v>16</v>
      </c>
      <c r="CA7" s="34" t="s">
        <v>16</v>
      </c>
      <c r="CB7" s="34" t="s">
        <v>16</v>
      </c>
      <c r="CC7" s="34" t="s">
        <v>16</v>
      </c>
      <c r="CD7" s="34" t="s">
        <v>16</v>
      </c>
      <c r="CE7" s="34" t="s">
        <v>16</v>
      </c>
      <c r="CF7" s="34" t="s">
        <v>16</v>
      </c>
      <c r="CG7" s="44" t="s">
        <v>16</v>
      </c>
      <c r="CH7" s="59" t="s">
        <v>16</v>
      </c>
      <c r="CI7" s="54">
        <v>483</v>
      </c>
      <c r="CJ7" s="54" t="s">
        <v>16</v>
      </c>
      <c r="CK7" s="54" t="s">
        <v>16</v>
      </c>
      <c r="CL7" s="54">
        <v>467</v>
      </c>
      <c r="CM7" s="54" t="s">
        <v>16</v>
      </c>
      <c r="CN7" s="54">
        <v>441</v>
      </c>
      <c r="CO7" s="54" t="s">
        <v>16</v>
      </c>
      <c r="CP7" s="54">
        <v>429</v>
      </c>
      <c r="CQ7" s="54" t="s">
        <v>16</v>
      </c>
      <c r="CR7" s="54">
        <v>426</v>
      </c>
      <c r="CS7" s="54" t="s">
        <v>16</v>
      </c>
      <c r="CT7" s="54">
        <v>426</v>
      </c>
      <c r="CU7" s="54">
        <v>425</v>
      </c>
      <c r="CV7" s="54">
        <v>425</v>
      </c>
      <c r="CW7" s="54">
        <v>424</v>
      </c>
      <c r="CX7" s="54">
        <v>421</v>
      </c>
      <c r="CY7" s="54">
        <v>417</v>
      </c>
      <c r="CZ7" s="54">
        <v>413</v>
      </c>
      <c r="DA7" s="54">
        <v>406</v>
      </c>
      <c r="DB7" s="34">
        <v>398</v>
      </c>
      <c r="DC7" s="34">
        <v>387</v>
      </c>
      <c r="DD7" s="34" t="s">
        <v>16</v>
      </c>
      <c r="DE7" s="34" t="s">
        <v>16</v>
      </c>
      <c r="DF7" s="34" t="s">
        <v>16</v>
      </c>
      <c r="DG7" s="34" t="s">
        <v>16</v>
      </c>
      <c r="DH7" s="34" t="s">
        <v>16</v>
      </c>
      <c r="DI7" s="34" t="s">
        <v>16</v>
      </c>
      <c r="DJ7" s="34" t="s">
        <v>16</v>
      </c>
      <c r="DK7" s="34" t="s">
        <v>16</v>
      </c>
      <c r="DL7" s="34" t="s">
        <v>16</v>
      </c>
      <c r="DM7" s="34" t="s">
        <v>16</v>
      </c>
      <c r="DN7" s="34" t="s">
        <v>16</v>
      </c>
      <c r="DO7" s="34" t="s">
        <v>16</v>
      </c>
      <c r="DP7" s="34" t="s">
        <v>16</v>
      </c>
      <c r="DQ7" s="34" t="s">
        <v>16</v>
      </c>
      <c r="DR7" s="55" t="s">
        <v>16</v>
      </c>
    </row>
    <row r="8" spans="1:131">
      <c r="A8" s="53" t="s">
        <v>32</v>
      </c>
      <c r="B8" s="53" t="s">
        <v>28</v>
      </c>
      <c r="C8" s="53" t="str">
        <f>C7</f>
        <v>bar</v>
      </c>
      <c r="D8" s="53" t="s">
        <v>16</v>
      </c>
      <c r="E8" s="53" t="s">
        <v>16</v>
      </c>
      <c r="F8" s="53" t="s">
        <v>33</v>
      </c>
      <c r="G8" s="53" t="str">
        <f>G7</f>
        <v>ASTM</v>
      </c>
      <c r="H8" s="72">
        <f>H7</f>
        <v>485</v>
      </c>
      <c r="I8" s="48">
        <f t="shared" ref="I8:AU8" si="5">I7</f>
        <v>170</v>
      </c>
      <c r="J8" s="53" t="str">
        <f>J7</f>
        <v>ASME</v>
      </c>
      <c r="K8" s="59" t="str">
        <f t="shared" si="5"/>
        <v>-</v>
      </c>
      <c r="L8" s="54">
        <f t="shared" si="5"/>
        <v>115</v>
      </c>
      <c r="M8" s="54" t="s">
        <v>16</v>
      </c>
      <c r="N8" s="54">
        <f t="shared" si="5"/>
        <v>115</v>
      </c>
      <c r="O8" s="54">
        <f t="shared" si="5"/>
        <v>115</v>
      </c>
      <c r="P8" s="54">
        <f t="shared" si="5"/>
        <v>115</v>
      </c>
      <c r="Q8" s="54">
        <f t="shared" si="5"/>
        <v>115</v>
      </c>
      <c r="R8" s="54" t="str">
        <f t="shared" si="5"/>
        <v>-</v>
      </c>
      <c r="S8" s="54">
        <f t="shared" si="5"/>
        <v>109</v>
      </c>
      <c r="T8" s="54" t="str">
        <f t="shared" si="5"/>
        <v>-</v>
      </c>
      <c r="U8" s="54">
        <f t="shared" si="5"/>
        <v>103</v>
      </c>
      <c r="V8" s="54" t="str">
        <f t="shared" si="5"/>
        <v>-</v>
      </c>
      <c r="W8" s="54">
        <f t="shared" si="5"/>
        <v>98</v>
      </c>
      <c r="X8" s="54">
        <f t="shared" si="5"/>
        <v>95.7</v>
      </c>
      <c r="Y8" s="54">
        <f t="shared" si="5"/>
        <v>94.1</v>
      </c>
      <c r="Z8" s="54">
        <f t="shared" si="5"/>
        <v>92.8</v>
      </c>
      <c r="AA8" s="54">
        <f t="shared" si="5"/>
        <v>90.9</v>
      </c>
      <c r="AB8" s="54">
        <f t="shared" si="5"/>
        <v>89</v>
      </c>
      <c r="AC8" s="54">
        <f t="shared" si="5"/>
        <v>87.8</v>
      </c>
      <c r="AD8" s="54">
        <f t="shared" si="5"/>
        <v>86.6</v>
      </c>
      <c r="AE8" s="54" t="str">
        <f t="shared" si="5"/>
        <v>-</v>
      </c>
      <c r="AF8" s="54" t="str">
        <f t="shared" si="5"/>
        <v>-</v>
      </c>
      <c r="AG8" s="54" t="str">
        <f t="shared" si="5"/>
        <v>-</v>
      </c>
      <c r="AH8" s="54" t="str">
        <f t="shared" si="5"/>
        <v>-</v>
      </c>
      <c r="AI8" s="54" t="str">
        <f t="shared" si="5"/>
        <v>-</v>
      </c>
      <c r="AJ8" s="54" t="str">
        <f t="shared" si="5"/>
        <v>-</v>
      </c>
      <c r="AK8" s="54" t="str">
        <f t="shared" si="5"/>
        <v>-</v>
      </c>
      <c r="AL8" s="54" t="str">
        <f t="shared" si="5"/>
        <v>-</v>
      </c>
      <c r="AM8" s="54" t="str">
        <f t="shared" si="5"/>
        <v>-</v>
      </c>
      <c r="AN8" s="54" t="str">
        <f t="shared" si="5"/>
        <v>-</v>
      </c>
      <c r="AO8" s="54" t="str">
        <f t="shared" si="5"/>
        <v>-</v>
      </c>
      <c r="AP8" s="54" t="str">
        <f t="shared" si="5"/>
        <v>-</v>
      </c>
      <c r="AQ8" s="54" t="str">
        <f t="shared" si="5"/>
        <v>-</v>
      </c>
      <c r="AR8" s="54" t="str">
        <f t="shared" si="5"/>
        <v>-</v>
      </c>
      <c r="AS8" s="54" t="str">
        <f t="shared" si="5"/>
        <v>-</v>
      </c>
      <c r="AT8" s="54" t="str">
        <f t="shared" si="5"/>
        <v>-</v>
      </c>
      <c r="AU8" s="64" t="str">
        <f t="shared" si="5"/>
        <v>-</v>
      </c>
      <c r="AV8" s="48" t="str">
        <f>AV7</f>
        <v>ASME</v>
      </c>
      <c r="AW8" s="59" t="str">
        <f t="shared" ref="AW8:DH8" si="6">AW7</f>
        <v>-</v>
      </c>
      <c r="AX8" s="54">
        <f t="shared" si="6"/>
        <v>483</v>
      </c>
      <c r="AY8" s="54" t="str">
        <f t="shared" si="6"/>
        <v>-</v>
      </c>
      <c r="AZ8" s="54" t="str">
        <f t="shared" si="6"/>
        <v>-</v>
      </c>
      <c r="BA8" s="54">
        <f t="shared" si="6"/>
        <v>467</v>
      </c>
      <c r="BB8" s="54" t="str">
        <f t="shared" si="6"/>
        <v>-</v>
      </c>
      <c r="BC8" s="54">
        <f t="shared" si="6"/>
        <v>441</v>
      </c>
      <c r="BD8" s="54" t="str">
        <f t="shared" si="6"/>
        <v>-</v>
      </c>
      <c r="BE8" s="54">
        <f t="shared" si="6"/>
        <v>429</v>
      </c>
      <c r="BF8" s="54" t="str">
        <f t="shared" si="6"/>
        <v>-</v>
      </c>
      <c r="BG8" s="54">
        <f t="shared" si="6"/>
        <v>426</v>
      </c>
      <c r="BH8" s="54" t="str">
        <f t="shared" si="6"/>
        <v>-</v>
      </c>
      <c r="BI8" s="54">
        <f t="shared" si="6"/>
        <v>426</v>
      </c>
      <c r="BJ8" s="54">
        <f t="shared" si="6"/>
        <v>425</v>
      </c>
      <c r="BK8" s="54">
        <f t="shared" si="6"/>
        <v>425</v>
      </c>
      <c r="BL8" s="54">
        <f t="shared" si="6"/>
        <v>424</v>
      </c>
      <c r="BM8" s="54">
        <f t="shared" si="6"/>
        <v>421</v>
      </c>
      <c r="BN8" s="54">
        <f t="shared" si="6"/>
        <v>417</v>
      </c>
      <c r="BO8" s="54">
        <f t="shared" si="6"/>
        <v>413</v>
      </c>
      <c r="BP8" s="54">
        <f t="shared" si="6"/>
        <v>406</v>
      </c>
      <c r="BQ8" s="54">
        <f t="shared" si="6"/>
        <v>398</v>
      </c>
      <c r="BR8" s="54">
        <f t="shared" si="6"/>
        <v>387</v>
      </c>
      <c r="BS8" s="54" t="str">
        <f t="shared" si="6"/>
        <v>-</v>
      </c>
      <c r="BT8" s="54" t="str">
        <f t="shared" si="6"/>
        <v>-</v>
      </c>
      <c r="BU8" s="54" t="str">
        <f t="shared" si="6"/>
        <v>-</v>
      </c>
      <c r="BV8" s="54" t="str">
        <f t="shared" si="6"/>
        <v>-</v>
      </c>
      <c r="BW8" s="54" t="str">
        <f t="shared" si="6"/>
        <v>-</v>
      </c>
      <c r="BX8" s="54" t="str">
        <f t="shared" si="6"/>
        <v>-</v>
      </c>
      <c r="BY8" s="54" t="str">
        <f t="shared" si="6"/>
        <v>-</v>
      </c>
      <c r="BZ8" s="54" t="str">
        <f t="shared" si="6"/>
        <v>-</v>
      </c>
      <c r="CA8" s="54" t="str">
        <f t="shared" si="6"/>
        <v>-</v>
      </c>
      <c r="CB8" s="54" t="str">
        <f t="shared" si="6"/>
        <v>-</v>
      </c>
      <c r="CC8" s="54" t="str">
        <f t="shared" si="6"/>
        <v>-</v>
      </c>
      <c r="CD8" s="54" t="str">
        <f t="shared" si="6"/>
        <v>-</v>
      </c>
      <c r="CE8" s="54" t="str">
        <f t="shared" si="6"/>
        <v>-</v>
      </c>
      <c r="CF8" s="54" t="str">
        <f t="shared" si="6"/>
        <v>-</v>
      </c>
      <c r="CG8" s="139" t="str">
        <f t="shared" si="6"/>
        <v>-</v>
      </c>
      <c r="CH8" s="59" t="str">
        <f t="shared" si="6"/>
        <v>-</v>
      </c>
      <c r="CI8" s="54">
        <f t="shared" si="6"/>
        <v>483</v>
      </c>
      <c r="CJ8" s="54" t="str">
        <f t="shared" si="6"/>
        <v>-</v>
      </c>
      <c r="CK8" s="54" t="str">
        <f t="shared" si="6"/>
        <v>-</v>
      </c>
      <c r="CL8" s="54">
        <f t="shared" si="6"/>
        <v>467</v>
      </c>
      <c r="CM8" s="54" t="str">
        <f t="shared" si="6"/>
        <v>-</v>
      </c>
      <c r="CN8" s="54">
        <f t="shared" si="6"/>
        <v>441</v>
      </c>
      <c r="CO8" s="54" t="str">
        <f t="shared" si="6"/>
        <v>-</v>
      </c>
      <c r="CP8" s="54">
        <f t="shared" si="6"/>
        <v>429</v>
      </c>
      <c r="CQ8" s="54" t="str">
        <f t="shared" si="6"/>
        <v>-</v>
      </c>
      <c r="CR8" s="54">
        <f t="shared" si="6"/>
        <v>426</v>
      </c>
      <c r="CS8" s="54" t="str">
        <f t="shared" si="6"/>
        <v>-</v>
      </c>
      <c r="CT8" s="54">
        <f t="shared" si="6"/>
        <v>426</v>
      </c>
      <c r="CU8" s="54">
        <f t="shared" si="6"/>
        <v>425</v>
      </c>
      <c r="CV8" s="54">
        <f t="shared" si="6"/>
        <v>425</v>
      </c>
      <c r="CW8" s="54">
        <f t="shared" si="6"/>
        <v>424</v>
      </c>
      <c r="CX8" s="54">
        <f t="shared" si="6"/>
        <v>421</v>
      </c>
      <c r="CY8" s="54">
        <f t="shared" si="6"/>
        <v>417</v>
      </c>
      <c r="CZ8" s="54">
        <f t="shared" si="6"/>
        <v>413</v>
      </c>
      <c r="DA8" s="54">
        <f t="shared" si="6"/>
        <v>406</v>
      </c>
      <c r="DB8" s="54">
        <f t="shared" si="6"/>
        <v>398</v>
      </c>
      <c r="DC8" s="54">
        <f t="shared" si="6"/>
        <v>387</v>
      </c>
      <c r="DD8" s="54" t="str">
        <f t="shared" si="6"/>
        <v>-</v>
      </c>
      <c r="DE8" s="54" t="str">
        <f t="shared" si="6"/>
        <v>-</v>
      </c>
      <c r="DF8" s="54" t="str">
        <f t="shared" si="6"/>
        <v>-</v>
      </c>
      <c r="DG8" s="54" t="str">
        <f t="shared" si="6"/>
        <v>-</v>
      </c>
      <c r="DH8" s="54" t="str">
        <f t="shared" si="6"/>
        <v>-</v>
      </c>
      <c r="DI8" s="54" t="str">
        <f t="shared" ref="DI8:DR8" si="7">DI7</f>
        <v>-</v>
      </c>
      <c r="DJ8" s="54" t="str">
        <f t="shared" si="7"/>
        <v>-</v>
      </c>
      <c r="DK8" s="54" t="str">
        <f t="shared" si="7"/>
        <v>-</v>
      </c>
      <c r="DL8" s="54" t="str">
        <f t="shared" si="7"/>
        <v>-</v>
      </c>
      <c r="DM8" s="54" t="str">
        <f t="shared" si="7"/>
        <v>-</v>
      </c>
      <c r="DN8" s="54" t="str">
        <f t="shared" si="7"/>
        <v>-</v>
      </c>
      <c r="DO8" s="54" t="str">
        <f t="shared" si="7"/>
        <v>-</v>
      </c>
      <c r="DP8" s="54" t="str">
        <f t="shared" si="7"/>
        <v>-</v>
      </c>
      <c r="DQ8" s="54" t="str">
        <f t="shared" si="7"/>
        <v>-</v>
      </c>
      <c r="DR8" s="64" t="str">
        <f t="shared" si="7"/>
        <v>-</v>
      </c>
    </row>
    <row r="9" spans="1:131">
      <c r="A9" s="86" t="s">
        <v>34</v>
      </c>
      <c r="B9" s="86" t="s">
        <v>28</v>
      </c>
      <c r="C9" s="53" t="s">
        <v>15</v>
      </c>
      <c r="D9" s="53" t="s">
        <v>16</v>
      </c>
      <c r="E9" s="53" t="s">
        <v>16</v>
      </c>
      <c r="F9" s="53" t="s">
        <v>16</v>
      </c>
      <c r="G9" s="53" t="s">
        <v>17</v>
      </c>
      <c r="H9" s="72">
        <v>515</v>
      </c>
      <c r="I9" s="48">
        <v>205</v>
      </c>
      <c r="J9" s="53" t="s">
        <v>16</v>
      </c>
      <c r="K9" s="59" t="s">
        <v>16</v>
      </c>
      <c r="L9" s="54" t="s">
        <v>16</v>
      </c>
      <c r="M9" s="54" t="s">
        <v>16</v>
      </c>
      <c r="N9" s="54" t="s">
        <v>16</v>
      </c>
      <c r="O9" s="54" t="s">
        <v>16</v>
      </c>
      <c r="P9" s="54" t="s">
        <v>16</v>
      </c>
      <c r="Q9" s="54" t="s">
        <v>16</v>
      </c>
      <c r="R9" s="54" t="s">
        <v>16</v>
      </c>
      <c r="S9" s="54" t="s">
        <v>16</v>
      </c>
      <c r="T9" s="54" t="s">
        <v>16</v>
      </c>
      <c r="U9" s="54" t="s">
        <v>16</v>
      </c>
      <c r="V9" s="54" t="s">
        <v>16</v>
      </c>
      <c r="W9" s="54" t="s">
        <v>16</v>
      </c>
      <c r="X9" s="54" t="s">
        <v>16</v>
      </c>
      <c r="Y9" s="54" t="s">
        <v>16</v>
      </c>
      <c r="Z9" s="54" t="s">
        <v>16</v>
      </c>
      <c r="AA9" s="54" t="s">
        <v>16</v>
      </c>
      <c r="AB9" s="54" t="s">
        <v>16</v>
      </c>
      <c r="AC9" s="54" t="s">
        <v>16</v>
      </c>
      <c r="AD9" s="54" t="s">
        <v>16</v>
      </c>
      <c r="AE9" s="54" t="s">
        <v>16</v>
      </c>
      <c r="AF9" s="54" t="s">
        <v>16</v>
      </c>
      <c r="AG9" s="54" t="s">
        <v>16</v>
      </c>
      <c r="AH9" s="54" t="s">
        <v>16</v>
      </c>
      <c r="AI9" s="54" t="s">
        <v>16</v>
      </c>
      <c r="AJ9" s="54" t="s">
        <v>16</v>
      </c>
      <c r="AK9" s="54" t="s">
        <v>16</v>
      </c>
      <c r="AL9" s="54" t="s">
        <v>16</v>
      </c>
      <c r="AM9" s="54" t="s">
        <v>16</v>
      </c>
      <c r="AN9" s="54" t="s">
        <v>16</v>
      </c>
      <c r="AO9" s="54" t="s">
        <v>16</v>
      </c>
      <c r="AP9" s="54" t="s">
        <v>16</v>
      </c>
      <c r="AQ9" s="54" t="s">
        <v>16</v>
      </c>
      <c r="AR9" s="54" t="s">
        <v>16</v>
      </c>
      <c r="AS9" s="54" t="s">
        <v>16</v>
      </c>
      <c r="AT9" s="54" t="s">
        <v>16</v>
      </c>
      <c r="AU9" s="64" t="s">
        <v>16</v>
      </c>
      <c r="AV9" s="48"/>
      <c r="AW9" s="59"/>
      <c r="AX9" s="54"/>
      <c r="AY9" s="54"/>
      <c r="AZ9" s="54"/>
      <c r="BA9" s="54"/>
      <c r="BB9" s="54"/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139"/>
      <c r="CH9" s="59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  <c r="DO9" s="54"/>
      <c r="DP9" s="54"/>
      <c r="DQ9" s="54"/>
      <c r="DR9" s="64"/>
    </row>
    <row r="10" spans="1:131">
      <c r="A10" s="86" t="s">
        <v>35</v>
      </c>
      <c r="B10" s="86" t="s">
        <v>28</v>
      </c>
      <c r="C10" s="53" t="str">
        <f>C9</f>
        <v>bar</v>
      </c>
      <c r="D10" s="53" t="s">
        <v>16</v>
      </c>
      <c r="E10" s="53">
        <v>12.7</v>
      </c>
      <c r="F10" s="53" t="str">
        <f>F9</f>
        <v>-</v>
      </c>
      <c r="G10" s="53" t="str">
        <f>G9</f>
        <v>ASTM</v>
      </c>
      <c r="H10" s="72">
        <v>620</v>
      </c>
      <c r="I10" s="48">
        <v>310</v>
      </c>
      <c r="J10" s="53" t="str">
        <f>J9</f>
        <v>-</v>
      </c>
      <c r="K10" s="59" t="s">
        <v>16</v>
      </c>
      <c r="L10" s="54" t="s">
        <v>16</v>
      </c>
      <c r="M10" s="54" t="s">
        <v>16</v>
      </c>
      <c r="N10" s="54" t="s">
        <v>16</v>
      </c>
      <c r="O10" s="54" t="s">
        <v>16</v>
      </c>
      <c r="P10" s="54" t="s">
        <v>16</v>
      </c>
      <c r="Q10" s="54" t="s">
        <v>16</v>
      </c>
      <c r="R10" s="54" t="s">
        <v>16</v>
      </c>
      <c r="S10" s="54" t="s">
        <v>16</v>
      </c>
      <c r="T10" s="54" t="s">
        <v>16</v>
      </c>
      <c r="U10" s="54" t="s">
        <v>16</v>
      </c>
      <c r="V10" s="54" t="s">
        <v>16</v>
      </c>
      <c r="W10" s="54" t="s">
        <v>16</v>
      </c>
      <c r="X10" s="54" t="s">
        <v>16</v>
      </c>
      <c r="Y10" s="54" t="s">
        <v>16</v>
      </c>
      <c r="Z10" s="54" t="s">
        <v>16</v>
      </c>
      <c r="AA10" s="54" t="s">
        <v>16</v>
      </c>
      <c r="AB10" s="54" t="s">
        <v>16</v>
      </c>
      <c r="AC10" s="54" t="s">
        <v>16</v>
      </c>
      <c r="AD10" s="54" t="s">
        <v>16</v>
      </c>
      <c r="AE10" s="54" t="s">
        <v>16</v>
      </c>
      <c r="AF10" s="54" t="s">
        <v>16</v>
      </c>
      <c r="AG10" s="54" t="s">
        <v>16</v>
      </c>
      <c r="AH10" s="54" t="s">
        <v>16</v>
      </c>
      <c r="AI10" s="54" t="s">
        <v>16</v>
      </c>
      <c r="AJ10" s="54" t="s">
        <v>16</v>
      </c>
      <c r="AK10" s="54" t="s">
        <v>16</v>
      </c>
      <c r="AL10" s="54" t="s">
        <v>16</v>
      </c>
      <c r="AM10" s="54" t="s">
        <v>16</v>
      </c>
      <c r="AN10" s="54" t="s">
        <v>16</v>
      </c>
      <c r="AO10" s="54" t="s">
        <v>16</v>
      </c>
      <c r="AP10" s="54" t="s">
        <v>16</v>
      </c>
      <c r="AQ10" s="54" t="s">
        <v>16</v>
      </c>
      <c r="AR10" s="54" t="s">
        <v>16</v>
      </c>
      <c r="AS10" s="54" t="s">
        <v>16</v>
      </c>
      <c r="AT10" s="54" t="s">
        <v>16</v>
      </c>
      <c r="AU10" s="64" t="s">
        <v>16</v>
      </c>
      <c r="AV10" s="48"/>
      <c r="AW10" s="59"/>
      <c r="AX10" s="54"/>
      <c r="AY10" s="54"/>
      <c r="AZ10" s="54"/>
      <c r="BA10" s="54"/>
      <c r="BB10" s="54"/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139"/>
      <c r="CH10" s="59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  <c r="DO10" s="54"/>
      <c r="DP10" s="54"/>
      <c r="DQ10" s="54"/>
      <c r="DR10" s="64"/>
    </row>
    <row r="11" spans="1:131">
      <c r="A11" s="86" t="s">
        <v>35</v>
      </c>
      <c r="B11" s="86" t="s">
        <v>28</v>
      </c>
      <c r="C11" s="53" t="str">
        <f>C10</f>
        <v>bar</v>
      </c>
      <c r="D11" s="53">
        <v>12.7</v>
      </c>
      <c r="E11" s="53"/>
      <c r="F11" s="53" t="str">
        <f>F10</f>
        <v>-</v>
      </c>
      <c r="G11" s="53" t="str">
        <f>G10</f>
        <v>ASTM</v>
      </c>
      <c r="H11" s="72">
        <v>515</v>
      </c>
      <c r="I11" s="48">
        <v>205</v>
      </c>
      <c r="J11" s="53" t="str">
        <f>J10</f>
        <v>-</v>
      </c>
      <c r="K11" s="59" t="s">
        <v>16</v>
      </c>
      <c r="L11" s="54" t="s">
        <v>16</v>
      </c>
      <c r="M11" s="54" t="s">
        <v>16</v>
      </c>
      <c r="N11" s="54" t="s">
        <v>16</v>
      </c>
      <c r="O11" s="54" t="s">
        <v>16</v>
      </c>
      <c r="P11" s="54" t="s">
        <v>16</v>
      </c>
      <c r="Q11" s="54" t="s">
        <v>16</v>
      </c>
      <c r="R11" s="54" t="s">
        <v>16</v>
      </c>
      <c r="S11" s="54" t="s">
        <v>16</v>
      </c>
      <c r="T11" s="54" t="s">
        <v>16</v>
      </c>
      <c r="U11" s="54" t="s">
        <v>16</v>
      </c>
      <c r="V11" s="54" t="s">
        <v>16</v>
      </c>
      <c r="W11" s="54" t="s">
        <v>16</v>
      </c>
      <c r="X11" s="54" t="s">
        <v>16</v>
      </c>
      <c r="Y11" s="54" t="s">
        <v>16</v>
      </c>
      <c r="Z11" s="54" t="s">
        <v>16</v>
      </c>
      <c r="AA11" s="54" t="s">
        <v>16</v>
      </c>
      <c r="AB11" s="54" t="s">
        <v>16</v>
      </c>
      <c r="AC11" s="54" t="s">
        <v>16</v>
      </c>
      <c r="AD11" s="54" t="s">
        <v>16</v>
      </c>
      <c r="AE11" s="54" t="s">
        <v>16</v>
      </c>
      <c r="AF11" s="54" t="s">
        <v>16</v>
      </c>
      <c r="AG11" s="54" t="s">
        <v>16</v>
      </c>
      <c r="AH11" s="54" t="s">
        <v>16</v>
      </c>
      <c r="AI11" s="54" t="s">
        <v>16</v>
      </c>
      <c r="AJ11" s="54" t="s">
        <v>16</v>
      </c>
      <c r="AK11" s="54" t="s">
        <v>16</v>
      </c>
      <c r="AL11" s="54" t="s">
        <v>16</v>
      </c>
      <c r="AM11" s="54" t="s">
        <v>16</v>
      </c>
      <c r="AN11" s="54" t="s">
        <v>16</v>
      </c>
      <c r="AO11" s="54" t="s">
        <v>16</v>
      </c>
      <c r="AP11" s="54" t="s">
        <v>16</v>
      </c>
      <c r="AQ11" s="54" t="s">
        <v>16</v>
      </c>
      <c r="AR11" s="54" t="s">
        <v>16</v>
      </c>
      <c r="AS11" s="54" t="s">
        <v>16</v>
      </c>
      <c r="AT11" s="54" t="s">
        <v>16</v>
      </c>
      <c r="AU11" s="64" t="s">
        <v>16</v>
      </c>
      <c r="AV11" s="48"/>
      <c r="AW11" s="59"/>
      <c r="AX11" s="54"/>
      <c r="AY11" s="54"/>
      <c r="AZ11" s="54"/>
      <c r="BA11" s="54"/>
      <c r="BB11" s="54"/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139"/>
      <c r="CH11" s="59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  <c r="DO11" s="54"/>
      <c r="DP11" s="54"/>
      <c r="DQ11" s="54"/>
      <c r="DR11" s="64"/>
    </row>
    <row r="12" spans="1:131">
      <c r="A12" s="86" t="s">
        <v>36</v>
      </c>
      <c r="B12" s="86" t="s">
        <v>28</v>
      </c>
      <c r="C12" s="53" t="s">
        <v>15</v>
      </c>
      <c r="D12" s="53" t="s">
        <v>16</v>
      </c>
      <c r="E12" s="53" t="s">
        <v>16</v>
      </c>
      <c r="F12" s="53" t="s">
        <v>37</v>
      </c>
      <c r="G12" s="53" t="s">
        <v>17</v>
      </c>
      <c r="H12" s="72">
        <v>485</v>
      </c>
      <c r="I12" s="48">
        <v>170</v>
      </c>
      <c r="J12" s="53" t="s">
        <v>16</v>
      </c>
      <c r="K12" s="59" t="s">
        <v>16</v>
      </c>
      <c r="L12" s="54" t="s">
        <v>16</v>
      </c>
      <c r="M12" s="54" t="s">
        <v>16</v>
      </c>
      <c r="N12" s="54" t="s">
        <v>16</v>
      </c>
      <c r="O12" s="54" t="s">
        <v>16</v>
      </c>
      <c r="P12" s="54" t="s">
        <v>16</v>
      </c>
      <c r="Q12" s="54" t="s">
        <v>16</v>
      </c>
      <c r="R12" s="54" t="s">
        <v>16</v>
      </c>
      <c r="S12" s="54" t="s">
        <v>16</v>
      </c>
      <c r="T12" s="54" t="s">
        <v>16</v>
      </c>
      <c r="U12" s="54" t="s">
        <v>16</v>
      </c>
      <c r="V12" s="54" t="s">
        <v>16</v>
      </c>
      <c r="W12" s="54" t="s">
        <v>16</v>
      </c>
      <c r="X12" s="54" t="s">
        <v>16</v>
      </c>
      <c r="Y12" s="54" t="s">
        <v>16</v>
      </c>
      <c r="Z12" s="54" t="s">
        <v>16</v>
      </c>
      <c r="AA12" s="54" t="s">
        <v>16</v>
      </c>
      <c r="AB12" s="54" t="s">
        <v>16</v>
      </c>
      <c r="AC12" s="54" t="s">
        <v>16</v>
      </c>
      <c r="AD12" s="54" t="s">
        <v>16</v>
      </c>
      <c r="AE12" s="54" t="s">
        <v>16</v>
      </c>
      <c r="AF12" s="54" t="s">
        <v>16</v>
      </c>
      <c r="AG12" s="54" t="s">
        <v>16</v>
      </c>
      <c r="AH12" s="54" t="s">
        <v>16</v>
      </c>
      <c r="AI12" s="54" t="s">
        <v>16</v>
      </c>
      <c r="AJ12" s="54" t="s">
        <v>16</v>
      </c>
      <c r="AK12" s="54" t="s">
        <v>16</v>
      </c>
      <c r="AL12" s="54" t="s">
        <v>16</v>
      </c>
      <c r="AM12" s="54" t="s">
        <v>16</v>
      </c>
      <c r="AN12" s="54" t="s">
        <v>16</v>
      </c>
      <c r="AO12" s="54" t="s">
        <v>16</v>
      </c>
      <c r="AP12" s="54" t="s">
        <v>16</v>
      </c>
      <c r="AQ12" s="54" t="s">
        <v>16</v>
      </c>
      <c r="AR12" s="54" t="s">
        <v>16</v>
      </c>
      <c r="AS12" s="54" t="s">
        <v>16</v>
      </c>
      <c r="AT12" s="54" t="s">
        <v>16</v>
      </c>
      <c r="AU12" s="64" t="s">
        <v>16</v>
      </c>
      <c r="AV12" s="141" t="s">
        <v>38</v>
      </c>
      <c r="AW12" s="59" t="s">
        <v>16</v>
      </c>
      <c r="AX12" s="54" t="s">
        <v>16</v>
      </c>
      <c r="AY12" s="54" t="s">
        <v>16</v>
      </c>
      <c r="AZ12" s="54" t="s">
        <v>16</v>
      </c>
      <c r="BA12" s="54">
        <v>200</v>
      </c>
      <c r="BB12" s="54" t="s">
        <v>16</v>
      </c>
      <c r="BC12" s="54">
        <v>180</v>
      </c>
      <c r="BD12" s="54" t="s">
        <v>16</v>
      </c>
      <c r="BE12" s="54">
        <v>165</v>
      </c>
      <c r="BF12" s="54" t="s">
        <v>16</v>
      </c>
      <c r="BG12" s="54">
        <v>153</v>
      </c>
      <c r="BH12" s="54" t="s">
        <v>16</v>
      </c>
      <c r="BI12" s="54">
        <v>145</v>
      </c>
      <c r="BJ12" s="54" t="s">
        <v>16</v>
      </c>
      <c r="BK12" s="54">
        <v>139</v>
      </c>
      <c r="BL12" s="54" t="s">
        <v>16</v>
      </c>
      <c r="BM12" s="54">
        <v>135</v>
      </c>
      <c r="BN12" s="54" t="s">
        <v>16</v>
      </c>
      <c r="BO12" s="54">
        <v>130</v>
      </c>
      <c r="BP12" s="54" t="s">
        <v>16</v>
      </c>
      <c r="BQ12" s="54">
        <v>128</v>
      </c>
      <c r="BR12" s="54" t="s">
        <v>16</v>
      </c>
      <c r="BS12" s="54">
        <v>127</v>
      </c>
      <c r="BT12" s="54" t="s">
        <v>16</v>
      </c>
      <c r="BU12" s="54" t="s">
        <v>16</v>
      </c>
      <c r="BV12" s="54" t="s">
        <v>16</v>
      </c>
      <c r="BW12" s="54" t="s">
        <v>16</v>
      </c>
      <c r="BX12" s="54" t="s">
        <v>16</v>
      </c>
      <c r="BY12" s="54" t="s">
        <v>16</v>
      </c>
      <c r="BZ12" s="54" t="s">
        <v>16</v>
      </c>
      <c r="CA12" s="54" t="s">
        <v>16</v>
      </c>
      <c r="CB12" s="54" t="s">
        <v>16</v>
      </c>
      <c r="CC12" s="54" t="s">
        <v>16</v>
      </c>
      <c r="CD12" s="54" t="s">
        <v>16</v>
      </c>
      <c r="CE12" s="54" t="s">
        <v>16</v>
      </c>
      <c r="CF12" s="54" t="s">
        <v>16</v>
      </c>
      <c r="CG12" s="139" t="s">
        <v>16</v>
      </c>
      <c r="CH12" s="59" t="s">
        <v>16</v>
      </c>
      <c r="CI12" s="54" t="s">
        <v>16</v>
      </c>
      <c r="CJ12" s="54" t="s">
        <v>16</v>
      </c>
      <c r="CK12" s="54" t="s">
        <v>16</v>
      </c>
      <c r="CL12" s="54">
        <v>165</v>
      </c>
      <c r="CM12" s="54" t="s">
        <v>16</v>
      </c>
      <c r="CN12" s="54">
        <v>150</v>
      </c>
      <c r="CO12" s="54" t="s">
        <v>16</v>
      </c>
      <c r="CP12" s="54">
        <v>137</v>
      </c>
      <c r="CQ12" s="54" t="s">
        <v>16</v>
      </c>
      <c r="CR12" s="54">
        <v>127</v>
      </c>
      <c r="CS12" s="54" t="s">
        <v>16</v>
      </c>
      <c r="CT12" s="54">
        <v>119</v>
      </c>
      <c r="CU12" s="54" t="s">
        <v>16</v>
      </c>
      <c r="CV12" s="54">
        <v>113</v>
      </c>
      <c r="CW12" s="54" t="s">
        <v>16</v>
      </c>
      <c r="CX12" s="54">
        <v>108</v>
      </c>
      <c r="CY12" s="54" t="s">
        <v>16</v>
      </c>
      <c r="CZ12" s="54">
        <v>108</v>
      </c>
      <c r="DA12" s="54" t="s">
        <v>16</v>
      </c>
      <c r="DB12" s="54">
        <v>100</v>
      </c>
      <c r="DC12" s="54" t="s">
        <v>16</v>
      </c>
      <c r="DD12" s="54">
        <v>98</v>
      </c>
      <c r="DE12" s="54" t="s">
        <v>16</v>
      </c>
      <c r="DF12" s="54" t="s">
        <v>16</v>
      </c>
      <c r="DG12" s="54" t="s">
        <v>16</v>
      </c>
      <c r="DH12" s="54" t="s">
        <v>16</v>
      </c>
      <c r="DI12" s="54" t="s">
        <v>16</v>
      </c>
      <c r="DJ12" s="54" t="s">
        <v>16</v>
      </c>
      <c r="DK12" s="54" t="s">
        <v>16</v>
      </c>
      <c r="DL12" s="54" t="s">
        <v>16</v>
      </c>
      <c r="DM12" s="54" t="s">
        <v>16</v>
      </c>
      <c r="DN12" s="54" t="s">
        <v>16</v>
      </c>
      <c r="DO12" s="54" t="s">
        <v>16</v>
      </c>
      <c r="DP12" s="54" t="s">
        <v>16</v>
      </c>
      <c r="DQ12" s="54" t="s">
        <v>16</v>
      </c>
      <c r="DR12" s="64" t="s">
        <v>16</v>
      </c>
    </row>
    <row r="13" spans="1:131">
      <c r="A13" s="86" t="s">
        <v>39</v>
      </c>
      <c r="B13" s="86" t="s">
        <v>28</v>
      </c>
      <c r="C13" s="53" t="str">
        <f>C12</f>
        <v>bar</v>
      </c>
      <c r="D13" s="53" t="s">
        <v>16</v>
      </c>
      <c r="E13" s="53">
        <v>12.7</v>
      </c>
      <c r="F13" s="53" t="str">
        <f>F12</f>
        <v>A84</v>
      </c>
      <c r="G13" s="53" t="str">
        <f>G12</f>
        <v>ASTM</v>
      </c>
      <c r="H13" s="72">
        <v>620</v>
      </c>
      <c r="I13" s="48">
        <v>310</v>
      </c>
      <c r="J13" s="53" t="str">
        <f>J12</f>
        <v>-</v>
      </c>
      <c r="K13" s="59" t="s">
        <v>16</v>
      </c>
      <c r="L13" s="54" t="s">
        <v>16</v>
      </c>
      <c r="M13" s="54" t="s">
        <v>16</v>
      </c>
      <c r="N13" s="54" t="s">
        <v>16</v>
      </c>
      <c r="O13" s="54" t="s">
        <v>16</v>
      </c>
      <c r="P13" s="54" t="s">
        <v>16</v>
      </c>
      <c r="Q13" s="54" t="s">
        <v>16</v>
      </c>
      <c r="R13" s="54" t="s">
        <v>16</v>
      </c>
      <c r="S13" s="54" t="s">
        <v>16</v>
      </c>
      <c r="T13" s="54" t="s">
        <v>16</v>
      </c>
      <c r="U13" s="54" t="s">
        <v>16</v>
      </c>
      <c r="V13" s="54" t="s">
        <v>16</v>
      </c>
      <c r="W13" s="54" t="s">
        <v>16</v>
      </c>
      <c r="X13" s="54" t="s">
        <v>16</v>
      </c>
      <c r="Y13" s="54" t="s">
        <v>16</v>
      </c>
      <c r="Z13" s="54" t="s">
        <v>16</v>
      </c>
      <c r="AA13" s="54" t="s">
        <v>16</v>
      </c>
      <c r="AB13" s="54" t="s">
        <v>16</v>
      </c>
      <c r="AC13" s="54" t="s">
        <v>16</v>
      </c>
      <c r="AD13" s="54" t="s">
        <v>16</v>
      </c>
      <c r="AE13" s="54" t="s">
        <v>16</v>
      </c>
      <c r="AF13" s="54" t="s">
        <v>16</v>
      </c>
      <c r="AG13" s="54" t="s">
        <v>16</v>
      </c>
      <c r="AH13" s="54" t="s">
        <v>16</v>
      </c>
      <c r="AI13" s="54" t="s">
        <v>16</v>
      </c>
      <c r="AJ13" s="54" t="s">
        <v>16</v>
      </c>
      <c r="AK13" s="54" t="s">
        <v>16</v>
      </c>
      <c r="AL13" s="54" t="s">
        <v>16</v>
      </c>
      <c r="AM13" s="54" t="s">
        <v>16</v>
      </c>
      <c r="AN13" s="54" t="s">
        <v>16</v>
      </c>
      <c r="AO13" s="54" t="s">
        <v>16</v>
      </c>
      <c r="AP13" s="54" t="s">
        <v>16</v>
      </c>
      <c r="AQ13" s="54" t="s">
        <v>16</v>
      </c>
      <c r="AR13" s="54" t="s">
        <v>16</v>
      </c>
      <c r="AS13" s="54" t="s">
        <v>16</v>
      </c>
      <c r="AT13" s="54" t="s">
        <v>16</v>
      </c>
      <c r="AU13" s="64" t="s">
        <v>16</v>
      </c>
      <c r="AV13" s="141" t="str">
        <f>AV12</f>
        <v>ISO</v>
      </c>
      <c r="AW13" s="59" t="str">
        <f t="shared" ref="AW13:DH16" si="8">AW12</f>
        <v>-</v>
      </c>
      <c r="AX13" s="54" t="str">
        <f t="shared" si="8"/>
        <v>-</v>
      </c>
      <c r="AY13" s="54" t="str">
        <f t="shared" si="8"/>
        <v>-</v>
      </c>
      <c r="AZ13" s="54" t="str">
        <f t="shared" si="8"/>
        <v>-</v>
      </c>
      <c r="BA13" s="54">
        <f t="shared" si="8"/>
        <v>200</v>
      </c>
      <c r="BB13" s="54" t="str">
        <f t="shared" si="8"/>
        <v>-</v>
      </c>
      <c r="BC13" s="54">
        <f t="shared" si="8"/>
        <v>180</v>
      </c>
      <c r="BD13" s="54" t="str">
        <f t="shared" si="8"/>
        <v>-</v>
      </c>
      <c r="BE13" s="54">
        <f t="shared" si="8"/>
        <v>165</v>
      </c>
      <c r="BF13" s="54" t="str">
        <f t="shared" si="8"/>
        <v>-</v>
      </c>
      <c r="BG13" s="54">
        <f t="shared" si="8"/>
        <v>153</v>
      </c>
      <c r="BH13" s="54" t="str">
        <f t="shared" si="8"/>
        <v>-</v>
      </c>
      <c r="BI13" s="54">
        <f t="shared" si="8"/>
        <v>145</v>
      </c>
      <c r="BJ13" s="54" t="str">
        <f t="shared" si="8"/>
        <v>-</v>
      </c>
      <c r="BK13" s="54">
        <f t="shared" si="8"/>
        <v>139</v>
      </c>
      <c r="BL13" s="54" t="str">
        <f t="shared" si="8"/>
        <v>-</v>
      </c>
      <c r="BM13" s="54">
        <f t="shared" si="8"/>
        <v>135</v>
      </c>
      <c r="BN13" s="54" t="str">
        <f t="shared" si="8"/>
        <v>-</v>
      </c>
      <c r="BO13" s="54">
        <f t="shared" si="8"/>
        <v>130</v>
      </c>
      <c r="BP13" s="54" t="str">
        <f t="shared" si="8"/>
        <v>-</v>
      </c>
      <c r="BQ13" s="54">
        <f t="shared" si="8"/>
        <v>128</v>
      </c>
      <c r="BR13" s="54" t="str">
        <f t="shared" si="8"/>
        <v>-</v>
      </c>
      <c r="BS13" s="54">
        <f t="shared" si="8"/>
        <v>127</v>
      </c>
      <c r="BT13" s="54" t="str">
        <f t="shared" si="8"/>
        <v>-</v>
      </c>
      <c r="BU13" s="54" t="str">
        <f t="shared" si="8"/>
        <v>-</v>
      </c>
      <c r="BV13" s="54" t="str">
        <f t="shared" si="8"/>
        <v>-</v>
      </c>
      <c r="BW13" s="54" t="str">
        <f t="shared" si="8"/>
        <v>-</v>
      </c>
      <c r="BX13" s="54" t="str">
        <f t="shared" si="8"/>
        <v>-</v>
      </c>
      <c r="BY13" s="54" t="str">
        <f t="shared" si="8"/>
        <v>-</v>
      </c>
      <c r="BZ13" s="54" t="str">
        <f t="shared" si="8"/>
        <v>-</v>
      </c>
      <c r="CA13" s="54" t="str">
        <f t="shared" si="8"/>
        <v>-</v>
      </c>
      <c r="CB13" s="54" t="str">
        <f t="shared" si="8"/>
        <v>-</v>
      </c>
      <c r="CC13" s="54" t="str">
        <f t="shared" si="8"/>
        <v>-</v>
      </c>
      <c r="CD13" s="54" t="str">
        <f t="shared" si="8"/>
        <v>-</v>
      </c>
      <c r="CE13" s="54" t="str">
        <f t="shared" si="8"/>
        <v>-</v>
      </c>
      <c r="CF13" s="54" t="str">
        <f t="shared" si="8"/>
        <v>-</v>
      </c>
      <c r="CG13" s="139" t="str">
        <f t="shared" si="8"/>
        <v>-</v>
      </c>
      <c r="CH13" s="59" t="str">
        <f t="shared" si="8"/>
        <v>-</v>
      </c>
      <c r="CI13" s="54" t="str">
        <f t="shared" si="8"/>
        <v>-</v>
      </c>
      <c r="CJ13" s="54" t="str">
        <f t="shared" si="8"/>
        <v>-</v>
      </c>
      <c r="CK13" s="54" t="str">
        <f t="shared" si="8"/>
        <v>-</v>
      </c>
      <c r="CL13" s="54">
        <f t="shared" si="8"/>
        <v>165</v>
      </c>
      <c r="CM13" s="54" t="str">
        <f t="shared" si="8"/>
        <v>-</v>
      </c>
      <c r="CN13" s="54">
        <f t="shared" si="8"/>
        <v>150</v>
      </c>
      <c r="CO13" s="54" t="str">
        <f t="shared" si="8"/>
        <v>-</v>
      </c>
      <c r="CP13" s="54">
        <f t="shared" si="8"/>
        <v>137</v>
      </c>
      <c r="CQ13" s="54" t="str">
        <f t="shared" si="8"/>
        <v>-</v>
      </c>
      <c r="CR13" s="54">
        <f t="shared" si="8"/>
        <v>127</v>
      </c>
      <c r="CS13" s="54" t="str">
        <f t="shared" si="8"/>
        <v>-</v>
      </c>
      <c r="CT13" s="54">
        <f t="shared" si="8"/>
        <v>119</v>
      </c>
      <c r="CU13" s="54" t="str">
        <f t="shared" si="8"/>
        <v>-</v>
      </c>
      <c r="CV13" s="54">
        <f t="shared" si="8"/>
        <v>113</v>
      </c>
      <c r="CW13" s="54" t="str">
        <f t="shared" si="8"/>
        <v>-</v>
      </c>
      <c r="CX13" s="54">
        <f t="shared" si="8"/>
        <v>108</v>
      </c>
      <c r="CY13" s="54" t="str">
        <f t="shared" si="8"/>
        <v>-</v>
      </c>
      <c r="CZ13" s="54">
        <f t="shared" si="8"/>
        <v>108</v>
      </c>
      <c r="DA13" s="54" t="str">
        <f t="shared" si="8"/>
        <v>-</v>
      </c>
      <c r="DB13" s="54">
        <f t="shared" si="8"/>
        <v>100</v>
      </c>
      <c r="DC13" s="54" t="str">
        <f t="shared" si="8"/>
        <v>-</v>
      </c>
      <c r="DD13" s="54">
        <f t="shared" si="8"/>
        <v>98</v>
      </c>
      <c r="DE13" s="54" t="str">
        <f t="shared" si="8"/>
        <v>-</v>
      </c>
      <c r="DF13" s="54" t="str">
        <f t="shared" si="8"/>
        <v>-</v>
      </c>
      <c r="DG13" s="54" t="str">
        <f t="shared" si="8"/>
        <v>-</v>
      </c>
      <c r="DH13" s="54" t="str">
        <f t="shared" si="8"/>
        <v>-</v>
      </c>
      <c r="DI13" s="54" t="str">
        <f t="shared" ref="DI13:DR17" si="9">DI12</f>
        <v>-</v>
      </c>
      <c r="DJ13" s="54" t="str">
        <f t="shared" si="9"/>
        <v>-</v>
      </c>
      <c r="DK13" s="54" t="str">
        <f t="shared" si="9"/>
        <v>-</v>
      </c>
      <c r="DL13" s="54" t="str">
        <f t="shared" si="9"/>
        <v>-</v>
      </c>
      <c r="DM13" s="54" t="str">
        <f t="shared" si="9"/>
        <v>-</v>
      </c>
      <c r="DN13" s="54" t="str">
        <f t="shared" si="9"/>
        <v>-</v>
      </c>
      <c r="DO13" s="54" t="str">
        <f t="shared" si="9"/>
        <v>-</v>
      </c>
      <c r="DP13" s="54" t="str">
        <f t="shared" si="9"/>
        <v>-</v>
      </c>
      <c r="DQ13" s="54" t="str">
        <f t="shared" si="9"/>
        <v>-</v>
      </c>
      <c r="DR13" s="64" t="str">
        <f t="shared" si="9"/>
        <v>-</v>
      </c>
    </row>
    <row r="14" spans="1:131">
      <c r="A14" s="86" t="s">
        <v>39</v>
      </c>
      <c r="B14" s="86" t="s">
        <v>28</v>
      </c>
      <c r="C14" s="53" t="str">
        <f>C13</f>
        <v>bar</v>
      </c>
      <c r="D14" s="53">
        <v>12.7</v>
      </c>
      <c r="E14" s="53" t="s">
        <v>16</v>
      </c>
      <c r="F14" s="53" t="str">
        <f>F13</f>
        <v>A84</v>
      </c>
      <c r="G14" s="53" t="str">
        <f>G13</f>
        <v>ASTM</v>
      </c>
      <c r="H14" s="72">
        <v>485</v>
      </c>
      <c r="I14" s="48">
        <v>170</v>
      </c>
      <c r="J14" s="53" t="str">
        <f>J13</f>
        <v>-</v>
      </c>
      <c r="K14" s="59" t="s">
        <v>16</v>
      </c>
      <c r="L14" s="54" t="s">
        <v>16</v>
      </c>
      <c r="M14" s="54" t="s">
        <v>16</v>
      </c>
      <c r="N14" s="54" t="s">
        <v>16</v>
      </c>
      <c r="O14" s="54" t="s">
        <v>16</v>
      </c>
      <c r="P14" s="54" t="s">
        <v>16</v>
      </c>
      <c r="Q14" s="54" t="s">
        <v>16</v>
      </c>
      <c r="R14" s="54" t="s">
        <v>16</v>
      </c>
      <c r="S14" s="54" t="s">
        <v>16</v>
      </c>
      <c r="T14" s="54" t="s">
        <v>16</v>
      </c>
      <c r="U14" s="54" t="s">
        <v>16</v>
      </c>
      <c r="V14" s="54" t="s">
        <v>16</v>
      </c>
      <c r="W14" s="54" t="s">
        <v>16</v>
      </c>
      <c r="X14" s="54" t="s">
        <v>16</v>
      </c>
      <c r="Y14" s="54" t="s">
        <v>16</v>
      </c>
      <c r="Z14" s="54" t="s">
        <v>16</v>
      </c>
      <c r="AA14" s="54" t="s">
        <v>16</v>
      </c>
      <c r="AB14" s="54" t="s">
        <v>16</v>
      </c>
      <c r="AC14" s="54" t="s">
        <v>16</v>
      </c>
      <c r="AD14" s="54" t="s">
        <v>16</v>
      </c>
      <c r="AE14" s="54" t="s">
        <v>16</v>
      </c>
      <c r="AF14" s="54" t="s">
        <v>16</v>
      </c>
      <c r="AG14" s="54" t="s">
        <v>16</v>
      </c>
      <c r="AH14" s="54" t="s">
        <v>16</v>
      </c>
      <c r="AI14" s="54" t="s">
        <v>16</v>
      </c>
      <c r="AJ14" s="54" t="s">
        <v>16</v>
      </c>
      <c r="AK14" s="54" t="s">
        <v>16</v>
      </c>
      <c r="AL14" s="54" t="s">
        <v>16</v>
      </c>
      <c r="AM14" s="54" t="s">
        <v>16</v>
      </c>
      <c r="AN14" s="54" t="s">
        <v>16</v>
      </c>
      <c r="AO14" s="54" t="s">
        <v>16</v>
      </c>
      <c r="AP14" s="54" t="s">
        <v>16</v>
      </c>
      <c r="AQ14" s="54" t="s">
        <v>16</v>
      </c>
      <c r="AR14" s="54" t="s">
        <v>16</v>
      </c>
      <c r="AS14" s="54" t="s">
        <v>16</v>
      </c>
      <c r="AT14" s="54" t="s">
        <v>16</v>
      </c>
      <c r="AU14" s="64" t="s">
        <v>16</v>
      </c>
      <c r="AV14" s="141" t="str">
        <f>AV13</f>
        <v>ISO</v>
      </c>
      <c r="AW14" s="59" t="str">
        <f t="shared" si="8"/>
        <v>-</v>
      </c>
      <c r="AX14" s="54" t="str">
        <f t="shared" si="8"/>
        <v>-</v>
      </c>
      <c r="AY14" s="54" t="str">
        <f t="shared" si="8"/>
        <v>-</v>
      </c>
      <c r="AZ14" s="54" t="str">
        <f t="shared" si="8"/>
        <v>-</v>
      </c>
      <c r="BA14" s="54">
        <f t="shared" si="8"/>
        <v>200</v>
      </c>
      <c r="BB14" s="54" t="str">
        <f t="shared" si="8"/>
        <v>-</v>
      </c>
      <c r="BC14" s="54">
        <f t="shared" si="8"/>
        <v>180</v>
      </c>
      <c r="BD14" s="54" t="str">
        <f t="shared" si="8"/>
        <v>-</v>
      </c>
      <c r="BE14" s="54">
        <f t="shared" si="8"/>
        <v>165</v>
      </c>
      <c r="BF14" s="54" t="str">
        <f t="shared" si="8"/>
        <v>-</v>
      </c>
      <c r="BG14" s="54">
        <f t="shared" si="8"/>
        <v>153</v>
      </c>
      <c r="BH14" s="54" t="str">
        <f t="shared" si="8"/>
        <v>-</v>
      </c>
      <c r="BI14" s="54">
        <f t="shared" si="8"/>
        <v>145</v>
      </c>
      <c r="BJ14" s="54" t="str">
        <f t="shared" si="8"/>
        <v>-</v>
      </c>
      <c r="BK14" s="54">
        <f t="shared" si="8"/>
        <v>139</v>
      </c>
      <c r="BL14" s="54" t="str">
        <f t="shared" si="8"/>
        <v>-</v>
      </c>
      <c r="BM14" s="54">
        <f t="shared" si="8"/>
        <v>135</v>
      </c>
      <c r="BN14" s="54" t="str">
        <f t="shared" si="8"/>
        <v>-</v>
      </c>
      <c r="BO14" s="54">
        <f t="shared" si="8"/>
        <v>130</v>
      </c>
      <c r="BP14" s="54" t="str">
        <f t="shared" si="8"/>
        <v>-</v>
      </c>
      <c r="BQ14" s="54">
        <f t="shared" si="8"/>
        <v>128</v>
      </c>
      <c r="BR14" s="54" t="str">
        <f t="shared" si="8"/>
        <v>-</v>
      </c>
      <c r="BS14" s="54">
        <f t="shared" si="8"/>
        <v>127</v>
      </c>
      <c r="BT14" s="54" t="str">
        <f t="shared" si="8"/>
        <v>-</v>
      </c>
      <c r="BU14" s="54" t="str">
        <f t="shared" si="8"/>
        <v>-</v>
      </c>
      <c r="BV14" s="54" t="str">
        <f t="shared" si="8"/>
        <v>-</v>
      </c>
      <c r="BW14" s="54" t="str">
        <f t="shared" si="8"/>
        <v>-</v>
      </c>
      <c r="BX14" s="54" t="str">
        <f t="shared" si="8"/>
        <v>-</v>
      </c>
      <c r="BY14" s="54" t="str">
        <f t="shared" si="8"/>
        <v>-</v>
      </c>
      <c r="BZ14" s="54" t="str">
        <f t="shared" si="8"/>
        <v>-</v>
      </c>
      <c r="CA14" s="54" t="str">
        <f t="shared" si="8"/>
        <v>-</v>
      </c>
      <c r="CB14" s="54" t="str">
        <f t="shared" si="8"/>
        <v>-</v>
      </c>
      <c r="CC14" s="54" t="str">
        <f t="shared" si="8"/>
        <v>-</v>
      </c>
      <c r="CD14" s="54" t="str">
        <f t="shared" si="8"/>
        <v>-</v>
      </c>
      <c r="CE14" s="54" t="str">
        <f t="shared" si="8"/>
        <v>-</v>
      </c>
      <c r="CF14" s="54" t="str">
        <f t="shared" si="8"/>
        <v>-</v>
      </c>
      <c r="CG14" s="139" t="str">
        <f t="shared" si="8"/>
        <v>-</v>
      </c>
      <c r="CH14" s="59" t="str">
        <f t="shared" si="8"/>
        <v>-</v>
      </c>
      <c r="CI14" s="54" t="str">
        <f t="shared" si="8"/>
        <v>-</v>
      </c>
      <c r="CJ14" s="54" t="str">
        <f t="shared" si="8"/>
        <v>-</v>
      </c>
      <c r="CK14" s="54" t="str">
        <f t="shared" si="8"/>
        <v>-</v>
      </c>
      <c r="CL14" s="54">
        <f t="shared" si="8"/>
        <v>165</v>
      </c>
      <c r="CM14" s="54" t="str">
        <f t="shared" si="8"/>
        <v>-</v>
      </c>
      <c r="CN14" s="54">
        <f t="shared" si="8"/>
        <v>150</v>
      </c>
      <c r="CO14" s="54" t="str">
        <f t="shared" si="8"/>
        <v>-</v>
      </c>
      <c r="CP14" s="54">
        <f t="shared" si="8"/>
        <v>137</v>
      </c>
      <c r="CQ14" s="54" t="str">
        <f t="shared" si="8"/>
        <v>-</v>
      </c>
      <c r="CR14" s="54">
        <f t="shared" si="8"/>
        <v>127</v>
      </c>
      <c r="CS14" s="54" t="str">
        <f t="shared" si="8"/>
        <v>-</v>
      </c>
      <c r="CT14" s="54">
        <f t="shared" si="8"/>
        <v>119</v>
      </c>
      <c r="CU14" s="54" t="str">
        <f t="shared" si="8"/>
        <v>-</v>
      </c>
      <c r="CV14" s="54">
        <f t="shared" si="8"/>
        <v>113</v>
      </c>
      <c r="CW14" s="54" t="str">
        <f t="shared" si="8"/>
        <v>-</v>
      </c>
      <c r="CX14" s="54">
        <f t="shared" si="8"/>
        <v>108</v>
      </c>
      <c r="CY14" s="54" t="str">
        <f t="shared" si="8"/>
        <v>-</v>
      </c>
      <c r="CZ14" s="54">
        <f t="shared" si="8"/>
        <v>108</v>
      </c>
      <c r="DA14" s="54" t="str">
        <f t="shared" si="8"/>
        <v>-</v>
      </c>
      <c r="DB14" s="54">
        <f t="shared" si="8"/>
        <v>100</v>
      </c>
      <c r="DC14" s="54" t="str">
        <f t="shared" si="8"/>
        <v>-</v>
      </c>
      <c r="DD14" s="54">
        <f t="shared" si="8"/>
        <v>98</v>
      </c>
      <c r="DE14" s="54" t="str">
        <f t="shared" si="8"/>
        <v>-</v>
      </c>
      <c r="DF14" s="54" t="str">
        <f t="shared" si="8"/>
        <v>-</v>
      </c>
      <c r="DG14" s="54" t="str">
        <f t="shared" si="8"/>
        <v>-</v>
      </c>
      <c r="DH14" s="54" t="str">
        <f t="shared" si="8"/>
        <v>-</v>
      </c>
      <c r="DI14" s="54" t="str">
        <f t="shared" si="9"/>
        <v>-</v>
      </c>
      <c r="DJ14" s="54" t="str">
        <f t="shared" si="9"/>
        <v>-</v>
      </c>
      <c r="DK14" s="54" t="str">
        <f t="shared" si="9"/>
        <v>-</v>
      </c>
      <c r="DL14" s="54" t="str">
        <f t="shared" si="9"/>
        <v>-</v>
      </c>
      <c r="DM14" s="54" t="str">
        <f t="shared" si="9"/>
        <v>-</v>
      </c>
      <c r="DN14" s="54" t="str">
        <f t="shared" si="9"/>
        <v>-</v>
      </c>
      <c r="DO14" s="54" t="str">
        <f t="shared" si="9"/>
        <v>-</v>
      </c>
      <c r="DP14" s="54" t="str">
        <f t="shared" si="9"/>
        <v>-</v>
      </c>
      <c r="DQ14" s="54" t="str">
        <f t="shared" si="9"/>
        <v>-</v>
      </c>
      <c r="DR14" s="64" t="str">
        <f t="shared" si="9"/>
        <v>-</v>
      </c>
    </row>
    <row r="15" spans="1:131">
      <c r="A15" s="86" t="s">
        <v>40</v>
      </c>
      <c r="B15" s="86" t="s">
        <v>28</v>
      </c>
      <c r="C15" s="53" t="s">
        <v>15</v>
      </c>
      <c r="D15" s="53" t="s">
        <v>16</v>
      </c>
      <c r="E15" s="53" t="s">
        <v>16</v>
      </c>
      <c r="F15" s="53" t="s">
        <v>41</v>
      </c>
      <c r="G15" s="53" t="s">
        <v>17</v>
      </c>
      <c r="H15" s="72">
        <v>485</v>
      </c>
      <c r="I15" s="48">
        <v>170</v>
      </c>
      <c r="J15" s="53" t="s">
        <v>16</v>
      </c>
      <c r="K15" s="59" t="s">
        <v>16</v>
      </c>
      <c r="L15" s="54" t="s">
        <v>16</v>
      </c>
      <c r="M15" s="54" t="s">
        <v>16</v>
      </c>
      <c r="N15" s="54" t="s">
        <v>16</v>
      </c>
      <c r="O15" s="54" t="s">
        <v>16</v>
      </c>
      <c r="P15" s="54" t="s">
        <v>16</v>
      </c>
      <c r="Q15" s="54" t="s">
        <v>16</v>
      </c>
      <c r="R15" s="54" t="s">
        <v>16</v>
      </c>
      <c r="S15" s="54" t="s">
        <v>16</v>
      </c>
      <c r="T15" s="54" t="s">
        <v>16</v>
      </c>
      <c r="U15" s="54" t="s">
        <v>16</v>
      </c>
      <c r="V15" s="54" t="s">
        <v>16</v>
      </c>
      <c r="W15" s="54" t="s">
        <v>16</v>
      </c>
      <c r="X15" s="54" t="s">
        <v>16</v>
      </c>
      <c r="Y15" s="54" t="s">
        <v>16</v>
      </c>
      <c r="Z15" s="54" t="s">
        <v>16</v>
      </c>
      <c r="AA15" s="54" t="s">
        <v>16</v>
      </c>
      <c r="AB15" s="54" t="s">
        <v>16</v>
      </c>
      <c r="AC15" s="54" t="s">
        <v>16</v>
      </c>
      <c r="AD15" s="54" t="s">
        <v>16</v>
      </c>
      <c r="AE15" s="54" t="s">
        <v>16</v>
      </c>
      <c r="AF15" s="54" t="s">
        <v>16</v>
      </c>
      <c r="AG15" s="54" t="s">
        <v>16</v>
      </c>
      <c r="AH15" s="54" t="s">
        <v>16</v>
      </c>
      <c r="AI15" s="54" t="s">
        <v>16</v>
      </c>
      <c r="AJ15" s="54" t="s">
        <v>16</v>
      </c>
      <c r="AK15" s="54" t="s">
        <v>16</v>
      </c>
      <c r="AL15" s="54" t="s">
        <v>16</v>
      </c>
      <c r="AM15" s="54" t="s">
        <v>16</v>
      </c>
      <c r="AN15" s="54" t="s">
        <v>16</v>
      </c>
      <c r="AO15" s="54" t="s">
        <v>16</v>
      </c>
      <c r="AP15" s="54" t="s">
        <v>16</v>
      </c>
      <c r="AQ15" s="54" t="s">
        <v>16</v>
      </c>
      <c r="AR15" s="54" t="s">
        <v>16</v>
      </c>
      <c r="AS15" s="54" t="s">
        <v>16</v>
      </c>
      <c r="AT15" s="54" t="s">
        <v>16</v>
      </c>
      <c r="AU15" s="64" t="s">
        <v>16</v>
      </c>
      <c r="AV15" s="141" t="str">
        <f>AV14</f>
        <v>ISO</v>
      </c>
      <c r="AW15" s="59" t="str">
        <f t="shared" si="8"/>
        <v>-</v>
      </c>
      <c r="AX15" s="54" t="str">
        <f t="shared" si="8"/>
        <v>-</v>
      </c>
      <c r="AY15" s="54" t="str">
        <f t="shared" si="8"/>
        <v>-</v>
      </c>
      <c r="AZ15" s="54" t="str">
        <f t="shared" si="8"/>
        <v>-</v>
      </c>
      <c r="BA15" s="54">
        <f t="shared" si="8"/>
        <v>200</v>
      </c>
      <c r="BB15" s="54" t="str">
        <f t="shared" si="8"/>
        <v>-</v>
      </c>
      <c r="BC15" s="54">
        <f t="shared" si="8"/>
        <v>180</v>
      </c>
      <c r="BD15" s="54" t="str">
        <f t="shared" si="8"/>
        <v>-</v>
      </c>
      <c r="BE15" s="54">
        <f t="shared" si="8"/>
        <v>165</v>
      </c>
      <c r="BF15" s="54" t="str">
        <f t="shared" si="8"/>
        <v>-</v>
      </c>
      <c r="BG15" s="54">
        <f t="shared" si="8"/>
        <v>153</v>
      </c>
      <c r="BH15" s="54" t="str">
        <f t="shared" si="8"/>
        <v>-</v>
      </c>
      <c r="BI15" s="54">
        <f t="shared" si="8"/>
        <v>145</v>
      </c>
      <c r="BJ15" s="54" t="str">
        <f t="shared" si="8"/>
        <v>-</v>
      </c>
      <c r="BK15" s="54">
        <f t="shared" si="8"/>
        <v>139</v>
      </c>
      <c r="BL15" s="54" t="str">
        <f t="shared" si="8"/>
        <v>-</v>
      </c>
      <c r="BM15" s="54">
        <f t="shared" si="8"/>
        <v>135</v>
      </c>
      <c r="BN15" s="54" t="str">
        <f t="shared" si="8"/>
        <v>-</v>
      </c>
      <c r="BO15" s="54">
        <f t="shared" si="8"/>
        <v>130</v>
      </c>
      <c r="BP15" s="54" t="str">
        <f t="shared" si="8"/>
        <v>-</v>
      </c>
      <c r="BQ15" s="54">
        <f t="shared" si="8"/>
        <v>128</v>
      </c>
      <c r="BR15" s="54" t="str">
        <f t="shared" si="8"/>
        <v>-</v>
      </c>
      <c r="BS15" s="54">
        <f t="shared" si="8"/>
        <v>127</v>
      </c>
      <c r="BT15" s="54" t="str">
        <f t="shared" si="8"/>
        <v>-</v>
      </c>
      <c r="BU15" s="54" t="str">
        <f t="shared" si="8"/>
        <v>-</v>
      </c>
      <c r="BV15" s="54" t="str">
        <f t="shared" si="8"/>
        <v>-</v>
      </c>
      <c r="BW15" s="54" t="str">
        <f t="shared" si="8"/>
        <v>-</v>
      </c>
      <c r="BX15" s="54" t="str">
        <f t="shared" si="8"/>
        <v>-</v>
      </c>
      <c r="BY15" s="54" t="str">
        <f t="shared" si="8"/>
        <v>-</v>
      </c>
      <c r="BZ15" s="54" t="str">
        <f t="shared" si="8"/>
        <v>-</v>
      </c>
      <c r="CA15" s="54" t="str">
        <f t="shared" si="8"/>
        <v>-</v>
      </c>
      <c r="CB15" s="54" t="str">
        <f t="shared" si="8"/>
        <v>-</v>
      </c>
      <c r="CC15" s="54" t="str">
        <f t="shared" si="8"/>
        <v>-</v>
      </c>
      <c r="CD15" s="54" t="str">
        <f t="shared" si="8"/>
        <v>-</v>
      </c>
      <c r="CE15" s="54" t="str">
        <f t="shared" si="8"/>
        <v>-</v>
      </c>
      <c r="CF15" s="54" t="str">
        <f t="shared" si="8"/>
        <v>-</v>
      </c>
      <c r="CG15" s="139" t="str">
        <f t="shared" si="8"/>
        <v>-</v>
      </c>
      <c r="CH15" s="59" t="str">
        <f t="shared" si="8"/>
        <v>-</v>
      </c>
      <c r="CI15" s="54" t="str">
        <f t="shared" si="8"/>
        <v>-</v>
      </c>
      <c r="CJ15" s="54" t="str">
        <f t="shared" si="8"/>
        <v>-</v>
      </c>
      <c r="CK15" s="54" t="str">
        <f t="shared" si="8"/>
        <v>-</v>
      </c>
      <c r="CL15" s="54">
        <f t="shared" si="8"/>
        <v>165</v>
      </c>
      <c r="CM15" s="54" t="str">
        <f t="shared" si="8"/>
        <v>-</v>
      </c>
      <c r="CN15" s="54">
        <f t="shared" si="8"/>
        <v>150</v>
      </c>
      <c r="CO15" s="54" t="str">
        <f t="shared" si="8"/>
        <v>-</v>
      </c>
      <c r="CP15" s="54">
        <f t="shared" si="8"/>
        <v>137</v>
      </c>
      <c r="CQ15" s="54" t="str">
        <f t="shared" si="8"/>
        <v>-</v>
      </c>
      <c r="CR15" s="54">
        <f t="shared" si="8"/>
        <v>127</v>
      </c>
      <c r="CS15" s="54" t="str">
        <f t="shared" si="8"/>
        <v>-</v>
      </c>
      <c r="CT15" s="54">
        <f t="shared" si="8"/>
        <v>119</v>
      </c>
      <c r="CU15" s="54" t="str">
        <f t="shared" si="8"/>
        <v>-</v>
      </c>
      <c r="CV15" s="54">
        <f t="shared" si="8"/>
        <v>113</v>
      </c>
      <c r="CW15" s="54" t="str">
        <f t="shared" si="8"/>
        <v>-</v>
      </c>
      <c r="CX15" s="54">
        <f t="shared" si="8"/>
        <v>108</v>
      </c>
      <c r="CY15" s="54" t="str">
        <f t="shared" si="8"/>
        <v>-</v>
      </c>
      <c r="CZ15" s="54">
        <f t="shared" si="8"/>
        <v>108</v>
      </c>
      <c r="DA15" s="54" t="str">
        <f t="shared" si="8"/>
        <v>-</v>
      </c>
      <c r="DB15" s="54">
        <f t="shared" si="8"/>
        <v>100</v>
      </c>
      <c r="DC15" s="54" t="str">
        <f t="shared" si="8"/>
        <v>-</v>
      </c>
      <c r="DD15" s="54">
        <f t="shared" si="8"/>
        <v>98</v>
      </c>
      <c r="DE15" s="54" t="str">
        <f t="shared" si="8"/>
        <v>-</v>
      </c>
      <c r="DF15" s="54" t="str">
        <f t="shared" si="8"/>
        <v>-</v>
      </c>
      <c r="DG15" s="54" t="str">
        <f t="shared" si="8"/>
        <v>-</v>
      </c>
      <c r="DH15" s="54" t="str">
        <f t="shared" si="8"/>
        <v>-</v>
      </c>
      <c r="DI15" s="54" t="str">
        <f t="shared" si="9"/>
        <v>-</v>
      </c>
      <c r="DJ15" s="54" t="str">
        <f t="shared" si="9"/>
        <v>-</v>
      </c>
      <c r="DK15" s="54" t="str">
        <f t="shared" si="9"/>
        <v>-</v>
      </c>
      <c r="DL15" s="54" t="str">
        <f t="shared" si="9"/>
        <v>-</v>
      </c>
      <c r="DM15" s="54" t="str">
        <f t="shared" si="9"/>
        <v>-</v>
      </c>
      <c r="DN15" s="54" t="str">
        <f t="shared" si="9"/>
        <v>-</v>
      </c>
      <c r="DO15" s="54" t="str">
        <f t="shared" si="9"/>
        <v>-</v>
      </c>
      <c r="DP15" s="54" t="str">
        <f t="shared" si="9"/>
        <v>-</v>
      </c>
      <c r="DQ15" s="54" t="str">
        <f t="shared" si="9"/>
        <v>-</v>
      </c>
      <c r="DR15" s="64" t="str">
        <f t="shared" si="9"/>
        <v>-</v>
      </c>
    </row>
    <row r="16" spans="1:131">
      <c r="A16" s="86" t="s">
        <v>42</v>
      </c>
      <c r="B16" s="86" t="s">
        <v>28</v>
      </c>
      <c r="C16" s="53" t="str">
        <f>C15</f>
        <v>bar</v>
      </c>
      <c r="D16" s="53" t="s">
        <v>16</v>
      </c>
      <c r="E16" s="53">
        <v>12.7</v>
      </c>
      <c r="F16" s="53" t="str">
        <f>F15</f>
        <v>A8I</v>
      </c>
      <c r="G16" s="53" t="str">
        <f>G15</f>
        <v>ASTM</v>
      </c>
      <c r="H16" s="72">
        <v>620</v>
      </c>
      <c r="I16" s="48">
        <v>310</v>
      </c>
      <c r="J16" s="53" t="str">
        <f>J15</f>
        <v>-</v>
      </c>
      <c r="K16" s="59" t="s">
        <v>16</v>
      </c>
      <c r="L16" s="54" t="s">
        <v>16</v>
      </c>
      <c r="M16" s="54" t="s">
        <v>16</v>
      </c>
      <c r="N16" s="54" t="s">
        <v>16</v>
      </c>
      <c r="O16" s="54" t="s">
        <v>16</v>
      </c>
      <c r="P16" s="54" t="s">
        <v>16</v>
      </c>
      <c r="Q16" s="54" t="s">
        <v>16</v>
      </c>
      <c r="R16" s="54" t="s">
        <v>16</v>
      </c>
      <c r="S16" s="54" t="s">
        <v>16</v>
      </c>
      <c r="T16" s="54" t="s">
        <v>16</v>
      </c>
      <c r="U16" s="54" t="s">
        <v>16</v>
      </c>
      <c r="V16" s="54" t="s">
        <v>16</v>
      </c>
      <c r="W16" s="54" t="s">
        <v>16</v>
      </c>
      <c r="X16" s="54" t="s">
        <v>16</v>
      </c>
      <c r="Y16" s="54" t="s">
        <v>16</v>
      </c>
      <c r="Z16" s="54" t="s">
        <v>16</v>
      </c>
      <c r="AA16" s="54" t="s">
        <v>16</v>
      </c>
      <c r="AB16" s="54" t="s">
        <v>16</v>
      </c>
      <c r="AC16" s="54" t="s">
        <v>16</v>
      </c>
      <c r="AD16" s="54" t="s">
        <v>16</v>
      </c>
      <c r="AE16" s="54" t="s">
        <v>16</v>
      </c>
      <c r="AF16" s="54" t="s">
        <v>16</v>
      </c>
      <c r="AG16" s="54" t="s">
        <v>16</v>
      </c>
      <c r="AH16" s="54" t="s">
        <v>16</v>
      </c>
      <c r="AI16" s="54" t="s">
        <v>16</v>
      </c>
      <c r="AJ16" s="54" t="s">
        <v>16</v>
      </c>
      <c r="AK16" s="54" t="s">
        <v>16</v>
      </c>
      <c r="AL16" s="54" t="s">
        <v>16</v>
      </c>
      <c r="AM16" s="54" t="s">
        <v>16</v>
      </c>
      <c r="AN16" s="54" t="s">
        <v>16</v>
      </c>
      <c r="AO16" s="54" t="s">
        <v>16</v>
      </c>
      <c r="AP16" s="54" t="s">
        <v>16</v>
      </c>
      <c r="AQ16" s="54" t="s">
        <v>16</v>
      </c>
      <c r="AR16" s="54" t="s">
        <v>16</v>
      </c>
      <c r="AS16" s="54" t="s">
        <v>16</v>
      </c>
      <c r="AT16" s="54" t="s">
        <v>16</v>
      </c>
      <c r="AU16" s="64" t="s">
        <v>16</v>
      </c>
      <c r="AV16" s="141" t="str">
        <f>AV15</f>
        <v>ISO</v>
      </c>
      <c r="AW16" s="59" t="str">
        <f t="shared" si="8"/>
        <v>-</v>
      </c>
      <c r="AX16" s="54" t="str">
        <f t="shared" si="8"/>
        <v>-</v>
      </c>
      <c r="AY16" s="54" t="str">
        <f t="shared" si="8"/>
        <v>-</v>
      </c>
      <c r="AZ16" s="54" t="str">
        <f t="shared" si="8"/>
        <v>-</v>
      </c>
      <c r="BA16" s="54">
        <f t="shared" si="8"/>
        <v>200</v>
      </c>
      <c r="BB16" s="54" t="str">
        <f t="shared" si="8"/>
        <v>-</v>
      </c>
      <c r="BC16" s="54">
        <f t="shared" si="8"/>
        <v>180</v>
      </c>
      <c r="BD16" s="54" t="str">
        <f t="shared" si="8"/>
        <v>-</v>
      </c>
      <c r="BE16" s="54">
        <f t="shared" si="8"/>
        <v>165</v>
      </c>
      <c r="BF16" s="54" t="str">
        <f t="shared" si="8"/>
        <v>-</v>
      </c>
      <c r="BG16" s="54">
        <f t="shared" si="8"/>
        <v>153</v>
      </c>
      <c r="BH16" s="54" t="str">
        <f t="shared" si="8"/>
        <v>-</v>
      </c>
      <c r="BI16" s="54">
        <f t="shared" si="8"/>
        <v>145</v>
      </c>
      <c r="BJ16" s="54" t="str">
        <f t="shared" si="8"/>
        <v>-</v>
      </c>
      <c r="BK16" s="54">
        <f t="shared" si="8"/>
        <v>139</v>
      </c>
      <c r="BL16" s="54" t="str">
        <f t="shared" si="8"/>
        <v>-</v>
      </c>
      <c r="BM16" s="54">
        <f t="shared" si="8"/>
        <v>135</v>
      </c>
      <c r="BN16" s="54" t="str">
        <f t="shared" si="8"/>
        <v>-</v>
      </c>
      <c r="BO16" s="54">
        <f t="shared" si="8"/>
        <v>130</v>
      </c>
      <c r="BP16" s="54" t="str">
        <f t="shared" si="8"/>
        <v>-</v>
      </c>
      <c r="BQ16" s="54">
        <f t="shared" si="8"/>
        <v>128</v>
      </c>
      <c r="BR16" s="54" t="str">
        <f t="shared" si="8"/>
        <v>-</v>
      </c>
      <c r="BS16" s="54">
        <f t="shared" si="8"/>
        <v>127</v>
      </c>
      <c r="BT16" s="54" t="str">
        <f t="shared" si="8"/>
        <v>-</v>
      </c>
      <c r="BU16" s="54" t="str">
        <f t="shared" si="8"/>
        <v>-</v>
      </c>
      <c r="BV16" s="54" t="str">
        <f t="shared" si="8"/>
        <v>-</v>
      </c>
      <c r="BW16" s="54" t="str">
        <f t="shared" si="8"/>
        <v>-</v>
      </c>
      <c r="BX16" s="54" t="str">
        <f t="shared" si="8"/>
        <v>-</v>
      </c>
      <c r="BY16" s="54" t="str">
        <f t="shared" si="8"/>
        <v>-</v>
      </c>
      <c r="BZ16" s="54" t="str">
        <f t="shared" si="8"/>
        <v>-</v>
      </c>
      <c r="CA16" s="54" t="str">
        <f t="shared" si="8"/>
        <v>-</v>
      </c>
      <c r="CB16" s="54" t="str">
        <f t="shared" si="8"/>
        <v>-</v>
      </c>
      <c r="CC16" s="54" t="str">
        <f t="shared" si="8"/>
        <v>-</v>
      </c>
      <c r="CD16" s="54" t="str">
        <f t="shared" si="8"/>
        <v>-</v>
      </c>
      <c r="CE16" s="54" t="str">
        <f t="shared" si="8"/>
        <v>-</v>
      </c>
      <c r="CF16" s="54" t="str">
        <f t="shared" si="8"/>
        <v>-</v>
      </c>
      <c r="CG16" s="139" t="str">
        <f t="shared" si="8"/>
        <v>-</v>
      </c>
      <c r="CH16" s="59" t="str">
        <f t="shared" si="8"/>
        <v>-</v>
      </c>
      <c r="CI16" s="54" t="str">
        <f t="shared" si="8"/>
        <v>-</v>
      </c>
      <c r="CJ16" s="54" t="str">
        <f t="shared" si="8"/>
        <v>-</v>
      </c>
      <c r="CK16" s="54" t="str">
        <f t="shared" si="8"/>
        <v>-</v>
      </c>
      <c r="CL16" s="54">
        <f t="shared" si="8"/>
        <v>165</v>
      </c>
      <c r="CM16" s="54" t="str">
        <f t="shared" si="8"/>
        <v>-</v>
      </c>
      <c r="CN16" s="54">
        <f t="shared" si="8"/>
        <v>150</v>
      </c>
      <c r="CO16" s="54" t="str">
        <f t="shared" si="8"/>
        <v>-</v>
      </c>
      <c r="CP16" s="54">
        <f t="shared" si="8"/>
        <v>137</v>
      </c>
      <c r="CQ16" s="54" t="str">
        <f t="shared" si="8"/>
        <v>-</v>
      </c>
      <c r="CR16" s="54">
        <f t="shared" si="8"/>
        <v>127</v>
      </c>
      <c r="CS16" s="54" t="str">
        <f t="shared" si="8"/>
        <v>-</v>
      </c>
      <c r="CT16" s="54">
        <f t="shared" si="8"/>
        <v>119</v>
      </c>
      <c r="CU16" s="54" t="str">
        <f t="shared" si="8"/>
        <v>-</v>
      </c>
      <c r="CV16" s="54">
        <f t="shared" si="8"/>
        <v>113</v>
      </c>
      <c r="CW16" s="54" t="str">
        <f t="shared" si="8"/>
        <v>-</v>
      </c>
      <c r="CX16" s="54">
        <f t="shared" si="8"/>
        <v>108</v>
      </c>
      <c r="CY16" s="54" t="str">
        <f t="shared" si="8"/>
        <v>-</v>
      </c>
      <c r="CZ16" s="54">
        <f t="shared" si="8"/>
        <v>108</v>
      </c>
      <c r="DA16" s="54" t="str">
        <f t="shared" si="8"/>
        <v>-</v>
      </c>
      <c r="DB16" s="54">
        <f t="shared" si="8"/>
        <v>100</v>
      </c>
      <c r="DC16" s="54" t="str">
        <f t="shared" si="8"/>
        <v>-</v>
      </c>
      <c r="DD16" s="54">
        <f t="shared" si="8"/>
        <v>98</v>
      </c>
      <c r="DE16" s="54" t="str">
        <f t="shared" si="8"/>
        <v>-</v>
      </c>
      <c r="DF16" s="54" t="str">
        <f t="shared" si="8"/>
        <v>-</v>
      </c>
      <c r="DG16" s="54" t="str">
        <f t="shared" si="8"/>
        <v>-</v>
      </c>
      <c r="DH16" s="54" t="str">
        <f>DH15</f>
        <v>-</v>
      </c>
      <c r="DI16" s="54" t="str">
        <f t="shared" si="9"/>
        <v>-</v>
      </c>
      <c r="DJ16" s="54" t="str">
        <f t="shared" si="9"/>
        <v>-</v>
      </c>
      <c r="DK16" s="54" t="str">
        <f t="shared" si="9"/>
        <v>-</v>
      </c>
      <c r="DL16" s="54" t="str">
        <f t="shared" si="9"/>
        <v>-</v>
      </c>
      <c r="DM16" s="54" t="str">
        <f t="shared" si="9"/>
        <v>-</v>
      </c>
      <c r="DN16" s="54" t="str">
        <f t="shared" si="9"/>
        <v>-</v>
      </c>
      <c r="DO16" s="54" t="str">
        <f t="shared" si="9"/>
        <v>-</v>
      </c>
      <c r="DP16" s="54" t="str">
        <f t="shared" si="9"/>
        <v>-</v>
      </c>
      <c r="DQ16" s="54" t="str">
        <f t="shared" si="9"/>
        <v>-</v>
      </c>
      <c r="DR16" s="64" t="str">
        <f t="shared" si="9"/>
        <v>-</v>
      </c>
    </row>
    <row r="17" spans="1:122">
      <c r="A17" s="86" t="s">
        <v>42</v>
      </c>
      <c r="B17" s="86" t="s">
        <v>28</v>
      </c>
      <c r="C17" s="53" t="str">
        <f>C16</f>
        <v>bar</v>
      </c>
      <c r="D17" s="53">
        <v>12.7</v>
      </c>
      <c r="E17" s="53" t="s">
        <v>16</v>
      </c>
      <c r="F17" s="53" t="str">
        <f>F16</f>
        <v>A8I</v>
      </c>
      <c r="G17" s="53" t="str">
        <f>G16</f>
        <v>ASTM</v>
      </c>
      <c r="H17" s="72">
        <v>485</v>
      </c>
      <c r="I17" s="48">
        <v>170</v>
      </c>
      <c r="J17" s="53" t="str">
        <f>J16</f>
        <v>-</v>
      </c>
      <c r="K17" s="59" t="s">
        <v>16</v>
      </c>
      <c r="L17" s="54" t="s">
        <v>16</v>
      </c>
      <c r="M17" s="54" t="s">
        <v>16</v>
      </c>
      <c r="N17" s="54" t="s">
        <v>16</v>
      </c>
      <c r="O17" s="54" t="s">
        <v>16</v>
      </c>
      <c r="P17" s="54" t="s">
        <v>16</v>
      </c>
      <c r="Q17" s="54" t="s">
        <v>16</v>
      </c>
      <c r="R17" s="54" t="s">
        <v>16</v>
      </c>
      <c r="S17" s="54" t="s">
        <v>16</v>
      </c>
      <c r="T17" s="54" t="s">
        <v>16</v>
      </c>
      <c r="U17" s="54" t="s">
        <v>16</v>
      </c>
      <c r="V17" s="54" t="s">
        <v>16</v>
      </c>
      <c r="W17" s="54" t="s">
        <v>16</v>
      </c>
      <c r="X17" s="54" t="s">
        <v>16</v>
      </c>
      <c r="Y17" s="54" t="s">
        <v>16</v>
      </c>
      <c r="Z17" s="54" t="s">
        <v>16</v>
      </c>
      <c r="AA17" s="54" t="s">
        <v>16</v>
      </c>
      <c r="AB17" s="54" t="s">
        <v>16</v>
      </c>
      <c r="AC17" s="54" t="s">
        <v>16</v>
      </c>
      <c r="AD17" s="54" t="s">
        <v>16</v>
      </c>
      <c r="AE17" s="54" t="s">
        <v>16</v>
      </c>
      <c r="AF17" s="54" t="s">
        <v>16</v>
      </c>
      <c r="AG17" s="54" t="s">
        <v>16</v>
      </c>
      <c r="AH17" s="54" t="s">
        <v>16</v>
      </c>
      <c r="AI17" s="54" t="s">
        <v>16</v>
      </c>
      <c r="AJ17" s="54" t="s">
        <v>16</v>
      </c>
      <c r="AK17" s="54" t="s">
        <v>16</v>
      </c>
      <c r="AL17" s="54" t="s">
        <v>16</v>
      </c>
      <c r="AM17" s="54" t="s">
        <v>16</v>
      </c>
      <c r="AN17" s="54" t="s">
        <v>16</v>
      </c>
      <c r="AO17" s="54" t="s">
        <v>16</v>
      </c>
      <c r="AP17" s="54" t="s">
        <v>16</v>
      </c>
      <c r="AQ17" s="54" t="s">
        <v>16</v>
      </c>
      <c r="AR17" s="54" t="s">
        <v>16</v>
      </c>
      <c r="AS17" s="54" t="s">
        <v>16</v>
      </c>
      <c r="AT17" s="54" t="s">
        <v>16</v>
      </c>
      <c r="AU17" s="64" t="s">
        <v>16</v>
      </c>
      <c r="AV17" s="141" t="str">
        <f>AV16</f>
        <v>ISO</v>
      </c>
      <c r="AW17" s="59" t="str">
        <f t="shared" ref="AW17:CB17" si="10">AW16</f>
        <v>-</v>
      </c>
      <c r="AX17" s="54" t="str">
        <f t="shared" si="10"/>
        <v>-</v>
      </c>
      <c r="AY17" s="54" t="str">
        <f t="shared" si="10"/>
        <v>-</v>
      </c>
      <c r="AZ17" s="54" t="str">
        <f t="shared" si="10"/>
        <v>-</v>
      </c>
      <c r="BA17" s="54">
        <f t="shared" si="10"/>
        <v>200</v>
      </c>
      <c r="BB17" s="54" t="str">
        <f t="shared" si="10"/>
        <v>-</v>
      </c>
      <c r="BC17" s="54">
        <f t="shared" si="10"/>
        <v>180</v>
      </c>
      <c r="BD17" s="54" t="str">
        <f t="shared" si="10"/>
        <v>-</v>
      </c>
      <c r="BE17" s="54">
        <f t="shared" si="10"/>
        <v>165</v>
      </c>
      <c r="BF17" s="54" t="str">
        <f t="shared" si="10"/>
        <v>-</v>
      </c>
      <c r="BG17" s="54">
        <f t="shared" si="10"/>
        <v>153</v>
      </c>
      <c r="BH17" s="54" t="str">
        <f t="shared" si="10"/>
        <v>-</v>
      </c>
      <c r="BI17" s="54">
        <f t="shared" si="10"/>
        <v>145</v>
      </c>
      <c r="BJ17" s="54" t="str">
        <f t="shared" si="10"/>
        <v>-</v>
      </c>
      <c r="BK17" s="54">
        <f t="shared" si="10"/>
        <v>139</v>
      </c>
      <c r="BL17" s="54" t="str">
        <f t="shared" si="10"/>
        <v>-</v>
      </c>
      <c r="BM17" s="54">
        <f t="shared" si="10"/>
        <v>135</v>
      </c>
      <c r="BN17" s="54" t="str">
        <f t="shared" si="10"/>
        <v>-</v>
      </c>
      <c r="BO17" s="54">
        <f t="shared" si="10"/>
        <v>130</v>
      </c>
      <c r="BP17" s="54" t="str">
        <f t="shared" si="10"/>
        <v>-</v>
      </c>
      <c r="BQ17" s="54">
        <f t="shared" si="10"/>
        <v>128</v>
      </c>
      <c r="BR17" s="54" t="str">
        <f t="shared" si="10"/>
        <v>-</v>
      </c>
      <c r="BS17" s="54">
        <f t="shared" si="10"/>
        <v>127</v>
      </c>
      <c r="BT17" s="54" t="str">
        <f t="shared" si="10"/>
        <v>-</v>
      </c>
      <c r="BU17" s="54" t="str">
        <f t="shared" si="10"/>
        <v>-</v>
      </c>
      <c r="BV17" s="54" t="str">
        <f t="shared" si="10"/>
        <v>-</v>
      </c>
      <c r="BW17" s="54" t="str">
        <f t="shared" si="10"/>
        <v>-</v>
      </c>
      <c r="BX17" s="54" t="str">
        <f t="shared" si="10"/>
        <v>-</v>
      </c>
      <c r="BY17" s="54" t="str">
        <f t="shared" si="10"/>
        <v>-</v>
      </c>
      <c r="BZ17" s="54" t="str">
        <f t="shared" si="10"/>
        <v>-</v>
      </c>
      <c r="CA17" s="54" t="str">
        <f t="shared" si="10"/>
        <v>-</v>
      </c>
      <c r="CB17" s="54" t="str">
        <f t="shared" si="10"/>
        <v>-</v>
      </c>
      <c r="CC17" s="54" t="str">
        <f t="shared" ref="CC17:DG17" si="11">CC16</f>
        <v>-</v>
      </c>
      <c r="CD17" s="54" t="str">
        <f t="shared" si="11"/>
        <v>-</v>
      </c>
      <c r="CE17" s="54" t="str">
        <f t="shared" si="11"/>
        <v>-</v>
      </c>
      <c r="CF17" s="54" t="str">
        <f t="shared" si="11"/>
        <v>-</v>
      </c>
      <c r="CG17" s="139" t="str">
        <f t="shared" si="11"/>
        <v>-</v>
      </c>
      <c r="CH17" s="59" t="str">
        <f t="shared" si="11"/>
        <v>-</v>
      </c>
      <c r="CI17" s="54" t="str">
        <f t="shared" si="11"/>
        <v>-</v>
      </c>
      <c r="CJ17" s="54" t="str">
        <f t="shared" si="11"/>
        <v>-</v>
      </c>
      <c r="CK17" s="54" t="str">
        <f t="shared" si="11"/>
        <v>-</v>
      </c>
      <c r="CL17" s="54">
        <f t="shared" si="11"/>
        <v>165</v>
      </c>
      <c r="CM17" s="54" t="str">
        <f t="shared" si="11"/>
        <v>-</v>
      </c>
      <c r="CN17" s="54">
        <f t="shared" si="11"/>
        <v>150</v>
      </c>
      <c r="CO17" s="54" t="str">
        <f t="shared" si="11"/>
        <v>-</v>
      </c>
      <c r="CP17" s="54">
        <f t="shared" si="11"/>
        <v>137</v>
      </c>
      <c r="CQ17" s="54" t="str">
        <f t="shared" si="11"/>
        <v>-</v>
      </c>
      <c r="CR17" s="54">
        <f t="shared" si="11"/>
        <v>127</v>
      </c>
      <c r="CS17" s="54" t="str">
        <f t="shared" si="11"/>
        <v>-</v>
      </c>
      <c r="CT17" s="54">
        <f t="shared" si="11"/>
        <v>119</v>
      </c>
      <c r="CU17" s="54" t="str">
        <f t="shared" si="11"/>
        <v>-</v>
      </c>
      <c r="CV17" s="54">
        <f t="shared" si="11"/>
        <v>113</v>
      </c>
      <c r="CW17" s="54" t="str">
        <f t="shared" si="11"/>
        <v>-</v>
      </c>
      <c r="CX17" s="54">
        <f t="shared" si="11"/>
        <v>108</v>
      </c>
      <c r="CY17" s="54" t="str">
        <f t="shared" si="11"/>
        <v>-</v>
      </c>
      <c r="CZ17" s="54">
        <f t="shared" si="11"/>
        <v>108</v>
      </c>
      <c r="DA17" s="54" t="str">
        <f t="shared" si="11"/>
        <v>-</v>
      </c>
      <c r="DB17" s="54">
        <f t="shared" si="11"/>
        <v>100</v>
      </c>
      <c r="DC17" s="54" t="str">
        <f t="shared" si="11"/>
        <v>-</v>
      </c>
      <c r="DD17" s="54">
        <f t="shared" si="11"/>
        <v>98</v>
      </c>
      <c r="DE17" s="54" t="str">
        <f t="shared" si="11"/>
        <v>-</v>
      </c>
      <c r="DF17" s="54" t="str">
        <f t="shared" si="11"/>
        <v>-</v>
      </c>
      <c r="DG17" s="54" t="str">
        <f t="shared" si="11"/>
        <v>-</v>
      </c>
      <c r="DH17" s="54" t="str">
        <f>DH16</f>
        <v>-</v>
      </c>
      <c r="DI17" s="54" t="str">
        <f t="shared" si="9"/>
        <v>-</v>
      </c>
      <c r="DJ17" s="54" t="str">
        <f t="shared" si="9"/>
        <v>-</v>
      </c>
      <c r="DK17" s="54" t="str">
        <f t="shared" si="9"/>
        <v>-</v>
      </c>
      <c r="DL17" s="54" t="str">
        <f t="shared" si="9"/>
        <v>-</v>
      </c>
      <c r="DM17" s="54" t="str">
        <f t="shared" si="9"/>
        <v>-</v>
      </c>
      <c r="DN17" s="54" t="str">
        <f t="shared" si="9"/>
        <v>-</v>
      </c>
      <c r="DO17" s="54" t="str">
        <f t="shared" si="9"/>
        <v>-</v>
      </c>
      <c r="DP17" s="54" t="str">
        <f t="shared" si="9"/>
        <v>-</v>
      </c>
      <c r="DQ17" s="54" t="str">
        <f t="shared" si="9"/>
        <v>-</v>
      </c>
      <c r="DR17" s="64" t="str">
        <f t="shared" si="9"/>
        <v>-</v>
      </c>
    </row>
    <row r="18" spans="1:122">
      <c r="A18" s="84" t="s">
        <v>43</v>
      </c>
      <c r="B18" s="84"/>
      <c r="C18" s="53" t="s">
        <v>44</v>
      </c>
      <c r="D18" s="53" t="s">
        <v>16</v>
      </c>
      <c r="E18" s="53" t="s">
        <v>16</v>
      </c>
      <c r="F18" s="53" t="s">
        <v>16</v>
      </c>
      <c r="G18" s="82" t="s">
        <v>45</v>
      </c>
      <c r="H18" s="72">
        <v>400</v>
      </c>
      <c r="I18" s="48">
        <v>320</v>
      </c>
      <c r="J18" s="53" t="s">
        <v>16</v>
      </c>
      <c r="K18" s="59" t="s">
        <v>16</v>
      </c>
      <c r="L18" s="54" t="s">
        <v>16</v>
      </c>
      <c r="M18" s="54" t="s">
        <v>16</v>
      </c>
      <c r="N18" s="54" t="s">
        <v>16</v>
      </c>
      <c r="O18" s="54" t="s">
        <v>16</v>
      </c>
      <c r="P18" s="54" t="s">
        <v>16</v>
      </c>
      <c r="Q18" s="54" t="s">
        <v>16</v>
      </c>
      <c r="R18" s="54" t="s">
        <v>16</v>
      </c>
      <c r="S18" s="54" t="s">
        <v>16</v>
      </c>
      <c r="T18" s="54" t="s">
        <v>16</v>
      </c>
      <c r="U18" s="54" t="s">
        <v>16</v>
      </c>
      <c r="V18" s="54" t="s">
        <v>16</v>
      </c>
      <c r="W18" s="54" t="s">
        <v>16</v>
      </c>
      <c r="X18" s="54" t="s">
        <v>16</v>
      </c>
      <c r="Y18" s="54" t="s">
        <v>16</v>
      </c>
      <c r="Z18" s="54" t="s">
        <v>16</v>
      </c>
      <c r="AA18" s="54" t="s">
        <v>16</v>
      </c>
      <c r="AB18" s="54" t="s">
        <v>16</v>
      </c>
      <c r="AC18" s="54" t="s">
        <v>16</v>
      </c>
      <c r="AD18" s="54" t="s">
        <v>16</v>
      </c>
      <c r="AE18" s="54" t="s">
        <v>16</v>
      </c>
      <c r="AF18" s="54" t="s">
        <v>16</v>
      </c>
      <c r="AG18" s="54" t="s">
        <v>16</v>
      </c>
      <c r="AH18" s="54" t="s">
        <v>16</v>
      </c>
      <c r="AI18" s="54" t="s">
        <v>16</v>
      </c>
      <c r="AJ18" s="54" t="s">
        <v>16</v>
      </c>
      <c r="AK18" s="54" t="s">
        <v>16</v>
      </c>
      <c r="AL18" s="54" t="s">
        <v>16</v>
      </c>
      <c r="AM18" s="54" t="s">
        <v>16</v>
      </c>
      <c r="AN18" s="54" t="s">
        <v>16</v>
      </c>
      <c r="AO18" s="54" t="s">
        <v>16</v>
      </c>
      <c r="AP18" s="54" t="s">
        <v>16</v>
      </c>
      <c r="AQ18" s="54" t="s">
        <v>16</v>
      </c>
      <c r="AR18" s="54" t="s">
        <v>16</v>
      </c>
      <c r="AS18" s="54" t="s">
        <v>16</v>
      </c>
      <c r="AT18" s="54" t="s">
        <v>16</v>
      </c>
      <c r="AU18" s="64" t="s">
        <v>16</v>
      </c>
      <c r="AV18" s="48" t="s">
        <v>16</v>
      </c>
      <c r="AW18" s="59" t="s">
        <v>16</v>
      </c>
      <c r="AX18" s="54" t="s">
        <v>16</v>
      </c>
      <c r="AY18" s="54" t="s">
        <v>16</v>
      </c>
      <c r="AZ18" s="54" t="s">
        <v>16</v>
      </c>
      <c r="BA18" s="54" t="s">
        <v>16</v>
      </c>
      <c r="BB18" s="54" t="s">
        <v>16</v>
      </c>
      <c r="BC18" s="54" t="s">
        <v>16</v>
      </c>
      <c r="BD18" s="54" t="s">
        <v>16</v>
      </c>
      <c r="BE18" s="54" t="s">
        <v>16</v>
      </c>
      <c r="BF18" s="54" t="s">
        <v>16</v>
      </c>
      <c r="BG18" s="54" t="s">
        <v>16</v>
      </c>
      <c r="BH18" s="54" t="s">
        <v>16</v>
      </c>
      <c r="BI18" s="54" t="s">
        <v>16</v>
      </c>
      <c r="BJ18" s="54" t="s">
        <v>16</v>
      </c>
      <c r="BK18" s="54" t="s">
        <v>16</v>
      </c>
      <c r="BL18" s="54" t="s">
        <v>16</v>
      </c>
      <c r="BM18" s="54" t="s">
        <v>16</v>
      </c>
      <c r="BN18" s="54" t="s">
        <v>16</v>
      </c>
      <c r="BO18" s="54" t="s">
        <v>16</v>
      </c>
      <c r="BP18" s="54" t="s">
        <v>16</v>
      </c>
      <c r="BQ18" s="54" t="s">
        <v>16</v>
      </c>
      <c r="BR18" s="54" t="s">
        <v>16</v>
      </c>
      <c r="BS18" s="54" t="s">
        <v>16</v>
      </c>
      <c r="BT18" s="54" t="s">
        <v>16</v>
      </c>
      <c r="BU18" s="54" t="s">
        <v>16</v>
      </c>
      <c r="BV18" s="54" t="s">
        <v>16</v>
      </c>
      <c r="BW18" s="54" t="s">
        <v>16</v>
      </c>
      <c r="BX18" s="54" t="s">
        <v>16</v>
      </c>
      <c r="BY18" s="54" t="s">
        <v>16</v>
      </c>
      <c r="BZ18" s="54" t="s">
        <v>16</v>
      </c>
      <c r="CA18" s="54" t="s">
        <v>16</v>
      </c>
      <c r="CB18" s="54" t="s">
        <v>16</v>
      </c>
      <c r="CC18" s="54" t="s">
        <v>16</v>
      </c>
      <c r="CD18" s="54" t="s">
        <v>16</v>
      </c>
      <c r="CE18" s="54" t="s">
        <v>16</v>
      </c>
      <c r="CF18" s="54" t="s">
        <v>16</v>
      </c>
      <c r="CG18" s="139" t="s">
        <v>16</v>
      </c>
      <c r="CH18" s="59" t="s">
        <v>16</v>
      </c>
      <c r="CI18" s="54" t="s">
        <v>16</v>
      </c>
      <c r="CJ18" s="54" t="s">
        <v>16</v>
      </c>
      <c r="CK18" s="54" t="s">
        <v>16</v>
      </c>
      <c r="CL18" s="54" t="s">
        <v>16</v>
      </c>
      <c r="CM18" s="54" t="s">
        <v>16</v>
      </c>
      <c r="CN18" s="54" t="s">
        <v>16</v>
      </c>
      <c r="CO18" s="54" t="s">
        <v>16</v>
      </c>
      <c r="CP18" s="54" t="s">
        <v>16</v>
      </c>
      <c r="CQ18" s="54" t="s">
        <v>16</v>
      </c>
      <c r="CR18" s="54" t="s">
        <v>16</v>
      </c>
      <c r="CS18" s="54" t="s">
        <v>16</v>
      </c>
      <c r="CT18" s="54" t="s">
        <v>16</v>
      </c>
      <c r="CU18" s="54" t="s">
        <v>16</v>
      </c>
      <c r="CV18" s="54" t="s">
        <v>16</v>
      </c>
      <c r="CW18" s="54" t="s">
        <v>16</v>
      </c>
      <c r="CX18" s="54" t="s">
        <v>16</v>
      </c>
      <c r="CY18" s="54" t="s">
        <v>16</v>
      </c>
      <c r="CZ18" s="54" t="s">
        <v>16</v>
      </c>
      <c r="DA18" s="54" t="s">
        <v>16</v>
      </c>
      <c r="DB18" s="54" t="s">
        <v>16</v>
      </c>
      <c r="DC18" s="54" t="s">
        <v>16</v>
      </c>
      <c r="DD18" s="54" t="s">
        <v>16</v>
      </c>
      <c r="DE18" s="54" t="s">
        <v>16</v>
      </c>
      <c r="DF18" s="54" t="s">
        <v>16</v>
      </c>
      <c r="DG18" s="54" t="s">
        <v>16</v>
      </c>
      <c r="DH18" s="54" t="s">
        <v>16</v>
      </c>
      <c r="DI18" s="54" t="s">
        <v>16</v>
      </c>
      <c r="DJ18" s="54" t="s">
        <v>16</v>
      </c>
      <c r="DK18" s="54" t="s">
        <v>16</v>
      </c>
      <c r="DL18" s="54" t="s">
        <v>16</v>
      </c>
      <c r="DM18" s="54" t="s">
        <v>16</v>
      </c>
      <c r="DN18" s="54" t="s">
        <v>16</v>
      </c>
      <c r="DO18" s="54" t="s">
        <v>16</v>
      </c>
      <c r="DP18" s="54" t="s">
        <v>16</v>
      </c>
      <c r="DQ18" s="54" t="s">
        <v>16</v>
      </c>
      <c r="DR18" s="64" t="s">
        <v>16</v>
      </c>
    </row>
    <row r="19" spans="1:122">
      <c r="A19" s="53" t="s">
        <v>46</v>
      </c>
      <c r="B19" s="53"/>
      <c r="C19" s="53" t="s">
        <v>47</v>
      </c>
      <c r="D19" s="53" t="s">
        <v>16</v>
      </c>
      <c r="E19" s="53" t="s">
        <v>16</v>
      </c>
      <c r="F19" s="53" t="s">
        <v>48</v>
      </c>
      <c r="G19" s="53" t="s">
        <v>17</v>
      </c>
      <c r="H19" s="72">
        <v>850</v>
      </c>
      <c r="I19" s="48">
        <v>640</v>
      </c>
      <c r="J19" s="82" t="s">
        <v>49</v>
      </c>
      <c r="K19" s="59">
        <v>126</v>
      </c>
      <c r="L19" s="54" t="s">
        <v>16</v>
      </c>
      <c r="M19" s="54" t="s">
        <v>16</v>
      </c>
      <c r="N19" s="54" t="s">
        <v>16</v>
      </c>
      <c r="O19" s="54">
        <v>117</v>
      </c>
      <c r="P19" s="54" t="s">
        <v>16</v>
      </c>
      <c r="Q19" s="54">
        <v>111</v>
      </c>
      <c r="R19" s="54" t="s">
        <v>16</v>
      </c>
      <c r="S19" s="54">
        <v>106</v>
      </c>
      <c r="T19" s="54" t="s">
        <v>16</v>
      </c>
      <c r="U19" s="54">
        <v>103</v>
      </c>
      <c r="V19" s="54" t="s">
        <v>16</v>
      </c>
      <c r="W19" s="54">
        <v>100</v>
      </c>
      <c r="X19" s="54" t="s">
        <v>16</v>
      </c>
      <c r="Y19" s="54">
        <v>97</v>
      </c>
      <c r="Z19" s="54" t="s">
        <v>16</v>
      </c>
      <c r="AA19" s="54">
        <v>91</v>
      </c>
      <c r="AB19" s="54" t="s">
        <v>16</v>
      </c>
      <c r="AC19" s="54" t="s">
        <v>16</v>
      </c>
      <c r="AD19" s="54" t="s">
        <v>16</v>
      </c>
      <c r="AE19" s="54" t="s">
        <v>16</v>
      </c>
      <c r="AF19" s="54" t="s">
        <v>16</v>
      </c>
      <c r="AG19" s="54" t="s">
        <v>16</v>
      </c>
      <c r="AH19" s="54" t="s">
        <v>16</v>
      </c>
      <c r="AI19" s="54" t="s">
        <v>16</v>
      </c>
      <c r="AJ19" s="54" t="s">
        <v>16</v>
      </c>
      <c r="AK19" s="54" t="s">
        <v>16</v>
      </c>
      <c r="AL19" s="54" t="s">
        <v>16</v>
      </c>
      <c r="AM19" s="54" t="s">
        <v>16</v>
      </c>
      <c r="AN19" s="54" t="s">
        <v>16</v>
      </c>
      <c r="AO19" s="54" t="s">
        <v>16</v>
      </c>
      <c r="AP19" s="54" t="s">
        <v>16</v>
      </c>
      <c r="AQ19" s="54" t="s">
        <v>16</v>
      </c>
      <c r="AR19" s="54" t="s">
        <v>16</v>
      </c>
      <c r="AS19" s="54" t="s">
        <v>16</v>
      </c>
      <c r="AT19" s="54" t="s">
        <v>16</v>
      </c>
      <c r="AU19" s="64" t="s">
        <v>16</v>
      </c>
      <c r="AV19" s="141" t="s">
        <v>17</v>
      </c>
      <c r="AW19" s="59">
        <v>655</v>
      </c>
      <c r="AX19" s="54">
        <v>655</v>
      </c>
      <c r="AY19" s="54">
        <v>655</v>
      </c>
      <c r="AZ19" s="54">
        <v>655</v>
      </c>
      <c r="BA19" s="54">
        <v>655</v>
      </c>
      <c r="BB19" s="54">
        <v>655</v>
      </c>
      <c r="BC19" s="54">
        <v>655</v>
      </c>
      <c r="BD19" s="54">
        <v>655</v>
      </c>
      <c r="BE19" s="54">
        <v>655</v>
      </c>
      <c r="BF19" s="54" t="s">
        <v>16</v>
      </c>
      <c r="BG19" s="54" t="s">
        <v>16</v>
      </c>
      <c r="BH19" s="54" t="s">
        <v>16</v>
      </c>
      <c r="BI19" s="54" t="s">
        <v>16</v>
      </c>
      <c r="BJ19" s="54" t="s">
        <v>16</v>
      </c>
      <c r="BK19" s="54" t="s">
        <v>16</v>
      </c>
      <c r="BL19" s="54" t="s">
        <v>16</v>
      </c>
      <c r="BM19" s="54" t="s">
        <v>16</v>
      </c>
      <c r="BN19" s="54" t="s">
        <v>16</v>
      </c>
      <c r="BO19" s="54" t="s">
        <v>16</v>
      </c>
      <c r="BP19" s="54" t="s">
        <v>16</v>
      </c>
      <c r="BQ19" s="54" t="s">
        <v>16</v>
      </c>
      <c r="BR19" s="54" t="s">
        <v>16</v>
      </c>
      <c r="BS19" s="54" t="s">
        <v>16</v>
      </c>
      <c r="BT19" s="54" t="s">
        <v>16</v>
      </c>
      <c r="BU19" s="54" t="s">
        <v>16</v>
      </c>
      <c r="BV19" s="54" t="s">
        <v>16</v>
      </c>
      <c r="BW19" s="54" t="s">
        <v>16</v>
      </c>
      <c r="BX19" s="54" t="s">
        <v>16</v>
      </c>
      <c r="BY19" s="54" t="s">
        <v>16</v>
      </c>
      <c r="BZ19" s="54" t="s">
        <v>16</v>
      </c>
      <c r="CA19" s="54" t="s">
        <v>16</v>
      </c>
      <c r="CB19" s="54" t="s">
        <v>16</v>
      </c>
      <c r="CC19" s="54" t="s">
        <v>16</v>
      </c>
      <c r="CD19" s="54" t="s">
        <v>16</v>
      </c>
      <c r="CE19" s="54" t="s">
        <v>16</v>
      </c>
      <c r="CF19" s="54" t="s">
        <v>16</v>
      </c>
      <c r="CG19" s="139" t="s">
        <v>16</v>
      </c>
      <c r="CH19" s="59">
        <v>448</v>
      </c>
      <c r="CI19" s="54">
        <v>447</v>
      </c>
      <c r="CJ19" s="54">
        <v>441</v>
      </c>
      <c r="CK19" s="54">
        <v>426</v>
      </c>
      <c r="CL19" s="54">
        <v>412</v>
      </c>
      <c r="CM19" s="54">
        <v>404</v>
      </c>
      <c r="CN19" s="54">
        <v>396</v>
      </c>
      <c r="CO19" s="54">
        <v>392</v>
      </c>
      <c r="CP19" s="54">
        <v>388</v>
      </c>
      <c r="CQ19" s="54">
        <v>384</v>
      </c>
      <c r="CR19" s="54">
        <v>383</v>
      </c>
      <c r="CS19" s="54">
        <v>380</v>
      </c>
      <c r="CT19" s="54">
        <v>377</v>
      </c>
      <c r="CU19" s="54">
        <v>374</v>
      </c>
      <c r="CV19" s="54" t="s">
        <v>16</v>
      </c>
      <c r="CW19" s="54" t="s">
        <v>16</v>
      </c>
      <c r="CX19" s="54" t="s">
        <v>16</v>
      </c>
      <c r="CY19" s="54" t="s">
        <v>16</v>
      </c>
      <c r="CZ19" s="54" t="s">
        <v>16</v>
      </c>
      <c r="DA19" s="54" t="s">
        <v>16</v>
      </c>
      <c r="DB19" s="54" t="s">
        <v>16</v>
      </c>
      <c r="DC19" s="54" t="s">
        <v>16</v>
      </c>
      <c r="DD19" s="54" t="s">
        <v>16</v>
      </c>
      <c r="DE19" s="54" t="s">
        <v>16</v>
      </c>
      <c r="DF19" s="54" t="s">
        <v>16</v>
      </c>
      <c r="DG19" s="54" t="s">
        <v>16</v>
      </c>
      <c r="DH19" s="54" t="s">
        <v>16</v>
      </c>
      <c r="DI19" s="54" t="s">
        <v>16</v>
      </c>
      <c r="DJ19" s="54" t="s">
        <v>16</v>
      </c>
      <c r="DK19" s="54" t="s">
        <v>16</v>
      </c>
      <c r="DL19" s="54" t="s">
        <v>16</v>
      </c>
      <c r="DM19" s="54" t="s">
        <v>16</v>
      </c>
      <c r="DN19" s="54" t="s">
        <v>16</v>
      </c>
      <c r="DO19" s="54" t="s">
        <v>16</v>
      </c>
      <c r="DP19" s="54" t="s">
        <v>16</v>
      </c>
      <c r="DQ19" s="54" t="s">
        <v>16</v>
      </c>
      <c r="DR19" s="64" t="s">
        <v>16</v>
      </c>
    </row>
    <row r="20" spans="1:122">
      <c r="A20" s="53" t="s">
        <v>50</v>
      </c>
      <c r="B20" s="53"/>
      <c r="C20" s="53" t="s">
        <v>47</v>
      </c>
      <c r="D20" s="53" t="s">
        <v>16</v>
      </c>
      <c r="E20" s="53" t="s">
        <v>16</v>
      </c>
      <c r="F20" s="53" t="s">
        <v>51</v>
      </c>
      <c r="G20" s="53" t="s">
        <v>17</v>
      </c>
      <c r="H20" s="72">
        <v>850</v>
      </c>
      <c r="I20" s="48">
        <v>640</v>
      </c>
      <c r="J20" s="82" t="s">
        <v>52</v>
      </c>
      <c r="K20" s="59">
        <v>195</v>
      </c>
      <c r="L20" s="54" t="s">
        <v>16</v>
      </c>
      <c r="M20" s="54" t="s">
        <v>16</v>
      </c>
      <c r="N20" s="54" t="s">
        <v>16</v>
      </c>
      <c r="O20" s="54">
        <v>182</v>
      </c>
      <c r="P20" s="54" t="s">
        <v>16</v>
      </c>
      <c r="Q20" s="54" t="s">
        <v>16</v>
      </c>
      <c r="R20" s="54" t="s">
        <v>16</v>
      </c>
      <c r="S20" s="54">
        <v>165</v>
      </c>
      <c r="T20" s="54" t="s">
        <v>16</v>
      </c>
      <c r="U20" s="54">
        <v>158</v>
      </c>
      <c r="V20" s="54" t="s">
        <v>16</v>
      </c>
      <c r="W20" s="54">
        <v>150</v>
      </c>
      <c r="X20" s="54" t="s">
        <v>16</v>
      </c>
      <c r="Y20" s="54">
        <v>147</v>
      </c>
      <c r="Z20" s="54">
        <v>146</v>
      </c>
      <c r="AA20" s="54">
        <v>145</v>
      </c>
      <c r="AB20" s="54">
        <v>143</v>
      </c>
      <c r="AC20" s="54">
        <v>142</v>
      </c>
      <c r="AD20" s="54">
        <v>140</v>
      </c>
      <c r="AE20" s="54" t="s">
        <v>16</v>
      </c>
      <c r="AF20" s="54" t="s">
        <v>16</v>
      </c>
      <c r="AG20" s="54" t="s">
        <v>16</v>
      </c>
      <c r="AH20" s="54" t="s">
        <v>16</v>
      </c>
      <c r="AI20" s="54" t="s">
        <v>16</v>
      </c>
      <c r="AJ20" s="54" t="s">
        <v>16</v>
      </c>
      <c r="AK20" s="54" t="s">
        <v>16</v>
      </c>
      <c r="AL20" s="54" t="s">
        <v>16</v>
      </c>
      <c r="AM20" s="54" t="s">
        <v>16</v>
      </c>
      <c r="AN20" s="54" t="s">
        <v>16</v>
      </c>
      <c r="AO20" s="54" t="s">
        <v>16</v>
      </c>
      <c r="AP20" s="54" t="s">
        <v>16</v>
      </c>
      <c r="AQ20" s="54" t="s">
        <v>16</v>
      </c>
      <c r="AR20" s="54" t="s">
        <v>16</v>
      </c>
      <c r="AS20" s="54" t="s">
        <v>16</v>
      </c>
      <c r="AT20" s="54" t="s">
        <v>16</v>
      </c>
      <c r="AU20" s="64" t="s">
        <v>16</v>
      </c>
      <c r="AV20" s="141" t="str">
        <f>AV19</f>
        <v>ASTM</v>
      </c>
      <c r="AW20" s="59">
        <f t="shared" ref="AW20:DH21" si="12">AW19</f>
        <v>655</v>
      </c>
      <c r="AX20" s="54">
        <f t="shared" si="12"/>
        <v>655</v>
      </c>
      <c r="AY20" s="54">
        <f t="shared" si="12"/>
        <v>655</v>
      </c>
      <c r="AZ20" s="54">
        <f t="shared" si="12"/>
        <v>655</v>
      </c>
      <c r="BA20" s="54">
        <f t="shared" si="12"/>
        <v>655</v>
      </c>
      <c r="BB20" s="54">
        <f t="shared" si="12"/>
        <v>655</v>
      </c>
      <c r="BC20" s="54">
        <f t="shared" si="12"/>
        <v>655</v>
      </c>
      <c r="BD20" s="54">
        <f t="shared" si="12"/>
        <v>655</v>
      </c>
      <c r="BE20" s="54">
        <f t="shared" si="12"/>
        <v>655</v>
      </c>
      <c r="BF20" s="54" t="str">
        <f t="shared" si="12"/>
        <v>-</v>
      </c>
      <c r="BG20" s="54" t="str">
        <f t="shared" si="12"/>
        <v>-</v>
      </c>
      <c r="BH20" s="54" t="str">
        <f t="shared" si="12"/>
        <v>-</v>
      </c>
      <c r="BI20" s="54" t="str">
        <f t="shared" si="12"/>
        <v>-</v>
      </c>
      <c r="BJ20" s="54" t="str">
        <f t="shared" si="12"/>
        <v>-</v>
      </c>
      <c r="BK20" s="54" t="str">
        <f t="shared" si="12"/>
        <v>-</v>
      </c>
      <c r="BL20" s="54" t="str">
        <f t="shared" si="12"/>
        <v>-</v>
      </c>
      <c r="BM20" s="54" t="str">
        <f t="shared" si="12"/>
        <v>-</v>
      </c>
      <c r="BN20" s="54" t="str">
        <f t="shared" si="12"/>
        <v>-</v>
      </c>
      <c r="BO20" s="54" t="str">
        <f t="shared" si="12"/>
        <v>-</v>
      </c>
      <c r="BP20" s="54" t="str">
        <f t="shared" si="12"/>
        <v>-</v>
      </c>
      <c r="BQ20" s="54" t="str">
        <f t="shared" si="12"/>
        <v>-</v>
      </c>
      <c r="BR20" s="54" t="str">
        <f t="shared" si="12"/>
        <v>-</v>
      </c>
      <c r="BS20" s="54" t="str">
        <f t="shared" si="12"/>
        <v>-</v>
      </c>
      <c r="BT20" s="54" t="str">
        <f t="shared" si="12"/>
        <v>-</v>
      </c>
      <c r="BU20" s="54" t="str">
        <f t="shared" si="12"/>
        <v>-</v>
      </c>
      <c r="BV20" s="54" t="str">
        <f t="shared" si="12"/>
        <v>-</v>
      </c>
      <c r="BW20" s="54" t="str">
        <f t="shared" si="12"/>
        <v>-</v>
      </c>
      <c r="BX20" s="54" t="str">
        <f t="shared" si="12"/>
        <v>-</v>
      </c>
      <c r="BY20" s="54" t="str">
        <f t="shared" si="12"/>
        <v>-</v>
      </c>
      <c r="BZ20" s="54" t="str">
        <f t="shared" si="12"/>
        <v>-</v>
      </c>
      <c r="CA20" s="54" t="str">
        <f t="shared" si="12"/>
        <v>-</v>
      </c>
      <c r="CB20" s="54" t="str">
        <f t="shared" si="12"/>
        <v>-</v>
      </c>
      <c r="CC20" s="54" t="str">
        <f t="shared" si="12"/>
        <v>-</v>
      </c>
      <c r="CD20" s="54" t="str">
        <f t="shared" si="12"/>
        <v>-</v>
      </c>
      <c r="CE20" s="54" t="str">
        <f t="shared" si="12"/>
        <v>-</v>
      </c>
      <c r="CF20" s="54" t="str">
        <f t="shared" si="12"/>
        <v>-</v>
      </c>
      <c r="CG20" s="139" t="str">
        <f t="shared" si="12"/>
        <v>-</v>
      </c>
      <c r="CH20" s="59">
        <f t="shared" si="12"/>
        <v>448</v>
      </c>
      <c r="CI20" s="54">
        <f t="shared" si="12"/>
        <v>447</v>
      </c>
      <c r="CJ20" s="54">
        <f t="shared" si="12"/>
        <v>441</v>
      </c>
      <c r="CK20" s="54">
        <f t="shared" si="12"/>
        <v>426</v>
      </c>
      <c r="CL20" s="54">
        <f t="shared" si="12"/>
        <v>412</v>
      </c>
      <c r="CM20" s="54">
        <f t="shared" si="12"/>
        <v>404</v>
      </c>
      <c r="CN20" s="54">
        <f t="shared" si="12"/>
        <v>396</v>
      </c>
      <c r="CO20" s="54">
        <f t="shared" si="12"/>
        <v>392</v>
      </c>
      <c r="CP20" s="54">
        <f t="shared" si="12"/>
        <v>388</v>
      </c>
      <c r="CQ20" s="54">
        <f t="shared" si="12"/>
        <v>384</v>
      </c>
      <c r="CR20" s="54">
        <f t="shared" si="12"/>
        <v>383</v>
      </c>
      <c r="CS20" s="54">
        <f t="shared" si="12"/>
        <v>380</v>
      </c>
      <c r="CT20" s="54">
        <f t="shared" si="12"/>
        <v>377</v>
      </c>
      <c r="CU20" s="54">
        <f t="shared" si="12"/>
        <v>374</v>
      </c>
      <c r="CV20" s="54" t="str">
        <f t="shared" si="12"/>
        <v>-</v>
      </c>
      <c r="CW20" s="54" t="str">
        <f t="shared" si="12"/>
        <v>-</v>
      </c>
      <c r="CX20" s="54" t="str">
        <f t="shared" si="12"/>
        <v>-</v>
      </c>
      <c r="CY20" s="54" t="str">
        <f t="shared" si="12"/>
        <v>-</v>
      </c>
      <c r="CZ20" s="54" t="str">
        <f t="shared" si="12"/>
        <v>-</v>
      </c>
      <c r="DA20" s="54" t="str">
        <f t="shared" si="12"/>
        <v>-</v>
      </c>
      <c r="DB20" s="54" t="str">
        <f t="shared" si="12"/>
        <v>-</v>
      </c>
      <c r="DC20" s="54" t="str">
        <f t="shared" si="12"/>
        <v>-</v>
      </c>
      <c r="DD20" s="54" t="str">
        <f t="shared" si="12"/>
        <v>-</v>
      </c>
      <c r="DE20" s="54" t="str">
        <f t="shared" si="12"/>
        <v>-</v>
      </c>
      <c r="DF20" s="54" t="str">
        <f t="shared" si="12"/>
        <v>-</v>
      </c>
      <c r="DG20" s="54" t="str">
        <f t="shared" si="12"/>
        <v>-</v>
      </c>
      <c r="DH20" s="54" t="str">
        <f t="shared" si="12"/>
        <v>-</v>
      </c>
      <c r="DI20" s="54" t="str">
        <f t="shared" ref="DI20:DR21" si="13">DI19</f>
        <v>-</v>
      </c>
      <c r="DJ20" s="54" t="str">
        <f t="shared" si="13"/>
        <v>-</v>
      </c>
      <c r="DK20" s="54" t="str">
        <f t="shared" si="13"/>
        <v>-</v>
      </c>
      <c r="DL20" s="54" t="str">
        <f t="shared" si="13"/>
        <v>-</v>
      </c>
      <c r="DM20" s="54" t="str">
        <f t="shared" si="13"/>
        <v>-</v>
      </c>
      <c r="DN20" s="54" t="str">
        <f t="shared" si="13"/>
        <v>-</v>
      </c>
      <c r="DO20" s="54" t="str">
        <f t="shared" si="13"/>
        <v>-</v>
      </c>
      <c r="DP20" s="54" t="str">
        <f t="shared" si="13"/>
        <v>-</v>
      </c>
      <c r="DQ20" s="54" t="str">
        <f t="shared" si="13"/>
        <v>-</v>
      </c>
      <c r="DR20" s="64" t="str">
        <f t="shared" si="13"/>
        <v>-</v>
      </c>
    </row>
    <row r="21" spans="1:122">
      <c r="A21" s="53" t="s">
        <v>53</v>
      </c>
      <c r="B21" s="53"/>
      <c r="C21" s="53" t="str">
        <f>C20</f>
        <v>bar: forgings</v>
      </c>
      <c r="D21" s="53" t="str">
        <f>D20</f>
        <v>-</v>
      </c>
      <c r="E21" s="53" t="str">
        <f>E20</f>
        <v>-</v>
      </c>
      <c r="F21" s="53" t="s">
        <v>54</v>
      </c>
      <c r="G21" s="53" t="str">
        <f>G20</f>
        <v>ASTM</v>
      </c>
      <c r="H21" s="72">
        <f>H20</f>
        <v>850</v>
      </c>
      <c r="I21" s="48">
        <f t="shared" ref="I21:AU21" si="14">I20</f>
        <v>640</v>
      </c>
      <c r="J21" s="82" t="str">
        <f>J20</f>
        <v>GOST</v>
      </c>
      <c r="K21" s="59">
        <f>K20</f>
        <v>195</v>
      </c>
      <c r="L21" s="54" t="str">
        <f t="shared" si="14"/>
        <v>-</v>
      </c>
      <c r="M21" s="54" t="s">
        <v>16</v>
      </c>
      <c r="N21" s="54" t="str">
        <f t="shared" si="14"/>
        <v>-</v>
      </c>
      <c r="O21" s="54">
        <f t="shared" si="14"/>
        <v>182</v>
      </c>
      <c r="P21" s="54" t="str">
        <f t="shared" si="14"/>
        <v>-</v>
      </c>
      <c r="Q21" s="54" t="str">
        <f t="shared" si="14"/>
        <v>-</v>
      </c>
      <c r="R21" s="54" t="str">
        <f t="shared" si="14"/>
        <v>-</v>
      </c>
      <c r="S21" s="54">
        <f t="shared" si="14"/>
        <v>165</v>
      </c>
      <c r="T21" s="54" t="str">
        <f t="shared" si="14"/>
        <v>-</v>
      </c>
      <c r="U21" s="54">
        <f t="shared" si="14"/>
        <v>158</v>
      </c>
      <c r="V21" s="54" t="str">
        <f t="shared" si="14"/>
        <v>-</v>
      </c>
      <c r="W21" s="54">
        <f t="shared" si="14"/>
        <v>150</v>
      </c>
      <c r="X21" s="54" t="str">
        <f t="shared" si="14"/>
        <v>-</v>
      </c>
      <c r="Y21" s="54">
        <f t="shared" si="14"/>
        <v>147</v>
      </c>
      <c r="Z21" s="54">
        <f t="shared" si="14"/>
        <v>146</v>
      </c>
      <c r="AA21" s="54">
        <f t="shared" si="14"/>
        <v>145</v>
      </c>
      <c r="AB21" s="54">
        <f t="shared" si="14"/>
        <v>143</v>
      </c>
      <c r="AC21" s="54">
        <f t="shared" si="14"/>
        <v>142</v>
      </c>
      <c r="AD21" s="54">
        <f t="shared" si="14"/>
        <v>140</v>
      </c>
      <c r="AE21" s="54" t="str">
        <f t="shared" si="14"/>
        <v>-</v>
      </c>
      <c r="AF21" s="54" t="str">
        <f t="shared" si="14"/>
        <v>-</v>
      </c>
      <c r="AG21" s="54" t="str">
        <f t="shared" si="14"/>
        <v>-</v>
      </c>
      <c r="AH21" s="54" t="str">
        <f t="shared" si="14"/>
        <v>-</v>
      </c>
      <c r="AI21" s="54" t="str">
        <f t="shared" si="14"/>
        <v>-</v>
      </c>
      <c r="AJ21" s="54" t="str">
        <f t="shared" si="14"/>
        <v>-</v>
      </c>
      <c r="AK21" s="54" t="str">
        <f t="shared" si="14"/>
        <v>-</v>
      </c>
      <c r="AL21" s="54" t="str">
        <f t="shared" si="14"/>
        <v>-</v>
      </c>
      <c r="AM21" s="54" t="str">
        <f t="shared" si="14"/>
        <v>-</v>
      </c>
      <c r="AN21" s="54" t="str">
        <f t="shared" si="14"/>
        <v>-</v>
      </c>
      <c r="AO21" s="54" t="str">
        <f t="shared" si="14"/>
        <v>-</v>
      </c>
      <c r="AP21" s="54" t="str">
        <f t="shared" si="14"/>
        <v>-</v>
      </c>
      <c r="AQ21" s="54" t="str">
        <f t="shared" si="14"/>
        <v>-</v>
      </c>
      <c r="AR21" s="54" t="str">
        <f t="shared" si="14"/>
        <v>-</v>
      </c>
      <c r="AS21" s="54" t="str">
        <f t="shared" si="14"/>
        <v>-</v>
      </c>
      <c r="AT21" s="54" t="str">
        <f t="shared" si="14"/>
        <v>-</v>
      </c>
      <c r="AU21" s="64" t="str">
        <f t="shared" si="14"/>
        <v>-</v>
      </c>
      <c r="AV21" s="141" t="str">
        <f>AV20</f>
        <v>ASTM</v>
      </c>
      <c r="AW21" s="59">
        <f t="shared" si="12"/>
        <v>655</v>
      </c>
      <c r="AX21" s="54">
        <f t="shared" si="12"/>
        <v>655</v>
      </c>
      <c r="AY21" s="54">
        <f t="shared" si="12"/>
        <v>655</v>
      </c>
      <c r="AZ21" s="54">
        <f t="shared" si="12"/>
        <v>655</v>
      </c>
      <c r="BA21" s="54">
        <f t="shared" si="12"/>
        <v>655</v>
      </c>
      <c r="BB21" s="54">
        <f t="shared" si="12"/>
        <v>655</v>
      </c>
      <c r="BC21" s="54">
        <f t="shared" si="12"/>
        <v>655</v>
      </c>
      <c r="BD21" s="54">
        <f t="shared" si="12"/>
        <v>655</v>
      </c>
      <c r="BE21" s="54">
        <f t="shared" si="12"/>
        <v>655</v>
      </c>
      <c r="BF21" s="54" t="str">
        <f t="shared" si="12"/>
        <v>-</v>
      </c>
      <c r="BG21" s="54" t="str">
        <f t="shared" si="12"/>
        <v>-</v>
      </c>
      <c r="BH21" s="54" t="str">
        <f t="shared" si="12"/>
        <v>-</v>
      </c>
      <c r="BI21" s="54" t="str">
        <f t="shared" si="12"/>
        <v>-</v>
      </c>
      <c r="BJ21" s="54" t="str">
        <f t="shared" si="12"/>
        <v>-</v>
      </c>
      <c r="BK21" s="54" t="str">
        <f t="shared" si="12"/>
        <v>-</v>
      </c>
      <c r="BL21" s="54" t="str">
        <f t="shared" si="12"/>
        <v>-</v>
      </c>
      <c r="BM21" s="54" t="str">
        <f t="shared" si="12"/>
        <v>-</v>
      </c>
      <c r="BN21" s="54" t="str">
        <f t="shared" si="12"/>
        <v>-</v>
      </c>
      <c r="BO21" s="54" t="str">
        <f t="shared" si="12"/>
        <v>-</v>
      </c>
      <c r="BP21" s="54" t="str">
        <f t="shared" si="12"/>
        <v>-</v>
      </c>
      <c r="BQ21" s="54" t="str">
        <f t="shared" si="12"/>
        <v>-</v>
      </c>
      <c r="BR21" s="54" t="str">
        <f t="shared" si="12"/>
        <v>-</v>
      </c>
      <c r="BS21" s="54" t="str">
        <f t="shared" si="12"/>
        <v>-</v>
      </c>
      <c r="BT21" s="54" t="str">
        <f t="shared" si="12"/>
        <v>-</v>
      </c>
      <c r="BU21" s="54" t="str">
        <f t="shared" si="12"/>
        <v>-</v>
      </c>
      <c r="BV21" s="54" t="str">
        <f t="shared" si="12"/>
        <v>-</v>
      </c>
      <c r="BW21" s="54" t="str">
        <f t="shared" si="12"/>
        <v>-</v>
      </c>
      <c r="BX21" s="54" t="str">
        <f t="shared" si="12"/>
        <v>-</v>
      </c>
      <c r="BY21" s="54" t="str">
        <f t="shared" si="12"/>
        <v>-</v>
      </c>
      <c r="BZ21" s="54" t="str">
        <f t="shared" si="12"/>
        <v>-</v>
      </c>
      <c r="CA21" s="54" t="str">
        <f t="shared" si="12"/>
        <v>-</v>
      </c>
      <c r="CB21" s="54" t="str">
        <f t="shared" si="12"/>
        <v>-</v>
      </c>
      <c r="CC21" s="54" t="str">
        <f t="shared" si="12"/>
        <v>-</v>
      </c>
      <c r="CD21" s="54" t="str">
        <f t="shared" si="12"/>
        <v>-</v>
      </c>
      <c r="CE21" s="54" t="str">
        <f t="shared" si="12"/>
        <v>-</v>
      </c>
      <c r="CF21" s="54" t="str">
        <f t="shared" si="12"/>
        <v>-</v>
      </c>
      <c r="CG21" s="139" t="str">
        <f t="shared" si="12"/>
        <v>-</v>
      </c>
      <c r="CH21" s="59">
        <f t="shared" si="12"/>
        <v>448</v>
      </c>
      <c r="CI21" s="54">
        <f t="shared" si="12"/>
        <v>447</v>
      </c>
      <c r="CJ21" s="54">
        <f t="shared" si="12"/>
        <v>441</v>
      </c>
      <c r="CK21" s="54">
        <f t="shared" si="12"/>
        <v>426</v>
      </c>
      <c r="CL21" s="54">
        <f t="shared" si="12"/>
        <v>412</v>
      </c>
      <c r="CM21" s="54">
        <f t="shared" si="12"/>
        <v>404</v>
      </c>
      <c r="CN21" s="54">
        <f t="shared" si="12"/>
        <v>396</v>
      </c>
      <c r="CO21" s="54">
        <f t="shared" si="12"/>
        <v>392</v>
      </c>
      <c r="CP21" s="54">
        <f t="shared" si="12"/>
        <v>388</v>
      </c>
      <c r="CQ21" s="54">
        <f t="shared" si="12"/>
        <v>384</v>
      </c>
      <c r="CR21" s="54">
        <f t="shared" si="12"/>
        <v>383</v>
      </c>
      <c r="CS21" s="54">
        <f t="shared" si="12"/>
        <v>380</v>
      </c>
      <c r="CT21" s="54">
        <f t="shared" si="12"/>
        <v>377</v>
      </c>
      <c r="CU21" s="54">
        <f t="shared" si="12"/>
        <v>374</v>
      </c>
      <c r="CV21" s="54" t="str">
        <f t="shared" si="12"/>
        <v>-</v>
      </c>
      <c r="CW21" s="54" t="str">
        <f t="shared" si="12"/>
        <v>-</v>
      </c>
      <c r="CX21" s="54" t="str">
        <f t="shared" si="12"/>
        <v>-</v>
      </c>
      <c r="CY21" s="54" t="str">
        <f t="shared" si="12"/>
        <v>-</v>
      </c>
      <c r="CZ21" s="54" t="str">
        <f t="shared" si="12"/>
        <v>-</v>
      </c>
      <c r="DA21" s="54" t="str">
        <f t="shared" si="12"/>
        <v>-</v>
      </c>
      <c r="DB21" s="54" t="str">
        <f t="shared" si="12"/>
        <v>-</v>
      </c>
      <c r="DC21" s="54" t="str">
        <f t="shared" si="12"/>
        <v>-</v>
      </c>
      <c r="DD21" s="54" t="str">
        <f t="shared" si="12"/>
        <v>-</v>
      </c>
      <c r="DE21" s="54" t="str">
        <f t="shared" si="12"/>
        <v>-</v>
      </c>
      <c r="DF21" s="54" t="str">
        <f t="shared" si="12"/>
        <v>-</v>
      </c>
      <c r="DG21" s="54" t="str">
        <f t="shared" si="12"/>
        <v>-</v>
      </c>
      <c r="DH21" s="54" t="str">
        <f t="shared" si="12"/>
        <v>-</v>
      </c>
      <c r="DI21" s="54" t="str">
        <f t="shared" si="13"/>
        <v>-</v>
      </c>
      <c r="DJ21" s="54" t="str">
        <f t="shared" si="13"/>
        <v>-</v>
      </c>
      <c r="DK21" s="54" t="str">
        <f t="shared" si="13"/>
        <v>-</v>
      </c>
      <c r="DL21" s="54" t="str">
        <f t="shared" si="13"/>
        <v>-</v>
      </c>
      <c r="DM21" s="54" t="str">
        <f t="shared" si="13"/>
        <v>-</v>
      </c>
      <c r="DN21" s="54" t="str">
        <f t="shared" si="13"/>
        <v>-</v>
      </c>
      <c r="DO21" s="54" t="str">
        <f t="shared" si="13"/>
        <v>-</v>
      </c>
      <c r="DP21" s="54" t="str">
        <f t="shared" si="13"/>
        <v>-</v>
      </c>
      <c r="DQ21" s="54" t="str">
        <f t="shared" si="13"/>
        <v>-</v>
      </c>
      <c r="DR21" s="64" t="str">
        <f t="shared" si="13"/>
        <v>-</v>
      </c>
    </row>
    <row r="22" spans="1:122">
      <c r="A22" s="53" t="s">
        <v>55</v>
      </c>
      <c r="B22" s="53"/>
      <c r="C22" s="53" t="s">
        <v>56</v>
      </c>
      <c r="D22" s="53" t="s">
        <v>16</v>
      </c>
      <c r="E22" s="53" t="s">
        <v>16</v>
      </c>
      <c r="F22" s="53" t="s">
        <v>57</v>
      </c>
      <c r="G22" s="53" t="s">
        <v>17</v>
      </c>
      <c r="H22" s="72">
        <v>480</v>
      </c>
      <c r="I22" s="48">
        <v>275</v>
      </c>
      <c r="J22" s="53" t="s">
        <v>16</v>
      </c>
      <c r="K22" s="59" t="s">
        <v>16</v>
      </c>
      <c r="L22" s="54" t="s">
        <v>16</v>
      </c>
      <c r="M22" s="54" t="s">
        <v>16</v>
      </c>
      <c r="N22" s="54" t="s">
        <v>16</v>
      </c>
      <c r="O22" s="54" t="s">
        <v>16</v>
      </c>
      <c r="P22" s="54" t="s">
        <v>16</v>
      </c>
      <c r="Q22" s="54" t="s">
        <v>16</v>
      </c>
      <c r="R22" s="54" t="s">
        <v>16</v>
      </c>
      <c r="S22" s="54" t="s">
        <v>16</v>
      </c>
      <c r="T22" s="54" t="s">
        <v>16</v>
      </c>
      <c r="U22" s="54" t="s">
        <v>16</v>
      </c>
      <c r="V22" s="54" t="s">
        <v>16</v>
      </c>
      <c r="W22" s="54" t="s">
        <v>16</v>
      </c>
      <c r="X22" s="54" t="s">
        <v>16</v>
      </c>
      <c r="Y22" s="54" t="s">
        <v>16</v>
      </c>
      <c r="Z22" s="54" t="s">
        <v>16</v>
      </c>
      <c r="AA22" s="54" t="s">
        <v>16</v>
      </c>
      <c r="AB22" s="54" t="s">
        <v>16</v>
      </c>
      <c r="AC22" s="54" t="s">
        <v>16</v>
      </c>
      <c r="AD22" s="54" t="s">
        <v>16</v>
      </c>
      <c r="AE22" s="54" t="s">
        <v>16</v>
      </c>
      <c r="AF22" s="54" t="s">
        <v>16</v>
      </c>
      <c r="AG22" s="54" t="s">
        <v>16</v>
      </c>
      <c r="AH22" s="54" t="s">
        <v>16</v>
      </c>
      <c r="AI22" s="54" t="s">
        <v>16</v>
      </c>
      <c r="AJ22" s="54" t="s">
        <v>16</v>
      </c>
      <c r="AK22" s="54" t="s">
        <v>16</v>
      </c>
      <c r="AL22" s="54" t="s">
        <v>16</v>
      </c>
      <c r="AM22" s="54" t="s">
        <v>16</v>
      </c>
      <c r="AN22" s="54" t="s">
        <v>16</v>
      </c>
      <c r="AO22" s="54" t="s">
        <v>16</v>
      </c>
      <c r="AP22" s="54" t="s">
        <v>16</v>
      </c>
      <c r="AQ22" s="54" t="s">
        <v>16</v>
      </c>
      <c r="AR22" s="54" t="s">
        <v>16</v>
      </c>
      <c r="AS22" s="54" t="s">
        <v>16</v>
      </c>
      <c r="AT22" s="54" t="s">
        <v>16</v>
      </c>
      <c r="AU22" s="64" t="s">
        <v>16</v>
      </c>
      <c r="AV22" s="141" t="s">
        <v>58</v>
      </c>
      <c r="AW22" s="59">
        <v>696</v>
      </c>
      <c r="AX22" s="54">
        <v>696</v>
      </c>
      <c r="AY22" s="54">
        <v>696</v>
      </c>
      <c r="AZ22" s="54">
        <v>696</v>
      </c>
      <c r="BA22" s="54">
        <v>696</v>
      </c>
      <c r="BB22" s="54">
        <v>696</v>
      </c>
      <c r="BC22" s="54">
        <v>696</v>
      </c>
      <c r="BD22" s="54">
        <v>696</v>
      </c>
      <c r="BE22" s="54">
        <v>696</v>
      </c>
      <c r="BF22" s="54">
        <v>696</v>
      </c>
      <c r="BG22" s="54">
        <v>696</v>
      </c>
      <c r="BH22" s="54">
        <v>696</v>
      </c>
      <c r="BI22" s="54">
        <v>696</v>
      </c>
      <c r="BJ22" s="54">
        <v>696</v>
      </c>
      <c r="BK22" s="54">
        <v>696</v>
      </c>
      <c r="BL22" s="54">
        <v>696</v>
      </c>
      <c r="BM22" s="54">
        <v>696</v>
      </c>
      <c r="BN22" s="54">
        <v>696</v>
      </c>
      <c r="BO22" s="54">
        <v>696</v>
      </c>
      <c r="BP22" s="54">
        <v>696</v>
      </c>
      <c r="BQ22" s="54">
        <v>696</v>
      </c>
      <c r="BR22" s="54">
        <v>696</v>
      </c>
      <c r="BS22" s="54" t="s">
        <v>16</v>
      </c>
      <c r="BT22" s="54" t="s">
        <v>16</v>
      </c>
      <c r="BU22" s="54" t="s">
        <v>16</v>
      </c>
      <c r="BV22" s="54" t="s">
        <v>16</v>
      </c>
      <c r="BW22" s="54" t="s">
        <v>16</v>
      </c>
      <c r="BX22" s="54" t="s">
        <v>16</v>
      </c>
      <c r="BY22" s="54" t="s">
        <v>16</v>
      </c>
      <c r="BZ22" s="54" t="s">
        <v>16</v>
      </c>
      <c r="CA22" s="54" t="s">
        <v>16</v>
      </c>
      <c r="CB22" s="54" t="s">
        <v>16</v>
      </c>
      <c r="CC22" s="54" t="s">
        <v>16</v>
      </c>
      <c r="CD22" s="54" t="s">
        <v>16</v>
      </c>
      <c r="CE22" s="54" t="s">
        <v>16</v>
      </c>
      <c r="CF22" s="54" t="s">
        <v>16</v>
      </c>
      <c r="CG22" s="139" t="s">
        <v>16</v>
      </c>
      <c r="CH22" s="59">
        <v>641</v>
      </c>
      <c r="CI22" s="54">
        <v>641</v>
      </c>
      <c r="CJ22" s="54">
        <v>641</v>
      </c>
      <c r="CK22" s="54">
        <v>641</v>
      </c>
      <c r="CL22" s="54">
        <v>641</v>
      </c>
      <c r="CM22" s="54">
        <v>641</v>
      </c>
      <c r="CN22" s="54">
        <v>641</v>
      </c>
      <c r="CO22" s="54">
        <v>641</v>
      </c>
      <c r="CP22" s="54">
        <v>641</v>
      </c>
      <c r="CQ22" s="54">
        <v>641</v>
      </c>
      <c r="CR22" s="54">
        <v>641</v>
      </c>
      <c r="CS22" s="54">
        <v>641</v>
      </c>
      <c r="CT22" s="54">
        <v>641</v>
      </c>
      <c r="CU22" s="54">
        <v>641</v>
      </c>
      <c r="CV22" s="54">
        <v>641</v>
      </c>
      <c r="CW22" s="54">
        <v>641</v>
      </c>
      <c r="CX22" s="54">
        <v>641</v>
      </c>
      <c r="CY22" s="54">
        <v>641</v>
      </c>
      <c r="CZ22" s="54">
        <v>641</v>
      </c>
      <c r="DA22" s="54">
        <v>641</v>
      </c>
      <c r="DB22" s="54">
        <v>641</v>
      </c>
      <c r="DC22" s="54">
        <v>641</v>
      </c>
      <c r="DD22" s="54" t="s">
        <v>16</v>
      </c>
      <c r="DE22" s="54" t="s">
        <v>16</v>
      </c>
      <c r="DF22" s="54" t="s">
        <v>16</v>
      </c>
      <c r="DG22" s="54" t="s">
        <v>16</v>
      </c>
      <c r="DH22" s="54" t="s">
        <v>16</v>
      </c>
      <c r="DI22" s="54" t="s">
        <v>16</v>
      </c>
      <c r="DJ22" s="54" t="s">
        <v>16</v>
      </c>
      <c r="DK22" s="54" t="s">
        <v>16</v>
      </c>
      <c r="DL22" s="54" t="s">
        <v>16</v>
      </c>
      <c r="DM22" s="54" t="s">
        <v>16</v>
      </c>
      <c r="DN22" s="54" t="s">
        <v>16</v>
      </c>
      <c r="DO22" s="54" t="s">
        <v>16</v>
      </c>
      <c r="DP22" s="54" t="s">
        <v>16</v>
      </c>
      <c r="DQ22" s="54" t="s">
        <v>16</v>
      </c>
      <c r="DR22" s="64" t="s">
        <v>16</v>
      </c>
    </row>
    <row r="23" spans="1:122" ht="15.75" customHeight="1">
      <c r="A23" s="53" t="s">
        <v>59</v>
      </c>
      <c r="B23" s="53"/>
      <c r="C23" s="60" t="s">
        <v>60</v>
      </c>
      <c r="D23" s="60" t="s">
        <v>16</v>
      </c>
      <c r="E23" s="60" t="s">
        <v>16</v>
      </c>
      <c r="F23" s="60" t="s">
        <v>61</v>
      </c>
      <c r="G23" s="60" t="s">
        <v>17</v>
      </c>
      <c r="H23" s="72">
        <v>795</v>
      </c>
      <c r="I23" s="48">
        <v>620</v>
      </c>
      <c r="J23" s="60" t="s">
        <v>18</v>
      </c>
      <c r="K23" s="59" t="s">
        <v>16</v>
      </c>
      <c r="L23" s="54">
        <v>227</v>
      </c>
      <c r="M23" s="54" t="s">
        <v>16</v>
      </c>
      <c r="N23" s="54">
        <v>227</v>
      </c>
      <c r="O23" s="54">
        <v>227</v>
      </c>
      <c r="P23" s="54">
        <v>227</v>
      </c>
      <c r="Q23" s="54">
        <v>227</v>
      </c>
      <c r="R23" s="54" t="s">
        <v>16</v>
      </c>
      <c r="S23" s="54">
        <v>225</v>
      </c>
      <c r="T23" s="54" t="s">
        <v>16</v>
      </c>
      <c r="U23" s="54">
        <v>217</v>
      </c>
      <c r="V23" s="54" t="s">
        <v>16</v>
      </c>
      <c r="W23" s="54">
        <v>209</v>
      </c>
      <c r="X23" s="54">
        <v>205</v>
      </c>
      <c r="Y23" s="54">
        <v>202</v>
      </c>
      <c r="Z23" s="54">
        <v>197</v>
      </c>
      <c r="AA23" s="54" t="s">
        <v>16</v>
      </c>
      <c r="AB23" s="54" t="s">
        <v>16</v>
      </c>
      <c r="AC23" s="54" t="s">
        <v>16</v>
      </c>
      <c r="AD23" s="54" t="s">
        <v>16</v>
      </c>
      <c r="AE23" s="34" t="s">
        <v>16</v>
      </c>
      <c r="AF23" s="34" t="s">
        <v>16</v>
      </c>
      <c r="AG23" s="34" t="s">
        <v>16</v>
      </c>
      <c r="AH23" s="34" t="s">
        <v>16</v>
      </c>
      <c r="AI23" s="34" t="s">
        <v>16</v>
      </c>
      <c r="AJ23" s="34" t="s">
        <v>16</v>
      </c>
      <c r="AK23" s="34" t="s">
        <v>16</v>
      </c>
      <c r="AL23" s="34" t="s">
        <v>16</v>
      </c>
      <c r="AM23" s="34" t="s">
        <v>16</v>
      </c>
      <c r="AN23" s="34" t="s">
        <v>16</v>
      </c>
      <c r="AO23" s="34" t="s">
        <v>16</v>
      </c>
      <c r="AP23" s="34" t="s">
        <v>16</v>
      </c>
      <c r="AQ23" s="34" t="s">
        <v>16</v>
      </c>
      <c r="AR23" s="34" t="s">
        <v>16</v>
      </c>
      <c r="AS23" s="34" t="s">
        <v>16</v>
      </c>
      <c r="AT23" s="34" t="s">
        <v>16</v>
      </c>
      <c r="AU23" s="55" t="s">
        <v>16</v>
      </c>
      <c r="AV23" s="57" t="s">
        <v>18</v>
      </c>
      <c r="AW23" s="59">
        <v>793</v>
      </c>
      <c r="AX23" s="54">
        <v>793</v>
      </c>
      <c r="AY23" s="54">
        <v>793</v>
      </c>
      <c r="AZ23" s="54">
        <v>793</v>
      </c>
      <c r="BA23" s="54">
        <v>793</v>
      </c>
      <c r="BB23" s="54">
        <v>793</v>
      </c>
      <c r="BC23" s="54">
        <v>793</v>
      </c>
      <c r="BD23" s="54" t="s">
        <v>16</v>
      </c>
      <c r="BE23" s="54">
        <v>785</v>
      </c>
      <c r="BF23" s="54" t="s">
        <v>16</v>
      </c>
      <c r="BG23" s="54">
        <v>761</v>
      </c>
      <c r="BH23" s="54" t="s">
        <v>16</v>
      </c>
      <c r="BI23" s="54">
        <v>733</v>
      </c>
      <c r="BJ23" s="54">
        <v>719</v>
      </c>
      <c r="BK23" s="54">
        <v>705</v>
      </c>
      <c r="BL23" s="54">
        <v>689</v>
      </c>
      <c r="BM23" s="54">
        <v>672</v>
      </c>
      <c r="BN23" s="54">
        <v>654</v>
      </c>
      <c r="BO23" s="54">
        <v>634</v>
      </c>
      <c r="BP23" s="54">
        <v>613</v>
      </c>
      <c r="BQ23" s="34" t="s">
        <v>16</v>
      </c>
      <c r="BR23" s="34" t="s">
        <v>16</v>
      </c>
      <c r="BS23" s="34" t="s">
        <v>16</v>
      </c>
      <c r="BT23" s="34" t="s">
        <v>16</v>
      </c>
      <c r="BU23" s="34" t="s">
        <v>16</v>
      </c>
      <c r="BV23" s="34" t="s">
        <v>16</v>
      </c>
      <c r="BW23" s="34" t="s">
        <v>16</v>
      </c>
      <c r="BX23" s="34" t="s">
        <v>16</v>
      </c>
      <c r="BY23" s="34" t="s">
        <v>16</v>
      </c>
      <c r="BZ23" s="34" t="s">
        <v>16</v>
      </c>
      <c r="CA23" s="34" t="s">
        <v>16</v>
      </c>
      <c r="CB23" s="34" t="s">
        <v>16</v>
      </c>
      <c r="CC23" s="34" t="s">
        <v>16</v>
      </c>
      <c r="CD23" s="34" t="s">
        <v>16</v>
      </c>
      <c r="CE23" s="34" t="s">
        <v>16</v>
      </c>
      <c r="CF23" s="34" t="s">
        <v>16</v>
      </c>
      <c r="CG23" s="44" t="s">
        <v>16</v>
      </c>
      <c r="CH23" s="59" t="s">
        <v>16</v>
      </c>
      <c r="CI23" s="54">
        <v>621</v>
      </c>
      <c r="CJ23" s="54" t="s">
        <v>16</v>
      </c>
      <c r="CK23" s="54">
        <v>605</v>
      </c>
      <c r="CL23" s="54">
        <v>595</v>
      </c>
      <c r="CM23" s="54">
        <v>589</v>
      </c>
      <c r="CN23" s="54">
        <v>583</v>
      </c>
      <c r="CO23" s="54">
        <v>578</v>
      </c>
      <c r="CP23" s="54">
        <v>572</v>
      </c>
      <c r="CQ23" s="54">
        <v>566</v>
      </c>
      <c r="CR23" s="54">
        <v>560</v>
      </c>
      <c r="CS23" s="54">
        <v>553</v>
      </c>
      <c r="CT23" s="54">
        <v>546</v>
      </c>
      <c r="CU23" s="54">
        <v>548</v>
      </c>
      <c r="CV23" s="54">
        <v>530</v>
      </c>
      <c r="CW23" s="54">
        <v>520</v>
      </c>
      <c r="CX23" s="54" t="s">
        <v>16</v>
      </c>
      <c r="CY23" s="54" t="s">
        <v>16</v>
      </c>
      <c r="CZ23" s="54" t="s">
        <v>16</v>
      </c>
      <c r="DA23" s="54" t="s">
        <v>16</v>
      </c>
      <c r="DB23" s="54" t="s">
        <v>16</v>
      </c>
      <c r="DC23" s="54" t="s">
        <v>16</v>
      </c>
      <c r="DD23" s="54" t="s">
        <v>16</v>
      </c>
      <c r="DE23" s="54" t="s">
        <v>16</v>
      </c>
      <c r="DF23" s="54" t="s">
        <v>16</v>
      </c>
      <c r="DG23" s="54" t="s">
        <v>16</v>
      </c>
      <c r="DH23" s="54" t="s">
        <v>16</v>
      </c>
      <c r="DI23" s="54" t="s">
        <v>16</v>
      </c>
      <c r="DJ23" s="54" t="s">
        <v>16</v>
      </c>
      <c r="DK23" s="54" t="s">
        <v>16</v>
      </c>
      <c r="DL23" s="54" t="s">
        <v>16</v>
      </c>
      <c r="DM23" s="54" t="s">
        <v>16</v>
      </c>
      <c r="DN23" s="54" t="s">
        <v>16</v>
      </c>
      <c r="DO23" s="54" t="s">
        <v>16</v>
      </c>
      <c r="DP23" s="54" t="s">
        <v>16</v>
      </c>
      <c r="DQ23" s="54" t="s">
        <v>16</v>
      </c>
      <c r="DR23" s="64" t="s">
        <v>16</v>
      </c>
    </row>
    <row r="24" spans="1:122">
      <c r="A24" s="56" t="s">
        <v>62</v>
      </c>
      <c r="B24" s="56"/>
      <c r="C24" s="53" t="s">
        <v>15</v>
      </c>
      <c r="D24" s="53">
        <v>100</v>
      </c>
      <c r="E24" s="53">
        <v>160</v>
      </c>
      <c r="F24" s="53" t="s">
        <v>16</v>
      </c>
      <c r="G24" s="53" t="s">
        <v>58</v>
      </c>
      <c r="H24" s="72">
        <v>862</v>
      </c>
      <c r="I24" s="48" t="s">
        <v>16</v>
      </c>
      <c r="J24" s="82" t="s">
        <v>63</v>
      </c>
      <c r="K24" s="59">
        <v>245</v>
      </c>
      <c r="L24" s="54">
        <v>245</v>
      </c>
      <c r="M24" s="54">
        <v>245</v>
      </c>
      <c r="N24" s="54">
        <v>245</v>
      </c>
      <c r="O24" s="54">
        <v>245</v>
      </c>
      <c r="P24" s="54">
        <v>245</v>
      </c>
      <c r="Q24" s="54">
        <v>245</v>
      </c>
      <c r="R24" s="54">
        <v>245</v>
      </c>
      <c r="S24" s="54">
        <v>245</v>
      </c>
      <c r="T24" s="54">
        <v>245</v>
      </c>
      <c r="U24" s="54">
        <v>245</v>
      </c>
      <c r="V24" s="54">
        <v>245</v>
      </c>
      <c r="W24" s="54">
        <v>245</v>
      </c>
      <c r="X24" s="54">
        <v>245</v>
      </c>
      <c r="Y24" s="54">
        <v>245</v>
      </c>
      <c r="Z24" s="54">
        <v>245</v>
      </c>
      <c r="AA24" s="54">
        <v>245</v>
      </c>
      <c r="AB24" s="54" t="s">
        <v>16</v>
      </c>
      <c r="AC24" s="54" t="s">
        <v>16</v>
      </c>
      <c r="AD24" s="54" t="s">
        <v>16</v>
      </c>
      <c r="AE24" s="54" t="s">
        <v>16</v>
      </c>
      <c r="AF24" s="54" t="s">
        <v>16</v>
      </c>
      <c r="AG24" s="54" t="s">
        <v>16</v>
      </c>
      <c r="AH24" s="54" t="s">
        <v>16</v>
      </c>
      <c r="AI24" s="54" t="s">
        <v>16</v>
      </c>
      <c r="AJ24" s="54" t="s">
        <v>16</v>
      </c>
      <c r="AK24" s="54" t="s">
        <v>16</v>
      </c>
      <c r="AL24" s="54" t="s">
        <v>16</v>
      </c>
      <c r="AM24" s="54" t="s">
        <v>16</v>
      </c>
      <c r="AN24" s="54" t="s">
        <v>16</v>
      </c>
      <c r="AO24" s="54" t="s">
        <v>16</v>
      </c>
      <c r="AP24" s="54" t="s">
        <v>16</v>
      </c>
      <c r="AQ24" s="54" t="s">
        <v>16</v>
      </c>
      <c r="AR24" s="54" t="s">
        <v>16</v>
      </c>
      <c r="AS24" s="54" t="s">
        <v>16</v>
      </c>
      <c r="AT24" s="54" t="s">
        <v>16</v>
      </c>
      <c r="AU24" s="64" t="s">
        <v>16</v>
      </c>
      <c r="AV24" s="141" t="s">
        <v>64</v>
      </c>
      <c r="AW24" s="59" t="s">
        <v>16</v>
      </c>
      <c r="AX24" s="54" t="s">
        <v>16</v>
      </c>
      <c r="AY24" s="54" t="s">
        <v>16</v>
      </c>
      <c r="AZ24" s="54" t="s">
        <v>16</v>
      </c>
      <c r="BA24" s="54" t="s">
        <v>16</v>
      </c>
      <c r="BB24" s="54" t="s">
        <v>16</v>
      </c>
      <c r="BC24" s="54" t="s">
        <v>16</v>
      </c>
      <c r="BD24" s="54" t="s">
        <v>16</v>
      </c>
      <c r="BE24" s="54" t="s">
        <v>16</v>
      </c>
      <c r="BF24" s="54" t="s">
        <v>16</v>
      </c>
      <c r="BG24" s="54" t="s">
        <v>16</v>
      </c>
      <c r="BH24" s="54" t="s">
        <v>16</v>
      </c>
      <c r="BI24" s="54" t="s">
        <v>16</v>
      </c>
      <c r="BJ24" s="54" t="s">
        <v>16</v>
      </c>
      <c r="BK24" s="54" t="s">
        <v>16</v>
      </c>
      <c r="BL24" s="54" t="s">
        <v>16</v>
      </c>
      <c r="BM24" s="54" t="s">
        <v>16</v>
      </c>
      <c r="BN24" s="54" t="s">
        <v>16</v>
      </c>
      <c r="BO24" s="54" t="s">
        <v>16</v>
      </c>
      <c r="BP24" s="54" t="s">
        <v>16</v>
      </c>
      <c r="BQ24" s="54" t="s">
        <v>16</v>
      </c>
      <c r="BR24" s="54" t="s">
        <v>16</v>
      </c>
      <c r="BS24" s="54" t="s">
        <v>16</v>
      </c>
      <c r="BT24" s="54" t="s">
        <v>16</v>
      </c>
      <c r="BU24" s="54" t="s">
        <v>16</v>
      </c>
      <c r="BV24" s="54" t="s">
        <v>16</v>
      </c>
      <c r="BW24" s="54" t="s">
        <v>16</v>
      </c>
      <c r="BX24" s="54" t="s">
        <v>16</v>
      </c>
      <c r="BY24" s="54" t="s">
        <v>16</v>
      </c>
      <c r="BZ24" s="54" t="s">
        <v>16</v>
      </c>
      <c r="CA24" s="54" t="s">
        <v>16</v>
      </c>
      <c r="CB24" s="54" t="s">
        <v>16</v>
      </c>
      <c r="CC24" s="54" t="s">
        <v>16</v>
      </c>
      <c r="CD24" s="54" t="s">
        <v>16</v>
      </c>
      <c r="CE24" s="54" t="s">
        <v>16</v>
      </c>
      <c r="CF24" s="54" t="s">
        <v>16</v>
      </c>
      <c r="CG24" s="139" t="s">
        <v>16</v>
      </c>
      <c r="CH24" s="59">
        <v>631</v>
      </c>
      <c r="CI24" s="54">
        <v>631</v>
      </c>
      <c r="CJ24" s="54">
        <v>631</v>
      </c>
      <c r="CK24" s="54" t="s">
        <v>16</v>
      </c>
      <c r="CL24" s="54">
        <v>612</v>
      </c>
      <c r="CM24" s="54" t="s">
        <v>16</v>
      </c>
      <c r="CN24" s="54">
        <v>591</v>
      </c>
      <c r="CO24" s="54" t="s">
        <v>16</v>
      </c>
      <c r="CP24" s="54">
        <v>577</v>
      </c>
      <c r="CQ24" s="54" t="s">
        <v>16</v>
      </c>
      <c r="CR24" s="54">
        <v>556</v>
      </c>
      <c r="CS24" s="54" t="s">
        <v>16</v>
      </c>
      <c r="CT24" s="54">
        <v>542</v>
      </c>
      <c r="CU24" s="54" t="s">
        <v>16</v>
      </c>
      <c r="CV24" s="54">
        <v>528</v>
      </c>
      <c r="CW24" s="54" t="s">
        <v>16</v>
      </c>
      <c r="CX24" s="54">
        <v>507</v>
      </c>
      <c r="CY24" s="54" t="s">
        <v>16</v>
      </c>
      <c r="CZ24" s="54">
        <v>479</v>
      </c>
      <c r="DA24" s="54" t="s">
        <v>16</v>
      </c>
      <c r="DB24" s="54">
        <v>429</v>
      </c>
      <c r="DC24" s="54" t="s">
        <v>16</v>
      </c>
      <c r="DD24" s="54">
        <v>366</v>
      </c>
      <c r="DE24" s="54" t="s">
        <v>16</v>
      </c>
      <c r="DF24" s="54">
        <v>268</v>
      </c>
      <c r="DG24" s="54" t="s">
        <v>16</v>
      </c>
      <c r="DH24" s="54" t="s">
        <v>16</v>
      </c>
      <c r="DI24" s="54" t="s">
        <v>16</v>
      </c>
      <c r="DJ24" s="54" t="s">
        <v>16</v>
      </c>
      <c r="DK24" s="54" t="s">
        <v>16</v>
      </c>
      <c r="DL24" s="54" t="s">
        <v>16</v>
      </c>
      <c r="DM24" s="54" t="s">
        <v>16</v>
      </c>
      <c r="DN24" s="54" t="s">
        <v>16</v>
      </c>
      <c r="DO24" s="54" t="s">
        <v>16</v>
      </c>
      <c r="DP24" s="54" t="s">
        <v>16</v>
      </c>
      <c r="DQ24" s="54" t="s">
        <v>16</v>
      </c>
      <c r="DR24" s="64" t="s">
        <v>16</v>
      </c>
    </row>
    <row r="25" spans="1:122">
      <c r="A25" s="56" t="s">
        <v>62</v>
      </c>
      <c r="B25" s="56"/>
      <c r="C25" s="53" t="str">
        <f>C24</f>
        <v>bar</v>
      </c>
      <c r="D25" s="53" t="s">
        <v>16</v>
      </c>
      <c r="E25" s="53">
        <v>100</v>
      </c>
      <c r="F25" s="53" t="str">
        <f>F24</f>
        <v>-</v>
      </c>
      <c r="G25" s="53" t="str">
        <f>G24</f>
        <v>AISI</v>
      </c>
      <c r="H25" s="53">
        <f t="shared" ref="H25:AU25" si="15">H24</f>
        <v>862</v>
      </c>
      <c r="I25" s="53" t="str">
        <f t="shared" si="15"/>
        <v>-</v>
      </c>
      <c r="J25" s="53" t="str">
        <f t="shared" si="15"/>
        <v>JIS</v>
      </c>
      <c r="K25" s="48">
        <f t="shared" si="15"/>
        <v>245</v>
      </c>
      <c r="L25" s="54">
        <f t="shared" si="15"/>
        <v>245</v>
      </c>
      <c r="M25" s="54">
        <f t="shared" si="15"/>
        <v>245</v>
      </c>
      <c r="N25" s="54">
        <f t="shared" si="15"/>
        <v>245</v>
      </c>
      <c r="O25" s="54">
        <f t="shared" si="15"/>
        <v>245</v>
      </c>
      <c r="P25" s="54">
        <f t="shared" si="15"/>
        <v>245</v>
      </c>
      <c r="Q25" s="54">
        <f t="shared" si="15"/>
        <v>245</v>
      </c>
      <c r="R25" s="54">
        <f t="shared" si="15"/>
        <v>245</v>
      </c>
      <c r="S25" s="54">
        <f t="shared" si="15"/>
        <v>245</v>
      </c>
      <c r="T25" s="54">
        <f t="shared" si="15"/>
        <v>245</v>
      </c>
      <c r="U25" s="54">
        <f t="shared" si="15"/>
        <v>245</v>
      </c>
      <c r="V25" s="54">
        <f t="shared" si="15"/>
        <v>245</v>
      </c>
      <c r="W25" s="54">
        <f t="shared" si="15"/>
        <v>245</v>
      </c>
      <c r="X25" s="54">
        <f t="shared" si="15"/>
        <v>245</v>
      </c>
      <c r="Y25" s="54">
        <f t="shared" si="15"/>
        <v>245</v>
      </c>
      <c r="Z25" s="54">
        <f t="shared" si="15"/>
        <v>245</v>
      </c>
      <c r="AA25" s="54">
        <f t="shared" si="15"/>
        <v>245</v>
      </c>
      <c r="AB25" s="54" t="str">
        <f t="shared" si="15"/>
        <v>-</v>
      </c>
      <c r="AC25" s="54" t="str">
        <f t="shared" si="15"/>
        <v>-</v>
      </c>
      <c r="AD25" s="54" t="str">
        <f t="shared" si="15"/>
        <v>-</v>
      </c>
      <c r="AE25" s="54" t="str">
        <f t="shared" si="15"/>
        <v>-</v>
      </c>
      <c r="AF25" s="54" t="str">
        <f t="shared" si="15"/>
        <v>-</v>
      </c>
      <c r="AG25" s="54" t="str">
        <f t="shared" si="15"/>
        <v>-</v>
      </c>
      <c r="AH25" s="54" t="str">
        <f t="shared" si="15"/>
        <v>-</v>
      </c>
      <c r="AI25" s="54" t="str">
        <f t="shared" si="15"/>
        <v>-</v>
      </c>
      <c r="AJ25" s="54" t="str">
        <f t="shared" si="15"/>
        <v>-</v>
      </c>
      <c r="AK25" s="54" t="str">
        <f t="shared" si="15"/>
        <v>-</v>
      </c>
      <c r="AL25" s="54" t="str">
        <f t="shared" si="15"/>
        <v>-</v>
      </c>
      <c r="AM25" s="54" t="str">
        <f t="shared" si="15"/>
        <v>-</v>
      </c>
      <c r="AN25" s="54" t="str">
        <f t="shared" si="15"/>
        <v>-</v>
      </c>
      <c r="AO25" s="54" t="str">
        <f t="shared" si="15"/>
        <v>-</v>
      </c>
      <c r="AP25" s="54" t="str">
        <f t="shared" si="15"/>
        <v>-</v>
      </c>
      <c r="AQ25" s="54" t="str">
        <f t="shared" si="15"/>
        <v>-</v>
      </c>
      <c r="AR25" s="54" t="str">
        <f t="shared" si="15"/>
        <v>-</v>
      </c>
      <c r="AS25" s="54" t="str">
        <f t="shared" si="15"/>
        <v>-</v>
      </c>
      <c r="AT25" s="54" t="str">
        <f t="shared" si="15"/>
        <v>-</v>
      </c>
      <c r="AU25" s="72" t="str">
        <f t="shared" si="15"/>
        <v>-</v>
      </c>
      <c r="AV25" s="140" t="str">
        <f>AV24</f>
        <v>EN</v>
      </c>
      <c r="AW25" s="59" t="s">
        <v>16</v>
      </c>
      <c r="AX25" s="54" t="s">
        <v>16</v>
      </c>
      <c r="AY25" s="54" t="s">
        <v>16</v>
      </c>
      <c r="AZ25" s="54" t="s">
        <v>16</v>
      </c>
      <c r="BA25" s="54" t="s">
        <v>16</v>
      </c>
      <c r="BB25" s="54" t="s">
        <v>16</v>
      </c>
      <c r="BC25" s="54" t="s">
        <v>16</v>
      </c>
      <c r="BD25" s="54" t="s">
        <v>16</v>
      </c>
      <c r="BE25" s="54" t="s">
        <v>16</v>
      </c>
      <c r="BF25" s="54" t="s">
        <v>16</v>
      </c>
      <c r="BG25" s="54" t="s">
        <v>16</v>
      </c>
      <c r="BH25" s="54" t="s">
        <v>16</v>
      </c>
      <c r="BI25" s="54" t="s">
        <v>16</v>
      </c>
      <c r="BJ25" s="54" t="s">
        <v>16</v>
      </c>
      <c r="BK25" s="54" t="s">
        <v>16</v>
      </c>
      <c r="BL25" s="54" t="s">
        <v>16</v>
      </c>
      <c r="BM25" s="54" t="s">
        <v>16</v>
      </c>
      <c r="BN25" s="54" t="s">
        <v>16</v>
      </c>
      <c r="BO25" s="54" t="s">
        <v>16</v>
      </c>
      <c r="BP25" s="54" t="s">
        <v>16</v>
      </c>
      <c r="BQ25" s="54" t="s">
        <v>16</v>
      </c>
      <c r="BR25" s="54" t="s">
        <v>16</v>
      </c>
      <c r="BS25" s="54" t="s">
        <v>16</v>
      </c>
      <c r="BT25" s="54" t="s">
        <v>16</v>
      </c>
      <c r="BU25" s="54" t="s">
        <v>16</v>
      </c>
      <c r="BV25" s="54" t="s">
        <v>16</v>
      </c>
      <c r="BW25" s="54" t="s">
        <v>16</v>
      </c>
      <c r="BX25" s="54" t="s">
        <v>16</v>
      </c>
      <c r="BY25" s="54" t="s">
        <v>16</v>
      </c>
      <c r="BZ25" s="54" t="s">
        <v>16</v>
      </c>
      <c r="CA25" s="54" t="s">
        <v>16</v>
      </c>
      <c r="CB25" s="54" t="s">
        <v>16</v>
      </c>
      <c r="CC25" s="54" t="s">
        <v>16</v>
      </c>
      <c r="CD25" s="54" t="s">
        <v>16</v>
      </c>
      <c r="CE25" s="54" t="s">
        <v>16</v>
      </c>
      <c r="CF25" s="54" t="s">
        <v>16</v>
      </c>
      <c r="CG25" s="139" t="s">
        <v>16</v>
      </c>
      <c r="CH25" s="59">
        <v>687</v>
      </c>
      <c r="CI25" s="54">
        <v>687</v>
      </c>
      <c r="CJ25" s="54">
        <v>687</v>
      </c>
      <c r="CK25" s="54" t="s">
        <v>16</v>
      </c>
      <c r="CL25" s="54">
        <v>670</v>
      </c>
      <c r="CM25" s="54" t="s">
        <v>16</v>
      </c>
      <c r="CN25" s="54">
        <v>647</v>
      </c>
      <c r="CO25" s="54" t="s">
        <v>16</v>
      </c>
      <c r="CP25" s="54">
        <v>631</v>
      </c>
      <c r="CQ25" s="54" t="s">
        <v>16</v>
      </c>
      <c r="CR25" s="54">
        <v>608</v>
      </c>
      <c r="CS25" s="54" t="s">
        <v>16</v>
      </c>
      <c r="CT25" s="54">
        <v>593</v>
      </c>
      <c r="CU25" s="54" t="s">
        <v>16</v>
      </c>
      <c r="CV25" s="54">
        <v>577</v>
      </c>
      <c r="CW25" s="54" t="s">
        <v>16</v>
      </c>
      <c r="CX25" s="54">
        <v>554</v>
      </c>
      <c r="CY25" s="54" t="s">
        <v>16</v>
      </c>
      <c r="CZ25" s="54">
        <v>523</v>
      </c>
      <c r="DA25" s="54" t="s">
        <v>16</v>
      </c>
      <c r="DB25" s="54">
        <v>470</v>
      </c>
      <c r="DC25" s="54" t="s">
        <v>16</v>
      </c>
      <c r="DD25" s="54">
        <v>400</v>
      </c>
      <c r="DE25" s="54" t="s">
        <v>16</v>
      </c>
      <c r="DF25" s="54">
        <v>293</v>
      </c>
      <c r="DG25" s="54" t="s">
        <v>16</v>
      </c>
      <c r="DH25" s="54" t="s">
        <v>16</v>
      </c>
      <c r="DI25" s="54" t="s">
        <v>16</v>
      </c>
      <c r="DJ25" s="54" t="s">
        <v>16</v>
      </c>
      <c r="DK25" s="54" t="s">
        <v>16</v>
      </c>
      <c r="DL25" s="54" t="s">
        <v>16</v>
      </c>
      <c r="DM25" s="54" t="s">
        <v>16</v>
      </c>
      <c r="DN25" s="54" t="s">
        <v>16</v>
      </c>
      <c r="DO25" s="54" t="s">
        <v>16</v>
      </c>
      <c r="DP25" s="54" t="s">
        <v>16</v>
      </c>
      <c r="DQ25" s="54" t="s">
        <v>16</v>
      </c>
      <c r="DR25" s="64" t="s">
        <v>16</v>
      </c>
    </row>
    <row r="26" spans="1:122">
      <c r="A26" s="53" t="s">
        <v>65</v>
      </c>
      <c r="B26" s="53"/>
      <c r="C26" s="53" t="s">
        <v>15</v>
      </c>
      <c r="D26" s="53" t="s">
        <v>16</v>
      </c>
      <c r="E26" s="53" t="s">
        <v>16</v>
      </c>
      <c r="F26" s="53" t="s">
        <v>66</v>
      </c>
      <c r="G26" s="53" t="s">
        <v>17</v>
      </c>
      <c r="H26" s="72">
        <v>750</v>
      </c>
      <c r="I26" s="48">
        <v>550</v>
      </c>
      <c r="J26" s="53" t="s">
        <v>18</v>
      </c>
      <c r="K26" s="59" t="s">
        <v>16</v>
      </c>
      <c r="L26" s="54">
        <v>214</v>
      </c>
      <c r="M26" s="54" t="s">
        <v>16</v>
      </c>
      <c r="N26" s="54">
        <v>214</v>
      </c>
      <c r="O26" s="54">
        <v>211</v>
      </c>
      <c r="P26" s="54">
        <v>206</v>
      </c>
      <c r="Q26" s="54">
        <v>203</v>
      </c>
      <c r="R26" s="54" t="s">
        <v>16</v>
      </c>
      <c r="S26" s="54">
        <v>201</v>
      </c>
      <c r="T26" s="54" t="s">
        <v>16</v>
      </c>
      <c r="U26" s="54">
        <v>201</v>
      </c>
      <c r="V26" s="54" t="s">
        <v>16</v>
      </c>
      <c r="W26" s="54">
        <v>201</v>
      </c>
      <c r="X26" s="54">
        <v>201</v>
      </c>
      <c r="Y26" s="54" t="s">
        <v>16</v>
      </c>
      <c r="Z26" s="54" t="s">
        <v>16</v>
      </c>
      <c r="AA26" s="54" t="s">
        <v>16</v>
      </c>
      <c r="AB26" s="54" t="s">
        <v>16</v>
      </c>
      <c r="AC26" s="54" t="s">
        <v>16</v>
      </c>
      <c r="AD26" s="54" t="s">
        <v>16</v>
      </c>
      <c r="AE26" s="34" t="s">
        <v>16</v>
      </c>
      <c r="AF26" s="34" t="s">
        <v>16</v>
      </c>
      <c r="AG26" s="34" t="s">
        <v>16</v>
      </c>
      <c r="AH26" s="34" t="s">
        <v>16</v>
      </c>
      <c r="AI26" s="34" t="s">
        <v>16</v>
      </c>
      <c r="AJ26" s="34" t="s">
        <v>16</v>
      </c>
      <c r="AK26" s="34" t="s">
        <v>16</v>
      </c>
      <c r="AL26" s="34" t="s">
        <v>16</v>
      </c>
      <c r="AM26" s="34" t="s">
        <v>16</v>
      </c>
      <c r="AN26" s="34" t="s">
        <v>16</v>
      </c>
      <c r="AO26" s="34" t="s">
        <v>16</v>
      </c>
      <c r="AP26" s="34" t="s">
        <v>16</v>
      </c>
      <c r="AQ26" s="34" t="s">
        <v>16</v>
      </c>
      <c r="AR26" s="34" t="s">
        <v>16</v>
      </c>
      <c r="AS26" s="34" t="s">
        <v>16</v>
      </c>
      <c r="AT26" s="34" t="s">
        <v>16</v>
      </c>
      <c r="AU26" s="55" t="s">
        <v>16</v>
      </c>
      <c r="AV26" s="57" t="s">
        <v>18</v>
      </c>
      <c r="AW26" s="59">
        <v>750</v>
      </c>
      <c r="AX26" s="54">
        <v>750</v>
      </c>
      <c r="AY26" s="54" t="s">
        <v>16</v>
      </c>
      <c r="AZ26" s="54" t="s">
        <v>16</v>
      </c>
      <c r="BA26" s="54">
        <v>698</v>
      </c>
      <c r="BB26" s="54" t="s">
        <v>16</v>
      </c>
      <c r="BC26" s="54">
        <v>647</v>
      </c>
      <c r="BD26" s="54" t="s">
        <v>16</v>
      </c>
      <c r="BE26" s="54">
        <v>638</v>
      </c>
      <c r="BF26" s="54">
        <v>638</v>
      </c>
      <c r="BG26" s="54">
        <v>638</v>
      </c>
      <c r="BH26" s="54">
        <v>638</v>
      </c>
      <c r="BI26" s="54">
        <v>638</v>
      </c>
      <c r="BJ26" s="54">
        <v>638</v>
      </c>
      <c r="BK26" s="54" t="s">
        <v>16</v>
      </c>
      <c r="BL26" s="54" t="s">
        <v>16</v>
      </c>
      <c r="BM26" s="54" t="s">
        <v>16</v>
      </c>
      <c r="BN26" s="54" t="s">
        <v>16</v>
      </c>
      <c r="BO26" s="54" t="s">
        <v>16</v>
      </c>
      <c r="BP26" s="54" t="s">
        <v>16</v>
      </c>
      <c r="BQ26" s="54" t="s">
        <v>16</v>
      </c>
      <c r="BR26" s="54" t="s">
        <v>16</v>
      </c>
      <c r="BS26" s="54" t="s">
        <v>16</v>
      </c>
      <c r="BT26" s="54" t="s">
        <v>16</v>
      </c>
      <c r="BU26" s="54" t="s">
        <v>16</v>
      </c>
      <c r="BV26" s="54" t="s">
        <v>16</v>
      </c>
      <c r="BW26" s="54" t="s">
        <v>16</v>
      </c>
      <c r="BX26" s="54" t="s">
        <v>16</v>
      </c>
      <c r="BY26" s="54" t="s">
        <v>16</v>
      </c>
      <c r="BZ26" s="54" t="s">
        <v>16</v>
      </c>
      <c r="CA26" s="54" t="s">
        <v>16</v>
      </c>
      <c r="CB26" s="54" t="s">
        <v>16</v>
      </c>
      <c r="CC26" s="54" t="s">
        <v>16</v>
      </c>
      <c r="CD26" s="54" t="s">
        <v>16</v>
      </c>
      <c r="CE26" s="54" t="s">
        <v>16</v>
      </c>
      <c r="CF26" s="54" t="s">
        <v>16</v>
      </c>
      <c r="CG26" s="44" t="s">
        <v>16</v>
      </c>
      <c r="CH26" s="59">
        <v>550</v>
      </c>
      <c r="CI26" s="54">
        <v>550</v>
      </c>
      <c r="CJ26" s="54" t="s">
        <v>16</v>
      </c>
      <c r="CK26" s="54">
        <v>489</v>
      </c>
      <c r="CL26" s="54">
        <v>455</v>
      </c>
      <c r="CM26" s="54">
        <v>437</v>
      </c>
      <c r="CN26" s="54">
        <v>424</v>
      </c>
      <c r="CO26" s="54">
        <v>415</v>
      </c>
      <c r="CP26" s="54">
        <v>409</v>
      </c>
      <c r="CQ26" s="54">
        <v>405</v>
      </c>
      <c r="CR26" s="54">
        <v>404</v>
      </c>
      <c r="CS26" s="54">
        <v>403</v>
      </c>
      <c r="CT26" s="54">
        <v>402</v>
      </c>
      <c r="CU26" s="54">
        <v>401</v>
      </c>
      <c r="CV26" s="54" t="s">
        <v>16</v>
      </c>
      <c r="CW26" s="54" t="s">
        <v>16</v>
      </c>
      <c r="CX26" s="54" t="s">
        <v>16</v>
      </c>
      <c r="CY26" s="54" t="s">
        <v>16</v>
      </c>
      <c r="CZ26" s="54" t="s">
        <v>16</v>
      </c>
      <c r="DA26" s="54" t="s">
        <v>16</v>
      </c>
      <c r="DB26" s="54" t="s">
        <v>16</v>
      </c>
      <c r="DC26" s="54" t="s">
        <v>16</v>
      </c>
      <c r="DD26" s="54" t="s">
        <v>16</v>
      </c>
      <c r="DE26" s="54" t="s">
        <v>16</v>
      </c>
      <c r="DF26" s="54" t="s">
        <v>16</v>
      </c>
      <c r="DG26" s="54" t="s">
        <v>16</v>
      </c>
      <c r="DH26" s="54" t="s">
        <v>16</v>
      </c>
      <c r="DI26" s="54" t="s">
        <v>16</v>
      </c>
      <c r="DJ26" s="54" t="s">
        <v>16</v>
      </c>
      <c r="DK26" s="54" t="s">
        <v>16</v>
      </c>
      <c r="DL26" s="54" t="s">
        <v>16</v>
      </c>
      <c r="DM26" s="54" t="s">
        <v>16</v>
      </c>
      <c r="DN26" s="54" t="s">
        <v>16</v>
      </c>
      <c r="DO26" s="54" t="s">
        <v>16</v>
      </c>
      <c r="DP26" s="54" t="s">
        <v>16</v>
      </c>
      <c r="DQ26" s="54" t="s">
        <v>16</v>
      </c>
      <c r="DR26" s="55" t="s">
        <v>16</v>
      </c>
    </row>
    <row r="27" spans="1:122">
      <c r="A27" s="76" t="s">
        <v>67</v>
      </c>
      <c r="B27" s="76"/>
      <c r="C27" s="53" t="s">
        <v>15</v>
      </c>
      <c r="D27" s="53" t="s">
        <v>16</v>
      </c>
      <c r="E27" s="53" t="s">
        <v>16</v>
      </c>
      <c r="F27" s="53" t="s">
        <v>68</v>
      </c>
      <c r="G27" s="53" t="s">
        <v>17</v>
      </c>
      <c r="H27" s="72">
        <v>750</v>
      </c>
      <c r="I27" s="48">
        <v>550</v>
      </c>
      <c r="J27" s="82" t="s">
        <v>18</v>
      </c>
      <c r="K27" s="63" t="s">
        <v>16</v>
      </c>
      <c r="L27" s="34">
        <v>214</v>
      </c>
      <c r="M27" s="34" t="s">
        <v>16</v>
      </c>
      <c r="N27" s="54">
        <v>214</v>
      </c>
      <c r="O27" s="54">
        <v>211</v>
      </c>
      <c r="P27" s="54">
        <v>206</v>
      </c>
      <c r="Q27" s="54">
        <v>203</v>
      </c>
      <c r="R27" s="54" t="s">
        <v>16</v>
      </c>
      <c r="S27" s="54">
        <v>201</v>
      </c>
      <c r="T27" s="54" t="s">
        <v>16</v>
      </c>
      <c r="U27" s="54">
        <v>201</v>
      </c>
      <c r="V27" s="54" t="s">
        <v>16</v>
      </c>
      <c r="W27" s="54">
        <v>201</v>
      </c>
      <c r="X27" s="54">
        <v>201</v>
      </c>
      <c r="Y27" s="54" t="s">
        <v>16</v>
      </c>
      <c r="Z27" s="54" t="s">
        <v>16</v>
      </c>
      <c r="AA27" s="54" t="s">
        <v>16</v>
      </c>
      <c r="AB27" s="54" t="s">
        <v>16</v>
      </c>
      <c r="AC27" s="54" t="s">
        <v>16</v>
      </c>
      <c r="AD27" s="54" t="s">
        <v>16</v>
      </c>
      <c r="AE27" s="54" t="s">
        <v>16</v>
      </c>
      <c r="AF27" s="54" t="s">
        <v>16</v>
      </c>
      <c r="AG27" s="54" t="s">
        <v>16</v>
      </c>
      <c r="AH27" s="54" t="s">
        <v>16</v>
      </c>
      <c r="AI27" s="54" t="s">
        <v>16</v>
      </c>
      <c r="AJ27" s="54" t="s">
        <v>16</v>
      </c>
      <c r="AK27" s="54" t="s">
        <v>16</v>
      </c>
      <c r="AL27" s="54" t="s">
        <v>16</v>
      </c>
      <c r="AM27" s="54" t="s">
        <v>16</v>
      </c>
      <c r="AN27" s="54" t="s">
        <v>16</v>
      </c>
      <c r="AO27" s="54" t="s">
        <v>16</v>
      </c>
      <c r="AP27" s="54" t="s">
        <v>16</v>
      </c>
      <c r="AQ27" s="54" t="s">
        <v>16</v>
      </c>
      <c r="AR27" s="54" t="s">
        <v>16</v>
      </c>
      <c r="AS27" s="54" t="s">
        <v>16</v>
      </c>
      <c r="AT27" s="54" t="s">
        <v>16</v>
      </c>
      <c r="AU27" s="64" t="s">
        <v>16</v>
      </c>
      <c r="AV27" s="143" t="s">
        <v>18</v>
      </c>
      <c r="AW27" s="59">
        <v>750</v>
      </c>
      <c r="AX27" s="54">
        <v>750</v>
      </c>
      <c r="AY27" s="54" t="s">
        <v>16</v>
      </c>
      <c r="AZ27" s="54" t="s">
        <v>16</v>
      </c>
      <c r="BA27" s="54">
        <v>698</v>
      </c>
      <c r="BB27" s="54" t="s">
        <v>16</v>
      </c>
      <c r="BC27" s="54">
        <v>647</v>
      </c>
      <c r="BD27" s="54" t="s">
        <v>16</v>
      </c>
      <c r="BE27" s="54">
        <v>638</v>
      </c>
      <c r="BF27" s="54">
        <v>638</v>
      </c>
      <c r="BG27" s="54">
        <v>638</v>
      </c>
      <c r="BH27" s="54">
        <v>638</v>
      </c>
      <c r="BI27" s="54">
        <v>638</v>
      </c>
      <c r="BJ27" s="54">
        <v>638</v>
      </c>
      <c r="BK27" s="54" t="s">
        <v>16</v>
      </c>
      <c r="BL27" s="54" t="s">
        <v>16</v>
      </c>
      <c r="BM27" s="54" t="s">
        <v>16</v>
      </c>
      <c r="BN27" s="54" t="s">
        <v>16</v>
      </c>
      <c r="BO27" s="54" t="s">
        <v>16</v>
      </c>
      <c r="BP27" s="54" t="s">
        <v>16</v>
      </c>
      <c r="BQ27" s="54" t="s">
        <v>16</v>
      </c>
      <c r="BR27" s="54" t="s">
        <v>16</v>
      </c>
      <c r="BS27" s="54" t="s">
        <v>16</v>
      </c>
      <c r="BT27" s="54" t="s">
        <v>16</v>
      </c>
      <c r="BU27" s="54" t="s">
        <v>16</v>
      </c>
      <c r="BV27" s="54" t="s">
        <v>16</v>
      </c>
      <c r="BW27" s="54" t="s">
        <v>16</v>
      </c>
      <c r="BX27" s="54" t="s">
        <v>16</v>
      </c>
      <c r="BY27" s="54" t="s">
        <v>16</v>
      </c>
      <c r="BZ27" s="54" t="s">
        <v>16</v>
      </c>
      <c r="CA27" s="54" t="s">
        <v>16</v>
      </c>
      <c r="CB27" s="54" t="s">
        <v>16</v>
      </c>
      <c r="CC27" s="54" t="s">
        <v>16</v>
      </c>
      <c r="CD27" s="54" t="s">
        <v>16</v>
      </c>
      <c r="CE27" s="54" t="s">
        <v>16</v>
      </c>
      <c r="CF27" s="54" t="s">
        <v>16</v>
      </c>
      <c r="CG27" s="139" t="s">
        <v>16</v>
      </c>
      <c r="CH27" s="59">
        <v>550</v>
      </c>
      <c r="CI27" s="54">
        <v>550</v>
      </c>
      <c r="CJ27" s="54" t="s">
        <v>16</v>
      </c>
      <c r="CK27" s="54">
        <v>489</v>
      </c>
      <c r="CL27" s="54">
        <v>455</v>
      </c>
      <c r="CM27" s="54">
        <v>437</v>
      </c>
      <c r="CN27" s="54">
        <v>424</v>
      </c>
      <c r="CO27" s="54">
        <v>415</v>
      </c>
      <c r="CP27" s="54">
        <v>409</v>
      </c>
      <c r="CQ27" s="54">
        <v>405</v>
      </c>
      <c r="CR27" s="54">
        <v>404</v>
      </c>
      <c r="CS27" s="54">
        <v>403</v>
      </c>
      <c r="CT27" s="54">
        <v>402</v>
      </c>
      <c r="CU27" s="54">
        <v>401</v>
      </c>
      <c r="CV27" s="54" t="s">
        <v>16</v>
      </c>
      <c r="CW27" s="54" t="s">
        <v>16</v>
      </c>
      <c r="CX27" s="54" t="s">
        <v>16</v>
      </c>
      <c r="CY27" s="54" t="s">
        <v>16</v>
      </c>
      <c r="CZ27" s="54" t="s">
        <v>16</v>
      </c>
      <c r="DA27" s="54" t="s">
        <v>16</v>
      </c>
      <c r="DB27" s="54" t="s">
        <v>16</v>
      </c>
      <c r="DC27" s="54" t="s">
        <v>16</v>
      </c>
      <c r="DD27" s="54" t="s">
        <v>16</v>
      </c>
      <c r="DE27" s="54" t="s">
        <v>16</v>
      </c>
      <c r="DF27" s="54" t="s">
        <v>16</v>
      </c>
      <c r="DG27" s="54" t="s">
        <v>16</v>
      </c>
      <c r="DH27" s="54" t="s">
        <v>16</v>
      </c>
      <c r="DI27" s="54" t="s">
        <v>16</v>
      </c>
      <c r="DJ27" s="54" t="s">
        <v>16</v>
      </c>
      <c r="DK27" s="54" t="s">
        <v>16</v>
      </c>
      <c r="DL27" s="54" t="s">
        <v>16</v>
      </c>
      <c r="DM27" s="54" t="s">
        <v>16</v>
      </c>
      <c r="DN27" s="54" t="s">
        <v>16</v>
      </c>
      <c r="DO27" s="54" t="s">
        <v>16</v>
      </c>
      <c r="DP27" s="54" t="s">
        <v>16</v>
      </c>
      <c r="DQ27" s="54" t="s">
        <v>16</v>
      </c>
      <c r="DR27" s="55" t="s">
        <v>16</v>
      </c>
    </row>
    <row r="28" spans="1:122">
      <c r="A28" s="76" t="s">
        <v>69</v>
      </c>
      <c r="B28" s="76"/>
      <c r="C28" s="53" t="str">
        <f>C27</f>
        <v>bar</v>
      </c>
      <c r="D28" s="53" t="str">
        <f>D27</f>
        <v>-</v>
      </c>
      <c r="E28" s="53" t="str">
        <f>E27</f>
        <v>-</v>
      </c>
      <c r="F28" s="53" t="s">
        <v>70</v>
      </c>
      <c r="G28" s="53" t="str">
        <f t="shared" ref="G28:L28" si="16">G27</f>
        <v>ASTM</v>
      </c>
      <c r="H28" s="72">
        <f t="shared" si="16"/>
        <v>750</v>
      </c>
      <c r="I28" s="48">
        <f t="shared" si="16"/>
        <v>550</v>
      </c>
      <c r="J28" s="82" t="str">
        <f t="shared" si="16"/>
        <v>ASME</v>
      </c>
      <c r="K28" s="59" t="str">
        <f t="shared" si="16"/>
        <v>-</v>
      </c>
      <c r="L28" s="54">
        <f t="shared" si="16"/>
        <v>214</v>
      </c>
      <c r="M28" s="54" t="s">
        <v>16</v>
      </c>
      <c r="N28" s="54">
        <f t="shared" ref="N28:AX28" si="17">N27</f>
        <v>214</v>
      </c>
      <c r="O28" s="54">
        <f t="shared" si="17"/>
        <v>211</v>
      </c>
      <c r="P28" s="54">
        <f t="shared" si="17"/>
        <v>206</v>
      </c>
      <c r="Q28" s="54">
        <f t="shared" si="17"/>
        <v>203</v>
      </c>
      <c r="R28" s="54" t="str">
        <f t="shared" si="17"/>
        <v>-</v>
      </c>
      <c r="S28" s="54">
        <f t="shared" si="17"/>
        <v>201</v>
      </c>
      <c r="T28" s="54" t="str">
        <f t="shared" si="17"/>
        <v>-</v>
      </c>
      <c r="U28" s="54">
        <f t="shared" si="17"/>
        <v>201</v>
      </c>
      <c r="V28" s="54" t="str">
        <f t="shared" si="17"/>
        <v>-</v>
      </c>
      <c r="W28" s="54">
        <f t="shared" si="17"/>
        <v>201</v>
      </c>
      <c r="X28" s="54">
        <f t="shared" si="17"/>
        <v>201</v>
      </c>
      <c r="Y28" s="54" t="str">
        <f t="shared" si="17"/>
        <v>-</v>
      </c>
      <c r="Z28" s="54" t="str">
        <f t="shared" si="17"/>
        <v>-</v>
      </c>
      <c r="AA28" s="54" t="str">
        <f t="shared" si="17"/>
        <v>-</v>
      </c>
      <c r="AB28" s="54" t="str">
        <f t="shared" si="17"/>
        <v>-</v>
      </c>
      <c r="AC28" s="54" t="str">
        <f t="shared" si="17"/>
        <v>-</v>
      </c>
      <c r="AD28" s="54" t="str">
        <f t="shared" si="17"/>
        <v>-</v>
      </c>
      <c r="AE28" s="54" t="str">
        <f t="shared" si="17"/>
        <v>-</v>
      </c>
      <c r="AF28" s="54" t="str">
        <f t="shared" si="17"/>
        <v>-</v>
      </c>
      <c r="AG28" s="54" t="str">
        <f t="shared" si="17"/>
        <v>-</v>
      </c>
      <c r="AH28" s="54" t="str">
        <f t="shared" si="17"/>
        <v>-</v>
      </c>
      <c r="AI28" s="54" t="str">
        <f t="shared" si="17"/>
        <v>-</v>
      </c>
      <c r="AJ28" s="54" t="str">
        <f t="shared" si="17"/>
        <v>-</v>
      </c>
      <c r="AK28" s="54" t="str">
        <f t="shared" si="17"/>
        <v>-</v>
      </c>
      <c r="AL28" s="54" t="str">
        <f t="shared" si="17"/>
        <v>-</v>
      </c>
      <c r="AM28" s="54" t="str">
        <f t="shared" si="17"/>
        <v>-</v>
      </c>
      <c r="AN28" s="54" t="str">
        <f t="shared" si="17"/>
        <v>-</v>
      </c>
      <c r="AO28" s="54" t="str">
        <f t="shared" si="17"/>
        <v>-</v>
      </c>
      <c r="AP28" s="54" t="str">
        <f t="shared" si="17"/>
        <v>-</v>
      </c>
      <c r="AQ28" s="54" t="str">
        <f t="shared" si="17"/>
        <v>-</v>
      </c>
      <c r="AR28" s="54" t="str">
        <f t="shared" si="17"/>
        <v>-</v>
      </c>
      <c r="AS28" s="54" t="str">
        <f t="shared" si="17"/>
        <v>-</v>
      </c>
      <c r="AT28" s="54" t="str">
        <f t="shared" si="17"/>
        <v>-</v>
      </c>
      <c r="AU28" s="64" t="str">
        <f t="shared" si="17"/>
        <v>-</v>
      </c>
      <c r="AV28" s="141" t="str">
        <f t="shared" si="17"/>
        <v>ASME</v>
      </c>
      <c r="AW28" s="59">
        <f t="shared" si="17"/>
        <v>750</v>
      </c>
      <c r="AX28" s="54">
        <f t="shared" si="17"/>
        <v>750</v>
      </c>
      <c r="AY28" s="54" t="str">
        <f t="shared" ref="AY28:CG28" si="18">AY27</f>
        <v>-</v>
      </c>
      <c r="AZ28" s="54" t="str">
        <f t="shared" si="18"/>
        <v>-</v>
      </c>
      <c r="BA28" s="54">
        <f t="shared" si="18"/>
        <v>698</v>
      </c>
      <c r="BB28" s="54" t="str">
        <f t="shared" si="18"/>
        <v>-</v>
      </c>
      <c r="BC28" s="54">
        <f t="shared" si="18"/>
        <v>647</v>
      </c>
      <c r="BD28" s="54" t="str">
        <f t="shared" si="18"/>
        <v>-</v>
      </c>
      <c r="BE28" s="54">
        <f t="shared" si="18"/>
        <v>638</v>
      </c>
      <c r="BF28" s="54">
        <f t="shared" si="18"/>
        <v>638</v>
      </c>
      <c r="BG28" s="54">
        <f t="shared" si="18"/>
        <v>638</v>
      </c>
      <c r="BH28" s="54">
        <f t="shared" si="18"/>
        <v>638</v>
      </c>
      <c r="BI28" s="54">
        <f t="shared" si="18"/>
        <v>638</v>
      </c>
      <c r="BJ28" s="54">
        <f t="shared" si="18"/>
        <v>638</v>
      </c>
      <c r="BK28" s="54" t="str">
        <f t="shared" si="18"/>
        <v>-</v>
      </c>
      <c r="BL28" s="54" t="str">
        <f t="shared" si="18"/>
        <v>-</v>
      </c>
      <c r="BM28" s="54" t="str">
        <f t="shared" si="18"/>
        <v>-</v>
      </c>
      <c r="BN28" s="54" t="str">
        <f t="shared" si="18"/>
        <v>-</v>
      </c>
      <c r="BO28" s="54" t="str">
        <f t="shared" si="18"/>
        <v>-</v>
      </c>
      <c r="BP28" s="54" t="str">
        <f t="shared" si="18"/>
        <v>-</v>
      </c>
      <c r="BQ28" s="54" t="str">
        <f t="shared" si="18"/>
        <v>-</v>
      </c>
      <c r="BR28" s="54" t="str">
        <f t="shared" si="18"/>
        <v>-</v>
      </c>
      <c r="BS28" s="54" t="str">
        <f t="shared" si="18"/>
        <v>-</v>
      </c>
      <c r="BT28" s="54" t="str">
        <f t="shared" si="18"/>
        <v>-</v>
      </c>
      <c r="BU28" s="54" t="str">
        <f t="shared" si="18"/>
        <v>-</v>
      </c>
      <c r="BV28" s="54" t="str">
        <f t="shared" si="18"/>
        <v>-</v>
      </c>
      <c r="BW28" s="54" t="str">
        <f t="shared" si="18"/>
        <v>-</v>
      </c>
      <c r="BX28" s="54" t="str">
        <f t="shared" si="18"/>
        <v>-</v>
      </c>
      <c r="BY28" s="54" t="str">
        <f t="shared" si="18"/>
        <v>-</v>
      </c>
      <c r="BZ28" s="54" t="str">
        <f t="shared" si="18"/>
        <v>-</v>
      </c>
      <c r="CA28" s="54" t="str">
        <f t="shared" si="18"/>
        <v>-</v>
      </c>
      <c r="CB28" s="54" t="str">
        <f t="shared" si="18"/>
        <v>-</v>
      </c>
      <c r="CC28" s="54" t="str">
        <f t="shared" si="18"/>
        <v>-</v>
      </c>
      <c r="CD28" s="54" t="str">
        <f t="shared" si="18"/>
        <v>-</v>
      </c>
      <c r="CE28" s="54" t="str">
        <f t="shared" si="18"/>
        <v>-</v>
      </c>
      <c r="CF28" s="54" t="str">
        <f t="shared" si="18"/>
        <v>-</v>
      </c>
      <c r="CG28" s="139" t="str">
        <f t="shared" si="18"/>
        <v>-</v>
      </c>
      <c r="CH28" s="59">
        <f>CH27</f>
        <v>550</v>
      </c>
      <c r="CI28" s="54">
        <f>CI27</f>
        <v>550</v>
      </c>
      <c r="CJ28" s="54" t="str">
        <f t="shared" ref="CJ28:DQ28" si="19">CJ27</f>
        <v>-</v>
      </c>
      <c r="CK28" s="54">
        <f t="shared" si="19"/>
        <v>489</v>
      </c>
      <c r="CL28" s="54">
        <f t="shared" si="19"/>
        <v>455</v>
      </c>
      <c r="CM28" s="54">
        <f t="shared" si="19"/>
        <v>437</v>
      </c>
      <c r="CN28" s="54">
        <f t="shared" si="19"/>
        <v>424</v>
      </c>
      <c r="CO28" s="54">
        <f t="shared" si="19"/>
        <v>415</v>
      </c>
      <c r="CP28" s="54">
        <f t="shared" si="19"/>
        <v>409</v>
      </c>
      <c r="CQ28" s="54">
        <f t="shared" si="19"/>
        <v>405</v>
      </c>
      <c r="CR28" s="54">
        <f t="shared" si="19"/>
        <v>404</v>
      </c>
      <c r="CS28" s="54">
        <f t="shared" si="19"/>
        <v>403</v>
      </c>
      <c r="CT28" s="54">
        <f t="shared" si="19"/>
        <v>402</v>
      </c>
      <c r="CU28" s="54">
        <f t="shared" si="19"/>
        <v>401</v>
      </c>
      <c r="CV28" s="54" t="str">
        <f t="shared" si="19"/>
        <v>-</v>
      </c>
      <c r="CW28" s="54" t="str">
        <f t="shared" si="19"/>
        <v>-</v>
      </c>
      <c r="CX28" s="54" t="str">
        <f t="shared" si="19"/>
        <v>-</v>
      </c>
      <c r="CY28" s="54" t="str">
        <f t="shared" si="19"/>
        <v>-</v>
      </c>
      <c r="CZ28" s="54" t="str">
        <f t="shared" si="19"/>
        <v>-</v>
      </c>
      <c r="DA28" s="54" t="str">
        <f t="shared" si="19"/>
        <v>-</v>
      </c>
      <c r="DB28" s="54" t="str">
        <f t="shared" si="19"/>
        <v>-</v>
      </c>
      <c r="DC28" s="54" t="str">
        <f t="shared" si="19"/>
        <v>-</v>
      </c>
      <c r="DD28" s="54" t="str">
        <f t="shared" si="19"/>
        <v>-</v>
      </c>
      <c r="DE28" s="54" t="str">
        <f t="shared" si="19"/>
        <v>-</v>
      </c>
      <c r="DF28" s="54" t="str">
        <f t="shared" si="19"/>
        <v>-</v>
      </c>
      <c r="DG28" s="54" t="str">
        <f t="shared" si="19"/>
        <v>-</v>
      </c>
      <c r="DH28" s="54" t="str">
        <f t="shared" si="19"/>
        <v>-</v>
      </c>
      <c r="DI28" s="54" t="str">
        <f t="shared" si="19"/>
        <v>-</v>
      </c>
      <c r="DJ28" s="54" t="str">
        <f t="shared" si="19"/>
        <v>-</v>
      </c>
      <c r="DK28" s="54" t="str">
        <f t="shared" si="19"/>
        <v>-</v>
      </c>
      <c r="DL28" s="54" t="str">
        <f t="shared" si="19"/>
        <v>-</v>
      </c>
      <c r="DM28" s="54" t="str">
        <f t="shared" si="19"/>
        <v>-</v>
      </c>
      <c r="DN28" s="54" t="str">
        <f t="shared" si="19"/>
        <v>-</v>
      </c>
      <c r="DO28" s="54" t="str">
        <f t="shared" si="19"/>
        <v>-</v>
      </c>
      <c r="DP28" s="54" t="str">
        <f t="shared" si="19"/>
        <v>-</v>
      </c>
      <c r="DQ28" s="54" t="str">
        <f t="shared" si="19"/>
        <v>-</v>
      </c>
      <c r="DR28" s="64" t="str">
        <f>DR27</f>
        <v>-</v>
      </c>
    </row>
    <row r="29" spans="1:122">
      <c r="A29" s="53" t="s">
        <v>71</v>
      </c>
      <c r="B29" s="53"/>
      <c r="C29" s="53" t="s">
        <v>56</v>
      </c>
      <c r="D29" s="53" t="s">
        <v>16</v>
      </c>
      <c r="E29" s="53">
        <v>20</v>
      </c>
      <c r="F29" s="53" t="s">
        <v>72</v>
      </c>
      <c r="G29" s="82" t="s">
        <v>17</v>
      </c>
      <c r="H29" s="72">
        <v>655</v>
      </c>
      <c r="I29" s="48">
        <v>585</v>
      </c>
      <c r="J29" s="82" t="s">
        <v>73</v>
      </c>
      <c r="K29" s="63">
        <v>236</v>
      </c>
      <c r="L29" s="34">
        <v>236</v>
      </c>
      <c r="M29" s="34">
        <v>236</v>
      </c>
      <c r="N29" s="34">
        <v>236</v>
      </c>
      <c r="O29" s="34">
        <v>236</v>
      </c>
      <c r="P29" s="34">
        <v>236</v>
      </c>
      <c r="Q29" s="34">
        <v>236</v>
      </c>
      <c r="R29" s="34">
        <v>236</v>
      </c>
      <c r="S29" s="34">
        <v>236</v>
      </c>
      <c r="T29" s="54" t="s">
        <v>16</v>
      </c>
      <c r="U29" s="54" t="s">
        <v>16</v>
      </c>
      <c r="V29" s="54" t="s">
        <v>16</v>
      </c>
      <c r="W29" s="54" t="s">
        <v>16</v>
      </c>
      <c r="X29" s="54" t="s">
        <v>16</v>
      </c>
      <c r="Y29" s="54" t="s">
        <v>16</v>
      </c>
      <c r="Z29" s="54" t="s">
        <v>16</v>
      </c>
      <c r="AA29" s="54" t="s">
        <v>16</v>
      </c>
      <c r="AB29" s="54" t="s">
        <v>16</v>
      </c>
      <c r="AC29" s="54" t="s">
        <v>16</v>
      </c>
      <c r="AD29" s="54" t="s">
        <v>16</v>
      </c>
      <c r="AE29" s="54" t="s">
        <v>16</v>
      </c>
      <c r="AF29" s="54" t="s">
        <v>16</v>
      </c>
      <c r="AG29" s="54" t="s">
        <v>16</v>
      </c>
      <c r="AH29" s="54" t="s">
        <v>16</v>
      </c>
      <c r="AI29" s="54" t="s">
        <v>16</v>
      </c>
      <c r="AJ29" s="54" t="s">
        <v>16</v>
      </c>
      <c r="AK29" s="54" t="s">
        <v>16</v>
      </c>
      <c r="AL29" s="54" t="s">
        <v>16</v>
      </c>
      <c r="AM29" s="54" t="s">
        <v>16</v>
      </c>
      <c r="AN29" s="54" t="s">
        <v>16</v>
      </c>
      <c r="AO29" s="54" t="s">
        <v>16</v>
      </c>
      <c r="AP29" s="54" t="s">
        <v>16</v>
      </c>
      <c r="AQ29" s="54" t="s">
        <v>16</v>
      </c>
      <c r="AR29" s="54" t="s">
        <v>16</v>
      </c>
      <c r="AS29" s="54" t="s">
        <v>16</v>
      </c>
      <c r="AT29" s="54" t="s">
        <v>16</v>
      </c>
      <c r="AU29" s="64" t="s">
        <v>16</v>
      </c>
      <c r="AV29" s="141" t="s">
        <v>73</v>
      </c>
      <c r="AW29" s="63">
        <v>827</v>
      </c>
      <c r="AX29" s="34">
        <v>827</v>
      </c>
      <c r="AY29" s="34">
        <v>827</v>
      </c>
      <c r="AZ29" s="34">
        <v>827</v>
      </c>
      <c r="BA29" s="34">
        <v>827</v>
      </c>
      <c r="BB29" s="34">
        <v>827</v>
      </c>
      <c r="BC29" s="34">
        <v>827</v>
      </c>
      <c r="BD29" s="34">
        <v>827</v>
      </c>
      <c r="BE29" s="34">
        <v>827</v>
      </c>
      <c r="BF29" s="54" t="s">
        <v>16</v>
      </c>
      <c r="BG29" s="54" t="s">
        <v>16</v>
      </c>
      <c r="BH29" s="54" t="s">
        <v>16</v>
      </c>
      <c r="BI29" s="54" t="s">
        <v>16</v>
      </c>
      <c r="BJ29" s="54" t="s">
        <v>16</v>
      </c>
      <c r="BK29" s="54" t="s">
        <v>16</v>
      </c>
      <c r="BL29" s="54" t="s">
        <v>16</v>
      </c>
      <c r="BM29" s="54" t="s">
        <v>16</v>
      </c>
      <c r="BN29" s="54" t="s">
        <v>16</v>
      </c>
      <c r="BO29" s="54" t="s">
        <v>16</v>
      </c>
      <c r="BP29" s="54" t="s">
        <v>16</v>
      </c>
      <c r="BQ29" s="54" t="s">
        <v>16</v>
      </c>
      <c r="BR29" s="54" t="s">
        <v>16</v>
      </c>
      <c r="BS29" s="54" t="s">
        <v>16</v>
      </c>
      <c r="BT29" s="54" t="s">
        <v>16</v>
      </c>
      <c r="BU29" s="54" t="s">
        <v>16</v>
      </c>
      <c r="BV29" s="54" t="s">
        <v>16</v>
      </c>
      <c r="BW29" s="54" t="s">
        <v>16</v>
      </c>
      <c r="BX29" s="54" t="s">
        <v>16</v>
      </c>
      <c r="BY29" s="54" t="s">
        <v>16</v>
      </c>
      <c r="BZ29" s="54" t="s">
        <v>16</v>
      </c>
      <c r="CA29" s="54" t="s">
        <v>16</v>
      </c>
      <c r="CB29" s="54" t="s">
        <v>16</v>
      </c>
      <c r="CC29" s="54" t="s">
        <v>16</v>
      </c>
      <c r="CD29" s="54" t="s">
        <v>16</v>
      </c>
      <c r="CE29" s="54" t="s">
        <v>16</v>
      </c>
      <c r="CF29" s="54" t="s">
        <v>16</v>
      </c>
      <c r="CG29" s="139" t="s">
        <v>16</v>
      </c>
      <c r="CH29" s="63">
        <v>689</v>
      </c>
      <c r="CI29" s="34">
        <v>686</v>
      </c>
      <c r="CJ29" s="34">
        <v>677</v>
      </c>
      <c r="CK29" s="34">
        <v>650</v>
      </c>
      <c r="CL29" s="34">
        <v>627</v>
      </c>
      <c r="CM29" s="34">
        <v>618</v>
      </c>
      <c r="CN29" s="34">
        <v>610</v>
      </c>
      <c r="CO29" s="34">
        <v>601</v>
      </c>
      <c r="CP29" s="34">
        <v>592</v>
      </c>
      <c r="CQ29" s="54" t="s">
        <v>16</v>
      </c>
      <c r="CR29" s="54" t="s">
        <v>16</v>
      </c>
      <c r="CS29" s="54" t="s">
        <v>16</v>
      </c>
      <c r="CT29" s="54" t="s">
        <v>16</v>
      </c>
      <c r="CU29" s="54" t="s">
        <v>16</v>
      </c>
      <c r="CV29" s="54" t="s">
        <v>16</v>
      </c>
      <c r="CW29" s="54" t="s">
        <v>16</v>
      </c>
      <c r="CX29" s="54" t="s">
        <v>16</v>
      </c>
      <c r="CY29" s="54" t="s">
        <v>16</v>
      </c>
      <c r="CZ29" s="54" t="s">
        <v>16</v>
      </c>
      <c r="DA29" s="54" t="s">
        <v>16</v>
      </c>
      <c r="DB29" s="54" t="s">
        <v>16</v>
      </c>
      <c r="DC29" s="54" t="s">
        <v>16</v>
      </c>
      <c r="DD29" s="54" t="s">
        <v>16</v>
      </c>
      <c r="DE29" s="54" t="s">
        <v>16</v>
      </c>
      <c r="DF29" s="54" t="s">
        <v>16</v>
      </c>
      <c r="DG29" s="54" t="s">
        <v>16</v>
      </c>
      <c r="DH29" s="54" t="s">
        <v>16</v>
      </c>
      <c r="DI29" s="54" t="s">
        <v>16</v>
      </c>
      <c r="DJ29" s="54" t="s">
        <v>16</v>
      </c>
      <c r="DK29" s="54" t="s">
        <v>16</v>
      </c>
      <c r="DL29" s="54" t="s">
        <v>16</v>
      </c>
      <c r="DM29" s="54" t="s">
        <v>16</v>
      </c>
      <c r="DN29" s="54" t="s">
        <v>16</v>
      </c>
      <c r="DO29" s="54" t="s">
        <v>16</v>
      </c>
      <c r="DP29" s="54" t="s">
        <v>16</v>
      </c>
      <c r="DQ29" s="54" t="s">
        <v>16</v>
      </c>
      <c r="DR29" s="64" t="s">
        <v>16</v>
      </c>
    </row>
    <row r="30" spans="1:122">
      <c r="A30" s="62" t="str">
        <f t="shared" ref="A30:C32" si="20">A29</f>
        <v>ASTM A576 Gr.1045</v>
      </c>
      <c r="B30" s="62"/>
      <c r="C30" s="56" t="str">
        <f t="shared" si="20"/>
        <v>bar: general</v>
      </c>
      <c r="D30" s="56">
        <v>20</v>
      </c>
      <c r="E30" s="53">
        <v>30</v>
      </c>
      <c r="F30" s="53" t="s">
        <v>72</v>
      </c>
      <c r="G30" s="82" t="str">
        <f>G29</f>
        <v>ASTM</v>
      </c>
      <c r="H30" s="72">
        <v>620</v>
      </c>
      <c r="I30" s="48">
        <v>550</v>
      </c>
      <c r="J30" s="82" t="str">
        <f t="shared" ref="J30:S30" si="21">J29</f>
        <v>UNS</v>
      </c>
      <c r="K30" s="63">
        <f t="shared" si="21"/>
        <v>236</v>
      </c>
      <c r="L30" s="34">
        <f t="shared" si="21"/>
        <v>236</v>
      </c>
      <c r="M30" s="34">
        <f t="shared" si="21"/>
        <v>236</v>
      </c>
      <c r="N30" s="34">
        <f t="shared" si="21"/>
        <v>236</v>
      </c>
      <c r="O30" s="34">
        <f t="shared" si="21"/>
        <v>236</v>
      </c>
      <c r="P30" s="34">
        <f t="shared" si="21"/>
        <v>236</v>
      </c>
      <c r="Q30" s="34">
        <f t="shared" si="21"/>
        <v>236</v>
      </c>
      <c r="R30" s="34">
        <f t="shared" si="21"/>
        <v>236</v>
      </c>
      <c r="S30" s="34">
        <f t="shared" si="21"/>
        <v>236</v>
      </c>
      <c r="T30" s="54" t="s">
        <v>16</v>
      </c>
      <c r="U30" s="54" t="s">
        <v>16</v>
      </c>
      <c r="V30" s="54" t="s">
        <v>16</v>
      </c>
      <c r="W30" s="54" t="s">
        <v>16</v>
      </c>
      <c r="X30" s="54" t="s">
        <v>16</v>
      </c>
      <c r="Y30" s="54" t="s">
        <v>16</v>
      </c>
      <c r="Z30" s="54" t="s">
        <v>16</v>
      </c>
      <c r="AA30" s="54" t="s">
        <v>16</v>
      </c>
      <c r="AB30" s="54" t="s">
        <v>16</v>
      </c>
      <c r="AC30" s="54" t="s">
        <v>16</v>
      </c>
      <c r="AD30" s="54" t="s">
        <v>16</v>
      </c>
      <c r="AE30" s="54" t="s">
        <v>16</v>
      </c>
      <c r="AF30" s="54" t="s">
        <v>16</v>
      </c>
      <c r="AG30" s="54" t="s">
        <v>16</v>
      </c>
      <c r="AH30" s="54" t="s">
        <v>16</v>
      </c>
      <c r="AI30" s="54" t="s">
        <v>16</v>
      </c>
      <c r="AJ30" s="54" t="s">
        <v>16</v>
      </c>
      <c r="AK30" s="54" t="s">
        <v>16</v>
      </c>
      <c r="AL30" s="54" t="s">
        <v>16</v>
      </c>
      <c r="AM30" s="54" t="s">
        <v>16</v>
      </c>
      <c r="AN30" s="54" t="s">
        <v>16</v>
      </c>
      <c r="AO30" s="54" t="s">
        <v>16</v>
      </c>
      <c r="AP30" s="54" t="s">
        <v>16</v>
      </c>
      <c r="AQ30" s="54" t="s">
        <v>16</v>
      </c>
      <c r="AR30" s="54" t="s">
        <v>16</v>
      </c>
      <c r="AS30" s="54" t="s">
        <v>16</v>
      </c>
      <c r="AT30" s="54" t="s">
        <v>16</v>
      </c>
      <c r="AU30" s="64" t="s">
        <v>16</v>
      </c>
      <c r="AV30" s="48" t="str">
        <f t="shared" ref="AV30:AX32" si="22">AV29</f>
        <v>UNS</v>
      </c>
      <c r="AW30" s="63">
        <f t="shared" si="22"/>
        <v>827</v>
      </c>
      <c r="AX30" s="34">
        <f t="shared" si="22"/>
        <v>827</v>
      </c>
      <c r="AY30" s="34">
        <f t="shared" ref="AY30:DJ32" si="23">AY29</f>
        <v>827</v>
      </c>
      <c r="AZ30" s="34">
        <f t="shared" si="23"/>
        <v>827</v>
      </c>
      <c r="BA30" s="34">
        <f t="shared" si="23"/>
        <v>827</v>
      </c>
      <c r="BB30" s="34">
        <f t="shared" si="23"/>
        <v>827</v>
      </c>
      <c r="BC30" s="34">
        <f t="shared" si="23"/>
        <v>827</v>
      </c>
      <c r="BD30" s="34">
        <f t="shared" si="23"/>
        <v>827</v>
      </c>
      <c r="BE30" s="34">
        <f t="shared" si="23"/>
        <v>827</v>
      </c>
      <c r="BF30" s="34" t="str">
        <f t="shared" si="23"/>
        <v>-</v>
      </c>
      <c r="BG30" s="34" t="str">
        <f t="shared" si="23"/>
        <v>-</v>
      </c>
      <c r="BH30" s="34" t="str">
        <f t="shared" si="23"/>
        <v>-</v>
      </c>
      <c r="BI30" s="34" t="str">
        <f t="shared" si="23"/>
        <v>-</v>
      </c>
      <c r="BJ30" s="34" t="str">
        <f t="shared" si="23"/>
        <v>-</v>
      </c>
      <c r="BK30" s="34" t="str">
        <f t="shared" si="23"/>
        <v>-</v>
      </c>
      <c r="BL30" s="34" t="str">
        <f t="shared" si="23"/>
        <v>-</v>
      </c>
      <c r="BM30" s="34" t="str">
        <f t="shared" si="23"/>
        <v>-</v>
      </c>
      <c r="BN30" s="34" t="str">
        <f t="shared" si="23"/>
        <v>-</v>
      </c>
      <c r="BO30" s="34" t="str">
        <f t="shared" si="23"/>
        <v>-</v>
      </c>
      <c r="BP30" s="34" t="str">
        <f t="shared" si="23"/>
        <v>-</v>
      </c>
      <c r="BQ30" s="34" t="str">
        <f t="shared" si="23"/>
        <v>-</v>
      </c>
      <c r="BR30" s="34" t="str">
        <f t="shared" si="23"/>
        <v>-</v>
      </c>
      <c r="BS30" s="34" t="str">
        <f t="shared" si="23"/>
        <v>-</v>
      </c>
      <c r="BT30" s="34" t="str">
        <f t="shared" si="23"/>
        <v>-</v>
      </c>
      <c r="BU30" s="34" t="str">
        <f t="shared" si="23"/>
        <v>-</v>
      </c>
      <c r="BV30" s="34" t="str">
        <f t="shared" si="23"/>
        <v>-</v>
      </c>
      <c r="BW30" s="34" t="str">
        <f t="shared" si="23"/>
        <v>-</v>
      </c>
      <c r="BX30" s="34" t="str">
        <f t="shared" si="23"/>
        <v>-</v>
      </c>
      <c r="BY30" s="34" t="str">
        <f t="shared" si="23"/>
        <v>-</v>
      </c>
      <c r="BZ30" s="34" t="str">
        <f t="shared" si="23"/>
        <v>-</v>
      </c>
      <c r="CA30" s="34" t="str">
        <f t="shared" si="23"/>
        <v>-</v>
      </c>
      <c r="CB30" s="34" t="str">
        <f t="shared" si="23"/>
        <v>-</v>
      </c>
      <c r="CC30" s="34" t="str">
        <f t="shared" si="23"/>
        <v>-</v>
      </c>
      <c r="CD30" s="34" t="str">
        <f t="shared" si="23"/>
        <v>-</v>
      </c>
      <c r="CE30" s="34" t="str">
        <f t="shared" si="23"/>
        <v>-</v>
      </c>
      <c r="CF30" s="34" t="str">
        <f t="shared" si="23"/>
        <v>-</v>
      </c>
      <c r="CG30" s="44" t="str">
        <f t="shared" si="23"/>
        <v>-</v>
      </c>
      <c r="CH30" s="63">
        <f t="shared" si="23"/>
        <v>689</v>
      </c>
      <c r="CI30" s="34">
        <f t="shared" si="23"/>
        <v>686</v>
      </c>
      <c r="CJ30" s="34">
        <f t="shared" si="23"/>
        <v>677</v>
      </c>
      <c r="CK30" s="34">
        <f t="shared" si="23"/>
        <v>650</v>
      </c>
      <c r="CL30" s="34">
        <f t="shared" si="23"/>
        <v>627</v>
      </c>
      <c r="CM30" s="34">
        <f t="shared" si="23"/>
        <v>618</v>
      </c>
      <c r="CN30" s="34">
        <f t="shared" si="23"/>
        <v>610</v>
      </c>
      <c r="CO30" s="34">
        <f t="shared" si="23"/>
        <v>601</v>
      </c>
      <c r="CP30" s="34">
        <f t="shared" si="23"/>
        <v>592</v>
      </c>
      <c r="CQ30" s="34" t="str">
        <f t="shared" si="23"/>
        <v>-</v>
      </c>
      <c r="CR30" s="34" t="str">
        <f t="shared" si="23"/>
        <v>-</v>
      </c>
      <c r="CS30" s="34" t="str">
        <f t="shared" si="23"/>
        <v>-</v>
      </c>
      <c r="CT30" s="34" t="str">
        <f t="shared" si="23"/>
        <v>-</v>
      </c>
      <c r="CU30" s="34" t="str">
        <f t="shared" si="23"/>
        <v>-</v>
      </c>
      <c r="CV30" s="34" t="str">
        <f t="shared" si="23"/>
        <v>-</v>
      </c>
      <c r="CW30" s="34" t="str">
        <f t="shared" si="23"/>
        <v>-</v>
      </c>
      <c r="CX30" s="34" t="str">
        <f t="shared" si="23"/>
        <v>-</v>
      </c>
      <c r="CY30" s="34" t="str">
        <f t="shared" si="23"/>
        <v>-</v>
      </c>
      <c r="CZ30" s="34" t="str">
        <f t="shared" si="23"/>
        <v>-</v>
      </c>
      <c r="DA30" s="34" t="str">
        <f t="shared" si="23"/>
        <v>-</v>
      </c>
      <c r="DB30" s="34" t="str">
        <f t="shared" si="23"/>
        <v>-</v>
      </c>
      <c r="DC30" s="34" t="str">
        <f t="shared" si="23"/>
        <v>-</v>
      </c>
      <c r="DD30" s="34" t="str">
        <f t="shared" si="23"/>
        <v>-</v>
      </c>
      <c r="DE30" s="34" t="str">
        <f t="shared" si="23"/>
        <v>-</v>
      </c>
      <c r="DF30" s="34" t="str">
        <f t="shared" si="23"/>
        <v>-</v>
      </c>
      <c r="DG30" s="34" t="str">
        <f t="shared" si="23"/>
        <v>-</v>
      </c>
      <c r="DH30" s="34" t="str">
        <f t="shared" si="23"/>
        <v>-</v>
      </c>
      <c r="DI30" s="34" t="str">
        <f t="shared" si="23"/>
        <v>-</v>
      </c>
      <c r="DJ30" s="34" t="str">
        <f t="shared" si="23"/>
        <v>-</v>
      </c>
      <c r="DK30" s="34" t="str">
        <f t="shared" ref="DK30:DR32" si="24">DK29</f>
        <v>-</v>
      </c>
      <c r="DL30" s="34" t="str">
        <f t="shared" si="24"/>
        <v>-</v>
      </c>
      <c r="DM30" s="34" t="str">
        <f t="shared" si="24"/>
        <v>-</v>
      </c>
      <c r="DN30" s="34" t="str">
        <f t="shared" si="24"/>
        <v>-</v>
      </c>
      <c r="DO30" s="34" t="str">
        <f t="shared" si="24"/>
        <v>-</v>
      </c>
      <c r="DP30" s="34" t="str">
        <f t="shared" si="24"/>
        <v>-</v>
      </c>
      <c r="DQ30" s="34" t="str">
        <f t="shared" si="24"/>
        <v>-</v>
      </c>
      <c r="DR30" s="55" t="str">
        <f t="shared" si="24"/>
        <v>-</v>
      </c>
    </row>
    <row r="31" spans="1:122">
      <c r="A31" s="62" t="str">
        <f t="shared" si="20"/>
        <v>ASTM A576 Gr.1045</v>
      </c>
      <c r="B31" s="62"/>
      <c r="C31" s="56" t="str">
        <f t="shared" si="20"/>
        <v>bar: general</v>
      </c>
      <c r="D31" s="56">
        <v>30</v>
      </c>
      <c r="E31" s="53">
        <v>50</v>
      </c>
      <c r="F31" s="53" t="s">
        <v>72</v>
      </c>
      <c r="G31" s="82" t="str">
        <f>G30</f>
        <v>ASTM</v>
      </c>
      <c r="H31" s="72">
        <v>585</v>
      </c>
      <c r="I31" s="48">
        <v>520</v>
      </c>
      <c r="J31" s="82" t="str">
        <f>J30</f>
        <v>UNS</v>
      </c>
      <c r="K31" s="63">
        <f>K29</f>
        <v>236</v>
      </c>
      <c r="L31" s="34">
        <f>L29</f>
        <v>236</v>
      </c>
      <c r="M31" s="34">
        <f>M29</f>
        <v>236</v>
      </c>
      <c r="N31" s="34">
        <f t="shared" ref="N31:S31" si="25">N29</f>
        <v>236</v>
      </c>
      <c r="O31" s="34">
        <f t="shared" si="25"/>
        <v>236</v>
      </c>
      <c r="P31" s="34">
        <f t="shared" si="25"/>
        <v>236</v>
      </c>
      <c r="Q31" s="34">
        <f t="shared" si="25"/>
        <v>236</v>
      </c>
      <c r="R31" s="34">
        <f t="shared" si="25"/>
        <v>236</v>
      </c>
      <c r="S31" s="34">
        <f t="shared" si="25"/>
        <v>236</v>
      </c>
      <c r="T31" s="54" t="s">
        <v>16</v>
      </c>
      <c r="U31" s="54" t="s">
        <v>16</v>
      </c>
      <c r="V31" s="54" t="s">
        <v>16</v>
      </c>
      <c r="W31" s="54" t="s">
        <v>16</v>
      </c>
      <c r="X31" s="54" t="s">
        <v>16</v>
      </c>
      <c r="Y31" s="54" t="s">
        <v>16</v>
      </c>
      <c r="Z31" s="54" t="s">
        <v>16</v>
      </c>
      <c r="AA31" s="54" t="s">
        <v>16</v>
      </c>
      <c r="AB31" s="54" t="s">
        <v>16</v>
      </c>
      <c r="AC31" s="54" t="s">
        <v>16</v>
      </c>
      <c r="AD31" s="54" t="s">
        <v>16</v>
      </c>
      <c r="AE31" s="54" t="s">
        <v>16</v>
      </c>
      <c r="AF31" s="54" t="s">
        <v>16</v>
      </c>
      <c r="AG31" s="54" t="s">
        <v>16</v>
      </c>
      <c r="AH31" s="54" t="s">
        <v>16</v>
      </c>
      <c r="AI31" s="54" t="s">
        <v>16</v>
      </c>
      <c r="AJ31" s="54" t="s">
        <v>16</v>
      </c>
      <c r="AK31" s="54" t="s">
        <v>16</v>
      </c>
      <c r="AL31" s="54" t="s">
        <v>16</v>
      </c>
      <c r="AM31" s="54" t="s">
        <v>16</v>
      </c>
      <c r="AN31" s="54" t="s">
        <v>16</v>
      </c>
      <c r="AO31" s="54" t="s">
        <v>16</v>
      </c>
      <c r="AP31" s="54" t="s">
        <v>16</v>
      </c>
      <c r="AQ31" s="54" t="s">
        <v>16</v>
      </c>
      <c r="AR31" s="54" t="s">
        <v>16</v>
      </c>
      <c r="AS31" s="54" t="s">
        <v>16</v>
      </c>
      <c r="AT31" s="54" t="s">
        <v>16</v>
      </c>
      <c r="AU31" s="64" t="s">
        <v>16</v>
      </c>
      <c r="AV31" s="48" t="str">
        <f t="shared" si="22"/>
        <v>UNS</v>
      </c>
      <c r="AW31" s="63">
        <f t="shared" si="22"/>
        <v>827</v>
      </c>
      <c r="AX31" s="34">
        <f t="shared" si="22"/>
        <v>827</v>
      </c>
      <c r="AY31" s="34">
        <f t="shared" si="23"/>
        <v>827</v>
      </c>
      <c r="AZ31" s="34">
        <f t="shared" si="23"/>
        <v>827</v>
      </c>
      <c r="BA31" s="34">
        <f t="shared" si="23"/>
        <v>827</v>
      </c>
      <c r="BB31" s="34">
        <f t="shared" si="23"/>
        <v>827</v>
      </c>
      <c r="BC31" s="34">
        <f t="shared" si="23"/>
        <v>827</v>
      </c>
      <c r="BD31" s="34">
        <f t="shared" si="23"/>
        <v>827</v>
      </c>
      <c r="BE31" s="34">
        <f t="shared" si="23"/>
        <v>827</v>
      </c>
      <c r="BF31" s="34" t="str">
        <f t="shared" si="23"/>
        <v>-</v>
      </c>
      <c r="BG31" s="34" t="str">
        <f t="shared" si="23"/>
        <v>-</v>
      </c>
      <c r="BH31" s="34" t="str">
        <f t="shared" si="23"/>
        <v>-</v>
      </c>
      <c r="BI31" s="34" t="str">
        <f t="shared" si="23"/>
        <v>-</v>
      </c>
      <c r="BJ31" s="34" t="str">
        <f t="shared" si="23"/>
        <v>-</v>
      </c>
      <c r="BK31" s="34" t="str">
        <f t="shared" si="23"/>
        <v>-</v>
      </c>
      <c r="BL31" s="34" t="str">
        <f t="shared" si="23"/>
        <v>-</v>
      </c>
      <c r="BM31" s="34" t="str">
        <f t="shared" si="23"/>
        <v>-</v>
      </c>
      <c r="BN31" s="34" t="str">
        <f t="shared" si="23"/>
        <v>-</v>
      </c>
      <c r="BO31" s="34" t="str">
        <f t="shared" si="23"/>
        <v>-</v>
      </c>
      <c r="BP31" s="34" t="str">
        <f t="shared" si="23"/>
        <v>-</v>
      </c>
      <c r="BQ31" s="34" t="str">
        <f t="shared" si="23"/>
        <v>-</v>
      </c>
      <c r="BR31" s="34" t="str">
        <f t="shared" si="23"/>
        <v>-</v>
      </c>
      <c r="BS31" s="34" t="str">
        <f t="shared" si="23"/>
        <v>-</v>
      </c>
      <c r="BT31" s="34" t="str">
        <f t="shared" si="23"/>
        <v>-</v>
      </c>
      <c r="BU31" s="34" t="str">
        <f t="shared" si="23"/>
        <v>-</v>
      </c>
      <c r="BV31" s="34" t="str">
        <f t="shared" si="23"/>
        <v>-</v>
      </c>
      <c r="BW31" s="34" t="str">
        <f t="shared" si="23"/>
        <v>-</v>
      </c>
      <c r="BX31" s="34" t="str">
        <f t="shared" si="23"/>
        <v>-</v>
      </c>
      <c r="BY31" s="34" t="str">
        <f t="shared" si="23"/>
        <v>-</v>
      </c>
      <c r="BZ31" s="34" t="str">
        <f t="shared" si="23"/>
        <v>-</v>
      </c>
      <c r="CA31" s="34" t="str">
        <f t="shared" si="23"/>
        <v>-</v>
      </c>
      <c r="CB31" s="34" t="str">
        <f t="shared" si="23"/>
        <v>-</v>
      </c>
      <c r="CC31" s="34" t="str">
        <f t="shared" si="23"/>
        <v>-</v>
      </c>
      <c r="CD31" s="34" t="str">
        <f t="shared" si="23"/>
        <v>-</v>
      </c>
      <c r="CE31" s="34" t="str">
        <f t="shared" si="23"/>
        <v>-</v>
      </c>
      <c r="CF31" s="34" t="str">
        <f t="shared" si="23"/>
        <v>-</v>
      </c>
      <c r="CG31" s="44" t="str">
        <f t="shared" si="23"/>
        <v>-</v>
      </c>
      <c r="CH31" s="63">
        <f t="shared" si="23"/>
        <v>689</v>
      </c>
      <c r="CI31" s="34">
        <f t="shared" si="23"/>
        <v>686</v>
      </c>
      <c r="CJ31" s="34">
        <f t="shared" si="23"/>
        <v>677</v>
      </c>
      <c r="CK31" s="34">
        <f t="shared" si="23"/>
        <v>650</v>
      </c>
      <c r="CL31" s="34">
        <f t="shared" si="23"/>
        <v>627</v>
      </c>
      <c r="CM31" s="34">
        <f t="shared" si="23"/>
        <v>618</v>
      </c>
      <c r="CN31" s="34">
        <f t="shared" si="23"/>
        <v>610</v>
      </c>
      <c r="CO31" s="34">
        <f t="shared" si="23"/>
        <v>601</v>
      </c>
      <c r="CP31" s="34">
        <f t="shared" si="23"/>
        <v>592</v>
      </c>
      <c r="CQ31" s="34" t="str">
        <f t="shared" si="23"/>
        <v>-</v>
      </c>
      <c r="CR31" s="34" t="str">
        <f t="shared" si="23"/>
        <v>-</v>
      </c>
      <c r="CS31" s="34" t="str">
        <f t="shared" si="23"/>
        <v>-</v>
      </c>
      <c r="CT31" s="34" t="str">
        <f t="shared" si="23"/>
        <v>-</v>
      </c>
      <c r="CU31" s="34" t="str">
        <f t="shared" si="23"/>
        <v>-</v>
      </c>
      <c r="CV31" s="34" t="str">
        <f t="shared" si="23"/>
        <v>-</v>
      </c>
      <c r="CW31" s="34" t="str">
        <f t="shared" si="23"/>
        <v>-</v>
      </c>
      <c r="CX31" s="34" t="str">
        <f t="shared" si="23"/>
        <v>-</v>
      </c>
      <c r="CY31" s="34" t="str">
        <f t="shared" si="23"/>
        <v>-</v>
      </c>
      <c r="CZ31" s="34" t="str">
        <f t="shared" si="23"/>
        <v>-</v>
      </c>
      <c r="DA31" s="34" t="str">
        <f t="shared" si="23"/>
        <v>-</v>
      </c>
      <c r="DB31" s="34" t="str">
        <f t="shared" si="23"/>
        <v>-</v>
      </c>
      <c r="DC31" s="34" t="str">
        <f t="shared" si="23"/>
        <v>-</v>
      </c>
      <c r="DD31" s="34" t="str">
        <f t="shared" si="23"/>
        <v>-</v>
      </c>
      <c r="DE31" s="34" t="str">
        <f t="shared" si="23"/>
        <v>-</v>
      </c>
      <c r="DF31" s="34" t="str">
        <f t="shared" si="23"/>
        <v>-</v>
      </c>
      <c r="DG31" s="34" t="str">
        <f t="shared" si="23"/>
        <v>-</v>
      </c>
      <c r="DH31" s="34" t="str">
        <f t="shared" si="23"/>
        <v>-</v>
      </c>
      <c r="DI31" s="34" t="str">
        <f t="shared" si="23"/>
        <v>-</v>
      </c>
      <c r="DJ31" s="34" t="str">
        <f t="shared" si="23"/>
        <v>-</v>
      </c>
      <c r="DK31" s="34" t="str">
        <f t="shared" si="24"/>
        <v>-</v>
      </c>
      <c r="DL31" s="34" t="str">
        <f t="shared" si="24"/>
        <v>-</v>
      </c>
      <c r="DM31" s="34" t="str">
        <f t="shared" si="24"/>
        <v>-</v>
      </c>
      <c r="DN31" s="34" t="str">
        <f t="shared" si="24"/>
        <v>-</v>
      </c>
      <c r="DO31" s="34" t="str">
        <f t="shared" si="24"/>
        <v>-</v>
      </c>
      <c r="DP31" s="34" t="str">
        <f t="shared" si="24"/>
        <v>-</v>
      </c>
      <c r="DQ31" s="34" t="str">
        <f t="shared" si="24"/>
        <v>-</v>
      </c>
      <c r="DR31" s="55" t="str">
        <f t="shared" si="24"/>
        <v>-</v>
      </c>
    </row>
    <row r="32" spans="1:122">
      <c r="A32" s="62" t="str">
        <f t="shared" si="20"/>
        <v>ASTM A576 Gr.1045</v>
      </c>
      <c r="B32" s="62"/>
      <c r="C32" s="56" t="str">
        <f t="shared" si="20"/>
        <v>bar: general</v>
      </c>
      <c r="D32" s="56">
        <v>50</v>
      </c>
      <c r="E32" s="53">
        <v>75</v>
      </c>
      <c r="F32" s="53" t="s">
        <v>72</v>
      </c>
      <c r="G32" s="82" t="str">
        <f>G31</f>
        <v>ASTM</v>
      </c>
      <c r="H32" s="72">
        <v>550</v>
      </c>
      <c r="I32" s="48">
        <v>485</v>
      </c>
      <c r="J32" s="82" t="str">
        <f>J31</f>
        <v>UNS</v>
      </c>
      <c r="K32" s="63">
        <f>K29</f>
        <v>236</v>
      </c>
      <c r="L32" s="34">
        <f>L29</f>
        <v>236</v>
      </c>
      <c r="M32" s="34">
        <f>M29</f>
        <v>236</v>
      </c>
      <c r="N32" s="34">
        <f t="shared" ref="N32:S32" si="26">N29</f>
        <v>236</v>
      </c>
      <c r="O32" s="34">
        <f t="shared" si="26"/>
        <v>236</v>
      </c>
      <c r="P32" s="34">
        <f t="shared" si="26"/>
        <v>236</v>
      </c>
      <c r="Q32" s="34">
        <f t="shared" si="26"/>
        <v>236</v>
      </c>
      <c r="R32" s="34">
        <f t="shared" si="26"/>
        <v>236</v>
      </c>
      <c r="S32" s="34">
        <f t="shared" si="26"/>
        <v>236</v>
      </c>
      <c r="T32" s="54" t="s">
        <v>16</v>
      </c>
      <c r="U32" s="54" t="s">
        <v>16</v>
      </c>
      <c r="V32" s="54" t="s">
        <v>16</v>
      </c>
      <c r="W32" s="54" t="s">
        <v>16</v>
      </c>
      <c r="X32" s="54" t="s">
        <v>16</v>
      </c>
      <c r="Y32" s="54" t="s">
        <v>16</v>
      </c>
      <c r="Z32" s="54" t="s">
        <v>16</v>
      </c>
      <c r="AA32" s="54" t="s">
        <v>16</v>
      </c>
      <c r="AB32" s="54" t="s">
        <v>16</v>
      </c>
      <c r="AC32" s="54" t="s">
        <v>16</v>
      </c>
      <c r="AD32" s="54" t="s">
        <v>16</v>
      </c>
      <c r="AE32" s="54" t="s">
        <v>16</v>
      </c>
      <c r="AF32" s="54" t="s">
        <v>16</v>
      </c>
      <c r="AG32" s="54" t="s">
        <v>16</v>
      </c>
      <c r="AH32" s="54" t="s">
        <v>16</v>
      </c>
      <c r="AI32" s="54" t="s">
        <v>16</v>
      </c>
      <c r="AJ32" s="54" t="s">
        <v>16</v>
      </c>
      <c r="AK32" s="54" t="s">
        <v>16</v>
      </c>
      <c r="AL32" s="54" t="s">
        <v>16</v>
      </c>
      <c r="AM32" s="54" t="s">
        <v>16</v>
      </c>
      <c r="AN32" s="54" t="s">
        <v>16</v>
      </c>
      <c r="AO32" s="54" t="s">
        <v>16</v>
      </c>
      <c r="AP32" s="54" t="s">
        <v>16</v>
      </c>
      <c r="AQ32" s="54" t="s">
        <v>16</v>
      </c>
      <c r="AR32" s="54" t="s">
        <v>16</v>
      </c>
      <c r="AS32" s="54" t="s">
        <v>16</v>
      </c>
      <c r="AT32" s="54" t="s">
        <v>16</v>
      </c>
      <c r="AU32" s="64" t="s">
        <v>16</v>
      </c>
      <c r="AV32" s="48" t="str">
        <f t="shared" si="22"/>
        <v>UNS</v>
      </c>
      <c r="AW32" s="63">
        <f t="shared" si="22"/>
        <v>827</v>
      </c>
      <c r="AX32" s="34">
        <f t="shared" si="22"/>
        <v>827</v>
      </c>
      <c r="AY32" s="34">
        <f t="shared" si="23"/>
        <v>827</v>
      </c>
      <c r="AZ32" s="34">
        <f t="shared" si="23"/>
        <v>827</v>
      </c>
      <c r="BA32" s="34">
        <f t="shared" si="23"/>
        <v>827</v>
      </c>
      <c r="BB32" s="34">
        <f t="shared" si="23"/>
        <v>827</v>
      </c>
      <c r="BC32" s="34">
        <f t="shared" si="23"/>
        <v>827</v>
      </c>
      <c r="BD32" s="34">
        <f t="shared" si="23"/>
        <v>827</v>
      </c>
      <c r="BE32" s="34">
        <f t="shared" si="23"/>
        <v>827</v>
      </c>
      <c r="BF32" s="34" t="str">
        <f t="shared" si="23"/>
        <v>-</v>
      </c>
      <c r="BG32" s="34" t="str">
        <f t="shared" si="23"/>
        <v>-</v>
      </c>
      <c r="BH32" s="34" t="str">
        <f t="shared" si="23"/>
        <v>-</v>
      </c>
      <c r="BI32" s="34" t="str">
        <f t="shared" si="23"/>
        <v>-</v>
      </c>
      <c r="BJ32" s="34" t="str">
        <f t="shared" si="23"/>
        <v>-</v>
      </c>
      <c r="BK32" s="34" t="str">
        <f t="shared" si="23"/>
        <v>-</v>
      </c>
      <c r="BL32" s="34" t="str">
        <f t="shared" si="23"/>
        <v>-</v>
      </c>
      <c r="BM32" s="34" t="str">
        <f t="shared" si="23"/>
        <v>-</v>
      </c>
      <c r="BN32" s="34" t="str">
        <f t="shared" si="23"/>
        <v>-</v>
      </c>
      <c r="BO32" s="34" t="str">
        <f t="shared" si="23"/>
        <v>-</v>
      </c>
      <c r="BP32" s="34" t="str">
        <f t="shared" si="23"/>
        <v>-</v>
      </c>
      <c r="BQ32" s="34" t="str">
        <f t="shared" si="23"/>
        <v>-</v>
      </c>
      <c r="BR32" s="34" t="str">
        <f t="shared" si="23"/>
        <v>-</v>
      </c>
      <c r="BS32" s="34" t="str">
        <f t="shared" si="23"/>
        <v>-</v>
      </c>
      <c r="BT32" s="34" t="str">
        <f t="shared" si="23"/>
        <v>-</v>
      </c>
      <c r="BU32" s="34" t="str">
        <f t="shared" si="23"/>
        <v>-</v>
      </c>
      <c r="BV32" s="34" t="str">
        <f t="shared" si="23"/>
        <v>-</v>
      </c>
      <c r="BW32" s="34" t="str">
        <f t="shared" si="23"/>
        <v>-</v>
      </c>
      <c r="BX32" s="34" t="str">
        <f t="shared" si="23"/>
        <v>-</v>
      </c>
      <c r="BY32" s="34" t="str">
        <f t="shared" si="23"/>
        <v>-</v>
      </c>
      <c r="BZ32" s="34" t="str">
        <f t="shared" si="23"/>
        <v>-</v>
      </c>
      <c r="CA32" s="34" t="str">
        <f t="shared" si="23"/>
        <v>-</v>
      </c>
      <c r="CB32" s="34" t="str">
        <f t="shared" si="23"/>
        <v>-</v>
      </c>
      <c r="CC32" s="34" t="str">
        <f t="shared" si="23"/>
        <v>-</v>
      </c>
      <c r="CD32" s="34" t="str">
        <f t="shared" si="23"/>
        <v>-</v>
      </c>
      <c r="CE32" s="34" t="str">
        <f t="shared" si="23"/>
        <v>-</v>
      </c>
      <c r="CF32" s="34" t="str">
        <f t="shared" si="23"/>
        <v>-</v>
      </c>
      <c r="CG32" s="44" t="str">
        <f t="shared" si="23"/>
        <v>-</v>
      </c>
      <c r="CH32" s="63">
        <f t="shared" si="23"/>
        <v>689</v>
      </c>
      <c r="CI32" s="34">
        <f t="shared" si="23"/>
        <v>686</v>
      </c>
      <c r="CJ32" s="34">
        <f t="shared" si="23"/>
        <v>677</v>
      </c>
      <c r="CK32" s="34">
        <f t="shared" si="23"/>
        <v>650</v>
      </c>
      <c r="CL32" s="34">
        <f t="shared" si="23"/>
        <v>627</v>
      </c>
      <c r="CM32" s="34">
        <f t="shared" si="23"/>
        <v>618</v>
      </c>
      <c r="CN32" s="34">
        <f t="shared" si="23"/>
        <v>610</v>
      </c>
      <c r="CO32" s="34">
        <f t="shared" si="23"/>
        <v>601</v>
      </c>
      <c r="CP32" s="34">
        <f t="shared" si="23"/>
        <v>592</v>
      </c>
      <c r="CQ32" s="34" t="str">
        <f t="shared" si="23"/>
        <v>-</v>
      </c>
      <c r="CR32" s="34" t="str">
        <f t="shared" si="23"/>
        <v>-</v>
      </c>
      <c r="CS32" s="34" t="str">
        <f t="shared" si="23"/>
        <v>-</v>
      </c>
      <c r="CT32" s="34" t="str">
        <f t="shared" si="23"/>
        <v>-</v>
      </c>
      <c r="CU32" s="34" t="str">
        <f t="shared" si="23"/>
        <v>-</v>
      </c>
      <c r="CV32" s="34" t="str">
        <f t="shared" si="23"/>
        <v>-</v>
      </c>
      <c r="CW32" s="34" t="str">
        <f t="shared" si="23"/>
        <v>-</v>
      </c>
      <c r="CX32" s="34" t="str">
        <f t="shared" si="23"/>
        <v>-</v>
      </c>
      <c r="CY32" s="34" t="str">
        <f t="shared" si="23"/>
        <v>-</v>
      </c>
      <c r="CZ32" s="34" t="str">
        <f t="shared" si="23"/>
        <v>-</v>
      </c>
      <c r="DA32" s="34" t="str">
        <f t="shared" si="23"/>
        <v>-</v>
      </c>
      <c r="DB32" s="34" t="str">
        <f t="shared" si="23"/>
        <v>-</v>
      </c>
      <c r="DC32" s="34" t="str">
        <f t="shared" si="23"/>
        <v>-</v>
      </c>
      <c r="DD32" s="34" t="str">
        <f t="shared" si="23"/>
        <v>-</v>
      </c>
      <c r="DE32" s="34" t="str">
        <f t="shared" si="23"/>
        <v>-</v>
      </c>
      <c r="DF32" s="34" t="str">
        <f t="shared" si="23"/>
        <v>-</v>
      </c>
      <c r="DG32" s="34" t="str">
        <f t="shared" si="23"/>
        <v>-</v>
      </c>
      <c r="DH32" s="34" t="str">
        <f t="shared" si="23"/>
        <v>-</v>
      </c>
      <c r="DI32" s="34" t="str">
        <f t="shared" si="23"/>
        <v>-</v>
      </c>
      <c r="DJ32" s="34" t="str">
        <f t="shared" si="23"/>
        <v>-</v>
      </c>
      <c r="DK32" s="34" t="str">
        <f t="shared" si="24"/>
        <v>-</v>
      </c>
      <c r="DL32" s="34" t="str">
        <f t="shared" si="24"/>
        <v>-</v>
      </c>
      <c r="DM32" s="34" t="str">
        <f t="shared" si="24"/>
        <v>-</v>
      </c>
      <c r="DN32" s="34" t="str">
        <f t="shared" si="24"/>
        <v>-</v>
      </c>
      <c r="DO32" s="34" t="str">
        <f t="shared" si="24"/>
        <v>-</v>
      </c>
      <c r="DP32" s="34" t="str">
        <f t="shared" si="24"/>
        <v>-</v>
      </c>
      <c r="DQ32" s="34" t="str">
        <f t="shared" si="24"/>
        <v>-</v>
      </c>
      <c r="DR32" s="55" t="str">
        <f t="shared" si="24"/>
        <v>-</v>
      </c>
    </row>
    <row r="33" spans="1:122">
      <c r="A33" s="62" t="s">
        <v>74</v>
      </c>
      <c r="B33" s="62"/>
      <c r="C33" s="53" t="s">
        <v>75</v>
      </c>
      <c r="D33" s="53" t="s">
        <v>16</v>
      </c>
      <c r="E33" s="53" t="s">
        <v>16</v>
      </c>
      <c r="F33" s="53" t="s">
        <v>16</v>
      </c>
      <c r="G33" s="53" t="s">
        <v>17</v>
      </c>
      <c r="H33" s="85">
        <v>585</v>
      </c>
      <c r="I33" s="7">
        <v>240</v>
      </c>
      <c r="J33" s="53" t="s">
        <v>18</v>
      </c>
      <c r="K33" s="63" t="s">
        <v>16</v>
      </c>
      <c r="L33" s="34">
        <v>161</v>
      </c>
      <c r="M33" s="34" t="s">
        <v>16</v>
      </c>
      <c r="N33" s="54">
        <v>154</v>
      </c>
      <c r="O33" s="54">
        <v>146</v>
      </c>
      <c r="P33" s="54">
        <v>143</v>
      </c>
      <c r="Q33" s="54">
        <v>140</v>
      </c>
      <c r="R33" s="54">
        <v>137</v>
      </c>
      <c r="S33" s="54">
        <v>134</v>
      </c>
      <c r="T33" s="54">
        <v>131</v>
      </c>
      <c r="U33" s="54">
        <v>129</v>
      </c>
      <c r="V33" s="54">
        <v>126</v>
      </c>
      <c r="W33" s="54">
        <v>124</v>
      </c>
      <c r="X33" s="54">
        <v>122</v>
      </c>
      <c r="Y33" s="54">
        <v>120</v>
      </c>
      <c r="Z33" s="54">
        <v>119</v>
      </c>
      <c r="AA33" s="54">
        <v>119</v>
      </c>
      <c r="AB33" s="54">
        <v>117</v>
      </c>
      <c r="AC33" s="54">
        <v>117</v>
      </c>
      <c r="AD33" s="54">
        <v>117</v>
      </c>
      <c r="AE33" s="34">
        <v>116</v>
      </c>
      <c r="AF33" s="34">
        <v>115</v>
      </c>
      <c r="AG33" s="34">
        <v>113</v>
      </c>
      <c r="AH33" s="34" t="s">
        <v>16</v>
      </c>
      <c r="AI33" s="34" t="s">
        <v>16</v>
      </c>
      <c r="AJ33" s="34" t="s">
        <v>16</v>
      </c>
      <c r="AK33" s="34" t="s">
        <v>16</v>
      </c>
      <c r="AL33" s="34" t="s">
        <v>16</v>
      </c>
      <c r="AM33" s="34" t="s">
        <v>16</v>
      </c>
      <c r="AN33" s="34" t="s">
        <v>16</v>
      </c>
      <c r="AO33" s="34" t="s">
        <v>16</v>
      </c>
      <c r="AP33" s="34" t="s">
        <v>16</v>
      </c>
      <c r="AQ33" s="34" t="s">
        <v>16</v>
      </c>
      <c r="AR33" s="34" t="s">
        <v>16</v>
      </c>
      <c r="AS33" s="34" t="s">
        <v>16</v>
      </c>
      <c r="AT33" s="34" t="s">
        <v>16</v>
      </c>
      <c r="AU33" s="55" t="s">
        <v>16</v>
      </c>
      <c r="AV33" s="57" t="s">
        <v>18</v>
      </c>
      <c r="AW33" s="63">
        <v>586</v>
      </c>
      <c r="AX33" s="34">
        <v>586</v>
      </c>
      <c r="AY33" s="34">
        <v>586</v>
      </c>
      <c r="AZ33" s="34">
        <v>586</v>
      </c>
      <c r="BA33" s="34">
        <v>586</v>
      </c>
      <c r="BB33" s="34">
        <v>586</v>
      </c>
      <c r="BC33" s="34">
        <v>586</v>
      </c>
      <c r="BD33" s="34">
        <v>586</v>
      </c>
      <c r="BE33" s="34">
        <v>586</v>
      </c>
      <c r="BF33" s="34">
        <v>586</v>
      </c>
      <c r="BG33" s="34">
        <v>586</v>
      </c>
      <c r="BH33" s="34">
        <v>586</v>
      </c>
      <c r="BI33" s="34">
        <v>586</v>
      </c>
      <c r="BJ33" s="34">
        <v>586</v>
      </c>
      <c r="BK33" s="54">
        <v>583</v>
      </c>
      <c r="BL33" s="54">
        <v>580</v>
      </c>
      <c r="BM33" s="54">
        <v>577</v>
      </c>
      <c r="BN33" s="54">
        <v>573</v>
      </c>
      <c r="BO33" s="54">
        <v>569</v>
      </c>
      <c r="BP33" s="54">
        <v>564</v>
      </c>
      <c r="BQ33" s="34">
        <v>557</v>
      </c>
      <c r="BR33" s="34">
        <v>549</v>
      </c>
      <c r="BS33" s="34" t="s">
        <v>16</v>
      </c>
      <c r="BT33" s="34" t="s">
        <v>16</v>
      </c>
      <c r="BU33" s="34" t="s">
        <v>16</v>
      </c>
      <c r="BV33" s="34" t="s">
        <v>16</v>
      </c>
      <c r="BW33" s="34" t="s">
        <v>16</v>
      </c>
      <c r="BX33" s="34" t="s">
        <v>16</v>
      </c>
      <c r="BY33" s="34" t="s">
        <v>16</v>
      </c>
      <c r="BZ33" s="34" t="s">
        <v>16</v>
      </c>
      <c r="CA33" s="34" t="s">
        <v>16</v>
      </c>
      <c r="CB33" s="34" t="s">
        <v>16</v>
      </c>
      <c r="CC33" s="34" t="s">
        <v>16</v>
      </c>
      <c r="CD33" s="34" t="s">
        <v>16</v>
      </c>
      <c r="CE33" s="34" t="s">
        <v>16</v>
      </c>
      <c r="CF33" s="34" t="s">
        <v>16</v>
      </c>
      <c r="CG33" s="44" t="s">
        <v>16</v>
      </c>
      <c r="CH33" s="63">
        <v>241</v>
      </c>
      <c r="CI33" s="34">
        <v>241</v>
      </c>
      <c r="CJ33" s="34" t="s">
        <v>16</v>
      </c>
      <c r="CK33" s="54">
        <v>228</v>
      </c>
      <c r="CL33" s="54">
        <v>220</v>
      </c>
      <c r="CM33" s="54">
        <v>214</v>
      </c>
      <c r="CN33" s="54">
        <v>210</v>
      </c>
      <c r="CO33" s="54">
        <v>205</v>
      </c>
      <c r="CP33" s="54">
        <v>201</v>
      </c>
      <c r="CQ33" s="54">
        <v>197</v>
      </c>
      <c r="CR33" s="54">
        <v>193</v>
      </c>
      <c r="CS33" s="54">
        <v>189</v>
      </c>
      <c r="CT33" s="54">
        <v>186</v>
      </c>
      <c r="CU33" s="54">
        <v>183</v>
      </c>
      <c r="CV33" s="54">
        <v>181</v>
      </c>
      <c r="CW33" s="54">
        <v>179</v>
      </c>
      <c r="CX33" s="54">
        <v>177</v>
      </c>
      <c r="CY33" s="54">
        <v>177</v>
      </c>
      <c r="CZ33" s="54">
        <v>175</v>
      </c>
      <c r="DA33" s="54">
        <v>175</v>
      </c>
      <c r="DB33" s="34">
        <v>174</v>
      </c>
      <c r="DC33" s="34">
        <v>172</v>
      </c>
      <c r="DD33" s="34" t="s">
        <v>16</v>
      </c>
      <c r="DE33" s="34" t="s">
        <v>16</v>
      </c>
      <c r="DF33" s="34" t="s">
        <v>16</v>
      </c>
      <c r="DG33" s="34" t="s">
        <v>16</v>
      </c>
      <c r="DH33" s="34" t="s">
        <v>16</v>
      </c>
      <c r="DI33" s="34" t="s">
        <v>16</v>
      </c>
      <c r="DJ33" s="34" t="s">
        <v>16</v>
      </c>
      <c r="DK33" s="34" t="s">
        <v>16</v>
      </c>
      <c r="DL33" s="34" t="s">
        <v>16</v>
      </c>
      <c r="DM33" s="34" t="s">
        <v>16</v>
      </c>
      <c r="DN33" s="34" t="s">
        <v>16</v>
      </c>
      <c r="DO33" s="34" t="s">
        <v>16</v>
      </c>
      <c r="DP33" s="34" t="s">
        <v>16</v>
      </c>
      <c r="DQ33" s="34" t="s">
        <v>16</v>
      </c>
      <c r="DR33" s="55" t="s">
        <v>16</v>
      </c>
    </row>
    <row r="34" spans="1:122">
      <c r="A34" s="53" t="s">
        <v>76</v>
      </c>
      <c r="B34" s="53"/>
      <c r="C34" s="53" t="s">
        <v>77</v>
      </c>
      <c r="D34" s="53" t="s">
        <v>16</v>
      </c>
      <c r="E34" s="53" t="s">
        <v>16</v>
      </c>
      <c r="F34" s="53" t="s">
        <v>78</v>
      </c>
      <c r="G34" s="53" t="s">
        <v>17</v>
      </c>
      <c r="H34" s="72">
        <v>750</v>
      </c>
      <c r="I34" s="48">
        <v>550</v>
      </c>
      <c r="J34" s="53" t="s">
        <v>18</v>
      </c>
      <c r="K34" s="59" t="s">
        <v>16</v>
      </c>
      <c r="L34" s="54">
        <v>214</v>
      </c>
      <c r="M34" s="54" t="s">
        <v>16</v>
      </c>
      <c r="N34" s="34">
        <v>214</v>
      </c>
      <c r="O34" s="34">
        <v>211</v>
      </c>
      <c r="P34" s="34">
        <v>206</v>
      </c>
      <c r="Q34" s="34">
        <v>203</v>
      </c>
      <c r="R34" s="34" t="s">
        <v>16</v>
      </c>
      <c r="S34" s="34">
        <v>201</v>
      </c>
      <c r="T34" s="54" t="s">
        <v>16</v>
      </c>
      <c r="U34" s="34">
        <v>201</v>
      </c>
      <c r="V34" s="54" t="s">
        <v>16</v>
      </c>
      <c r="W34" s="34">
        <v>201</v>
      </c>
      <c r="X34" s="34">
        <v>201</v>
      </c>
      <c r="Y34" s="54" t="s">
        <v>16</v>
      </c>
      <c r="Z34" s="54" t="s">
        <v>16</v>
      </c>
      <c r="AA34" s="54" t="s">
        <v>16</v>
      </c>
      <c r="AB34" s="54" t="s">
        <v>16</v>
      </c>
      <c r="AC34" s="54" t="s">
        <v>16</v>
      </c>
      <c r="AD34" s="54" t="s">
        <v>16</v>
      </c>
      <c r="AE34" s="34" t="s">
        <v>16</v>
      </c>
      <c r="AF34" s="34" t="s">
        <v>16</v>
      </c>
      <c r="AG34" s="34" t="s">
        <v>16</v>
      </c>
      <c r="AH34" s="34" t="s">
        <v>16</v>
      </c>
      <c r="AI34" s="34" t="s">
        <v>16</v>
      </c>
      <c r="AJ34" s="34" t="s">
        <v>16</v>
      </c>
      <c r="AK34" s="34" t="s">
        <v>16</v>
      </c>
      <c r="AL34" s="34" t="s">
        <v>16</v>
      </c>
      <c r="AM34" s="34" t="s">
        <v>16</v>
      </c>
      <c r="AN34" s="34" t="s">
        <v>16</v>
      </c>
      <c r="AO34" s="34" t="s">
        <v>16</v>
      </c>
      <c r="AP34" s="34" t="s">
        <v>16</v>
      </c>
      <c r="AQ34" s="34" t="s">
        <v>16</v>
      </c>
      <c r="AR34" s="34" t="s">
        <v>16</v>
      </c>
      <c r="AS34" s="34" t="s">
        <v>16</v>
      </c>
      <c r="AT34" s="34" t="s">
        <v>16</v>
      </c>
      <c r="AU34" s="55" t="s">
        <v>16</v>
      </c>
      <c r="AV34" s="57" t="s">
        <v>18</v>
      </c>
      <c r="AW34" s="59" t="s">
        <v>16</v>
      </c>
      <c r="AX34" s="54">
        <v>750</v>
      </c>
      <c r="AY34" s="54" t="s">
        <v>16</v>
      </c>
      <c r="AZ34" s="34" t="s">
        <v>16</v>
      </c>
      <c r="BA34" s="34">
        <v>698</v>
      </c>
      <c r="BB34" s="34" t="s">
        <v>16</v>
      </c>
      <c r="BC34" s="34">
        <v>647</v>
      </c>
      <c r="BD34" s="34" t="s">
        <v>16</v>
      </c>
      <c r="BE34" s="34">
        <v>638</v>
      </c>
      <c r="BF34" s="34" t="s">
        <v>16</v>
      </c>
      <c r="BG34" s="54">
        <v>638</v>
      </c>
      <c r="BH34" s="34">
        <v>638</v>
      </c>
      <c r="BI34" s="54">
        <v>638</v>
      </c>
      <c r="BJ34" s="34">
        <v>638</v>
      </c>
      <c r="BK34" s="54">
        <v>638</v>
      </c>
      <c r="BL34" s="54" t="s">
        <v>16</v>
      </c>
      <c r="BM34" s="54" t="s">
        <v>16</v>
      </c>
      <c r="BN34" s="54" t="s">
        <v>16</v>
      </c>
      <c r="BO34" s="54" t="s">
        <v>16</v>
      </c>
      <c r="BP34" s="54" t="s">
        <v>16</v>
      </c>
      <c r="BQ34" s="54" t="s">
        <v>16</v>
      </c>
      <c r="BR34" s="54" t="s">
        <v>16</v>
      </c>
      <c r="BS34" s="54" t="s">
        <v>16</v>
      </c>
      <c r="BT34" s="54" t="s">
        <v>16</v>
      </c>
      <c r="BU34" s="54" t="s">
        <v>16</v>
      </c>
      <c r="BV34" s="54" t="s">
        <v>16</v>
      </c>
      <c r="BW34" s="54" t="s">
        <v>16</v>
      </c>
      <c r="BX34" s="54" t="s">
        <v>16</v>
      </c>
      <c r="BY34" s="54" t="s">
        <v>16</v>
      </c>
      <c r="BZ34" s="54" t="s">
        <v>16</v>
      </c>
      <c r="CA34" s="54" t="s">
        <v>16</v>
      </c>
      <c r="CB34" s="54" t="s">
        <v>16</v>
      </c>
      <c r="CC34" s="54" t="s">
        <v>16</v>
      </c>
      <c r="CD34" s="54" t="s">
        <v>16</v>
      </c>
      <c r="CE34" s="54" t="s">
        <v>16</v>
      </c>
      <c r="CF34" s="54" t="s">
        <v>16</v>
      </c>
      <c r="CG34" s="139" t="s">
        <v>16</v>
      </c>
      <c r="CH34" s="59" t="s">
        <v>16</v>
      </c>
      <c r="CI34" s="54">
        <v>550</v>
      </c>
      <c r="CJ34" s="54" t="s">
        <v>16</v>
      </c>
      <c r="CK34" s="34">
        <v>489</v>
      </c>
      <c r="CL34" s="34">
        <v>455</v>
      </c>
      <c r="CM34" s="34">
        <v>437</v>
      </c>
      <c r="CN34" s="34">
        <v>424</v>
      </c>
      <c r="CO34" s="34">
        <v>415</v>
      </c>
      <c r="CP34" s="34">
        <v>409</v>
      </c>
      <c r="CQ34" s="54">
        <v>405</v>
      </c>
      <c r="CR34" s="34">
        <v>404</v>
      </c>
      <c r="CS34" s="54">
        <v>403</v>
      </c>
      <c r="CT34" s="34">
        <v>402</v>
      </c>
      <c r="CU34" s="34">
        <v>401</v>
      </c>
      <c r="CV34" s="54" t="s">
        <v>16</v>
      </c>
      <c r="CW34" s="54" t="s">
        <v>16</v>
      </c>
      <c r="CX34" s="54" t="s">
        <v>16</v>
      </c>
      <c r="CY34" s="54" t="s">
        <v>16</v>
      </c>
      <c r="CZ34" s="54" t="s">
        <v>16</v>
      </c>
      <c r="DA34" s="54" t="s">
        <v>16</v>
      </c>
      <c r="DB34" s="54" t="s">
        <v>16</v>
      </c>
      <c r="DC34" s="54" t="s">
        <v>16</v>
      </c>
      <c r="DD34" s="54" t="s">
        <v>16</v>
      </c>
      <c r="DE34" s="54" t="s">
        <v>16</v>
      </c>
      <c r="DF34" s="54" t="s">
        <v>16</v>
      </c>
      <c r="DG34" s="54" t="s">
        <v>16</v>
      </c>
      <c r="DH34" s="54" t="s">
        <v>16</v>
      </c>
      <c r="DI34" s="54" t="s">
        <v>16</v>
      </c>
      <c r="DJ34" s="54" t="s">
        <v>16</v>
      </c>
      <c r="DK34" s="54" t="s">
        <v>16</v>
      </c>
      <c r="DL34" s="54" t="s">
        <v>16</v>
      </c>
      <c r="DM34" s="54" t="s">
        <v>16</v>
      </c>
      <c r="DN34" s="54" t="s">
        <v>16</v>
      </c>
      <c r="DO34" s="54" t="s">
        <v>16</v>
      </c>
      <c r="DP34" s="54" t="s">
        <v>16</v>
      </c>
      <c r="DQ34" s="54" t="s">
        <v>16</v>
      </c>
      <c r="DR34" s="55" t="s">
        <v>16</v>
      </c>
    </row>
    <row r="35" spans="1:122">
      <c r="A35" s="53" t="s">
        <v>79</v>
      </c>
      <c r="B35" s="53"/>
      <c r="C35" s="53" t="s">
        <v>77</v>
      </c>
      <c r="D35" s="53" t="s">
        <v>16</v>
      </c>
      <c r="E35" s="53" t="s">
        <v>16</v>
      </c>
      <c r="F35" s="53" t="s">
        <v>80</v>
      </c>
      <c r="G35" s="53" t="s">
        <v>17</v>
      </c>
      <c r="H35" s="72">
        <v>620</v>
      </c>
      <c r="I35" s="48">
        <v>450</v>
      </c>
      <c r="J35" s="53" t="s">
        <v>18</v>
      </c>
      <c r="K35" s="59" t="s">
        <v>16</v>
      </c>
      <c r="L35" s="34">
        <v>177</v>
      </c>
      <c r="M35" s="34" t="s">
        <v>16</v>
      </c>
      <c r="N35" s="34">
        <v>177</v>
      </c>
      <c r="O35" s="34">
        <v>177</v>
      </c>
      <c r="P35" s="34">
        <v>174</v>
      </c>
      <c r="Q35" s="34">
        <v>171</v>
      </c>
      <c r="R35" s="54" t="s">
        <v>16</v>
      </c>
      <c r="S35" s="34">
        <v>165</v>
      </c>
      <c r="T35" s="54" t="s">
        <v>16</v>
      </c>
      <c r="U35" s="34">
        <v>161</v>
      </c>
      <c r="V35" s="54" t="s">
        <v>16</v>
      </c>
      <c r="W35" s="34">
        <v>160</v>
      </c>
      <c r="X35" s="34">
        <v>159</v>
      </c>
      <c r="Y35" s="54" t="s">
        <v>16</v>
      </c>
      <c r="Z35" s="54" t="s">
        <v>16</v>
      </c>
      <c r="AA35" s="54" t="s">
        <v>16</v>
      </c>
      <c r="AB35" s="54" t="s">
        <v>16</v>
      </c>
      <c r="AC35" s="54" t="s">
        <v>16</v>
      </c>
      <c r="AD35" s="54" t="s">
        <v>16</v>
      </c>
      <c r="AE35" s="34" t="s">
        <v>16</v>
      </c>
      <c r="AF35" s="34" t="s">
        <v>16</v>
      </c>
      <c r="AG35" s="34" t="s">
        <v>16</v>
      </c>
      <c r="AH35" s="34" t="s">
        <v>16</v>
      </c>
      <c r="AI35" s="34" t="s">
        <v>16</v>
      </c>
      <c r="AJ35" s="34" t="s">
        <v>16</v>
      </c>
      <c r="AK35" s="34" t="s">
        <v>16</v>
      </c>
      <c r="AL35" s="34" t="s">
        <v>16</v>
      </c>
      <c r="AM35" s="34" t="s">
        <v>16</v>
      </c>
      <c r="AN35" s="34" t="s">
        <v>16</v>
      </c>
      <c r="AO35" s="34" t="s">
        <v>16</v>
      </c>
      <c r="AP35" s="34" t="s">
        <v>16</v>
      </c>
      <c r="AQ35" s="34" t="s">
        <v>16</v>
      </c>
      <c r="AR35" s="34" t="s">
        <v>16</v>
      </c>
      <c r="AS35" s="34" t="s">
        <v>16</v>
      </c>
      <c r="AT35" s="34" t="s">
        <v>16</v>
      </c>
      <c r="AU35" s="55" t="s">
        <v>16</v>
      </c>
      <c r="AV35" s="57" t="s">
        <v>18</v>
      </c>
      <c r="AW35" s="59" t="s">
        <v>16</v>
      </c>
      <c r="AX35" s="34">
        <v>621</v>
      </c>
      <c r="AY35" s="34" t="s">
        <v>16</v>
      </c>
      <c r="AZ35" s="34" t="s">
        <v>16</v>
      </c>
      <c r="BA35" s="34">
        <v>619</v>
      </c>
      <c r="BB35" s="34" t="s">
        <v>16</v>
      </c>
      <c r="BC35" s="34">
        <v>598</v>
      </c>
      <c r="BD35" s="54" t="s">
        <v>16</v>
      </c>
      <c r="BE35" s="34">
        <v>577</v>
      </c>
      <c r="BF35" s="54" t="s">
        <v>16</v>
      </c>
      <c r="BG35" s="34">
        <v>564</v>
      </c>
      <c r="BH35" s="54">
        <v>558</v>
      </c>
      <c r="BI35" s="34">
        <v>556</v>
      </c>
      <c r="BJ35" s="34">
        <v>555</v>
      </c>
      <c r="BK35" s="54" t="s">
        <v>16</v>
      </c>
      <c r="BL35" s="54" t="s">
        <v>16</v>
      </c>
      <c r="BM35" s="54" t="s">
        <v>16</v>
      </c>
      <c r="BN35" s="54" t="s">
        <v>16</v>
      </c>
      <c r="BO35" s="54" t="s">
        <v>16</v>
      </c>
      <c r="BP35" s="54" t="s">
        <v>16</v>
      </c>
      <c r="BQ35" s="54" t="s">
        <v>16</v>
      </c>
      <c r="BR35" s="54" t="s">
        <v>16</v>
      </c>
      <c r="BS35" s="54" t="s">
        <v>16</v>
      </c>
      <c r="BT35" s="54" t="s">
        <v>16</v>
      </c>
      <c r="BU35" s="54" t="s">
        <v>16</v>
      </c>
      <c r="BV35" s="54" t="s">
        <v>16</v>
      </c>
      <c r="BW35" s="54" t="s">
        <v>16</v>
      </c>
      <c r="BX35" s="54" t="s">
        <v>16</v>
      </c>
      <c r="BY35" s="54" t="s">
        <v>16</v>
      </c>
      <c r="BZ35" s="54" t="s">
        <v>16</v>
      </c>
      <c r="CA35" s="54" t="s">
        <v>16</v>
      </c>
      <c r="CB35" s="54" t="s">
        <v>16</v>
      </c>
      <c r="CC35" s="54" t="s">
        <v>16</v>
      </c>
      <c r="CD35" s="54" t="s">
        <v>16</v>
      </c>
      <c r="CE35" s="54" t="s">
        <v>16</v>
      </c>
      <c r="CF35" s="54" t="s">
        <v>16</v>
      </c>
      <c r="CG35" s="139" t="s">
        <v>16</v>
      </c>
      <c r="CH35" s="59" t="s">
        <v>16</v>
      </c>
      <c r="CI35" s="34">
        <v>448</v>
      </c>
      <c r="CJ35" s="34" t="s">
        <v>16</v>
      </c>
      <c r="CK35" s="34">
        <v>418</v>
      </c>
      <c r="CL35" s="34">
        <v>395</v>
      </c>
      <c r="CM35" s="34">
        <v>381</v>
      </c>
      <c r="CN35" s="34">
        <v>370</v>
      </c>
      <c r="CO35" s="54">
        <v>361</v>
      </c>
      <c r="CP35" s="34">
        <v>354</v>
      </c>
      <c r="CQ35" s="54">
        <v>349</v>
      </c>
      <c r="CR35" s="34">
        <v>344</v>
      </c>
      <c r="CS35" s="54">
        <v>339</v>
      </c>
      <c r="CT35" s="34">
        <v>334</v>
      </c>
      <c r="CU35" s="34">
        <v>328</v>
      </c>
      <c r="CV35" s="54">
        <v>322</v>
      </c>
      <c r="CW35" s="54" t="s">
        <v>16</v>
      </c>
      <c r="CX35" s="54" t="s">
        <v>16</v>
      </c>
      <c r="CY35" s="54" t="s">
        <v>16</v>
      </c>
      <c r="CZ35" s="54" t="s">
        <v>16</v>
      </c>
      <c r="DA35" s="54" t="s">
        <v>16</v>
      </c>
      <c r="DB35" s="54" t="s">
        <v>16</v>
      </c>
      <c r="DC35" s="54" t="s">
        <v>16</v>
      </c>
      <c r="DD35" s="54" t="s">
        <v>16</v>
      </c>
      <c r="DE35" s="54" t="s">
        <v>16</v>
      </c>
      <c r="DF35" s="54" t="s">
        <v>16</v>
      </c>
      <c r="DG35" s="54" t="s">
        <v>16</v>
      </c>
      <c r="DH35" s="54" t="s">
        <v>16</v>
      </c>
      <c r="DI35" s="54" t="s">
        <v>16</v>
      </c>
      <c r="DJ35" s="54" t="s">
        <v>16</v>
      </c>
      <c r="DK35" s="54" t="s">
        <v>16</v>
      </c>
      <c r="DL35" s="54" t="s">
        <v>16</v>
      </c>
      <c r="DM35" s="54" t="s">
        <v>16</v>
      </c>
      <c r="DN35" s="54" t="s">
        <v>16</v>
      </c>
      <c r="DO35" s="54" t="s">
        <v>16</v>
      </c>
      <c r="DP35" s="54" t="s">
        <v>16</v>
      </c>
      <c r="DQ35" s="54" t="s">
        <v>16</v>
      </c>
      <c r="DR35" s="55" t="s">
        <v>16</v>
      </c>
    </row>
    <row r="36" spans="1:122">
      <c r="A36" s="87" t="s">
        <v>81</v>
      </c>
      <c r="B36" s="87"/>
      <c r="C36" s="53" t="s">
        <v>15</v>
      </c>
      <c r="D36" s="53">
        <v>175</v>
      </c>
      <c r="E36" s="53">
        <v>238</v>
      </c>
      <c r="F36" s="53" t="s">
        <v>82</v>
      </c>
      <c r="G36" s="53" t="s">
        <v>17</v>
      </c>
      <c r="H36" s="79">
        <v>720</v>
      </c>
      <c r="I36" s="65">
        <v>550</v>
      </c>
      <c r="J36" s="69" t="s">
        <v>16</v>
      </c>
      <c r="K36" s="59" t="s">
        <v>16</v>
      </c>
      <c r="L36" s="54" t="s">
        <v>16</v>
      </c>
      <c r="M36" s="54" t="s">
        <v>16</v>
      </c>
      <c r="N36" s="54" t="s">
        <v>16</v>
      </c>
      <c r="O36" s="54" t="s">
        <v>16</v>
      </c>
      <c r="P36" s="54" t="s">
        <v>16</v>
      </c>
      <c r="Q36" s="54" t="s">
        <v>16</v>
      </c>
      <c r="R36" s="54" t="s">
        <v>16</v>
      </c>
      <c r="S36" s="54" t="s">
        <v>16</v>
      </c>
      <c r="T36" s="54" t="s">
        <v>16</v>
      </c>
      <c r="U36" s="54" t="s">
        <v>16</v>
      </c>
      <c r="V36" s="54" t="s">
        <v>16</v>
      </c>
      <c r="W36" s="54" t="s">
        <v>16</v>
      </c>
      <c r="X36" s="54" t="s">
        <v>16</v>
      </c>
      <c r="Y36" s="54" t="s">
        <v>16</v>
      </c>
      <c r="Z36" s="54" t="s">
        <v>16</v>
      </c>
      <c r="AA36" s="54" t="s">
        <v>16</v>
      </c>
      <c r="AB36" s="54" t="s">
        <v>16</v>
      </c>
      <c r="AC36" s="54" t="s">
        <v>16</v>
      </c>
      <c r="AD36" s="54" t="s">
        <v>16</v>
      </c>
      <c r="AE36" s="54" t="s">
        <v>16</v>
      </c>
      <c r="AF36" s="54" t="s">
        <v>16</v>
      </c>
      <c r="AG36" s="54" t="s">
        <v>16</v>
      </c>
      <c r="AH36" s="54" t="s">
        <v>16</v>
      </c>
      <c r="AI36" s="54" t="s">
        <v>16</v>
      </c>
      <c r="AJ36" s="54" t="s">
        <v>16</v>
      </c>
      <c r="AK36" s="54" t="s">
        <v>16</v>
      </c>
      <c r="AL36" s="54" t="s">
        <v>16</v>
      </c>
      <c r="AM36" s="54" t="s">
        <v>16</v>
      </c>
      <c r="AN36" s="54" t="s">
        <v>16</v>
      </c>
      <c r="AO36" s="54" t="s">
        <v>16</v>
      </c>
      <c r="AP36" s="54" t="s">
        <v>16</v>
      </c>
      <c r="AQ36" s="54" t="s">
        <v>16</v>
      </c>
      <c r="AR36" s="54" t="s">
        <v>16</v>
      </c>
      <c r="AS36" s="54" t="s">
        <v>16</v>
      </c>
      <c r="AT36" s="54" t="s">
        <v>16</v>
      </c>
      <c r="AU36" s="64" t="s">
        <v>16</v>
      </c>
      <c r="AV36" s="48" t="s">
        <v>17</v>
      </c>
      <c r="AW36" s="59">
        <v>720</v>
      </c>
      <c r="AX36" s="54">
        <v>720</v>
      </c>
      <c r="AY36" s="54">
        <v>720</v>
      </c>
      <c r="AZ36" s="54">
        <v>720</v>
      </c>
      <c r="BA36" s="54">
        <v>720</v>
      </c>
      <c r="BB36" s="54">
        <v>720</v>
      </c>
      <c r="BC36" s="54">
        <v>720</v>
      </c>
      <c r="BD36" s="54">
        <v>720</v>
      </c>
      <c r="BE36" s="54">
        <v>720</v>
      </c>
      <c r="BF36" s="54">
        <v>720</v>
      </c>
      <c r="BG36" s="54">
        <v>720</v>
      </c>
      <c r="BH36" s="54">
        <v>720</v>
      </c>
      <c r="BI36" s="54">
        <v>720</v>
      </c>
      <c r="BJ36" s="54">
        <v>720</v>
      </c>
      <c r="BK36" s="54">
        <v>720</v>
      </c>
      <c r="BL36" s="54" t="s">
        <v>16</v>
      </c>
      <c r="BM36" s="54" t="s">
        <v>16</v>
      </c>
      <c r="BN36" s="54" t="s">
        <v>16</v>
      </c>
      <c r="BO36" s="54" t="s">
        <v>16</v>
      </c>
      <c r="BP36" s="54" t="s">
        <v>16</v>
      </c>
      <c r="BQ36" s="54" t="s">
        <v>16</v>
      </c>
      <c r="BR36" s="54" t="s">
        <v>16</v>
      </c>
      <c r="BS36" s="54" t="s">
        <v>16</v>
      </c>
      <c r="BT36" s="54" t="s">
        <v>16</v>
      </c>
      <c r="BU36" s="54" t="s">
        <v>16</v>
      </c>
      <c r="BV36" s="54" t="s">
        <v>16</v>
      </c>
      <c r="BW36" s="54" t="s">
        <v>16</v>
      </c>
      <c r="BX36" s="54" t="s">
        <v>16</v>
      </c>
      <c r="BY36" s="54" t="s">
        <v>16</v>
      </c>
      <c r="BZ36" s="54" t="s">
        <v>16</v>
      </c>
      <c r="CA36" s="54" t="s">
        <v>16</v>
      </c>
      <c r="CB36" s="54" t="s">
        <v>16</v>
      </c>
      <c r="CC36" s="54" t="s">
        <v>16</v>
      </c>
      <c r="CD36" s="54" t="s">
        <v>16</v>
      </c>
      <c r="CE36" s="54" t="s">
        <v>16</v>
      </c>
      <c r="CF36" s="54" t="s">
        <v>16</v>
      </c>
      <c r="CG36" s="139" t="s">
        <v>16</v>
      </c>
      <c r="CH36" s="59">
        <v>550</v>
      </c>
      <c r="CI36" s="54">
        <v>548</v>
      </c>
      <c r="CJ36" s="54">
        <v>543</v>
      </c>
      <c r="CK36" s="54">
        <v>528</v>
      </c>
      <c r="CL36" s="54">
        <v>514</v>
      </c>
      <c r="CM36" s="54">
        <v>506</v>
      </c>
      <c r="CN36" s="54">
        <v>498</v>
      </c>
      <c r="CO36" s="54">
        <v>492</v>
      </c>
      <c r="CP36" s="54">
        <v>486</v>
      </c>
      <c r="CQ36" s="54">
        <v>476</v>
      </c>
      <c r="CR36" s="54">
        <v>474</v>
      </c>
      <c r="CS36" s="54">
        <v>464</v>
      </c>
      <c r="CT36" s="54">
        <v>454</v>
      </c>
      <c r="CU36" s="54">
        <v>444</v>
      </c>
      <c r="CV36" s="54">
        <v>432</v>
      </c>
      <c r="CW36" s="54" t="s">
        <v>16</v>
      </c>
      <c r="CX36" s="54" t="s">
        <v>16</v>
      </c>
      <c r="CY36" s="54" t="s">
        <v>16</v>
      </c>
      <c r="CZ36" s="54" t="s">
        <v>16</v>
      </c>
      <c r="DA36" s="54" t="s">
        <v>16</v>
      </c>
      <c r="DB36" s="54" t="s">
        <v>16</v>
      </c>
      <c r="DC36" s="54" t="s">
        <v>16</v>
      </c>
      <c r="DD36" s="54" t="s">
        <v>16</v>
      </c>
      <c r="DE36" s="54" t="s">
        <v>16</v>
      </c>
      <c r="DF36" s="54" t="s">
        <v>16</v>
      </c>
      <c r="DG36" s="54" t="s">
        <v>16</v>
      </c>
      <c r="DH36" s="54" t="s">
        <v>16</v>
      </c>
      <c r="DI36" s="54" t="s">
        <v>16</v>
      </c>
      <c r="DJ36" s="54" t="s">
        <v>16</v>
      </c>
      <c r="DK36" s="54" t="s">
        <v>16</v>
      </c>
      <c r="DL36" s="54" t="s">
        <v>16</v>
      </c>
      <c r="DM36" s="54" t="s">
        <v>16</v>
      </c>
      <c r="DN36" s="54" t="s">
        <v>16</v>
      </c>
      <c r="DO36" s="54" t="s">
        <v>16</v>
      </c>
      <c r="DP36" s="54" t="s">
        <v>16</v>
      </c>
      <c r="DQ36" s="54" t="s">
        <v>16</v>
      </c>
      <c r="DR36" s="64" t="s">
        <v>16</v>
      </c>
    </row>
    <row r="37" spans="1:122">
      <c r="A37" s="87" t="s">
        <v>81</v>
      </c>
      <c r="B37" s="87"/>
      <c r="C37" s="53" t="str">
        <f>C36</f>
        <v>bar</v>
      </c>
      <c r="D37" s="53">
        <v>107</v>
      </c>
      <c r="E37" s="53">
        <v>175</v>
      </c>
      <c r="F37" s="53" t="str">
        <f t="shared" ref="F37:G40" si="27">F36</f>
        <v>S5B</v>
      </c>
      <c r="G37" s="53" t="str">
        <f t="shared" si="27"/>
        <v>ASTM</v>
      </c>
      <c r="H37" s="72">
        <v>760</v>
      </c>
      <c r="I37" s="48">
        <v>590</v>
      </c>
      <c r="J37" s="53" t="s">
        <v>16</v>
      </c>
      <c r="K37" s="59" t="s">
        <v>16</v>
      </c>
      <c r="L37" s="34" t="s">
        <v>16</v>
      </c>
      <c r="M37" s="34" t="s">
        <v>16</v>
      </c>
      <c r="N37" s="34" t="s">
        <v>16</v>
      </c>
      <c r="O37" s="34" t="s">
        <v>16</v>
      </c>
      <c r="P37" s="34" t="s">
        <v>16</v>
      </c>
      <c r="Q37" s="34" t="s">
        <v>16</v>
      </c>
      <c r="R37" s="34" t="s">
        <v>16</v>
      </c>
      <c r="S37" s="34" t="s">
        <v>16</v>
      </c>
      <c r="T37" s="34" t="s">
        <v>16</v>
      </c>
      <c r="U37" s="34" t="s">
        <v>16</v>
      </c>
      <c r="V37" s="34" t="s">
        <v>16</v>
      </c>
      <c r="W37" s="34" t="s">
        <v>16</v>
      </c>
      <c r="X37" s="34" t="s">
        <v>16</v>
      </c>
      <c r="Y37" s="34" t="s">
        <v>16</v>
      </c>
      <c r="Z37" s="34" t="s">
        <v>16</v>
      </c>
      <c r="AA37" s="34" t="s">
        <v>16</v>
      </c>
      <c r="AB37" s="34" t="s">
        <v>16</v>
      </c>
      <c r="AC37" s="34" t="s">
        <v>16</v>
      </c>
      <c r="AD37" s="34" t="s">
        <v>16</v>
      </c>
      <c r="AE37" s="34" t="s">
        <v>16</v>
      </c>
      <c r="AF37" s="34" t="s">
        <v>16</v>
      </c>
      <c r="AG37" s="34" t="s">
        <v>16</v>
      </c>
      <c r="AH37" s="34" t="s">
        <v>16</v>
      </c>
      <c r="AI37" s="34" t="s">
        <v>16</v>
      </c>
      <c r="AJ37" s="34" t="s">
        <v>16</v>
      </c>
      <c r="AK37" s="34" t="s">
        <v>16</v>
      </c>
      <c r="AL37" s="34" t="s">
        <v>16</v>
      </c>
      <c r="AM37" s="34" t="s">
        <v>16</v>
      </c>
      <c r="AN37" s="34" t="s">
        <v>16</v>
      </c>
      <c r="AO37" s="34" t="s">
        <v>16</v>
      </c>
      <c r="AP37" s="34" t="s">
        <v>16</v>
      </c>
      <c r="AQ37" s="34" t="s">
        <v>16</v>
      </c>
      <c r="AR37" s="34" t="s">
        <v>16</v>
      </c>
      <c r="AS37" s="34" t="s">
        <v>16</v>
      </c>
      <c r="AT37" s="34" t="s">
        <v>16</v>
      </c>
      <c r="AU37" s="55" t="s">
        <v>16</v>
      </c>
      <c r="AV37" s="78" t="str">
        <f>AV36</f>
        <v>ASTM</v>
      </c>
      <c r="AW37" s="59">
        <v>760</v>
      </c>
      <c r="AX37" s="34">
        <v>760</v>
      </c>
      <c r="AY37" s="34">
        <v>760</v>
      </c>
      <c r="AZ37" s="34">
        <v>760</v>
      </c>
      <c r="BA37" s="34">
        <v>760</v>
      </c>
      <c r="BB37" s="34">
        <v>760</v>
      </c>
      <c r="BC37" s="34">
        <v>760</v>
      </c>
      <c r="BD37" s="34">
        <v>760</v>
      </c>
      <c r="BE37" s="34">
        <v>760</v>
      </c>
      <c r="BF37" s="34">
        <v>760</v>
      </c>
      <c r="BG37" s="34">
        <v>760</v>
      </c>
      <c r="BH37" s="34">
        <v>760</v>
      </c>
      <c r="BI37" s="34">
        <v>760</v>
      </c>
      <c r="BJ37" s="34">
        <v>760</v>
      </c>
      <c r="BK37" s="34">
        <v>760</v>
      </c>
      <c r="BL37" s="34" t="s">
        <v>16</v>
      </c>
      <c r="BM37" s="34" t="s">
        <v>16</v>
      </c>
      <c r="BN37" s="34" t="s">
        <v>16</v>
      </c>
      <c r="BO37" s="34" t="s">
        <v>16</v>
      </c>
      <c r="BP37" s="34" t="s">
        <v>16</v>
      </c>
      <c r="BQ37" s="34" t="s">
        <v>16</v>
      </c>
      <c r="BR37" s="34" t="s">
        <v>16</v>
      </c>
      <c r="BS37" s="34" t="s">
        <v>16</v>
      </c>
      <c r="BT37" s="34" t="s">
        <v>16</v>
      </c>
      <c r="BU37" s="34" t="s">
        <v>16</v>
      </c>
      <c r="BV37" s="34" t="s">
        <v>16</v>
      </c>
      <c r="BW37" s="34" t="s">
        <v>16</v>
      </c>
      <c r="BX37" s="34" t="s">
        <v>16</v>
      </c>
      <c r="BY37" s="34" t="s">
        <v>16</v>
      </c>
      <c r="BZ37" s="34" t="s">
        <v>16</v>
      </c>
      <c r="CA37" s="34" t="s">
        <v>16</v>
      </c>
      <c r="CB37" s="34" t="s">
        <v>16</v>
      </c>
      <c r="CC37" s="34" t="s">
        <v>16</v>
      </c>
      <c r="CD37" s="34" t="s">
        <v>16</v>
      </c>
      <c r="CE37" s="34" t="s">
        <v>16</v>
      </c>
      <c r="CF37" s="34" t="s">
        <v>16</v>
      </c>
      <c r="CG37" s="44" t="s">
        <v>16</v>
      </c>
      <c r="CH37" s="59">
        <v>590</v>
      </c>
      <c r="CI37" s="34">
        <v>588</v>
      </c>
      <c r="CJ37" s="34">
        <v>581</v>
      </c>
      <c r="CK37" s="34">
        <v>563</v>
      </c>
      <c r="CL37" s="34">
        <v>546</v>
      </c>
      <c r="CM37" s="34">
        <v>538</v>
      </c>
      <c r="CN37" s="34">
        <v>530</v>
      </c>
      <c r="CO37" s="34">
        <v>523</v>
      </c>
      <c r="CP37" s="34">
        <v>516</v>
      </c>
      <c r="CQ37" s="34">
        <v>506</v>
      </c>
      <c r="CR37" s="34">
        <v>504</v>
      </c>
      <c r="CS37" s="34">
        <v>493</v>
      </c>
      <c r="CT37" s="34">
        <v>483</v>
      </c>
      <c r="CU37" s="34">
        <v>472</v>
      </c>
      <c r="CV37" s="34">
        <v>459</v>
      </c>
      <c r="CW37" s="34" t="s">
        <v>16</v>
      </c>
      <c r="CX37" s="34" t="s">
        <v>16</v>
      </c>
      <c r="CY37" s="34" t="s">
        <v>16</v>
      </c>
      <c r="CZ37" s="34" t="s">
        <v>16</v>
      </c>
      <c r="DA37" s="34" t="s">
        <v>16</v>
      </c>
      <c r="DB37" s="34" t="s">
        <v>16</v>
      </c>
      <c r="DC37" s="34" t="s">
        <v>16</v>
      </c>
      <c r="DD37" s="34" t="s">
        <v>16</v>
      </c>
      <c r="DE37" s="34" t="s">
        <v>16</v>
      </c>
      <c r="DF37" s="34" t="s">
        <v>16</v>
      </c>
      <c r="DG37" s="34" t="s">
        <v>16</v>
      </c>
      <c r="DH37" s="34" t="s">
        <v>16</v>
      </c>
      <c r="DI37" s="34" t="s">
        <v>16</v>
      </c>
      <c r="DJ37" s="34" t="s">
        <v>16</v>
      </c>
      <c r="DK37" s="34" t="s">
        <v>16</v>
      </c>
      <c r="DL37" s="34" t="s">
        <v>16</v>
      </c>
      <c r="DM37" s="34" t="s">
        <v>16</v>
      </c>
      <c r="DN37" s="34" t="s">
        <v>16</v>
      </c>
      <c r="DO37" s="34" t="s">
        <v>16</v>
      </c>
      <c r="DP37" s="34" t="s">
        <v>16</v>
      </c>
      <c r="DQ37" s="34" t="s">
        <v>16</v>
      </c>
      <c r="DR37" s="55" t="s">
        <v>16</v>
      </c>
    </row>
    <row r="38" spans="1:122">
      <c r="A38" s="87" t="s">
        <v>81</v>
      </c>
      <c r="B38" s="87"/>
      <c r="C38" s="53" t="str">
        <f>C37</f>
        <v>bar</v>
      </c>
      <c r="D38" s="53">
        <v>63</v>
      </c>
      <c r="E38" s="53">
        <v>107</v>
      </c>
      <c r="F38" s="53" t="str">
        <f t="shared" si="27"/>
        <v>S5B</v>
      </c>
      <c r="G38" s="53" t="str">
        <f t="shared" si="27"/>
        <v>ASTM</v>
      </c>
      <c r="H38" s="72">
        <v>790</v>
      </c>
      <c r="I38" s="48">
        <v>660</v>
      </c>
      <c r="J38" s="53" t="s">
        <v>16</v>
      </c>
      <c r="K38" s="59" t="s">
        <v>16</v>
      </c>
      <c r="L38" s="34" t="s">
        <v>16</v>
      </c>
      <c r="M38" s="34" t="s">
        <v>16</v>
      </c>
      <c r="N38" s="34" t="s">
        <v>16</v>
      </c>
      <c r="O38" s="34" t="s">
        <v>16</v>
      </c>
      <c r="P38" s="34" t="s">
        <v>16</v>
      </c>
      <c r="Q38" s="34" t="s">
        <v>16</v>
      </c>
      <c r="R38" s="34" t="s">
        <v>16</v>
      </c>
      <c r="S38" s="34" t="s">
        <v>16</v>
      </c>
      <c r="T38" s="34" t="s">
        <v>16</v>
      </c>
      <c r="U38" s="34" t="s">
        <v>16</v>
      </c>
      <c r="V38" s="34" t="s">
        <v>16</v>
      </c>
      <c r="W38" s="34" t="s">
        <v>16</v>
      </c>
      <c r="X38" s="34" t="s">
        <v>16</v>
      </c>
      <c r="Y38" s="34" t="s">
        <v>16</v>
      </c>
      <c r="Z38" s="34" t="s">
        <v>16</v>
      </c>
      <c r="AA38" s="34" t="s">
        <v>16</v>
      </c>
      <c r="AB38" s="34" t="s">
        <v>16</v>
      </c>
      <c r="AC38" s="34" t="s">
        <v>16</v>
      </c>
      <c r="AD38" s="34" t="s">
        <v>16</v>
      </c>
      <c r="AE38" s="34" t="s">
        <v>16</v>
      </c>
      <c r="AF38" s="34" t="s">
        <v>16</v>
      </c>
      <c r="AG38" s="34" t="s">
        <v>16</v>
      </c>
      <c r="AH38" s="34" t="s">
        <v>16</v>
      </c>
      <c r="AI38" s="34" t="s">
        <v>16</v>
      </c>
      <c r="AJ38" s="34" t="s">
        <v>16</v>
      </c>
      <c r="AK38" s="34" t="s">
        <v>16</v>
      </c>
      <c r="AL38" s="34" t="s">
        <v>16</v>
      </c>
      <c r="AM38" s="34" t="s">
        <v>16</v>
      </c>
      <c r="AN38" s="34" t="s">
        <v>16</v>
      </c>
      <c r="AO38" s="34" t="s">
        <v>16</v>
      </c>
      <c r="AP38" s="34" t="s">
        <v>16</v>
      </c>
      <c r="AQ38" s="34" t="s">
        <v>16</v>
      </c>
      <c r="AR38" s="34" t="s">
        <v>16</v>
      </c>
      <c r="AS38" s="34" t="s">
        <v>16</v>
      </c>
      <c r="AT38" s="34" t="s">
        <v>16</v>
      </c>
      <c r="AU38" s="55" t="s">
        <v>16</v>
      </c>
      <c r="AV38" s="78" t="str">
        <f>AV37</f>
        <v>ASTM</v>
      </c>
      <c r="AW38" s="59">
        <v>790</v>
      </c>
      <c r="AX38" s="34">
        <v>790</v>
      </c>
      <c r="AY38" s="34">
        <v>790</v>
      </c>
      <c r="AZ38" s="34">
        <v>790</v>
      </c>
      <c r="BA38" s="34">
        <v>790</v>
      </c>
      <c r="BB38" s="34">
        <v>790</v>
      </c>
      <c r="BC38" s="34">
        <v>790</v>
      </c>
      <c r="BD38" s="34">
        <v>790</v>
      </c>
      <c r="BE38" s="34">
        <v>790</v>
      </c>
      <c r="BF38" s="34">
        <v>790</v>
      </c>
      <c r="BG38" s="34">
        <v>790</v>
      </c>
      <c r="BH38" s="34">
        <v>790</v>
      </c>
      <c r="BI38" s="34">
        <v>790</v>
      </c>
      <c r="BJ38" s="34">
        <v>790</v>
      </c>
      <c r="BK38" s="34">
        <v>790</v>
      </c>
      <c r="BL38" s="34" t="s">
        <v>16</v>
      </c>
      <c r="BM38" s="34" t="s">
        <v>16</v>
      </c>
      <c r="BN38" s="34" t="s">
        <v>16</v>
      </c>
      <c r="BO38" s="34" t="s">
        <v>16</v>
      </c>
      <c r="BP38" s="34" t="s">
        <v>16</v>
      </c>
      <c r="BQ38" s="34" t="s">
        <v>16</v>
      </c>
      <c r="BR38" s="34" t="s">
        <v>16</v>
      </c>
      <c r="BS38" s="34" t="s">
        <v>16</v>
      </c>
      <c r="BT38" s="34" t="s">
        <v>16</v>
      </c>
      <c r="BU38" s="34" t="s">
        <v>16</v>
      </c>
      <c r="BV38" s="34" t="s">
        <v>16</v>
      </c>
      <c r="BW38" s="34" t="s">
        <v>16</v>
      </c>
      <c r="BX38" s="34" t="s">
        <v>16</v>
      </c>
      <c r="BY38" s="34" t="s">
        <v>16</v>
      </c>
      <c r="BZ38" s="34" t="s">
        <v>16</v>
      </c>
      <c r="CA38" s="34" t="s">
        <v>16</v>
      </c>
      <c r="CB38" s="34" t="s">
        <v>16</v>
      </c>
      <c r="CC38" s="34" t="s">
        <v>16</v>
      </c>
      <c r="CD38" s="34" t="s">
        <v>16</v>
      </c>
      <c r="CE38" s="34" t="s">
        <v>16</v>
      </c>
      <c r="CF38" s="34" t="s">
        <v>16</v>
      </c>
      <c r="CG38" s="44" t="s">
        <v>16</v>
      </c>
      <c r="CH38" s="59">
        <v>660</v>
      </c>
      <c r="CI38" s="34">
        <v>658</v>
      </c>
      <c r="CJ38" s="34">
        <v>650</v>
      </c>
      <c r="CK38" s="34">
        <v>628</v>
      </c>
      <c r="CL38" s="34">
        <v>608</v>
      </c>
      <c r="CM38" s="34">
        <v>599</v>
      </c>
      <c r="CN38" s="34">
        <v>589</v>
      </c>
      <c r="CO38" s="34">
        <v>581</v>
      </c>
      <c r="CP38" s="34">
        <v>574</v>
      </c>
      <c r="CQ38" s="34">
        <v>563</v>
      </c>
      <c r="CR38" s="34">
        <v>560</v>
      </c>
      <c r="CS38" s="34">
        <v>549</v>
      </c>
      <c r="CT38" s="34">
        <v>538</v>
      </c>
      <c r="CU38" s="34">
        <v>525</v>
      </c>
      <c r="CV38" s="34">
        <v>511</v>
      </c>
      <c r="CW38" s="34" t="s">
        <v>16</v>
      </c>
      <c r="CX38" s="34" t="s">
        <v>16</v>
      </c>
      <c r="CY38" s="34" t="s">
        <v>16</v>
      </c>
      <c r="CZ38" s="34" t="s">
        <v>16</v>
      </c>
      <c r="DA38" s="34" t="s">
        <v>16</v>
      </c>
      <c r="DB38" s="34" t="s">
        <v>16</v>
      </c>
      <c r="DC38" s="34" t="s">
        <v>16</v>
      </c>
      <c r="DD38" s="34" t="s">
        <v>16</v>
      </c>
      <c r="DE38" s="34" t="s">
        <v>16</v>
      </c>
      <c r="DF38" s="34" t="s">
        <v>16</v>
      </c>
      <c r="DG38" s="34" t="s">
        <v>16</v>
      </c>
      <c r="DH38" s="34" t="s">
        <v>16</v>
      </c>
      <c r="DI38" s="34" t="s">
        <v>16</v>
      </c>
      <c r="DJ38" s="34" t="s">
        <v>16</v>
      </c>
      <c r="DK38" s="34" t="s">
        <v>16</v>
      </c>
      <c r="DL38" s="34" t="s">
        <v>16</v>
      </c>
      <c r="DM38" s="34" t="s">
        <v>16</v>
      </c>
      <c r="DN38" s="34" t="s">
        <v>16</v>
      </c>
      <c r="DO38" s="34" t="s">
        <v>16</v>
      </c>
      <c r="DP38" s="34" t="s">
        <v>16</v>
      </c>
      <c r="DQ38" s="34" t="s">
        <v>16</v>
      </c>
      <c r="DR38" s="55" t="s">
        <v>16</v>
      </c>
    </row>
    <row r="39" spans="1:122">
      <c r="A39" s="87" t="s">
        <v>81</v>
      </c>
      <c r="B39" s="87"/>
      <c r="C39" s="53" t="str">
        <f>C38</f>
        <v>bar</v>
      </c>
      <c r="D39" s="53">
        <v>38</v>
      </c>
      <c r="E39" s="53">
        <v>63</v>
      </c>
      <c r="F39" s="53" t="str">
        <f t="shared" si="27"/>
        <v>S5B</v>
      </c>
      <c r="G39" s="53" t="str">
        <f t="shared" si="27"/>
        <v>ASTM</v>
      </c>
      <c r="H39" s="72">
        <v>862</v>
      </c>
      <c r="I39" s="48">
        <v>720</v>
      </c>
      <c r="J39" s="53" t="s">
        <v>18</v>
      </c>
      <c r="K39" s="59" t="s">
        <v>16</v>
      </c>
      <c r="L39" s="34">
        <v>205</v>
      </c>
      <c r="M39" s="34" t="s">
        <v>16</v>
      </c>
      <c r="N39" s="54">
        <v>199</v>
      </c>
      <c r="O39" s="54">
        <v>191</v>
      </c>
      <c r="P39" s="54">
        <v>188</v>
      </c>
      <c r="Q39" s="54">
        <v>185</v>
      </c>
      <c r="R39" s="54">
        <v>182</v>
      </c>
      <c r="S39" s="54">
        <v>180</v>
      </c>
      <c r="T39" s="54">
        <v>178</v>
      </c>
      <c r="U39" s="54">
        <v>172</v>
      </c>
      <c r="V39" s="54" t="s">
        <v>16</v>
      </c>
      <c r="W39" s="54">
        <v>160</v>
      </c>
      <c r="X39" s="54" t="s">
        <v>16</v>
      </c>
      <c r="Y39" s="54">
        <v>1148</v>
      </c>
      <c r="Z39" s="54" t="s">
        <v>16</v>
      </c>
      <c r="AA39" s="54">
        <v>135</v>
      </c>
      <c r="AB39" s="54" t="s">
        <v>16</v>
      </c>
      <c r="AC39" s="54">
        <v>129</v>
      </c>
      <c r="AD39" s="54" t="s">
        <v>16</v>
      </c>
      <c r="AE39" s="34">
        <v>107</v>
      </c>
      <c r="AF39" s="34" t="s">
        <v>16</v>
      </c>
      <c r="AG39" s="34" t="s">
        <v>16</v>
      </c>
      <c r="AH39" s="34" t="s">
        <v>16</v>
      </c>
      <c r="AI39" s="34" t="s">
        <v>16</v>
      </c>
      <c r="AJ39" s="34" t="s">
        <v>16</v>
      </c>
      <c r="AK39" s="34" t="s">
        <v>16</v>
      </c>
      <c r="AL39" s="34" t="s">
        <v>16</v>
      </c>
      <c r="AM39" s="34" t="s">
        <v>16</v>
      </c>
      <c r="AN39" s="34" t="s">
        <v>16</v>
      </c>
      <c r="AO39" s="34" t="s">
        <v>16</v>
      </c>
      <c r="AP39" s="34" t="s">
        <v>16</v>
      </c>
      <c r="AQ39" s="34" t="s">
        <v>16</v>
      </c>
      <c r="AR39" s="34" t="s">
        <v>16</v>
      </c>
      <c r="AS39" s="34" t="s">
        <v>16</v>
      </c>
      <c r="AT39" s="34" t="s">
        <v>16</v>
      </c>
      <c r="AU39" s="55" t="s">
        <v>16</v>
      </c>
      <c r="AV39" s="78" t="str">
        <f>AV38</f>
        <v>ASTM</v>
      </c>
      <c r="AW39" s="59">
        <v>860</v>
      </c>
      <c r="AX39" s="34">
        <v>860</v>
      </c>
      <c r="AY39" s="34">
        <v>860</v>
      </c>
      <c r="AZ39" s="34">
        <v>860</v>
      </c>
      <c r="BA39" s="34">
        <v>860</v>
      </c>
      <c r="BB39" s="34">
        <v>860</v>
      </c>
      <c r="BC39" s="34">
        <v>860</v>
      </c>
      <c r="BD39" s="34">
        <v>860</v>
      </c>
      <c r="BE39" s="34">
        <v>860</v>
      </c>
      <c r="BF39" s="34">
        <v>860</v>
      </c>
      <c r="BG39" s="34">
        <v>860</v>
      </c>
      <c r="BH39" s="34">
        <v>860</v>
      </c>
      <c r="BI39" s="34">
        <v>860</v>
      </c>
      <c r="BJ39" s="34">
        <v>860</v>
      </c>
      <c r="BK39" s="34">
        <v>860</v>
      </c>
      <c r="BL39" s="54" t="s">
        <v>16</v>
      </c>
      <c r="BM39" s="54" t="s">
        <v>16</v>
      </c>
      <c r="BN39" s="54" t="s">
        <v>16</v>
      </c>
      <c r="BO39" s="54" t="s">
        <v>16</v>
      </c>
      <c r="BP39" s="54" t="s">
        <v>16</v>
      </c>
      <c r="BQ39" s="54" t="s">
        <v>16</v>
      </c>
      <c r="BR39" s="54" t="s">
        <v>16</v>
      </c>
      <c r="BS39" s="54" t="s">
        <v>16</v>
      </c>
      <c r="BT39" s="54" t="s">
        <v>16</v>
      </c>
      <c r="BU39" s="54" t="s">
        <v>16</v>
      </c>
      <c r="BV39" s="54" t="s">
        <v>16</v>
      </c>
      <c r="BW39" s="54" t="s">
        <v>16</v>
      </c>
      <c r="BX39" s="54" t="s">
        <v>16</v>
      </c>
      <c r="BY39" s="54" t="s">
        <v>16</v>
      </c>
      <c r="BZ39" s="54" t="s">
        <v>16</v>
      </c>
      <c r="CA39" s="54" t="s">
        <v>16</v>
      </c>
      <c r="CB39" s="54" t="s">
        <v>16</v>
      </c>
      <c r="CC39" s="54" t="s">
        <v>16</v>
      </c>
      <c r="CD39" s="54" t="s">
        <v>16</v>
      </c>
      <c r="CE39" s="54" t="s">
        <v>16</v>
      </c>
      <c r="CF39" s="54" t="s">
        <v>16</v>
      </c>
      <c r="CG39" s="44" t="s">
        <v>16</v>
      </c>
      <c r="CH39" s="59">
        <v>720</v>
      </c>
      <c r="CI39" s="34">
        <v>718</v>
      </c>
      <c r="CJ39" s="34">
        <v>711</v>
      </c>
      <c r="CK39" s="54">
        <v>692</v>
      </c>
      <c r="CL39" s="54">
        <v>674</v>
      </c>
      <c r="CM39" s="54">
        <v>664</v>
      </c>
      <c r="CN39" s="54">
        <v>654</v>
      </c>
      <c r="CO39" s="54">
        <v>645</v>
      </c>
      <c r="CP39" s="54">
        <v>637</v>
      </c>
      <c r="CQ39" s="54">
        <v>625</v>
      </c>
      <c r="CR39" s="54">
        <v>622</v>
      </c>
      <c r="CS39" s="54">
        <v>609</v>
      </c>
      <c r="CT39" s="54">
        <v>597</v>
      </c>
      <c r="CU39" s="54">
        <v>584</v>
      </c>
      <c r="CV39" s="54">
        <v>567</v>
      </c>
      <c r="CW39" s="54" t="s">
        <v>16</v>
      </c>
      <c r="CX39" s="54" t="s">
        <v>16</v>
      </c>
      <c r="CY39" s="54" t="s">
        <v>16</v>
      </c>
      <c r="CZ39" s="54" t="s">
        <v>16</v>
      </c>
      <c r="DA39" s="54" t="s">
        <v>16</v>
      </c>
      <c r="DB39" s="54" t="s">
        <v>16</v>
      </c>
      <c r="DC39" s="54" t="s">
        <v>16</v>
      </c>
      <c r="DD39" s="54" t="s">
        <v>16</v>
      </c>
      <c r="DE39" s="54" t="s">
        <v>16</v>
      </c>
      <c r="DF39" s="54" t="s">
        <v>16</v>
      </c>
      <c r="DG39" s="54" t="s">
        <v>16</v>
      </c>
      <c r="DH39" s="54" t="s">
        <v>16</v>
      </c>
      <c r="DI39" s="54" t="s">
        <v>16</v>
      </c>
      <c r="DJ39" s="54" t="s">
        <v>16</v>
      </c>
      <c r="DK39" s="54" t="s">
        <v>16</v>
      </c>
      <c r="DL39" s="54" t="s">
        <v>16</v>
      </c>
      <c r="DM39" s="54" t="s">
        <v>16</v>
      </c>
      <c r="DN39" s="54" t="s">
        <v>16</v>
      </c>
      <c r="DO39" s="54" t="s">
        <v>16</v>
      </c>
      <c r="DP39" s="54" t="s">
        <v>16</v>
      </c>
      <c r="DQ39" s="54" t="s">
        <v>16</v>
      </c>
      <c r="DR39" s="55" t="s">
        <v>16</v>
      </c>
    </row>
    <row r="40" spans="1:122">
      <c r="A40" s="87" t="s">
        <v>81</v>
      </c>
      <c r="B40" s="87"/>
      <c r="C40" s="53" t="str">
        <f>C39</f>
        <v>bar</v>
      </c>
      <c r="D40" s="53" t="s">
        <v>16</v>
      </c>
      <c r="E40" s="53">
        <v>38</v>
      </c>
      <c r="F40" s="53" t="str">
        <f t="shared" si="27"/>
        <v>S5B</v>
      </c>
      <c r="G40" s="53" t="str">
        <f t="shared" si="27"/>
        <v>ASTM</v>
      </c>
      <c r="H40" s="72">
        <v>900</v>
      </c>
      <c r="I40" s="48">
        <v>760</v>
      </c>
      <c r="J40" s="53" t="s">
        <v>16</v>
      </c>
      <c r="K40" s="59" t="s">
        <v>16</v>
      </c>
      <c r="L40" s="34" t="s">
        <v>16</v>
      </c>
      <c r="M40" s="34" t="s">
        <v>16</v>
      </c>
      <c r="N40" s="34" t="s">
        <v>16</v>
      </c>
      <c r="O40" s="34" t="s">
        <v>16</v>
      </c>
      <c r="P40" s="34" t="s">
        <v>16</v>
      </c>
      <c r="Q40" s="34" t="s">
        <v>16</v>
      </c>
      <c r="R40" s="34" t="s">
        <v>16</v>
      </c>
      <c r="S40" s="34" t="s">
        <v>16</v>
      </c>
      <c r="T40" s="34" t="s">
        <v>16</v>
      </c>
      <c r="U40" s="34" t="s">
        <v>16</v>
      </c>
      <c r="V40" s="34" t="s">
        <v>16</v>
      </c>
      <c r="W40" s="34" t="s">
        <v>16</v>
      </c>
      <c r="X40" s="34" t="s">
        <v>16</v>
      </c>
      <c r="Y40" s="34" t="s">
        <v>16</v>
      </c>
      <c r="Z40" s="34" t="s">
        <v>16</v>
      </c>
      <c r="AA40" s="34" t="s">
        <v>16</v>
      </c>
      <c r="AB40" s="34" t="s">
        <v>16</v>
      </c>
      <c r="AC40" s="34" t="s">
        <v>16</v>
      </c>
      <c r="AD40" s="34" t="s">
        <v>16</v>
      </c>
      <c r="AE40" s="34" t="s">
        <v>16</v>
      </c>
      <c r="AF40" s="34" t="s">
        <v>16</v>
      </c>
      <c r="AG40" s="34" t="s">
        <v>16</v>
      </c>
      <c r="AH40" s="34" t="s">
        <v>16</v>
      </c>
      <c r="AI40" s="34" t="s">
        <v>16</v>
      </c>
      <c r="AJ40" s="34" t="s">
        <v>16</v>
      </c>
      <c r="AK40" s="34" t="s">
        <v>16</v>
      </c>
      <c r="AL40" s="34" t="s">
        <v>16</v>
      </c>
      <c r="AM40" s="34" t="s">
        <v>16</v>
      </c>
      <c r="AN40" s="34" t="s">
        <v>16</v>
      </c>
      <c r="AO40" s="34" t="s">
        <v>16</v>
      </c>
      <c r="AP40" s="34" t="s">
        <v>16</v>
      </c>
      <c r="AQ40" s="34" t="s">
        <v>16</v>
      </c>
      <c r="AR40" s="34" t="s">
        <v>16</v>
      </c>
      <c r="AS40" s="34" t="s">
        <v>16</v>
      </c>
      <c r="AT40" s="34" t="s">
        <v>16</v>
      </c>
      <c r="AU40" s="55" t="s">
        <v>16</v>
      </c>
      <c r="AV40" s="78" t="str">
        <f>AV39</f>
        <v>ASTM</v>
      </c>
      <c r="AW40" s="59">
        <v>900</v>
      </c>
      <c r="AX40" s="34">
        <v>900</v>
      </c>
      <c r="AY40" s="34">
        <v>900</v>
      </c>
      <c r="AZ40" s="34">
        <v>900</v>
      </c>
      <c r="BA40" s="34">
        <v>900</v>
      </c>
      <c r="BB40" s="34">
        <v>900</v>
      </c>
      <c r="BC40" s="34">
        <v>900</v>
      </c>
      <c r="BD40" s="34">
        <v>900</v>
      </c>
      <c r="BE40" s="34">
        <v>900</v>
      </c>
      <c r="BF40" s="34">
        <v>900</v>
      </c>
      <c r="BG40" s="34">
        <v>900</v>
      </c>
      <c r="BH40" s="34">
        <v>900</v>
      </c>
      <c r="BI40" s="34">
        <v>900</v>
      </c>
      <c r="BJ40" s="34">
        <v>900</v>
      </c>
      <c r="BK40" s="34">
        <v>900</v>
      </c>
      <c r="BL40" s="34" t="s">
        <v>16</v>
      </c>
      <c r="BM40" s="34" t="s">
        <v>16</v>
      </c>
      <c r="BN40" s="34" t="s">
        <v>16</v>
      </c>
      <c r="BO40" s="34" t="s">
        <v>16</v>
      </c>
      <c r="BP40" s="34" t="s">
        <v>16</v>
      </c>
      <c r="BQ40" s="34" t="s">
        <v>16</v>
      </c>
      <c r="BR40" s="34" t="s">
        <v>16</v>
      </c>
      <c r="BS40" s="34" t="s">
        <v>16</v>
      </c>
      <c r="BT40" s="34" t="s">
        <v>16</v>
      </c>
      <c r="BU40" s="34" t="s">
        <v>16</v>
      </c>
      <c r="BV40" s="34" t="s">
        <v>16</v>
      </c>
      <c r="BW40" s="34" t="s">
        <v>16</v>
      </c>
      <c r="BX40" s="34" t="s">
        <v>16</v>
      </c>
      <c r="BY40" s="34" t="s">
        <v>16</v>
      </c>
      <c r="BZ40" s="34" t="s">
        <v>16</v>
      </c>
      <c r="CA40" s="34" t="s">
        <v>16</v>
      </c>
      <c r="CB40" s="34" t="s">
        <v>16</v>
      </c>
      <c r="CC40" s="34" t="s">
        <v>16</v>
      </c>
      <c r="CD40" s="34" t="s">
        <v>16</v>
      </c>
      <c r="CE40" s="34" t="s">
        <v>16</v>
      </c>
      <c r="CF40" s="34" t="s">
        <v>16</v>
      </c>
      <c r="CG40" s="44" t="s">
        <v>16</v>
      </c>
      <c r="CH40" s="59">
        <v>760</v>
      </c>
      <c r="CI40" s="34">
        <v>758</v>
      </c>
      <c r="CJ40" s="34">
        <v>749</v>
      </c>
      <c r="CK40" s="34">
        <v>727</v>
      </c>
      <c r="CL40" s="34">
        <v>707</v>
      </c>
      <c r="CM40" s="34">
        <v>696</v>
      </c>
      <c r="CN40" s="34">
        <v>685</v>
      </c>
      <c r="CO40" s="34">
        <v>677</v>
      </c>
      <c r="CP40" s="34">
        <v>668</v>
      </c>
      <c r="CQ40" s="34">
        <v>654</v>
      </c>
      <c r="CR40" s="34">
        <v>651</v>
      </c>
      <c r="CS40" s="34">
        <v>638</v>
      </c>
      <c r="CT40" s="34">
        <v>625</v>
      </c>
      <c r="CU40" s="34">
        <v>611</v>
      </c>
      <c r="CV40" s="34">
        <v>594</v>
      </c>
      <c r="CW40" s="34" t="s">
        <v>16</v>
      </c>
      <c r="CX40" s="34" t="s">
        <v>16</v>
      </c>
      <c r="CY40" s="34" t="s">
        <v>16</v>
      </c>
      <c r="CZ40" s="34" t="s">
        <v>16</v>
      </c>
      <c r="DA40" s="34" t="s">
        <v>16</v>
      </c>
      <c r="DB40" s="34" t="s">
        <v>16</v>
      </c>
      <c r="DC40" s="34" t="s">
        <v>16</v>
      </c>
      <c r="DD40" s="34" t="s">
        <v>16</v>
      </c>
      <c r="DE40" s="34" t="s">
        <v>16</v>
      </c>
      <c r="DF40" s="34" t="s">
        <v>16</v>
      </c>
      <c r="DG40" s="34" t="s">
        <v>16</v>
      </c>
      <c r="DH40" s="34" t="s">
        <v>16</v>
      </c>
      <c r="DI40" s="34" t="s">
        <v>16</v>
      </c>
      <c r="DJ40" s="34" t="s">
        <v>16</v>
      </c>
      <c r="DK40" s="34" t="s">
        <v>16</v>
      </c>
      <c r="DL40" s="34" t="s">
        <v>16</v>
      </c>
      <c r="DM40" s="34" t="s">
        <v>16</v>
      </c>
      <c r="DN40" s="34" t="s">
        <v>16</v>
      </c>
      <c r="DO40" s="34" t="s">
        <v>16</v>
      </c>
      <c r="DP40" s="34" t="s">
        <v>16</v>
      </c>
      <c r="DQ40" s="34" t="s">
        <v>16</v>
      </c>
      <c r="DR40" s="55" t="s">
        <v>16</v>
      </c>
    </row>
    <row r="41" spans="1:122">
      <c r="A41" s="53" t="s">
        <v>83</v>
      </c>
      <c r="B41" s="53"/>
      <c r="C41" s="53" t="s">
        <v>84</v>
      </c>
      <c r="D41" s="53" t="s">
        <v>16</v>
      </c>
      <c r="E41" s="53" t="s">
        <v>16</v>
      </c>
      <c r="F41" s="53" t="s">
        <v>85</v>
      </c>
      <c r="G41" s="53" t="s">
        <v>17</v>
      </c>
      <c r="H41" s="72">
        <v>690</v>
      </c>
      <c r="I41" s="48">
        <v>485</v>
      </c>
      <c r="J41" s="82" t="s">
        <v>18</v>
      </c>
      <c r="K41" s="63" t="s">
        <v>16</v>
      </c>
      <c r="L41" s="34">
        <v>197</v>
      </c>
      <c r="M41" s="34" t="s">
        <v>16</v>
      </c>
      <c r="N41" s="54">
        <v>197</v>
      </c>
      <c r="O41" s="54">
        <v>197</v>
      </c>
      <c r="P41" s="54">
        <v>195</v>
      </c>
      <c r="Q41" s="54">
        <v>192</v>
      </c>
      <c r="R41" s="54" t="s">
        <v>16</v>
      </c>
      <c r="S41" s="54">
        <v>190</v>
      </c>
      <c r="T41" s="54" t="s">
        <v>16</v>
      </c>
      <c r="U41" s="54">
        <v>190</v>
      </c>
      <c r="V41" s="54" t="s">
        <v>16</v>
      </c>
      <c r="W41" s="54">
        <v>189</v>
      </c>
      <c r="X41" s="54">
        <v>189</v>
      </c>
      <c r="Y41" s="54" t="s">
        <v>16</v>
      </c>
      <c r="Z41" s="54" t="s">
        <v>16</v>
      </c>
      <c r="AA41" s="54" t="s">
        <v>16</v>
      </c>
      <c r="AB41" s="54" t="s">
        <v>16</v>
      </c>
      <c r="AC41" s="54" t="s">
        <v>16</v>
      </c>
      <c r="AD41" s="54" t="s">
        <v>16</v>
      </c>
      <c r="AE41" s="54" t="s">
        <v>16</v>
      </c>
      <c r="AF41" s="54" t="s">
        <v>16</v>
      </c>
      <c r="AG41" s="54" t="s">
        <v>16</v>
      </c>
      <c r="AH41" s="54" t="s">
        <v>16</v>
      </c>
      <c r="AI41" s="54" t="s">
        <v>16</v>
      </c>
      <c r="AJ41" s="54" t="s">
        <v>16</v>
      </c>
      <c r="AK41" s="54" t="s">
        <v>16</v>
      </c>
      <c r="AL41" s="54" t="s">
        <v>16</v>
      </c>
      <c r="AM41" s="54" t="s">
        <v>16</v>
      </c>
      <c r="AN41" s="54" t="s">
        <v>16</v>
      </c>
      <c r="AO41" s="54" t="s">
        <v>16</v>
      </c>
      <c r="AP41" s="54" t="s">
        <v>16</v>
      </c>
      <c r="AQ41" s="54" t="s">
        <v>16</v>
      </c>
      <c r="AR41" s="54" t="s">
        <v>16</v>
      </c>
      <c r="AS41" s="54" t="s">
        <v>16</v>
      </c>
      <c r="AT41" s="54" t="s">
        <v>16</v>
      </c>
      <c r="AU41" s="64" t="s">
        <v>16</v>
      </c>
      <c r="AV41" s="141" t="s">
        <v>18</v>
      </c>
      <c r="AW41" s="63" t="s">
        <v>16</v>
      </c>
      <c r="AX41" s="34">
        <v>689</v>
      </c>
      <c r="AY41" s="34" t="s">
        <v>16</v>
      </c>
      <c r="AZ41" s="34" t="s">
        <v>16</v>
      </c>
      <c r="BA41" s="34" t="s">
        <v>16</v>
      </c>
      <c r="BB41" s="34" t="s">
        <v>16</v>
      </c>
      <c r="BC41" s="34" t="s">
        <v>16</v>
      </c>
      <c r="BD41" s="34" t="s">
        <v>16</v>
      </c>
      <c r="BE41" s="34" t="s">
        <v>16</v>
      </c>
      <c r="BF41" s="34" t="s">
        <v>16</v>
      </c>
      <c r="BG41" s="34" t="s">
        <v>16</v>
      </c>
      <c r="BH41" s="34" t="s">
        <v>16</v>
      </c>
      <c r="BI41" s="34" t="s">
        <v>16</v>
      </c>
      <c r="BJ41" s="34" t="s">
        <v>16</v>
      </c>
      <c r="BK41" s="34" t="s">
        <v>16</v>
      </c>
      <c r="BL41" s="34" t="s">
        <v>16</v>
      </c>
      <c r="BM41" s="34" t="s">
        <v>16</v>
      </c>
      <c r="BN41" s="34" t="s">
        <v>16</v>
      </c>
      <c r="BO41" s="34" t="s">
        <v>16</v>
      </c>
      <c r="BP41" s="34" t="s">
        <v>16</v>
      </c>
      <c r="BQ41" s="34" t="s">
        <v>16</v>
      </c>
      <c r="BR41" s="34" t="s">
        <v>16</v>
      </c>
      <c r="BS41" s="34" t="s">
        <v>16</v>
      </c>
      <c r="BT41" s="34" t="s">
        <v>16</v>
      </c>
      <c r="BU41" s="34" t="s">
        <v>16</v>
      </c>
      <c r="BV41" s="34" t="s">
        <v>16</v>
      </c>
      <c r="BW41" s="34" t="s">
        <v>16</v>
      </c>
      <c r="BX41" s="34" t="s">
        <v>16</v>
      </c>
      <c r="BY41" s="34" t="s">
        <v>16</v>
      </c>
      <c r="BZ41" s="34" t="s">
        <v>16</v>
      </c>
      <c r="CA41" s="34" t="s">
        <v>16</v>
      </c>
      <c r="CB41" s="34" t="s">
        <v>16</v>
      </c>
      <c r="CC41" s="34" t="s">
        <v>16</v>
      </c>
      <c r="CD41" s="34" t="s">
        <v>16</v>
      </c>
      <c r="CE41" s="34" t="s">
        <v>16</v>
      </c>
      <c r="CF41" s="34" t="s">
        <v>16</v>
      </c>
      <c r="CG41" s="44" t="s">
        <v>16</v>
      </c>
      <c r="CH41" s="63" t="s">
        <v>16</v>
      </c>
      <c r="CI41" s="34">
        <v>483</v>
      </c>
      <c r="CJ41" s="34" t="s">
        <v>16</v>
      </c>
      <c r="CK41" s="34" t="s">
        <v>16</v>
      </c>
      <c r="CL41" s="34" t="s">
        <v>16</v>
      </c>
      <c r="CM41" s="34" t="s">
        <v>16</v>
      </c>
      <c r="CN41" s="34" t="s">
        <v>16</v>
      </c>
      <c r="CO41" s="34" t="s">
        <v>16</v>
      </c>
      <c r="CP41" s="34" t="s">
        <v>16</v>
      </c>
      <c r="CQ41" s="34" t="s">
        <v>16</v>
      </c>
      <c r="CR41" s="34" t="s">
        <v>16</v>
      </c>
      <c r="CS41" s="34" t="s">
        <v>16</v>
      </c>
      <c r="CT41" s="34" t="s">
        <v>16</v>
      </c>
      <c r="CU41" s="34" t="s">
        <v>16</v>
      </c>
      <c r="CV41" s="34" t="s">
        <v>16</v>
      </c>
      <c r="CW41" s="34" t="s">
        <v>16</v>
      </c>
      <c r="CX41" s="34" t="s">
        <v>16</v>
      </c>
      <c r="CY41" s="34" t="s">
        <v>16</v>
      </c>
      <c r="CZ41" s="34" t="s">
        <v>16</v>
      </c>
      <c r="DA41" s="34" t="s">
        <v>16</v>
      </c>
      <c r="DB41" s="34" t="s">
        <v>16</v>
      </c>
      <c r="DC41" s="34" t="s">
        <v>16</v>
      </c>
      <c r="DD41" s="34" t="s">
        <v>16</v>
      </c>
      <c r="DE41" s="34" t="s">
        <v>16</v>
      </c>
      <c r="DF41" s="34" t="s">
        <v>16</v>
      </c>
      <c r="DG41" s="34" t="s">
        <v>16</v>
      </c>
      <c r="DH41" s="34" t="s">
        <v>16</v>
      </c>
      <c r="DI41" s="34" t="s">
        <v>16</v>
      </c>
      <c r="DJ41" s="34" t="s">
        <v>16</v>
      </c>
      <c r="DK41" s="34" t="s">
        <v>16</v>
      </c>
      <c r="DL41" s="34" t="s">
        <v>16</v>
      </c>
      <c r="DM41" s="34" t="s">
        <v>16</v>
      </c>
      <c r="DN41" s="34" t="s">
        <v>16</v>
      </c>
      <c r="DO41" s="34" t="s">
        <v>16</v>
      </c>
      <c r="DP41" s="34" t="s">
        <v>16</v>
      </c>
      <c r="DQ41" s="34" t="s">
        <v>16</v>
      </c>
      <c r="DR41" s="55" t="s">
        <v>16</v>
      </c>
    </row>
    <row r="42" spans="1:122">
      <c r="A42" s="53" t="s">
        <v>86</v>
      </c>
      <c r="B42" s="53"/>
      <c r="C42" s="53" t="str">
        <f>C41</f>
        <v>pressure casting</v>
      </c>
      <c r="D42" s="53" t="str">
        <f>D41</f>
        <v>-</v>
      </c>
      <c r="E42" s="53" t="str">
        <f>E41</f>
        <v>-</v>
      </c>
      <c r="F42" s="53" t="s">
        <v>87</v>
      </c>
      <c r="G42" s="53" t="str">
        <f t="shared" ref="G42:L42" si="28">G41</f>
        <v>ASTM</v>
      </c>
      <c r="H42" s="72">
        <f t="shared" si="28"/>
        <v>690</v>
      </c>
      <c r="I42" s="48">
        <f t="shared" si="28"/>
        <v>485</v>
      </c>
      <c r="J42" s="82" t="str">
        <f t="shared" si="28"/>
        <v>ASME</v>
      </c>
      <c r="K42" s="63" t="str">
        <f t="shared" si="28"/>
        <v>-</v>
      </c>
      <c r="L42" s="34">
        <f t="shared" si="28"/>
        <v>197</v>
      </c>
      <c r="M42" s="34" t="s">
        <v>16</v>
      </c>
      <c r="N42" s="34">
        <f t="shared" ref="N42:AU42" si="29">N41</f>
        <v>197</v>
      </c>
      <c r="O42" s="34">
        <f t="shared" si="29"/>
        <v>197</v>
      </c>
      <c r="P42" s="34">
        <f t="shared" si="29"/>
        <v>195</v>
      </c>
      <c r="Q42" s="34">
        <f t="shared" si="29"/>
        <v>192</v>
      </c>
      <c r="R42" s="34" t="str">
        <f t="shared" si="29"/>
        <v>-</v>
      </c>
      <c r="S42" s="34">
        <f t="shared" si="29"/>
        <v>190</v>
      </c>
      <c r="T42" s="34" t="str">
        <f t="shared" si="29"/>
        <v>-</v>
      </c>
      <c r="U42" s="34">
        <f t="shared" si="29"/>
        <v>190</v>
      </c>
      <c r="V42" s="34" t="str">
        <f t="shared" si="29"/>
        <v>-</v>
      </c>
      <c r="W42" s="34">
        <f t="shared" si="29"/>
        <v>189</v>
      </c>
      <c r="X42" s="34">
        <f t="shared" si="29"/>
        <v>189</v>
      </c>
      <c r="Y42" s="34" t="str">
        <f t="shared" si="29"/>
        <v>-</v>
      </c>
      <c r="Z42" s="34" t="str">
        <f t="shared" si="29"/>
        <v>-</v>
      </c>
      <c r="AA42" s="34" t="str">
        <f t="shared" si="29"/>
        <v>-</v>
      </c>
      <c r="AB42" s="34" t="str">
        <f t="shared" si="29"/>
        <v>-</v>
      </c>
      <c r="AC42" s="34" t="str">
        <f t="shared" si="29"/>
        <v>-</v>
      </c>
      <c r="AD42" s="34" t="str">
        <f t="shared" si="29"/>
        <v>-</v>
      </c>
      <c r="AE42" s="34" t="str">
        <f t="shared" si="29"/>
        <v>-</v>
      </c>
      <c r="AF42" s="34" t="str">
        <f t="shared" si="29"/>
        <v>-</v>
      </c>
      <c r="AG42" s="34" t="str">
        <f t="shared" si="29"/>
        <v>-</v>
      </c>
      <c r="AH42" s="34" t="str">
        <f t="shared" si="29"/>
        <v>-</v>
      </c>
      <c r="AI42" s="34" t="str">
        <f t="shared" si="29"/>
        <v>-</v>
      </c>
      <c r="AJ42" s="34" t="str">
        <f t="shared" si="29"/>
        <v>-</v>
      </c>
      <c r="AK42" s="34" t="str">
        <f t="shared" si="29"/>
        <v>-</v>
      </c>
      <c r="AL42" s="34" t="str">
        <f t="shared" si="29"/>
        <v>-</v>
      </c>
      <c r="AM42" s="34" t="str">
        <f t="shared" si="29"/>
        <v>-</v>
      </c>
      <c r="AN42" s="34" t="str">
        <f t="shared" si="29"/>
        <v>-</v>
      </c>
      <c r="AO42" s="34" t="str">
        <f t="shared" si="29"/>
        <v>-</v>
      </c>
      <c r="AP42" s="34" t="str">
        <f t="shared" si="29"/>
        <v>-</v>
      </c>
      <c r="AQ42" s="34" t="str">
        <f t="shared" si="29"/>
        <v>-</v>
      </c>
      <c r="AR42" s="34" t="str">
        <f t="shared" si="29"/>
        <v>-</v>
      </c>
      <c r="AS42" s="34" t="str">
        <f t="shared" si="29"/>
        <v>-</v>
      </c>
      <c r="AT42" s="34" t="str">
        <f t="shared" si="29"/>
        <v>-</v>
      </c>
      <c r="AU42" s="55" t="str">
        <f t="shared" si="29"/>
        <v>-</v>
      </c>
      <c r="AV42" s="140" t="str">
        <f>AV41</f>
        <v>ASME</v>
      </c>
      <c r="AW42" s="63" t="str">
        <f>AW41</f>
        <v>-</v>
      </c>
      <c r="AX42" s="34">
        <f>AX41</f>
        <v>689</v>
      </c>
      <c r="AY42" s="34" t="str">
        <f t="shared" ref="AY42:DJ42" si="30">AY41</f>
        <v>-</v>
      </c>
      <c r="AZ42" s="34" t="str">
        <f t="shared" si="30"/>
        <v>-</v>
      </c>
      <c r="BA42" s="34" t="str">
        <f t="shared" si="30"/>
        <v>-</v>
      </c>
      <c r="BB42" s="34" t="str">
        <f t="shared" si="30"/>
        <v>-</v>
      </c>
      <c r="BC42" s="34" t="str">
        <f t="shared" si="30"/>
        <v>-</v>
      </c>
      <c r="BD42" s="34" t="str">
        <f t="shared" si="30"/>
        <v>-</v>
      </c>
      <c r="BE42" s="34" t="str">
        <f t="shared" si="30"/>
        <v>-</v>
      </c>
      <c r="BF42" s="34" t="str">
        <f t="shared" si="30"/>
        <v>-</v>
      </c>
      <c r="BG42" s="34" t="str">
        <f t="shared" si="30"/>
        <v>-</v>
      </c>
      <c r="BH42" s="34" t="str">
        <f t="shared" si="30"/>
        <v>-</v>
      </c>
      <c r="BI42" s="34" t="str">
        <f t="shared" si="30"/>
        <v>-</v>
      </c>
      <c r="BJ42" s="34" t="str">
        <f t="shared" si="30"/>
        <v>-</v>
      </c>
      <c r="BK42" s="34" t="str">
        <f t="shared" si="30"/>
        <v>-</v>
      </c>
      <c r="BL42" s="34" t="str">
        <f t="shared" si="30"/>
        <v>-</v>
      </c>
      <c r="BM42" s="34" t="str">
        <f t="shared" si="30"/>
        <v>-</v>
      </c>
      <c r="BN42" s="34" t="str">
        <f t="shared" si="30"/>
        <v>-</v>
      </c>
      <c r="BO42" s="34" t="str">
        <f t="shared" si="30"/>
        <v>-</v>
      </c>
      <c r="BP42" s="34" t="str">
        <f t="shared" si="30"/>
        <v>-</v>
      </c>
      <c r="BQ42" s="34" t="str">
        <f t="shared" si="30"/>
        <v>-</v>
      </c>
      <c r="BR42" s="34" t="str">
        <f t="shared" si="30"/>
        <v>-</v>
      </c>
      <c r="BS42" s="34" t="str">
        <f t="shared" si="30"/>
        <v>-</v>
      </c>
      <c r="BT42" s="34" t="str">
        <f t="shared" si="30"/>
        <v>-</v>
      </c>
      <c r="BU42" s="34" t="str">
        <f t="shared" si="30"/>
        <v>-</v>
      </c>
      <c r="BV42" s="34" t="str">
        <f t="shared" si="30"/>
        <v>-</v>
      </c>
      <c r="BW42" s="34" t="str">
        <f t="shared" si="30"/>
        <v>-</v>
      </c>
      <c r="BX42" s="34" t="str">
        <f t="shared" si="30"/>
        <v>-</v>
      </c>
      <c r="BY42" s="34" t="str">
        <f t="shared" si="30"/>
        <v>-</v>
      </c>
      <c r="BZ42" s="34" t="str">
        <f t="shared" si="30"/>
        <v>-</v>
      </c>
      <c r="CA42" s="34" t="str">
        <f t="shared" si="30"/>
        <v>-</v>
      </c>
      <c r="CB42" s="34" t="str">
        <f t="shared" si="30"/>
        <v>-</v>
      </c>
      <c r="CC42" s="34" t="str">
        <f t="shared" si="30"/>
        <v>-</v>
      </c>
      <c r="CD42" s="34" t="str">
        <f t="shared" si="30"/>
        <v>-</v>
      </c>
      <c r="CE42" s="34" t="str">
        <f t="shared" si="30"/>
        <v>-</v>
      </c>
      <c r="CF42" s="34" t="str">
        <f t="shared" si="30"/>
        <v>-</v>
      </c>
      <c r="CG42" s="44" t="str">
        <f t="shared" si="30"/>
        <v>-</v>
      </c>
      <c r="CH42" s="63" t="str">
        <f t="shared" si="30"/>
        <v>-</v>
      </c>
      <c r="CI42" s="34">
        <f t="shared" si="30"/>
        <v>483</v>
      </c>
      <c r="CJ42" s="34" t="str">
        <f t="shared" si="30"/>
        <v>-</v>
      </c>
      <c r="CK42" s="34" t="str">
        <f t="shared" si="30"/>
        <v>-</v>
      </c>
      <c r="CL42" s="34" t="str">
        <f t="shared" si="30"/>
        <v>-</v>
      </c>
      <c r="CM42" s="34" t="str">
        <f t="shared" si="30"/>
        <v>-</v>
      </c>
      <c r="CN42" s="34" t="str">
        <f t="shared" si="30"/>
        <v>-</v>
      </c>
      <c r="CO42" s="34" t="str">
        <f t="shared" si="30"/>
        <v>-</v>
      </c>
      <c r="CP42" s="34" t="str">
        <f t="shared" si="30"/>
        <v>-</v>
      </c>
      <c r="CQ42" s="34" t="str">
        <f t="shared" si="30"/>
        <v>-</v>
      </c>
      <c r="CR42" s="34" t="str">
        <f t="shared" si="30"/>
        <v>-</v>
      </c>
      <c r="CS42" s="34" t="str">
        <f t="shared" si="30"/>
        <v>-</v>
      </c>
      <c r="CT42" s="34" t="str">
        <f t="shared" si="30"/>
        <v>-</v>
      </c>
      <c r="CU42" s="34" t="str">
        <f t="shared" si="30"/>
        <v>-</v>
      </c>
      <c r="CV42" s="34" t="str">
        <f t="shared" si="30"/>
        <v>-</v>
      </c>
      <c r="CW42" s="34" t="str">
        <f t="shared" si="30"/>
        <v>-</v>
      </c>
      <c r="CX42" s="34" t="str">
        <f t="shared" si="30"/>
        <v>-</v>
      </c>
      <c r="CY42" s="34" t="str">
        <f t="shared" si="30"/>
        <v>-</v>
      </c>
      <c r="CZ42" s="34" t="str">
        <f t="shared" si="30"/>
        <v>-</v>
      </c>
      <c r="DA42" s="34" t="str">
        <f t="shared" si="30"/>
        <v>-</v>
      </c>
      <c r="DB42" s="34" t="str">
        <f t="shared" si="30"/>
        <v>-</v>
      </c>
      <c r="DC42" s="34" t="str">
        <f t="shared" si="30"/>
        <v>-</v>
      </c>
      <c r="DD42" s="34" t="str">
        <f t="shared" si="30"/>
        <v>-</v>
      </c>
      <c r="DE42" s="34" t="str">
        <f t="shared" si="30"/>
        <v>-</v>
      </c>
      <c r="DF42" s="34" t="str">
        <f t="shared" si="30"/>
        <v>-</v>
      </c>
      <c r="DG42" s="34" t="str">
        <f t="shared" si="30"/>
        <v>-</v>
      </c>
      <c r="DH42" s="34" t="str">
        <f t="shared" si="30"/>
        <v>-</v>
      </c>
      <c r="DI42" s="34" t="str">
        <f t="shared" si="30"/>
        <v>-</v>
      </c>
      <c r="DJ42" s="34" t="str">
        <f t="shared" si="30"/>
        <v>-</v>
      </c>
      <c r="DK42" s="34" t="str">
        <f t="shared" ref="DK42:DR42" si="31">DK41</f>
        <v>-</v>
      </c>
      <c r="DL42" s="34" t="str">
        <f t="shared" si="31"/>
        <v>-</v>
      </c>
      <c r="DM42" s="34" t="str">
        <f t="shared" si="31"/>
        <v>-</v>
      </c>
      <c r="DN42" s="34" t="str">
        <f t="shared" si="31"/>
        <v>-</v>
      </c>
      <c r="DO42" s="34" t="str">
        <f t="shared" si="31"/>
        <v>-</v>
      </c>
      <c r="DP42" s="34" t="str">
        <f t="shared" si="31"/>
        <v>-</v>
      </c>
      <c r="DQ42" s="34" t="str">
        <f t="shared" si="31"/>
        <v>-</v>
      </c>
      <c r="DR42" s="55" t="str">
        <f t="shared" si="31"/>
        <v>-</v>
      </c>
    </row>
    <row r="43" spans="1:122">
      <c r="A43" s="87" t="s">
        <v>88</v>
      </c>
      <c r="B43" s="87"/>
      <c r="C43" s="53" t="s">
        <v>15</v>
      </c>
      <c r="D43" s="53">
        <v>175</v>
      </c>
      <c r="E43" s="53">
        <v>238</v>
      </c>
      <c r="F43" s="53" t="s">
        <v>16</v>
      </c>
      <c r="G43" s="53" t="s">
        <v>17</v>
      </c>
      <c r="H43" s="72">
        <v>620</v>
      </c>
      <c r="I43" s="48">
        <v>450</v>
      </c>
      <c r="J43" s="53" t="s">
        <v>16</v>
      </c>
      <c r="K43" s="63" t="s">
        <v>16</v>
      </c>
      <c r="L43" s="34" t="s">
        <v>16</v>
      </c>
      <c r="M43" s="34" t="s">
        <v>16</v>
      </c>
      <c r="N43" s="54" t="s">
        <v>16</v>
      </c>
      <c r="O43" s="54" t="s">
        <v>16</v>
      </c>
      <c r="P43" s="54" t="s">
        <v>16</v>
      </c>
      <c r="Q43" s="54" t="s">
        <v>16</v>
      </c>
      <c r="R43" s="54" t="s">
        <v>16</v>
      </c>
      <c r="S43" s="54" t="s">
        <v>16</v>
      </c>
      <c r="T43" s="54" t="s">
        <v>16</v>
      </c>
      <c r="U43" s="54" t="s">
        <v>16</v>
      </c>
      <c r="V43" s="54" t="s">
        <v>16</v>
      </c>
      <c r="W43" s="54" t="s">
        <v>16</v>
      </c>
      <c r="X43" s="54" t="s">
        <v>16</v>
      </c>
      <c r="Y43" s="54" t="s">
        <v>16</v>
      </c>
      <c r="Z43" s="54" t="s">
        <v>16</v>
      </c>
      <c r="AA43" s="54" t="s">
        <v>16</v>
      </c>
      <c r="AB43" s="54" t="s">
        <v>16</v>
      </c>
      <c r="AC43" s="54" t="s">
        <v>16</v>
      </c>
      <c r="AD43" s="54" t="s">
        <v>16</v>
      </c>
      <c r="AE43" s="54" t="s">
        <v>16</v>
      </c>
      <c r="AF43" s="54" t="s">
        <v>16</v>
      </c>
      <c r="AG43" s="54" t="s">
        <v>16</v>
      </c>
      <c r="AH43" s="54" t="s">
        <v>16</v>
      </c>
      <c r="AI43" s="54" t="s">
        <v>16</v>
      </c>
      <c r="AJ43" s="54" t="s">
        <v>16</v>
      </c>
      <c r="AK43" s="54" t="s">
        <v>16</v>
      </c>
      <c r="AL43" s="54" t="s">
        <v>16</v>
      </c>
      <c r="AM43" s="54" t="s">
        <v>16</v>
      </c>
      <c r="AN43" s="54" t="s">
        <v>16</v>
      </c>
      <c r="AO43" s="54" t="s">
        <v>16</v>
      </c>
      <c r="AP43" s="54" t="s">
        <v>16</v>
      </c>
      <c r="AQ43" s="54" t="s">
        <v>16</v>
      </c>
      <c r="AR43" s="54" t="s">
        <v>16</v>
      </c>
      <c r="AS43" s="54" t="s">
        <v>16</v>
      </c>
      <c r="AT43" s="54" t="s">
        <v>16</v>
      </c>
      <c r="AU43" s="64" t="s">
        <v>16</v>
      </c>
      <c r="AV43" s="48" t="s">
        <v>17</v>
      </c>
      <c r="AW43" s="63">
        <v>620</v>
      </c>
      <c r="AX43" s="34">
        <v>620</v>
      </c>
      <c r="AY43" s="34">
        <v>620</v>
      </c>
      <c r="AZ43" s="34">
        <v>620</v>
      </c>
      <c r="BA43" s="34">
        <v>620</v>
      </c>
      <c r="BB43" s="34">
        <v>620</v>
      </c>
      <c r="BC43" s="34">
        <v>620</v>
      </c>
      <c r="BD43" s="34">
        <v>620</v>
      </c>
      <c r="BE43" s="34">
        <v>620</v>
      </c>
      <c r="BF43" s="34">
        <v>620</v>
      </c>
      <c r="BG43" s="34">
        <v>620</v>
      </c>
      <c r="BH43" s="34">
        <v>620</v>
      </c>
      <c r="BI43" s="34">
        <v>620</v>
      </c>
      <c r="BJ43" s="34">
        <v>620</v>
      </c>
      <c r="BK43" s="34">
        <v>620</v>
      </c>
      <c r="BL43" s="54" t="s">
        <v>16</v>
      </c>
      <c r="BM43" s="54" t="s">
        <v>16</v>
      </c>
      <c r="BN43" s="54" t="s">
        <v>16</v>
      </c>
      <c r="BO43" s="54" t="s">
        <v>16</v>
      </c>
      <c r="BP43" s="54" t="s">
        <v>16</v>
      </c>
      <c r="BQ43" s="54" t="s">
        <v>16</v>
      </c>
      <c r="BR43" s="54" t="s">
        <v>16</v>
      </c>
      <c r="BS43" s="54" t="s">
        <v>16</v>
      </c>
      <c r="BT43" s="54" t="s">
        <v>16</v>
      </c>
      <c r="BU43" s="54" t="s">
        <v>16</v>
      </c>
      <c r="BV43" s="54" t="s">
        <v>16</v>
      </c>
      <c r="BW43" s="54" t="s">
        <v>16</v>
      </c>
      <c r="BX43" s="54" t="s">
        <v>16</v>
      </c>
      <c r="BY43" s="54" t="s">
        <v>16</v>
      </c>
      <c r="BZ43" s="54" t="s">
        <v>16</v>
      </c>
      <c r="CA43" s="54" t="s">
        <v>16</v>
      </c>
      <c r="CB43" s="54" t="s">
        <v>16</v>
      </c>
      <c r="CC43" s="54" t="s">
        <v>16</v>
      </c>
      <c r="CD43" s="54" t="s">
        <v>16</v>
      </c>
      <c r="CE43" s="54" t="s">
        <v>16</v>
      </c>
      <c r="CF43" s="54" t="s">
        <v>16</v>
      </c>
      <c r="CG43" s="139" t="s">
        <v>16</v>
      </c>
      <c r="CH43" s="63">
        <v>450</v>
      </c>
      <c r="CI43" s="34">
        <v>548</v>
      </c>
      <c r="CJ43" s="34">
        <v>443</v>
      </c>
      <c r="CK43" s="54">
        <v>432</v>
      </c>
      <c r="CL43" s="54">
        <v>417</v>
      </c>
      <c r="CM43" s="54">
        <v>411</v>
      </c>
      <c r="CN43" s="54">
        <v>404</v>
      </c>
      <c r="CO43" s="54">
        <v>399</v>
      </c>
      <c r="CP43" s="54">
        <v>395</v>
      </c>
      <c r="CQ43" s="54">
        <v>387</v>
      </c>
      <c r="CR43" s="54">
        <v>385</v>
      </c>
      <c r="CS43" s="54">
        <v>377</v>
      </c>
      <c r="CT43" s="54">
        <v>369</v>
      </c>
      <c r="CU43" s="54">
        <v>361</v>
      </c>
      <c r="CV43" s="54">
        <v>351</v>
      </c>
      <c r="CW43" s="54" t="s">
        <v>16</v>
      </c>
      <c r="CX43" s="54" t="s">
        <v>16</v>
      </c>
      <c r="CY43" s="54" t="s">
        <v>16</v>
      </c>
      <c r="CZ43" s="54" t="s">
        <v>16</v>
      </c>
      <c r="DA43" s="54" t="s">
        <v>16</v>
      </c>
      <c r="DB43" s="54" t="s">
        <v>16</v>
      </c>
      <c r="DC43" s="54" t="s">
        <v>16</v>
      </c>
      <c r="DD43" s="54" t="s">
        <v>16</v>
      </c>
      <c r="DE43" s="54" t="s">
        <v>16</v>
      </c>
      <c r="DF43" s="54" t="s">
        <v>16</v>
      </c>
      <c r="DG43" s="54" t="s">
        <v>16</v>
      </c>
      <c r="DH43" s="54" t="s">
        <v>16</v>
      </c>
      <c r="DI43" s="54" t="s">
        <v>16</v>
      </c>
      <c r="DJ43" s="54" t="s">
        <v>16</v>
      </c>
      <c r="DK43" s="54" t="s">
        <v>16</v>
      </c>
      <c r="DL43" s="54" t="s">
        <v>16</v>
      </c>
      <c r="DM43" s="54" t="s">
        <v>16</v>
      </c>
      <c r="DN43" s="54" t="s">
        <v>16</v>
      </c>
      <c r="DO43" s="54" t="s">
        <v>16</v>
      </c>
      <c r="DP43" s="54" t="s">
        <v>16</v>
      </c>
      <c r="DQ43" s="54" t="s">
        <v>16</v>
      </c>
      <c r="DR43" s="64" t="s">
        <v>16</v>
      </c>
    </row>
    <row r="44" spans="1:122">
      <c r="A44" s="87" t="s">
        <v>88</v>
      </c>
      <c r="B44" s="87"/>
      <c r="C44" s="53" t="str">
        <f>C43</f>
        <v>bar</v>
      </c>
      <c r="D44" s="53">
        <v>107</v>
      </c>
      <c r="E44" s="53">
        <v>175</v>
      </c>
      <c r="F44" s="53" t="str">
        <f t="shared" ref="F44:G47" si="32">F43</f>
        <v>-</v>
      </c>
      <c r="G44" s="53" t="str">
        <f t="shared" si="32"/>
        <v>ASTM</v>
      </c>
      <c r="H44" s="72">
        <v>660</v>
      </c>
      <c r="I44" s="48">
        <v>520</v>
      </c>
      <c r="J44" s="53" t="s">
        <v>16</v>
      </c>
      <c r="K44" s="63" t="s">
        <v>16</v>
      </c>
      <c r="L44" s="34" t="s">
        <v>16</v>
      </c>
      <c r="M44" s="34" t="s">
        <v>16</v>
      </c>
      <c r="N44" s="34" t="s">
        <v>16</v>
      </c>
      <c r="O44" s="34" t="s">
        <v>16</v>
      </c>
      <c r="P44" s="34" t="s">
        <v>16</v>
      </c>
      <c r="Q44" s="34" t="s">
        <v>16</v>
      </c>
      <c r="R44" s="34" t="s">
        <v>16</v>
      </c>
      <c r="S44" s="34" t="s">
        <v>16</v>
      </c>
      <c r="T44" s="34" t="s">
        <v>16</v>
      </c>
      <c r="U44" s="34" t="s">
        <v>16</v>
      </c>
      <c r="V44" s="34" t="s">
        <v>16</v>
      </c>
      <c r="W44" s="34" t="s">
        <v>16</v>
      </c>
      <c r="X44" s="34" t="s">
        <v>16</v>
      </c>
      <c r="Y44" s="34" t="s">
        <v>16</v>
      </c>
      <c r="Z44" s="34" t="s">
        <v>16</v>
      </c>
      <c r="AA44" s="34" t="s">
        <v>16</v>
      </c>
      <c r="AB44" s="34" t="s">
        <v>16</v>
      </c>
      <c r="AC44" s="34" t="s">
        <v>16</v>
      </c>
      <c r="AD44" s="34" t="s">
        <v>16</v>
      </c>
      <c r="AE44" s="34" t="s">
        <v>16</v>
      </c>
      <c r="AF44" s="34" t="s">
        <v>16</v>
      </c>
      <c r="AG44" s="34" t="s">
        <v>16</v>
      </c>
      <c r="AH44" s="34" t="s">
        <v>16</v>
      </c>
      <c r="AI44" s="34" t="s">
        <v>16</v>
      </c>
      <c r="AJ44" s="34" t="s">
        <v>16</v>
      </c>
      <c r="AK44" s="34" t="s">
        <v>16</v>
      </c>
      <c r="AL44" s="34" t="s">
        <v>16</v>
      </c>
      <c r="AM44" s="34" t="s">
        <v>16</v>
      </c>
      <c r="AN44" s="34" t="s">
        <v>16</v>
      </c>
      <c r="AO44" s="34" t="s">
        <v>16</v>
      </c>
      <c r="AP44" s="34" t="s">
        <v>16</v>
      </c>
      <c r="AQ44" s="34" t="s">
        <v>16</v>
      </c>
      <c r="AR44" s="34" t="s">
        <v>16</v>
      </c>
      <c r="AS44" s="34" t="s">
        <v>16</v>
      </c>
      <c r="AT44" s="34" t="s">
        <v>16</v>
      </c>
      <c r="AU44" s="55" t="s">
        <v>16</v>
      </c>
      <c r="AV44" s="57" t="str">
        <f>AV43</f>
        <v>ASTM</v>
      </c>
      <c r="AW44" s="63">
        <v>660</v>
      </c>
      <c r="AX44" s="34">
        <v>660</v>
      </c>
      <c r="AY44" s="34">
        <v>660</v>
      </c>
      <c r="AZ44" s="34">
        <v>660</v>
      </c>
      <c r="BA44" s="34">
        <v>660</v>
      </c>
      <c r="BB44" s="34">
        <v>660</v>
      </c>
      <c r="BC44" s="34">
        <v>660</v>
      </c>
      <c r="BD44" s="34">
        <v>660</v>
      </c>
      <c r="BE44" s="34">
        <v>660</v>
      </c>
      <c r="BF44" s="34">
        <v>660</v>
      </c>
      <c r="BG44" s="34">
        <v>660</v>
      </c>
      <c r="BH44" s="34">
        <v>660</v>
      </c>
      <c r="BI44" s="34">
        <v>660</v>
      </c>
      <c r="BJ44" s="34">
        <v>660</v>
      </c>
      <c r="BK44" s="34">
        <v>660</v>
      </c>
      <c r="BL44" s="34" t="s">
        <v>16</v>
      </c>
      <c r="BM44" s="34" t="s">
        <v>16</v>
      </c>
      <c r="BN44" s="34" t="s">
        <v>16</v>
      </c>
      <c r="BO44" s="34" t="s">
        <v>16</v>
      </c>
      <c r="BP44" s="34" t="s">
        <v>16</v>
      </c>
      <c r="BQ44" s="34" t="s">
        <v>16</v>
      </c>
      <c r="BR44" s="34" t="s">
        <v>16</v>
      </c>
      <c r="BS44" s="34" t="s">
        <v>16</v>
      </c>
      <c r="BT44" s="34" t="s">
        <v>16</v>
      </c>
      <c r="BU44" s="34" t="s">
        <v>16</v>
      </c>
      <c r="BV44" s="34" t="s">
        <v>16</v>
      </c>
      <c r="BW44" s="34" t="s">
        <v>16</v>
      </c>
      <c r="BX44" s="34" t="s">
        <v>16</v>
      </c>
      <c r="BY44" s="34" t="s">
        <v>16</v>
      </c>
      <c r="BZ44" s="34" t="s">
        <v>16</v>
      </c>
      <c r="CA44" s="34" t="s">
        <v>16</v>
      </c>
      <c r="CB44" s="34" t="s">
        <v>16</v>
      </c>
      <c r="CC44" s="34" t="s">
        <v>16</v>
      </c>
      <c r="CD44" s="34" t="s">
        <v>16</v>
      </c>
      <c r="CE44" s="34" t="s">
        <v>16</v>
      </c>
      <c r="CF44" s="34" t="s">
        <v>16</v>
      </c>
      <c r="CG44" s="44" t="s">
        <v>16</v>
      </c>
      <c r="CH44" s="63">
        <v>520</v>
      </c>
      <c r="CI44" s="34">
        <v>518</v>
      </c>
      <c r="CJ44" s="34">
        <v>512</v>
      </c>
      <c r="CK44" s="34">
        <v>496</v>
      </c>
      <c r="CL44" s="34">
        <v>482</v>
      </c>
      <c r="CM44" s="34">
        <v>474</v>
      </c>
      <c r="CN44" s="34">
        <v>467</v>
      </c>
      <c r="CO44" s="34">
        <v>461</v>
      </c>
      <c r="CP44" s="34">
        <v>455</v>
      </c>
      <c r="CQ44" s="34">
        <v>446</v>
      </c>
      <c r="CR44" s="34">
        <v>444</v>
      </c>
      <c r="CS44" s="34">
        <v>435</v>
      </c>
      <c r="CT44" s="34">
        <v>426</v>
      </c>
      <c r="CU44" s="34">
        <v>416</v>
      </c>
      <c r="CV44" s="34">
        <v>405</v>
      </c>
      <c r="CW44" s="34" t="s">
        <v>16</v>
      </c>
      <c r="CX44" s="34" t="s">
        <v>16</v>
      </c>
      <c r="CY44" s="34" t="s">
        <v>16</v>
      </c>
      <c r="CZ44" s="34" t="s">
        <v>16</v>
      </c>
      <c r="DA44" s="34" t="s">
        <v>16</v>
      </c>
      <c r="DB44" s="34" t="s">
        <v>16</v>
      </c>
      <c r="DC44" s="34" t="s">
        <v>16</v>
      </c>
      <c r="DD44" s="34" t="s">
        <v>16</v>
      </c>
      <c r="DE44" s="34" t="s">
        <v>16</v>
      </c>
      <c r="DF44" s="34" t="s">
        <v>16</v>
      </c>
      <c r="DG44" s="34" t="s">
        <v>16</v>
      </c>
      <c r="DH44" s="34" t="s">
        <v>16</v>
      </c>
      <c r="DI44" s="34" t="s">
        <v>16</v>
      </c>
      <c r="DJ44" s="34" t="s">
        <v>16</v>
      </c>
      <c r="DK44" s="34" t="s">
        <v>16</v>
      </c>
      <c r="DL44" s="34" t="s">
        <v>16</v>
      </c>
      <c r="DM44" s="34" t="s">
        <v>16</v>
      </c>
      <c r="DN44" s="34" t="s">
        <v>16</v>
      </c>
      <c r="DO44" s="34" t="s">
        <v>16</v>
      </c>
      <c r="DP44" s="34" t="s">
        <v>16</v>
      </c>
      <c r="DQ44" s="34" t="s">
        <v>16</v>
      </c>
      <c r="DR44" s="55" t="s">
        <v>16</v>
      </c>
    </row>
    <row r="45" spans="1:122">
      <c r="A45" s="87" t="s">
        <v>88</v>
      </c>
      <c r="B45" s="87"/>
      <c r="C45" s="53" t="str">
        <f>C44</f>
        <v>bar</v>
      </c>
      <c r="D45" s="53">
        <v>63</v>
      </c>
      <c r="E45" s="53">
        <v>107</v>
      </c>
      <c r="F45" s="53" t="str">
        <f t="shared" si="32"/>
        <v>-</v>
      </c>
      <c r="G45" s="53" t="str">
        <f t="shared" si="32"/>
        <v>ASTM</v>
      </c>
      <c r="H45" s="72">
        <v>690</v>
      </c>
      <c r="I45" s="48">
        <v>520</v>
      </c>
      <c r="J45" s="53" t="s">
        <v>16</v>
      </c>
      <c r="K45" s="63" t="s">
        <v>16</v>
      </c>
      <c r="L45" s="34" t="s">
        <v>16</v>
      </c>
      <c r="M45" s="34" t="s">
        <v>16</v>
      </c>
      <c r="N45" s="34" t="s">
        <v>16</v>
      </c>
      <c r="O45" s="34" t="s">
        <v>16</v>
      </c>
      <c r="P45" s="34" t="s">
        <v>16</v>
      </c>
      <c r="Q45" s="34" t="s">
        <v>16</v>
      </c>
      <c r="R45" s="34" t="s">
        <v>16</v>
      </c>
      <c r="S45" s="34" t="s">
        <v>16</v>
      </c>
      <c r="T45" s="34" t="s">
        <v>16</v>
      </c>
      <c r="U45" s="34" t="s">
        <v>16</v>
      </c>
      <c r="V45" s="34" t="s">
        <v>16</v>
      </c>
      <c r="W45" s="34" t="s">
        <v>16</v>
      </c>
      <c r="X45" s="34" t="s">
        <v>16</v>
      </c>
      <c r="Y45" s="34" t="s">
        <v>16</v>
      </c>
      <c r="Z45" s="34" t="s">
        <v>16</v>
      </c>
      <c r="AA45" s="34" t="s">
        <v>16</v>
      </c>
      <c r="AB45" s="34" t="s">
        <v>16</v>
      </c>
      <c r="AC45" s="34" t="s">
        <v>16</v>
      </c>
      <c r="AD45" s="34" t="s">
        <v>16</v>
      </c>
      <c r="AE45" s="34" t="s">
        <v>16</v>
      </c>
      <c r="AF45" s="34" t="s">
        <v>16</v>
      </c>
      <c r="AG45" s="34" t="s">
        <v>16</v>
      </c>
      <c r="AH45" s="34" t="s">
        <v>16</v>
      </c>
      <c r="AI45" s="34" t="s">
        <v>16</v>
      </c>
      <c r="AJ45" s="34" t="s">
        <v>16</v>
      </c>
      <c r="AK45" s="34" t="s">
        <v>16</v>
      </c>
      <c r="AL45" s="34" t="s">
        <v>16</v>
      </c>
      <c r="AM45" s="34" t="s">
        <v>16</v>
      </c>
      <c r="AN45" s="34" t="s">
        <v>16</v>
      </c>
      <c r="AO45" s="34" t="s">
        <v>16</v>
      </c>
      <c r="AP45" s="34" t="s">
        <v>16</v>
      </c>
      <c r="AQ45" s="34" t="s">
        <v>16</v>
      </c>
      <c r="AR45" s="34" t="s">
        <v>16</v>
      </c>
      <c r="AS45" s="34" t="s">
        <v>16</v>
      </c>
      <c r="AT45" s="34" t="s">
        <v>16</v>
      </c>
      <c r="AU45" s="55" t="s">
        <v>16</v>
      </c>
      <c r="AV45" s="57" t="str">
        <f t="shared" ref="AV45:AV57" si="33">AV44</f>
        <v>ASTM</v>
      </c>
      <c r="AW45" s="63">
        <v>690</v>
      </c>
      <c r="AX45" s="34">
        <v>690</v>
      </c>
      <c r="AY45" s="34">
        <v>690</v>
      </c>
      <c r="AZ45" s="34">
        <v>690</v>
      </c>
      <c r="BA45" s="34">
        <v>690</v>
      </c>
      <c r="BB45" s="34">
        <v>690</v>
      </c>
      <c r="BC45" s="34">
        <v>690</v>
      </c>
      <c r="BD45" s="34">
        <v>690</v>
      </c>
      <c r="BE45" s="34">
        <v>690</v>
      </c>
      <c r="BF45" s="34">
        <v>690</v>
      </c>
      <c r="BG45" s="34">
        <v>690</v>
      </c>
      <c r="BH45" s="34">
        <v>690</v>
      </c>
      <c r="BI45" s="34">
        <v>690</v>
      </c>
      <c r="BJ45" s="34">
        <v>690</v>
      </c>
      <c r="BK45" s="34">
        <v>690</v>
      </c>
      <c r="BL45" s="34" t="s">
        <v>16</v>
      </c>
      <c r="BM45" s="34" t="s">
        <v>16</v>
      </c>
      <c r="BN45" s="34" t="s">
        <v>16</v>
      </c>
      <c r="BO45" s="34" t="s">
        <v>16</v>
      </c>
      <c r="BP45" s="34" t="s">
        <v>16</v>
      </c>
      <c r="BQ45" s="34" t="s">
        <v>16</v>
      </c>
      <c r="BR45" s="34" t="s">
        <v>16</v>
      </c>
      <c r="BS45" s="34" t="s">
        <v>16</v>
      </c>
      <c r="BT45" s="34" t="s">
        <v>16</v>
      </c>
      <c r="BU45" s="34" t="s">
        <v>16</v>
      </c>
      <c r="BV45" s="34" t="s">
        <v>16</v>
      </c>
      <c r="BW45" s="34" t="s">
        <v>16</v>
      </c>
      <c r="BX45" s="34" t="s">
        <v>16</v>
      </c>
      <c r="BY45" s="34" t="s">
        <v>16</v>
      </c>
      <c r="BZ45" s="34" t="s">
        <v>16</v>
      </c>
      <c r="CA45" s="34" t="s">
        <v>16</v>
      </c>
      <c r="CB45" s="34" t="s">
        <v>16</v>
      </c>
      <c r="CC45" s="34" t="s">
        <v>16</v>
      </c>
      <c r="CD45" s="34" t="s">
        <v>16</v>
      </c>
      <c r="CE45" s="34" t="s">
        <v>16</v>
      </c>
      <c r="CF45" s="34" t="s">
        <v>16</v>
      </c>
      <c r="CG45" s="44" t="s">
        <v>16</v>
      </c>
      <c r="CH45" s="63">
        <v>520</v>
      </c>
      <c r="CI45" s="34">
        <v>518</v>
      </c>
      <c r="CJ45" s="34">
        <v>512</v>
      </c>
      <c r="CK45" s="34">
        <v>496</v>
      </c>
      <c r="CL45" s="34">
        <v>482</v>
      </c>
      <c r="CM45" s="34">
        <v>474</v>
      </c>
      <c r="CN45" s="34">
        <v>467</v>
      </c>
      <c r="CO45" s="34">
        <v>461</v>
      </c>
      <c r="CP45" s="34">
        <v>455</v>
      </c>
      <c r="CQ45" s="34">
        <v>446</v>
      </c>
      <c r="CR45" s="34">
        <v>444</v>
      </c>
      <c r="CS45" s="34">
        <v>435</v>
      </c>
      <c r="CT45" s="34">
        <v>426</v>
      </c>
      <c r="CU45" s="34">
        <v>416</v>
      </c>
      <c r="CV45" s="34">
        <v>405</v>
      </c>
      <c r="CW45" s="34" t="s">
        <v>16</v>
      </c>
      <c r="CX45" s="34" t="s">
        <v>16</v>
      </c>
      <c r="CY45" s="34" t="s">
        <v>16</v>
      </c>
      <c r="CZ45" s="34" t="s">
        <v>16</v>
      </c>
      <c r="DA45" s="34" t="s">
        <v>16</v>
      </c>
      <c r="DB45" s="34" t="s">
        <v>16</v>
      </c>
      <c r="DC45" s="34" t="s">
        <v>16</v>
      </c>
      <c r="DD45" s="34" t="s">
        <v>16</v>
      </c>
      <c r="DE45" s="34" t="s">
        <v>16</v>
      </c>
      <c r="DF45" s="34" t="s">
        <v>16</v>
      </c>
      <c r="DG45" s="34" t="s">
        <v>16</v>
      </c>
      <c r="DH45" s="34" t="s">
        <v>16</v>
      </c>
      <c r="DI45" s="34" t="s">
        <v>16</v>
      </c>
      <c r="DJ45" s="34" t="s">
        <v>16</v>
      </c>
      <c r="DK45" s="34" t="s">
        <v>16</v>
      </c>
      <c r="DL45" s="34" t="s">
        <v>16</v>
      </c>
      <c r="DM45" s="34" t="s">
        <v>16</v>
      </c>
      <c r="DN45" s="34" t="s">
        <v>16</v>
      </c>
      <c r="DO45" s="34" t="s">
        <v>16</v>
      </c>
      <c r="DP45" s="34" t="s">
        <v>16</v>
      </c>
      <c r="DQ45" s="34" t="s">
        <v>16</v>
      </c>
      <c r="DR45" s="55" t="s">
        <v>16</v>
      </c>
    </row>
    <row r="46" spans="1:122">
      <c r="A46" s="87" t="s">
        <v>88</v>
      </c>
      <c r="B46" s="87"/>
      <c r="C46" s="53" t="str">
        <f>C45</f>
        <v>bar</v>
      </c>
      <c r="D46" s="53">
        <v>38</v>
      </c>
      <c r="E46" s="53">
        <v>63</v>
      </c>
      <c r="F46" s="53" t="str">
        <f t="shared" si="32"/>
        <v>-</v>
      </c>
      <c r="G46" s="53" t="str">
        <f t="shared" si="32"/>
        <v>ASTM</v>
      </c>
      <c r="H46" s="72">
        <v>720</v>
      </c>
      <c r="I46" s="48">
        <v>550</v>
      </c>
      <c r="J46" s="53" t="s">
        <v>16</v>
      </c>
      <c r="K46" s="63" t="s">
        <v>16</v>
      </c>
      <c r="L46" s="34" t="s">
        <v>16</v>
      </c>
      <c r="M46" s="34" t="s">
        <v>16</v>
      </c>
      <c r="N46" s="34" t="s">
        <v>16</v>
      </c>
      <c r="O46" s="34" t="s">
        <v>16</v>
      </c>
      <c r="P46" s="34" t="s">
        <v>16</v>
      </c>
      <c r="Q46" s="34" t="s">
        <v>16</v>
      </c>
      <c r="R46" s="34" t="s">
        <v>16</v>
      </c>
      <c r="S46" s="34" t="s">
        <v>16</v>
      </c>
      <c r="T46" s="34" t="s">
        <v>16</v>
      </c>
      <c r="U46" s="34" t="s">
        <v>16</v>
      </c>
      <c r="V46" s="34" t="s">
        <v>16</v>
      </c>
      <c r="W46" s="34" t="s">
        <v>16</v>
      </c>
      <c r="X46" s="34" t="s">
        <v>16</v>
      </c>
      <c r="Y46" s="34" t="s">
        <v>16</v>
      </c>
      <c r="Z46" s="34" t="s">
        <v>16</v>
      </c>
      <c r="AA46" s="34" t="s">
        <v>16</v>
      </c>
      <c r="AB46" s="34" t="s">
        <v>16</v>
      </c>
      <c r="AC46" s="34" t="s">
        <v>16</v>
      </c>
      <c r="AD46" s="34" t="s">
        <v>16</v>
      </c>
      <c r="AE46" s="34" t="s">
        <v>16</v>
      </c>
      <c r="AF46" s="34" t="s">
        <v>16</v>
      </c>
      <c r="AG46" s="34" t="s">
        <v>16</v>
      </c>
      <c r="AH46" s="34" t="s">
        <v>16</v>
      </c>
      <c r="AI46" s="34" t="s">
        <v>16</v>
      </c>
      <c r="AJ46" s="34" t="s">
        <v>16</v>
      </c>
      <c r="AK46" s="34" t="s">
        <v>16</v>
      </c>
      <c r="AL46" s="34" t="s">
        <v>16</v>
      </c>
      <c r="AM46" s="34" t="s">
        <v>16</v>
      </c>
      <c r="AN46" s="34" t="s">
        <v>16</v>
      </c>
      <c r="AO46" s="34" t="s">
        <v>16</v>
      </c>
      <c r="AP46" s="34" t="s">
        <v>16</v>
      </c>
      <c r="AQ46" s="34" t="s">
        <v>16</v>
      </c>
      <c r="AR46" s="34" t="s">
        <v>16</v>
      </c>
      <c r="AS46" s="34" t="s">
        <v>16</v>
      </c>
      <c r="AT46" s="34" t="s">
        <v>16</v>
      </c>
      <c r="AU46" s="55" t="s">
        <v>16</v>
      </c>
      <c r="AV46" s="57" t="str">
        <f t="shared" si="33"/>
        <v>ASTM</v>
      </c>
      <c r="AW46" s="63">
        <v>720</v>
      </c>
      <c r="AX46" s="34">
        <v>720</v>
      </c>
      <c r="AY46" s="34">
        <v>720</v>
      </c>
      <c r="AZ46" s="34">
        <v>720</v>
      </c>
      <c r="BA46" s="34">
        <v>720</v>
      </c>
      <c r="BB46" s="34">
        <v>720</v>
      </c>
      <c r="BC46" s="34">
        <v>720</v>
      </c>
      <c r="BD46" s="34">
        <v>720</v>
      </c>
      <c r="BE46" s="34">
        <v>720</v>
      </c>
      <c r="BF46" s="34">
        <v>720</v>
      </c>
      <c r="BG46" s="34">
        <v>720</v>
      </c>
      <c r="BH46" s="34">
        <v>720</v>
      </c>
      <c r="BI46" s="34">
        <v>720</v>
      </c>
      <c r="BJ46" s="34">
        <v>720</v>
      </c>
      <c r="BK46" s="34">
        <v>720</v>
      </c>
      <c r="BL46" s="34" t="s">
        <v>16</v>
      </c>
      <c r="BM46" s="34" t="s">
        <v>16</v>
      </c>
      <c r="BN46" s="34" t="s">
        <v>16</v>
      </c>
      <c r="BO46" s="34" t="s">
        <v>16</v>
      </c>
      <c r="BP46" s="34" t="s">
        <v>16</v>
      </c>
      <c r="BQ46" s="34" t="s">
        <v>16</v>
      </c>
      <c r="BR46" s="34" t="s">
        <v>16</v>
      </c>
      <c r="BS46" s="34" t="s">
        <v>16</v>
      </c>
      <c r="BT46" s="34" t="s">
        <v>16</v>
      </c>
      <c r="BU46" s="34" t="s">
        <v>16</v>
      </c>
      <c r="BV46" s="34" t="s">
        <v>16</v>
      </c>
      <c r="BW46" s="34" t="s">
        <v>16</v>
      </c>
      <c r="BX46" s="34" t="s">
        <v>16</v>
      </c>
      <c r="BY46" s="34" t="s">
        <v>16</v>
      </c>
      <c r="BZ46" s="34" t="s">
        <v>16</v>
      </c>
      <c r="CA46" s="34" t="s">
        <v>16</v>
      </c>
      <c r="CB46" s="34" t="s">
        <v>16</v>
      </c>
      <c r="CC46" s="34" t="s">
        <v>16</v>
      </c>
      <c r="CD46" s="34" t="s">
        <v>16</v>
      </c>
      <c r="CE46" s="34" t="s">
        <v>16</v>
      </c>
      <c r="CF46" s="34" t="s">
        <v>16</v>
      </c>
      <c r="CG46" s="44" t="s">
        <v>16</v>
      </c>
      <c r="CH46" s="63">
        <v>550</v>
      </c>
      <c r="CI46" s="34">
        <v>548</v>
      </c>
      <c r="CJ46" s="34">
        <v>543</v>
      </c>
      <c r="CK46" s="34">
        <v>528</v>
      </c>
      <c r="CL46" s="34">
        <v>514</v>
      </c>
      <c r="CM46" s="34">
        <v>506</v>
      </c>
      <c r="CN46" s="34">
        <v>498</v>
      </c>
      <c r="CO46" s="34">
        <v>492</v>
      </c>
      <c r="CP46" s="34">
        <v>486</v>
      </c>
      <c r="CQ46" s="34">
        <v>476</v>
      </c>
      <c r="CR46" s="34">
        <v>474</v>
      </c>
      <c r="CS46" s="34">
        <v>464</v>
      </c>
      <c r="CT46" s="34">
        <v>454</v>
      </c>
      <c r="CU46" s="34">
        <v>444</v>
      </c>
      <c r="CV46" s="34">
        <v>431</v>
      </c>
      <c r="CW46" s="34" t="s">
        <v>16</v>
      </c>
      <c r="CX46" s="34" t="s">
        <v>16</v>
      </c>
      <c r="CY46" s="34" t="s">
        <v>16</v>
      </c>
      <c r="CZ46" s="34" t="s">
        <v>16</v>
      </c>
      <c r="DA46" s="34" t="s">
        <v>16</v>
      </c>
      <c r="DB46" s="34" t="s">
        <v>16</v>
      </c>
      <c r="DC46" s="34" t="s">
        <v>16</v>
      </c>
      <c r="DD46" s="34" t="s">
        <v>16</v>
      </c>
      <c r="DE46" s="34" t="s">
        <v>16</v>
      </c>
      <c r="DF46" s="34" t="s">
        <v>16</v>
      </c>
      <c r="DG46" s="34" t="s">
        <v>16</v>
      </c>
      <c r="DH46" s="34" t="s">
        <v>16</v>
      </c>
      <c r="DI46" s="34" t="s">
        <v>16</v>
      </c>
      <c r="DJ46" s="34" t="s">
        <v>16</v>
      </c>
      <c r="DK46" s="34" t="s">
        <v>16</v>
      </c>
      <c r="DL46" s="34" t="s">
        <v>16</v>
      </c>
      <c r="DM46" s="34" t="s">
        <v>16</v>
      </c>
      <c r="DN46" s="34" t="s">
        <v>16</v>
      </c>
      <c r="DO46" s="34" t="s">
        <v>16</v>
      </c>
      <c r="DP46" s="34" t="s">
        <v>16</v>
      </c>
      <c r="DQ46" s="34" t="s">
        <v>16</v>
      </c>
      <c r="DR46" s="55" t="s">
        <v>16</v>
      </c>
    </row>
    <row r="47" spans="1:122">
      <c r="A47" s="87" t="s">
        <v>88</v>
      </c>
      <c r="B47" s="87"/>
      <c r="C47" s="53" t="str">
        <f>C46</f>
        <v>bar</v>
      </c>
      <c r="D47" s="53" t="s">
        <v>16</v>
      </c>
      <c r="E47" s="53">
        <v>38</v>
      </c>
      <c r="F47" s="53" t="str">
        <f t="shared" si="32"/>
        <v>-</v>
      </c>
      <c r="G47" s="53" t="str">
        <f t="shared" si="32"/>
        <v>ASTM</v>
      </c>
      <c r="H47" s="72">
        <v>760</v>
      </c>
      <c r="I47" s="48">
        <v>620</v>
      </c>
      <c r="J47" s="53" t="s">
        <v>16</v>
      </c>
      <c r="K47" s="63" t="s">
        <v>16</v>
      </c>
      <c r="L47" s="34" t="s">
        <v>16</v>
      </c>
      <c r="M47" s="34" t="s">
        <v>16</v>
      </c>
      <c r="N47" s="34" t="s">
        <v>16</v>
      </c>
      <c r="O47" s="34" t="s">
        <v>16</v>
      </c>
      <c r="P47" s="34" t="s">
        <v>16</v>
      </c>
      <c r="Q47" s="34" t="s">
        <v>16</v>
      </c>
      <c r="R47" s="34" t="s">
        <v>16</v>
      </c>
      <c r="S47" s="34" t="s">
        <v>16</v>
      </c>
      <c r="T47" s="34" t="s">
        <v>16</v>
      </c>
      <c r="U47" s="34" t="s">
        <v>16</v>
      </c>
      <c r="V47" s="34" t="s">
        <v>16</v>
      </c>
      <c r="W47" s="34" t="s">
        <v>16</v>
      </c>
      <c r="X47" s="34" t="s">
        <v>16</v>
      </c>
      <c r="Y47" s="34" t="s">
        <v>16</v>
      </c>
      <c r="Z47" s="34" t="s">
        <v>16</v>
      </c>
      <c r="AA47" s="34" t="s">
        <v>16</v>
      </c>
      <c r="AB47" s="34" t="s">
        <v>16</v>
      </c>
      <c r="AC47" s="34" t="s">
        <v>16</v>
      </c>
      <c r="AD47" s="34" t="s">
        <v>16</v>
      </c>
      <c r="AE47" s="34" t="s">
        <v>16</v>
      </c>
      <c r="AF47" s="34" t="s">
        <v>16</v>
      </c>
      <c r="AG47" s="34" t="s">
        <v>16</v>
      </c>
      <c r="AH47" s="34" t="s">
        <v>16</v>
      </c>
      <c r="AI47" s="34" t="s">
        <v>16</v>
      </c>
      <c r="AJ47" s="34" t="s">
        <v>16</v>
      </c>
      <c r="AK47" s="34" t="s">
        <v>16</v>
      </c>
      <c r="AL47" s="34" t="s">
        <v>16</v>
      </c>
      <c r="AM47" s="34" t="s">
        <v>16</v>
      </c>
      <c r="AN47" s="34" t="s">
        <v>16</v>
      </c>
      <c r="AO47" s="34" t="s">
        <v>16</v>
      </c>
      <c r="AP47" s="34" t="s">
        <v>16</v>
      </c>
      <c r="AQ47" s="34" t="s">
        <v>16</v>
      </c>
      <c r="AR47" s="34" t="s">
        <v>16</v>
      </c>
      <c r="AS47" s="34" t="s">
        <v>16</v>
      </c>
      <c r="AT47" s="34" t="s">
        <v>16</v>
      </c>
      <c r="AU47" s="55" t="s">
        <v>16</v>
      </c>
      <c r="AV47" s="57" t="str">
        <f t="shared" si="33"/>
        <v>ASTM</v>
      </c>
      <c r="AW47" s="63">
        <v>760</v>
      </c>
      <c r="AX47" s="34">
        <v>760</v>
      </c>
      <c r="AY47" s="34">
        <v>760</v>
      </c>
      <c r="AZ47" s="34">
        <v>760</v>
      </c>
      <c r="BA47" s="34">
        <v>760</v>
      </c>
      <c r="BB47" s="34">
        <v>760</v>
      </c>
      <c r="BC47" s="34">
        <v>760</v>
      </c>
      <c r="BD47" s="34">
        <v>760</v>
      </c>
      <c r="BE47" s="34">
        <v>760</v>
      </c>
      <c r="BF47" s="34">
        <v>760</v>
      </c>
      <c r="BG47" s="34">
        <v>760</v>
      </c>
      <c r="BH47" s="34">
        <v>760</v>
      </c>
      <c r="BI47" s="34">
        <v>760</v>
      </c>
      <c r="BJ47" s="34">
        <v>760</v>
      </c>
      <c r="BK47" s="34">
        <v>760</v>
      </c>
      <c r="BL47" s="34" t="s">
        <v>16</v>
      </c>
      <c r="BM47" s="34" t="s">
        <v>16</v>
      </c>
      <c r="BN47" s="34" t="s">
        <v>16</v>
      </c>
      <c r="BO47" s="34" t="s">
        <v>16</v>
      </c>
      <c r="BP47" s="34" t="s">
        <v>16</v>
      </c>
      <c r="BQ47" s="34" t="s">
        <v>16</v>
      </c>
      <c r="BR47" s="34" t="s">
        <v>16</v>
      </c>
      <c r="BS47" s="34" t="s">
        <v>16</v>
      </c>
      <c r="BT47" s="34" t="s">
        <v>16</v>
      </c>
      <c r="BU47" s="34" t="s">
        <v>16</v>
      </c>
      <c r="BV47" s="34" t="s">
        <v>16</v>
      </c>
      <c r="BW47" s="34" t="s">
        <v>16</v>
      </c>
      <c r="BX47" s="34" t="s">
        <v>16</v>
      </c>
      <c r="BY47" s="34" t="s">
        <v>16</v>
      </c>
      <c r="BZ47" s="34" t="s">
        <v>16</v>
      </c>
      <c r="CA47" s="34" t="s">
        <v>16</v>
      </c>
      <c r="CB47" s="34" t="s">
        <v>16</v>
      </c>
      <c r="CC47" s="34" t="s">
        <v>16</v>
      </c>
      <c r="CD47" s="34" t="s">
        <v>16</v>
      </c>
      <c r="CE47" s="34" t="s">
        <v>16</v>
      </c>
      <c r="CF47" s="34" t="s">
        <v>16</v>
      </c>
      <c r="CG47" s="44" t="s">
        <v>16</v>
      </c>
      <c r="CH47" s="63">
        <v>620</v>
      </c>
      <c r="CI47" s="34">
        <v>618</v>
      </c>
      <c r="CJ47" s="34">
        <v>612</v>
      </c>
      <c r="CK47" s="34">
        <v>594</v>
      </c>
      <c r="CL47" s="34">
        <v>578</v>
      </c>
      <c r="CM47" s="34">
        <v>596</v>
      </c>
      <c r="CN47" s="34">
        <v>561</v>
      </c>
      <c r="CO47" s="34">
        <v>553</v>
      </c>
      <c r="CP47" s="34">
        <v>546</v>
      </c>
      <c r="CQ47" s="34">
        <v>535</v>
      </c>
      <c r="CR47" s="34">
        <v>533</v>
      </c>
      <c r="CS47" s="34">
        <v>522</v>
      </c>
      <c r="CT47" s="34">
        <v>512</v>
      </c>
      <c r="CU47" s="34">
        <v>500</v>
      </c>
      <c r="CV47" s="34">
        <v>486</v>
      </c>
      <c r="CW47" s="34" t="s">
        <v>16</v>
      </c>
      <c r="CX47" s="34" t="s">
        <v>16</v>
      </c>
      <c r="CY47" s="34" t="s">
        <v>16</v>
      </c>
      <c r="CZ47" s="34" t="s">
        <v>16</v>
      </c>
      <c r="DA47" s="34" t="s">
        <v>16</v>
      </c>
      <c r="DB47" s="34" t="s">
        <v>16</v>
      </c>
      <c r="DC47" s="34" t="s">
        <v>16</v>
      </c>
      <c r="DD47" s="34" t="s">
        <v>16</v>
      </c>
      <c r="DE47" s="34" t="s">
        <v>16</v>
      </c>
      <c r="DF47" s="34" t="s">
        <v>16</v>
      </c>
      <c r="DG47" s="34" t="s">
        <v>16</v>
      </c>
      <c r="DH47" s="34" t="s">
        <v>16</v>
      </c>
      <c r="DI47" s="34" t="s">
        <v>16</v>
      </c>
      <c r="DJ47" s="34" t="s">
        <v>16</v>
      </c>
      <c r="DK47" s="34" t="s">
        <v>16</v>
      </c>
      <c r="DL47" s="34" t="s">
        <v>16</v>
      </c>
      <c r="DM47" s="34" t="s">
        <v>16</v>
      </c>
      <c r="DN47" s="34" t="s">
        <v>16</v>
      </c>
      <c r="DO47" s="34" t="s">
        <v>16</v>
      </c>
      <c r="DP47" s="34" t="s">
        <v>16</v>
      </c>
      <c r="DQ47" s="34" t="s">
        <v>16</v>
      </c>
      <c r="DR47" s="55" t="s">
        <v>16</v>
      </c>
    </row>
    <row r="48" spans="1:122">
      <c r="A48" s="87" t="s">
        <v>89</v>
      </c>
      <c r="B48" s="87"/>
      <c r="C48" s="53" t="str">
        <f t="shared" ref="C48:E52" si="34">C43</f>
        <v>bar</v>
      </c>
      <c r="D48" s="53">
        <f t="shared" si="34"/>
        <v>175</v>
      </c>
      <c r="E48" s="53">
        <f t="shared" si="34"/>
        <v>238</v>
      </c>
      <c r="F48" s="53" t="s">
        <v>90</v>
      </c>
      <c r="G48" s="53" t="s">
        <v>17</v>
      </c>
      <c r="H48" s="72">
        <f t="shared" ref="H48:I52" si="35">H43</f>
        <v>620</v>
      </c>
      <c r="I48" s="48">
        <f t="shared" si="35"/>
        <v>450</v>
      </c>
      <c r="J48" s="53" t="s">
        <v>16</v>
      </c>
      <c r="K48" s="59" t="str">
        <f t="shared" ref="K48:O52" si="36">K43</f>
        <v>-</v>
      </c>
      <c r="L48" s="54" t="str">
        <f t="shared" si="36"/>
        <v>-</v>
      </c>
      <c r="M48" s="54" t="str">
        <f t="shared" si="36"/>
        <v>-</v>
      </c>
      <c r="N48" s="54" t="str">
        <f t="shared" si="36"/>
        <v>-</v>
      </c>
      <c r="O48" s="54" t="str">
        <f t="shared" si="36"/>
        <v>-</v>
      </c>
      <c r="P48" s="54" t="str">
        <f t="shared" ref="P48:AU48" si="37">P43</f>
        <v>-</v>
      </c>
      <c r="Q48" s="54" t="str">
        <f t="shared" si="37"/>
        <v>-</v>
      </c>
      <c r="R48" s="54" t="str">
        <f t="shared" si="37"/>
        <v>-</v>
      </c>
      <c r="S48" s="54" t="str">
        <f t="shared" si="37"/>
        <v>-</v>
      </c>
      <c r="T48" s="54" t="str">
        <f t="shared" si="37"/>
        <v>-</v>
      </c>
      <c r="U48" s="54" t="str">
        <f t="shared" si="37"/>
        <v>-</v>
      </c>
      <c r="V48" s="54" t="str">
        <f t="shared" si="37"/>
        <v>-</v>
      </c>
      <c r="W48" s="54" t="str">
        <f t="shared" si="37"/>
        <v>-</v>
      </c>
      <c r="X48" s="54" t="str">
        <f t="shared" si="37"/>
        <v>-</v>
      </c>
      <c r="Y48" s="54" t="str">
        <f t="shared" si="37"/>
        <v>-</v>
      </c>
      <c r="Z48" s="54" t="str">
        <f t="shared" si="37"/>
        <v>-</v>
      </c>
      <c r="AA48" s="54" t="str">
        <f t="shared" si="37"/>
        <v>-</v>
      </c>
      <c r="AB48" s="54" t="str">
        <f t="shared" si="37"/>
        <v>-</v>
      </c>
      <c r="AC48" s="54" t="str">
        <f t="shared" si="37"/>
        <v>-</v>
      </c>
      <c r="AD48" s="54" t="str">
        <f t="shared" si="37"/>
        <v>-</v>
      </c>
      <c r="AE48" s="54" t="str">
        <f t="shared" si="37"/>
        <v>-</v>
      </c>
      <c r="AF48" s="54" t="str">
        <f t="shared" si="37"/>
        <v>-</v>
      </c>
      <c r="AG48" s="54" t="str">
        <f t="shared" si="37"/>
        <v>-</v>
      </c>
      <c r="AH48" s="54" t="str">
        <f t="shared" si="37"/>
        <v>-</v>
      </c>
      <c r="AI48" s="54" t="str">
        <f t="shared" si="37"/>
        <v>-</v>
      </c>
      <c r="AJ48" s="54" t="str">
        <f t="shared" si="37"/>
        <v>-</v>
      </c>
      <c r="AK48" s="54" t="str">
        <f t="shared" si="37"/>
        <v>-</v>
      </c>
      <c r="AL48" s="54" t="str">
        <f t="shared" si="37"/>
        <v>-</v>
      </c>
      <c r="AM48" s="54" t="str">
        <f t="shared" si="37"/>
        <v>-</v>
      </c>
      <c r="AN48" s="54" t="str">
        <f t="shared" si="37"/>
        <v>-</v>
      </c>
      <c r="AO48" s="54" t="str">
        <f t="shared" si="37"/>
        <v>-</v>
      </c>
      <c r="AP48" s="54" t="str">
        <f t="shared" si="37"/>
        <v>-</v>
      </c>
      <c r="AQ48" s="54" t="str">
        <f t="shared" si="37"/>
        <v>-</v>
      </c>
      <c r="AR48" s="54" t="str">
        <f t="shared" si="37"/>
        <v>-</v>
      </c>
      <c r="AS48" s="54" t="str">
        <f t="shared" si="37"/>
        <v>-</v>
      </c>
      <c r="AT48" s="54" t="str">
        <f t="shared" si="37"/>
        <v>-</v>
      </c>
      <c r="AU48" s="64" t="str">
        <f t="shared" si="37"/>
        <v>-</v>
      </c>
      <c r="AV48" s="57" t="str">
        <f t="shared" si="33"/>
        <v>ASTM</v>
      </c>
      <c r="AW48" s="59">
        <f t="shared" ref="AW48:CB48" si="38">AW43</f>
        <v>620</v>
      </c>
      <c r="AX48" s="54">
        <f t="shared" si="38"/>
        <v>620</v>
      </c>
      <c r="AY48" s="54">
        <f t="shared" si="38"/>
        <v>620</v>
      </c>
      <c r="AZ48" s="54">
        <f t="shared" si="38"/>
        <v>620</v>
      </c>
      <c r="BA48" s="54">
        <f t="shared" si="38"/>
        <v>620</v>
      </c>
      <c r="BB48" s="54">
        <f t="shared" si="38"/>
        <v>620</v>
      </c>
      <c r="BC48" s="54">
        <f t="shared" si="38"/>
        <v>620</v>
      </c>
      <c r="BD48" s="54">
        <f t="shared" si="38"/>
        <v>620</v>
      </c>
      <c r="BE48" s="54">
        <f t="shared" si="38"/>
        <v>620</v>
      </c>
      <c r="BF48" s="54">
        <f t="shared" si="38"/>
        <v>620</v>
      </c>
      <c r="BG48" s="54">
        <f t="shared" si="38"/>
        <v>620</v>
      </c>
      <c r="BH48" s="54">
        <f t="shared" si="38"/>
        <v>620</v>
      </c>
      <c r="BI48" s="54">
        <f t="shared" si="38"/>
        <v>620</v>
      </c>
      <c r="BJ48" s="54">
        <f t="shared" si="38"/>
        <v>620</v>
      </c>
      <c r="BK48" s="54">
        <f t="shared" si="38"/>
        <v>620</v>
      </c>
      <c r="BL48" s="54" t="str">
        <f t="shared" si="38"/>
        <v>-</v>
      </c>
      <c r="BM48" s="54" t="str">
        <f t="shared" si="38"/>
        <v>-</v>
      </c>
      <c r="BN48" s="54" t="str">
        <f t="shared" si="38"/>
        <v>-</v>
      </c>
      <c r="BO48" s="54" t="str">
        <f t="shared" si="38"/>
        <v>-</v>
      </c>
      <c r="BP48" s="54" t="str">
        <f t="shared" si="38"/>
        <v>-</v>
      </c>
      <c r="BQ48" s="54" t="str">
        <f t="shared" si="38"/>
        <v>-</v>
      </c>
      <c r="BR48" s="54" t="str">
        <f t="shared" si="38"/>
        <v>-</v>
      </c>
      <c r="BS48" s="54" t="str">
        <f t="shared" si="38"/>
        <v>-</v>
      </c>
      <c r="BT48" s="54" t="str">
        <f t="shared" si="38"/>
        <v>-</v>
      </c>
      <c r="BU48" s="54" t="str">
        <f t="shared" si="38"/>
        <v>-</v>
      </c>
      <c r="BV48" s="54" t="str">
        <f t="shared" si="38"/>
        <v>-</v>
      </c>
      <c r="BW48" s="54" t="str">
        <f t="shared" si="38"/>
        <v>-</v>
      </c>
      <c r="BX48" s="54" t="str">
        <f t="shared" si="38"/>
        <v>-</v>
      </c>
      <c r="BY48" s="54" t="str">
        <f t="shared" si="38"/>
        <v>-</v>
      </c>
      <c r="BZ48" s="54" t="str">
        <f t="shared" si="38"/>
        <v>-</v>
      </c>
      <c r="CA48" s="54" t="str">
        <f t="shared" si="38"/>
        <v>-</v>
      </c>
      <c r="CB48" s="54" t="str">
        <f t="shared" si="38"/>
        <v>-</v>
      </c>
      <c r="CC48" s="54" t="str">
        <f t="shared" ref="CC48:DK48" si="39">CC43</f>
        <v>-</v>
      </c>
      <c r="CD48" s="54" t="str">
        <f t="shared" si="39"/>
        <v>-</v>
      </c>
      <c r="CE48" s="54" t="str">
        <f t="shared" si="39"/>
        <v>-</v>
      </c>
      <c r="CF48" s="54" t="str">
        <f t="shared" si="39"/>
        <v>-</v>
      </c>
      <c r="CG48" s="139" t="str">
        <f t="shared" si="39"/>
        <v>-</v>
      </c>
      <c r="CH48" s="59">
        <f t="shared" si="39"/>
        <v>450</v>
      </c>
      <c r="CI48" s="54">
        <f t="shared" si="39"/>
        <v>548</v>
      </c>
      <c r="CJ48" s="54">
        <f t="shared" si="39"/>
        <v>443</v>
      </c>
      <c r="CK48" s="54">
        <f t="shared" si="39"/>
        <v>432</v>
      </c>
      <c r="CL48" s="54">
        <f t="shared" si="39"/>
        <v>417</v>
      </c>
      <c r="CM48" s="54">
        <f t="shared" si="39"/>
        <v>411</v>
      </c>
      <c r="CN48" s="54">
        <f t="shared" si="39"/>
        <v>404</v>
      </c>
      <c r="CO48" s="54">
        <f t="shared" si="39"/>
        <v>399</v>
      </c>
      <c r="CP48" s="54">
        <f t="shared" si="39"/>
        <v>395</v>
      </c>
      <c r="CQ48" s="54">
        <f t="shared" si="39"/>
        <v>387</v>
      </c>
      <c r="CR48" s="54">
        <f t="shared" si="39"/>
        <v>385</v>
      </c>
      <c r="CS48" s="54">
        <f t="shared" si="39"/>
        <v>377</v>
      </c>
      <c r="CT48" s="54">
        <f t="shared" si="39"/>
        <v>369</v>
      </c>
      <c r="CU48" s="54">
        <f t="shared" si="39"/>
        <v>361</v>
      </c>
      <c r="CV48" s="54">
        <f t="shared" si="39"/>
        <v>351</v>
      </c>
      <c r="CW48" s="54" t="str">
        <f t="shared" si="39"/>
        <v>-</v>
      </c>
      <c r="CX48" s="54" t="str">
        <f t="shared" si="39"/>
        <v>-</v>
      </c>
      <c r="CY48" s="54" t="str">
        <f t="shared" si="39"/>
        <v>-</v>
      </c>
      <c r="CZ48" s="54" t="str">
        <f t="shared" si="39"/>
        <v>-</v>
      </c>
      <c r="DA48" s="54" t="str">
        <f t="shared" si="39"/>
        <v>-</v>
      </c>
      <c r="DB48" s="54" t="str">
        <f t="shared" si="39"/>
        <v>-</v>
      </c>
      <c r="DC48" s="54" t="str">
        <f t="shared" si="39"/>
        <v>-</v>
      </c>
      <c r="DD48" s="54" t="str">
        <f t="shared" si="39"/>
        <v>-</v>
      </c>
      <c r="DE48" s="54" t="str">
        <f t="shared" si="39"/>
        <v>-</v>
      </c>
      <c r="DF48" s="54" t="str">
        <f t="shared" si="39"/>
        <v>-</v>
      </c>
      <c r="DG48" s="54" t="str">
        <f t="shared" si="39"/>
        <v>-</v>
      </c>
      <c r="DH48" s="54" t="str">
        <f t="shared" si="39"/>
        <v>-</v>
      </c>
      <c r="DI48" s="54" t="str">
        <f t="shared" si="39"/>
        <v>-</v>
      </c>
      <c r="DJ48" s="54" t="str">
        <f t="shared" si="39"/>
        <v>-</v>
      </c>
      <c r="DK48" s="54" t="str">
        <f t="shared" si="39"/>
        <v>-</v>
      </c>
      <c r="DL48" s="54" t="str">
        <f t="shared" ref="DL48:DR57" si="40">DL43</f>
        <v>-</v>
      </c>
      <c r="DM48" s="54" t="str">
        <f t="shared" si="40"/>
        <v>-</v>
      </c>
      <c r="DN48" s="54" t="str">
        <f t="shared" si="40"/>
        <v>-</v>
      </c>
      <c r="DO48" s="54" t="str">
        <f t="shared" si="40"/>
        <v>-</v>
      </c>
      <c r="DP48" s="54" t="str">
        <f t="shared" si="40"/>
        <v>-</v>
      </c>
      <c r="DQ48" s="54" t="str">
        <f t="shared" si="40"/>
        <v>-</v>
      </c>
      <c r="DR48" s="64" t="str">
        <f t="shared" si="40"/>
        <v>-</v>
      </c>
    </row>
    <row r="49" spans="1:122">
      <c r="A49" s="87" t="s">
        <v>89</v>
      </c>
      <c r="B49" s="87"/>
      <c r="C49" s="53" t="str">
        <f t="shared" si="34"/>
        <v>bar</v>
      </c>
      <c r="D49" s="53">
        <f t="shared" si="34"/>
        <v>107</v>
      </c>
      <c r="E49" s="53">
        <f t="shared" si="34"/>
        <v>175</v>
      </c>
      <c r="F49" s="53" t="str">
        <f t="shared" ref="F49:G52" si="41">F48</f>
        <v>S5C</v>
      </c>
      <c r="G49" s="53" t="str">
        <f t="shared" si="41"/>
        <v>ASTM</v>
      </c>
      <c r="H49" s="72">
        <f t="shared" si="35"/>
        <v>660</v>
      </c>
      <c r="I49" s="48">
        <f t="shared" si="35"/>
        <v>520</v>
      </c>
      <c r="J49" s="53" t="str">
        <f>J48</f>
        <v>-</v>
      </c>
      <c r="K49" s="59" t="str">
        <f t="shared" si="36"/>
        <v>-</v>
      </c>
      <c r="L49" s="54" t="str">
        <f t="shared" si="36"/>
        <v>-</v>
      </c>
      <c r="M49" s="54" t="str">
        <f t="shared" si="36"/>
        <v>-</v>
      </c>
      <c r="N49" s="54" t="str">
        <f t="shared" si="36"/>
        <v>-</v>
      </c>
      <c r="O49" s="54" t="str">
        <f t="shared" si="36"/>
        <v>-</v>
      </c>
      <c r="P49" s="54" t="str">
        <f t="shared" ref="P49:AU49" si="42">P44</f>
        <v>-</v>
      </c>
      <c r="Q49" s="54" t="str">
        <f t="shared" si="42"/>
        <v>-</v>
      </c>
      <c r="R49" s="54" t="str">
        <f t="shared" si="42"/>
        <v>-</v>
      </c>
      <c r="S49" s="54" t="str">
        <f t="shared" si="42"/>
        <v>-</v>
      </c>
      <c r="T49" s="54" t="str">
        <f t="shared" si="42"/>
        <v>-</v>
      </c>
      <c r="U49" s="54" t="str">
        <f t="shared" si="42"/>
        <v>-</v>
      </c>
      <c r="V49" s="54" t="str">
        <f t="shared" si="42"/>
        <v>-</v>
      </c>
      <c r="W49" s="54" t="str">
        <f t="shared" si="42"/>
        <v>-</v>
      </c>
      <c r="X49" s="54" t="str">
        <f t="shared" si="42"/>
        <v>-</v>
      </c>
      <c r="Y49" s="54" t="str">
        <f t="shared" si="42"/>
        <v>-</v>
      </c>
      <c r="Z49" s="54" t="str">
        <f t="shared" si="42"/>
        <v>-</v>
      </c>
      <c r="AA49" s="54" t="str">
        <f t="shared" si="42"/>
        <v>-</v>
      </c>
      <c r="AB49" s="54" t="str">
        <f t="shared" si="42"/>
        <v>-</v>
      </c>
      <c r="AC49" s="54" t="str">
        <f t="shared" si="42"/>
        <v>-</v>
      </c>
      <c r="AD49" s="54" t="str">
        <f t="shared" si="42"/>
        <v>-</v>
      </c>
      <c r="AE49" s="54" t="str">
        <f t="shared" si="42"/>
        <v>-</v>
      </c>
      <c r="AF49" s="54" t="str">
        <f t="shared" si="42"/>
        <v>-</v>
      </c>
      <c r="AG49" s="54" t="str">
        <f t="shared" si="42"/>
        <v>-</v>
      </c>
      <c r="AH49" s="54" t="str">
        <f t="shared" si="42"/>
        <v>-</v>
      </c>
      <c r="AI49" s="54" t="str">
        <f t="shared" si="42"/>
        <v>-</v>
      </c>
      <c r="AJ49" s="54" t="str">
        <f t="shared" si="42"/>
        <v>-</v>
      </c>
      <c r="AK49" s="54" t="str">
        <f t="shared" si="42"/>
        <v>-</v>
      </c>
      <c r="AL49" s="54" t="str">
        <f t="shared" si="42"/>
        <v>-</v>
      </c>
      <c r="AM49" s="54" t="str">
        <f t="shared" si="42"/>
        <v>-</v>
      </c>
      <c r="AN49" s="54" t="str">
        <f t="shared" si="42"/>
        <v>-</v>
      </c>
      <c r="AO49" s="54" t="str">
        <f t="shared" si="42"/>
        <v>-</v>
      </c>
      <c r="AP49" s="54" t="str">
        <f t="shared" si="42"/>
        <v>-</v>
      </c>
      <c r="AQ49" s="54" t="str">
        <f t="shared" si="42"/>
        <v>-</v>
      </c>
      <c r="AR49" s="54" t="str">
        <f t="shared" si="42"/>
        <v>-</v>
      </c>
      <c r="AS49" s="54" t="str">
        <f t="shared" si="42"/>
        <v>-</v>
      </c>
      <c r="AT49" s="54" t="str">
        <f t="shared" si="42"/>
        <v>-</v>
      </c>
      <c r="AU49" s="64" t="str">
        <f t="shared" si="42"/>
        <v>-</v>
      </c>
      <c r="AV49" s="57" t="str">
        <f t="shared" si="33"/>
        <v>ASTM</v>
      </c>
      <c r="AW49" s="59">
        <f t="shared" ref="AW49:AX57" si="43">AW44</f>
        <v>660</v>
      </c>
      <c r="AX49" s="54">
        <f t="shared" si="43"/>
        <v>660</v>
      </c>
      <c r="AY49" s="54">
        <f t="shared" ref="AY49:DJ49" si="44">AY44</f>
        <v>660</v>
      </c>
      <c r="AZ49" s="54">
        <f t="shared" si="44"/>
        <v>660</v>
      </c>
      <c r="BA49" s="54">
        <f t="shared" si="44"/>
        <v>660</v>
      </c>
      <c r="BB49" s="54">
        <f t="shared" si="44"/>
        <v>660</v>
      </c>
      <c r="BC49" s="54">
        <f t="shared" si="44"/>
        <v>660</v>
      </c>
      <c r="BD49" s="54">
        <f t="shared" si="44"/>
        <v>660</v>
      </c>
      <c r="BE49" s="54">
        <f t="shared" si="44"/>
        <v>660</v>
      </c>
      <c r="BF49" s="54">
        <f t="shared" si="44"/>
        <v>660</v>
      </c>
      <c r="BG49" s="54">
        <f t="shared" si="44"/>
        <v>660</v>
      </c>
      <c r="BH49" s="54">
        <f t="shared" si="44"/>
        <v>660</v>
      </c>
      <c r="BI49" s="54">
        <f t="shared" si="44"/>
        <v>660</v>
      </c>
      <c r="BJ49" s="54">
        <f t="shared" si="44"/>
        <v>660</v>
      </c>
      <c r="BK49" s="54">
        <f t="shared" si="44"/>
        <v>660</v>
      </c>
      <c r="BL49" s="54" t="str">
        <f t="shared" si="44"/>
        <v>-</v>
      </c>
      <c r="BM49" s="54" t="str">
        <f t="shared" si="44"/>
        <v>-</v>
      </c>
      <c r="BN49" s="54" t="str">
        <f t="shared" si="44"/>
        <v>-</v>
      </c>
      <c r="BO49" s="54" t="str">
        <f t="shared" si="44"/>
        <v>-</v>
      </c>
      <c r="BP49" s="54" t="str">
        <f t="shared" si="44"/>
        <v>-</v>
      </c>
      <c r="BQ49" s="54" t="str">
        <f t="shared" si="44"/>
        <v>-</v>
      </c>
      <c r="BR49" s="54" t="str">
        <f t="shared" si="44"/>
        <v>-</v>
      </c>
      <c r="BS49" s="54" t="str">
        <f t="shared" si="44"/>
        <v>-</v>
      </c>
      <c r="BT49" s="54" t="str">
        <f t="shared" si="44"/>
        <v>-</v>
      </c>
      <c r="BU49" s="54" t="str">
        <f t="shared" si="44"/>
        <v>-</v>
      </c>
      <c r="BV49" s="54" t="str">
        <f t="shared" si="44"/>
        <v>-</v>
      </c>
      <c r="BW49" s="54" t="str">
        <f t="shared" si="44"/>
        <v>-</v>
      </c>
      <c r="BX49" s="54" t="str">
        <f t="shared" si="44"/>
        <v>-</v>
      </c>
      <c r="BY49" s="54" t="str">
        <f t="shared" si="44"/>
        <v>-</v>
      </c>
      <c r="BZ49" s="54" t="str">
        <f t="shared" si="44"/>
        <v>-</v>
      </c>
      <c r="CA49" s="54" t="str">
        <f t="shared" si="44"/>
        <v>-</v>
      </c>
      <c r="CB49" s="54" t="str">
        <f t="shared" si="44"/>
        <v>-</v>
      </c>
      <c r="CC49" s="54" t="str">
        <f t="shared" si="44"/>
        <v>-</v>
      </c>
      <c r="CD49" s="54" t="str">
        <f t="shared" si="44"/>
        <v>-</v>
      </c>
      <c r="CE49" s="54" t="str">
        <f t="shared" si="44"/>
        <v>-</v>
      </c>
      <c r="CF49" s="54" t="str">
        <f t="shared" si="44"/>
        <v>-</v>
      </c>
      <c r="CG49" s="139" t="str">
        <f t="shared" si="44"/>
        <v>-</v>
      </c>
      <c r="CH49" s="59">
        <f t="shared" si="44"/>
        <v>520</v>
      </c>
      <c r="CI49" s="54">
        <f t="shared" si="44"/>
        <v>518</v>
      </c>
      <c r="CJ49" s="54">
        <f t="shared" si="44"/>
        <v>512</v>
      </c>
      <c r="CK49" s="54">
        <f t="shared" si="44"/>
        <v>496</v>
      </c>
      <c r="CL49" s="54">
        <f t="shared" si="44"/>
        <v>482</v>
      </c>
      <c r="CM49" s="54">
        <f t="shared" si="44"/>
        <v>474</v>
      </c>
      <c r="CN49" s="54">
        <f t="shared" si="44"/>
        <v>467</v>
      </c>
      <c r="CO49" s="54">
        <f t="shared" si="44"/>
        <v>461</v>
      </c>
      <c r="CP49" s="54">
        <f t="shared" si="44"/>
        <v>455</v>
      </c>
      <c r="CQ49" s="54">
        <f t="shared" si="44"/>
        <v>446</v>
      </c>
      <c r="CR49" s="54">
        <f t="shared" si="44"/>
        <v>444</v>
      </c>
      <c r="CS49" s="54">
        <f t="shared" si="44"/>
        <v>435</v>
      </c>
      <c r="CT49" s="54">
        <f t="shared" si="44"/>
        <v>426</v>
      </c>
      <c r="CU49" s="54">
        <f t="shared" si="44"/>
        <v>416</v>
      </c>
      <c r="CV49" s="54">
        <f t="shared" si="44"/>
        <v>405</v>
      </c>
      <c r="CW49" s="54" t="str">
        <f t="shared" si="44"/>
        <v>-</v>
      </c>
      <c r="CX49" s="54" t="str">
        <f t="shared" si="44"/>
        <v>-</v>
      </c>
      <c r="CY49" s="54" t="str">
        <f t="shared" si="44"/>
        <v>-</v>
      </c>
      <c r="CZ49" s="54" t="str">
        <f t="shared" si="44"/>
        <v>-</v>
      </c>
      <c r="DA49" s="54" t="str">
        <f t="shared" si="44"/>
        <v>-</v>
      </c>
      <c r="DB49" s="54" t="str">
        <f t="shared" si="44"/>
        <v>-</v>
      </c>
      <c r="DC49" s="54" t="str">
        <f t="shared" si="44"/>
        <v>-</v>
      </c>
      <c r="DD49" s="54" t="str">
        <f t="shared" si="44"/>
        <v>-</v>
      </c>
      <c r="DE49" s="54" t="str">
        <f t="shared" si="44"/>
        <v>-</v>
      </c>
      <c r="DF49" s="54" t="str">
        <f t="shared" si="44"/>
        <v>-</v>
      </c>
      <c r="DG49" s="54" t="str">
        <f t="shared" si="44"/>
        <v>-</v>
      </c>
      <c r="DH49" s="54" t="str">
        <f t="shared" si="44"/>
        <v>-</v>
      </c>
      <c r="DI49" s="54" t="str">
        <f t="shared" si="44"/>
        <v>-</v>
      </c>
      <c r="DJ49" s="54" t="str">
        <f t="shared" si="44"/>
        <v>-</v>
      </c>
      <c r="DK49" s="54" t="str">
        <f t="shared" ref="DK49:DK57" si="45">DK44</f>
        <v>-</v>
      </c>
      <c r="DL49" s="54" t="str">
        <f t="shared" si="40"/>
        <v>-</v>
      </c>
      <c r="DM49" s="54" t="str">
        <f t="shared" si="40"/>
        <v>-</v>
      </c>
      <c r="DN49" s="54" t="str">
        <f t="shared" si="40"/>
        <v>-</v>
      </c>
      <c r="DO49" s="54" t="str">
        <f t="shared" si="40"/>
        <v>-</v>
      </c>
      <c r="DP49" s="54" t="str">
        <f t="shared" si="40"/>
        <v>-</v>
      </c>
      <c r="DQ49" s="54" t="str">
        <f t="shared" si="40"/>
        <v>-</v>
      </c>
      <c r="DR49" s="64" t="str">
        <f t="shared" si="40"/>
        <v>-</v>
      </c>
    </row>
    <row r="50" spans="1:122">
      <c r="A50" s="87" t="s">
        <v>89</v>
      </c>
      <c r="B50" s="87"/>
      <c r="C50" s="53" t="str">
        <f t="shared" si="34"/>
        <v>bar</v>
      </c>
      <c r="D50" s="53">
        <f t="shared" si="34"/>
        <v>63</v>
      </c>
      <c r="E50" s="53">
        <f t="shared" si="34"/>
        <v>107</v>
      </c>
      <c r="F50" s="53" t="str">
        <f t="shared" si="41"/>
        <v>S5C</v>
      </c>
      <c r="G50" s="53" t="str">
        <f t="shared" si="41"/>
        <v>ASTM</v>
      </c>
      <c r="H50" s="72">
        <f t="shared" si="35"/>
        <v>690</v>
      </c>
      <c r="I50" s="48">
        <f t="shared" si="35"/>
        <v>520</v>
      </c>
      <c r="J50" s="53" t="str">
        <f>J49</f>
        <v>-</v>
      </c>
      <c r="K50" s="59" t="str">
        <f t="shared" si="36"/>
        <v>-</v>
      </c>
      <c r="L50" s="54" t="str">
        <f t="shared" si="36"/>
        <v>-</v>
      </c>
      <c r="M50" s="54" t="str">
        <f t="shared" si="36"/>
        <v>-</v>
      </c>
      <c r="N50" s="54" t="str">
        <f t="shared" si="36"/>
        <v>-</v>
      </c>
      <c r="O50" s="54" t="str">
        <f t="shared" si="36"/>
        <v>-</v>
      </c>
      <c r="P50" s="54" t="str">
        <f t="shared" ref="P50:AU50" si="46">P45</f>
        <v>-</v>
      </c>
      <c r="Q50" s="54" t="str">
        <f t="shared" si="46"/>
        <v>-</v>
      </c>
      <c r="R50" s="54" t="str">
        <f t="shared" si="46"/>
        <v>-</v>
      </c>
      <c r="S50" s="54" t="str">
        <f t="shared" si="46"/>
        <v>-</v>
      </c>
      <c r="T50" s="54" t="str">
        <f t="shared" si="46"/>
        <v>-</v>
      </c>
      <c r="U50" s="54" t="str">
        <f t="shared" si="46"/>
        <v>-</v>
      </c>
      <c r="V50" s="54" t="str">
        <f t="shared" si="46"/>
        <v>-</v>
      </c>
      <c r="W50" s="54" t="str">
        <f t="shared" si="46"/>
        <v>-</v>
      </c>
      <c r="X50" s="54" t="str">
        <f t="shared" si="46"/>
        <v>-</v>
      </c>
      <c r="Y50" s="54" t="str">
        <f t="shared" si="46"/>
        <v>-</v>
      </c>
      <c r="Z50" s="54" t="str">
        <f t="shared" si="46"/>
        <v>-</v>
      </c>
      <c r="AA50" s="54" t="str">
        <f t="shared" si="46"/>
        <v>-</v>
      </c>
      <c r="AB50" s="54" t="str">
        <f t="shared" si="46"/>
        <v>-</v>
      </c>
      <c r="AC50" s="54" t="str">
        <f t="shared" si="46"/>
        <v>-</v>
      </c>
      <c r="AD50" s="54" t="str">
        <f t="shared" si="46"/>
        <v>-</v>
      </c>
      <c r="AE50" s="54" t="str">
        <f t="shared" si="46"/>
        <v>-</v>
      </c>
      <c r="AF50" s="54" t="str">
        <f t="shared" si="46"/>
        <v>-</v>
      </c>
      <c r="AG50" s="54" t="str">
        <f t="shared" si="46"/>
        <v>-</v>
      </c>
      <c r="AH50" s="54" t="str">
        <f t="shared" si="46"/>
        <v>-</v>
      </c>
      <c r="AI50" s="54" t="str">
        <f t="shared" si="46"/>
        <v>-</v>
      </c>
      <c r="AJ50" s="54" t="str">
        <f t="shared" si="46"/>
        <v>-</v>
      </c>
      <c r="AK50" s="54" t="str">
        <f t="shared" si="46"/>
        <v>-</v>
      </c>
      <c r="AL50" s="54" t="str">
        <f t="shared" si="46"/>
        <v>-</v>
      </c>
      <c r="AM50" s="54" t="str">
        <f t="shared" si="46"/>
        <v>-</v>
      </c>
      <c r="AN50" s="54" t="str">
        <f t="shared" si="46"/>
        <v>-</v>
      </c>
      <c r="AO50" s="54" t="str">
        <f t="shared" si="46"/>
        <v>-</v>
      </c>
      <c r="AP50" s="54" t="str">
        <f t="shared" si="46"/>
        <v>-</v>
      </c>
      <c r="AQ50" s="54" t="str">
        <f t="shared" si="46"/>
        <v>-</v>
      </c>
      <c r="AR50" s="54" t="str">
        <f t="shared" si="46"/>
        <v>-</v>
      </c>
      <c r="AS50" s="54" t="str">
        <f t="shared" si="46"/>
        <v>-</v>
      </c>
      <c r="AT50" s="54" t="str">
        <f t="shared" si="46"/>
        <v>-</v>
      </c>
      <c r="AU50" s="64" t="str">
        <f t="shared" si="46"/>
        <v>-</v>
      </c>
      <c r="AV50" s="57" t="str">
        <f t="shared" si="33"/>
        <v>ASTM</v>
      </c>
      <c r="AW50" s="59">
        <f t="shared" si="43"/>
        <v>690</v>
      </c>
      <c r="AX50" s="54">
        <f t="shared" si="43"/>
        <v>690</v>
      </c>
      <c r="AY50" s="54">
        <f t="shared" ref="AY50:DJ50" si="47">AY45</f>
        <v>690</v>
      </c>
      <c r="AZ50" s="54">
        <f t="shared" si="47"/>
        <v>690</v>
      </c>
      <c r="BA50" s="54">
        <f t="shared" si="47"/>
        <v>690</v>
      </c>
      <c r="BB50" s="54">
        <f t="shared" si="47"/>
        <v>690</v>
      </c>
      <c r="BC50" s="54">
        <f t="shared" si="47"/>
        <v>690</v>
      </c>
      <c r="BD50" s="54">
        <f t="shared" si="47"/>
        <v>690</v>
      </c>
      <c r="BE50" s="54">
        <f t="shared" si="47"/>
        <v>690</v>
      </c>
      <c r="BF50" s="54">
        <f t="shared" si="47"/>
        <v>690</v>
      </c>
      <c r="BG50" s="54">
        <f t="shared" si="47"/>
        <v>690</v>
      </c>
      <c r="BH50" s="54">
        <f t="shared" si="47"/>
        <v>690</v>
      </c>
      <c r="BI50" s="54">
        <f t="shared" si="47"/>
        <v>690</v>
      </c>
      <c r="BJ50" s="54">
        <f t="shared" si="47"/>
        <v>690</v>
      </c>
      <c r="BK50" s="54">
        <f t="shared" si="47"/>
        <v>690</v>
      </c>
      <c r="BL50" s="54" t="str">
        <f t="shared" si="47"/>
        <v>-</v>
      </c>
      <c r="BM50" s="54" t="str">
        <f t="shared" si="47"/>
        <v>-</v>
      </c>
      <c r="BN50" s="54" t="str">
        <f t="shared" si="47"/>
        <v>-</v>
      </c>
      <c r="BO50" s="54" t="str">
        <f t="shared" si="47"/>
        <v>-</v>
      </c>
      <c r="BP50" s="54" t="str">
        <f t="shared" si="47"/>
        <v>-</v>
      </c>
      <c r="BQ50" s="54" t="str">
        <f t="shared" si="47"/>
        <v>-</v>
      </c>
      <c r="BR50" s="54" t="str">
        <f t="shared" si="47"/>
        <v>-</v>
      </c>
      <c r="BS50" s="54" t="str">
        <f t="shared" si="47"/>
        <v>-</v>
      </c>
      <c r="BT50" s="54" t="str">
        <f t="shared" si="47"/>
        <v>-</v>
      </c>
      <c r="BU50" s="54" t="str">
        <f t="shared" si="47"/>
        <v>-</v>
      </c>
      <c r="BV50" s="54" t="str">
        <f t="shared" si="47"/>
        <v>-</v>
      </c>
      <c r="BW50" s="54" t="str">
        <f t="shared" si="47"/>
        <v>-</v>
      </c>
      <c r="BX50" s="54" t="str">
        <f t="shared" si="47"/>
        <v>-</v>
      </c>
      <c r="BY50" s="54" t="str">
        <f t="shared" si="47"/>
        <v>-</v>
      </c>
      <c r="BZ50" s="54" t="str">
        <f t="shared" si="47"/>
        <v>-</v>
      </c>
      <c r="CA50" s="54" t="str">
        <f t="shared" si="47"/>
        <v>-</v>
      </c>
      <c r="CB50" s="54" t="str">
        <f t="shared" si="47"/>
        <v>-</v>
      </c>
      <c r="CC50" s="54" t="str">
        <f t="shared" si="47"/>
        <v>-</v>
      </c>
      <c r="CD50" s="54" t="str">
        <f t="shared" si="47"/>
        <v>-</v>
      </c>
      <c r="CE50" s="54" t="str">
        <f t="shared" si="47"/>
        <v>-</v>
      </c>
      <c r="CF50" s="54" t="str">
        <f t="shared" si="47"/>
        <v>-</v>
      </c>
      <c r="CG50" s="139" t="str">
        <f t="shared" si="47"/>
        <v>-</v>
      </c>
      <c r="CH50" s="59">
        <f t="shared" si="47"/>
        <v>520</v>
      </c>
      <c r="CI50" s="54">
        <f t="shared" si="47"/>
        <v>518</v>
      </c>
      <c r="CJ50" s="54">
        <f t="shared" si="47"/>
        <v>512</v>
      </c>
      <c r="CK50" s="54">
        <f t="shared" si="47"/>
        <v>496</v>
      </c>
      <c r="CL50" s="54">
        <f t="shared" si="47"/>
        <v>482</v>
      </c>
      <c r="CM50" s="54">
        <f t="shared" si="47"/>
        <v>474</v>
      </c>
      <c r="CN50" s="54">
        <f t="shared" si="47"/>
        <v>467</v>
      </c>
      <c r="CO50" s="54">
        <f t="shared" si="47"/>
        <v>461</v>
      </c>
      <c r="CP50" s="54">
        <f t="shared" si="47"/>
        <v>455</v>
      </c>
      <c r="CQ50" s="54">
        <f t="shared" si="47"/>
        <v>446</v>
      </c>
      <c r="CR50" s="54">
        <f t="shared" si="47"/>
        <v>444</v>
      </c>
      <c r="CS50" s="54">
        <f t="shared" si="47"/>
        <v>435</v>
      </c>
      <c r="CT50" s="54">
        <f t="shared" si="47"/>
        <v>426</v>
      </c>
      <c r="CU50" s="54">
        <f t="shared" si="47"/>
        <v>416</v>
      </c>
      <c r="CV50" s="54">
        <f t="shared" si="47"/>
        <v>405</v>
      </c>
      <c r="CW50" s="54" t="str">
        <f t="shared" si="47"/>
        <v>-</v>
      </c>
      <c r="CX50" s="54" t="str">
        <f t="shared" si="47"/>
        <v>-</v>
      </c>
      <c r="CY50" s="54" t="str">
        <f t="shared" si="47"/>
        <v>-</v>
      </c>
      <c r="CZ50" s="54" t="str">
        <f t="shared" si="47"/>
        <v>-</v>
      </c>
      <c r="DA50" s="54" t="str">
        <f t="shared" si="47"/>
        <v>-</v>
      </c>
      <c r="DB50" s="54" t="str">
        <f t="shared" si="47"/>
        <v>-</v>
      </c>
      <c r="DC50" s="54" t="str">
        <f t="shared" si="47"/>
        <v>-</v>
      </c>
      <c r="DD50" s="54" t="str">
        <f t="shared" si="47"/>
        <v>-</v>
      </c>
      <c r="DE50" s="54" t="str">
        <f t="shared" si="47"/>
        <v>-</v>
      </c>
      <c r="DF50" s="54" t="str">
        <f t="shared" si="47"/>
        <v>-</v>
      </c>
      <c r="DG50" s="54" t="str">
        <f t="shared" si="47"/>
        <v>-</v>
      </c>
      <c r="DH50" s="54" t="str">
        <f t="shared" si="47"/>
        <v>-</v>
      </c>
      <c r="DI50" s="54" t="str">
        <f t="shared" si="47"/>
        <v>-</v>
      </c>
      <c r="DJ50" s="54" t="str">
        <f t="shared" si="47"/>
        <v>-</v>
      </c>
      <c r="DK50" s="54" t="str">
        <f t="shared" si="45"/>
        <v>-</v>
      </c>
      <c r="DL50" s="54" t="str">
        <f t="shared" si="40"/>
        <v>-</v>
      </c>
      <c r="DM50" s="54" t="str">
        <f t="shared" si="40"/>
        <v>-</v>
      </c>
      <c r="DN50" s="54" t="str">
        <f t="shared" si="40"/>
        <v>-</v>
      </c>
      <c r="DO50" s="54" t="str">
        <f t="shared" si="40"/>
        <v>-</v>
      </c>
      <c r="DP50" s="54" t="str">
        <f t="shared" si="40"/>
        <v>-</v>
      </c>
      <c r="DQ50" s="54" t="str">
        <f t="shared" si="40"/>
        <v>-</v>
      </c>
      <c r="DR50" s="64" t="str">
        <f t="shared" si="40"/>
        <v>-</v>
      </c>
    </row>
    <row r="51" spans="1:122">
      <c r="A51" s="87" t="s">
        <v>89</v>
      </c>
      <c r="B51" s="87"/>
      <c r="C51" s="53" t="str">
        <f t="shared" si="34"/>
        <v>bar</v>
      </c>
      <c r="D51" s="53">
        <f t="shared" si="34"/>
        <v>38</v>
      </c>
      <c r="E51" s="53">
        <f t="shared" si="34"/>
        <v>63</v>
      </c>
      <c r="F51" s="53" t="str">
        <f t="shared" si="41"/>
        <v>S5C</v>
      </c>
      <c r="G51" s="53" t="str">
        <f t="shared" si="41"/>
        <v>ASTM</v>
      </c>
      <c r="H51" s="72">
        <f t="shared" si="35"/>
        <v>720</v>
      </c>
      <c r="I51" s="48">
        <f t="shared" si="35"/>
        <v>550</v>
      </c>
      <c r="J51" s="53" t="str">
        <f>J50</f>
        <v>-</v>
      </c>
      <c r="K51" s="59" t="str">
        <f t="shared" si="36"/>
        <v>-</v>
      </c>
      <c r="L51" s="54" t="str">
        <f t="shared" si="36"/>
        <v>-</v>
      </c>
      <c r="M51" s="54" t="str">
        <f t="shared" si="36"/>
        <v>-</v>
      </c>
      <c r="N51" s="54" t="str">
        <f t="shared" si="36"/>
        <v>-</v>
      </c>
      <c r="O51" s="54" t="str">
        <f t="shared" si="36"/>
        <v>-</v>
      </c>
      <c r="P51" s="54" t="str">
        <f t="shared" ref="P51:AU51" si="48">P46</f>
        <v>-</v>
      </c>
      <c r="Q51" s="54" t="str">
        <f t="shared" si="48"/>
        <v>-</v>
      </c>
      <c r="R51" s="54" t="str">
        <f t="shared" si="48"/>
        <v>-</v>
      </c>
      <c r="S51" s="54" t="str">
        <f t="shared" si="48"/>
        <v>-</v>
      </c>
      <c r="T51" s="54" t="str">
        <f t="shared" si="48"/>
        <v>-</v>
      </c>
      <c r="U51" s="54" t="str">
        <f t="shared" si="48"/>
        <v>-</v>
      </c>
      <c r="V51" s="54" t="str">
        <f t="shared" si="48"/>
        <v>-</v>
      </c>
      <c r="W51" s="54" t="str">
        <f t="shared" si="48"/>
        <v>-</v>
      </c>
      <c r="X51" s="54" t="str">
        <f t="shared" si="48"/>
        <v>-</v>
      </c>
      <c r="Y51" s="54" t="str">
        <f t="shared" si="48"/>
        <v>-</v>
      </c>
      <c r="Z51" s="54" t="str">
        <f t="shared" si="48"/>
        <v>-</v>
      </c>
      <c r="AA51" s="54" t="str">
        <f t="shared" si="48"/>
        <v>-</v>
      </c>
      <c r="AB51" s="54" t="str">
        <f t="shared" si="48"/>
        <v>-</v>
      </c>
      <c r="AC51" s="54" t="str">
        <f t="shared" si="48"/>
        <v>-</v>
      </c>
      <c r="AD51" s="54" t="str">
        <f t="shared" si="48"/>
        <v>-</v>
      </c>
      <c r="AE51" s="54" t="str">
        <f t="shared" si="48"/>
        <v>-</v>
      </c>
      <c r="AF51" s="54" t="str">
        <f t="shared" si="48"/>
        <v>-</v>
      </c>
      <c r="AG51" s="54" t="str">
        <f t="shared" si="48"/>
        <v>-</v>
      </c>
      <c r="AH51" s="54" t="str">
        <f t="shared" si="48"/>
        <v>-</v>
      </c>
      <c r="AI51" s="54" t="str">
        <f t="shared" si="48"/>
        <v>-</v>
      </c>
      <c r="AJ51" s="54" t="str">
        <f t="shared" si="48"/>
        <v>-</v>
      </c>
      <c r="AK51" s="54" t="str">
        <f t="shared" si="48"/>
        <v>-</v>
      </c>
      <c r="AL51" s="54" t="str">
        <f t="shared" si="48"/>
        <v>-</v>
      </c>
      <c r="AM51" s="54" t="str">
        <f t="shared" si="48"/>
        <v>-</v>
      </c>
      <c r="AN51" s="54" t="str">
        <f t="shared" si="48"/>
        <v>-</v>
      </c>
      <c r="AO51" s="54" t="str">
        <f t="shared" si="48"/>
        <v>-</v>
      </c>
      <c r="AP51" s="54" t="str">
        <f t="shared" si="48"/>
        <v>-</v>
      </c>
      <c r="AQ51" s="54" t="str">
        <f t="shared" si="48"/>
        <v>-</v>
      </c>
      <c r="AR51" s="54" t="str">
        <f t="shared" si="48"/>
        <v>-</v>
      </c>
      <c r="AS51" s="54" t="str">
        <f t="shared" si="48"/>
        <v>-</v>
      </c>
      <c r="AT51" s="54" t="str">
        <f t="shared" si="48"/>
        <v>-</v>
      </c>
      <c r="AU51" s="64" t="str">
        <f t="shared" si="48"/>
        <v>-</v>
      </c>
      <c r="AV51" s="57" t="str">
        <f t="shared" si="33"/>
        <v>ASTM</v>
      </c>
      <c r="AW51" s="59">
        <f t="shared" si="43"/>
        <v>720</v>
      </c>
      <c r="AX51" s="54">
        <f t="shared" si="43"/>
        <v>720</v>
      </c>
      <c r="AY51" s="54">
        <f t="shared" ref="AY51:DJ51" si="49">AY46</f>
        <v>720</v>
      </c>
      <c r="AZ51" s="54">
        <f t="shared" si="49"/>
        <v>720</v>
      </c>
      <c r="BA51" s="54">
        <f t="shared" si="49"/>
        <v>720</v>
      </c>
      <c r="BB51" s="54">
        <f t="shared" si="49"/>
        <v>720</v>
      </c>
      <c r="BC51" s="54">
        <f t="shared" si="49"/>
        <v>720</v>
      </c>
      <c r="BD51" s="54">
        <f t="shared" si="49"/>
        <v>720</v>
      </c>
      <c r="BE51" s="54">
        <f t="shared" si="49"/>
        <v>720</v>
      </c>
      <c r="BF51" s="54">
        <f t="shared" si="49"/>
        <v>720</v>
      </c>
      <c r="BG51" s="54">
        <f t="shared" si="49"/>
        <v>720</v>
      </c>
      <c r="BH51" s="54">
        <f t="shared" si="49"/>
        <v>720</v>
      </c>
      <c r="BI51" s="54">
        <f t="shared" si="49"/>
        <v>720</v>
      </c>
      <c r="BJ51" s="54">
        <f t="shared" si="49"/>
        <v>720</v>
      </c>
      <c r="BK51" s="54">
        <f t="shared" si="49"/>
        <v>720</v>
      </c>
      <c r="BL51" s="54" t="str">
        <f t="shared" si="49"/>
        <v>-</v>
      </c>
      <c r="BM51" s="54" t="str">
        <f t="shared" si="49"/>
        <v>-</v>
      </c>
      <c r="BN51" s="54" t="str">
        <f t="shared" si="49"/>
        <v>-</v>
      </c>
      <c r="BO51" s="54" t="str">
        <f t="shared" si="49"/>
        <v>-</v>
      </c>
      <c r="BP51" s="54" t="str">
        <f t="shared" si="49"/>
        <v>-</v>
      </c>
      <c r="BQ51" s="54" t="str">
        <f t="shared" si="49"/>
        <v>-</v>
      </c>
      <c r="BR51" s="54" t="str">
        <f t="shared" si="49"/>
        <v>-</v>
      </c>
      <c r="BS51" s="54" t="str">
        <f t="shared" si="49"/>
        <v>-</v>
      </c>
      <c r="BT51" s="54" t="str">
        <f t="shared" si="49"/>
        <v>-</v>
      </c>
      <c r="BU51" s="54" t="str">
        <f t="shared" si="49"/>
        <v>-</v>
      </c>
      <c r="BV51" s="54" t="str">
        <f t="shared" si="49"/>
        <v>-</v>
      </c>
      <c r="BW51" s="54" t="str">
        <f t="shared" si="49"/>
        <v>-</v>
      </c>
      <c r="BX51" s="54" t="str">
        <f t="shared" si="49"/>
        <v>-</v>
      </c>
      <c r="BY51" s="54" t="str">
        <f t="shared" si="49"/>
        <v>-</v>
      </c>
      <c r="BZ51" s="54" t="str">
        <f t="shared" si="49"/>
        <v>-</v>
      </c>
      <c r="CA51" s="54" t="str">
        <f t="shared" si="49"/>
        <v>-</v>
      </c>
      <c r="CB51" s="54" t="str">
        <f t="shared" si="49"/>
        <v>-</v>
      </c>
      <c r="CC51" s="54" t="str">
        <f t="shared" si="49"/>
        <v>-</v>
      </c>
      <c r="CD51" s="54" t="str">
        <f t="shared" si="49"/>
        <v>-</v>
      </c>
      <c r="CE51" s="54" t="str">
        <f t="shared" si="49"/>
        <v>-</v>
      </c>
      <c r="CF51" s="54" t="str">
        <f t="shared" si="49"/>
        <v>-</v>
      </c>
      <c r="CG51" s="139" t="str">
        <f t="shared" si="49"/>
        <v>-</v>
      </c>
      <c r="CH51" s="59">
        <f t="shared" si="49"/>
        <v>550</v>
      </c>
      <c r="CI51" s="54">
        <f t="shared" si="49"/>
        <v>548</v>
      </c>
      <c r="CJ51" s="54">
        <f t="shared" si="49"/>
        <v>543</v>
      </c>
      <c r="CK51" s="54">
        <f t="shared" si="49"/>
        <v>528</v>
      </c>
      <c r="CL51" s="54">
        <f t="shared" si="49"/>
        <v>514</v>
      </c>
      <c r="CM51" s="54">
        <f t="shared" si="49"/>
        <v>506</v>
      </c>
      <c r="CN51" s="54">
        <f t="shared" si="49"/>
        <v>498</v>
      </c>
      <c r="CO51" s="54">
        <f t="shared" si="49"/>
        <v>492</v>
      </c>
      <c r="CP51" s="54">
        <f t="shared" si="49"/>
        <v>486</v>
      </c>
      <c r="CQ51" s="54">
        <f t="shared" si="49"/>
        <v>476</v>
      </c>
      <c r="CR51" s="54">
        <f t="shared" si="49"/>
        <v>474</v>
      </c>
      <c r="CS51" s="54">
        <f t="shared" si="49"/>
        <v>464</v>
      </c>
      <c r="CT51" s="54">
        <f t="shared" si="49"/>
        <v>454</v>
      </c>
      <c r="CU51" s="54">
        <f t="shared" si="49"/>
        <v>444</v>
      </c>
      <c r="CV51" s="54">
        <f t="shared" si="49"/>
        <v>431</v>
      </c>
      <c r="CW51" s="54" t="str">
        <f t="shared" si="49"/>
        <v>-</v>
      </c>
      <c r="CX51" s="54" t="str">
        <f t="shared" si="49"/>
        <v>-</v>
      </c>
      <c r="CY51" s="54" t="str">
        <f t="shared" si="49"/>
        <v>-</v>
      </c>
      <c r="CZ51" s="54" t="str">
        <f t="shared" si="49"/>
        <v>-</v>
      </c>
      <c r="DA51" s="54" t="str">
        <f t="shared" si="49"/>
        <v>-</v>
      </c>
      <c r="DB51" s="54" t="str">
        <f t="shared" si="49"/>
        <v>-</v>
      </c>
      <c r="DC51" s="54" t="str">
        <f t="shared" si="49"/>
        <v>-</v>
      </c>
      <c r="DD51" s="54" t="str">
        <f t="shared" si="49"/>
        <v>-</v>
      </c>
      <c r="DE51" s="54" t="str">
        <f t="shared" si="49"/>
        <v>-</v>
      </c>
      <c r="DF51" s="54" t="str">
        <f t="shared" si="49"/>
        <v>-</v>
      </c>
      <c r="DG51" s="54" t="str">
        <f t="shared" si="49"/>
        <v>-</v>
      </c>
      <c r="DH51" s="54" t="str">
        <f t="shared" si="49"/>
        <v>-</v>
      </c>
      <c r="DI51" s="54" t="str">
        <f t="shared" si="49"/>
        <v>-</v>
      </c>
      <c r="DJ51" s="54" t="str">
        <f t="shared" si="49"/>
        <v>-</v>
      </c>
      <c r="DK51" s="54" t="str">
        <f t="shared" si="45"/>
        <v>-</v>
      </c>
      <c r="DL51" s="54" t="str">
        <f t="shared" si="40"/>
        <v>-</v>
      </c>
      <c r="DM51" s="54" t="str">
        <f t="shared" si="40"/>
        <v>-</v>
      </c>
      <c r="DN51" s="54" t="str">
        <f t="shared" si="40"/>
        <v>-</v>
      </c>
      <c r="DO51" s="54" t="str">
        <f t="shared" si="40"/>
        <v>-</v>
      </c>
      <c r="DP51" s="54" t="str">
        <f t="shared" si="40"/>
        <v>-</v>
      </c>
      <c r="DQ51" s="54" t="str">
        <f t="shared" si="40"/>
        <v>-</v>
      </c>
      <c r="DR51" s="64" t="str">
        <f t="shared" si="40"/>
        <v>-</v>
      </c>
    </row>
    <row r="52" spans="1:122">
      <c r="A52" s="87" t="s">
        <v>89</v>
      </c>
      <c r="B52" s="87"/>
      <c r="C52" s="53" t="str">
        <f t="shared" si="34"/>
        <v>bar</v>
      </c>
      <c r="D52" s="53" t="str">
        <f t="shared" si="34"/>
        <v>-</v>
      </c>
      <c r="E52" s="53">
        <f t="shared" si="34"/>
        <v>38</v>
      </c>
      <c r="F52" s="53" t="str">
        <f t="shared" si="41"/>
        <v>S5C</v>
      </c>
      <c r="G52" s="53" t="str">
        <f t="shared" si="41"/>
        <v>ASTM</v>
      </c>
      <c r="H52" s="72">
        <f t="shared" si="35"/>
        <v>760</v>
      </c>
      <c r="I52" s="48">
        <f t="shared" si="35"/>
        <v>620</v>
      </c>
      <c r="J52" s="53" t="str">
        <f>J51</f>
        <v>-</v>
      </c>
      <c r="K52" s="59" t="str">
        <f t="shared" si="36"/>
        <v>-</v>
      </c>
      <c r="L52" s="54" t="str">
        <f t="shared" si="36"/>
        <v>-</v>
      </c>
      <c r="M52" s="54" t="str">
        <f t="shared" si="36"/>
        <v>-</v>
      </c>
      <c r="N52" s="54" t="str">
        <f t="shared" si="36"/>
        <v>-</v>
      </c>
      <c r="O52" s="54" t="str">
        <f t="shared" si="36"/>
        <v>-</v>
      </c>
      <c r="P52" s="54" t="str">
        <f t="shared" ref="P52:AT52" si="50">P47</f>
        <v>-</v>
      </c>
      <c r="Q52" s="54" t="str">
        <f t="shared" si="50"/>
        <v>-</v>
      </c>
      <c r="R52" s="54" t="str">
        <f t="shared" si="50"/>
        <v>-</v>
      </c>
      <c r="S52" s="54" t="str">
        <f t="shared" si="50"/>
        <v>-</v>
      </c>
      <c r="T52" s="54" t="str">
        <f t="shared" si="50"/>
        <v>-</v>
      </c>
      <c r="U52" s="54" t="str">
        <f t="shared" si="50"/>
        <v>-</v>
      </c>
      <c r="V52" s="54" t="str">
        <f t="shared" si="50"/>
        <v>-</v>
      </c>
      <c r="W52" s="54" t="str">
        <f t="shared" si="50"/>
        <v>-</v>
      </c>
      <c r="X52" s="54" t="str">
        <f t="shared" si="50"/>
        <v>-</v>
      </c>
      <c r="Y52" s="54" t="str">
        <f t="shared" si="50"/>
        <v>-</v>
      </c>
      <c r="Z52" s="54" t="str">
        <f t="shared" si="50"/>
        <v>-</v>
      </c>
      <c r="AA52" s="54" t="str">
        <f t="shared" si="50"/>
        <v>-</v>
      </c>
      <c r="AB52" s="54" t="str">
        <f t="shared" si="50"/>
        <v>-</v>
      </c>
      <c r="AC52" s="54" t="str">
        <f t="shared" si="50"/>
        <v>-</v>
      </c>
      <c r="AD52" s="54" t="str">
        <f t="shared" si="50"/>
        <v>-</v>
      </c>
      <c r="AE52" s="54" t="str">
        <f t="shared" si="50"/>
        <v>-</v>
      </c>
      <c r="AF52" s="54" t="str">
        <f t="shared" si="50"/>
        <v>-</v>
      </c>
      <c r="AG52" s="54" t="str">
        <f t="shared" si="50"/>
        <v>-</v>
      </c>
      <c r="AH52" s="54" t="str">
        <f t="shared" si="50"/>
        <v>-</v>
      </c>
      <c r="AI52" s="54" t="str">
        <f t="shared" si="50"/>
        <v>-</v>
      </c>
      <c r="AJ52" s="54" t="str">
        <f t="shared" si="50"/>
        <v>-</v>
      </c>
      <c r="AK52" s="54" t="str">
        <f t="shared" si="50"/>
        <v>-</v>
      </c>
      <c r="AL52" s="54" t="str">
        <f t="shared" si="50"/>
        <v>-</v>
      </c>
      <c r="AM52" s="54" t="str">
        <f t="shared" si="50"/>
        <v>-</v>
      </c>
      <c r="AN52" s="54" t="str">
        <f t="shared" si="50"/>
        <v>-</v>
      </c>
      <c r="AO52" s="54" t="str">
        <f t="shared" si="50"/>
        <v>-</v>
      </c>
      <c r="AP52" s="54" t="str">
        <f t="shared" si="50"/>
        <v>-</v>
      </c>
      <c r="AQ52" s="54" t="str">
        <f t="shared" si="50"/>
        <v>-</v>
      </c>
      <c r="AR52" s="54" t="str">
        <f t="shared" si="50"/>
        <v>-</v>
      </c>
      <c r="AS52" s="54" t="str">
        <f t="shared" si="50"/>
        <v>-</v>
      </c>
      <c r="AT52" s="54" t="str">
        <f t="shared" si="50"/>
        <v>-</v>
      </c>
      <c r="AU52" s="64" t="str">
        <f>AU47</f>
        <v>-</v>
      </c>
      <c r="AV52" s="57" t="str">
        <f t="shared" si="33"/>
        <v>ASTM</v>
      </c>
      <c r="AW52" s="59">
        <f t="shared" si="43"/>
        <v>760</v>
      </c>
      <c r="AX52" s="54">
        <f t="shared" si="43"/>
        <v>760</v>
      </c>
      <c r="AY52" s="54">
        <f t="shared" ref="AY52:DJ52" si="51">AY47</f>
        <v>760</v>
      </c>
      <c r="AZ52" s="54">
        <f t="shared" si="51"/>
        <v>760</v>
      </c>
      <c r="BA52" s="54">
        <f t="shared" si="51"/>
        <v>760</v>
      </c>
      <c r="BB52" s="54">
        <f t="shared" si="51"/>
        <v>760</v>
      </c>
      <c r="BC52" s="54">
        <f t="shared" si="51"/>
        <v>760</v>
      </c>
      <c r="BD52" s="54">
        <f t="shared" si="51"/>
        <v>760</v>
      </c>
      <c r="BE52" s="54">
        <f t="shared" si="51"/>
        <v>760</v>
      </c>
      <c r="BF52" s="54">
        <f t="shared" si="51"/>
        <v>760</v>
      </c>
      <c r="BG52" s="54">
        <f t="shared" si="51"/>
        <v>760</v>
      </c>
      <c r="BH52" s="54">
        <f t="shared" si="51"/>
        <v>760</v>
      </c>
      <c r="BI52" s="54">
        <f t="shared" si="51"/>
        <v>760</v>
      </c>
      <c r="BJ52" s="54">
        <f t="shared" si="51"/>
        <v>760</v>
      </c>
      <c r="BK52" s="54">
        <f t="shared" si="51"/>
        <v>760</v>
      </c>
      <c r="BL52" s="54" t="str">
        <f t="shared" si="51"/>
        <v>-</v>
      </c>
      <c r="BM52" s="54" t="str">
        <f t="shared" si="51"/>
        <v>-</v>
      </c>
      <c r="BN52" s="54" t="str">
        <f t="shared" si="51"/>
        <v>-</v>
      </c>
      <c r="BO52" s="54" t="str">
        <f t="shared" si="51"/>
        <v>-</v>
      </c>
      <c r="BP52" s="54" t="str">
        <f t="shared" si="51"/>
        <v>-</v>
      </c>
      <c r="BQ52" s="54" t="str">
        <f t="shared" si="51"/>
        <v>-</v>
      </c>
      <c r="BR52" s="54" t="str">
        <f t="shared" si="51"/>
        <v>-</v>
      </c>
      <c r="BS52" s="54" t="str">
        <f t="shared" si="51"/>
        <v>-</v>
      </c>
      <c r="BT52" s="54" t="str">
        <f t="shared" si="51"/>
        <v>-</v>
      </c>
      <c r="BU52" s="54" t="str">
        <f t="shared" si="51"/>
        <v>-</v>
      </c>
      <c r="BV52" s="54" t="str">
        <f t="shared" si="51"/>
        <v>-</v>
      </c>
      <c r="BW52" s="54" t="str">
        <f t="shared" si="51"/>
        <v>-</v>
      </c>
      <c r="BX52" s="54" t="str">
        <f t="shared" si="51"/>
        <v>-</v>
      </c>
      <c r="BY52" s="54" t="str">
        <f t="shared" si="51"/>
        <v>-</v>
      </c>
      <c r="BZ52" s="54" t="str">
        <f t="shared" si="51"/>
        <v>-</v>
      </c>
      <c r="CA52" s="54" t="str">
        <f t="shared" si="51"/>
        <v>-</v>
      </c>
      <c r="CB52" s="54" t="str">
        <f t="shared" si="51"/>
        <v>-</v>
      </c>
      <c r="CC52" s="54" t="str">
        <f t="shared" si="51"/>
        <v>-</v>
      </c>
      <c r="CD52" s="54" t="str">
        <f t="shared" si="51"/>
        <v>-</v>
      </c>
      <c r="CE52" s="54" t="str">
        <f t="shared" si="51"/>
        <v>-</v>
      </c>
      <c r="CF52" s="54" t="str">
        <f t="shared" si="51"/>
        <v>-</v>
      </c>
      <c r="CG52" s="139" t="str">
        <f t="shared" si="51"/>
        <v>-</v>
      </c>
      <c r="CH52" s="59">
        <f t="shared" si="51"/>
        <v>620</v>
      </c>
      <c r="CI52" s="54">
        <f t="shared" si="51"/>
        <v>618</v>
      </c>
      <c r="CJ52" s="54">
        <f t="shared" si="51"/>
        <v>612</v>
      </c>
      <c r="CK52" s="54">
        <f t="shared" si="51"/>
        <v>594</v>
      </c>
      <c r="CL52" s="54">
        <f t="shared" si="51"/>
        <v>578</v>
      </c>
      <c r="CM52" s="54">
        <f t="shared" si="51"/>
        <v>596</v>
      </c>
      <c r="CN52" s="54">
        <f t="shared" si="51"/>
        <v>561</v>
      </c>
      <c r="CO52" s="54">
        <f t="shared" si="51"/>
        <v>553</v>
      </c>
      <c r="CP52" s="54">
        <f t="shared" si="51"/>
        <v>546</v>
      </c>
      <c r="CQ52" s="54">
        <f t="shared" si="51"/>
        <v>535</v>
      </c>
      <c r="CR52" s="54">
        <f t="shared" si="51"/>
        <v>533</v>
      </c>
      <c r="CS52" s="54">
        <f t="shared" si="51"/>
        <v>522</v>
      </c>
      <c r="CT52" s="54">
        <f t="shared" si="51"/>
        <v>512</v>
      </c>
      <c r="CU52" s="54">
        <f t="shared" si="51"/>
        <v>500</v>
      </c>
      <c r="CV52" s="54">
        <f t="shared" si="51"/>
        <v>486</v>
      </c>
      <c r="CW52" s="54" t="str">
        <f t="shared" si="51"/>
        <v>-</v>
      </c>
      <c r="CX52" s="54" t="str">
        <f t="shared" si="51"/>
        <v>-</v>
      </c>
      <c r="CY52" s="54" t="str">
        <f t="shared" si="51"/>
        <v>-</v>
      </c>
      <c r="CZ52" s="54" t="str">
        <f t="shared" si="51"/>
        <v>-</v>
      </c>
      <c r="DA52" s="54" t="str">
        <f t="shared" si="51"/>
        <v>-</v>
      </c>
      <c r="DB52" s="54" t="str">
        <f t="shared" si="51"/>
        <v>-</v>
      </c>
      <c r="DC52" s="54" t="str">
        <f t="shared" si="51"/>
        <v>-</v>
      </c>
      <c r="DD52" s="54" t="str">
        <f t="shared" si="51"/>
        <v>-</v>
      </c>
      <c r="DE52" s="54" t="str">
        <f t="shared" si="51"/>
        <v>-</v>
      </c>
      <c r="DF52" s="54" t="str">
        <f t="shared" si="51"/>
        <v>-</v>
      </c>
      <c r="DG52" s="54" t="str">
        <f t="shared" si="51"/>
        <v>-</v>
      </c>
      <c r="DH52" s="54" t="str">
        <f t="shared" si="51"/>
        <v>-</v>
      </c>
      <c r="DI52" s="54" t="str">
        <f t="shared" si="51"/>
        <v>-</v>
      </c>
      <c r="DJ52" s="54" t="str">
        <f t="shared" si="51"/>
        <v>-</v>
      </c>
      <c r="DK52" s="54" t="str">
        <f t="shared" si="45"/>
        <v>-</v>
      </c>
      <c r="DL52" s="54" t="str">
        <f t="shared" si="40"/>
        <v>-</v>
      </c>
      <c r="DM52" s="54" t="str">
        <f t="shared" si="40"/>
        <v>-</v>
      </c>
      <c r="DN52" s="54" t="str">
        <f t="shared" si="40"/>
        <v>-</v>
      </c>
      <c r="DO52" s="54" t="str">
        <f t="shared" si="40"/>
        <v>-</v>
      </c>
      <c r="DP52" s="54" t="str">
        <f t="shared" si="40"/>
        <v>-</v>
      </c>
      <c r="DQ52" s="54" t="str">
        <f t="shared" si="40"/>
        <v>-</v>
      </c>
      <c r="DR52" s="64" t="str">
        <f t="shared" si="40"/>
        <v>-</v>
      </c>
    </row>
    <row r="53" spans="1:122">
      <c r="A53" s="87" t="s">
        <v>91</v>
      </c>
      <c r="B53" s="87"/>
      <c r="C53" s="53" t="str">
        <f>C43</f>
        <v>bar</v>
      </c>
      <c r="D53" s="53">
        <f t="shared" ref="D53:E57" si="52">D48</f>
        <v>175</v>
      </c>
      <c r="E53" s="53">
        <f t="shared" si="52"/>
        <v>238</v>
      </c>
      <c r="F53" s="53" t="s">
        <v>92</v>
      </c>
      <c r="G53" s="53" t="s">
        <v>17</v>
      </c>
      <c r="H53" s="72">
        <f t="shared" ref="H53:I57" si="53">H43</f>
        <v>620</v>
      </c>
      <c r="I53" s="48">
        <f t="shared" si="53"/>
        <v>450</v>
      </c>
      <c r="J53" s="53" t="s">
        <v>16</v>
      </c>
      <c r="K53" s="59" t="str">
        <f t="shared" ref="K53:V53" si="54">K43</f>
        <v>-</v>
      </c>
      <c r="L53" s="54" t="str">
        <f t="shared" si="54"/>
        <v>-</v>
      </c>
      <c r="M53" s="54" t="str">
        <f t="shared" si="54"/>
        <v>-</v>
      </c>
      <c r="N53" s="54" t="str">
        <f t="shared" si="54"/>
        <v>-</v>
      </c>
      <c r="O53" s="54" t="str">
        <f t="shared" si="54"/>
        <v>-</v>
      </c>
      <c r="P53" s="54" t="str">
        <f t="shared" si="54"/>
        <v>-</v>
      </c>
      <c r="Q53" s="54" t="str">
        <f t="shared" si="54"/>
        <v>-</v>
      </c>
      <c r="R53" s="54" t="str">
        <f t="shared" si="54"/>
        <v>-</v>
      </c>
      <c r="S53" s="54" t="str">
        <f t="shared" si="54"/>
        <v>-</v>
      </c>
      <c r="T53" s="54" t="str">
        <f t="shared" si="54"/>
        <v>-</v>
      </c>
      <c r="U53" s="54" t="str">
        <f t="shared" si="54"/>
        <v>-</v>
      </c>
      <c r="V53" s="54" t="str">
        <f t="shared" si="54"/>
        <v>-</v>
      </c>
      <c r="W53" s="54" t="str">
        <f t="shared" ref="W53:AU53" si="55">W43</f>
        <v>-</v>
      </c>
      <c r="X53" s="54" t="str">
        <f t="shared" si="55"/>
        <v>-</v>
      </c>
      <c r="Y53" s="54" t="str">
        <f t="shared" si="55"/>
        <v>-</v>
      </c>
      <c r="Z53" s="54" t="str">
        <f t="shared" si="55"/>
        <v>-</v>
      </c>
      <c r="AA53" s="54" t="str">
        <f t="shared" si="55"/>
        <v>-</v>
      </c>
      <c r="AB53" s="54" t="str">
        <f t="shared" si="55"/>
        <v>-</v>
      </c>
      <c r="AC53" s="54" t="str">
        <f t="shared" si="55"/>
        <v>-</v>
      </c>
      <c r="AD53" s="54" t="str">
        <f t="shared" si="55"/>
        <v>-</v>
      </c>
      <c r="AE53" s="54" t="str">
        <f t="shared" si="55"/>
        <v>-</v>
      </c>
      <c r="AF53" s="54" t="str">
        <f t="shared" si="55"/>
        <v>-</v>
      </c>
      <c r="AG53" s="54" t="str">
        <f t="shared" si="55"/>
        <v>-</v>
      </c>
      <c r="AH53" s="54" t="str">
        <f t="shared" si="55"/>
        <v>-</v>
      </c>
      <c r="AI53" s="54" t="str">
        <f t="shared" si="55"/>
        <v>-</v>
      </c>
      <c r="AJ53" s="54" t="str">
        <f t="shared" si="55"/>
        <v>-</v>
      </c>
      <c r="AK53" s="54" t="str">
        <f t="shared" si="55"/>
        <v>-</v>
      </c>
      <c r="AL53" s="54" t="str">
        <f t="shared" si="55"/>
        <v>-</v>
      </c>
      <c r="AM53" s="54" t="str">
        <f t="shared" si="55"/>
        <v>-</v>
      </c>
      <c r="AN53" s="54" t="str">
        <f t="shared" si="55"/>
        <v>-</v>
      </c>
      <c r="AO53" s="54" t="str">
        <f t="shared" si="55"/>
        <v>-</v>
      </c>
      <c r="AP53" s="54" t="str">
        <f t="shared" si="55"/>
        <v>-</v>
      </c>
      <c r="AQ53" s="54" t="str">
        <f t="shared" si="55"/>
        <v>-</v>
      </c>
      <c r="AR53" s="54" t="str">
        <f t="shared" si="55"/>
        <v>-</v>
      </c>
      <c r="AS53" s="54" t="str">
        <f t="shared" si="55"/>
        <v>-</v>
      </c>
      <c r="AT53" s="54" t="str">
        <f t="shared" si="55"/>
        <v>-</v>
      </c>
      <c r="AU53" s="64" t="str">
        <f t="shared" si="55"/>
        <v>-</v>
      </c>
      <c r="AV53" s="57" t="str">
        <f t="shared" si="33"/>
        <v>ASTM</v>
      </c>
      <c r="AW53" s="59">
        <f t="shared" si="43"/>
        <v>620</v>
      </c>
      <c r="AX53" s="54">
        <f t="shared" si="43"/>
        <v>620</v>
      </c>
      <c r="AY53" s="54">
        <f t="shared" ref="AY53:DJ53" si="56">AY48</f>
        <v>620</v>
      </c>
      <c r="AZ53" s="54">
        <f t="shared" si="56"/>
        <v>620</v>
      </c>
      <c r="BA53" s="54">
        <f t="shared" si="56"/>
        <v>620</v>
      </c>
      <c r="BB53" s="54">
        <f t="shared" si="56"/>
        <v>620</v>
      </c>
      <c r="BC53" s="54">
        <f t="shared" si="56"/>
        <v>620</v>
      </c>
      <c r="BD53" s="54">
        <f t="shared" si="56"/>
        <v>620</v>
      </c>
      <c r="BE53" s="54">
        <f t="shared" si="56"/>
        <v>620</v>
      </c>
      <c r="BF53" s="54">
        <f t="shared" si="56"/>
        <v>620</v>
      </c>
      <c r="BG53" s="54">
        <f t="shared" si="56"/>
        <v>620</v>
      </c>
      <c r="BH53" s="54">
        <f t="shared" si="56"/>
        <v>620</v>
      </c>
      <c r="BI53" s="54">
        <f t="shared" si="56"/>
        <v>620</v>
      </c>
      <c r="BJ53" s="54">
        <f t="shared" si="56"/>
        <v>620</v>
      </c>
      <c r="BK53" s="54">
        <f t="shared" si="56"/>
        <v>620</v>
      </c>
      <c r="BL53" s="54" t="str">
        <f t="shared" si="56"/>
        <v>-</v>
      </c>
      <c r="BM53" s="54" t="str">
        <f t="shared" si="56"/>
        <v>-</v>
      </c>
      <c r="BN53" s="54" t="str">
        <f t="shared" si="56"/>
        <v>-</v>
      </c>
      <c r="BO53" s="54" t="str">
        <f t="shared" si="56"/>
        <v>-</v>
      </c>
      <c r="BP53" s="54" t="str">
        <f t="shared" si="56"/>
        <v>-</v>
      </c>
      <c r="BQ53" s="54" t="str">
        <f t="shared" si="56"/>
        <v>-</v>
      </c>
      <c r="BR53" s="54" t="str">
        <f t="shared" si="56"/>
        <v>-</v>
      </c>
      <c r="BS53" s="54" t="str">
        <f t="shared" si="56"/>
        <v>-</v>
      </c>
      <c r="BT53" s="54" t="str">
        <f t="shared" si="56"/>
        <v>-</v>
      </c>
      <c r="BU53" s="54" t="str">
        <f t="shared" si="56"/>
        <v>-</v>
      </c>
      <c r="BV53" s="54" t="str">
        <f t="shared" si="56"/>
        <v>-</v>
      </c>
      <c r="BW53" s="54" t="str">
        <f t="shared" si="56"/>
        <v>-</v>
      </c>
      <c r="BX53" s="54" t="str">
        <f t="shared" si="56"/>
        <v>-</v>
      </c>
      <c r="BY53" s="54" t="str">
        <f t="shared" si="56"/>
        <v>-</v>
      </c>
      <c r="BZ53" s="54" t="str">
        <f t="shared" si="56"/>
        <v>-</v>
      </c>
      <c r="CA53" s="54" t="str">
        <f t="shared" si="56"/>
        <v>-</v>
      </c>
      <c r="CB53" s="54" t="str">
        <f t="shared" si="56"/>
        <v>-</v>
      </c>
      <c r="CC53" s="54" t="str">
        <f t="shared" si="56"/>
        <v>-</v>
      </c>
      <c r="CD53" s="54" t="str">
        <f t="shared" si="56"/>
        <v>-</v>
      </c>
      <c r="CE53" s="54" t="str">
        <f t="shared" si="56"/>
        <v>-</v>
      </c>
      <c r="CF53" s="54" t="str">
        <f t="shared" si="56"/>
        <v>-</v>
      </c>
      <c r="CG53" s="139" t="str">
        <f t="shared" si="56"/>
        <v>-</v>
      </c>
      <c r="CH53" s="59">
        <f t="shared" si="56"/>
        <v>450</v>
      </c>
      <c r="CI53" s="54">
        <f t="shared" si="56"/>
        <v>548</v>
      </c>
      <c r="CJ53" s="54">
        <f t="shared" si="56"/>
        <v>443</v>
      </c>
      <c r="CK53" s="54">
        <f t="shared" si="56"/>
        <v>432</v>
      </c>
      <c r="CL53" s="54">
        <f t="shared" si="56"/>
        <v>417</v>
      </c>
      <c r="CM53" s="54">
        <f t="shared" si="56"/>
        <v>411</v>
      </c>
      <c r="CN53" s="54">
        <f t="shared" si="56"/>
        <v>404</v>
      </c>
      <c r="CO53" s="54">
        <f t="shared" si="56"/>
        <v>399</v>
      </c>
      <c r="CP53" s="54">
        <f t="shared" si="56"/>
        <v>395</v>
      </c>
      <c r="CQ53" s="54">
        <f t="shared" si="56"/>
        <v>387</v>
      </c>
      <c r="CR53" s="54">
        <f t="shared" si="56"/>
        <v>385</v>
      </c>
      <c r="CS53" s="54">
        <f t="shared" si="56"/>
        <v>377</v>
      </c>
      <c r="CT53" s="54">
        <f t="shared" si="56"/>
        <v>369</v>
      </c>
      <c r="CU53" s="54">
        <f t="shared" si="56"/>
        <v>361</v>
      </c>
      <c r="CV53" s="54">
        <f t="shared" si="56"/>
        <v>351</v>
      </c>
      <c r="CW53" s="54" t="str">
        <f t="shared" si="56"/>
        <v>-</v>
      </c>
      <c r="CX53" s="54" t="str">
        <f t="shared" si="56"/>
        <v>-</v>
      </c>
      <c r="CY53" s="54" t="str">
        <f t="shared" si="56"/>
        <v>-</v>
      </c>
      <c r="CZ53" s="54" t="str">
        <f t="shared" si="56"/>
        <v>-</v>
      </c>
      <c r="DA53" s="54" t="str">
        <f t="shared" si="56"/>
        <v>-</v>
      </c>
      <c r="DB53" s="54" t="str">
        <f t="shared" si="56"/>
        <v>-</v>
      </c>
      <c r="DC53" s="54" t="str">
        <f t="shared" si="56"/>
        <v>-</v>
      </c>
      <c r="DD53" s="54" t="str">
        <f t="shared" si="56"/>
        <v>-</v>
      </c>
      <c r="DE53" s="54" t="str">
        <f t="shared" si="56"/>
        <v>-</v>
      </c>
      <c r="DF53" s="54" t="str">
        <f t="shared" si="56"/>
        <v>-</v>
      </c>
      <c r="DG53" s="54" t="str">
        <f t="shared" si="56"/>
        <v>-</v>
      </c>
      <c r="DH53" s="54" t="str">
        <f t="shared" si="56"/>
        <v>-</v>
      </c>
      <c r="DI53" s="54" t="str">
        <f t="shared" si="56"/>
        <v>-</v>
      </c>
      <c r="DJ53" s="54" t="str">
        <f t="shared" si="56"/>
        <v>-</v>
      </c>
      <c r="DK53" s="54" t="str">
        <f t="shared" si="45"/>
        <v>-</v>
      </c>
      <c r="DL53" s="54" t="str">
        <f t="shared" si="40"/>
        <v>-</v>
      </c>
      <c r="DM53" s="54" t="str">
        <f t="shared" si="40"/>
        <v>-</v>
      </c>
      <c r="DN53" s="54" t="str">
        <f t="shared" si="40"/>
        <v>-</v>
      </c>
      <c r="DO53" s="54" t="str">
        <f t="shared" si="40"/>
        <v>-</v>
      </c>
      <c r="DP53" s="54" t="str">
        <f t="shared" si="40"/>
        <v>-</v>
      </c>
      <c r="DQ53" s="54" t="str">
        <f t="shared" si="40"/>
        <v>-</v>
      </c>
      <c r="DR53" s="64" t="str">
        <f t="shared" si="40"/>
        <v>-</v>
      </c>
    </row>
    <row r="54" spans="1:122">
      <c r="A54" s="87" t="s">
        <v>91</v>
      </c>
      <c r="B54" s="87"/>
      <c r="C54" s="53" t="str">
        <f>C44</f>
        <v>bar</v>
      </c>
      <c r="D54" s="53">
        <f t="shared" si="52"/>
        <v>107</v>
      </c>
      <c r="E54" s="53">
        <f t="shared" si="52"/>
        <v>175</v>
      </c>
      <c r="F54" s="53" t="str">
        <f t="shared" ref="F54:G57" si="57">F53</f>
        <v>S5A</v>
      </c>
      <c r="G54" s="53" t="str">
        <f t="shared" si="57"/>
        <v>ASTM</v>
      </c>
      <c r="H54" s="72">
        <f t="shared" si="53"/>
        <v>660</v>
      </c>
      <c r="I54" s="48">
        <f t="shared" si="53"/>
        <v>520</v>
      </c>
      <c r="J54" s="53" t="s">
        <v>16</v>
      </c>
      <c r="K54" s="59" t="str">
        <f t="shared" ref="K54:V54" si="58">K44</f>
        <v>-</v>
      </c>
      <c r="L54" s="54" t="str">
        <f t="shared" si="58"/>
        <v>-</v>
      </c>
      <c r="M54" s="54" t="str">
        <f t="shared" si="58"/>
        <v>-</v>
      </c>
      <c r="N54" s="54" t="str">
        <f t="shared" si="58"/>
        <v>-</v>
      </c>
      <c r="O54" s="54" t="str">
        <f t="shared" si="58"/>
        <v>-</v>
      </c>
      <c r="P54" s="54" t="str">
        <f t="shared" si="58"/>
        <v>-</v>
      </c>
      <c r="Q54" s="54" t="str">
        <f t="shared" si="58"/>
        <v>-</v>
      </c>
      <c r="R54" s="54" t="str">
        <f t="shared" si="58"/>
        <v>-</v>
      </c>
      <c r="S54" s="54" t="str">
        <f t="shared" si="58"/>
        <v>-</v>
      </c>
      <c r="T54" s="54" t="str">
        <f t="shared" si="58"/>
        <v>-</v>
      </c>
      <c r="U54" s="54" t="str">
        <f t="shared" si="58"/>
        <v>-</v>
      </c>
      <c r="V54" s="54" t="str">
        <f t="shared" si="58"/>
        <v>-</v>
      </c>
      <c r="W54" s="54" t="str">
        <f t="shared" ref="W54:AU54" si="59">W44</f>
        <v>-</v>
      </c>
      <c r="X54" s="54" t="str">
        <f t="shared" si="59"/>
        <v>-</v>
      </c>
      <c r="Y54" s="54" t="str">
        <f t="shared" si="59"/>
        <v>-</v>
      </c>
      <c r="Z54" s="54" t="str">
        <f t="shared" si="59"/>
        <v>-</v>
      </c>
      <c r="AA54" s="54" t="str">
        <f t="shared" si="59"/>
        <v>-</v>
      </c>
      <c r="AB54" s="54" t="str">
        <f t="shared" si="59"/>
        <v>-</v>
      </c>
      <c r="AC54" s="54" t="str">
        <f t="shared" si="59"/>
        <v>-</v>
      </c>
      <c r="AD54" s="54" t="str">
        <f t="shared" si="59"/>
        <v>-</v>
      </c>
      <c r="AE54" s="54" t="str">
        <f t="shared" si="59"/>
        <v>-</v>
      </c>
      <c r="AF54" s="54" t="str">
        <f t="shared" si="59"/>
        <v>-</v>
      </c>
      <c r="AG54" s="54" t="str">
        <f t="shared" si="59"/>
        <v>-</v>
      </c>
      <c r="AH54" s="54" t="str">
        <f t="shared" si="59"/>
        <v>-</v>
      </c>
      <c r="AI54" s="54" t="str">
        <f t="shared" si="59"/>
        <v>-</v>
      </c>
      <c r="AJ54" s="54" t="str">
        <f t="shared" si="59"/>
        <v>-</v>
      </c>
      <c r="AK54" s="54" t="str">
        <f t="shared" si="59"/>
        <v>-</v>
      </c>
      <c r="AL54" s="54" t="str">
        <f t="shared" si="59"/>
        <v>-</v>
      </c>
      <c r="AM54" s="54" t="str">
        <f t="shared" si="59"/>
        <v>-</v>
      </c>
      <c r="AN54" s="54" t="str">
        <f t="shared" si="59"/>
        <v>-</v>
      </c>
      <c r="AO54" s="54" t="str">
        <f t="shared" si="59"/>
        <v>-</v>
      </c>
      <c r="AP54" s="54" t="str">
        <f t="shared" si="59"/>
        <v>-</v>
      </c>
      <c r="AQ54" s="54" t="str">
        <f t="shared" si="59"/>
        <v>-</v>
      </c>
      <c r="AR54" s="54" t="str">
        <f t="shared" si="59"/>
        <v>-</v>
      </c>
      <c r="AS54" s="54" t="str">
        <f t="shared" si="59"/>
        <v>-</v>
      </c>
      <c r="AT54" s="54" t="str">
        <f t="shared" si="59"/>
        <v>-</v>
      </c>
      <c r="AU54" s="64" t="str">
        <f t="shared" si="59"/>
        <v>-</v>
      </c>
      <c r="AV54" s="57" t="str">
        <f t="shared" si="33"/>
        <v>ASTM</v>
      </c>
      <c r="AW54" s="59">
        <f t="shared" si="43"/>
        <v>660</v>
      </c>
      <c r="AX54" s="54">
        <f t="shared" si="43"/>
        <v>660</v>
      </c>
      <c r="AY54" s="54">
        <f t="shared" ref="AY54:DJ54" si="60">AY49</f>
        <v>660</v>
      </c>
      <c r="AZ54" s="54">
        <f t="shared" si="60"/>
        <v>660</v>
      </c>
      <c r="BA54" s="54">
        <f t="shared" si="60"/>
        <v>660</v>
      </c>
      <c r="BB54" s="54">
        <f t="shared" si="60"/>
        <v>660</v>
      </c>
      <c r="BC54" s="54">
        <f t="shared" si="60"/>
        <v>660</v>
      </c>
      <c r="BD54" s="54">
        <f t="shared" si="60"/>
        <v>660</v>
      </c>
      <c r="BE54" s="54">
        <f t="shared" si="60"/>
        <v>660</v>
      </c>
      <c r="BF54" s="54">
        <f t="shared" si="60"/>
        <v>660</v>
      </c>
      <c r="BG54" s="54">
        <f t="shared" si="60"/>
        <v>660</v>
      </c>
      <c r="BH54" s="54">
        <f t="shared" si="60"/>
        <v>660</v>
      </c>
      <c r="BI54" s="54">
        <f t="shared" si="60"/>
        <v>660</v>
      </c>
      <c r="BJ54" s="54">
        <f t="shared" si="60"/>
        <v>660</v>
      </c>
      <c r="BK54" s="54">
        <f t="shared" si="60"/>
        <v>660</v>
      </c>
      <c r="BL54" s="54" t="str">
        <f t="shared" si="60"/>
        <v>-</v>
      </c>
      <c r="BM54" s="54" t="str">
        <f t="shared" si="60"/>
        <v>-</v>
      </c>
      <c r="BN54" s="54" t="str">
        <f t="shared" si="60"/>
        <v>-</v>
      </c>
      <c r="BO54" s="54" t="str">
        <f t="shared" si="60"/>
        <v>-</v>
      </c>
      <c r="BP54" s="54" t="str">
        <f t="shared" si="60"/>
        <v>-</v>
      </c>
      <c r="BQ54" s="54" t="str">
        <f t="shared" si="60"/>
        <v>-</v>
      </c>
      <c r="BR54" s="54" t="str">
        <f t="shared" si="60"/>
        <v>-</v>
      </c>
      <c r="BS54" s="54" t="str">
        <f t="shared" si="60"/>
        <v>-</v>
      </c>
      <c r="BT54" s="54" t="str">
        <f t="shared" si="60"/>
        <v>-</v>
      </c>
      <c r="BU54" s="54" t="str">
        <f t="shared" si="60"/>
        <v>-</v>
      </c>
      <c r="BV54" s="54" t="str">
        <f t="shared" si="60"/>
        <v>-</v>
      </c>
      <c r="BW54" s="54" t="str">
        <f t="shared" si="60"/>
        <v>-</v>
      </c>
      <c r="BX54" s="54" t="str">
        <f t="shared" si="60"/>
        <v>-</v>
      </c>
      <c r="BY54" s="54" t="str">
        <f t="shared" si="60"/>
        <v>-</v>
      </c>
      <c r="BZ54" s="54" t="str">
        <f t="shared" si="60"/>
        <v>-</v>
      </c>
      <c r="CA54" s="54" t="str">
        <f t="shared" si="60"/>
        <v>-</v>
      </c>
      <c r="CB54" s="54" t="str">
        <f t="shared" si="60"/>
        <v>-</v>
      </c>
      <c r="CC54" s="54" t="str">
        <f t="shared" si="60"/>
        <v>-</v>
      </c>
      <c r="CD54" s="54" t="str">
        <f t="shared" si="60"/>
        <v>-</v>
      </c>
      <c r="CE54" s="54" t="str">
        <f t="shared" si="60"/>
        <v>-</v>
      </c>
      <c r="CF54" s="54" t="str">
        <f t="shared" si="60"/>
        <v>-</v>
      </c>
      <c r="CG54" s="139" t="str">
        <f t="shared" si="60"/>
        <v>-</v>
      </c>
      <c r="CH54" s="59">
        <f t="shared" si="60"/>
        <v>520</v>
      </c>
      <c r="CI54" s="54">
        <f t="shared" si="60"/>
        <v>518</v>
      </c>
      <c r="CJ54" s="54">
        <f t="shared" si="60"/>
        <v>512</v>
      </c>
      <c r="CK54" s="54">
        <f t="shared" si="60"/>
        <v>496</v>
      </c>
      <c r="CL54" s="54">
        <f t="shared" si="60"/>
        <v>482</v>
      </c>
      <c r="CM54" s="54">
        <f t="shared" si="60"/>
        <v>474</v>
      </c>
      <c r="CN54" s="54">
        <f t="shared" si="60"/>
        <v>467</v>
      </c>
      <c r="CO54" s="54">
        <f t="shared" si="60"/>
        <v>461</v>
      </c>
      <c r="CP54" s="54">
        <f t="shared" si="60"/>
        <v>455</v>
      </c>
      <c r="CQ54" s="54">
        <f t="shared" si="60"/>
        <v>446</v>
      </c>
      <c r="CR54" s="54">
        <f t="shared" si="60"/>
        <v>444</v>
      </c>
      <c r="CS54" s="54">
        <f t="shared" si="60"/>
        <v>435</v>
      </c>
      <c r="CT54" s="54">
        <f t="shared" si="60"/>
        <v>426</v>
      </c>
      <c r="CU54" s="54">
        <f t="shared" si="60"/>
        <v>416</v>
      </c>
      <c r="CV54" s="54">
        <f t="shared" si="60"/>
        <v>405</v>
      </c>
      <c r="CW54" s="54" t="str">
        <f t="shared" si="60"/>
        <v>-</v>
      </c>
      <c r="CX54" s="54" t="str">
        <f t="shared" si="60"/>
        <v>-</v>
      </c>
      <c r="CY54" s="54" t="str">
        <f t="shared" si="60"/>
        <v>-</v>
      </c>
      <c r="CZ54" s="54" t="str">
        <f t="shared" si="60"/>
        <v>-</v>
      </c>
      <c r="DA54" s="54" t="str">
        <f t="shared" si="60"/>
        <v>-</v>
      </c>
      <c r="DB54" s="54" t="str">
        <f t="shared" si="60"/>
        <v>-</v>
      </c>
      <c r="DC54" s="54" t="str">
        <f t="shared" si="60"/>
        <v>-</v>
      </c>
      <c r="DD54" s="54" t="str">
        <f t="shared" si="60"/>
        <v>-</v>
      </c>
      <c r="DE54" s="54" t="str">
        <f t="shared" si="60"/>
        <v>-</v>
      </c>
      <c r="DF54" s="54" t="str">
        <f t="shared" si="60"/>
        <v>-</v>
      </c>
      <c r="DG54" s="54" t="str">
        <f t="shared" si="60"/>
        <v>-</v>
      </c>
      <c r="DH54" s="54" t="str">
        <f t="shared" si="60"/>
        <v>-</v>
      </c>
      <c r="DI54" s="54" t="str">
        <f t="shared" si="60"/>
        <v>-</v>
      </c>
      <c r="DJ54" s="54" t="str">
        <f t="shared" si="60"/>
        <v>-</v>
      </c>
      <c r="DK54" s="54" t="str">
        <f t="shared" si="45"/>
        <v>-</v>
      </c>
      <c r="DL54" s="54" t="str">
        <f t="shared" si="40"/>
        <v>-</v>
      </c>
      <c r="DM54" s="54" t="str">
        <f t="shared" si="40"/>
        <v>-</v>
      </c>
      <c r="DN54" s="54" t="str">
        <f t="shared" si="40"/>
        <v>-</v>
      </c>
      <c r="DO54" s="54" t="str">
        <f t="shared" si="40"/>
        <v>-</v>
      </c>
      <c r="DP54" s="54" t="str">
        <f t="shared" si="40"/>
        <v>-</v>
      </c>
      <c r="DQ54" s="54" t="str">
        <f t="shared" si="40"/>
        <v>-</v>
      </c>
      <c r="DR54" s="64" t="str">
        <f t="shared" si="40"/>
        <v>-</v>
      </c>
    </row>
    <row r="55" spans="1:122">
      <c r="A55" s="87" t="s">
        <v>91</v>
      </c>
      <c r="B55" s="87"/>
      <c r="C55" s="53" t="str">
        <f>C45</f>
        <v>bar</v>
      </c>
      <c r="D55" s="53">
        <f t="shared" si="52"/>
        <v>63</v>
      </c>
      <c r="E55" s="53">
        <f t="shared" si="52"/>
        <v>107</v>
      </c>
      <c r="F55" s="53" t="str">
        <f t="shared" si="57"/>
        <v>S5A</v>
      </c>
      <c r="G55" s="53" t="str">
        <f t="shared" si="57"/>
        <v>ASTM</v>
      </c>
      <c r="H55" s="72">
        <f t="shared" si="53"/>
        <v>690</v>
      </c>
      <c r="I55" s="48">
        <f t="shared" si="53"/>
        <v>520</v>
      </c>
      <c r="J55" s="53" t="s">
        <v>16</v>
      </c>
      <c r="K55" s="59" t="str">
        <f t="shared" ref="K55:V55" si="61">K45</f>
        <v>-</v>
      </c>
      <c r="L55" s="54" t="str">
        <f t="shared" si="61"/>
        <v>-</v>
      </c>
      <c r="M55" s="54" t="str">
        <f t="shared" si="61"/>
        <v>-</v>
      </c>
      <c r="N55" s="54" t="str">
        <f t="shared" si="61"/>
        <v>-</v>
      </c>
      <c r="O55" s="54" t="str">
        <f t="shared" si="61"/>
        <v>-</v>
      </c>
      <c r="P55" s="54" t="str">
        <f t="shared" si="61"/>
        <v>-</v>
      </c>
      <c r="Q55" s="54" t="str">
        <f t="shared" si="61"/>
        <v>-</v>
      </c>
      <c r="R55" s="54" t="str">
        <f t="shared" si="61"/>
        <v>-</v>
      </c>
      <c r="S55" s="54" t="str">
        <f t="shared" si="61"/>
        <v>-</v>
      </c>
      <c r="T55" s="54" t="str">
        <f t="shared" si="61"/>
        <v>-</v>
      </c>
      <c r="U55" s="54" t="str">
        <f t="shared" si="61"/>
        <v>-</v>
      </c>
      <c r="V55" s="54" t="str">
        <f t="shared" si="61"/>
        <v>-</v>
      </c>
      <c r="W55" s="54" t="str">
        <f t="shared" ref="W55:AU55" si="62">W45</f>
        <v>-</v>
      </c>
      <c r="X55" s="54" t="str">
        <f t="shared" si="62"/>
        <v>-</v>
      </c>
      <c r="Y55" s="54" t="str">
        <f t="shared" si="62"/>
        <v>-</v>
      </c>
      <c r="Z55" s="54" t="str">
        <f t="shared" si="62"/>
        <v>-</v>
      </c>
      <c r="AA55" s="54" t="str">
        <f t="shared" si="62"/>
        <v>-</v>
      </c>
      <c r="AB55" s="54" t="str">
        <f t="shared" si="62"/>
        <v>-</v>
      </c>
      <c r="AC55" s="54" t="str">
        <f t="shared" si="62"/>
        <v>-</v>
      </c>
      <c r="AD55" s="54" t="str">
        <f t="shared" si="62"/>
        <v>-</v>
      </c>
      <c r="AE55" s="54" t="str">
        <f t="shared" si="62"/>
        <v>-</v>
      </c>
      <c r="AF55" s="54" t="str">
        <f t="shared" si="62"/>
        <v>-</v>
      </c>
      <c r="AG55" s="54" t="str">
        <f t="shared" si="62"/>
        <v>-</v>
      </c>
      <c r="AH55" s="54" t="str">
        <f t="shared" si="62"/>
        <v>-</v>
      </c>
      <c r="AI55" s="54" t="str">
        <f t="shared" si="62"/>
        <v>-</v>
      </c>
      <c r="AJ55" s="54" t="str">
        <f t="shared" si="62"/>
        <v>-</v>
      </c>
      <c r="AK55" s="54" t="str">
        <f t="shared" si="62"/>
        <v>-</v>
      </c>
      <c r="AL55" s="54" t="str">
        <f t="shared" si="62"/>
        <v>-</v>
      </c>
      <c r="AM55" s="54" t="str">
        <f t="shared" si="62"/>
        <v>-</v>
      </c>
      <c r="AN55" s="54" t="str">
        <f t="shared" si="62"/>
        <v>-</v>
      </c>
      <c r="AO55" s="54" t="str">
        <f t="shared" si="62"/>
        <v>-</v>
      </c>
      <c r="AP55" s="54" t="str">
        <f t="shared" si="62"/>
        <v>-</v>
      </c>
      <c r="AQ55" s="54" t="str">
        <f t="shared" si="62"/>
        <v>-</v>
      </c>
      <c r="AR55" s="54" t="str">
        <f t="shared" si="62"/>
        <v>-</v>
      </c>
      <c r="AS55" s="54" t="str">
        <f t="shared" si="62"/>
        <v>-</v>
      </c>
      <c r="AT55" s="54" t="str">
        <f t="shared" si="62"/>
        <v>-</v>
      </c>
      <c r="AU55" s="64" t="str">
        <f t="shared" si="62"/>
        <v>-</v>
      </c>
      <c r="AV55" s="57" t="str">
        <f t="shared" si="33"/>
        <v>ASTM</v>
      </c>
      <c r="AW55" s="59">
        <f t="shared" si="43"/>
        <v>690</v>
      </c>
      <c r="AX55" s="54">
        <f t="shared" si="43"/>
        <v>690</v>
      </c>
      <c r="AY55" s="54">
        <f t="shared" ref="AY55:DJ55" si="63">AY50</f>
        <v>690</v>
      </c>
      <c r="AZ55" s="54">
        <f t="shared" si="63"/>
        <v>690</v>
      </c>
      <c r="BA55" s="54">
        <f t="shared" si="63"/>
        <v>690</v>
      </c>
      <c r="BB55" s="54">
        <f t="shared" si="63"/>
        <v>690</v>
      </c>
      <c r="BC55" s="54">
        <f t="shared" si="63"/>
        <v>690</v>
      </c>
      <c r="BD55" s="54">
        <f t="shared" si="63"/>
        <v>690</v>
      </c>
      <c r="BE55" s="54">
        <f t="shared" si="63"/>
        <v>690</v>
      </c>
      <c r="BF55" s="54">
        <f t="shared" si="63"/>
        <v>690</v>
      </c>
      <c r="BG55" s="54">
        <f t="shared" si="63"/>
        <v>690</v>
      </c>
      <c r="BH55" s="54">
        <f t="shared" si="63"/>
        <v>690</v>
      </c>
      <c r="BI55" s="54">
        <f t="shared" si="63"/>
        <v>690</v>
      </c>
      <c r="BJ55" s="54">
        <f t="shared" si="63"/>
        <v>690</v>
      </c>
      <c r="BK55" s="54">
        <f t="shared" si="63"/>
        <v>690</v>
      </c>
      <c r="BL55" s="54" t="str">
        <f t="shared" si="63"/>
        <v>-</v>
      </c>
      <c r="BM55" s="54" t="str">
        <f t="shared" si="63"/>
        <v>-</v>
      </c>
      <c r="BN55" s="54" t="str">
        <f t="shared" si="63"/>
        <v>-</v>
      </c>
      <c r="BO55" s="54" t="str">
        <f t="shared" si="63"/>
        <v>-</v>
      </c>
      <c r="BP55" s="54" t="str">
        <f t="shared" si="63"/>
        <v>-</v>
      </c>
      <c r="BQ55" s="54" t="str">
        <f t="shared" si="63"/>
        <v>-</v>
      </c>
      <c r="BR55" s="54" t="str">
        <f t="shared" si="63"/>
        <v>-</v>
      </c>
      <c r="BS55" s="54" t="str">
        <f t="shared" si="63"/>
        <v>-</v>
      </c>
      <c r="BT55" s="54" t="str">
        <f t="shared" si="63"/>
        <v>-</v>
      </c>
      <c r="BU55" s="54" t="str">
        <f t="shared" si="63"/>
        <v>-</v>
      </c>
      <c r="BV55" s="54" t="str">
        <f t="shared" si="63"/>
        <v>-</v>
      </c>
      <c r="BW55" s="54" t="str">
        <f t="shared" si="63"/>
        <v>-</v>
      </c>
      <c r="BX55" s="54" t="str">
        <f t="shared" si="63"/>
        <v>-</v>
      </c>
      <c r="BY55" s="54" t="str">
        <f t="shared" si="63"/>
        <v>-</v>
      </c>
      <c r="BZ55" s="54" t="str">
        <f t="shared" si="63"/>
        <v>-</v>
      </c>
      <c r="CA55" s="54" t="str">
        <f t="shared" si="63"/>
        <v>-</v>
      </c>
      <c r="CB55" s="54" t="str">
        <f t="shared" si="63"/>
        <v>-</v>
      </c>
      <c r="CC55" s="54" t="str">
        <f t="shared" si="63"/>
        <v>-</v>
      </c>
      <c r="CD55" s="54" t="str">
        <f t="shared" si="63"/>
        <v>-</v>
      </c>
      <c r="CE55" s="54" t="str">
        <f t="shared" si="63"/>
        <v>-</v>
      </c>
      <c r="CF55" s="54" t="str">
        <f t="shared" si="63"/>
        <v>-</v>
      </c>
      <c r="CG55" s="139" t="str">
        <f t="shared" si="63"/>
        <v>-</v>
      </c>
      <c r="CH55" s="59">
        <f t="shared" si="63"/>
        <v>520</v>
      </c>
      <c r="CI55" s="54">
        <f t="shared" si="63"/>
        <v>518</v>
      </c>
      <c r="CJ55" s="54">
        <f t="shared" si="63"/>
        <v>512</v>
      </c>
      <c r="CK55" s="54">
        <f t="shared" si="63"/>
        <v>496</v>
      </c>
      <c r="CL55" s="54">
        <f t="shared" si="63"/>
        <v>482</v>
      </c>
      <c r="CM55" s="54">
        <f t="shared" si="63"/>
        <v>474</v>
      </c>
      <c r="CN55" s="54">
        <f t="shared" si="63"/>
        <v>467</v>
      </c>
      <c r="CO55" s="54">
        <f t="shared" si="63"/>
        <v>461</v>
      </c>
      <c r="CP55" s="54">
        <f t="shared" si="63"/>
        <v>455</v>
      </c>
      <c r="CQ55" s="54">
        <f t="shared" si="63"/>
        <v>446</v>
      </c>
      <c r="CR55" s="54">
        <f t="shared" si="63"/>
        <v>444</v>
      </c>
      <c r="CS55" s="54">
        <f t="shared" si="63"/>
        <v>435</v>
      </c>
      <c r="CT55" s="54">
        <f t="shared" si="63"/>
        <v>426</v>
      </c>
      <c r="CU55" s="54">
        <f t="shared" si="63"/>
        <v>416</v>
      </c>
      <c r="CV55" s="54">
        <f t="shared" si="63"/>
        <v>405</v>
      </c>
      <c r="CW55" s="54" t="str">
        <f t="shared" si="63"/>
        <v>-</v>
      </c>
      <c r="CX55" s="54" t="str">
        <f t="shared" si="63"/>
        <v>-</v>
      </c>
      <c r="CY55" s="54" t="str">
        <f t="shared" si="63"/>
        <v>-</v>
      </c>
      <c r="CZ55" s="54" t="str">
        <f t="shared" si="63"/>
        <v>-</v>
      </c>
      <c r="DA55" s="54" t="str">
        <f t="shared" si="63"/>
        <v>-</v>
      </c>
      <c r="DB55" s="54" t="str">
        <f t="shared" si="63"/>
        <v>-</v>
      </c>
      <c r="DC55" s="54" t="str">
        <f t="shared" si="63"/>
        <v>-</v>
      </c>
      <c r="DD55" s="54" t="str">
        <f t="shared" si="63"/>
        <v>-</v>
      </c>
      <c r="DE55" s="54" t="str">
        <f t="shared" si="63"/>
        <v>-</v>
      </c>
      <c r="DF55" s="54" t="str">
        <f t="shared" si="63"/>
        <v>-</v>
      </c>
      <c r="DG55" s="54" t="str">
        <f t="shared" si="63"/>
        <v>-</v>
      </c>
      <c r="DH55" s="54" t="str">
        <f t="shared" si="63"/>
        <v>-</v>
      </c>
      <c r="DI55" s="54" t="str">
        <f t="shared" si="63"/>
        <v>-</v>
      </c>
      <c r="DJ55" s="54" t="str">
        <f t="shared" si="63"/>
        <v>-</v>
      </c>
      <c r="DK55" s="54" t="str">
        <f t="shared" si="45"/>
        <v>-</v>
      </c>
      <c r="DL55" s="54" t="str">
        <f t="shared" si="40"/>
        <v>-</v>
      </c>
      <c r="DM55" s="54" t="str">
        <f t="shared" si="40"/>
        <v>-</v>
      </c>
      <c r="DN55" s="54" t="str">
        <f t="shared" si="40"/>
        <v>-</v>
      </c>
      <c r="DO55" s="54" t="str">
        <f t="shared" si="40"/>
        <v>-</v>
      </c>
      <c r="DP55" s="54" t="str">
        <f t="shared" si="40"/>
        <v>-</v>
      </c>
      <c r="DQ55" s="54" t="str">
        <f t="shared" si="40"/>
        <v>-</v>
      </c>
      <c r="DR55" s="64" t="str">
        <f t="shared" si="40"/>
        <v>-</v>
      </c>
    </row>
    <row r="56" spans="1:122">
      <c r="A56" s="87" t="s">
        <v>91</v>
      </c>
      <c r="B56" s="87"/>
      <c r="C56" s="53" t="str">
        <f>C46</f>
        <v>bar</v>
      </c>
      <c r="D56" s="53">
        <f t="shared" si="52"/>
        <v>38</v>
      </c>
      <c r="E56" s="53">
        <f t="shared" si="52"/>
        <v>63</v>
      </c>
      <c r="F56" s="53" t="str">
        <f t="shared" si="57"/>
        <v>S5A</v>
      </c>
      <c r="G56" s="53" t="str">
        <f t="shared" si="57"/>
        <v>ASTM</v>
      </c>
      <c r="H56" s="72">
        <f t="shared" si="53"/>
        <v>720</v>
      </c>
      <c r="I56" s="48">
        <f t="shared" si="53"/>
        <v>550</v>
      </c>
      <c r="J56" s="53" t="s">
        <v>16</v>
      </c>
      <c r="K56" s="59" t="str">
        <f t="shared" ref="K56:V56" si="64">K46</f>
        <v>-</v>
      </c>
      <c r="L56" s="54" t="str">
        <f t="shared" si="64"/>
        <v>-</v>
      </c>
      <c r="M56" s="54" t="str">
        <f t="shared" si="64"/>
        <v>-</v>
      </c>
      <c r="N56" s="54" t="str">
        <f t="shared" si="64"/>
        <v>-</v>
      </c>
      <c r="O56" s="54" t="str">
        <f t="shared" si="64"/>
        <v>-</v>
      </c>
      <c r="P56" s="54" t="str">
        <f t="shared" si="64"/>
        <v>-</v>
      </c>
      <c r="Q56" s="54" t="str">
        <f t="shared" si="64"/>
        <v>-</v>
      </c>
      <c r="R56" s="54" t="str">
        <f t="shared" si="64"/>
        <v>-</v>
      </c>
      <c r="S56" s="54" t="str">
        <f t="shared" si="64"/>
        <v>-</v>
      </c>
      <c r="T56" s="54" t="str">
        <f t="shared" si="64"/>
        <v>-</v>
      </c>
      <c r="U56" s="54" t="str">
        <f t="shared" si="64"/>
        <v>-</v>
      </c>
      <c r="V56" s="54" t="str">
        <f t="shared" si="64"/>
        <v>-</v>
      </c>
      <c r="W56" s="54" t="str">
        <f t="shared" ref="W56:AU56" si="65">W46</f>
        <v>-</v>
      </c>
      <c r="X56" s="54" t="str">
        <f t="shared" si="65"/>
        <v>-</v>
      </c>
      <c r="Y56" s="54" t="str">
        <f t="shared" si="65"/>
        <v>-</v>
      </c>
      <c r="Z56" s="54" t="str">
        <f t="shared" si="65"/>
        <v>-</v>
      </c>
      <c r="AA56" s="54" t="str">
        <f t="shared" si="65"/>
        <v>-</v>
      </c>
      <c r="AB56" s="54" t="str">
        <f t="shared" si="65"/>
        <v>-</v>
      </c>
      <c r="AC56" s="54" t="str">
        <f t="shared" si="65"/>
        <v>-</v>
      </c>
      <c r="AD56" s="54" t="str">
        <f t="shared" si="65"/>
        <v>-</v>
      </c>
      <c r="AE56" s="54" t="str">
        <f t="shared" si="65"/>
        <v>-</v>
      </c>
      <c r="AF56" s="54" t="str">
        <f t="shared" si="65"/>
        <v>-</v>
      </c>
      <c r="AG56" s="54" t="str">
        <f t="shared" si="65"/>
        <v>-</v>
      </c>
      <c r="AH56" s="54" t="str">
        <f t="shared" si="65"/>
        <v>-</v>
      </c>
      <c r="AI56" s="54" t="str">
        <f t="shared" si="65"/>
        <v>-</v>
      </c>
      <c r="AJ56" s="54" t="str">
        <f t="shared" si="65"/>
        <v>-</v>
      </c>
      <c r="AK56" s="54" t="str">
        <f t="shared" si="65"/>
        <v>-</v>
      </c>
      <c r="AL56" s="54" t="str">
        <f t="shared" si="65"/>
        <v>-</v>
      </c>
      <c r="AM56" s="54" t="str">
        <f t="shared" si="65"/>
        <v>-</v>
      </c>
      <c r="AN56" s="54" t="str">
        <f t="shared" si="65"/>
        <v>-</v>
      </c>
      <c r="AO56" s="54" t="str">
        <f t="shared" si="65"/>
        <v>-</v>
      </c>
      <c r="AP56" s="54" t="str">
        <f t="shared" si="65"/>
        <v>-</v>
      </c>
      <c r="AQ56" s="54" t="str">
        <f t="shared" si="65"/>
        <v>-</v>
      </c>
      <c r="AR56" s="54" t="str">
        <f t="shared" si="65"/>
        <v>-</v>
      </c>
      <c r="AS56" s="54" t="str">
        <f t="shared" si="65"/>
        <v>-</v>
      </c>
      <c r="AT56" s="54" t="str">
        <f t="shared" si="65"/>
        <v>-</v>
      </c>
      <c r="AU56" s="64" t="str">
        <f t="shared" si="65"/>
        <v>-</v>
      </c>
      <c r="AV56" s="57" t="str">
        <f t="shared" si="33"/>
        <v>ASTM</v>
      </c>
      <c r="AW56" s="59">
        <f t="shared" si="43"/>
        <v>720</v>
      </c>
      <c r="AX56" s="54">
        <f t="shared" si="43"/>
        <v>720</v>
      </c>
      <c r="AY56" s="54">
        <f t="shared" ref="AY56:DJ56" si="66">AY51</f>
        <v>720</v>
      </c>
      <c r="AZ56" s="54">
        <f t="shared" si="66"/>
        <v>720</v>
      </c>
      <c r="BA56" s="54">
        <f t="shared" si="66"/>
        <v>720</v>
      </c>
      <c r="BB56" s="54">
        <f t="shared" si="66"/>
        <v>720</v>
      </c>
      <c r="BC56" s="54">
        <f t="shared" si="66"/>
        <v>720</v>
      </c>
      <c r="BD56" s="54">
        <f t="shared" si="66"/>
        <v>720</v>
      </c>
      <c r="BE56" s="54">
        <f t="shared" si="66"/>
        <v>720</v>
      </c>
      <c r="BF56" s="54">
        <f t="shared" si="66"/>
        <v>720</v>
      </c>
      <c r="BG56" s="54">
        <f t="shared" si="66"/>
        <v>720</v>
      </c>
      <c r="BH56" s="54">
        <f t="shared" si="66"/>
        <v>720</v>
      </c>
      <c r="BI56" s="54">
        <f t="shared" si="66"/>
        <v>720</v>
      </c>
      <c r="BJ56" s="54">
        <f t="shared" si="66"/>
        <v>720</v>
      </c>
      <c r="BK56" s="54">
        <f t="shared" si="66"/>
        <v>720</v>
      </c>
      <c r="BL56" s="54" t="str">
        <f t="shared" si="66"/>
        <v>-</v>
      </c>
      <c r="BM56" s="54" t="str">
        <f t="shared" si="66"/>
        <v>-</v>
      </c>
      <c r="BN56" s="54" t="str">
        <f t="shared" si="66"/>
        <v>-</v>
      </c>
      <c r="BO56" s="54" t="str">
        <f t="shared" si="66"/>
        <v>-</v>
      </c>
      <c r="BP56" s="54" t="str">
        <f t="shared" si="66"/>
        <v>-</v>
      </c>
      <c r="BQ56" s="54" t="str">
        <f t="shared" si="66"/>
        <v>-</v>
      </c>
      <c r="BR56" s="54" t="str">
        <f t="shared" si="66"/>
        <v>-</v>
      </c>
      <c r="BS56" s="54" t="str">
        <f t="shared" si="66"/>
        <v>-</v>
      </c>
      <c r="BT56" s="54" t="str">
        <f t="shared" si="66"/>
        <v>-</v>
      </c>
      <c r="BU56" s="54" t="str">
        <f t="shared" si="66"/>
        <v>-</v>
      </c>
      <c r="BV56" s="54" t="str">
        <f t="shared" si="66"/>
        <v>-</v>
      </c>
      <c r="BW56" s="54" t="str">
        <f t="shared" si="66"/>
        <v>-</v>
      </c>
      <c r="BX56" s="54" t="str">
        <f t="shared" si="66"/>
        <v>-</v>
      </c>
      <c r="BY56" s="54" t="str">
        <f t="shared" si="66"/>
        <v>-</v>
      </c>
      <c r="BZ56" s="54" t="str">
        <f t="shared" si="66"/>
        <v>-</v>
      </c>
      <c r="CA56" s="54" t="str">
        <f t="shared" si="66"/>
        <v>-</v>
      </c>
      <c r="CB56" s="54" t="str">
        <f t="shared" si="66"/>
        <v>-</v>
      </c>
      <c r="CC56" s="54" t="str">
        <f t="shared" si="66"/>
        <v>-</v>
      </c>
      <c r="CD56" s="54" t="str">
        <f t="shared" si="66"/>
        <v>-</v>
      </c>
      <c r="CE56" s="54" t="str">
        <f t="shared" si="66"/>
        <v>-</v>
      </c>
      <c r="CF56" s="54" t="str">
        <f t="shared" si="66"/>
        <v>-</v>
      </c>
      <c r="CG56" s="139" t="str">
        <f t="shared" si="66"/>
        <v>-</v>
      </c>
      <c r="CH56" s="59">
        <f t="shared" si="66"/>
        <v>550</v>
      </c>
      <c r="CI56" s="54">
        <f t="shared" si="66"/>
        <v>548</v>
      </c>
      <c r="CJ56" s="54">
        <f t="shared" si="66"/>
        <v>543</v>
      </c>
      <c r="CK56" s="54">
        <f t="shared" si="66"/>
        <v>528</v>
      </c>
      <c r="CL56" s="54">
        <f t="shared" si="66"/>
        <v>514</v>
      </c>
      <c r="CM56" s="54">
        <f t="shared" si="66"/>
        <v>506</v>
      </c>
      <c r="CN56" s="54">
        <f t="shared" si="66"/>
        <v>498</v>
      </c>
      <c r="CO56" s="54">
        <f t="shared" si="66"/>
        <v>492</v>
      </c>
      <c r="CP56" s="54">
        <f t="shared" si="66"/>
        <v>486</v>
      </c>
      <c r="CQ56" s="54">
        <f t="shared" si="66"/>
        <v>476</v>
      </c>
      <c r="CR56" s="54">
        <f t="shared" si="66"/>
        <v>474</v>
      </c>
      <c r="CS56" s="54">
        <f t="shared" si="66"/>
        <v>464</v>
      </c>
      <c r="CT56" s="54">
        <f t="shared" si="66"/>
        <v>454</v>
      </c>
      <c r="CU56" s="54">
        <f t="shared" si="66"/>
        <v>444</v>
      </c>
      <c r="CV56" s="54">
        <f t="shared" si="66"/>
        <v>431</v>
      </c>
      <c r="CW56" s="54" t="str">
        <f t="shared" si="66"/>
        <v>-</v>
      </c>
      <c r="CX56" s="54" t="str">
        <f t="shared" si="66"/>
        <v>-</v>
      </c>
      <c r="CY56" s="54" t="str">
        <f t="shared" si="66"/>
        <v>-</v>
      </c>
      <c r="CZ56" s="54" t="str">
        <f t="shared" si="66"/>
        <v>-</v>
      </c>
      <c r="DA56" s="54" t="str">
        <f t="shared" si="66"/>
        <v>-</v>
      </c>
      <c r="DB56" s="54" t="str">
        <f t="shared" si="66"/>
        <v>-</v>
      </c>
      <c r="DC56" s="54" t="str">
        <f t="shared" si="66"/>
        <v>-</v>
      </c>
      <c r="DD56" s="54" t="str">
        <f t="shared" si="66"/>
        <v>-</v>
      </c>
      <c r="DE56" s="54" t="str">
        <f t="shared" si="66"/>
        <v>-</v>
      </c>
      <c r="DF56" s="54" t="str">
        <f t="shared" si="66"/>
        <v>-</v>
      </c>
      <c r="DG56" s="54" t="str">
        <f t="shared" si="66"/>
        <v>-</v>
      </c>
      <c r="DH56" s="54" t="str">
        <f t="shared" si="66"/>
        <v>-</v>
      </c>
      <c r="DI56" s="54" t="str">
        <f t="shared" si="66"/>
        <v>-</v>
      </c>
      <c r="DJ56" s="54" t="str">
        <f t="shared" si="66"/>
        <v>-</v>
      </c>
      <c r="DK56" s="54" t="str">
        <f t="shared" si="45"/>
        <v>-</v>
      </c>
      <c r="DL56" s="54" t="str">
        <f t="shared" si="40"/>
        <v>-</v>
      </c>
      <c r="DM56" s="54" t="str">
        <f t="shared" si="40"/>
        <v>-</v>
      </c>
      <c r="DN56" s="54" t="str">
        <f t="shared" si="40"/>
        <v>-</v>
      </c>
      <c r="DO56" s="54" t="str">
        <f t="shared" si="40"/>
        <v>-</v>
      </c>
      <c r="DP56" s="54" t="str">
        <f t="shared" si="40"/>
        <v>-</v>
      </c>
      <c r="DQ56" s="54" t="str">
        <f t="shared" si="40"/>
        <v>-</v>
      </c>
      <c r="DR56" s="64" t="str">
        <f t="shared" si="40"/>
        <v>-</v>
      </c>
    </row>
    <row r="57" spans="1:122">
      <c r="A57" s="94" t="s">
        <v>91</v>
      </c>
      <c r="B57" s="94"/>
      <c r="C57" s="53" t="str">
        <f>C47</f>
        <v>bar</v>
      </c>
      <c r="D57" s="53" t="str">
        <f t="shared" si="52"/>
        <v>-</v>
      </c>
      <c r="E57" s="53">
        <f t="shared" si="52"/>
        <v>38</v>
      </c>
      <c r="F57" s="53" t="str">
        <f t="shared" si="57"/>
        <v>S5A</v>
      </c>
      <c r="G57" s="53" t="str">
        <f t="shared" si="57"/>
        <v>ASTM</v>
      </c>
      <c r="H57" s="72">
        <f t="shared" si="53"/>
        <v>760</v>
      </c>
      <c r="I57" s="48">
        <f t="shared" si="53"/>
        <v>620</v>
      </c>
      <c r="J57" s="53" t="s">
        <v>16</v>
      </c>
      <c r="K57" s="59" t="str">
        <f t="shared" ref="K57:V57" si="67">K47</f>
        <v>-</v>
      </c>
      <c r="L57" s="54" t="str">
        <f t="shared" si="67"/>
        <v>-</v>
      </c>
      <c r="M57" s="54" t="str">
        <f t="shared" si="67"/>
        <v>-</v>
      </c>
      <c r="N57" s="54" t="str">
        <f t="shared" si="67"/>
        <v>-</v>
      </c>
      <c r="O57" s="54" t="str">
        <f t="shared" si="67"/>
        <v>-</v>
      </c>
      <c r="P57" s="54" t="str">
        <f t="shared" si="67"/>
        <v>-</v>
      </c>
      <c r="Q57" s="54" t="str">
        <f t="shared" si="67"/>
        <v>-</v>
      </c>
      <c r="R57" s="54" t="str">
        <f t="shared" si="67"/>
        <v>-</v>
      </c>
      <c r="S57" s="54" t="str">
        <f t="shared" si="67"/>
        <v>-</v>
      </c>
      <c r="T57" s="54" t="str">
        <f t="shared" si="67"/>
        <v>-</v>
      </c>
      <c r="U57" s="54" t="str">
        <f t="shared" si="67"/>
        <v>-</v>
      </c>
      <c r="V57" s="54" t="str">
        <f t="shared" si="67"/>
        <v>-</v>
      </c>
      <c r="W57" s="54" t="str">
        <f t="shared" ref="W57:AU57" si="68">W47</f>
        <v>-</v>
      </c>
      <c r="X57" s="54" t="str">
        <f t="shared" si="68"/>
        <v>-</v>
      </c>
      <c r="Y57" s="54" t="str">
        <f t="shared" si="68"/>
        <v>-</v>
      </c>
      <c r="Z57" s="54" t="str">
        <f t="shared" si="68"/>
        <v>-</v>
      </c>
      <c r="AA57" s="54" t="str">
        <f t="shared" si="68"/>
        <v>-</v>
      </c>
      <c r="AB57" s="54" t="str">
        <f t="shared" si="68"/>
        <v>-</v>
      </c>
      <c r="AC57" s="54" t="str">
        <f t="shared" si="68"/>
        <v>-</v>
      </c>
      <c r="AD57" s="54" t="str">
        <f t="shared" si="68"/>
        <v>-</v>
      </c>
      <c r="AE57" s="54" t="str">
        <f t="shared" si="68"/>
        <v>-</v>
      </c>
      <c r="AF57" s="54" t="str">
        <f t="shared" si="68"/>
        <v>-</v>
      </c>
      <c r="AG57" s="54" t="str">
        <f t="shared" si="68"/>
        <v>-</v>
      </c>
      <c r="AH57" s="54" t="str">
        <f t="shared" si="68"/>
        <v>-</v>
      </c>
      <c r="AI57" s="54" t="str">
        <f t="shared" si="68"/>
        <v>-</v>
      </c>
      <c r="AJ57" s="54" t="str">
        <f t="shared" si="68"/>
        <v>-</v>
      </c>
      <c r="AK57" s="54" t="str">
        <f t="shared" si="68"/>
        <v>-</v>
      </c>
      <c r="AL57" s="54" t="str">
        <f t="shared" si="68"/>
        <v>-</v>
      </c>
      <c r="AM57" s="54" t="str">
        <f t="shared" si="68"/>
        <v>-</v>
      </c>
      <c r="AN57" s="54" t="str">
        <f t="shared" si="68"/>
        <v>-</v>
      </c>
      <c r="AO57" s="54" t="str">
        <f t="shared" si="68"/>
        <v>-</v>
      </c>
      <c r="AP57" s="54" t="str">
        <f t="shared" si="68"/>
        <v>-</v>
      </c>
      <c r="AQ57" s="54" t="str">
        <f t="shared" si="68"/>
        <v>-</v>
      </c>
      <c r="AR57" s="54" t="str">
        <f t="shared" si="68"/>
        <v>-</v>
      </c>
      <c r="AS57" s="54" t="str">
        <f t="shared" si="68"/>
        <v>-</v>
      </c>
      <c r="AT57" s="54" t="str">
        <f t="shared" si="68"/>
        <v>-</v>
      </c>
      <c r="AU57" s="64" t="str">
        <f t="shared" si="68"/>
        <v>-</v>
      </c>
      <c r="AV57" s="57" t="str">
        <f t="shared" si="33"/>
        <v>ASTM</v>
      </c>
      <c r="AW57" s="59">
        <f t="shared" si="43"/>
        <v>760</v>
      </c>
      <c r="AX57" s="54">
        <f t="shared" si="43"/>
        <v>760</v>
      </c>
      <c r="AY57" s="54">
        <f t="shared" ref="AY57:DJ57" si="69">AY52</f>
        <v>760</v>
      </c>
      <c r="AZ57" s="54">
        <f t="shared" si="69"/>
        <v>760</v>
      </c>
      <c r="BA57" s="54">
        <f t="shared" si="69"/>
        <v>760</v>
      </c>
      <c r="BB57" s="54">
        <f t="shared" si="69"/>
        <v>760</v>
      </c>
      <c r="BC57" s="54">
        <f t="shared" si="69"/>
        <v>760</v>
      </c>
      <c r="BD57" s="54">
        <f t="shared" si="69"/>
        <v>760</v>
      </c>
      <c r="BE57" s="54">
        <f t="shared" si="69"/>
        <v>760</v>
      </c>
      <c r="BF57" s="54">
        <f t="shared" si="69"/>
        <v>760</v>
      </c>
      <c r="BG57" s="54">
        <f t="shared" si="69"/>
        <v>760</v>
      </c>
      <c r="BH57" s="54">
        <f t="shared" si="69"/>
        <v>760</v>
      </c>
      <c r="BI57" s="54">
        <f t="shared" si="69"/>
        <v>760</v>
      </c>
      <c r="BJ57" s="54">
        <f t="shared" si="69"/>
        <v>760</v>
      </c>
      <c r="BK57" s="54">
        <f t="shared" si="69"/>
        <v>760</v>
      </c>
      <c r="BL57" s="54" t="str">
        <f t="shared" si="69"/>
        <v>-</v>
      </c>
      <c r="BM57" s="54" t="str">
        <f t="shared" si="69"/>
        <v>-</v>
      </c>
      <c r="BN57" s="54" t="str">
        <f t="shared" si="69"/>
        <v>-</v>
      </c>
      <c r="BO57" s="54" t="str">
        <f t="shared" si="69"/>
        <v>-</v>
      </c>
      <c r="BP57" s="54" t="str">
        <f t="shared" si="69"/>
        <v>-</v>
      </c>
      <c r="BQ57" s="54" t="str">
        <f t="shared" si="69"/>
        <v>-</v>
      </c>
      <c r="BR57" s="54" t="str">
        <f t="shared" si="69"/>
        <v>-</v>
      </c>
      <c r="BS57" s="54" t="str">
        <f t="shared" si="69"/>
        <v>-</v>
      </c>
      <c r="BT57" s="54" t="str">
        <f t="shared" si="69"/>
        <v>-</v>
      </c>
      <c r="BU57" s="54" t="str">
        <f t="shared" si="69"/>
        <v>-</v>
      </c>
      <c r="BV57" s="54" t="str">
        <f t="shared" si="69"/>
        <v>-</v>
      </c>
      <c r="BW57" s="54" t="str">
        <f t="shared" si="69"/>
        <v>-</v>
      </c>
      <c r="BX57" s="54" t="str">
        <f t="shared" si="69"/>
        <v>-</v>
      </c>
      <c r="BY57" s="54" t="str">
        <f t="shared" si="69"/>
        <v>-</v>
      </c>
      <c r="BZ57" s="54" t="str">
        <f t="shared" si="69"/>
        <v>-</v>
      </c>
      <c r="CA57" s="54" t="str">
        <f t="shared" si="69"/>
        <v>-</v>
      </c>
      <c r="CB57" s="54" t="str">
        <f t="shared" si="69"/>
        <v>-</v>
      </c>
      <c r="CC57" s="54" t="str">
        <f t="shared" si="69"/>
        <v>-</v>
      </c>
      <c r="CD57" s="54" t="str">
        <f t="shared" si="69"/>
        <v>-</v>
      </c>
      <c r="CE57" s="54" t="str">
        <f t="shared" si="69"/>
        <v>-</v>
      </c>
      <c r="CF57" s="54" t="str">
        <f t="shared" si="69"/>
        <v>-</v>
      </c>
      <c r="CG57" s="139" t="str">
        <f t="shared" si="69"/>
        <v>-</v>
      </c>
      <c r="CH57" s="59">
        <f t="shared" si="69"/>
        <v>620</v>
      </c>
      <c r="CI57" s="54">
        <f t="shared" si="69"/>
        <v>618</v>
      </c>
      <c r="CJ57" s="54">
        <f t="shared" si="69"/>
        <v>612</v>
      </c>
      <c r="CK57" s="54">
        <f t="shared" si="69"/>
        <v>594</v>
      </c>
      <c r="CL57" s="54">
        <f t="shared" si="69"/>
        <v>578</v>
      </c>
      <c r="CM57" s="54">
        <f t="shared" si="69"/>
        <v>596</v>
      </c>
      <c r="CN57" s="54">
        <f t="shared" si="69"/>
        <v>561</v>
      </c>
      <c r="CO57" s="54">
        <f t="shared" si="69"/>
        <v>553</v>
      </c>
      <c r="CP57" s="54">
        <f t="shared" si="69"/>
        <v>546</v>
      </c>
      <c r="CQ57" s="54">
        <f t="shared" si="69"/>
        <v>535</v>
      </c>
      <c r="CR57" s="54">
        <f t="shared" si="69"/>
        <v>533</v>
      </c>
      <c r="CS57" s="54">
        <f t="shared" si="69"/>
        <v>522</v>
      </c>
      <c r="CT57" s="54">
        <f t="shared" si="69"/>
        <v>512</v>
      </c>
      <c r="CU57" s="54">
        <f t="shared" si="69"/>
        <v>500</v>
      </c>
      <c r="CV57" s="54">
        <f t="shared" si="69"/>
        <v>486</v>
      </c>
      <c r="CW57" s="54" t="str">
        <f t="shared" si="69"/>
        <v>-</v>
      </c>
      <c r="CX57" s="54" t="str">
        <f t="shared" si="69"/>
        <v>-</v>
      </c>
      <c r="CY57" s="54" t="str">
        <f t="shared" si="69"/>
        <v>-</v>
      </c>
      <c r="CZ57" s="54" t="str">
        <f t="shared" si="69"/>
        <v>-</v>
      </c>
      <c r="DA57" s="54" t="str">
        <f t="shared" si="69"/>
        <v>-</v>
      </c>
      <c r="DB57" s="54" t="str">
        <f t="shared" si="69"/>
        <v>-</v>
      </c>
      <c r="DC57" s="54" t="str">
        <f t="shared" si="69"/>
        <v>-</v>
      </c>
      <c r="DD57" s="54" t="str">
        <f t="shared" si="69"/>
        <v>-</v>
      </c>
      <c r="DE57" s="54" t="str">
        <f t="shared" si="69"/>
        <v>-</v>
      </c>
      <c r="DF57" s="54" t="str">
        <f t="shared" si="69"/>
        <v>-</v>
      </c>
      <c r="DG57" s="54" t="str">
        <f t="shared" si="69"/>
        <v>-</v>
      </c>
      <c r="DH57" s="54" t="str">
        <f t="shared" si="69"/>
        <v>-</v>
      </c>
      <c r="DI57" s="54" t="str">
        <f t="shared" si="69"/>
        <v>-</v>
      </c>
      <c r="DJ57" s="54" t="str">
        <f t="shared" si="69"/>
        <v>-</v>
      </c>
      <c r="DK57" s="54" t="str">
        <f t="shared" si="45"/>
        <v>-</v>
      </c>
      <c r="DL57" s="54" t="str">
        <f t="shared" si="40"/>
        <v>-</v>
      </c>
      <c r="DM57" s="54" t="str">
        <f t="shared" si="40"/>
        <v>-</v>
      </c>
      <c r="DN57" s="54" t="str">
        <f t="shared" si="40"/>
        <v>-</v>
      </c>
      <c r="DO57" s="54" t="str">
        <f t="shared" si="40"/>
        <v>-</v>
      </c>
      <c r="DP57" s="54" t="str">
        <f t="shared" si="40"/>
        <v>-</v>
      </c>
      <c r="DQ57" s="54" t="str">
        <f t="shared" si="40"/>
        <v>-</v>
      </c>
      <c r="DR57" s="64" t="str">
        <f t="shared" si="40"/>
        <v>-</v>
      </c>
    </row>
    <row r="58" spans="1:122">
      <c r="A58" s="56" t="s">
        <v>93</v>
      </c>
      <c r="B58" s="56"/>
      <c r="C58" s="53" t="s">
        <v>94</v>
      </c>
      <c r="D58" s="53">
        <v>25</v>
      </c>
      <c r="E58" s="53">
        <v>38</v>
      </c>
      <c r="F58" s="53" t="s">
        <v>16</v>
      </c>
      <c r="G58" s="53" t="s">
        <v>17</v>
      </c>
      <c r="H58" s="72">
        <v>895</v>
      </c>
      <c r="I58" s="48">
        <v>585</v>
      </c>
      <c r="J58" s="53" t="s">
        <v>18</v>
      </c>
      <c r="K58" s="59" t="s">
        <v>16</v>
      </c>
      <c r="L58" s="34">
        <v>147</v>
      </c>
      <c r="M58" s="34" t="s">
        <v>16</v>
      </c>
      <c r="N58" s="54">
        <v>147</v>
      </c>
      <c r="O58" s="54">
        <v>147</v>
      </c>
      <c r="P58" s="54">
        <v>147</v>
      </c>
      <c r="Q58" s="54">
        <v>147</v>
      </c>
      <c r="R58" s="54">
        <v>147</v>
      </c>
      <c r="S58" s="54">
        <v>147</v>
      </c>
      <c r="T58" s="54">
        <v>147</v>
      </c>
      <c r="U58" s="54">
        <v>147</v>
      </c>
      <c r="V58" s="54">
        <v>147</v>
      </c>
      <c r="W58" s="54" t="s">
        <v>16</v>
      </c>
      <c r="X58" s="54" t="s">
        <v>16</v>
      </c>
      <c r="Y58" s="54" t="s">
        <v>16</v>
      </c>
      <c r="Z58" s="54" t="s">
        <v>16</v>
      </c>
      <c r="AA58" s="54" t="s">
        <v>16</v>
      </c>
      <c r="AB58" s="54" t="s">
        <v>16</v>
      </c>
      <c r="AC58" s="54" t="s">
        <v>16</v>
      </c>
      <c r="AD58" s="54" t="s">
        <v>16</v>
      </c>
      <c r="AE58" s="54" t="s">
        <v>16</v>
      </c>
      <c r="AF58" s="54" t="s">
        <v>16</v>
      </c>
      <c r="AG58" s="54" t="s">
        <v>16</v>
      </c>
      <c r="AH58" s="54" t="s">
        <v>16</v>
      </c>
      <c r="AI58" s="54" t="s">
        <v>16</v>
      </c>
      <c r="AJ58" s="54" t="s">
        <v>16</v>
      </c>
      <c r="AK58" s="54" t="s">
        <v>16</v>
      </c>
      <c r="AL58" s="54" t="s">
        <v>16</v>
      </c>
      <c r="AM58" s="54" t="s">
        <v>16</v>
      </c>
      <c r="AN58" s="54" t="s">
        <v>16</v>
      </c>
      <c r="AO58" s="54" t="s">
        <v>16</v>
      </c>
      <c r="AP58" s="54" t="s">
        <v>16</v>
      </c>
      <c r="AQ58" s="54" t="s">
        <v>16</v>
      </c>
      <c r="AR58" s="54" t="s">
        <v>16</v>
      </c>
      <c r="AS58" s="54" t="s">
        <v>16</v>
      </c>
      <c r="AT58" s="54" t="s">
        <v>16</v>
      </c>
      <c r="AU58" s="64" t="s">
        <v>16</v>
      </c>
      <c r="AV58" s="48" t="s">
        <v>18</v>
      </c>
      <c r="AW58" s="59">
        <v>896</v>
      </c>
      <c r="AX58" s="34">
        <v>896</v>
      </c>
      <c r="AY58" s="34">
        <v>896</v>
      </c>
      <c r="AZ58" s="34">
        <v>896</v>
      </c>
      <c r="BA58" s="34">
        <v>896</v>
      </c>
      <c r="BB58" s="34">
        <v>896</v>
      </c>
      <c r="BC58" s="34">
        <v>896</v>
      </c>
      <c r="BD58" s="34">
        <v>896</v>
      </c>
      <c r="BE58" s="34">
        <v>896</v>
      </c>
      <c r="BF58" s="34">
        <v>896</v>
      </c>
      <c r="BG58" s="34">
        <v>896</v>
      </c>
      <c r="BH58" s="34">
        <v>896</v>
      </c>
      <c r="BI58" s="34">
        <v>896</v>
      </c>
      <c r="BJ58" s="34">
        <v>896</v>
      </c>
      <c r="BK58" s="34">
        <v>896</v>
      </c>
      <c r="BL58" s="34">
        <v>896</v>
      </c>
      <c r="BM58" s="54" t="s">
        <v>16</v>
      </c>
      <c r="BN58" s="54" t="s">
        <v>16</v>
      </c>
      <c r="BO58" s="54" t="s">
        <v>16</v>
      </c>
      <c r="BP58" s="54" t="s">
        <v>16</v>
      </c>
      <c r="BQ58" s="54" t="s">
        <v>16</v>
      </c>
      <c r="BR58" s="54" t="s">
        <v>16</v>
      </c>
      <c r="BS58" s="54" t="s">
        <v>16</v>
      </c>
      <c r="BT58" s="54" t="s">
        <v>16</v>
      </c>
      <c r="BU58" s="54" t="s">
        <v>16</v>
      </c>
      <c r="BV58" s="54" t="s">
        <v>16</v>
      </c>
      <c r="BW58" s="54" t="s">
        <v>16</v>
      </c>
      <c r="BX58" s="54" t="s">
        <v>16</v>
      </c>
      <c r="BY58" s="54" t="s">
        <v>16</v>
      </c>
      <c r="BZ58" s="54" t="s">
        <v>16</v>
      </c>
      <c r="CA58" s="54" t="s">
        <v>16</v>
      </c>
      <c r="CB58" s="54" t="s">
        <v>16</v>
      </c>
      <c r="CC58" s="54" t="s">
        <v>16</v>
      </c>
      <c r="CD58" s="54" t="s">
        <v>16</v>
      </c>
      <c r="CE58" s="54" t="s">
        <v>16</v>
      </c>
      <c r="CF58" s="54" t="s">
        <v>16</v>
      </c>
      <c r="CG58" s="139" t="s">
        <v>16</v>
      </c>
      <c r="CH58" s="59">
        <v>586</v>
      </c>
      <c r="CI58" s="34">
        <v>586</v>
      </c>
      <c r="CJ58" s="34" t="s">
        <v>16</v>
      </c>
      <c r="CK58" s="54">
        <v>569</v>
      </c>
      <c r="CL58" s="54">
        <v>558</v>
      </c>
      <c r="CM58" s="54">
        <v>552</v>
      </c>
      <c r="CN58" s="54">
        <v>547</v>
      </c>
      <c r="CO58" s="54">
        <v>543</v>
      </c>
      <c r="CP58" s="54">
        <v>540</v>
      </c>
      <c r="CQ58" s="54">
        <v>537</v>
      </c>
      <c r="CR58" s="54">
        <v>535</v>
      </c>
      <c r="CS58" s="54">
        <v>534</v>
      </c>
      <c r="CT58" s="54">
        <v>532</v>
      </c>
      <c r="CU58" s="54">
        <v>531</v>
      </c>
      <c r="CV58" s="54">
        <v>530</v>
      </c>
      <c r="CW58" s="54">
        <v>529</v>
      </c>
      <c r="CX58" s="54" t="s">
        <v>16</v>
      </c>
      <c r="CY58" s="54" t="s">
        <v>16</v>
      </c>
      <c r="CZ58" s="54" t="s">
        <v>16</v>
      </c>
      <c r="DA58" s="54" t="s">
        <v>16</v>
      </c>
      <c r="DB58" s="54" t="s">
        <v>16</v>
      </c>
      <c r="DC58" s="54" t="s">
        <v>16</v>
      </c>
      <c r="DD58" s="54" t="s">
        <v>16</v>
      </c>
      <c r="DE58" s="54" t="s">
        <v>16</v>
      </c>
      <c r="DF58" s="54" t="s">
        <v>16</v>
      </c>
      <c r="DG58" s="54" t="s">
        <v>16</v>
      </c>
      <c r="DH58" s="54" t="s">
        <v>16</v>
      </c>
      <c r="DI58" s="54" t="s">
        <v>16</v>
      </c>
      <c r="DJ58" s="54" t="s">
        <v>16</v>
      </c>
      <c r="DK58" s="54" t="s">
        <v>16</v>
      </c>
      <c r="DL58" s="54" t="s">
        <v>16</v>
      </c>
      <c r="DM58" s="54" t="s">
        <v>16</v>
      </c>
      <c r="DN58" s="54" t="s">
        <v>16</v>
      </c>
      <c r="DO58" s="54" t="s">
        <v>16</v>
      </c>
      <c r="DP58" s="54" t="s">
        <v>16</v>
      </c>
      <c r="DQ58" s="54" t="s">
        <v>16</v>
      </c>
      <c r="DR58" s="64" t="s">
        <v>16</v>
      </c>
    </row>
    <row r="59" spans="1:122">
      <c r="A59" s="56" t="s">
        <v>93</v>
      </c>
      <c r="B59" s="56"/>
      <c r="C59" s="53" t="s">
        <v>94</v>
      </c>
      <c r="D59" s="53">
        <v>6</v>
      </c>
      <c r="E59" s="53">
        <v>16</v>
      </c>
      <c r="F59" s="53" t="s">
        <v>16</v>
      </c>
      <c r="G59" s="53" t="str">
        <f>G58</f>
        <v>ASTM</v>
      </c>
      <c r="H59" s="72">
        <v>895</v>
      </c>
      <c r="I59" s="48">
        <v>620</v>
      </c>
      <c r="J59" s="53" t="str">
        <f>J58</f>
        <v>ASME</v>
      </c>
      <c r="K59" s="59" t="s">
        <v>16</v>
      </c>
      <c r="L59" s="34">
        <v>155</v>
      </c>
      <c r="M59" s="34" t="s">
        <v>16</v>
      </c>
      <c r="N59" s="54">
        <v>155</v>
      </c>
      <c r="O59" s="54">
        <v>155</v>
      </c>
      <c r="P59" s="54">
        <v>155</v>
      </c>
      <c r="Q59" s="54">
        <v>155</v>
      </c>
      <c r="R59" s="54">
        <v>155</v>
      </c>
      <c r="S59" s="54">
        <v>155</v>
      </c>
      <c r="T59" s="54">
        <v>155</v>
      </c>
      <c r="U59" s="54">
        <v>155</v>
      </c>
      <c r="V59" s="54">
        <v>155</v>
      </c>
      <c r="W59" s="54" t="s">
        <v>16</v>
      </c>
      <c r="X59" s="54" t="s">
        <v>16</v>
      </c>
      <c r="Y59" s="54" t="s">
        <v>16</v>
      </c>
      <c r="Z59" s="54" t="s">
        <v>16</v>
      </c>
      <c r="AA59" s="54" t="s">
        <v>16</v>
      </c>
      <c r="AB59" s="54" t="s">
        <v>16</v>
      </c>
      <c r="AC59" s="54" t="s">
        <v>16</v>
      </c>
      <c r="AD59" s="54" t="s">
        <v>16</v>
      </c>
      <c r="AE59" s="54" t="s">
        <v>16</v>
      </c>
      <c r="AF59" s="54" t="s">
        <v>16</v>
      </c>
      <c r="AG59" s="54" t="s">
        <v>16</v>
      </c>
      <c r="AH59" s="54" t="s">
        <v>16</v>
      </c>
      <c r="AI59" s="54" t="s">
        <v>16</v>
      </c>
      <c r="AJ59" s="54" t="s">
        <v>16</v>
      </c>
      <c r="AK59" s="54" t="s">
        <v>16</v>
      </c>
      <c r="AL59" s="54" t="s">
        <v>16</v>
      </c>
      <c r="AM59" s="54" t="s">
        <v>16</v>
      </c>
      <c r="AN59" s="54" t="s">
        <v>16</v>
      </c>
      <c r="AO59" s="54" t="s">
        <v>16</v>
      </c>
      <c r="AP59" s="54" t="s">
        <v>16</v>
      </c>
      <c r="AQ59" s="54" t="s">
        <v>16</v>
      </c>
      <c r="AR59" s="54" t="s">
        <v>16</v>
      </c>
      <c r="AS59" s="54" t="s">
        <v>16</v>
      </c>
      <c r="AT59" s="54" t="s">
        <v>16</v>
      </c>
      <c r="AU59" s="64" t="s">
        <v>16</v>
      </c>
      <c r="AV59" s="48" t="str">
        <f>AV58</f>
        <v>ASME</v>
      </c>
      <c r="AW59" s="59">
        <f>AW58</f>
        <v>896</v>
      </c>
      <c r="AX59" s="34">
        <f>AX58</f>
        <v>896</v>
      </c>
      <c r="AY59" s="34">
        <f t="shared" ref="AY59:CG59" si="70">AY58</f>
        <v>896</v>
      </c>
      <c r="AZ59" s="34">
        <f t="shared" si="70"/>
        <v>896</v>
      </c>
      <c r="BA59" s="34">
        <f t="shared" si="70"/>
        <v>896</v>
      </c>
      <c r="BB59" s="34">
        <f t="shared" si="70"/>
        <v>896</v>
      </c>
      <c r="BC59" s="34">
        <f t="shared" si="70"/>
        <v>896</v>
      </c>
      <c r="BD59" s="34">
        <f t="shared" si="70"/>
        <v>896</v>
      </c>
      <c r="BE59" s="34">
        <f t="shared" si="70"/>
        <v>896</v>
      </c>
      <c r="BF59" s="34">
        <f t="shared" si="70"/>
        <v>896</v>
      </c>
      <c r="BG59" s="34">
        <f t="shared" si="70"/>
        <v>896</v>
      </c>
      <c r="BH59" s="34">
        <f t="shared" si="70"/>
        <v>896</v>
      </c>
      <c r="BI59" s="34">
        <f t="shared" si="70"/>
        <v>896</v>
      </c>
      <c r="BJ59" s="34">
        <f t="shared" si="70"/>
        <v>896</v>
      </c>
      <c r="BK59" s="34">
        <f t="shared" si="70"/>
        <v>896</v>
      </c>
      <c r="BL59" s="34">
        <f t="shared" si="70"/>
        <v>896</v>
      </c>
      <c r="BM59" s="34" t="str">
        <f t="shared" si="70"/>
        <v>-</v>
      </c>
      <c r="BN59" s="34" t="str">
        <f t="shared" si="70"/>
        <v>-</v>
      </c>
      <c r="BO59" s="34" t="str">
        <f t="shared" si="70"/>
        <v>-</v>
      </c>
      <c r="BP59" s="34" t="str">
        <f t="shared" si="70"/>
        <v>-</v>
      </c>
      <c r="BQ59" s="34" t="str">
        <f t="shared" si="70"/>
        <v>-</v>
      </c>
      <c r="BR59" s="34" t="str">
        <f t="shared" si="70"/>
        <v>-</v>
      </c>
      <c r="BS59" s="34" t="str">
        <f t="shared" si="70"/>
        <v>-</v>
      </c>
      <c r="BT59" s="34" t="str">
        <f t="shared" si="70"/>
        <v>-</v>
      </c>
      <c r="BU59" s="34" t="str">
        <f t="shared" si="70"/>
        <v>-</v>
      </c>
      <c r="BV59" s="34" t="str">
        <f t="shared" si="70"/>
        <v>-</v>
      </c>
      <c r="BW59" s="34" t="str">
        <f t="shared" si="70"/>
        <v>-</v>
      </c>
      <c r="BX59" s="34" t="str">
        <f t="shared" si="70"/>
        <v>-</v>
      </c>
      <c r="BY59" s="34" t="str">
        <f t="shared" si="70"/>
        <v>-</v>
      </c>
      <c r="BZ59" s="34" t="str">
        <f t="shared" si="70"/>
        <v>-</v>
      </c>
      <c r="CA59" s="34" t="str">
        <f t="shared" si="70"/>
        <v>-</v>
      </c>
      <c r="CB59" s="34" t="str">
        <f t="shared" si="70"/>
        <v>-</v>
      </c>
      <c r="CC59" s="34" t="str">
        <f t="shared" si="70"/>
        <v>-</v>
      </c>
      <c r="CD59" s="34" t="str">
        <f t="shared" si="70"/>
        <v>-</v>
      </c>
      <c r="CE59" s="34" t="str">
        <f t="shared" si="70"/>
        <v>-</v>
      </c>
      <c r="CF59" s="34" t="str">
        <f t="shared" si="70"/>
        <v>-</v>
      </c>
      <c r="CG59" s="44" t="str">
        <f t="shared" si="70"/>
        <v>-</v>
      </c>
      <c r="CH59" s="59">
        <v>621</v>
      </c>
      <c r="CI59" s="34">
        <v>621</v>
      </c>
      <c r="CJ59" s="34" t="s">
        <v>16</v>
      </c>
      <c r="CK59" s="54">
        <v>602</v>
      </c>
      <c r="CL59" s="54">
        <v>591</v>
      </c>
      <c r="CM59" s="54">
        <v>584</v>
      </c>
      <c r="CN59" s="54">
        <v>579</v>
      </c>
      <c r="CO59" s="54">
        <v>575</v>
      </c>
      <c r="CP59" s="54">
        <v>571</v>
      </c>
      <c r="CQ59" s="54">
        <v>569</v>
      </c>
      <c r="CR59" s="54">
        <v>567</v>
      </c>
      <c r="CS59" s="54">
        <v>565</v>
      </c>
      <c r="CT59" s="54">
        <v>564</v>
      </c>
      <c r="CU59" s="54">
        <v>562</v>
      </c>
      <c r="CV59" s="54">
        <v>561</v>
      </c>
      <c r="CW59" s="54">
        <v>560</v>
      </c>
      <c r="CX59" s="54" t="s">
        <v>16</v>
      </c>
      <c r="CY59" s="54" t="s">
        <v>16</v>
      </c>
      <c r="CZ59" s="54" t="s">
        <v>16</v>
      </c>
      <c r="DA59" s="54" t="s">
        <v>16</v>
      </c>
      <c r="DB59" s="54" t="s">
        <v>16</v>
      </c>
      <c r="DC59" s="54" t="s">
        <v>16</v>
      </c>
      <c r="DD59" s="54" t="s">
        <v>16</v>
      </c>
      <c r="DE59" s="54" t="s">
        <v>16</v>
      </c>
      <c r="DF59" s="54" t="s">
        <v>16</v>
      </c>
      <c r="DG59" s="54" t="s">
        <v>16</v>
      </c>
      <c r="DH59" s="54" t="s">
        <v>16</v>
      </c>
      <c r="DI59" s="54" t="s">
        <v>16</v>
      </c>
      <c r="DJ59" s="54" t="s">
        <v>16</v>
      </c>
      <c r="DK59" s="54" t="s">
        <v>16</v>
      </c>
      <c r="DL59" s="54" t="s">
        <v>16</v>
      </c>
      <c r="DM59" s="54" t="s">
        <v>16</v>
      </c>
      <c r="DN59" s="54" t="s">
        <v>16</v>
      </c>
      <c r="DO59" s="54" t="s">
        <v>16</v>
      </c>
      <c r="DP59" s="54" t="s">
        <v>16</v>
      </c>
      <c r="DQ59" s="54" t="s">
        <v>16</v>
      </c>
      <c r="DR59" s="64" t="s">
        <v>16</v>
      </c>
    </row>
    <row r="60" spans="1:122">
      <c r="A60" s="53" t="s">
        <v>95</v>
      </c>
      <c r="B60" s="53"/>
      <c r="C60" s="53" t="s">
        <v>44</v>
      </c>
      <c r="D60" s="53" t="s">
        <v>16</v>
      </c>
      <c r="E60" s="53" t="s">
        <v>16</v>
      </c>
      <c r="F60" s="53" t="s">
        <v>16</v>
      </c>
      <c r="G60" s="69" t="s">
        <v>17</v>
      </c>
      <c r="H60" s="85">
        <v>585</v>
      </c>
      <c r="I60" s="56">
        <v>240</v>
      </c>
      <c r="J60" s="53" t="s">
        <v>18</v>
      </c>
      <c r="K60" s="63" t="s">
        <v>16</v>
      </c>
      <c r="L60" s="34">
        <v>161</v>
      </c>
      <c r="M60" s="34" t="s">
        <v>16</v>
      </c>
      <c r="N60" s="54">
        <v>154</v>
      </c>
      <c r="O60" s="54">
        <v>146</v>
      </c>
      <c r="P60" s="34">
        <v>143</v>
      </c>
      <c r="Q60" s="54">
        <v>140</v>
      </c>
      <c r="R60" s="54">
        <v>137</v>
      </c>
      <c r="S60" s="54">
        <v>134</v>
      </c>
      <c r="T60" s="54">
        <v>131</v>
      </c>
      <c r="U60" s="54">
        <v>129</v>
      </c>
      <c r="V60" s="54">
        <v>126</v>
      </c>
      <c r="W60" s="54">
        <v>124</v>
      </c>
      <c r="X60" s="54">
        <v>122</v>
      </c>
      <c r="Y60" s="54">
        <v>120</v>
      </c>
      <c r="Z60" s="54">
        <v>119</v>
      </c>
      <c r="AA60" s="54">
        <v>119</v>
      </c>
      <c r="AB60" s="54">
        <v>117</v>
      </c>
      <c r="AC60" s="54">
        <v>117</v>
      </c>
      <c r="AD60" s="54">
        <v>117</v>
      </c>
      <c r="AE60" s="34">
        <v>116</v>
      </c>
      <c r="AF60" s="34">
        <v>115</v>
      </c>
      <c r="AG60" s="34">
        <v>113</v>
      </c>
      <c r="AH60" s="34" t="s">
        <v>16</v>
      </c>
      <c r="AI60" s="34" t="s">
        <v>16</v>
      </c>
      <c r="AJ60" s="34" t="s">
        <v>16</v>
      </c>
      <c r="AK60" s="34" t="s">
        <v>16</v>
      </c>
      <c r="AL60" s="34" t="s">
        <v>16</v>
      </c>
      <c r="AM60" s="34" t="s">
        <v>16</v>
      </c>
      <c r="AN60" s="34" t="s">
        <v>16</v>
      </c>
      <c r="AO60" s="34" t="s">
        <v>16</v>
      </c>
      <c r="AP60" s="34" t="s">
        <v>16</v>
      </c>
      <c r="AQ60" s="34" t="s">
        <v>16</v>
      </c>
      <c r="AR60" s="34" t="s">
        <v>16</v>
      </c>
      <c r="AS60" s="34" t="s">
        <v>16</v>
      </c>
      <c r="AT60" s="34" t="s">
        <v>16</v>
      </c>
      <c r="AU60" s="55" t="s">
        <v>16</v>
      </c>
      <c r="AV60" s="57" t="s">
        <v>18</v>
      </c>
      <c r="AW60" s="63">
        <v>586</v>
      </c>
      <c r="AX60" s="34">
        <v>586</v>
      </c>
      <c r="AY60" s="34">
        <v>586</v>
      </c>
      <c r="AZ60" s="34">
        <v>586</v>
      </c>
      <c r="BA60" s="34">
        <v>586</v>
      </c>
      <c r="BB60" s="34">
        <v>586</v>
      </c>
      <c r="BC60" s="34">
        <v>586</v>
      </c>
      <c r="BD60" s="34">
        <v>586</v>
      </c>
      <c r="BE60" s="34">
        <v>586</v>
      </c>
      <c r="BF60" s="34">
        <v>586</v>
      </c>
      <c r="BG60" s="34">
        <v>586</v>
      </c>
      <c r="BH60" s="34">
        <v>586</v>
      </c>
      <c r="BI60" s="34">
        <v>586</v>
      </c>
      <c r="BJ60" s="54">
        <v>585</v>
      </c>
      <c r="BK60" s="54">
        <v>583</v>
      </c>
      <c r="BL60" s="54">
        <v>580</v>
      </c>
      <c r="BM60" s="54">
        <v>577</v>
      </c>
      <c r="BN60" s="54">
        <v>573</v>
      </c>
      <c r="BO60" s="54">
        <v>569</v>
      </c>
      <c r="BP60" s="54">
        <v>564</v>
      </c>
      <c r="BQ60" s="34">
        <v>557</v>
      </c>
      <c r="BR60" s="34">
        <v>549</v>
      </c>
      <c r="BS60" s="34" t="s">
        <v>16</v>
      </c>
      <c r="BT60" s="34" t="s">
        <v>16</v>
      </c>
      <c r="BU60" s="34" t="s">
        <v>16</v>
      </c>
      <c r="BV60" s="34" t="s">
        <v>16</v>
      </c>
      <c r="BW60" s="34" t="s">
        <v>16</v>
      </c>
      <c r="BX60" s="34" t="s">
        <v>16</v>
      </c>
      <c r="BY60" s="34" t="s">
        <v>16</v>
      </c>
      <c r="BZ60" s="34" t="s">
        <v>16</v>
      </c>
      <c r="CA60" s="34" t="s">
        <v>16</v>
      </c>
      <c r="CB60" s="34" t="s">
        <v>16</v>
      </c>
      <c r="CC60" s="34" t="s">
        <v>16</v>
      </c>
      <c r="CD60" s="34" t="s">
        <v>16</v>
      </c>
      <c r="CE60" s="34" t="s">
        <v>16</v>
      </c>
      <c r="CF60" s="34" t="s">
        <v>16</v>
      </c>
      <c r="CG60" s="44" t="s">
        <v>16</v>
      </c>
      <c r="CH60" s="63">
        <v>241</v>
      </c>
      <c r="CI60" s="34">
        <v>241</v>
      </c>
      <c r="CJ60" s="34" t="s">
        <v>16</v>
      </c>
      <c r="CK60" s="54">
        <v>228</v>
      </c>
      <c r="CL60" s="54">
        <v>220</v>
      </c>
      <c r="CM60" s="34">
        <v>214</v>
      </c>
      <c r="CN60" s="54">
        <v>210</v>
      </c>
      <c r="CO60" s="54">
        <v>205</v>
      </c>
      <c r="CP60" s="54">
        <v>201</v>
      </c>
      <c r="CQ60" s="54">
        <v>197</v>
      </c>
      <c r="CR60" s="54">
        <v>193</v>
      </c>
      <c r="CS60" s="54">
        <v>189</v>
      </c>
      <c r="CT60" s="54">
        <v>186</v>
      </c>
      <c r="CU60" s="54">
        <v>183</v>
      </c>
      <c r="CV60" s="54">
        <v>181</v>
      </c>
      <c r="CW60" s="54">
        <v>179</v>
      </c>
      <c r="CX60" s="54">
        <v>177</v>
      </c>
      <c r="CY60" s="54">
        <v>177</v>
      </c>
      <c r="CZ60" s="54">
        <v>175</v>
      </c>
      <c r="DA60" s="54">
        <v>175</v>
      </c>
      <c r="DB60" s="34">
        <v>174</v>
      </c>
      <c r="DC60" s="34">
        <v>172</v>
      </c>
      <c r="DD60" s="34" t="s">
        <v>16</v>
      </c>
      <c r="DE60" s="34" t="s">
        <v>16</v>
      </c>
      <c r="DF60" s="34" t="s">
        <v>16</v>
      </c>
      <c r="DG60" s="34" t="s">
        <v>16</v>
      </c>
      <c r="DH60" s="34" t="s">
        <v>16</v>
      </c>
      <c r="DI60" s="34" t="s">
        <v>16</v>
      </c>
      <c r="DJ60" s="34" t="s">
        <v>16</v>
      </c>
      <c r="DK60" s="34" t="s">
        <v>16</v>
      </c>
      <c r="DL60" s="34" t="s">
        <v>16</v>
      </c>
      <c r="DM60" s="34" t="s">
        <v>16</v>
      </c>
      <c r="DN60" s="34" t="s">
        <v>16</v>
      </c>
      <c r="DO60" s="34" t="s">
        <v>16</v>
      </c>
      <c r="DP60" s="34" t="s">
        <v>16</v>
      </c>
      <c r="DQ60" s="34" t="s">
        <v>16</v>
      </c>
      <c r="DR60" s="55" t="s">
        <v>16</v>
      </c>
    </row>
    <row r="61" spans="1:122">
      <c r="A61" s="53" t="s">
        <v>96</v>
      </c>
      <c r="B61" s="53"/>
      <c r="C61" s="53" t="s">
        <v>15</v>
      </c>
      <c r="D61" s="53" t="s">
        <v>16</v>
      </c>
      <c r="E61" s="53" t="s">
        <v>16</v>
      </c>
      <c r="F61" s="62" t="s">
        <v>16</v>
      </c>
      <c r="G61" s="82" t="s">
        <v>17</v>
      </c>
      <c r="H61" s="137">
        <v>1172</v>
      </c>
      <c r="I61" s="96">
        <v>1034</v>
      </c>
      <c r="J61" s="62" t="s">
        <v>16</v>
      </c>
      <c r="K61" s="63" t="s">
        <v>16</v>
      </c>
      <c r="L61" s="34" t="s">
        <v>16</v>
      </c>
      <c r="M61" s="34" t="s">
        <v>16</v>
      </c>
      <c r="N61" s="34" t="s">
        <v>16</v>
      </c>
      <c r="O61" s="34" t="s">
        <v>16</v>
      </c>
      <c r="P61" s="34" t="s">
        <v>16</v>
      </c>
      <c r="Q61" s="34" t="s">
        <v>16</v>
      </c>
      <c r="R61" s="34" t="s">
        <v>16</v>
      </c>
      <c r="S61" s="34" t="s">
        <v>16</v>
      </c>
      <c r="T61" s="34" t="s">
        <v>16</v>
      </c>
      <c r="U61" s="34" t="s">
        <v>16</v>
      </c>
      <c r="V61" s="34" t="s">
        <v>16</v>
      </c>
      <c r="W61" s="34" t="s">
        <v>16</v>
      </c>
      <c r="X61" s="34" t="s">
        <v>16</v>
      </c>
      <c r="Y61" s="34" t="s">
        <v>16</v>
      </c>
      <c r="Z61" s="34" t="s">
        <v>16</v>
      </c>
      <c r="AA61" s="34" t="s">
        <v>16</v>
      </c>
      <c r="AB61" s="34" t="s">
        <v>16</v>
      </c>
      <c r="AC61" s="34" t="s">
        <v>16</v>
      </c>
      <c r="AD61" s="34" t="s">
        <v>16</v>
      </c>
      <c r="AE61" s="34" t="s">
        <v>16</v>
      </c>
      <c r="AF61" s="34" t="s">
        <v>16</v>
      </c>
      <c r="AG61" s="34" t="s">
        <v>16</v>
      </c>
      <c r="AH61" s="34" t="s">
        <v>16</v>
      </c>
      <c r="AI61" s="34" t="s">
        <v>16</v>
      </c>
      <c r="AJ61" s="34" t="s">
        <v>16</v>
      </c>
      <c r="AK61" s="34" t="s">
        <v>16</v>
      </c>
      <c r="AL61" s="34" t="s">
        <v>16</v>
      </c>
      <c r="AM61" s="34" t="s">
        <v>16</v>
      </c>
      <c r="AN61" s="34" t="s">
        <v>16</v>
      </c>
      <c r="AO61" s="34" t="s">
        <v>16</v>
      </c>
      <c r="AP61" s="34" t="s">
        <v>16</v>
      </c>
      <c r="AQ61" s="34" t="s">
        <v>16</v>
      </c>
      <c r="AR61" s="34" t="s">
        <v>16</v>
      </c>
      <c r="AS61" s="34" t="s">
        <v>16</v>
      </c>
      <c r="AT61" s="34" t="s">
        <v>16</v>
      </c>
      <c r="AU61" s="55" t="s">
        <v>16</v>
      </c>
      <c r="AV61" s="140" t="s">
        <v>17</v>
      </c>
      <c r="AW61" s="63">
        <v>827</v>
      </c>
      <c r="AX61" s="34">
        <v>827</v>
      </c>
      <c r="AY61" s="34">
        <v>827</v>
      </c>
      <c r="AZ61" s="34">
        <v>827</v>
      </c>
      <c r="BA61" s="34">
        <v>827</v>
      </c>
      <c r="BB61" s="34">
        <v>827</v>
      </c>
      <c r="BC61" s="34">
        <v>827</v>
      </c>
      <c r="BD61" s="34">
        <v>827</v>
      </c>
      <c r="BE61" s="34">
        <v>827</v>
      </c>
      <c r="BF61" s="34" t="s">
        <v>16</v>
      </c>
      <c r="BG61" s="34" t="s">
        <v>16</v>
      </c>
      <c r="BH61" s="34" t="s">
        <v>16</v>
      </c>
      <c r="BI61" s="34" t="s">
        <v>16</v>
      </c>
      <c r="BJ61" s="34" t="s">
        <v>16</v>
      </c>
      <c r="BK61" s="34" t="s">
        <v>16</v>
      </c>
      <c r="BL61" s="34" t="s">
        <v>16</v>
      </c>
      <c r="BM61" s="34" t="s">
        <v>16</v>
      </c>
      <c r="BN61" s="34" t="s">
        <v>16</v>
      </c>
      <c r="BO61" s="34" t="s">
        <v>16</v>
      </c>
      <c r="BP61" s="34" t="s">
        <v>16</v>
      </c>
      <c r="BQ61" s="34" t="s">
        <v>16</v>
      </c>
      <c r="BR61" s="34" t="s">
        <v>16</v>
      </c>
      <c r="BS61" s="34" t="s">
        <v>16</v>
      </c>
      <c r="BT61" s="34" t="s">
        <v>16</v>
      </c>
      <c r="BU61" s="34" t="s">
        <v>16</v>
      </c>
      <c r="BV61" s="34" t="s">
        <v>16</v>
      </c>
      <c r="BW61" s="34" t="s">
        <v>16</v>
      </c>
      <c r="BX61" s="34" t="s">
        <v>16</v>
      </c>
      <c r="BY61" s="34" t="s">
        <v>16</v>
      </c>
      <c r="BZ61" s="34" t="s">
        <v>16</v>
      </c>
      <c r="CA61" s="34" t="s">
        <v>16</v>
      </c>
      <c r="CB61" s="34" t="s">
        <v>16</v>
      </c>
      <c r="CC61" s="34" t="s">
        <v>16</v>
      </c>
      <c r="CD61" s="34" t="s">
        <v>16</v>
      </c>
      <c r="CE61" s="34" t="s">
        <v>16</v>
      </c>
      <c r="CF61" s="34" t="s">
        <v>16</v>
      </c>
      <c r="CG61" s="44" t="s">
        <v>16</v>
      </c>
      <c r="CH61" s="63">
        <v>689</v>
      </c>
      <c r="CI61" s="34" t="s">
        <v>16</v>
      </c>
      <c r="CJ61" s="34">
        <v>680</v>
      </c>
      <c r="CK61" s="34">
        <v>660</v>
      </c>
      <c r="CL61" s="34">
        <v>643</v>
      </c>
      <c r="CM61" s="34">
        <v>632</v>
      </c>
      <c r="CN61" s="34">
        <v>622</v>
      </c>
      <c r="CO61" s="34">
        <v>614</v>
      </c>
      <c r="CP61" s="34">
        <v>607</v>
      </c>
      <c r="CQ61" s="34" t="s">
        <v>16</v>
      </c>
      <c r="CR61" s="34" t="s">
        <v>16</v>
      </c>
      <c r="CS61" s="34" t="s">
        <v>16</v>
      </c>
      <c r="CT61" s="34" t="s">
        <v>16</v>
      </c>
      <c r="CU61" s="34" t="s">
        <v>16</v>
      </c>
      <c r="CV61" s="34" t="s">
        <v>16</v>
      </c>
      <c r="CW61" s="34" t="s">
        <v>16</v>
      </c>
      <c r="CX61" s="34" t="s">
        <v>16</v>
      </c>
      <c r="CY61" s="34" t="s">
        <v>16</v>
      </c>
      <c r="CZ61" s="34" t="s">
        <v>16</v>
      </c>
      <c r="DA61" s="34" t="s">
        <v>16</v>
      </c>
      <c r="DB61" s="34" t="s">
        <v>16</v>
      </c>
      <c r="DC61" s="34" t="s">
        <v>16</v>
      </c>
      <c r="DD61" s="34" t="s">
        <v>16</v>
      </c>
      <c r="DE61" s="34" t="s">
        <v>16</v>
      </c>
      <c r="DF61" s="34" t="s">
        <v>16</v>
      </c>
      <c r="DG61" s="34" t="s">
        <v>16</v>
      </c>
      <c r="DH61" s="34" t="s">
        <v>16</v>
      </c>
      <c r="DI61" s="34" t="s">
        <v>16</v>
      </c>
      <c r="DJ61" s="34" t="s">
        <v>16</v>
      </c>
      <c r="DK61" s="34" t="s">
        <v>16</v>
      </c>
      <c r="DL61" s="34" t="s">
        <v>16</v>
      </c>
      <c r="DM61" s="34" t="s">
        <v>16</v>
      </c>
      <c r="DN61" s="34" t="s">
        <v>16</v>
      </c>
      <c r="DO61" s="34" t="s">
        <v>16</v>
      </c>
      <c r="DP61" s="34" t="s">
        <v>16</v>
      </c>
      <c r="DQ61" s="34" t="s">
        <v>16</v>
      </c>
      <c r="DR61" s="55" t="s">
        <v>16</v>
      </c>
    </row>
    <row r="62" spans="1:122">
      <c r="A62" s="53" t="s">
        <v>97</v>
      </c>
      <c r="B62" s="53"/>
      <c r="C62" s="53" t="str">
        <f>C61</f>
        <v>bar</v>
      </c>
      <c r="D62" s="53" t="s">
        <v>16</v>
      </c>
      <c r="E62" s="53" t="s">
        <v>16</v>
      </c>
      <c r="F62" s="53" t="s">
        <v>16</v>
      </c>
      <c r="G62" s="82" t="s">
        <v>17</v>
      </c>
      <c r="H62" s="85">
        <v>1310</v>
      </c>
      <c r="I62" s="56">
        <v>1172</v>
      </c>
      <c r="J62" s="53" t="s">
        <v>16</v>
      </c>
      <c r="K62" s="63" t="s">
        <v>16</v>
      </c>
      <c r="L62" s="34" t="s">
        <v>16</v>
      </c>
      <c r="M62" s="34" t="s">
        <v>16</v>
      </c>
      <c r="N62" s="34" t="s">
        <v>16</v>
      </c>
      <c r="O62" s="34" t="s">
        <v>16</v>
      </c>
      <c r="P62" s="34" t="s">
        <v>16</v>
      </c>
      <c r="Q62" s="34" t="s">
        <v>16</v>
      </c>
      <c r="R62" s="34" t="s">
        <v>16</v>
      </c>
      <c r="S62" s="34" t="s">
        <v>16</v>
      </c>
      <c r="T62" s="34" t="s">
        <v>16</v>
      </c>
      <c r="U62" s="34" t="s">
        <v>16</v>
      </c>
      <c r="V62" s="34" t="s">
        <v>16</v>
      </c>
      <c r="W62" s="34" t="s">
        <v>16</v>
      </c>
      <c r="X62" s="34" t="s">
        <v>16</v>
      </c>
      <c r="Y62" s="34" t="s">
        <v>16</v>
      </c>
      <c r="Z62" s="34" t="s">
        <v>16</v>
      </c>
      <c r="AA62" s="34" t="s">
        <v>16</v>
      </c>
      <c r="AB62" s="34" t="s">
        <v>16</v>
      </c>
      <c r="AC62" s="34" t="s">
        <v>16</v>
      </c>
      <c r="AD62" s="34" t="s">
        <v>16</v>
      </c>
      <c r="AE62" s="34" t="s">
        <v>16</v>
      </c>
      <c r="AF62" s="34" t="s">
        <v>16</v>
      </c>
      <c r="AG62" s="34" t="s">
        <v>16</v>
      </c>
      <c r="AH62" s="34" t="s">
        <v>16</v>
      </c>
      <c r="AI62" s="34" t="s">
        <v>16</v>
      </c>
      <c r="AJ62" s="34" t="s">
        <v>16</v>
      </c>
      <c r="AK62" s="34" t="s">
        <v>16</v>
      </c>
      <c r="AL62" s="34" t="s">
        <v>16</v>
      </c>
      <c r="AM62" s="34" t="s">
        <v>16</v>
      </c>
      <c r="AN62" s="34" t="s">
        <v>16</v>
      </c>
      <c r="AO62" s="34" t="s">
        <v>16</v>
      </c>
      <c r="AP62" s="34" t="s">
        <v>16</v>
      </c>
      <c r="AQ62" s="34" t="s">
        <v>16</v>
      </c>
      <c r="AR62" s="34" t="s">
        <v>16</v>
      </c>
      <c r="AS62" s="34" t="s">
        <v>16</v>
      </c>
      <c r="AT62" s="34" t="s">
        <v>16</v>
      </c>
      <c r="AU62" s="55" t="s">
        <v>16</v>
      </c>
      <c r="AV62" s="57" t="str">
        <f>AV61</f>
        <v>ASTM</v>
      </c>
      <c r="AW62" s="63">
        <f t="shared" ref="AW62:AX68" si="71">AW61</f>
        <v>827</v>
      </c>
      <c r="AX62" s="34">
        <f t="shared" si="71"/>
        <v>827</v>
      </c>
      <c r="AY62" s="34">
        <f t="shared" ref="AY62:AY68" si="72">AY61</f>
        <v>827</v>
      </c>
      <c r="AZ62" s="34">
        <f t="shared" ref="AZ62:AZ68" si="73">AZ61</f>
        <v>827</v>
      </c>
      <c r="BA62" s="34">
        <f t="shared" ref="BA62:BA68" si="74">BA61</f>
        <v>827</v>
      </c>
      <c r="BB62" s="34">
        <f t="shared" ref="BB62:BB68" si="75">BB61</f>
        <v>827</v>
      </c>
      <c r="BC62" s="34">
        <f t="shared" ref="BC62:BC68" si="76">BC61</f>
        <v>827</v>
      </c>
      <c r="BD62" s="34">
        <f t="shared" ref="BD62:BD68" si="77">BD61</f>
        <v>827</v>
      </c>
      <c r="BE62" s="34">
        <f t="shared" ref="BE62:BE68" si="78">BE61</f>
        <v>827</v>
      </c>
      <c r="BF62" s="34" t="str">
        <f t="shared" ref="BF62:BF68" si="79">BF61</f>
        <v>-</v>
      </c>
      <c r="BG62" s="34" t="str">
        <f t="shared" ref="BG62:BG68" si="80">BG61</f>
        <v>-</v>
      </c>
      <c r="BH62" s="34" t="str">
        <f t="shared" ref="BH62:BH68" si="81">BH61</f>
        <v>-</v>
      </c>
      <c r="BI62" s="34" t="str">
        <f t="shared" ref="BI62:BI68" si="82">BI61</f>
        <v>-</v>
      </c>
      <c r="BJ62" s="34" t="str">
        <f t="shared" ref="BJ62:BJ68" si="83">BJ61</f>
        <v>-</v>
      </c>
      <c r="BK62" s="34" t="str">
        <f t="shared" ref="BK62:BK68" si="84">BK61</f>
        <v>-</v>
      </c>
      <c r="BL62" s="34" t="str">
        <f t="shared" ref="BL62:BL68" si="85">BL61</f>
        <v>-</v>
      </c>
      <c r="BM62" s="34" t="str">
        <f t="shared" ref="BM62:BM68" si="86">BM61</f>
        <v>-</v>
      </c>
      <c r="BN62" s="34" t="str">
        <f t="shared" ref="BN62:BN68" si="87">BN61</f>
        <v>-</v>
      </c>
      <c r="BO62" s="34" t="str">
        <f t="shared" ref="BO62:BO68" si="88">BO61</f>
        <v>-</v>
      </c>
      <c r="BP62" s="34" t="str">
        <f t="shared" ref="BP62:BP68" si="89">BP61</f>
        <v>-</v>
      </c>
      <c r="BQ62" s="34" t="str">
        <f t="shared" ref="BQ62:BQ68" si="90">BQ61</f>
        <v>-</v>
      </c>
      <c r="BR62" s="34" t="str">
        <f t="shared" ref="BR62:BR68" si="91">BR61</f>
        <v>-</v>
      </c>
      <c r="BS62" s="34" t="str">
        <f t="shared" ref="BS62:BS68" si="92">BS61</f>
        <v>-</v>
      </c>
      <c r="BT62" s="34" t="str">
        <f t="shared" ref="BT62:BT68" si="93">BT61</f>
        <v>-</v>
      </c>
      <c r="BU62" s="34" t="str">
        <f t="shared" ref="BU62:BU68" si="94">BU61</f>
        <v>-</v>
      </c>
      <c r="BV62" s="34" t="str">
        <f t="shared" ref="BV62:BV68" si="95">BV61</f>
        <v>-</v>
      </c>
      <c r="BW62" s="34" t="str">
        <f t="shared" ref="BW62:BW68" si="96">BW61</f>
        <v>-</v>
      </c>
      <c r="BX62" s="34" t="str">
        <f t="shared" ref="BX62:BX68" si="97">BX61</f>
        <v>-</v>
      </c>
      <c r="BY62" s="34" t="str">
        <f t="shared" ref="BY62:BY68" si="98">BY61</f>
        <v>-</v>
      </c>
      <c r="BZ62" s="34" t="str">
        <f t="shared" ref="BZ62:BZ68" si="99">BZ61</f>
        <v>-</v>
      </c>
      <c r="CA62" s="34" t="str">
        <f t="shared" ref="CA62:CA68" si="100">CA61</f>
        <v>-</v>
      </c>
      <c r="CB62" s="34" t="str">
        <f t="shared" ref="CB62:CB68" si="101">CB61</f>
        <v>-</v>
      </c>
      <c r="CC62" s="34" t="str">
        <f t="shared" ref="CC62:CC68" si="102">CC61</f>
        <v>-</v>
      </c>
      <c r="CD62" s="34" t="str">
        <f t="shared" ref="CD62:CD68" si="103">CD61</f>
        <v>-</v>
      </c>
      <c r="CE62" s="34" t="str">
        <f t="shared" ref="CE62:CE68" si="104">CE61</f>
        <v>-</v>
      </c>
      <c r="CF62" s="34" t="str">
        <f t="shared" ref="CF62:CF68" si="105">CF61</f>
        <v>-</v>
      </c>
      <c r="CG62" s="44" t="str">
        <f t="shared" ref="CG62:CG68" si="106">CG61</f>
        <v>-</v>
      </c>
      <c r="CH62" s="63">
        <f t="shared" ref="CH62:CH68" si="107">CH61</f>
        <v>689</v>
      </c>
      <c r="CI62" s="34" t="str">
        <f t="shared" ref="CI62:CI68" si="108">CI61</f>
        <v>-</v>
      </c>
      <c r="CJ62" s="34">
        <f t="shared" ref="CJ62:CJ68" si="109">CJ61</f>
        <v>680</v>
      </c>
      <c r="CK62" s="34">
        <f t="shared" ref="CK62:CK68" si="110">CK61</f>
        <v>660</v>
      </c>
      <c r="CL62" s="34">
        <f t="shared" ref="CL62:CL68" si="111">CL61</f>
        <v>643</v>
      </c>
      <c r="CM62" s="34">
        <f t="shared" ref="CM62:CM68" si="112">CM61</f>
        <v>632</v>
      </c>
      <c r="CN62" s="34">
        <f t="shared" ref="CN62:CN68" si="113">CN61</f>
        <v>622</v>
      </c>
      <c r="CO62" s="34">
        <f t="shared" ref="CO62:CO68" si="114">CO61</f>
        <v>614</v>
      </c>
      <c r="CP62" s="34">
        <f t="shared" ref="CP62:CP68" si="115">CP61</f>
        <v>607</v>
      </c>
      <c r="CQ62" s="34" t="str">
        <f t="shared" ref="CQ62:CQ68" si="116">CQ61</f>
        <v>-</v>
      </c>
      <c r="CR62" s="34" t="str">
        <f t="shared" ref="CR62:CR68" si="117">CR61</f>
        <v>-</v>
      </c>
      <c r="CS62" s="34" t="str">
        <f t="shared" ref="CS62:CS68" si="118">CS61</f>
        <v>-</v>
      </c>
      <c r="CT62" s="34" t="str">
        <f t="shared" ref="CT62:CT68" si="119">CT61</f>
        <v>-</v>
      </c>
      <c r="CU62" s="34" t="str">
        <f t="shared" ref="CU62:CU68" si="120">CU61</f>
        <v>-</v>
      </c>
      <c r="CV62" s="34" t="str">
        <f t="shared" ref="CV62:CV68" si="121">CV61</f>
        <v>-</v>
      </c>
      <c r="CW62" s="34" t="str">
        <f t="shared" ref="CW62:CW68" si="122">CW61</f>
        <v>-</v>
      </c>
      <c r="CX62" s="34" t="str">
        <f t="shared" ref="CX62:CX68" si="123">CX61</f>
        <v>-</v>
      </c>
      <c r="CY62" s="34" t="str">
        <f t="shared" ref="CY62:CY68" si="124">CY61</f>
        <v>-</v>
      </c>
      <c r="CZ62" s="34" t="str">
        <f t="shared" ref="CZ62:CZ68" si="125">CZ61</f>
        <v>-</v>
      </c>
      <c r="DA62" s="34" t="str">
        <f t="shared" ref="DA62:DA68" si="126">DA61</f>
        <v>-</v>
      </c>
      <c r="DB62" s="34" t="str">
        <f t="shared" ref="DB62:DB68" si="127">DB61</f>
        <v>-</v>
      </c>
      <c r="DC62" s="34" t="str">
        <f t="shared" ref="DC62:DC68" si="128">DC61</f>
        <v>-</v>
      </c>
      <c r="DD62" s="34" t="str">
        <f t="shared" ref="DD62:DD68" si="129">DD61</f>
        <v>-</v>
      </c>
      <c r="DE62" s="34" t="str">
        <f t="shared" ref="DE62:DE68" si="130">DE61</f>
        <v>-</v>
      </c>
      <c r="DF62" s="34" t="str">
        <f t="shared" ref="DF62:DF68" si="131">DF61</f>
        <v>-</v>
      </c>
      <c r="DG62" s="34" t="str">
        <f t="shared" ref="DG62:DG68" si="132">DG61</f>
        <v>-</v>
      </c>
      <c r="DH62" s="34" t="str">
        <f t="shared" ref="DH62:DH68" si="133">DH61</f>
        <v>-</v>
      </c>
      <c r="DI62" s="34" t="str">
        <f t="shared" ref="DI62:DI68" si="134">DI61</f>
        <v>-</v>
      </c>
      <c r="DJ62" s="34" t="str">
        <f t="shared" ref="DJ62:DJ68" si="135">DJ61</f>
        <v>-</v>
      </c>
      <c r="DK62" s="34" t="str">
        <f t="shared" ref="DK62:DK68" si="136">DK61</f>
        <v>-</v>
      </c>
      <c r="DL62" s="34" t="str">
        <f t="shared" ref="DL62:DL68" si="137">DL61</f>
        <v>-</v>
      </c>
      <c r="DM62" s="34" t="str">
        <f t="shared" ref="DM62:DM68" si="138">DM61</f>
        <v>-</v>
      </c>
      <c r="DN62" s="34" t="str">
        <f t="shared" ref="DN62:DN68" si="139">DN61</f>
        <v>-</v>
      </c>
      <c r="DO62" s="34" t="str">
        <f t="shared" ref="DO62:DO68" si="140">DO61</f>
        <v>-</v>
      </c>
      <c r="DP62" s="34" t="str">
        <f t="shared" ref="DP62:DP68" si="141">DP61</f>
        <v>-</v>
      </c>
      <c r="DQ62" s="34" t="str">
        <f t="shared" ref="DQ62:DQ68" si="142">DQ61</f>
        <v>-</v>
      </c>
      <c r="DR62" s="55" t="str">
        <f t="shared" ref="DR62:DR68" si="143">DR61</f>
        <v>-</v>
      </c>
    </row>
    <row r="63" spans="1:122">
      <c r="A63" s="53" t="s">
        <v>98</v>
      </c>
      <c r="B63" s="53"/>
      <c r="C63" s="53" t="str">
        <f>C62</f>
        <v>bar</v>
      </c>
      <c r="D63" s="62" t="s">
        <v>16</v>
      </c>
      <c r="E63" s="62" t="s">
        <v>16</v>
      </c>
      <c r="F63" s="53" t="s">
        <v>16</v>
      </c>
      <c r="G63" s="82" t="s">
        <v>17</v>
      </c>
      <c r="H63" s="85">
        <v>1310</v>
      </c>
      <c r="I63" s="56">
        <v>1172</v>
      </c>
      <c r="J63" s="53" t="s">
        <v>16</v>
      </c>
      <c r="K63" s="63" t="s">
        <v>16</v>
      </c>
      <c r="L63" s="34" t="s">
        <v>16</v>
      </c>
      <c r="M63" s="34" t="s">
        <v>16</v>
      </c>
      <c r="N63" s="34" t="s">
        <v>16</v>
      </c>
      <c r="O63" s="34" t="s">
        <v>16</v>
      </c>
      <c r="P63" s="34" t="s">
        <v>16</v>
      </c>
      <c r="Q63" s="34" t="s">
        <v>16</v>
      </c>
      <c r="R63" s="34" t="s">
        <v>16</v>
      </c>
      <c r="S63" s="34" t="s">
        <v>16</v>
      </c>
      <c r="T63" s="34" t="s">
        <v>16</v>
      </c>
      <c r="U63" s="34" t="s">
        <v>16</v>
      </c>
      <c r="V63" s="34" t="s">
        <v>16</v>
      </c>
      <c r="W63" s="34" t="s">
        <v>16</v>
      </c>
      <c r="X63" s="34" t="s">
        <v>16</v>
      </c>
      <c r="Y63" s="34" t="s">
        <v>16</v>
      </c>
      <c r="Z63" s="34" t="s">
        <v>16</v>
      </c>
      <c r="AA63" s="34" t="s">
        <v>16</v>
      </c>
      <c r="AB63" s="34" t="s">
        <v>16</v>
      </c>
      <c r="AC63" s="34" t="s">
        <v>16</v>
      </c>
      <c r="AD63" s="34" t="s">
        <v>16</v>
      </c>
      <c r="AE63" s="34" t="s">
        <v>16</v>
      </c>
      <c r="AF63" s="34" t="s">
        <v>16</v>
      </c>
      <c r="AG63" s="34" t="s">
        <v>16</v>
      </c>
      <c r="AH63" s="34" t="s">
        <v>16</v>
      </c>
      <c r="AI63" s="34" t="s">
        <v>16</v>
      </c>
      <c r="AJ63" s="34" t="s">
        <v>16</v>
      </c>
      <c r="AK63" s="34" t="s">
        <v>16</v>
      </c>
      <c r="AL63" s="34" t="s">
        <v>16</v>
      </c>
      <c r="AM63" s="34" t="s">
        <v>16</v>
      </c>
      <c r="AN63" s="34" t="s">
        <v>16</v>
      </c>
      <c r="AO63" s="34" t="s">
        <v>16</v>
      </c>
      <c r="AP63" s="34" t="s">
        <v>16</v>
      </c>
      <c r="AQ63" s="34" t="s">
        <v>16</v>
      </c>
      <c r="AR63" s="34" t="s">
        <v>16</v>
      </c>
      <c r="AS63" s="34" t="s">
        <v>16</v>
      </c>
      <c r="AT63" s="34" t="s">
        <v>16</v>
      </c>
      <c r="AU63" s="55" t="s">
        <v>16</v>
      </c>
      <c r="AV63" s="57" t="str">
        <f t="shared" ref="AV63:AV68" si="144">AV62</f>
        <v>ASTM</v>
      </c>
      <c r="AW63" s="63">
        <f t="shared" si="71"/>
        <v>827</v>
      </c>
      <c r="AX63" s="34">
        <f t="shared" si="71"/>
        <v>827</v>
      </c>
      <c r="AY63" s="34">
        <f t="shared" si="72"/>
        <v>827</v>
      </c>
      <c r="AZ63" s="34">
        <f t="shared" si="73"/>
        <v>827</v>
      </c>
      <c r="BA63" s="34">
        <f t="shared" si="74"/>
        <v>827</v>
      </c>
      <c r="BB63" s="34">
        <f t="shared" si="75"/>
        <v>827</v>
      </c>
      <c r="BC63" s="34">
        <f t="shared" si="76"/>
        <v>827</v>
      </c>
      <c r="BD63" s="34">
        <f t="shared" si="77"/>
        <v>827</v>
      </c>
      <c r="BE63" s="34">
        <f t="shared" si="78"/>
        <v>827</v>
      </c>
      <c r="BF63" s="34" t="str">
        <f t="shared" si="79"/>
        <v>-</v>
      </c>
      <c r="BG63" s="34" t="str">
        <f t="shared" si="80"/>
        <v>-</v>
      </c>
      <c r="BH63" s="34" t="str">
        <f t="shared" si="81"/>
        <v>-</v>
      </c>
      <c r="BI63" s="34" t="str">
        <f t="shared" si="82"/>
        <v>-</v>
      </c>
      <c r="BJ63" s="34" t="str">
        <f t="shared" si="83"/>
        <v>-</v>
      </c>
      <c r="BK63" s="34" t="str">
        <f t="shared" si="84"/>
        <v>-</v>
      </c>
      <c r="BL63" s="34" t="str">
        <f t="shared" si="85"/>
        <v>-</v>
      </c>
      <c r="BM63" s="34" t="str">
        <f t="shared" si="86"/>
        <v>-</v>
      </c>
      <c r="BN63" s="34" t="str">
        <f t="shared" si="87"/>
        <v>-</v>
      </c>
      <c r="BO63" s="34" t="str">
        <f t="shared" si="88"/>
        <v>-</v>
      </c>
      <c r="BP63" s="34" t="str">
        <f t="shared" si="89"/>
        <v>-</v>
      </c>
      <c r="BQ63" s="34" t="str">
        <f t="shared" si="90"/>
        <v>-</v>
      </c>
      <c r="BR63" s="34" t="str">
        <f t="shared" si="91"/>
        <v>-</v>
      </c>
      <c r="BS63" s="34" t="str">
        <f t="shared" si="92"/>
        <v>-</v>
      </c>
      <c r="BT63" s="34" t="str">
        <f t="shared" si="93"/>
        <v>-</v>
      </c>
      <c r="BU63" s="34" t="str">
        <f t="shared" si="94"/>
        <v>-</v>
      </c>
      <c r="BV63" s="34" t="str">
        <f t="shared" si="95"/>
        <v>-</v>
      </c>
      <c r="BW63" s="34" t="str">
        <f t="shared" si="96"/>
        <v>-</v>
      </c>
      <c r="BX63" s="34" t="str">
        <f t="shared" si="97"/>
        <v>-</v>
      </c>
      <c r="BY63" s="34" t="str">
        <f t="shared" si="98"/>
        <v>-</v>
      </c>
      <c r="BZ63" s="34" t="str">
        <f t="shared" si="99"/>
        <v>-</v>
      </c>
      <c r="CA63" s="34" t="str">
        <f t="shared" si="100"/>
        <v>-</v>
      </c>
      <c r="CB63" s="34" t="str">
        <f t="shared" si="101"/>
        <v>-</v>
      </c>
      <c r="CC63" s="34" t="str">
        <f t="shared" si="102"/>
        <v>-</v>
      </c>
      <c r="CD63" s="34" t="str">
        <f t="shared" si="103"/>
        <v>-</v>
      </c>
      <c r="CE63" s="34" t="str">
        <f t="shared" si="104"/>
        <v>-</v>
      </c>
      <c r="CF63" s="34" t="str">
        <f t="shared" si="105"/>
        <v>-</v>
      </c>
      <c r="CG63" s="44" t="str">
        <f t="shared" si="106"/>
        <v>-</v>
      </c>
      <c r="CH63" s="63">
        <f t="shared" si="107"/>
        <v>689</v>
      </c>
      <c r="CI63" s="34" t="str">
        <f t="shared" si="108"/>
        <v>-</v>
      </c>
      <c r="CJ63" s="34">
        <f t="shared" si="109"/>
        <v>680</v>
      </c>
      <c r="CK63" s="34">
        <f t="shared" si="110"/>
        <v>660</v>
      </c>
      <c r="CL63" s="34">
        <f t="shared" si="111"/>
        <v>643</v>
      </c>
      <c r="CM63" s="34">
        <f t="shared" si="112"/>
        <v>632</v>
      </c>
      <c r="CN63" s="34">
        <f t="shared" si="113"/>
        <v>622</v>
      </c>
      <c r="CO63" s="34">
        <f t="shared" si="114"/>
        <v>614</v>
      </c>
      <c r="CP63" s="34">
        <f t="shared" si="115"/>
        <v>607</v>
      </c>
      <c r="CQ63" s="34" t="str">
        <f t="shared" si="116"/>
        <v>-</v>
      </c>
      <c r="CR63" s="34" t="str">
        <f t="shared" si="117"/>
        <v>-</v>
      </c>
      <c r="CS63" s="34" t="str">
        <f t="shared" si="118"/>
        <v>-</v>
      </c>
      <c r="CT63" s="34" t="str">
        <f t="shared" si="119"/>
        <v>-</v>
      </c>
      <c r="CU63" s="34" t="str">
        <f t="shared" si="120"/>
        <v>-</v>
      </c>
      <c r="CV63" s="34" t="str">
        <f t="shared" si="121"/>
        <v>-</v>
      </c>
      <c r="CW63" s="34" t="str">
        <f t="shared" si="122"/>
        <v>-</v>
      </c>
      <c r="CX63" s="34" t="str">
        <f t="shared" si="123"/>
        <v>-</v>
      </c>
      <c r="CY63" s="34" t="str">
        <f t="shared" si="124"/>
        <v>-</v>
      </c>
      <c r="CZ63" s="34" t="str">
        <f t="shared" si="125"/>
        <v>-</v>
      </c>
      <c r="DA63" s="34" t="str">
        <f t="shared" si="126"/>
        <v>-</v>
      </c>
      <c r="DB63" s="34" t="str">
        <f t="shared" si="127"/>
        <v>-</v>
      </c>
      <c r="DC63" s="34" t="str">
        <f t="shared" si="128"/>
        <v>-</v>
      </c>
      <c r="DD63" s="34" t="str">
        <f t="shared" si="129"/>
        <v>-</v>
      </c>
      <c r="DE63" s="34" t="str">
        <f t="shared" si="130"/>
        <v>-</v>
      </c>
      <c r="DF63" s="34" t="str">
        <f t="shared" si="131"/>
        <v>-</v>
      </c>
      <c r="DG63" s="34" t="str">
        <f t="shared" si="132"/>
        <v>-</v>
      </c>
      <c r="DH63" s="34" t="str">
        <f t="shared" si="133"/>
        <v>-</v>
      </c>
      <c r="DI63" s="34" t="str">
        <f t="shared" si="134"/>
        <v>-</v>
      </c>
      <c r="DJ63" s="34" t="str">
        <f t="shared" si="135"/>
        <v>-</v>
      </c>
      <c r="DK63" s="34" t="str">
        <f t="shared" si="136"/>
        <v>-</v>
      </c>
      <c r="DL63" s="34" t="str">
        <f t="shared" si="137"/>
        <v>-</v>
      </c>
      <c r="DM63" s="34" t="str">
        <f t="shared" si="138"/>
        <v>-</v>
      </c>
      <c r="DN63" s="34" t="str">
        <f t="shared" si="139"/>
        <v>-</v>
      </c>
      <c r="DO63" s="34" t="str">
        <f t="shared" si="140"/>
        <v>-</v>
      </c>
      <c r="DP63" s="34" t="str">
        <f t="shared" si="141"/>
        <v>-</v>
      </c>
      <c r="DQ63" s="34" t="str">
        <f t="shared" si="142"/>
        <v>-</v>
      </c>
      <c r="DR63" s="55" t="str">
        <f t="shared" si="143"/>
        <v>-</v>
      </c>
    </row>
    <row r="64" spans="1:122">
      <c r="A64" s="53" t="s">
        <v>99</v>
      </c>
      <c r="B64" s="53"/>
      <c r="C64" s="53" t="str">
        <f>C63</f>
        <v>bar</v>
      </c>
      <c r="D64" s="53" t="s">
        <v>16</v>
      </c>
      <c r="E64" s="53" t="s">
        <v>16</v>
      </c>
      <c r="F64" s="62" t="s">
        <v>16</v>
      </c>
      <c r="G64" s="82" t="s">
        <v>17</v>
      </c>
      <c r="H64" s="85">
        <v>1172</v>
      </c>
      <c r="I64" s="56">
        <v>1034</v>
      </c>
      <c r="J64" s="53" t="s">
        <v>16</v>
      </c>
      <c r="K64" s="63" t="s">
        <v>16</v>
      </c>
      <c r="L64" s="34" t="s">
        <v>16</v>
      </c>
      <c r="M64" s="34" t="s">
        <v>16</v>
      </c>
      <c r="N64" s="34" t="s">
        <v>16</v>
      </c>
      <c r="O64" s="34" t="s">
        <v>16</v>
      </c>
      <c r="P64" s="34" t="s">
        <v>16</v>
      </c>
      <c r="Q64" s="34" t="s">
        <v>16</v>
      </c>
      <c r="R64" s="34" t="s">
        <v>16</v>
      </c>
      <c r="S64" s="34" t="s">
        <v>16</v>
      </c>
      <c r="T64" s="34" t="s">
        <v>16</v>
      </c>
      <c r="U64" s="34" t="s">
        <v>16</v>
      </c>
      <c r="V64" s="34" t="s">
        <v>16</v>
      </c>
      <c r="W64" s="34" t="s">
        <v>16</v>
      </c>
      <c r="X64" s="34" t="s">
        <v>16</v>
      </c>
      <c r="Y64" s="34" t="s">
        <v>16</v>
      </c>
      <c r="Z64" s="34" t="s">
        <v>16</v>
      </c>
      <c r="AA64" s="34" t="s">
        <v>16</v>
      </c>
      <c r="AB64" s="34" t="s">
        <v>16</v>
      </c>
      <c r="AC64" s="34" t="s">
        <v>16</v>
      </c>
      <c r="AD64" s="34" t="s">
        <v>16</v>
      </c>
      <c r="AE64" s="34" t="s">
        <v>16</v>
      </c>
      <c r="AF64" s="34" t="s">
        <v>16</v>
      </c>
      <c r="AG64" s="34" t="s">
        <v>16</v>
      </c>
      <c r="AH64" s="34" t="s">
        <v>16</v>
      </c>
      <c r="AI64" s="34" t="s">
        <v>16</v>
      </c>
      <c r="AJ64" s="34" t="s">
        <v>16</v>
      </c>
      <c r="AK64" s="34" t="s">
        <v>16</v>
      </c>
      <c r="AL64" s="34" t="s">
        <v>16</v>
      </c>
      <c r="AM64" s="34" t="s">
        <v>16</v>
      </c>
      <c r="AN64" s="34" t="s">
        <v>16</v>
      </c>
      <c r="AO64" s="34" t="s">
        <v>16</v>
      </c>
      <c r="AP64" s="34" t="s">
        <v>16</v>
      </c>
      <c r="AQ64" s="34" t="s">
        <v>16</v>
      </c>
      <c r="AR64" s="34" t="s">
        <v>16</v>
      </c>
      <c r="AS64" s="34" t="s">
        <v>16</v>
      </c>
      <c r="AT64" s="34" t="s">
        <v>16</v>
      </c>
      <c r="AU64" s="55" t="s">
        <v>16</v>
      </c>
      <c r="AV64" s="57" t="str">
        <f t="shared" si="144"/>
        <v>ASTM</v>
      </c>
      <c r="AW64" s="63">
        <f t="shared" si="71"/>
        <v>827</v>
      </c>
      <c r="AX64" s="34">
        <f t="shared" si="71"/>
        <v>827</v>
      </c>
      <c r="AY64" s="34">
        <f t="shared" si="72"/>
        <v>827</v>
      </c>
      <c r="AZ64" s="34">
        <f t="shared" si="73"/>
        <v>827</v>
      </c>
      <c r="BA64" s="34">
        <f t="shared" si="74"/>
        <v>827</v>
      </c>
      <c r="BB64" s="34">
        <f t="shared" si="75"/>
        <v>827</v>
      </c>
      <c r="BC64" s="34">
        <f t="shared" si="76"/>
        <v>827</v>
      </c>
      <c r="BD64" s="34">
        <f t="shared" si="77"/>
        <v>827</v>
      </c>
      <c r="BE64" s="34">
        <f t="shared" si="78"/>
        <v>827</v>
      </c>
      <c r="BF64" s="34" t="str">
        <f t="shared" si="79"/>
        <v>-</v>
      </c>
      <c r="BG64" s="34" t="str">
        <f t="shared" si="80"/>
        <v>-</v>
      </c>
      <c r="BH64" s="34" t="str">
        <f t="shared" si="81"/>
        <v>-</v>
      </c>
      <c r="BI64" s="34" t="str">
        <f t="shared" si="82"/>
        <v>-</v>
      </c>
      <c r="BJ64" s="34" t="str">
        <f t="shared" si="83"/>
        <v>-</v>
      </c>
      <c r="BK64" s="34" t="str">
        <f t="shared" si="84"/>
        <v>-</v>
      </c>
      <c r="BL64" s="34" t="str">
        <f t="shared" si="85"/>
        <v>-</v>
      </c>
      <c r="BM64" s="34" t="str">
        <f t="shared" si="86"/>
        <v>-</v>
      </c>
      <c r="BN64" s="34" t="str">
        <f t="shared" si="87"/>
        <v>-</v>
      </c>
      <c r="BO64" s="34" t="str">
        <f t="shared" si="88"/>
        <v>-</v>
      </c>
      <c r="BP64" s="34" t="str">
        <f t="shared" si="89"/>
        <v>-</v>
      </c>
      <c r="BQ64" s="34" t="str">
        <f t="shared" si="90"/>
        <v>-</v>
      </c>
      <c r="BR64" s="34" t="str">
        <f t="shared" si="91"/>
        <v>-</v>
      </c>
      <c r="BS64" s="34" t="str">
        <f t="shared" si="92"/>
        <v>-</v>
      </c>
      <c r="BT64" s="34" t="str">
        <f t="shared" si="93"/>
        <v>-</v>
      </c>
      <c r="BU64" s="34" t="str">
        <f t="shared" si="94"/>
        <v>-</v>
      </c>
      <c r="BV64" s="34" t="str">
        <f t="shared" si="95"/>
        <v>-</v>
      </c>
      <c r="BW64" s="34" t="str">
        <f t="shared" si="96"/>
        <v>-</v>
      </c>
      <c r="BX64" s="34" t="str">
        <f t="shared" si="97"/>
        <v>-</v>
      </c>
      <c r="BY64" s="34" t="str">
        <f t="shared" si="98"/>
        <v>-</v>
      </c>
      <c r="BZ64" s="34" t="str">
        <f t="shared" si="99"/>
        <v>-</v>
      </c>
      <c r="CA64" s="34" t="str">
        <f t="shared" si="100"/>
        <v>-</v>
      </c>
      <c r="CB64" s="34" t="str">
        <f t="shared" si="101"/>
        <v>-</v>
      </c>
      <c r="CC64" s="34" t="str">
        <f t="shared" si="102"/>
        <v>-</v>
      </c>
      <c r="CD64" s="34" t="str">
        <f t="shared" si="103"/>
        <v>-</v>
      </c>
      <c r="CE64" s="34" t="str">
        <f t="shared" si="104"/>
        <v>-</v>
      </c>
      <c r="CF64" s="34" t="str">
        <f t="shared" si="105"/>
        <v>-</v>
      </c>
      <c r="CG64" s="44" t="str">
        <f t="shared" si="106"/>
        <v>-</v>
      </c>
      <c r="CH64" s="63">
        <f t="shared" si="107"/>
        <v>689</v>
      </c>
      <c r="CI64" s="34" t="str">
        <f t="shared" si="108"/>
        <v>-</v>
      </c>
      <c r="CJ64" s="34">
        <f t="shared" si="109"/>
        <v>680</v>
      </c>
      <c r="CK64" s="34">
        <f t="shared" si="110"/>
        <v>660</v>
      </c>
      <c r="CL64" s="34">
        <f t="shared" si="111"/>
        <v>643</v>
      </c>
      <c r="CM64" s="34">
        <f t="shared" si="112"/>
        <v>632</v>
      </c>
      <c r="CN64" s="34">
        <f t="shared" si="113"/>
        <v>622</v>
      </c>
      <c r="CO64" s="34">
        <f t="shared" si="114"/>
        <v>614</v>
      </c>
      <c r="CP64" s="34">
        <f t="shared" si="115"/>
        <v>607</v>
      </c>
      <c r="CQ64" s="34" t="str">
        <f t="shared" si="116"/>
        <v>-</v>
      </c>
      <c r="CR64" s="34" t="str">
        <f t="shared" si="117"/>
        <v>-</v>
      </c>
      <c r="CS64" s="34" t="str">
        <f t="shared" si="118"/>
        <v>-</v>
      </c>
      <c r="CT64" s="34" t="str">
        <f t="shared" si="119"/>
        <v>-</v>
      </c>
      <c r="CU64" s="34" t="str">
        <f t="shared" si="120"/>
        <v>-</v>
      </c>
      <c r="CV64" s="34" t="str">
        <f t="shared" si="121"/>
        <v>-</v>
      </c>
      <c r="CW64" s="34" t="str">
        <f t="shared" si="122"/>
        <v>-</v>
      </c>
      <c r="CX64" s="34" t="str">
        <f t="shared" si="123"/>
        <v>-</v>
      </c>
      <c r="CY64" s="34" t="str">
        <f t="shared" si="124"/>
        <v>-</v>
      </c>
      <c r="CZ64" s="34" t="str">
        <f t="shared" si="125"/>
        <v>-</v>
      </c>
      <c r="DA64" s="34" t="str">
        <f t="shared" si="126"/>
        <v>-</v>
      </c>
      <c r="DB64" s="34" t="str">
        <f t="shared" si="127"/>
        <v>-</v>
      </c>
      <c r="DC64" s="34" t="str">
        <f t="shared" si="128"/>
        <v>-</v>
      </c>
      <c r="DD64" s="34" t="str">
        <f t="shared" si="129"/>
        <v>-</v>
      </c>
      <c r="DE64" s="34" t="str">
        <f t="shared" si="130"/>
        <v>-</v>
      </c>
      <c r="DF64" s="34" t="str">
        <f t="shared" si="131"/>
        <v>-</v>
      </c>
      <c r="DG64" s="34" t="str">
        <f t="shared" si="132"/>
        <v>-</v>
      </c>
      <c r="DH64" s="34" t="str">
        <f t="shared" si="133"/>
        <v>-</v>
      </c>
      <c r="DI64" s="34" t="str">
        <f t="shared" si="134"/>
        <v>-</v>
      </c>
      <c r="DJ64" s="34" t="str">
        <f t="shared" si="135"/>
        <v>-</v>
      </c>
      <c r="DK64" s="34" t="str">
        <f t="shared" si="136"/>
        <v>-</v>
      </c>
      <c r="DL64" s="34" t="str">
        <f t="shared" si="137"/>
        <v>-</v>
      </c>
      <c r="DM64" s="34" t="str">
        <f t="shared" si="138"/>
        <v>-</v>
      </c>
      <c r="DN64" s="34" t="str">
        <f t="shared" si="139"/>
        <v>-</v>
      </c>
      <c r="DO64" s="34" t="str">
        <f t="shared" si="140"/>
        <v>-</v>
      </c>
      <c r="DP64" s="34" t="str">
        <f t="shared" si="141"/>
        <v>-</v>
      </c>
      <c r="DQ64" s="34" t="str">
        <f t="shared" si="142"/>
        <v>-</v>
      </c>
      <c r="DR64" s="55" t="str">
        <f t="shared" si="143"/>
        <v>-</v>
      </c>
    </row>
    <row r="65" spans="1:122">
      <c r="A65" s="53" t="s">
        <v>100</v>
      </c>
      <c r="B65" s="53"/>
      <c r="C65" s="53" t="str">
        <f>C64</f>
        <v>bar</v>
      </c>
      <c r="D65" s="69" t="s">
        <v>16</v>
      </c>
      <c r="E65" s="69" t="s">
        <v>16</v>
      </c>
      <c r="F65" s="69" t="s">
        <v>16</v>
      </c>
      <c r="G65" s="82" t="s">
        <v>17</v>
      </c>
      <c r="H65" s="9">
        <v>1000</v>
      </c>
      <c r="I65" s="7">
        <v>862</v>
      </c>
      <c r="J65" s="69" t="s">
        <v>16</v>
      </c>
      <c r="K65" s="63" t="s">
        <v>16</v>
      </c>
      <c r="L65" s="34" t="s">
        <v>16</v>
      </c>
      <c r="M65" s="34" t="s">
        <v>16</v>
      </c>
      <c r="N65" s="34" t="s">
        <v>16</v>
      </c>
      <c r="O65" s="34" t="s">
        <v>16</v>
      </c>
      <c r="P65" s="34" t="s">
        <v>16</v>
      </c>
      <c r="Q65" s="34" t="s">
        <v>16</v>
      </c>
      <c r="R65" s="34" t="s">
        <v>16</v>
      </c>
      <c r="S65" s="34" t="s">
        <v>16</v>
      </c>
      <c r="T65" s="34" t="s">
        <v>16</v>
      </c>
      <c r="U65" s="34" t="s">
        <v>16</v>
      </c>
      <c r="V65" s="34" t="s">
        <v>16</v>
      </c>
      <c r="W65" s="34" t="s">
        <v>16</v>
      </c>
      <c r="X65" s="34" t="s">
        <v>16</v>
      </c>
      <c r="Y65" s="34" t="s">
        <v>16</v>
      </c>
      <c r="Z65" s="34" t="s">
        <v>16</v>
      </c>
      <c r="AA65" s="34" t="s">
        <v>16</v>
      </c>
      <c r="AB65" s="34" t="s">
        <v>16</v>
      </c>
      <c r="AC65" s="34" t="s">
        <v>16</v>
      </c>
      <c r="AD65" s="34" t="s">
        <v>16</v>
      </c>
      <c r="AE65" s="34" t="s">
        <v>16</v>
      </c>
      <c r="AF65" s="34" t="s">
        <v>16</v>
      </c>
      <c r="AG65" s="34" t="s">
        <v>16</v>
      </c>
      <c r="AH65" s="34" t="s">
        <v>16</v>
      </c>
      <c r="AI65" s="34" t="s">
        <v>16</v>
      </c>
      <c r="AJ65" s="34" t="s">
        <v>16</v>
      </c>
      <c r="AK65" s="34" t="s">
        <v>16</v>
      </c>
      <c r="AL65" s="34" t="s">
        <v>16</v>
      </c>
      <c r="AM65" s="34" t="s">
        <v>16</v>
      </c>
      <c r="AN65" s="34" t="s">
        <v>16</v>
      </c>
      <c r="AO65" s="34" t="s">
        <v>16</v>
      </c>
      <c r="AP65" s="34" t="s">
        <v>16</v>
      </c>
      <c r="AQ65" s="34" t="s">
        <v>16</v>
      </c>
      <c r="AR65" s="34" t="s">
        <v>16</v>
      </c>
      <c r="AS65" s="34" t="s">
        <v>16</v>
      </c>
      <c r="AT65" s="34" t="s">
        <v>16</v>
      </c>
      <c r="AU65" s="55" t="s">
        <v>16</v>
      </c>
      <c r="AV65" s="57" t="str">
        <f t="shared" si="144"/>
        <v>ASTM</v>
      </c>
      <c r="AW65" s="63">
        <f t="shared" si="71"/>
        <v>827</v>
      </c>
      <c r="AX65" s="34">
        <f t="shared" si="71"/>
        <v>827</v>
      </c>
      <c r="AY65" s="34">
        <f t="shared" si="72"/>
        <v>827</v>
      </c>
      <c r="AZ65" s="34">
        <f t="shared" si="73"/>
        <v>827</v>
      </c>
      <c r="BA65" s="34">
        <f t="shared" si="74"/>
        <v>827</v>
      </c>
      <c r="BB65" s="34">
        <f t="shared" si="75"/>
        <v>827</v>
      </c>
      <c r="BC65" s="34">
        <f t="shared" si="76"/>
        <v>827</v>
      </c>
      <c r="BD65" s="34">
        <f t="shared" si="77"/>
        <v>827</v>
      </c>
      <c r="BE65" s="34">
        <f t="shared" si="78"/>
        <v>827</v>
      </c>
      <c r="BF65" s="34" t="str">
        <f t="shared" si="79"/>
        <v>-</v>
      </c>
      <c r="BG65" s="34" t="str">
        <f t="shared" si="80"/>
        <v>-</v>
      </c>
      <c r="BH65" s="34" t="str">
        <f t="shared" si="81"/>
        <v>-</v>
      </c>
      <c r="BI65" s="34" t="str">
        <f t="shared" si="82"/>
        <v>-</v>
      </c>
      <c r="BJ65" s="34" t="str">
        <f t="shared" si="83"/>
        <v>-</v>
      </c>
      <c r="BK65" s="34" t="str">
        <f t="shared" si="84"/>
        <v>-</v>
      </c>
      <c r="BL65" s="34" t="str">
        <f t="shared" si="85"/>
        <v>-</v>
      </c>
      <c r="BM65" s="34" t="str">
        <f t="shared" si="86"/>
        <v>-</v>
      </c>
      <c r="BN65" s="34" t="str">
        <f t="shared" si="87"/>
        <v>-</v>
      </c>
      <c r="BO65" s="34" t="str">
        <f t="shared" si="88"/>
        <v>-</v>
      </c>
      <c r="BP65" s="34" t="str">
        <f t="shared" si="89"/>
        <v>-</v>
      </c>
      <c r="BQ65" s="34" t="str">
        <f t="shared" si="90"/>
        <v>-</v>
      </c>
      <c r="BR65" s="34" t="str">
        <f t="shared" si="91"/>
        <v>-</v>
      </c>
      <c r="BS65" s="34" t="str">
        <f t="shared" si="92"/>
        <v>-</v>
      </c>
      <c r="BT65" s="34" t="str">
        <f t="shared" si="93"/>
        <v>-</v>
      </c>
      <c r="BU65" s="34" t="str">
        <f t="shared" si="94"/>
        <v>-</v>
      </c>
      <c r="BV65" s="34" t="str">
        <f t="shared" si="95"/>
        <v>-</v>
      </c>
      <c r="BW65" s="34" t="str">
        <f t="shared" si="96"/>
        <v>-</v>
      </c>
      <c r="BX65" s="34" t="str">
        <f t="shared" si="97"/>
        <v>-</v>
      </c>
      <c r="BY65" s="34" t="str">
        <f t="shared" si="98"/>
        <v>-</v>
      </c>
      <c r="BZ65" s="34" t="str">
        <f t="shared" si="99"/>
        <v>-</v>
      </c>
      <c r="CA65" s="34" t="str">
        <f t="shared" si="100"/>
        <v>-</v>
      </c>
      <c r="CB65" s="34" t="str">
        <f t="shared" si="101"/>
        <v>-</v>
      </c>
      <c r="CC65" s="34" t="str">
        <f t="shared" si="102"/>
        <v>-</v>
      </c>
      <c r="CD65" s="34" t="str">
        <f t="shared" si="103"/>
        <v>-</v>
      </c>
      <c r="CE65" s="34" t="str">
        <f t="shared" si="104"/>
        <v>-</v>
      </c>
      <c r="CF65" s="34" t="str">
        <f t="shared" si="105"/>
        <v>-</v>
      </c>
      <c r="CG65" s="44" t="str">
        <f t="shared" si="106"/>
        <v>-</v>
      </c>
      <c r="CH65" s="63">
        <f t="shared" si="107"/>
        <v>689</v>
      </c>
      <c r="CI65" s="34" t="str">
        <f t="shared" si="108"/>
        <v>-</v>
      </c>
      <c r="CJ65" s="34">
        <f t="shared" si="109"/>
        <v>680</v>
      </c>
      <c r="CK65" s="34">
        <f t="shared" si="110"/>
        <v>660</v>
      </c>
      <c r="CL65" s="34">
        <f t="shared" si="111"/>
        <v>643</v>
      </c>
      <c r="CM65" s="34">
        <f t="shared" si="112"/>
        <v>632</v>
      </c>
      <c r="CN65" s="34">
        <f t="shared" si="113"/>
        <v>622</v>
      </c>
      <c r="CO65" s="34">
        <f t="shared" si="114"/>
        <v>614</v>
      </c>
      <c r="CP65" s="34">
        <f t="shared" si="115"/>
        <v>607</v>
      </c>
      <c r="CQ65" s="34" t="str">
        <f t="shared" si="116"/>
        <v>-</v>
      </c>
      <c r="CR65" s="34" t="str">
        <f t="shared" si="117"/>
        <v>-</v>
      </c>
      <c r="CS65" s="34" t="str">
        <f t="shared" si="118"/>
        <v>-</v>
      </c>
      <c r="CT65" s="34" t="str">
        <f t="shared" si="119"/>
        <v>-</v>
      </c>
      <c r="CU65" s="34" t="str">
        <f t="shared" si="120"/>
        <v>-</v>
      </c>
      <c r="CV65" s="34" t="str">
        <f t="shared" si="121"/>
        <v>-</v>
      </c>
      <c r="CW65" s="34" t="str">
        <f t="shared" si="122"/>
        <v>-</v>
      </c>
      <c r="CX65" s="34" t="str">
        <f t="shared" si="123"/>
        <v>-</v>
      </c>
      <c r="CY65" s="34" t="str">
        <f t="shared" si="124"/>
        <v>-</v>
      </c>
      <c r="CZ65" s="34" t="str">
        <f t="shared" si="125"/>
        <v>-</v>
      </c>
      <c r="DA65" s="34" t="str">
        <f t="shared" si="126"/>
        <v>-</v>
      </c>
      <c r="DB65" s="34" t="str">
        <f t="shared" si="127"/>
        <v>-</v>
      </c>
      <c r="DC65" s="34" t="str">
        <f t="shared" si="128"/>
        <v>-</v>
      </c>
      <c r="DD65" s="34" t="str">
        <f t="shared" si="129"/>
        <v>-</v>
      </c>
      <c r="DE65" s="34" t="str">
        <f t="shared" si="130"/>
        <v>-</v>
      </c>
      <c r="DF65" s="34" t="str">
        <f t="shared" si="131"/>
        <v>-</v>
      </c>
      <c r="DG65" s="34" t="str">
        <f t="shared" si="132"/>
        <v>-</v>
      </c>
      <c r="DH65" s="34" t="str">
        <f t="shared" si="133"/>
        <v>-</v>
      </c>
      <c r="DI65" s="34" t="str">
        <f t="shared" si="134"/>
        <v>-</v>
      </c>
      <c r="DJ65" s="34" t="str">
        <f t="shared" si="135"/>
        <v>-</v>
      </c>
      <c r="DK65" s="34" t="str">
        <f t="shared" si="136"/>
        <v>-</v>
      </c>
      <c r="DL65" s="34" t="str">
        <f t="shared" si="137"/>
        <v>-</v>
      </c>
      <c r="DM65" s="34" t="str">
        <f t="shared" si="138"/>
        <v>-</v>
      </c>
      <c r="DN65" s="34" t="str">
        <f t="shared" si="139"/>
        <v>-</v>
      </c>
      <c r="DO65" s="34" t="str">
        <f t="shared" si="140"/>
        <v>-</v>
      </c>
      <c r="DP65" s="34" t="str">
        <f t="shared" si="141"/>
        <v>-</v>
      </c>
      <c r="DQ65" s="34" t="str">
        <f t="shared" si="142"/>
        <v>-</v>
      </c>
      <c r="DR65" s="55" t="str">
        <f t="shared" si="143"/>
        <v>-</v>
      </c>
    </row>
    <row r="66" spans="1:122">
      <c r="A66" s="53" t="s">
        <v>101</v>
      </c>
      <c r="B66" s="53"/>
      <c r="C66" s="53" t="str">
        <f>C63</f>
        <v>bar</v>
      </c>
      <c r="D66" s="53" t="s">
        <v>16</v>
      </c>
      <c r="E66" s="53" t="s">
        <v>16</v>
      </c>
      <c r="F66" s="53" t="s">
        <v>16</v>
      </c>
      <c r="G66" s="82" t="s">
        <v>17</v>
      </c>
      <c r="H66" s="72">
        <v>655</v>
      </c>
      <c r="I66" s="48">
        <v>517</v>
      </c>
      <c r="J66" s="53" t="s">
        <v>16</v>
      </c>
      <c r="K66" s="63" t="s">
        <v>16</v>
      </c>
      <c r="L66" s="34" t="s">
        <v>16</v>
      </c>
      <c r="M66" s="34" t="s">
        <v>16</v>
      </c>
      <c r="N66" s="54" t="s">
        <v>16</v>
      </c>
      <c r="O66" s="54" t="s">
        <v>16</v>
      </c>
      <c r="P66" s="54" t="s">
        <v>16</v>
      </c>
      <c r="Q66" s="54" t="s">
        <v>16</v>
      </c>
      <c r="R66" s="54" t="s">
        <v>16</v>
      </c>
      <c r="S66" s="54" t="s">
        <v>16</v>
      </c>
      <c r="T66" s="54" t="s">
        <v>16</v>
      </c>
      <c r="U66" s="54" t="s">
        <v>16</v>
      </c>
      <c r="V66" s="54" t="s">
        <v>16</v>
      </c>
      <c r="W66" s="54" t="s">
        <v>16</v>
      </c>
      <c r="X66" s="54" t="s">
        <v>16</v>
      </c>
      <c r="Y66" s="54" t="s">
        <v>16</v>
      </c>
      <c r="Z66" s="54" t="s">
        <v>16</v>
      </c>
      <c r="AA66" s="54" t="s">
        <v>16</v>
      </c>
      <c r="AB66" s="54" t="s">
        <v>16</v>
      </c>
      <c r="AC66" s="54" t="s">
        <v>16</v>
      </c>
      <c r="AD66" s="54" t="s">
        <v>16</v>
      </c>
      <c r="AE66" s="54" t="s">
        <v>16</v>
      </c>
      <c r="AF66" s="54" t="s">
        <v>16</v>
      </c>
      <c r="AG66" s="54" t="s">
        <v>16</v>
      </c>
      <c r="AH66" s="54" t="s">
        <v>16</v>
      </c>
      <c r="AI66" s="54" t="s">
        <v>16</v>
      </c>
      <c r="AJ66" s="54" t="s">
        <v>16</v>
      </c>
      <c r="AK66" s="54" t="s">
        <v>16</v>
      </c>
      <c r="AL66" s="54" t="s">
        <v>16</v>
      </c>
      <c r="AM66" s="54" t="s">
        <v>16</v>
      </c>
      <c r="AN66" s="54" t="s">
        <v>16</v>
      </c>
      <c r="AO66" s="54" t="s">
        <v>16</v>
      </c>
      <c r="AP66" s="54" t="s">
        <v>16</v>
      </c>
      <c r="AQ66" s="54" t="s">
        <v>16</v>
      </c>
      <c r="AR66" s="54" t="s">
        <v>16</v>
      </c>
      <c r="AS66" s="54" t="s">
        <v>16</v>
      </c>
      <c r="AT66" s="54" t="s">
        <v>16</v>
      </c>
      <c r="AU66" s="64" t="s">
        <v>16</v>
      </c>
      <c r="AV66" s="57" t="str">
        <f t="shared" si="144"/>
        <v>ASTM</v>
      </c>
      <c r="AW66" s="63">
        <f t="shared" si="71"/>
        <v>827</v>
      </c>
      <c r="AX66" s="34">
        <f t="shared" si="71"/>
        <v>827</v>
      </c>
      <c r="AY66" s="34">
        <f t="shared" si="72"/>
        <v>827</v>
      </c>
      <c r="AZ66" s="34">
        <f t="shared" si="73"/>
        <v>827</v>
      </c>
      <c r="BA66" s="34">
        <f t="shared" si="74"/>
        <v>827</v>
      </c>
      <c r="BB66" s="34">
        <f t="shared" si="75"/>
        <v>827</v>
      </c>
      <c r="BC66" s="34">
        <f t="shared" si="76"/>
        <v>827</v>
      </c>
      <c r="BD66" s="34">
        <f t="shared" si="77"/>
        <v>827</v>
      </c>
      <c r="BE66" s="34">
        <f t="shared" si="78"/>
        <v>827</v>
      </c>
      <c r="BF66" s="34" t="str">
        <f t="shared" si="79"/>
        <v>-</v>
      </c>
      <c r="BG66" s="34" t="str">
        <f t="shared" si="80"/>
        <v>-</v>
      </c>
      <c r="BH66" s="34" t="str">
        <f t="shared" si="81"/>
        <v>-</v>
      </c>
      <c r="BI66" s="34" t="str">
        <f t="shared" si="82"/>
        <v>-</v>
      </c>
      <c r="BJ66" s="34" t="str">
        <f t="shared" si="83"/>
        <v>-</v>
      </c>
      <c r="BK66" s="34" t="str">
        <f t="shared" si="84"/>
        <v>-</v>
      </c>
      <c r="BL66" s="34" t="str">
        <f t="shared" si="85"/>
        <v>-</v>
      </c>
      <c r="BM66" s="34" t="str">
        <f t="shared" si="86"/>
        <v>-</v>
      </c>
      <c r="BN66" s="34" t="str">
        <f t="shared" si="87"/>
        <v>-</v>
      </c>
      <c r="BO66" s="34" t="str">
        <f t="shared" si="88"/>
        <v>-</v>
      </c>
      <c r="BP66" s="34" t="str">
        <f t="shared" si="89"/>
        <v>-</v>
      </c>
      <c r="BQ66" s="34" t="str">
        <f t="shared" si="90"/>
        <v>-</v>
      </c>
      <c r="BR66" s="34" t="str">
        <f t="shared" si="91"/>
        <v>-</v>
      </c>
      <c r="BS66" s="34" t="str">
        <f t="shared" si="92"/>
        <v>-</v>
      </c>
      <c r="BT66" s="34" t="str">
        <f t="shared" si="93"/>
        <v>-</v>
      </c>
      <c r="BU66" s="34" t="str">
        <f t="shared" si="94"/>
        <v>-</v>
      </c>
      <c r="BV66" s="34" t="str">
        <f t="shared" si="95"/>
        <v>-</v>
      </c>
      <c r="BW66" s="34" t="str">
        <f t="shared" si="96"/>
        <v>-</v>
      </c>
      <c r="BX66" s="34" t="str">
        <f t="shared" si="97"/>
        <v>-</v>
      </c>
      <c r="BY66" s="34" t="str">
        <f t="shared" si="98"/>
        <v>-</v>
      </c>
      <c r="BZ66" s="34" t="str">
        <f t="shared" si="99"/>
        <v>-</v>
      </c>
      <c r="CA66" s="34" t="str">
        <f t="shared" si="100"/>
        <v>-</v>
      </c>
      <c r="CB66" s="34" t="str">
        <f t="shared" si="101"/>
        <v>-</v>
      </c>
      <c r="CC66" s="34" t="str">
        <f t="shared" si="102"/>
        <v>-</v>
      </c>
      <c r="CD66" s="34" t="str">
        <f t="shared" si="103"/>
        <v>-</v>
      </c>
      <c r="CE66" s="34" t="str">
        <f t="shared" si="104"/>
        <v>-</v>
      </c>
      <c r="CF66" s="34" t="str">
        <f t="shared" si="105"/>
        <v>-</v>
      </c>
      <c r="CG66" s="44" t="str">
        <f t="shared" si="106"/>
        <v>-</v>
      </c>
      <c r="CH66" s="63">
        <f t="shared" si="107"/>
        <v>689</v>
      </c>
      <c r="CI66" s="34" t="str">
        <f t="shared" si="108"/>
        <v>-</v>
      </c>
      <c r="CJ66" s="34">
        <f t="shared" si="109"/>
        <v>680</v>
      </c>
      <c r="CK66" s="34">
        <f t="shared" si="110"/>
        <v>660</v>
      </c>
      <c r="CL66" s="34">
        <f t="shared" si="111"/>
        <v>643</v>
      </c>
      <c r="CM66" s="34">
        <f t="shared" si="112"/>
        <v>632</v>
      </c>
      <c r="CN66" s="34">
        <f t="shared" si="113"/>
        <v>622</v>
      </c>
      <c r="CO66" s="34">
        <f t="shared" si="114"/>
        <v>614</v>
      </c>
      <c r="CP66" s="34">
        <f t="shared" si="115"/>
        <v>607</v>
      </c>
      <c r="CQ66" s="34" t="str">
        <f t="shared" si="116"/>
        <v>-</v>
      </c>
      <c r="CR66" s="34" t="str">
        <f t="shared" si="117"/>
        <v>-</v>
      </c>
      <c r="CS66" s="34" t="str">
        <f t="shared" si="118"/>
        <v>-</v>
      </c>
      <c r="CT66" s="34" t="str">
        <f t="shared" si="119"/>
        <v>-</v>
      </c>
      <c r="CU66" s="34" t="str">
        <f t="shared" si="120"/>
        <v>-</v>
      </c>
      <c r="CV66" s="34" t="str">
        <f t="shared" si="121"/>
        <v>-</v>
      </c>
      <c r="CW66" s="34" t="str">
        <f t="shared" si="122"/>
        <v>-</v>
      </c>
      <c r="CX66" s="34" t="str">
        <f t="shared" si="123"/>
        <v>-</v>
      </c>
      <c r="CY66" s="34" t="str">
        <f t="shared" si="124"/>
        <v>-</v>
      </c>
      <c r="CZ66" s="34" t="str">
        <f t="shared" si="125"/>
        <v>-</v>
      </c>
      <c r="DA66" s="34" t="str">
        <f t="shared" si="126"/>
        <v>-</v>
      </c>
      <c r="DB66" s="34" t="str">
        <f t="shared" si="127"/>
        <v>-</v>
      </c>
      <c r="DC66" s="34" t="str">
        <f t="shared" si="128"/>
        <v>-</v>
      </c>
      <c r="DD66" s="34" t="str">
        <f t="shared" si="129"/>
        <v>-</v>
      </c>
      <c r="DE66" s="34" t="str">
        <f t="shared" si="130"/>
        <v>-</v>
      </c>
      <c r="DF66" s="34" t="str">
        <f t="shared" si="131"/>
        <v>-</v>
      </c>
      <c r="DG66" s="34" t="str">
        <f t="shared" si="132"/>
        <v>-</v>
      </c>
      <c r="DH66" s="34" t="str">
        <f t="shared" si="133"/>
        <v>-</v>
      </c>
      <c r="DI66" s="34" t="str">
        <f t="shared" si="134"/>
        <v>-</v>
      </c>
      <c r="DJ66" s="34" t="str">
        <f t="shared" si="135"/>
        <v>-</v>
      </c>
      <c r="DK66" s="34" t="str">
        <f t="shared" si="136"/>
        <v>-</v>
      </c>
      <c r="DL66" s="34" t="str">
        <f t="shared" si="137"/>
        <v>-</v>
      </c>
      <c r="DM66" s="34" t="str">
        <f t="shared" si="138"/>
        <v>-</v>
      </c>
      <c r="DN66" s="34" t="str">
        <f t="shared" si="139"/>
        <v>-</v>
      </c>
      <c r="DO66" s="34" t="str">
        <f t="shared" si="140"/>
        <v>-</v>
      </c>
      <c r="DP66" s="34" t="str">
        <f t="shared" si="141"/>
        <v>-</v>
      </c>
      <c r="DQ66" s="34" t="str">
        <f t="shared" si="142"/>
        <v>-</v>
      </c>
      <c r="DR66" s="55" t="str">
        <f t="shared" si="143"/>
        <v>-</v>
      </c>
    </row>
    <row r="67" spans="1:122">
      <c r="A67" s="53" t="s">
        <v>102</v>
      </c>
      <c r="B67" s="53"/>
      <c r="C67" s="53" t="str">
        <f>C64</f>
        <v>bar</v>
      </c>
      <c r="D67" s="53" t="s">
        <v>16</v>
      </c>
      <c r="E67" s="53" t="s">
        <v>16</v>
      </c>
      <c r="F67" s="53" t="s">
        <v>16</v>
      </c>
      <c r="G67" s="82" t="s">
        <v>17</v>
      </c>
      <c r="H67" s="72">
        <v>1172</v>
      </c>
      <c r="I67" s="48">
        <v>1034</v>
      </c>
      <c r="J67" s="53" t="s">
        <v>16</v>
      </c>
      <c r="K67" s="63" t="s">
        <v>16</v>
      </c>
      <c r="L67" s="34" t="s">
        <v>16</v>
      </c>
      <c r="M67" s="34" t="s">
        <v>16</v>
      </c>
      <c r="N67" s="54" t="s">
        <v>16</v>
      </c>
      <c r="O67" s="54" t="s">
        <v>16</v>
      </c>
      <c r="P67" s="54" t="s">
        <v>16</v>
      </c>
      <c r="Q67" s="54" t="s">
        <v>16</v>
      </c>
      <c r="R67" s="54" t="s">
        <v>16</v>
      </c>
      <c r="S67" s="54" t="s">
        <v>16</v>
      </c>
      <c r="T67" s="54" t="s">
        <v>16</v>
      </c>
      <c r="U67" s="54" t="s">
        <v>16</v>
      </c>
      <c r="V67" s="54" t="s">
        <v>16</v>
      </c>
      <c r="W67" s="54" t="s">
        <v>16</v>
      </c>
      <c r="X67" s="54" t="s">
        <v>16</v>
      </c>
      <c r="Y67" s="54" t="s">
        <v>16</v>
      </c>
      <c r="Z67" s="54" t="s">
        <v>16</v>
      </c>
      <c r="AA67" s="54" t="s">
        <v>16</v>
      </c>
      <c r="AB67" s="54" t="s">
        <v>16</v>
      </c>
      <c r="AC67" s="54" t="s">
        <v>16</v>
      </c>
      <c r="AD67" s="54" t="s">
        <v>16</v>
      </c>
      <c r="AE67" s="54" t="s">
        <v>16</v>
      </c>
      <c r="AF67" s="54" t="s">
        <v>16</v>
      </c>
      <c r="AG67" s="54" t="s">
        <v>16</v>
      </c>
      <c r="AH67" s="54" t="s">
        <v>16</v>
      </c>
      <c r="AI67" s="54" t="s">
        <v>16</v>
      </c>
      <c r="AJ67" s="54" t="s">
        <v>16</v>
      </c>
      <c r="AK67" s="54" t="s">
        <v>16</v>
      </c>
      <c r="AL67" s="54" t="s">
        <v>16</v>
      </c>
      <c r="AM67" s="54" t="s">
        <v>16</v>
      </c>
      <c r="AN67" s="54" t="s">
        <v>16</v>
      </c>
      <c r="AO67" s="54" t="s">
        <v>16</v>
      </c>
      <c r="AP67" s="54" t="s">
        <v>16</v>
      </c>
      <c r="AQ67" s="54" t="s">
        <v>16</v>
      </c>
      <c r="AR67" s="54" t="s">
        <v>16</v>
      </c>
      <c r="AS67" s="54" t="s">
        <v>16</v>
      </c>
      <c r="AT67" s="54" t="s">
        <v>16</v>
      </c>
      <c r="AU67" s="64" t="s">
        <v>16</v>
      </c>
      <c r="AV67" s="57" t="str">
        <f t="shared" si="144"/>
        <v>ASTM</v>
      </c>
      <c r="AW67" s="63">
        <f t="shared" si="71"/>
        <v>827</v>
      </c>
      <c r="AX67" s="34">
        <f t="shared" si="71"/>
        <v>827</v>
      </c>
      <c r="AY67" s="34">
        <f t="shared" si="72"/>
        <v>827</v>
      </c>
      <c r="AZ67" s="34">
        <f t="shared" si="73"/>
        <v>827</v>
      </c>
      <c r="BA67" s="34">
        <f t="shared" si="74"/>
        <v>827</v>
      </c>
      <c r="BB67" s="34">
        <f t="shared" si="75"/>
        <v>827</v>
      </c>
      <c r="BC67" s="34">
        <f t="shared" si="76"/>
        <v>827</v>
      </c>
      <c r="BD67" s="34">
        <f t="shared" si="77"/>
        <v>827</v>
      </c>
      <c r="BE67" s="34">
        <f t="shared" si="78"/>
        <v>827</v>
      </c>
      <c r="BF67" s="34" t="str">
        <f t="shared" si="79"/>
        <v>-</v>
      </c>
      <c r="BG67" s="34" t="str">
        <f t="shared" si="80"/>
        <v>-</v>
      </c>
      <c r="BH67" s="34" t="str">
        <f t="shared" si="81"/>
        <v>-</v>
      </c>
      <c r="BI67" s="34" t="str">
        <f t="shared" si="82"/>
        <v>-</v>
      </c>
      <c r="BJ67" s="34" t="str">
        <f t="shared" si="83"/>
        <v>-</v>
      </c>
      <c r="BK67" s="34" t="str">
        <f t="shared" si="84"/>
        <v>-</v>
      </c>
      <c r="BL67" s="34" t="str">
        <f t="shared" si="85"/>
        <v>-</v>
      </c>
      <c r="BM67" s="34" t="str">
        <f t="shared" si="86"/>
        <v>-</v>
      </c>
      <c r="BN67" s="34" t="str">
        <f t="shared" si="87"/>
        <v>-</v>
      </c>
      <c r="BO67" s="34" t="str">
        <f t="shared" si="88"/>
        <v>-</v>
      </c>
      <c r="BP67" s="34" t="str">
        <f t="shared" si="89"/>
        <v>-</v>
      </c>
      <c r="BQ67" s="34" t="str">
        <f t="shared" si="90"/>
        <v>-</v>
      </c>
      <c r="BR67" s="34" t="str">
        <f t="shared" si="91"/>
        <v>-</v>
      </c>
      <c r="BS67" s="34" t="str">
        <f t="shared" si="92"/>
        <v>-</v>
      </c>
      <c r="BT67" s="34" t="str">
        <f t="shared" si="93"/>
        <v>-</v>
      </c>
      <c r="BU67" s="34" t="str">
        <f t="shared" si="94"/>
        <v>-</v>
      </c>
      <c r="BV67" s="34" t="str">
        <f t="shared" si="95"/>
        <v>-</v>
      </c>
      <c r="BW67" s="34" t="str">
        <f t="shared" si="96"/>
        <v>-</v>
      </c>
      <c r="BX67" s="34" t="str">
        <f t="shared" si="97"/>
        <v>-</v>
      </c>
      <c r="BY67" s="34" t="str">
        <f t="shared" si="98"/>
        <v>-</v>
      </c>
      <c r="BZ67" s="34" t="str">
        <f t="shared" si="99"/>
        <v>-</v>
      </c>
      <c r="CA67" s="34" t="str">
        <f t="shared" si="100"/>
        <v>-</v>
      </c>
      <c r="CB67" s="34" t="str">
        <f t="shared" si="101"/>
        <v>-</v>
      </c>
      <c r="CC67" s="34" t="str">
        <f t="shared" si="102"/>
        <v>-</v>
      </c>
      <c r="CD67" s="34" t="str">
        <f t="shared" si="103"/>
        <v>-</v>
      </c>
      <c r="CE67" s="34" t="str">
        <f t="shared" si="104"/>
        <v>-</v>
      </c>
      <c r="CF67" s="34" t="str">
        <f t="shared" si="105"/>
        <v>-</v>
      </c>
      <c r="CG67" s="44" t="str">
        <f t="shared" si="106"/>
        <v>-</v>
      </c>
      <c r="CH67" s="63">
        <f t="shared" si="107"/>
        <v>689</v>
      </c>
      <c r="CI67" s="34" t="str">
        <f t="shared" si="108"/>
        <v>-</v>
      </c>
      <c r="CJ67" s="34">
        <f t="shared" si="109"/>
        <v>680</v>
      </c>
      <c r="CK67" s="34">
        <f t="shared" si="110"/>
        <v>660</v>
      </c>
      <c r="CL67" s="34">
        <f t="shared" si="111"/>
        <v>643</v>
      </c>
      <c r="CM67" s="34">
        <f t="shared" si="112"/>
        <v>632</v>
      </c>
      <c r="CN67" s="34">
        <f t="shared" si="113"/>
        <v>622</v>
      </c>
      <c r="CO67" s="34">
        <f t="shared" si="114"/>
        <v>614</v>
      </c>
      <c r="CP67" s="34">
        <f t="shared" si="115"/>
        <v>607</v>
      </c>
      <c r="CQ67" s="34" t="str">
        <f t="shared" si="116"/>
        <v>-</v>
      </c>
      <c r="CR67" s="34" t="str">
        <f t="shared" si="117"/>
        <v>-</v>
      </c>
      <c r="CS67" s="34" t="str">
        <f t="shared" si="118"/>
        <v>-</v>
      </c>
      <c r="CT67" s="34" t="str">
        <f t="shared" si="119"/>
        <v>-</v>
      </c>
      <c r="CU67" s="34" t="str">
        <f t="shared" si="120"/>
        <v>-</v>
      </c>
      <c r="CV67" s="34" t="str">
        <f t="shared" si="121"/>
        <v>-</v>
      </c>
      <c r="CW67" s="34" t="str">
        <f t="shared" si="122"/>
        <v>-</v>
      </c>
      <c r="CX67" s="34" t="str">
        <f t="shared" si="123"/>
        <v>-</v>
      </c>
      <c r="CY67" s="34" t="str">
        <f t="shared" si="124"/>
        <v>-</v>
      </c>
      <c r="CZ67" s="34" t="str">
        <f t="shared" si="125"/>
        <v>-</v>
      </c>
      <c r="DA67" s="34" t="str">
        <f t="shared" si="126"/>
        <v>-</v>
      </c>
      <c r="DB67" s="34" t="str">
        <f t="shared" si="127"/>
        <v>-</v>
      </c>
      <c r="DC67" s="34" t="str">
        <f t="shared" si="128"/>
        <v>-</v>
      </c>
      <c r="DD67" s="34" t="str">
        <f t="shared" si="129"/>
        <v>-</v>
      </c>
      <c r="DE67" s="34" t="str">
        <f t="shared" si="130"/>
        <v>-</v>
      </c>
      <c r="DF67" s="34" t="str">
        <f t="shared" si="131"/>
        <v>-</v>
      </c>
      <c r="DG67" s="34" t="str">
        <f t="shared" si="132"/>
        <v>-</v>
      </c>
      <c r="DH67" s="34" t="str">
        <f t="shared" si="133"/>
        <v>-</v>
      </c>
      <c r="DI67" s="34" t="str">
        <f t="shared" si="134"/>
        <v>-</v>
      </c>
      <c r="DJ67" s="34" t="str">
        <f t="shared" si="135"/>
        <v>-</v>
      </c>
      <c r="DK67" s="34" t="str">
        <f t="shared" si="136"/>
        <v>-</v>
      </c>
      <c r="DL67" s="34" t="str">
        <f t="shared" si="137"/>
        <v>-</v>
      </c>
      <c r="DM67" s="34" t="str">
        <f t="shared" si="138"/>
        <v>-</v>
      </c>
      <c r="DN67" s="34" t="str">
        <f t="shared" si="139"/>
        <v>-</v>
      </c>
      <c r="DO67" s="34" t="str">
        <f t="shared" si="140"/>
        <v>-</v>
      </c>
      <c r="DP67" s="34" t="str">
        <f t="shared" si="141"/>
        <v>-</v>
      </c>
      <c r="DQ67" s="34" t="str">
        <f t="shared" si="142"/>
        <v>-</v>
      </c>
      <c r="DR67" s="55" t="str">
        <f t="shared" si="143"/>
        <v>-</v>
      </c>
    </row>
    <row r="68" spans="1:122">
      <c r="A68" s="53" t="s">
        <v>103</v>
      </c>
      <c r="B68" s="53"/>
      <c r="C68" s="53" t="str">
        <f>C65</f>
        <v>bar</v>
      </c>
      <c r="D68" s="53" t="s">
        <v>16</v>
      </c>
      <c r="E68" s="53" t="s">
        <v>16</v>
      </c>
      <c r="F68" s="53" t="s">
        <v>16</v>
      </c>
      <c r="G68" s="95" t="s">
        <v>17</v>
      </c>
      <c r="H68" s="72">
        <v>1000</v>
      </c>
      <c r="I68" s="48">
        <v>862</v>
      </c>
      <c r="J68" s="53" t="s">
        <v>16</v>
      </c>
      <c r="K68" s="63" t="s">
        <v>16</v>
      </c>
      <c r="L68" s="34" t="s">
        <v>16</v>
      </c>
      <c r="M68" s="34" t="s">
        <v>16</v>
      </c>
      <c r="N68" s="54" t="s">
        <v>16</v>
      </c>
      <c r="O68" s="54" t="s">
        <v>16</v>
      </c>
      <c r="P68" s="54" t="s">
        <v>16</v>
      </c>
      <c r="Q68" s="54" t="s">
        <v>16</v>
      </c>
      <c r="R68" s="54" t="s">
        <v>16</v>
      </c>
      <c r="S68" s="54" t="s">
        <v>16</v>
      </c>
      <c r="T68" s="54" t="s">
        <v>16</v>
      </c>
      <c r="U68" s="54" t="s">
        <v>16</v>
      </c>
      <c r="V68" s="54" t="s">
        <v>16</v>
      </c>
      <c r="W68" s="54" t="s">
        <v>16</v>
      </c>
      <c r="X68" s="54" t="s">
        <v>16</v>
      </c>
      <c r="Y68" s="54" t="s">
        <v>16</v>
      </c>
      <c r="Z68" s="54" t="s">
        <v>16</v>
      </c>
      <c r="AA68" s="54" t="s">
        <v>16</v>
      </c>
      <c r="AB68" s="54" t="s">
        <v>16</v>
      </c>
      <c r="AC68" s="54" t="s">
        <v>16</v>
      </c>
      <c r="AD68" s="54" t="s">
        <v>16</v>
      </c>
      <c r="AE68" s="54" t="s">
        <v>16</v>
      </c>
      <c r="AF68" s="54" t="s">
        <v>16</v>
      </c>
      <c r="AG68" s="54" t="s">
        <v>16</v>
      </c>
      <c r="AH68" s="54" t="s">
        <v>16</v>
      </c>
      <c r="AI68" s="54" t="s">
        <v>16</v>
      </c>
      <c r="AJ68" s="54" t="s">
        <v>16</v>
      </c>
      <c r="AK68" s="54" t="s">
        <v>16</v>
      </c>
      <c r="AL68" s="54" t="s">
        <v>16</v>
      </c>
      <c r="AM68" s="54" t="s">
        <v>16</v>
      </c>
      <c r="AN68" s="54" t="s">
        <v>16</v>
      </c>
      <c r="AO68" s="54" t="s">
        <v>16</v>
      </c>
      <c r="AP68" s="54" t="s">
        <v>16</v>
      </c>
      <c r="AQ68" s="54" t="s">
        <v>16</v>
      </c>
      <c r="AR68" s="54" t="s">
        <v>16</v>
      </c>
      <c r="AS68" s="54" t="s">
        <v>16</v>
      </c>
      <c r="AT68" s="54" t="s">
        <v>16</v>
      </c>
      <c r="AU68" s="64" t="s">
        <v>16</v>
      </c>
      <c r="AV68" s="57" t="str">
        <f t="shared" si="144"/>
        <v>ASTM</v>
      </c>
      <c r="AW68" s="63">
        <f t="shared" si="71"/>
        <v>827</v>
      </c>
      <c r="AX68" s="34">
        <f t="shared" si="71"/>
        <v>827</v>
      </c>
      <c r="AY68" s="34">
        <f t="shared" si="72"/>
        <v>827</v>
      </c>
      <c r="AZ68" s="34">
        <f t="shared" si="73"/>
        <v>827</v>
      </c>
      <c r="BA68" s="34">
        <f t="shared" si="74"/>
        <v>827</v>
      </c>
      <c r="BB68" s="34">
        <f t="shared" si="75"/>
        <v>827</v>
      </c>
      <c r="BC68" s="34">
        <f t="shared" si="76"/>
        <v>827</v>
      </c>
      <c r="BD68" s="34">
        <f t="shared" si="77"/>
        <v>827</v>
      </c>
      <c r="BE68" s="34">
        <f t="shared" si="78"/>
        <v>827</v>
      </c>
      <c r="BF68" s="34" t="str">
        <f t="shared" si="79"/>
        <v>-</v>
      </c>
      <c r="BG68" s="34" t="str">
        <f t="shared" si="80"/>
        <v>-</v>
      </c>
      <c r="BH68" s="34" t="str">
        <f t="shared" si="81"/>
        <v>-</v>
      </c>
      <c r="BI68" s="34" t="str">
        <f t="shared" si="82"/>
        <v>-</v>
      </c>
      <c r="BJ68" s="34" t="str">
        <f t="shared" si="83"/>
        <v>-</v>
      </c>
      <c r="BK68" s="34" t="str">
        <f t="shared" si="84"/>
        <v>-</v>
      </c>
      <c r="BL68" s="34" t="str">
        <f t="shared" si="85"/>
        <v>-</v>
      </c>
      <c r="BM68" s="34" t="str">
        <f t="shared" si="86"/>
        <v>-</v>
      </c>
      <c r="BN68" s="34" t="str">
        <f t="shared" si="87"/>
        <v>-</v>
      </c>
      <c r="BO68" s="34" t="str">
        <f t="shared" si="88"/>
        <v>-</v>
      </c>
      <c r="BP68" s="34" t="str">
        <f t="shared" si="89"/>
        <v>-</v>
      </c>
      <c r="BQ68" s="34" t="str">
        <f t="shared" si="90"/>
        <v>-</v>
      </c>
      <c r="BR68" s="34" t="str">
        <f t="shared" si="91"/>
        <v>-</v>
      </c>
      <c r="BS68" s="34" t="str">
        <f t="shared" si="92"/>
        <v>-</v>
      </c>
      <c r="BT68" s="34" t="str">
        <f t="shared" si="93"/>
        <v>-</v>
      </c>
      <c r="BU68" s="34" t="str">
        <f t="shared" si="94"/>
        <v>-</v>
      </c>
      <c r="BV68" s="34" t="str">
        <f t="shared" si="95"/>
        <v>-</v>
      </c>
      <c r="BW68" s="34" t="str">
        <f t="shared" si="96"/>
        <v>-</v>
      </c>
      <c r="BX68" s="34" t="str">
        <f t="shared" si="97"/>
        <v>-</v>
      </c>
      <c r="BY68" s="34" t="str">
        <f t="shared" si="98"/>
        <v>-</v>
      </c>
      <c r="BZ68" s="34" t="str">
        <f t="shared" si="99"/>
        <v>-</v>
      </c>
      <c r="CA68" s="34" t="str">
        <f t="shared" si="100"/>
        <v>-</v>
      </c>
      <c r="CB68" s="34" t="str">
        <f t="shared" si="101"/>
        <v>-</v>
      </c>
      <c r="CC68" s="34" t="str">
        <f t="shared" si="102"/>
        <v>-</v>
      </c>
      <c r="CD68" s="34" t="str">
        <f t="shared" si="103"/>
        <v>-</v>
      </c>
      <c r="CE68" s="34" t="str">
        <f t="shared" si="104"/>
        <v>-</v>
      </c>
      <c r="CF68" s="34" t="str">
        <f t="shared" si="105"/>
        <v>-</v>
      </c>
      <c r="CG68" s="44" t="str">
        <f t="shared" si="106"/>
        <v>-</v>
      </c>
      <c r="CH68" s="63">
        <f t="shared" si="107"/>
        <v>689</v>
      </c>
      <c r="CI68" s="34" t="str">
        <f t="shared" si="108"/>
        <v>-</v>
      </c>
      <c r="CJ68" s="34">
        <f t="shared" si="109"/>
        <v>680</v>
      </c>
      <c r="CK68" s="34">
        <f t="shared" si="110"/>
        <v>660</v>
      </c>
      <c r="CL68" s="34">
        <f t="shared" si="111"/>
        <v>643</v>
      </c>
      <c r="CM68" s="34">
        <f t="shared" si="112"/>
        <v>632</v>
      </c>
      <c r="CN68" s="34">
        <f t="shared" si="113"/>
        <v>622</v>
      </c>
      <c r="CO68" s="34">
        <f t="shared" si="114"/>
        <v>614</v>
      </c>
      <c r="CP68" s="34">
        <f t="shared" si="115"/>
        <v>607</v>
      </c>
      <c r="CQ68" s="34" t="str">
        <f t="shared" si="116"/>
        <v>-</v>
      </c>
      <c r="CR68" s="34" t="str">
        <f t="shared" si="117"/>
        <v>-</v>
      </c>
      <c r="CS68" s="34" t="str">
        <f t="shared" si="118"/>
        <v>-</v>
      </c>
      <c r="CT68" s="34" t="str">
        <f t="shared" si="119"/>
        <v>-</v>
      </c>
      <c r="CU68" s="34" t="str">
        <f t="shared" si="120"/>
        <v>-</v>
      </c>
      <c r="CV68" s="34" t="str">
        <f t="shared" si="121"/>
        <v>-</v>
      </c>
      <c r="CW68" s="34" t="str">
        <f t="shared" si="122"/>
        <v>-</v>
      </c>
      <c r="CX68" s="34" t="str">
        <f t="shared" si="123"/>
        <v>-</v>
      </c>
      <c r="CY68" s="34" t="str">
        <f t="shared" si="124"/>
        <v>-</v>
      </c>
      <c r="CZ68" s="34" t="str">
        <f t="shared" si="125"/>
        <v>-</v>
      </c>
      <c r="DA68" s="34" t="str">
        <f t="shared" si="126"/>
        <v>-</v>
      </c>
      <c r="DB68" s="34" t="str">
        <f t="shared" si="127"/>
        <v>-</v>
      </c>
      <c r="DC68" s="34" t="str">
        <f t="shared" si="128"/>
        <v>-</v>
      </c>
      <c r="DD68" s="34" t="str">
        <f t="shared" si="129"/>
        <v>-</v>
      </c>
      <c r="DE68" s="34" t="str">
        <f t="shared" si="130"/>
        <v>-</v>
      </c>
      <c r="DF68" s="34" t="str">
        <f t="shared" si="131"/>
        <v>-</v>
      </c>
      <c r="DG68" s="34" t="str">
        <f t="shared" si="132"/>
        <v>-</v>
      </c>
      <c r="DH68" s="34" t="str">
        <f t="shared" si="133"/>
        <v>-</v>
      </c>
      <c r="DI68" s="34" t="str">
        <f t="shared" si="134"/>
        <v>-</v>
      </c>
      <c r="DJ68" s="34" t="str">
        <f t="shared" si="135"/>
        <v>-</v>
      </c>
      <c r="DK68" s="34" t="str">
        <f t="shared" si="136"/>
        <v>-</v>
      </c>
      <c r="DL68" s="34" t="str">
        <f t="shared" si="137"/>
        <v>-</v>
      </c>
      <c r="DM68" s="34" t="str">
        <f t="shared" si="138"/>
        <v>-</v>
      </c>
      <c r="DN68" s="34" t="str">
        <f t="shared" si="139"/>
        <v>-</v>
      </c>
      <c r="DO68" s="34" t="str">
        <f t="shared" si="140"/>
        <v>-</v>
      </c>
      <c r="DP68" s="34" t="str">
        <f t="shared" si="141"/>
        <v>-</v>
      </c>
      <c r="DQ68" s="34" t="str">
        <f t="shared" si="142"/>
        <v>-</v>
      </c>
      <c r="DR68" s="55" t="str">
        <f t="shared" si="143"/>
        <v>-</v>
      </c>
    </row>
    <row r="69" spans="1:122">
      <c r="A69" s="56" t="s">
        <v>104</v>
      </c>
      <c r="B69" s="56"/>
      <c r="C69" s="53" t="s">
        <v>15</v>
      </c>
      <c r="D69" s="53" t="s">
        <v>16</v>
      </c>
      <c r="E69" s="53" t="s">
        <v>16</v>
      </c>
      <c r="F69" s="53" t="s">
        <v>16</v>
      </c>
      <c r="G69" s="53" t="s">
        <v>105</v>
      </c>
      <c r="H69" s="72">
        <v>590</v>
      </c>
      <c r="I69" s="48">
        <v>335</v>
      </c>
      <c r="J69" s="82" t="s">
        <v>106</v>
      </c>
      <c r="K69" s="63" t="s">
        <v>16</v>
      </c>
      <c r="L69" s="34" t="s">
        <v>16</v>
      </c>
      <c r="M69" s="34">
        <v>205</v>
      </c>
      <c r="N69" s="54" t="s">
        <v>16</v>
      </c>
      <c r="O69" s="54">
        <v>189</v>
      </c>
      <c r="P69" s="54" t="s">
        <v>16</v>
      </c>
      <c r="Q69" s="54">
        <v>174</v>
      </c>
      <c r="R69" s="54" t="s">
        <v>16</v>
      </c>
      <c r="S69" s="54">
        <v>157</v>
      </c>
      <c r="T69" s="54" t="s">
        <v>16</v>
      </c>
      <c r="U69" s="54">
        <v>144</v>
      </c>
      <c r="V69" s="54" t="s">
        <v>16</v>
      </c>
      <c r="W69" s="54">
        <v>131</v>
      </c>
      <c r="X69" s="54" t="s">
        <v>16</v>
      </c>
      <c r="Y69" s="54">
        <v>119</v>
      </c>
      <c r="Z69" s="54">
        <v>112</v>
      </c>
      <c r="AA69" s="54">
        <v>81</v>
      </c>
      <c r="AB69" s="54">
        <v>57</v>
      </c>
      <c r="AC69" s="54">
        <v>42</v>
      </c>
      <c r="AD69" s="54">
        <v>35</v>
      </c>
      <c r="AE69" s="54" t="s">
        <v>16</v>
      </c>
      <c r="AF69" s="54" t="s">
        <v>16</v>
      </c>
      <c r="AG69" s="54" t="s">
        <v>16</v>
      </c>
      <c r="AH69" s="54" t="s">
        <v>16</v>
      </c>
      <c r="AI69" s="54" t="s">
        <v>16</v>
      </c>
      <c r="AJ69" s="54" t="s">
        <v>16</v>
      </c>
      <c r="AK69" s="54" t="s">
        <v>16</v>
      </c>
      <c r="AL69" s="54" t="s">
        <v>16</v>
      </c>
      <c r="AM69" s="54" t="s">
        <v>16</v>
      </c>
      <c r="AN69" s="54" t="s">
        <v>16</v>
      </c>
      <c r="AO69" s="54" t="s">
        <v>16</v>
      </c>
      <c r="AP69" s="54" t="s">
        <v>16</v>
      </c>
      <c r="AQ69" s="54" t="s">
        <v>16</v>
      </c>
      <c r="AR69" s="54" t="s">
        <v>16</v>
      </c>
      <c r="AS69" s="54" t="s">
        <v>16</v>
      </c>
      <c r="AT69" s="54" t="s">
        <v>16</v>
      </c>
      <c r="AU69" s="64" t="s">
        <v>16</v>
      </c>
      <c r="AV69" s="141" t="s">
        <v>64</v>
      </c>
      <c r="AW69" s="63" t="s">
        <v>16</v>
      </c>
      <c r="AX69" s="34" t="s">
        <v>16</v>
      </c>
      <c r="AY69" s="34" t="s">
        <v>16</v>
      </c>
      <c r="AZ69" s="34" t="s">
        <v>16</v>
      </c>
      <c r="BA69" s="34" t="s">
        <v>16</v>
      </c>
      <c r="BB69" s="34" t="s">
        <v>16</v>
      </c>
      <c r="BC69" s="34" t="s">
        <v>16</v>
      </c>
      <c r="BD69" s="34" t="s">
        <v>16</v>
      </c>
      <c r="BE69" s="34" t="s">
        <v>16</v>
      </c>
      <c r="BF69" s="34" t="s">
        <v>16</v>
      </c>
      <c r="BG69" s="34" t="s">
        <v>16</v>
      </c>
      <c r="BH69" s="34" t="s">
        <v>16</v>
      </c>
      <c r="BI69" s="34" t="s">
        <v>16</v>
      </c>
      <c r="BJ69" s="34" t="s">
        <v>16</v>
      </c>
      <c r="BK69" s="34" t="s">
        <v>16</v>
      </c>
      <c r="BL69" s="34" t="s">
        <v>16</v>
      </c>
      <c r="BM69" s="34" t="s">
        <v>16</v>
      </c>
      <c r="BN69" s="34" t="s">
        <v>16</v>
      </c>
      <c r="BO69" s="34" t="s">
        <v>16</v>
      </c>
      <c r="BP69" s="34" t="s">
        <v>16</v>
      </c>
      <c r="BQ69" s="34" t="s">
        <v>16</v>
      </c>
      <c r="BR69" s="34" t="s">
        <v>16</v>
      </c>
      <c r="BS69" s="34" t="s">
        <v>16</v>
      </c>
      <c r="BT69" s="34" t="s">
        <v>16</v>
      </c>
      <c r="BU69" s="34" t="s">
        <v>16</v>
      </c>
      <c r="BV69" s="34" t="s">
        <v>16</v>
      </c>
      <c r="BW69" s="34" t="s">
        <v>16</v>
      </c>
      <c r="BX69" s="34" t="s">
        <v>16</v>
      </c>
      <c r="BY69" s="34" t="s">
        <v>16</v>
      </c>
      <c r="BZ69" s="34" t="s">
        <v>16</v>
      </c>
      <c r="CA69" s="34" t="s">
        <v>16</v>
      </c>
      <c r="CB69" s="34" t="s">
        <v>16</v>
      </c>
      <c r="CC69" s="34" t="s">
        <v>16</v>
      </c>
      <c r="CD69" s="34" t="s">
        <v>16</v>
      </c>
      <c r="CE69" s="34" t="s">
        <v>16</v>
      </c>
      <c r="CF69" s="34" t="s">
        <v>16</v>
      </c>
      <c r="CG69" s="44" t="s">
        <v>16</v>
      </c>
      <c r="CH69" s="63">
        <v>330</v>
      </c>
      <c r="CI69" s="34">
        <v>330</v>
      </c>
      <c r="CJ69" s="34">
        <v>330</v>
      </c>
      <c r="CK69" s="54" t="s">
        <v>16</v>
      </c>
      <c r="CL69" s="54">
        <v>314</v>
      </c>
      <c r="CM69" s="54" t="s">
        <v>16</v>
      </c>
      <c r="CN69" s="54">
        <v>299</v>
      </c>
      <c r="CO69" s="54" t="s">
        <v>16</v>
      </c>
      <c r="CP69" s="54">
        <v>284</v>
      </c>
      <c r="CQ69" s="54" t="s">
        <v>16</v>
      </c>
      <c r="CR69" s="54">
        <v>255</v>
      </c>
      <c r="CS69" s="54" t="s">
        <v>16</v>
      </c>
      <c r="CT69" s="54">
        <v>235</v>
      </c>
      <c r="CU69" s="54" t="s">
        <v>16</v>
      </c>
      <c r="CV69" s="54">
        <v>206</v>
      </c>
      <c r="CW69" s="54" t="s">
        <v>16</v>
      </c>
      <c r="CX69" s="54" t="s">
        <v>16</v>
      </c>
      <c r="CY69" s="54" t="s">
        <v>16</v>
      </c>
      <c r="CZ69" s="54" t="s">
        <v>16</v>
      </c>
      <c r="DA69" s="54" t="s">
        <v>16</v>
      </c>
      <c r="DB69" s="54" t="s">
        <v>16</v>
      </c>
      <c r="DC69" s="54" t="s">
        <v>16</v>
      </c>
      <c r="DD69" s="54" t="s">
        <v>16</v>
      </c>
      <c r="DE69" s="54" t="s">
        <v>16</v>
      </c>
      <c r="DF69" s="54" t="s">
        <v>16</v>
      </c>
      <c r="DG69" s="54" t="s">
        <v>16</v>
      </c>
      <c r="DH69" s="54" t="s">
        <v>16</v>
      </c>
      <c r="DI69" s="54" t="s">
        <v>16</v>
      </c>
      <c r="DJ69" s="54" t="s">
        <v>16</v>
      </c>
      <c r="DK69" s="54" t="s">
        <v>16</v>
      </c>
      <c r="DL69" s="54" t="s">
        <v>16</v>
      </c>
      <c r="DM69" s="54" t="s">
        <v>16</v>
      </c>
      <c r="DN69" s="54" t="s">
        <v>16</v>
      </c>
      <c r="DO69" s="54" t="s">
        <v>16</v>
      </c>
      <c r="DP69" s="54" t="s">
        <v>16</v>
      </c>
      <c r="DQ69" s="54" t="s">
        <v>16</v>
      </c>
      <c r="DR69" s="64" t="s">
        <v>16</v>
      </c>
    </row>
    <row r="70" spans="1:122">
      <c r="A70" s="56" t="s">
        <v>107</v>
      </c>
      <c r="B70" s="56"/>
      <c r="C70" s="53" t="s">
        <v>15</v>
      </c>
      <c r="D70" s="53">
        <v>40</v>
      </c>
      <c r="E70" s="53">
        <v>63</v>
      </c>
      <c r="F70" s="53" t="s">
        <v>16</v>
      </c>
      <c r="G70" s="53" t="s">
        <v>105</v>
      </c>
      <c r="H70" s="72">
        <v>588</v>
      </c>
      <c r="I70" s="48">
        <v>304</v>
      </c>
      <c r="J70" s="53" t="s">
        <v>16</v>
      </c>
      <c r="K70" s="63" t="s">
        <v>16</v>
      </c>
      <c r="L70" s="34" t="s">
        <v>16</v>
      </c>
      <c r="M70" s="34" t="s">
        <v>16</v>
      </c>
      <c r="N70" s="54" t="s">
        <v>16</v>
      </c>
      <c r="O70" s="54" t="s">
        <v>16</v>
      </c>
      <c r="P70" s="54" t="s">
        <v>16</v>
      </c>
      <c r="Q70" s="54" t="s">
        <v>16</v>
      </c>
      <c r="R70" s="54" t="s">
        <v>16</v>
      </c>
      <c r="S70" s="54" t="s">
        <v>16</v>
      </c>
      <c r="T70" s="54" t="s">
        <v>16</v>
      </c>
      <c r="U70" s="54" t="s">
        <v>16</v>
      </c>
      <c r="V70" s="54" t="s">
        <v>16</v>
      </c>
      <c r="W70" s="54" t="s">
        <v>16</v>
      </c>
      <c r="X70" s="54" t="s">
        <v>16</v>
      </c>
      <c r="Y70" s="54" t="s">
        <v>16</v>
      </c>
      <c r="Z70" s="54" t="s">
        <v>16</v>
      </c>
      <c r="AA70" s="54" t="s">
        <v>16</v>
      </c>
      <c r="AB70" s="54" t="s">
        <v>16</v>
      </c>
      <c r="AC70" s="54" t="s">
        <v>16</v>
      </c>
      <c r="AD70" s="54" t="s">
        <v>16</v>
      </c>
      <c r="AE70" s="54" t="s">
        <v>16</v>
      </c>
      <c r="AF70" s="54" t="s">
        <v>16</v>
      </c>
      <c r="AG70" s="54" t="s">
        <v>16</v>
      </c>
      <c r="AH70" s="54" t="s">
        <v>16</v>
      </c>
      <c r="AI70" s="54" t="s">
        <v>16</v>
      </c>
      <c r="AJ70" s="54" t="s">
        <v>16</v>
      </c>
      <c r="AK70" s="54" t="s">
        <v>16</v>
      </c>
      <c r="AL70" s="54" t="s">
        <v>16</v>
      </c>
      <c r="AM70" s="54" t="s">
        <v>16</v>
      </c>
      <c r="AN70" s="54" t="s">
        <v>16</v>
      </c>
      <c r="AO70" s="54" t="s">
        <v>16</v>
      </c>
      <c r="AP70" s="54" t="s">
        <v>16</v>
      </c>
      <c r="AQ70" s="54" t="s">
        <v>16</v>
      </c>
      <c r="AR70" s="54" t="s">
        <v>16</v>
      </c>
      <c r="AS70" s="54" t="s">
        <v>16</v>
      </c>
      <c r="AT70" s="54" t="s">
        <v>16</v>
      </c>
      <c r="AU70" s="64" t="s">
        <v>16</v>
      </c>
      <c r="AV70" s="48" t="s">
        <v>64</v>
      </c>
      <c r="AW70" s="63" t="s">
        <v>16</v>
      </c>
      <c r="AX70" s="34" t="s">
        <v>16</v>
      </c>
      <c r="AY70" s="34" t="s">
        <v>16</v>
      </c>
      <c r="AZ70" s="34" t="s">
        <v>16</v>
      </c>
      <c r="BA70" s="34" t="s">
        <v>16</v>
      </c>
      <c r="BB70" s="34" t="s">
        <v>16</v>
      </c>
      <c r="BC70" s="34" t="s">
        <v>16</v>
      </c>
      <c r="BD70" s="34" t="s">
        <v>16</v>
      </c>
      <c r="BE70" s="34" t="s">
        <v>16</v>
      </c>
      <c r="BF70" s="34" t="s">
        <v>16</v>
      </c>
      <c r="BG70" s="34" t="s">
        <v>16</v>
      </c>
      <c r="BH70" s="34" t="s">
        <v>16</v>
      </c>
      <c r="BI70" s="34" t="s">
        <v>16</v>
      </c>
      <c r="BJ70" s="34" t="s">
        <v>16</v>
      </c>
      <c r="BK70" s="34" t="s">
        <v>16</v>
      </c>
      <c r="BL70" s="34" t="s">
        <v>16</v>
      </c>
      <c r="BM70" s="34" t="s">
        <v>16</v>
      </c>
      <c r="BN70" s="34" t="s">
        <v>16</v>
      </c>
      <c r="BO70" s="34" t="s">
        <v>16</v>
      </c>
      <c r="BP70" s="34" t="s">
        <v>16</v>
      </c>
      <c r="BQ70" s="34" t="s">
        <v>16</v>
      </c>
      <c r="BR70" s="34" t="s">
        <v>16</v>
      </c>
      <c r="BS70" s="34" t="s">
        <v>16</v>
      </c>
      <c r="BT70" s="34" t="s">
        <v>16</v>
      </c>
      <c r="BU70" s="34" t="s">
        <v>16</v>
      </c>
      <c r="BV70" s="34" t="s">
        <v>16</v>
      </c>
      <c r="BW70" s="34" t="s">
        <v>16</v>
      </c>
      <c r="BX70" s="34" t="s">
        <v>16</v>
      </c>
      <c r="BY70" s="34" t="s">
        <v>16</v>
      </c>
      <c r="BZ70" s="34" t="s">
        <v>16</v>
      </c>
      <c r="CA70" s="34" t="s">
        <v>16</v>
      </c>
      <c r="CB70" s="34" t="s">
        <v>16</v>
      </c>
      <c r="CC70" s="34" t="s">
        <v>16</v>
      </c>
      <c r="CD70" s="34" t="s">
        <v>16</v>
      </c>
      <c r="CE70" s="34" t="s">
        <v>16</v>
      </c>
      <c r="CF70" s="34" t="s">
        <v>16</v>
      </c>
      <c r="CG70" s="139" t="s">
        <v>16</v>
      </c>
      <c r="CH70" s="63">
        <v>330</v>
      </c>
      <c r="CI70" s="34">
        <v>330</v>
      </c>
      <c r="CJ70" s="34">
        <v>330</v>
      </c>
      <c r="CK70" s="54">
        <v>314</v>
      </c>
      <c r="CL70" s="54">
        <v>314</v>
      </c>
      <c r="CM70" s="54">
        <v>299</v>
      </c>
      <c r="CN70" s="54">
        <v>299</v>
      </c>
      <c r="CO70" s="54">
        <v>284</v>
      </c>
      <c r="CP70" s="54">
        <v>284</v>
      </c>
      <c r="CQ70" s="54">
        <v>255</v>
      </c>
      <c r="CR70" s="54">
        <v>255</v>
      </c>
      <c r="CS70" s="54">
        <v>235</v>
      </c>
      <c r="CT70" s="54">
        <v>235</v>
      </c>
      <c r="CU70" s="54">
        <v>206</v>
      </c>
      <c r="CV70" s="54">
        <v>206</v>
      </c>
      <c r="CW70" s="54" t="s">
        <v>16</v>
      </c>
      <c r="CX70" s="54" t="s">
        <v>16</v>
      </c>
      <c r="CY70" s="54" t="s">
        <v>16</v>
      </c>
      <c r="CZ70" s="54" t="s">
        <v>16</v>
      </c>
      <c r="DA70" s="54" t="s">
        <v>16</v>
      </c>
      <c r="DB70" s="54" t="s">
        <v>16</v>
      </c>
      <c r="DC70" s="54" t="s">
        <v>16</v>
      </c>
      <c r="DD70" s="54" t="s">
        <v>16</v>
      </c>
      <c r="DE70" s="54" t="s">
        <v>16</v>
      </c>
      <c r="DF70" s="54" t="s">
        <v>16</v>
      </c>
      <c r="DG70" s="54" t="s">
        <v>16</v>
      </c>
      <c r="DH70" s="54" t="s">
        <v>16</v>
      </c>
      <c r="DI70" s="54" t="s">
        <v>16</v>
      </c>
      <c r="DJ70" s="54" t="s">
        <v>16</v>
      </c>
      <c r="DK70" s="54" t="s">
        <v>16</v>
      </c>
      <c r="DL70" s="54" t="s">
        <v>16</v>
      </c>
      <c r="DM70" s="54" t="s">
        <v>16</v>
      </c>
      <c r="DN70" s="54" t="s">
        <v>16</v>
      </c>
      <c r="DO70" s="54" t="s">
        <v>16</v>
      </c>
      <c r="DP70" s="54" t="s">
        <v>16</v>
      </c>
      <c r="DQ70" s="54" t="s">
        <v>16</v>
      </c>
      <c r="DR70" s="64" t="s">
        <v>16</v>
      </c>
    </row>
    <row r="71" spans="1:122">
      <c r="A71" s="56" t="s">
        <v>107</v>
      </c>
      <c r="B71" s="56"/>
      <c r="C71" s="53" t="str">
        <f>C70</f>
        <v>bar</v>
      </c>
      <c r="D71" s="53">
        <v>16</v>
      </c>
      <c r="E71" s="53">
        <v>40</v>
      </c>
      <c r="F71" s="53"/>
      <c r="G71" s="53" t="str">
        <f>G70</f>
        <v>UNI</v>
      </c>
      <c r="H71" s="72">
        <v>588</v>
      </c>
      <c r="I71" s="48">
        <v>314</v>
      </c>
      <c r="J71" s="53" t="str">
        <f>J70</f>
        <v>-</v>
      </c>
      <c r="K71" s="63" t="s">
        <v>16</v>
      </c>
      <c r="L71" s="34" t="s">
        <v>16</v>
      </c>
      <c r="M71" s="34" t="s">
        <v>16</v>
      </c>
      <c r="N71" s="34" t="s">
        <v>16</v>
      </c>
      <c r="O71" s="34" t="s">
        <v>16</v>
      </c>
      <c r="P71" s="34" t="s">
        <v>16</v>
      </c>
      <c r="Q71" s="34" t="s">
        <v>16</v>
      </c>
      <c r="R71" s="34" t="s">
        <v>16</v>
      </c>
      <c r="S71" s="34" t="s">
        <v>16</v>
      </c>
      <c r="T71" s="34" t="s">
        <v>16</v>
      </c>
      <c r="U71" s="34" t="s">
        <v>16</v>
      </c>
      <c r="V71" s="34" t="s">
        <v>16</v>
      </c>
      <c r="W71" s="34" t="s">
        <v>16</v>
      </c>
      <c r="X71" s="34" t="s">
        <v>16</v>
      </c>
      <c r="Y71" s="34" t="s">
        <v>16</v>
      </c>
      <c r="Z71" s="34" t="s">
        <v>16</v>
      </c>
      <c r="AA71" s="34" t="s">
        <v>16</v>
      </c>
      <c r="AB71" s="34" t="s">
        <v>16</v>
      </c>
      <c r="AC71" s="34" t="s">
        <v>16</v>
      </c>
      <c r="AD71" s="34" t="s">
        <v>16</v>
      </c>
      <c r="AE71" s="34" t="s">
        <v>16</v>
      </c>
      <c r="AF71" s="34" t="s">
        <v>16</v>
      </c>
      <c r="AG71" s="34" t="s">
        <v>16</v>
      </c>
      <c r="AH71" s="34" t="s">
        <v>16</v>
      </c>
      <c r="AI71" s="34" t="s">
        <v>16</v>
      </c>
      <c r="AJ71" s="34" t="s">
        <v>16</v>
      </c>
      <c r="AK71" s="34" t="s">
        <v>16</v>
      </c>
      <c r="AL71" s="34" t="s">
        <v>16</v>
      </c>
      <c r="AM71" s="34" t="s">
        <v>16</v>
      </c>
      <c r="AN71" s="34" t="s">
        <v>16</v>
      </c>
      <c r="AO71" s="34" t="s">
        <v>16</v>
      </c>
      <c r="AP71" s="34" t="s">
        <v>16</v>
      </c>
      <c r="AQ71" s="34" t="s">
        <v>16</v>
      </c>
      <c r="AR71" s="34" t="s">
        <v>16</v>
      </c>
      <c r="AS71" s="34" t="s">
        <v>16</v>
      </c>
      <c r="AT71" s="34" t="s">
        <v>16</v>
      </c>
      <c r="AU71" s="55" t="s">
        <v>16</v>
      </c>
      <c r="AV71" s="57" t="str">
        <f t="shared" ref="AV71:AX72" si="145">AV70</f>
        <v>EN</v>
      </c>
      <c r="AW71" s="63" t="str">
        <f t="shared" si="145"/>
        <v>-</v>
      </c>
      <c r="AX71" s="34" t="str">
        <f t="shared" si="145"/>
        <v>-</v>
      </c>
      <c r="AY71" s="34" t="str">
        <f t="shared" ref="AY71:CF72" si="146">AY70</f>
        <v>-</v>
      </c>
      <c r="AZ71" s="34" t="str">
        <f t="shared" si="146"/>
        <v>-</v>
      </c>
      <c r="BA71" s="34" t="str">
        <f t="shared" si="146"/>
        <v>-</v>
      </c>
      <c r="BB71" s="34" t="str">
        <f t="shared" si="146"/>
        <v>-</v>
      </c>
      <c r="BC71" s="34" t="str">
        <f t="shared" si="146"/>
        <v>-</v>
      </c>
      <c r="BD71" s="34" t="str">
        <f t="shared" si="146"/>
        <v>-</v>
      </c>
      <c r="BE71" s="34" t="str">
        <f t="shared" si="146"/>
        <v>-</v>
      </c>
      <c r="BF71" s="34" t="str">
        <f t="shared" si="146"/>
        <v>-</v>
      </c>
      <c r="BG71" s="34" t="str">
        <f t="shared" si="146"/>
        <v>-</v>
      </c>
      <c r="BH71" s="34" t="str">
        <f t="shared" si="146"/>
        <v>-</v>
      </c>
      <c r="BI71" s="34" t="str">
        <f t="shared" si="146"/>
        <v>-</v>
      </c>
      <c r="BJ71" s="34" t="str">
        <f t="shared" si="146"/>
        <v>-</v>
      </c>
      <c r="BK71" s="34" t="str">
        <f t="shared" si="146"/>
        <v>-</v>
      </c>
      <c r="BL71" s="34" t="str">
        <f t="shared" si="146"/>
        <v>-</v>
      </c>
      <c r="BM71" s="34" t="str">
        <f t="shared" si="146"/>
        <v>-</v>
      </c>
      <c r="BN71" s="34" t="str">
        <f t="shared" si="146"/>
        <v>-</v>
      </c>
      <c r="BO71" s="34" t="str">
        <f t="shared" si="146"/>
        <v>-</v>
      </c>
      <c r="BP71" s="34" t="str">
        <f t="shared" si="146"/>
        <v>-</v>
      </c>
      <c r="BQ71" s="34" t="str">
        <f t="shared" si="146"/>
        <v>-</v>
      </c>
      <c r="BR71" s="34" t="str">
        <f t="shared" si="146"/>
        <v>-</v>
      </c>
      <c r="BS71" s="34" t="str">
        <f t="shared" si="146"/>
        <v>-</v>
      </c>
      <c r="BT71" s="34" t="str">
        <f t="shared" si="146"/>
        <v>-</v>
      </c>
      <c r="BU71" s="34" t="str">
        <f t="shared" si="146"/>
        <v>-</v>
      </c>
      <c r="BV71" s="34" t="str">
        <f t="shared" si="146"/>
        <v>-</v>
      </c>
      <c r="BW71" s="34" t="str">
        <f t="shared" si="146"/>
        <v>-</v>
      </c>
      <c r="BX71" s="34" t="str">
        <f t="shared" si="146"/>
        <v>-</v>
      </c>
      <c r="BY71" s="34" t="str">
        <f t="shared" si="146"/>
        <v>-</v>
      </c>
      <c r="BZ71" s="34" t="str">
        <f t="shared" si="146"/>
        <v>-</v>
      </c>
      <c r="CA71" s="34" t="str">
        <f t="shared" si="146"/>
        <v>-</v>
      </c>
      <c r="CB71" s="34" t="str">
        <f t="shared" si="146"/>
        <v>-</v>
      </c>
      <c r="CC71" s="34" t="str">
        <f t="shared" si="146"/>
        <v>-</v>
      </c>
      <c r="CD71" s="34" t="str">
        <f t="shared" si="146"/>
        <v>-</v>
      </c>
      <c r="CE71" s="34" t="str">
        <f t="shared" si="146"/>
        <v>-</v>
      </c>
      <c r="CF71" s="34" t="str">
        <f t="shared" si="146"/>
        <v>-</v>
      </c>
      <c r="CG71" s="44" t="str">
        <f t="shared" ref="CG71:CI72" si="147">CG70</f>
        <v>-</v>
      </c>
      <c r="CH71" s="63">
        <f t="shared" si="147"/>
        <v>330</v>
      </c>
      <c r="CI71" s="34">
        <f t="shared" si="147"/>
        <v>330</v>
      </c>
      <c r="CJ71" s="34">
        <f t="shared" ref="CJ71:CW72" si="148">CJ70</f>
        <v>330</v>
      </c>
      <c r="CK71" s="34">
        <f t="shared" si="148"/>
        <v>314</v>
      </c>
      <c r="CL71" s="34">
        <f t="shared" si="148"/>
        <v>314</v>
      </c>
      <c r="CM71" s="34">
        <f t="shared" si="148"/>
        <v>299</v>
      </c>
      <c r="CN71" s="34">
        <f t="shared" si="148"/>
        <v>299</v>
      </c>
      <c r="CO71" s="34">
        <f t="shared" si="148"/>
        <v>284</v>
      </c>
      <c r="CP71" s="34">
        <f t="shared" si="148"/>
        <v>284</v>
      </c>
      <c r="CQ71" s="34">
        <f t="shared" si="148"/>
        <v>255</v>
      </c>
      <c r="CR71" s="34">
        <f t="shared" si="148"/>
        <v>255</v>
      </c>
      <c r="CS71" s="34">
        <f t="shared" si="148"/>
        <v>235</v>
      </c>
      <c r="CT71" s="34">
        <f t="shared" si="148"/>
        <v>235</v>
      </c>
      <c r="CU71" s="34">
        <f t="shared" si="148"/>
        <v>206</v>
      </c>
      <c r="CV71" s="34">
        <f t="shared" si="148"/>
        <v>206</v>
      </c>
      <c r="CW71" s="34" t="str">
        <f t="shared" si="148"/>
        <v>-</v>
      </c>
      <c r="CX71" s="34" t="str">
        <f t="shared" ref="CX71:DG72" si="149">CX70</f>
        <v>-</v>
      </c>
      <c r="CY71" s="34" t="str">
        <f t="shared" si="149"/>
        <v>-</v>
      </c>
      <c r="CZ71" s="34" t="str">
        <f t="shared" si="149"/>
        <v>-</v>
      </c>
      <c r="DA71" s="34" t="str">
        <f t="shared" si="149"/>
        <v>-</v>
      </c>
      <c r="DB71" s="34" t="str">
        <f t="shared" si="149"/>
        <v>-</v>
      </c>
      <c r="DC71" s="34" t="str">
        <f t="shared" si="149"/>
        <v>-</v>
      </c>
      <c r="DD71" s="34" t="str">
        <f t="shared" si="149"/>
        <v>-</v>
      </c>
      <c r="DE71" s="34" t="str">
        <f t="shared" si="149"/>
        <v>-</v>
      </c>
      <c r="DF71" s="34" t="str">
        <f t="shared" si="149"/>
        <v>-</v>
      </c>
      <c r="DG71" s="34" t="str">
        <f t="shared" si="149"/>
        <v>-</v>
      </c>
      <c r="DH71" s="34" t="str">
        <f t="shared" ref="DH71:DQ72" si="150">DH70</f>
        <v>-</v>
      </c>
      <c r="DI71" s="34" t="str">
        <f t="shared" si="150"/>
        <v>-</v>
      </c>
      <c r="DJ71" s="34" t="str">
        <f t="shared" si="150"/>
        <v>-</v>
      </c>
      <c r="DK71" s="34" t="str">
        <f t="shared" si="150"/>
        <v>-</v>
      </c>
      <c r="DL71" s="34" t="str">
        <f t="shared" si="150"/>
        <v>-</v>
      </c>
      <c r="DM71" s="34" t="str">
        <f t="shared" si="150"/>
        <v>-</v>
      </c>
      <c r="DN71" s="34" t="str">
        <f t="shared" si="150"/>
        <v>-</v>
      </c>
      <c r="DO71" s="34" t="str">
        <f t="shared" si="150"/>
        <v>-</v>
      </c>
      <c r="DP71" s="34" t="str">
        <f t="shared" si="150"/>
        <v>-</v>
      </c>
      <c r="DQ71" s="34" t="str">
        <f t="shared" si="150"/>
        <v>-</v>
      </c>
      <c r="DR71" s="55" t="str">
        <f>DR70</f>
        <v>-</v>
      </c>
    </row>
    <row r="72" spans="1:122">
      <c r="A72" s="56" t="s">
        <v>107</v>
      </c>
      <c r="B72" s="56"/>
      <c r="C72" s="53" t="str">
        <f>C71</f>
        <v>bar</v>
      </c>
      <c r="D72" s="53" t="s">
        <v>16</v>
      </c>
      <c r="E72" s="53">
        <v>16</v>
      </c>
      <c r="F72" s="53"/>
      <c r="G72" s="53" t="str">
        <f>G70</f>
        <v>UNI</v>
      </c>
      <c r="H72" s="72">
        <v>588</v>
      </c>
      <c r="I72" s="48">
        <v>324</v>
      </c>
      <c r="J72" s="53" t="str">
        <f>J70</f>
        <v>-</v>
      </c>
      <c r="K72" s="63" t="s">
        <v>16</v>
      </c>
      <c r="L72" s="34" t="s">
        <v>16</v>
      </c>
      <c r="M72" s="34" t="s">
        <v>16</v>
      </c>
      <c r="N72" s="34" t="s">
        <v>16</v>
      </c>
      <c r="O72" s="34" t="s">
        <v>16</v>
      </c>
      <c r="P72" s="34" t="s">
        <v>16</v>
      </c>
      <c r="Q72" s="34" t="s">
        <v>16</v>
      </c>
      <c r="R72" s="34" t="s">
        <v>16</v>
      </c>
      <c r="S72" s="34" t="s">
        <v>16</v>
      </c>
      <c r="T72" s="34" t="s">
        <v>16</v>
      </c>
      <c r="U72" s="34" t="s">
        <v>16</v>
      </c>
      <c r="V72" s="34" t="s">
        <v>16</v>
      </c>
      <c r="W72" s="34" t="s">
        <v>16</v>
      </c>
      <c r="X72" s="34" t="s">
        <v>16</v>
      </c>
      <c r="Y72" s="34" t="s">
        <v>16</v>
      </c>
      <c r="Z72" s="34" t="s">
        <v>16</v>
      </c>
      <c r="AA72" s="34" t="s">
        <v>16</v>
      </c>
      <c r="AB72" s="34" t="s">
        <v>16</v>
      </c>
      <c r="AC72" s="34" t="s">
        <v>16</v>
      </c>
      <c r="AD72" s="34" t="s">
        <v>16</v>
      </c>
      <c r="AE72" s="34" t="s">
        <v>16</v>
      </c>
      <c r="AF72" s="34" t="s">
        <v>16</v>
      </c>
      <c r="AG72" s="34" t="s">
        <v>16</v>
      </c>
      <c r="AH72" s="34" t="s">
        <v>16</v>
      </c>
      <c r="AI72" s="34" t="s">
        <v>16</v>
      </c>
      <c r="AJ72" s="34" t="s">
        <v>16</v>
      </c>
      <c r="AK72" s="34" t="s">
        <v>16</v>
      </c>
      <c r="AL72" s="34" t="s">
        <v>16</v>
      </c>
      <c r="AM72" s="34" t="s">
        <v>16</v>
      </c>
      <c r="AN72" s="34" t="s">
        <v>16</v>
      </c>
      <c r="AO72" s="34" t="s">
        <v>16</v>
      </c>
      <c r="AP72" s="34" t="s">
        <v>16</v>
      </c>
      <c r="AQ72" s="34" t="s">
        <v>16</v>
      </c>
      <c r="AR72" s="34" t="s">
        <v>16</v>
      </c>
      <c r="AS72" s="34" t="s">
        <v>16</v>
      </c>
      <c r="AT72" s="34" t="s">
        <v>16</v>
      </c>
      <c r="AU72" s="55" t="s">
        <v>16</v>
      </c>
      <c r="AV72" s="57" t="str">
        <f t="shared" si="145"/>
        <v>EN</v>
      </c>
      <c r="AW72" s="63" t="str">
        <f t="shared" si="145"/>
        <v>-</v>
      </c>
      <c r="AX72" s="34" t="str">
        <f t="shared" si="145"/>
        <v>-</v>
      </c>
      <c r="AY72" s="34" t="str">
        <f t="shared" si="146"/>
        <v>-</v>
      </c>
      <c r="AZ72" s="34" t="str">
        <f t="shared" si="146"/>
        <v>-</v>
      </c>
      <c r="BA72" s="34" t="str">
        <f t="shared" si="146"/>
        <v>-</v>
      </c>
      <c r="BB72" s="34" t="str">
        <f t="shared" si="146"/>
        <v>-</v>
      </c>
      <c r="BC72" s="34" t="str">
        <f t="shared" si="146"/>
        <v>-</v>
      </c>
      <c r="BD72" s="34" t="str">
        <f t="shared" si="146"/>
        <v>-</v>
      </c>
      <c r="BE72" s="34" t="str">
        <f t="shared" si="146"/>
        <v>-</v>
      </c>
      <c r="BF72" s="34" t="str">
        <f t="shared" si="146"/>
        <v>-</v>
      </c>
      <c r="BG72" s="34" t="str">
        <f t="shared" si="146"/>
        <v>-</v>
      </c>
      <c r="BH72" s="34" t="str">
        <f t="shared" si="146"/>
        <v>-</v>
      </c>
      <c r="BI72" s="34" t="str">
        <f t="shared" si="146"/>
        <v>-</v>
      </c>
      <c r="BJ72" s="34" t="str">
        <f t="shared" si="146"/>
        <v>-</v>
      </c>
      <c r="BK72" s="34" t="str">
        <f t="shared" si="146"/>
        <v>-</v>
      </c>
      <c r="BL72" s="34" t="str">
        <f t="shared" si="146"/>
        <v>-</v>
      </c>
      <c r="BM72" s="34" t="str">
        <f t="shared" si="146"/>
        <v>-</v>
      </c>
      <c r="BN72" s="34" t="str">
        <f t="shared" si="146"/>
        <v>-</v>
      </c>
      <c r="BO72" s="34" t="str">
        <f t="shared" si="146"/>
        <v>-</v>
      </c>
      <c r="BP72" s="34" t="str">
        <f t="shared" si="146"/>
        <v>-</v>
      </c>
      <c r="BQ72" s="34" t="str">
        <f t="shared" si="146"/>
        <v>-</v>
      </c>
      <c r="BR72" s="34" t="str">
        <f t="shared" si="146"/>
        <v>-</v>
      </c>
      <c r="BS72" s="34" t="str">
        <f t="shared" si="146"/>
        <v>-</v>
      </c>
      <c r="BT72" s="34" t="str">
        <f t="shared" si="146"/>
        <v>-</v>
      </c>
      <c r="BU72" s="34" t="str">
        <f t="shared" si="146"/>
        <v>-</v>
      </c>
      <c r="BV72" s="34" t="str">
        <f t="shared" si="146"/>
        <v>-</v>
      </c>
      <c r="BW72" s="34" t="str">
        <f t="shared" si="146"/>
        <v>-</v>
      </c>
      <c r="BX72" s="34" t="str">
        <f t="shared" si="146"/>
        <v>-</v>
      </c>
      <c r="BY72" s="34" t="str">
        <f t="shared" si="146"/>
        <v>-</v>
      </c>
      <c r="BZ72" s="34" t="str">
        <f t="shared" si="146"/>
        <v>-</v>
      </c>
      <c r="CA72" s="34" t="str">
        <f t="shared" si="146"/>
        <v>-</v>
      </c>
      <c r="CB72" s="34" t="str">
        <f t="shared" si="146"/>
        <v>-</v>
      </c>
      <c r="CC72" s="34" t="str">
        <f t="shared" si="146"/>
        <v>-</v>
      </c>
      <c r="CD72" s="34" t="str">
        <f t="shared" si="146"/>
        <v>-</v>
      </c>
      <c r="CE72" s="34" t="str">
        <f t="shared" si="146"/>
        <v>-</v>
      </c>
      <c r="CF72" s="34" t="str">
        <f t="shared" si="146"/>
        <v>-</v>
      </c>
      <c r="CG72" s="44" t="str">
        <f t="shared" si="147"/>
        <v>-</v>
      </c>
      <c r="CH72" s="63">
        <f t="shared" si="147"/>
        <v>330</v>
      </c>
      <c r="CI72" s="34">
        <f t="shared" si="147"/>
        <v>330</v>
      </c>
      <c r="CJ72" s="34">
        <f t="shared" si="148"/>
        <v>330</v>
      </c>
      <c r="CK72" s="34">
        <f t="shared" si="148"/>
        <v>314</v>
      </c>
      <c r="CL72" s="34">
        <f t="shared" si="148"/>
        <v>314</v>
      </c>
      <c r="CM72" s="34">
        <f t="shared" si="148"/>
        <v>299</v>
      </c>
      <c r="CN72" s="34">
        <f t="shared" si="148"/>
        <v>299</v>
      </c>
      <c r="CO72" s="34">
        <f t="shared" si="148"/>
        <v>284</v>
      </c>
      <c r="CP72" s="34">
        <f t="shared" si="148"/>
        <v>284</v>
      </c>
      <c r="CQ72" s="34">
        <f t="shared" si="148"/>
        <v>255</v>
      </c>
      <c r="CR72" s="34">
        <f t="shared" si="148"/>
        <v>255</v>
      </c>
      <c r="CS72" s="34">
        <f t="shared" si="148"/>
        <v>235</v>
      </c>
      <c r="CT72" s="34">
        <f t="shared" si="148"/>
        <v>235</v>
      </c>
      <c r="CU72" s="34">
        <f t="shared" si="148"/>
        <v>206</v>
      </c>
      <c r="CV72" s="34">
        <f t="shared" si="148"/>
        <v>206</v>
      </c>
      <c r="CW72" s="34" t="str">
        <f t="shared" si="148"/>
        <v>-</v>
      </c>
      <c r="CX72" s="34" t="str">
        <f t="shared" si="149"/>
        <v>-</v>
      </c>
      <c r="CY72" s="34" t="str">
        <f t="shared" si="149"/>
        <v>-</v>
      </c>
      <c r="CZ72" s="34" t="str">
        <f t="shared" si="149"/>
        <v>-</v>
      </c>
      <c r="DA72" s="34" t="str">
        <f t="shared" si="149"/>
        <v>-</v>
      </c>
      <c r="DB72" s="34" t="str">
        <f t="shared" si="149"/>
        <v>-</v>
      </c>
      <c r="DC72" s="34" t="str">
        <f t="shared" si="149"/>
        <v>-</v>
      </c>
      <c r="DD72" s="34" t="str">
        <f t="shared" si="149"/>
        <v>-</v>
      </c>
      <c r="DE72" s="34" t="str">
        <f t="shared" si="149"/>
        <v>-</v>
      </c>
      <c r="DF72" s="34" t="str">
        <f t="shared" si="149"/>
        <v>-</v>
      </c>
      <c r="DG72" s="34" t="str">
        <f t="shared" si="149"/>
        <v>-</v>
      </c>
      <c r="DH72" s="34" t="str">
        <f t="shared" si="150"/>
        <v>-</v>
      </c>
      <c r="DI72" s="34" t="str">
        <f t="shared" si="150"/>
        <v>-</v>
      </c>
      <c r="DJ72" s="34" t="str">
        <f t="shared" si="150"/>
        <v>-</v>
      </c>
      <c r="DK72" s="34" t="str">
        <f t="shared" si="150"/>
        <v>-</v>
      </c>
      <c r="DL72" s="34" t="str">
        <f t="shared" si="150"/>
        <v>-</v>
      </c>
      <c r="DM72" s="34" t="str">
        <f t="shared" si="150"/>
        <v>-</v>
      </c>
      <c r="DN72" s="34" t="str">
        <f t="shared" si="150"/>
        <v>-</v>
      </c>
      <c r="DO72" s="34" t="str">
        <f t="shared" si="150"/>
        <v>-</v>
      </c>
      <c r="DP72" s="34" t="str">
        <f t="shared" si="150"/>
        <v>-</v>
      </c>
      <c r="DQ72" s="34" t="str">
        <f t="shared" si="150"/>
        <v>-</v>
      </c>
      <c r="DR72" s="55" t="str">
        <f>DR71</f>
        <v>-</v>
      </c>
    </row>
    <row r="73" spans="1:122">
      <c r="A73" s="56" t="s">
        <v>108</v>
      </c>
      <c r="B73" s="56"/>
      <c r="C73" s="53" t="s">
        <v>109</v>
      </c>
      <c r="D73" s="53">
        <v>100</v>
      </c>
      <c r="E73" s="53">
        <v>150</v>
      </c>
      <c r="F73" s="53" t="s">
        <v>16</v>
      </c>
      <c r="G73" s="53" t="s">
        <v>16</v>
      </c>
      <c r="H73" s="72" t="s">
        <v>16</v>
      </c>
      <c r="I73" s="48" t="s">
        <v>16</v>
      </c>
      <c r="J73" s="53" t="s">
        <v>16</v>
      </c>
      <c r="K73" s="63" t="s">
        <v>16</v>
      </c>
      <c r="L73" s="34" t="s">
        <v>16</v>
      </c>
      <c r="M73" s="34" t="s">
        <v>16</v>
      </c>
      <c r="N73" s="34" t="s">
        <v>16</v>
      </c>
      <c r="O73" s="34" t="s">
        <v>16</v>
      </c>
      <c r="P73" s="34" t="s">
        <v>16</v>
      </c>
      <c r="Q73" s="34" t="s">
        <v>16</v>
      </c>
      <c r="R73" s="34" t="s">
        <v>16</v>
      </c>
      <c r="S73" s="34" t="s">
        <v>16</v>
      </c>
      <c r="T73" s="34" t="s">
        <v>16</v>
      </c>
      <c r="U73" s="34" t="s">
        <v>16</v>
      </c>
      <c r="V73" s="34" t="s">
        <v>16</v>
      </c>
      <c r="W73" s="34" t="s">
        <v>16</v>
      </c>
      <c r="X73" s="34" t="s">
        <v>16</v>
      </c>
      <c r="Y73" s="34" t="s">
        <v>16</v>
      </c>
      <c r="Z73" s="34" t="s">
        <v>16</v>
      </c>
      <c r="AA73" s="34" t="s">
        <v>16</v>
      </c>
      <c r="AB73" s="34" t="s">
        <v>16</v>
      </c>
      <c r="AC73" s="34" t="s">
        <v>16</v>
      </c>
      <c r="AD73" s="34" t="s">
        <v>16</v>
      </c>
      <c r="AE73" s="34" t="s">
        <v>16</v>
      </c>
      <c r="AF73" s="34" t="s">
        <v>16</v>
      </c>
      <c r="AG73" s="34" t="s">
        <v>16</v>
      </c>
      <c r="AH73" s="34" t="s">
        <v>16</v>
      </c>
      <c r="AI73" s="34" t="s">
        <v>16</v>
      </c>
      <c r="AJ73" s="34" t="s">
        <v>16</v>
      </c>
      <c r="AK73" s="34" t="s">
        <v>16</v>
      </c>
      <c r="AL73" s="34" t="s">
        <v>16</v>
      </c>
      <c r="AM73" s="34" t="s">
        <v>16</v>
      </c>
      <c r="AN73" s="34" t="s">
        <v>16</v>
      </c>
      <c r="AO73" s="34" t="s">
        <v>16</v>
      </c>
      <c r="AP73" s="34" t="s">
        <v>16</v>
      </c>
      <c r="AQ73" s="34" t="s">
        <v>16</v>
      </c>
      <c r="AR73" s="34" t="s">
        <v>16</v>
      </c>
      <c r="AS73" s="34" t="s">
        <v>16</v>
      </c>
      <c r="AT73" s="34" t="s">
        <v>16</v>
      </c>
      <c r="AU73" s="34" t="s">
        <v>16</v>
      </c>
      <c r="AV73" s="140" t="s">
        <v>45</v>
      </c>
      <c r="AW73" s="63" t="s">
        <v>16</v>
      </c>
      <c r="AX73" s="34" t="s">
        <v>16</v>
      </c>
      <c r="AY73" s="34" t="s">
        <v>16</v>
      </c>
      <c r="AZ73" s="34" t="s">
        <v>16</v>
      </c>
      <c r="BA73" s="34" t="s">
        <v>16</v>
      </c>
      <c r="BB73" s="34" t="s">
        <v>16</v>
      </c>
      <c r="BC73" s="34" t="s">
        <v>16</v>
      </c>
      <c r="BD73" s="34" t="s">
        <v>16</v>
      </c>
      <c r="BE73" s="34" t="s">
        <v>16</v>
      </c>
      <c r="BF73" s="34" t="s">
        <v>16</v>
      </c>
      <c r="BG73" s="34" t="s">
        <v>16</v>
      </c>
      <c r="BH73" s="34" t="s">
        <v>16</v>
      </c>
      <c r="BI73" s="34" t="s">
        <v>16</v>
      </c>
      <c r="BJ73" s="34" t="s">
        <v>16</v>
      </c>
      <c r="BK73" s="34" t="s">
        <v>16</v>
      </c>
      <c r="BL73" s="34" t="s">
        <v>16</v>
      </c>
      <c r="BM73" s="34" t="s">
        <v>16</v>
      </c>
      <c r="BN73" s="34" t="s">
        <v>16</v>
      </c>
      <c r="BO73" s="34" t="s">
        <v>16</v>
      </c>
      <c r="BP73" s="34" t="s">
        <v>16</v>
      </c>
      <c r="BQ73" s="34" t="s">
        <v>16</v>
      </c>
      <c r="BR73" s="34" t="s">
        <v>16</v>
      </c>
      <c r="BS73" s="34" t="s">
        <v>16</v>
      </c>
      <c r="BT73" s="34" t="s">
        <v>16</v>
      </c>
      <c r="BU73" s="34" t="s">
        <v>16</v>
      </c>
      <c r="BV73" s="34" t="s">
        <v>16</v>
      </c>
      <c r="BW73" s="34" t="s">
        <v>16</v>
      </c>
      <c r="BX73" s="34" t="s">
        <v>16</v>
      </c>
      <c r="BY73" s="34" t="s">
        <v>16</v>
      </c>
      <c r="BZ73" s="34" t="s">
        <v>16</v>
      </c>
      <c r="CA73" s="34" t="s">
        <v>16</v>
      </c>
      <c r="CB73" s="34" t="s">
        <v>16</v>
      </c>
      <c r="CC73" s="34" t="s">
        <v>16</v>
      </c>
      <c r="CD73" s="34" t="s">
        <v>16</v>
      </c>
      <c r="CE73" s="34" t="s">
        <v>16</v>
      </c>
      <c r="CF73" s="34" t="s">
        <v>16</v>
      </c>
      <c r="CG73" s="44" t="s">
        <v>16</v>
      </c>
      <c r="CH73" s="63" t="s">
        <v>16</v>
      </c>
      <c r="CI73" s="34" t="s">
        <v>16</v>
      </c>
      <c r="CJ73" s="34" t="s">
        <v>16</v>
      </c>
      <c r="CK73" s="34" t="s">
        <v>16</v>
      </c>
      <c r="CL73" s="34">
        <v>180</v>
      </c>
      <c r="CM73" s="34" t="s">
        <v>16</v>
      </c>
      <c r="CN73" s="34" t="s">
        <v>16</v>
      </c>
      <c r="CO73" s="34" t="s">
        <v>16</v>
      </c>
      <c r="CP73" s="34">
        <v>155</v>
      </c>
      <c r="CQ73" s="34" t="s">
        <v>16</v>
      </c>
      <c r="CR73" s="34">
        <v>144</v>
      </c>
      <c r="CS73" s="34" t="s">
        <v>16</v>
      </c>
      <c r="CT73" s="34">
        <v>119</v>
      </c>
      <c r="CU73" s="34" t="s">
        <v>16</v>
      </c>
      <c r="CV73" s="34" t="s">
        <v>16</v>
      </c>
      <c r="CW73" s="34" t="s">
        <v>16</v>
      </c>
      <c r="CX73" s="34" t="s">
        <v>16</v>
      </c>
      <c r="CY73" s="34" t="s">
        <v>16</v>
      </c>
      <c r="CZ73" s="34" t="s">
        <v>16</v>
      </c>
      <c r="DA73" s="34" t="s">
        <v>16</v>
      </c>
      <c r="DB73" s="34" t="s">
        <v>16</v>
      </c>
      <c r="DC73" s="34" t="s">
        <v>16</v>
      </c>
      <c r="DD73" s="34" t="s">
        <v>16</v>
      </c>
      <c r="DE73" s="34" t="s">
        <v>16</v>
      </c>
      <c r="DF73" s="34" t="s">
        <v>16</v>
      </c>
      <c r="DG73" s="34" t="s">
        <v>16</v>
      </c>
      <c r="DH73" s="34" t="s">
        <v>16</v>
      </c>
      <c r="DI73" s="34" t="s">
        <v>16</v>
      </c>
      <c r="DJ73" s="34" t="s">
        <v>16</v>
      </c>
      <c r="DK73" s="34" t="s">
        <v>16</v>
      </c>
      <c r="DL73" s="34" t="s">
        <v>16</v>
      </c>
      <c r="DM73" s="34" t="s">
        <v>16</v>
      </c>
      <c r="DN73" s="34" t="s">
        <v>16</v>
      </c>
      <c r="DO73" s="34" t="s">
        <v>16</v>
      </c>
      <c r="DP73" s="34" t="s">
        <v>16</v>
      </c>
      <c r="DQ73" s="34" t="s">
        <v>16</v>
      </c>
      <c r="DR73" s="55" t="s">
        <v>16</v>
      </c>
    </row>
    <row r="74" spans="1:122">
      <c r="A74" s="56" t="s">
        <v>108</v>
      </c>
      <c r="B74" s="56"/>
      <c r="C74" s="53" t="str">
        <f>C73</f>
        <v>rolled</v>
      </c>
      <c r="D74" s="53">
        <v>80</v>
      </c>
      <c r="E74" s="53">
        <v>100</v>
      </c>
      <c r="F74" s="53" t="s">
        <v>16</v>
      </c>
      <c r="G74" s="53" t="s">
        <v>105</v>
      </c>
      <c r="H74" s="72">
        <v>430</v>
      </c>
      <c r="I74" s="48">
        <v>235</v>
      </c>
      <c r="J74" s="82" t="s">
        <v>17</v>
      </c>
      <c r="K74" s="63">
        <v>118</v>
      </c>
      <c r="L74" s="34">
        <v>118</v>
      </c>
      <c r="M74" s="34">
        <v>118</v>
      </c>
      <c r="N74" s="34">
        <v>118</v>
      </c>
      <c r="O74" s="34">
        <v>118</v>
      </c>
      <c r="P74" s="34">
        <v>118</v>
      </c>
      <c r="Q74" s="34">
        <v>118</v>
      </c>
      <c r="R74" s="34">
        <v>118</v>
      </c>
      <c r="S74" s="34">
        <v>118</v>
      </c>
      <c r="T74" s="34">
        <v>118</v>
      </c>
      <c r="U74" s="34">
        <v>118</v>
      </c>
      <c r="V74" s="34">
        <v>118</v>
      </c>
      <c r="W74" s="34">
        <v>118</v>
      </c>
      <c r="X74" s="34">
        <v>118</v>
      </c>
      <c r="Y74" s="34">
        <v>118</v>
      </c>
      <c r="Z74" s="54" t="s">
        <v>16</v>
      </c>
      <c r="AA74" s="54" t="s">
        <v>16</v>
      </c>
      <c r="AB74" s="54" t="s">
        <v>16</v>
      </c>
      <c r="AC74" s="54" t="s">
        <v>16</v>
      </c>
      <c r="AD74" s="54" t="s">
        <v>16</v>
      </c>
      <c r="AE74" s="54" t="s">
        <v>16</v>
      </c>
      <c r="AF74" s="54" t="s">
        <v>16</v>
      </c>
      <c r="AG74" s="54" t="s">
        <v>16</v>
      </c>
      <c r="AH74" s="54" t="s">
        <v>16</v>
      </c>
      <c r="AI74" s="54" t="s">
        <v>16</v>
      </c>
      <c r="AJ74" s="54" t="s">
        <v>16</v>
      </c>
      <c r="AK74" s="54" t="s">
        <v>16</v>
      </c>
      <c r="AL74" s="54" t="s">
        <v>16</v>
      </c>
      <c r="AM74" s="54" t="s">
        <v>16</v>
      </c>
      <c r="AN74" s="54" t="s">
        <v>16</v>
      </c>
      <c r="AO74" s="54" t="s">
        <v>16</v>
      </c>
      <c r="AP74" s="54" t="s">
        <v>16</v>
      </c>
      <c r="AQ74" s="54" t="s">
        <v>16</v>
      </c>
      <c r="AR74" s="54" t="s">
        <v>16</v>
      </c>
      <c r="AS74" s="54" t="s">
        <v>16</v>
      </c>
      <c r="AT74" s="54" t="s">
        <v>16</v>
      </c>
      <c r="AU74" s="64" t="s">
        <v>16</v>
      </c>
      <c r="AV74" s="141" t="str">
        <f>AV73</f>
        <v>DIN</v>
      </c>
      <c r="AW74" s="63" t="s">
        <v>16</v>
      </c>
      <c r="AX74" s="34" t="s">
        <v>16</v>
      </c>
      <c r="AY74" s="34" t="s">
        <v>16</v>
      </c>
      <c r="AZ74" s="34" t="s">
        <v>16</v>
      </c>
      <c r="BA74" s="34" t="s">
        <v>16</v>
      </c>
      <c r="BB74" s="34" t="s">
        <v>16</v>
      </c>
      <c r="BC74" s="34" t="s">
        <v>16</v>
      </c>
      <c r="BD74" s="34" t="s">
        <v>16</v>
      </c>
      <c r="BE74" s="34" t="s">
        <v>16</v>
      </c>
      <c r="BF74" s="34" t="s">
        <v>16</v>
      </c>
      <c r="BG74" s="34" t="s">
        <v>16</v>
      </c>
      <c r="BH74" s="34" t="s">
        <v>16</v>
      </c>
      <c r="BI74" s="34" t="s">
        <v>16</v>
      </c>
      <c r="BJ74" s="34" t="s">
        <v>16</v>
      </c>
      <c r="BK74" s="34" t="s">
        <v>16</v>
      </c>
      <c r="BL74" s="34" t="s">
        <v>16</v>
      </c>
      <c r="BM74" s="34" t="s">
        <v>16</v>
      </c>
      <c r="BN74" s="34" t="s">
        <v>16</v>
      </c>
      <c r="BO74" s="34" t="s">
        <v>16</v>
      </c>
      <c r="BP74" s="34" t="s">
        <v>16</v>
      </c>
      <c r="BQ74" s="34" t="s">
        <v>16</v>
      </c>
      <c r="BR74" s="34" t="s">
        <v>16</v>
      </c>
      <c r="BS74" s="34" t="s">
        <v>16</v>
      </c>
      <c r="BT74" s="34" t="s">
        <v>16</v>
      </c>
      <c r="BU74" s="34" t="s">
        <v>16</v>
      </c>
      <c r="BV74" s="34" t="s">
        <v>16</v>
      </c>
      <c r="BW74" s="34" t="s">
        <v>16</v>
      </c>
      <c r="BX74" s="34" t="s">
        <v>16</v>
      </c>
      <c r="BY74" s="34" t="s">
        <v>16</v>
      </c>
      <c r="BZ74" s="34" t="s">
        <v>16</v>
      </c>
      <c r="CA74" s="34" t="s">
        <v>16</v>
      </c>
      <c r="CB74" s="34" t="s">
        <v>16</v>
      </c>
      <c r="CC74" s="34" t="s">
        <v>16</v>
      </c>
      <c r="CD74" s="34" t="s">
        <v>16</v>
      </c>
      <c r="CE74" s="34" t="s">
        <v>16</v>
      </c>
      <c r="CF74" s="34" t="s">
        <v>16</v>
      </c>
      <c r="CG74" s="44" t="s">
        <v>16</v>
      </c>
      <c r="CH74" s="63" t="s">
        <v>16</v>
      </c>
      <c r="CI74" s="34" t="s">
        <v>16</v>
      </c>
      <c r="CJ74" s="34" t="s">
        <v>16</v>
      </c>
      <c r="CK74" s="34" t="s">
        <v>16</v>
      </c>
      <c r="CL74" s="34">
        <v>188</v>
      </c>
      <c r="CM74" s="34" t="s">
        <v>16</v>
      </c>
      <c r="CN74" s="34" t="s">
        <v>16</v>
      </c>
      <c r="CO74" s="34" t="s">
        <v>16</v>
      </c>
      <c r="CP74" s="34">
        <v>162</v>
      </c>
      <c r="CQ74" s="34" t="s">
        <v>16</v>
      </c>
      <c r="CR74" s="34">
        <v>150</v>
      </c>
      <c r="CS74" s="34" t="s">
        <v>16</v>
      </c>
      <c r="CT74" s="34">
        <v>124</v>
      </c>
      <c r="CU74" s="34" t="s">
        <v>16</v>
      </c>
      <c r="CV74" s="34" t="s">
        <v>16</v>
      </c>
      <c r="CW74" s="34" t="s">
        <v>16</v>
      </c>
      <c r="CX74" s="34" t="s">
        <v>16</v>
      </c>
      <c r="CY74" s="34" t="s">
        <v>16</v>
      </c>
      <c r="CZ74" s="34" t="s">
        <v>16</v>
      </c>
      <c r="DA74" s="34" t="s">
        <v>16</v>
      </c>
      <c r="DB74" s="34" t="s">
        <v>16</v>
      </c>
      <c r="DC74" s="34" t="s">
        <v>16</v>
      </c>
      <c r="DD74" s="34" t="s">
        <v>16</v>
      </c>
      <c r="DE74" s="34" t="s">
        <v>16</v>
      </c>
      <c r="DF74" s="34" t="s">
        <v>16</v>
      </c>
      <c r="DG74" s="34" t="s">
        <v>16</v>
      </c>
      <c r="DH74" s="34" t="s">
        <v>16</v>
      </c>
      <c r="DI74" s="34" t="s">
        <v>16</v>
      </c>
      <c r="DJ74" s="34" t="s">
        <v>16</v>
      </c>
      <c r="DK74" s="34" t="s">
        <v>16</v>
      </c>
      <c r="DL74" s="34" t="s">
        <v>16</v>
      </c>
      <c r="DM74" s="34" t="s">
        <v>16</v>
      </c>
      <c r="DN74" s="34" t="s">
        <v>16</v>
      </c>
      <c r="DO74" s="34" t="s">
        <v>16</v>
      </c>
      <c r="DP74" s="34" t="s">
        <v>16</v>
      </c>
      <c r="DQ74" s="34" t="s">
        <v>16</v>
      </c>
      <c r="DR74" s="55" t="s">
        <v>16</v>
      </c>
    </row>
    <row r="75" spans="1:122">
      <c r="A75" s="56" t="s">
        <v>108</v>
      </c>
      <c r="B75" s="56"/>
      <c r="C75" s="53" t="str">
        <f>C74</f>
        <v>rolled</v>
      </c>
      <c r="D75" s="53">
        <v>63</v>
      </c>
      <c r="E75" s="53">
        <v>80</v>
      </c>
      <c r="F75" s="53" t="s">
        <v>16</v>
      </c>
      <c r="G75" s="53" t="s">
        <v>105</v>
      </c>
      <c r="H75" s="72">
        <v>430</v>
      </c>
      <c r="I75" s="48">
        <v>245</v>
      </c>
      <c r="J75" s="53" t="str">
        <f t="shared" ref="J75:K78" si="151">J74</f>
        <v>ASTM</v>
      </c>
      <c r="K75" s="63">
        <f t="shared" si="151"/>
        <v>118</v>
      </c>
      <c r="L75" s="34">
        <v>118</v>
      </c>
      <c r="M75" s="34">
        <f>M74</f>
        <v>118</v>
      </c>
      <c r="N75" s="34">
        <v>118</v>
      </c>
      <c r="O75" s="34">
        <f>O74</f>
        <v>118</v>
      </c>
      <c r="P75" s="34">
        <v>118</v>
      </c>
      <c r="Q75" s="34">
        <f>Q74</f>
        <v>118</v>
      </c>
      <c r="R75" s="34">
        <v>118</v>
      </c>
      <c r="S75" s="34">
        <f>S74</f>
        <v>118</v>
      </c>
      <c r="T75" s="34">
        <v>118</v>
      </c>
      <c r="U75" s="34">
        <f>U74</f>
        <v>118</v>
      </c>
      <c r="V75" s="34">
        <v>118</v>
      </c>
      <c r="W75" s="34">
        <f>W74</f>
        <v>118</v>
      </c>
      <c r="X75" s="34">
        <v>118</v>
      </c>
      <c r="Y75" s="34">
        <f>Y74</f>
        <v>118</v>
      </c>
      <c r="Z75" s="54" t="s">
        <v>16</v>
      </c>
      <c r="AA75" s="54" t="s">
        <v>16</v>
      </c>
      <c r="AB75" s="54" t="s">
        <v>16</v>
      </c>
      <c r="AC75" s="54" t="s">
        <v>16</v>
      </c>
      <c r="AD75" s="54" t="s">
        <v>16</v>
      </c>
      <c r="AE75" s="54" t="s">
        <v>16</v>
      </c>
      <c r="AF75" s="54" t="s">
        <v>16</v>
      </c>
      <c r="AG75" s="54" t="s">
        <v>16</v>
      </c>
      <c r="AH75" s="54" t="s">
        <v>16</v>
      </c>
      <c r="AI75" s="54" t="s">
        <v>16</v>
      </c>
      <c r="AJ75" s="54" t="s">
        <v>16</v>
      </c>
      <c r="AK75" s="54" t="s">
        <v>16</v>
      </c>
      <c r="AL75" s="54" t="s">
        <v>16</v>
      </c>
      <c r="AM75" s="54" t="s">
        <v>16</v>
      </c>
      <c r="AN75" s="54" t="s">
        <v>16</v>
      </c>
      <c r="AO75" s="54" t="s">
        <v>16</v>
      </c>
      <c r="AP75" s="54" t="s">
        <v>16</v>
      </c>
      <c r="AQ75" s="54" t="s">
        <v>16</v>
      </c>
      <c r="AR75" s="54" t="s">
        <v>16</v>
      </c>
      <c r="AS75" s="54" t="s">
        <v>16</v>
      </c>
      <c r="AT75" s="54" t="s">
        <v>16</v>
      </c>
      <c r="AU75" s="64" t="s">
        <v>16</v>
      </c>
      <c r="AV75" s="141" t="str">
        <f>AV74</f>
        <v>DIN</v>
      </c>
      <c r="AW75" s="63" t="s">
        <v>16</v>
      </c>
      <c r="AX75" s="34" t="s">
        <v>16</v>
      </c>
      <c r="AY75" s="34" t="s">
        <v>16</v>
      </c>
      <c r="AZ75" s="34" t="s">
        <v>16</v>
      </c>
      <c r="BA75" s="34" t="s">
        <v>16</v>
      </c>
      <c r="BB75" s="34" t="s">
        <v>16</v>
      </c>
      <c r="BC75" s="34" t="s">
        <v>16</v>
      </c>
      <c r="BD75" s="34" t="s">
        <v>16</v>
      </c>
      <c r="BE75" s="34" t="s">
        <v>16</v>
      </c>
      <c r="BF75" s="34" t="s">
        <v>16</v>
      </c>
      <c r="BG75" s="34" t="s">
        <v>16</v>
      </c>
      <c r="BH75" s="34" t="s">
        <v>16</v>
      </c>
      <c r="BI75" s="34" t="s">
        <v>16</v>
      </c>
      <c r="BJ75" s="34" t="s">
        <v>16</v>
      </c>
      <c r="BK75" s="34" t="s">
        <v>16</v>
      </c>
      <c r="BL75" s="34" t="s">
        <v>16</v>
      </c>
      <c r="BM75" s="34" t="s">
        <v>16</v>
      </c>
      <c r="BN75" s="34" t="s">
        <v>16</v>
      </c>
      <c r="BO75" s="34" t="s">
        <v>16</v>
      </c>
      <c r="BP75" s="34" t="s">
        <v>16</v>
      </c>
      <c r="BQ75" s="34" t="s">
        <v>16</v>
      </c>
      <c r="BR75" s="34" t="s">
        <v>16</v>
      </c>
      <c r="BS75" s="34" t="s">
        <v>16</v>
      </c>
      <c r="BT75" s="34" t="s">
        <v>16</v>
      </c>
      <c r="BU75" s="34" t="s">
        <v>16</v>
      </c>
      <c r="BV75" s="34" t="s">
        <v>16</v>
      </c>
      <c r="BW75" s="34" t="s">
        <v>16</v>
      </c>
      <c r="BX75" s="34" t="s">
        <v>16</v>
      </c>
      <c r="BY75" s="34" t="s">
        <v>16</v>
      </c>
      <c r="BZ75" s="34" t="s">
        <v>16</v>
      </c>
      <c r="CA75" s="34" t="s">
        <v>16</v>
      </c>
      <c r="CB75" s="34" t="s">
        <v>16</v>
      </c>
      <c r="CC75" s="34" t="s">
        <v>16</v>
      </c>
      <c r="CD75" s="34" t="s">
        <v>16</v>
      </c>
      <c r="CE75" s="34" t="s">
        <v>16</v>
      </c>
      <c r="CF75" s="34" t="s">
        <v>16</v>
      </c>
      <c r="CG75" s="44" t="s">
        <v>16</v>
      </c>
      <c r="CH75" s="63" t="str">
        <f t="shared" ref="CH75:CV76" si="152">CH74</f>
        <v>-</v>
      </c>
      <c r="CI75" s="34" t="str">
        <f t="shared" si="152"/>
        <v>-</v>
      </c>
      <c r="CJ75" s="34" t="str">
        <f t="shared" si="152"/>
        <v>-</v>
      </c>
      <c r="CK75" s="34" t="str">
        <f t="shared" si="152"/>
        <v>-</v>
      </c>
      <c r="CL75" s="34">
        <f t="shared" si="152"/>
        <v>188</v>
      </c>
      <c r="CM75" s="34" t="str">
        <f t="shared" si="152"/>
        <v>-</v>
      </c>
      <c r="CN75" s="34" t="str">
        <f t="shared" si="152"/>
        <v>-</v>
      </c>
      <c r="CO75" s="34" t="str">
        <f t="shared" si="152"/>
        <v>-</v>
      </c>
      <c r="CP75" s="34">
        <f t="shared" si="152"/>
        <v>162</v>
      </c>
      <c r="CQ75" s="34" t="str">
        <f t="shared" si="152"/>
        <v>-</v>
      </c>
      <c r="CR75" s="34">
        <f t="shared" si="152"/>
        <v>150</v>
      </c>
      <c r="CS75" s="34" t="str">
        <f t="shared" si="152"/>
        <v>-</v>
      </c>
      <c r="CT75" s="34">
        <f t="shared" si="152"/>
        <v>124</v>
      </c>
      <c r="CU75" s="34" t="str">
        <f t="shared" si="152"/>
        <v>-</v>
      </c>
      <c r="CV75" s="34" t="str">
        <f t="shared" si="152"/>
        <v>-</v>
      </c>
      <c r="CW75" s="34" t="str">
        <f t="shared" ref="CW75:DF76" si="153">CW74</f>
        <v>-</v>
      </c>
      <c r="CX75" s="34" t="str">
        <f t="shared" si="153"/>
        <v>-</v>
      </c>
      <c r="CY75" s="34" t="str">
        <f t="shared" si="153"/>
        <v>-</v>
      </c>
      <c r="CZ75" s="34" t="str">
        <f t="shared" si="153"/>
        <v>-</v>
      </c>
      <c r="DA75" s="34" t="str">
        <f t="shared" si="153"/>
        <v>-</v>
      </c>
      <c r="DB75" s="34" t="str">
        <f t="shared" si="153"/>
        <v>-</v>
      </c>
      <c r="DC75" s="34" t="str">
        <f t="shared" si="153"/>
        <v>-</v>
      </c>
      <c r="DD75" s="34" t="str">
        <f t="shared" si="153"/>
        <v>-</v>
      </c>
      <c r="DE75" s="34" t="str">
        <f t="shared" si="153"/>
        <v>-</v>
      </c>
      <c r="DF75" s="34" t="str">
        <f t="shared" si="153"/>
        <v>-</v>
      </c>
      <c r="DG75" s="34" t="str">
        <f t="shared" ref="DG75:DP76" si="154">DG74</f>
        <v>-</v>
      </c>
      <c r="DH75" s="34" t="str">
        <f t="shared" si="154"/>
        <v>-</v>
      </c>
      <c r="DI75" s="34" t="str">
        <f t="shared" si="154"/>
        <v>-</v>
      </c>
      <c r="DJ75" s="34" t="str">
        <f t="shared" si="154"/>
        <v>-</v>
      </c>
      <c r="DK75" s="34" t="str">
        <f t="shared" si="154"/>
        <v>-</v>
      </c>
      <c r="DL75" s="34" t="str">
        <f t="shared" si="154"/>
        <v>-</v>
      </c>
      <c r="DM75" s="34" t="str">
        <f t="shared" si="154"/>
        <v>-</v>
      </c>
      <c r="DN75" s="34" t="str">
        <f t="shared" si="154"/>
        <v>-</v>
      </c>
      <c r="DO75" s="34" t="str">
        <f t="shared" si="154"/>
        <v>-</v>
      </c>
      <c r="DP75" s="34" t="str">
        <f t="shared" si="154"/>
        <v>-</v>
      </c>
      <c r="DQ75" s="34" t="str">
        <f>DQ74</f>
        <v>-</v>
      </c>
      <c r="DR75" s="55" t="str">
        <f>DR74</f>
        <v>-</v>
      </c>
    </row>
    <row r="76" spans="1:122">
      <c r="A76" s="56" t="s">
        <v>108</v>
      </c>
      <c r="B76" s="56"/>
      <c r="C76" s="53" t="str">
        <f>C75</f>
        <v>rolled</v>
      </c>
      <c r="D76" s="53">
        <v>40</v>
      </c>
      <c r="E76" s="53">
        <v>63</v>
      </c>
      <c r="F76" s="53" t="s">
        <v>16</v>
      </c>
      <c r="G76" s="53" t="s">
        <v>105</v>
      </c>
      <c r="H76" s="72">
        <v>430</v>
      </c>
      <c r="I76" s="48">
        <v>255</v>
      </c>
      <c r="J76" s="53" t="str">
        <f t="shared" si="151"/>
        <v>ASTM</v>
      </c>
      <c r="K76" s="63">
        <f t="shared" si="151"/>
        <v>118</v>
      </c>
      <c r="L76" s="34">
        <v>118</v>
      </c>
      <c r="M76" s="34">
        <f>M75</f>
        <v>118</v>
      </c>
      <c r="N76" s="34">
        <v>118</v>
      </c>
      <c r="O76" s="34">
        <f>O75</f>
        <v>118</v>
      </c>
      <c r="P76" s="34">
        <v>118</v>
      </c>
      <c r="Q76" s="34">
        <f>Q75</f>
        <v>118</v>
      </c>
      <c r="R76" s="34">
        <v>118</v>
      </c>
      <c r="S76" s="34">
        <f>S75</f>
        <v>118</v>
      </c>
      <c r="T76" s="34">
        <v>118</v>
      </c>
      <c r="U76" s="34">
        <f>U75</f>
        <v>118</v>
      </c>
      <c r="V76" s="34">
        <v>118</v>
      </c>
      <c r="W76" s="34">
        <f>W75</f>
        <v>118</v>
      </c>
      <c r="X76" s="34">
        <v>118</v>
      </c>
      <c r="Y76" s="34">
        <f>Y75</f>
        <v>118</v>
      </c>
      <c r="Z76" s="54" t="s">
        <v>16</v>
      </c>
      <c r="AA76" s="54" t="s">
        <v>16</v>
      </c>
      <c r="AB76" s="54" t="s">
        <v>16</v>
      </c>
      <c r="AC76" s="54" t="s">
        <v>16</v>
      </c>
      <c r="AD76" s="54" t="s">
        <v>16</v>
      </c>
      <c r="AE76" s="54" t="s">
        <v>16</v>
      </c>
      <c r="AF76" s="54" t="s">
        <v>16</v>
      </c>
      <c r="AG76" s="54" t="s">
        <v>16</v>
      </c>
      <c r="AH76" s="54" t="s">
        <v>16</v>
      </c>
      <c r="AI76" s="54" t="s">
        <v>16</v>
      </c>
      <c r="AJ76" s="54" t="s">
        <v>16</v>
      </c>
      <c r="AK76" s="54" t="s">
        <v>16</v>
      </c>
      <c r="AL76" s="54" t="s">
        <v>16</v>
      </c>
      <c r="AM76" s="54" t="s">
        <v>16</v>
      </c>
      <c r="AN76" s="54" t="s">
        <v>16</v>
      </c>
      <c r="AO76" s="54" t="s">
        <v>16</v>
      </c>
      <c r="AP76" s="54" t="s">
        <v>16</v>
      </c>
      <c r="AQ76" s="54" t="s">
        <v>16</v>
      </c>
      <c r="AR76" s="54" t="s">
        <v>16</v>
      </c>
      <c r="AS76" s="54" t="s">
        <v>16</v>
      </c>
      <c r="AT76" s="54" t="s">
        <v>16</v>
      </c>
      <c r="AU76" s="64" t="s">
        <v>16</v>
      </c>
      <c r="AV76" s="141" t="str">
        <f>AV75</f>
        <v>DIN</v>
      </c>
      <c r="AW76" s="63" t="s">
        <v>16</v>
      </c>
      <c r="AX76" s="34" t="s">
        <v>16</v>
      </c>
      <c r="AY76" s="34" t="s">
        <v>16</v>
      </c>
      <c r="AZ76" s="34" t="s">
        <v>16</v>
      </c>
      <c r="BA76" s="34" t="s">
        <v>16</v>
      </c>
      <c r="BB76" s="34" t="s">
        <v>16</v>
      </c>
      <c r="BC76" s="34" t="s">
        <v>16</v>
      </c>
      <c r="BD76" s="34" t="s">
        <v>16</v>
      </c>
      <c r="BE76" s="34" t="s">
        <v>16</v>
      </c>
      <c r="BF76" s="34" t="s">
        <v>16</v>
      </c>
      <c r="BG76" s="34" t="s">
        <v>16</v>
      </c>
      <c r="BH76" s="34" t="s">
        <v>16</v>
      </c>
      <c r="BI76" s="34" t="s">
        <v>16</v>
      </c>
      <c r="BJ76" s="34" t="s">
        <v>16</v>
      </c>
      <c r="BK76" s="34" t="s">
        <v>16</v>
      </c>
      <c r="BL76" s="34" t="s">
        <v>16</v>
      </c>
      <c r="BM76" s="34" t="s">
        <v>16</v>
      </c>
      <c r="BN76" s="34" t="s">
        <v>16</v>
      </c>
      <c r="BO76" s="34" t="s">
        <v>16</v>
      </c>
      <c r="BP76" s="34" t="s">
        <v>16</v>
      </c>
      <c r="BQ76" s="34" t="s">
        <v>16</v>
      </c>
      <c r="BR76" s="34" t="s">
        <v>16</v>
      </c>
      <c r="BS76" s="34" t="s">
        <v>16</v>
      </c>
      <c r="BT76" s="34" t="s">
        <v>16</v>
      </c>
      <c r="BU76" s="34" t="s">
        <v>16</v>
      </c>
      <c r="BV76" s="34" t="s">
        <v>16</v>
      </c>
      <c r="BW76" s="34" t="s">
        <v>16</v>
      </c>
      <c r="BX76" s="34" t="s">
        <v>16</v>
      </c>
      <c r="BY76" s="34" t="s">
        <v>16</v>
      </c>
      <c r="BZ76" s="34" t="s">
        <v>16</v>
      </c>
      <c r="CA76" s="34" t="s">
        <v>16</v>
      </c>
      <c r="CB76" s="34" t="s">
        <v>16</v>
      </c>
      <c r="CC76" s="34" t="s">
        <v>16</v>
      </c>
      <c r="CD76" s="34" t="s">
        <v>16</v>
      </c>
      <c r="CE76" s="34" t="s">
        <v>16</v>
      </c>
      <c r="CF76" s="34" t="s">
        <v>16</v>
      </c>
      <c r="CG76" s="44" t="s">
        <v>16</v>
      </c>
      <c r="CH76" s="63" t="str">
        <f t="shared" si="152"/>
        <v>-</v>
      </c>
      <c r="CI76" s="34" t="str">
        <f t="shared" si="152"/>
        <v>-</v>
      </c>
      <c r="CJ76" s="34" t="str">
        <f t="shared" si="152"/>
        <v>-</v>
      </c>
      <c r="CK76" s="34" t="str">
        <f t="shared" si="152"/>
        <v>-</v>
      </c>
      <c r="CL76" s="34">
        <f t="shared" si="152"/>
        <v>188</v>
      </c>
      <c r="CM76" s="34" t="str">
        <f t="shared" si="152"/>
        <v>-</v>
      </c>
      <c r="CN76" s="34" t="str">
        <f t="shared" si="152"/>
        <v>-</v>
      </c>
      <c r="CO76" s="34" t="str">
        <f t="shared" si="152"/>
        <v>-</v>
      </c>
      <c r="CP76" s="34">
        <f t="shared" si="152"/>
        <v>162</v>
      </c>
      <c r="CQ76" s="34" t="str">
        <f t="shared" si="152"/>
        <v>-</v>
      </c>
      <c r="CR76" s="34">
        <f t="shared" si="152"/>
        <v>150</v>
      </c>
      <c r="CS76" s="34" t="str">
        <f t="shared" si="152"/>
        <v>-</v>
      </c>
      <c r="CT76" s="34">
        <f t="shared" si="152"/>
        <v>124</v>
      </c>
      <c r="CU76" s="34" t="str">
        <f t="shared" si="152"/>
        <v>-</v>
      </c>
      <c r="CV76" s="34" t="str">
        <f t="shared" si="152"/>
        <v>-</v>
      </c>
      <c r="CW76" s="34" t="str">
        <f t="shared" si="153"/>
        <v>-</v>
      </c>
      <c r="CX76" s="34" t="str">
        <f t="shared" si="153"/>
        <v>-</v>
      </c>
      <c r="CY76" s="34" t="str">
        <f t="shared" si="153"/>
        <v>-</v>
      </c>
      <c r="CZ76" s="34" t="str">
        <f t="shared" si="153"/>
        <v>-</v>
      </c>
      <c r="DA76" s="34" t="str">
        <f t="shared" si="153"/>
        <v>-</v>
      </c>
      <c r="DB76" s="34" t="str">
        <f t="shared" si="153"/>
        <v>-</v>
      </c>
      <c r="DC76" s="34" t="str">
        <f t="shared" si="153"/>
        <v>-</v>
      </c>
      <c r="DD76" s="34" t="str">
        <f t="shared" si="153"/>
        <v>-</v>
      </c>
      <c r="DE76" s="34" t="str">
        <f t="shared" si="153"/>
        <v>-</v>
      </c>
      <c r="DF76" s="34" t="str">
        <f t="shared" si="153"/>
        <v>-</v>
      </c>
      <c r="DG76" s="34" t="str">
        <f t="shared" si="154"/>
        <v>-</v>
      </c>
      <c r="DH76" s="34" t="str">
        <f t="shared" si="154"/>
        <v>-</v>
      </c>
      <c r="DI76" s="34" t="str">
        <f t="shared" si="154"/>
        <v>-</v>
      </c>
      <c r="DJ76" s="34" t="str">
        <f t="shared" si="154"/>
        <v>-</v>
      </c>
      <c r="DK76" s="34" t="str">
        <f t="shared" si="154"/>
        <v>-</v>
      </c>
      <c r="DL76" s="34" t="str">
        <f t="shared" si="154"/>
        <v>-</v>
      </c>
      <c r="DM76" s="34" t="str">
        <f t="shared" si="154"/>
        <v>-</v>
      </c>
      <c r="DN76" s="34" t="str">
        <f t="shared" si="154"/>
        <v>-</v>
      </c>
      <c r="DO76" s="34" t="str">
        <f t="shared" si="154"/>
        <v>-</v>
      </c>
      <c r="DP76" s="34" t="str">
        <f t="shared" si="154"/>
        <v>-</v>
      </c>
      <c r="DQ76" s="34" t="str">
        <f>DQ75</f>
        <v>-</v>
      </c>
      <c r="DR76" s="55" t="str">
        <f>DR75</f>
        <v>-</v>
      </c>
    </row>
    <row r="77" spans="1:122">
      <c r="A77" s="56" t="s">
        <v>108</v>
      </c>
      <c r="B77" s="56"/>
      <c r="C77" s="53" t="str">
        <f>C76</f>
        <v>rolled</v>
      </c>
      <c r="D77" s="53">
        <v>16</v>
      </c>
      <c r="E77" s="53">
        <v>40</v>
      </c>
      <c r="F77" s="53" t="s">
        <v>16</v>
      </c>
      <c r="G77" s="53" t="s">
        <v>105</v>
      </c>
      <c r="H77" s="72">
        <v>430</v>
      </c>
      <c r="I77" s="48">
        <v>265</v>
      </c>
      <c r="J77" s="53" t="str">
        <f t="shared" si="151"/>
        <v>ASTM</v>
      </c>
      <c r="K77" s="63">
        <f t="shared" si="151"/>
        <v>118</v>
      </c>
      <c r="L77" s="34">
        <v>118</v>
      </c>
      <c r="M77" s="34">
        <f>M76</f>
        <v>118</v>
      </c>
      <c r="N77" s="34">
        <v>118</v>
      </c>
      <c r="O77" s="34">
        <f>O76</f>
        <v>118</v>
      </c>
      <c r="P77" s="34">
        <v>118</v>
      </c>
      <c r="Q77" s="34">
        <f>Q76</f>
        <v>118</v>
      </c>
      <c r="R77" s="34">
        <v>118</v>
      </c>
      <c r="S77" s="34">
        <f>S76</f>
        <v>118</v>
      </c>
      <c r="T77" s="34">
        <v>118</v>
      </c>
      <c r="U77" s="34">
        <f>U76</f>
        <v>118</v>
      </c>
      <c r="V77" s="34">
        <v>118</v>
      </c>
      <c r="W77" s="34">
        <f>W76</f>
        <v>118</v>
      </c>
      <c r="X77" s="34">
        <v>118</v>
      </c>
      <c r="Y77" s="34">
        <f>Y76</f>
        <v>118</v>
      </c>
      <c r="Z77" s="54" t="s">
        <v>16</v>
      </c>
      <c r="AA77" s="54" t="s">
        <v>16</v>
      </c>
      <c r="AB77" s="54" t="s">
        <v>16</v>
      </c>
      <c r="AC77" s="54" t="s">
        <v>16</v>
      </c>
      <c r="AD77" s="54" t="s">
        <v>16</v>
      </c>
      <c r="AE77" s="54" t="s">
        <v>16</v>
      </c>
      <c r="AF77" s="54" t="s">
        <v>16</v>
      </c>
      <c r="AG77" s="54" t="s">
        <v>16</v>
      </c>
      <c r="AH77" s="54" t="s">
        <v>16</v>
      </c>
      <c r="AI77" s="54" t="s">
        <v>16</v>
      </c>
      <c r="AJ77" s="54" t="s">
        <v>16</v>
      </c>
      <c r="AK77" s="54" t="s">
        <v>16</v>
      </c>
      <c r="AL77" s="54" t="s">
        <v>16</v>
      </c>
      <c r="AM77" s="54" t="s">
        <v>16</v>
      </c>
      <c r="AN77" s="54" t="s">
        <v>16</v>
      </c>
      <c r="AO77" s="54" t="s">
        <v>16</v>
      </c>
      <c r="AP77" s="54" t="s">
        <v>16</v>
      </c>
      <c r="AQ77" s="54" t="s">
        <v>16</v>
      </c>
      <c r="AR77" s="54" t="s">
        <v>16</v>
      </c>
      <c r="AS77" s="54" t="s">
        <v>16</v>
      </c>
      <c r="AT77" s="54" t="s">
        <v>16</v>
      </c>
      <c r="AU77" s="64" t="s">
        <v>16</v>
      </c>
      <c r="AV77" s="141" t="str">
        <f>AV76</f>
        <v>DIN</v>
      </c>
      <c r="AW77" s="63" t="s">
        <v>16</v>
      </c>
      <c r="AX77" s="34" t="s">
        <v>16</v>
      </c>
      <c r="AY77" s="34" t="s">
        <v>16</v>
      </c>
      <c r="AZ77" s="34" t="s">
        <v>16</v>
      </c>
      <c r="BA77" s="34" t="s">
        <v>16</v>
      </c>
      <c r="BB77" s="34" t="s">
        <v>16</v>
      </c>
      <c r="BC77" s="34" t="s">
        <v>16</v>
      </c>
      <c r="BD77" s="34" t="s">
        <v>16</v>
      </c>
      <c r="BE77" s="34" t="s">
        <v>16</v>
      </c>
      <c r="BF77" s="34" t="s">
        <v>16</v>
      </c>
      <c r="BG77" s="34" t="s">
        <v>16</v>
      </c>
      <c r="BH77" s="34" t="s">
        <v>16</v>
      </c>
      <c r="BI77" s="34" t="s">
        <v>16</v>
      </c>
      <c r="BJ77" s="34" t="s">
        <v>16</v>
      </c>
      <c r="BK77" s="34" t="s">
        <v>16</v>
      </c>
      <c r="BL77" s="34" t="s">
        <v>16</v>
      </c>
      <c r="BM77" s="34" t="s">
        <v>16</v>
      </c>
      <c r="BN77" s="34" t="s">
        <v>16</v>
      </c>
      <c r="BO77" s="34" t="s">
        <v>16</v>
      </c>
      <c r="BP77" s="34" t="s">
        <v>16</v>
      </c>
      <c r="BQ77" s="34" t="s">
        <v>16</v>
      </c>
      <c r="BR77" s="34" t="s">
        <v>16</v>
      </c>
      <c r="BS77" s="34" t="s">
        <v>16</v>
      </c>
      <c r="BT77" s="34" t="s">
        <v>16</v>
      </c>
      <c r="BU77" s="34" t="s">
        <v>16</v>
      </c>
      <c r="BV77" s="34" t="s">
        <v>16</v>
      </c>
      <c r="BW77" s="34" t="s">
        <v>16</v>
      </c>
      <c r="BX77" s="34" t="s">
        <v>16</v>
      </c>
      <c r="BY77" s="34" t="s">
        <v>16</v>
      </c>
      <c r="BZ77" s="34" t="s">
        <v>16</v>
      </c>
      <c r="CA77" s="34" t="s">
        <v>16</v>
      </c>
      <c r="CB77" s="34" t="s">
        <v>16</v>
      </c>
      <c r="CC77" s="34" t="s">
        <v>16</v>
      </c>
      <c r="CD77" s="34" t="s">
        <v>16</v>
      </c>
      <c r="CE77" s="34" t="s">
        <v>16</v>
      </c>
      <c r="CF77" s="34" t="s">
        <v>16</v>
      </c>
      <c r="CG77" s="44" t="s">
        <v>16</v>
      </c>
      <c r="CH77" s="63" t="s">
        <v>16</v>
      </c>
      <c r="CI77" s="34" t="s">
        <v>16</v>
      </c>
      <c r="CJ77" s="34" t="s">
        <v>16</v>
      </c>
      <c r="CK77" s="34" t="s">
        <v>16</v>
      </c>
      <c r="CL77" s="34">
        <v>210</v>
      </c>
      <c r="CM77" s="34" t="s">
        <v>16</v>
      </c>
      <c r="CN77" s="34" t="s">
        <v>16</v>
      </c>
      <c r="CO77" s="34" t="s">
        <v>16</v>
      </c>
      <c r="CP77" s="34">
        <v>180</v>
      </c>
      <c r="CQ77" s="34" t="s">
        <v>16</v>
      </c>
      <c r="CR77" s="34">
        <v>170</v>
      </c>
      <c r="CS77" s="34" t="s">
        <v>16</v>
      </c>
      <c r="CT77" s="34">
        <v>140</v>
      </c>
      <c r="CU77" s="34" t="s">
        <v>16</v>
      </c>
      <c r="CV77" s="34" t="s">
        <v>16</v>
      </c>
      <c r="CW77" s="34" t="s">
        <v>16</v>
      </c>
      <c r="CX77" s="34" t="s">
        <v>16</v>
      </c>
      <c r="CY77" s="34" t="s">
        <v>16</v>
      </c>
      <c r="CZ77" s="34" t="s">
        <v>16</v>
      </c>
      <c r="DA77" s="34" t="s">
        <v>16</v>
      </c>
      <c r="DB77" s="34" t="s">
        <v>16</v>
      </c>
      <c r="DC77" s="34" t="s">
        <v>16</v>
      </c>
      <c r="DD77" s="34" t="s">
        <v>16</v>
      </c>
      <c r="DE77" s="34" t="s">
        <v>16</v>
      </c>
      <c r="DF77" s="34" t="s">
        <v>16</v>
      </c>
      <c r="DG77" s="34" t="s">
        <v>16</v>
      </c>
      <c r="DH77" s="34" t="s">
        <v>16</v>
      </c>
      <c r="DI77" s="34" t="s">
        <v>16</v>
      </c>
      <c r="DJ77" s="34" t="s">
        <v>16</v>
      </c>
      <c r="DK77" s="34" t="s">
        <v>16</v>
      </c>
      <c r="DL77" s="34" t="s">
        <v>16</v>
      </c>
      <c r="DM77" s="34" t="s">
        <v>16</v>
      </c>
      <c r="DN77" s="34" t="s">
        <v>16</v>
      </c>
      <c r="DO77" s="34" t="s">
        <v>16</v>
      </c>
      <c r="DP77" s="34" t="s">
        <v>16</v>
      </c>
      <c r="DQ77" s="34" t="s">
        <v>16</v>
      </c>
      <c r="DR77" s="55" t="s">
        <v>16</v>
      </c>
    </row>
    <row r="78" spans="1:122">
      <c r="A78" s="56" t="s">
        <v>108</v>
      </c>
      <c r="B78" s="56"/>
      <c r="C78" s="53" t="str">
        <f>C77</f>
        <v>rolled</v>
      </c>
      <c r="D78" s="53" t="s">
        <v>16</v>
      </c>
      <c r="E78" s="53">
        <v>16</v>
      </c>
      <c r="F78" s="53" t="s">
        <v>16</v>
      </c>
      <c r="G78" s="53" t="s">
        <v>105</v>
      </c>
      <c r="H78" s="72">
        <v>430</v>
      </c>
      <c r="I78" s="48">
        <v>275</v>
      </c>
      <c r="J78" s="53" t="str">
        <f t="shared" si="151"/>
        <v>ASTM</v>
      </c>
      <c r="K78" s="63">
        <f t="shared" si="151"/>
        <v>118</v>
      </c>
      <c r="L78" s="34">
        <v>118</v>
      </c>
      <c r="M78" s="34">
        <f>M77</f>
        <v>118</v>
      </c>
      <c r="N78" s="34">
        <v>118</v>
      </c>
      <c r="O78" s="34">
        <f>O77</f>
        <v>118</v>
      </c>
      <c r="P78" s="34">
        <v>118</v>
      </c>
      <c r="Q78" s="34">
        <f>Q77</f>
        <v>118</v>
      </c>
      <c r="R78" s="34">
        <v>118</v>
      </c>
      <c r="S78" s="34">
        <f>S77</f>
        <v>118</v>
      </c>
      <c r="T78" s="34">
        <v>118</v>
      </c>
      <c r="U78" s="34">
        <f>U77</f>
        <v>118</v>
      </c>
      <c r="V78" s="34">
        <v>118</v>
      </c>
      <c r="W78" s="34">
        <f>W77</f>
        <v>118</v>
      </c>
      <c r="X78" s="34">
        <v>118</v>
      </c>
      <c r="Y78" s="34">
        <f>Y77</f>
        <v>118</v>
      </c>
      <c r="Z78" s="54" t="s">
        <v>16</v>
      </c>
      <c r="AA78" s="54" t="s">
        <v>16</v>
      </c>
      <c r="AB78" s="54" t="s">
        <v>16</v>
      </c>
      <c r="AC78" s="54" t="s">
        <v>16</v>
      </c>
      <c r="AD78" s="54" t="s">
        <v>16</v>
      </c>
      <c r="AE78" s="54" t="s">
        <v>16</v>
      </c>
      <c r="AF78" s="54" t="s">
        <v>16</v>
      </c>
      <c r="AG78" s="54" t="s">
        <v>16</v>
      </c>
      <c r="AH78" s="54" t="s">
        <v>16</v>
      </c>
      <c r="AI78" s="54" t="s">
        <v>16</v>
      </c>
      <c r="AJ78" s="54" t="s">
        <v>16</v>
      </c>
      <c r="AK78" s="54" t="s">
        <v>16</v>
      </c>
      <c r="AL78" s="54" t="s">
        <v>16</v>
      </c>
      <c r="AM78" s="54" t="s">
        <v>16</v>
      </c>
      <c r="AN78" s="54" t="s">
        <v>16</v>
      </c>
      <c r="AO78" s="54" t="s">
        <v>16</v>
      </c>
      <c r="AP78" s="54" t="s">
        <v>16</v>
      </c>
      <c r="AQ78" s="54" t="s">
        <v>16</v>
      </c>
      <c r="AR78" s="54" t="s">
        <v>16</v>
      </c>
      <c r="AS78" s="54" t="s">
        <v>16</v>
      </c>
      <c r="AT78" s="54" t="s">
        <v>16</v>
      </c>
      <c r="AU78" s="64" t="s">
        <v>16</v>
      </c>
      <c r="AV78" s="141" t="str">
        <f>AV77</f>
        <v>DIN</v>
      </c>
      <c r="AW78" s="63" t="s">
        <v>16</v>
      </c>
      <c r="AX78" s="34" t="s">
        <v>16</v>
      </c>
      <c r="AY78" s="34" t="s">
        <v>16</v>
      </c>
      <c r="AZ78" s="34" t="s">
        <v>16</v>
      </c>
      <c r="BA78" s="34" t="s">
        <v>16</v>
      </c>
      <c r="BB78" s="34" t="s">
        <v>16</v>
      </c>
      <c r="BC78" s="34" t="s">
        <v>16</v>
      </c>
      <c r="BD78" s="34" t="s">
        <v>16</v>
      </c>
      <c r="BE78" s="34" t="s">
        <v>16</v>
      </c>
      <c r="BF78" s="34" t="s">
        <v>16</v>
      </c>
      <c r="BG78" s="34" t="s">
        <v>16</v>
      </c>
      <c r="BH78" s="34" t="s">
        <v>16</v>
      </c>
      <c r="BI78" s="34" t="s">
        <v>16</v>
      </c>
      <c r="BJ78" s="34" t="s">
        <v>16</v>
      </c>
      <c r="BK78" s="34" t="s">
        <v>16</v>
      </c>
      <c r="BL78" s="34" t="s">
        <v>16</v>
      </c>
      <c r="BM78" s="34" t="s">
        <v>16</v>
      </c>
      <c r="BN78" s="34" t="s">
        <v>16</v>
      </c>
      <c r="BO78" s="34" t="s">
        <v>16</v>
      </c>
      <c r="BP78" s="34" t="s">
        <v>16</v>
      </c>
      <c r="BQ78" s="34" t="s">
        <v>16</v>
      </c>
      <c r="BR78" s="34" t="s">
        <v>16</v>
      </c>
      <c r="BS78" s="34" t="s">
        <v>16</v>
      </c>
      <c r="BT78" s="34" t="s">
        <v>16</v>
      </c>
      <c r="BU78" s="34" t="s">
        <v>16</v>
      </c>
      <c r="BV78" s="34" t="s">
        <v>16</v>
      </c>
      <c r="BW78" s="34" t="s">
        <v>16</v>
      </c>
      <c r="BX78" s="34" t="s">
        <v>16</v>
      </c>
      <c r="BY78" s="34" t="s">
        <v>16</v>
      </c>
      <c r="BZ78" s="34" t="s">
        <v>16</v>
      </c>
      <c r="CA78" s="34" t="s">
        <v>16</v>
      </c>
      <c r="CB78" s="34" t="s">
        <v>16</v>
      </c>
      <c r="CC78" s="34" t="s">
        <v>16</v>
      </c>
      <c r="CD78" s="34" t="s">
        <v>16</v>
      </c>
      <c r="CE78" s="34" t="s">
        <v>16</v>
      </c>
      <c r="CF78" s="34" t="s">
        <v>16</v>
      </c>
      <c r="CG78" s="44" t="s">
        <v>16</v>
      </c>
      <c r="CH78" s="63" t="s">
        <v>16</v>
      </c>
      <c r="CI78" s="34" t="s">
        <v>16</v>
      </c>
      <c r="CJ78" s="34" t="s">
        <v>16</v>
      </c>
      <c r="CK78" s="34" t="s">
        <v>16</v>
      </c>
      <c r="CL78" s="34">
        <v>220</v>
      </c>
      <c r="CM78" s="34" t="s">
        <v>16</v>
      </c>
      <c r="CN78" s="34" t="s">
        <v>16</v>
      </c>
      <c r="CO78" s="34" t="s">
        <v>16</v>
      </c>
      <c r="CP78" s="34">
        <v>190</v>
      </c>
      <c r="CQ78" s="34" t="s">
        <v>16</v>
      </c>
      <c r="CR78" s="34">
        <v>180</v>
      </c>
      <c r="CS78" s="34" t="s">
        <v>16</v>
      </c>
      <c r="CT78" s="34">
        <v>150</v>
      </c>
      <c r="CU78" s="34" t="s">
        <v>16</v>
      </c>
      <c r="CV78" s="34" t="s">
        <v>16</v>
      </c>
      <c r="CW78" s="34" t="s">
        <v>16</v>
      </c>
      <c r="CX78" s="34" t="s">
        <v>16</v>
      </c>
      <c r="CY78" s="34" t="s">
        <v>16</v>
      </c>
      <c r="CZ78" s="34" t="s">
        <v>16</v>
      </c>
      <c r="DA78" s="34" t="s">
        <v>16</v>
      </c>
      <c r="DB78" s="34" t="s">
        <v>16</v>
      </c>
      <c r="DC78" s="34" t="s">
        <v>16</v>
      </c>
      <c r="DD78" s="34" t="s">
        <v>16</v>
      </c>
      <c r="DE78" s="34" t="s">
        <v>16</v>
      </c>
      <c r="DF78" s="34" t="s">
        <v>16</v>
      </c>
      <c r="DG78" s="34" t="s">
        <v>16</v>
      </c>
      <c r="DH78" s="34" t="s">
        <v>16</v>
      </c>
      <c r="DI78" s="34" t="s">
        <v>16</v>
      </c>
      <c r="DJ78" s="34" t="s">
        <v>16</v>
      </c>
      <c r="DK78" s="34" t="s">
        <v>16</v>
      </c>
      <c r="DL78" s="34" t="s">
        <v>16</v>
      </c>
      <c r="DM78" s="34" t="s">
        <v>16</v>
      </c>
      <c r="DN78" s="34" t="s">
        <v>16</v>
      </c>
      <c r="DO78" s="34" t="s">
        <v>16</v>
      </c>
      <c r="DP78" s="34" t="s">
        <v>16</v>
      </c>
      <c r="DQ78" s="34" t="s">
        <v>16</v>
      </c>
      <c r="DR78" s="55" t="s">
        <v>16</v>
      </c>
    </row>
    <row r="79" spans="1:122">
      <c r="A79" s="56" t="s">
        <v>110</v>
      </c>
      <c r="B79" s="56"/>
      <c r="C79" s="53" t="s">
        <v>15</v>
      </c>
      <c r="D79" s="53">
        <v>40</v>
      </c>
      <c r="E79" s="53" t="s">
        <v>16</v>
      </c>
      <c r="F79" s="53" t="s">
        <v>16</v>
      </c>
      <c r="G79" s="53" t="s">
        <v>105</v>
      </c>
      <c r="H79" s="72">
        <v>785</v>
      </c>
      <c r="I79" s="48">
        <v>590</v>
      </c>
      <c r="J79" s="82" t="s">
        <v>52</v>
      </c>
      <c r="K79" s="63">
        <v>195</v>
      </c>
      <c r="L79" s="34" t="s">
        <v>16</v>
      </c>
      <c r="M79" s="34" t="s">
        <v>16</v>
      </c>
      <c r="N79" s="54" t="s">
        <v>16</v>
      </c>
      <c r="O79" s="54">
        <v>182</v>
      </c>
      <c r="P79" s="54" t="s">
        <v>16</v>
      </c>
      <c r="Q79" s="54" t="s">
        <v>16</v>
      </c>
      <c r="R79" s="54" t="s">
        <v>16</v>
      </c>
      <c r="S79" s="54">
        <v>165</v>
      </c>
      <c r="T79" s="54" t="s">
        <v>16</v>
      </c>
      <c r="U79" s="54">
        <v>158</v>
      </c>
      <c r="V79" s="54" t="s">
        <v>16</v>
      </c>
      <c r="W79" s="54">
        <v>150</v>
      </c>
      <c r="X79" s="54" t="s">
        <v>16</v>
      </c>
      <c r="Y79" s="54">
        <v>148</v>
      </c>
      <c r="Z79" s="54">
        <v>146</v>
      </c>
      <c r="AA79" s="54">
        <v>145</v>
      </c>
      <c r="AB79" s="54">
        <v>143</v>
      </c>
      <c r="AC79" s="54">
        <v>142</v>
      </c>
      <c r="AD79" s="54">
        <v>140</v>
      </c>
      <c r="AE79" s="54" t="s">
        <v>16</v>
      </c>
      <c r="AF79" s="54" t="s">
        <v>16</v>
      </c>
      <c r="AG79" s="54" t="s">
        <v>16</v>
      </c>
      <c r="AH79" s="54" t="s">
        <v>16</v>
      </c>
      <c r="AI79" s="54" t="s">
        <v>16</v>
      </c>
      <c r="AJ79" s="54" t="s">
        <v>16</v>
      </c>
      <c r="AK79" s="54" t="s">
        <v>16</v>
      </c>
      <c r="AL79" s="54" t="s">
        <v>16</v>
      </c>
      <c r="AM79" s="54" t="s">
        <v>16</v>
      </c>
      <c r="AN79" s="54" t="s">
        <v>16</v>
      </c>
      <c r="AO79" s="54" t="s">
        <v>16</v>
      </c>
      <c r="AP79" s="54" t="s">
        <v>16</v>
      </c>
      <c r="AQ79" s="54" t="s">
        <v>16</v>
      </c>
      <c r="AR79" s="54" t="s">
        <v>16</v>
      </c>
      <c r="AS79" s="54" t="s">
        <v>16</v>
      </c>
      <c r="AT79" s="54" t="s">
        <v>16</v>
      </c>
      <c r="AU79" s="64" t="s">
        <v>16</v>
      </c>
      <c r="AV79" s="48" t="s">
        <v>105</v>
      </c>
      <c r="AW79" s="63" t="s">
        <v>16</v>
      </c>
      <c r="AX79" s="34" t="s">
        <v>16</v>
      </c>
      <c r="AY79" s="34" t="s">
        <v>16</v>
      </c>
      <c r="AZ79" s="34" t="s">
        <v>16</v>
      </c>
      <c r="BA79" s="34" t="s">
        <v>16</v>
      </c>
      <c r="BB79" s="34" t="s">
        <v>16</v>
      </c>
      <c r="BC79" s="34" t="s">
        <v>16</v>
      </c>
      <c r="BD79" s="34" t="s">
        <v>16</v>
      </c>
      <c r="BE79" s="34" t="s">
        <v>16</v>
      </c>
      <c r="BF79" s="34" t="s">
        <v>16</v>
      </c>
      <c r="BG79" s="34" t="s">
        <v>16</v>
      </c>
      <c r="BH79" s="34" t="s">
        <v>16</v>
      </c>
      <c r="BI79" s="34" t="s">
        <v>16</v>
      </c>
      <c r="BJ79" s="34" t="s">
        <v>16</v>
      </c>
      <c r="BK79" s="34" t="s">
        <v>16</v>
      </c>
      <c r="BL79" s="34" t="s">
        <v>16</v>
      </c>
      <c r="BM79" s="34" t="s">
        <v>16</v>
      </c>
      <c r="BN79" s="34" t="s">
        <v>16</v>
      </c>
      <c r="BO79" s="34" t="s">
        <v>16</v>
      </c>
      <c r="BP79" s="34" t="s">
        <v>16</v>
      </c>
      <c r="BQ79" s="34" t="s">
        <v>16</v>
      </c>
      <c r="BR79" s="34" t="s">
        <v>16</v>
      </c>
      <c r="BS79" s="34" t="s">
        <v>16</v>
      </c>
      <c r="BT79" s="34" t="s">
        <v>16</v>
      </c>
      <c r="BU79" s="34" t="s">
        <v>16</v>
      </c>
      <c r="BV79" s="34" t="s">
        <v>16</v>
      </c>
      <c r="BW79" s="34" t="s">
        <v>16</v>
      </c>
      <c r="BX79" s="34" t="s">
        <v>16</v>
      </c>
      <c r="BY79" s="34" t="s">
        <v>16</v>
      </c>
      <c r="BZ79" s="34" t="s">
        <v>16</v>
      </c>
      <c r="CA79" s="34" t="s">
        <v>16</v>
      </c>
      <c r="CB79" s="34" t="s">
        <v>16</v>
      </c>
      <c r="CC79" s="34" t="s">
        <v>16</v>
      </c>
      <c r="CD79" s="34" t="s">
        <v>16</v>
      </c>
      <c r="CE79" s="34" t="s">
        <v>16</v>
      </c>
      <c r="CF79" s="34" t="s">
        <v>16</v>
      </c>
      <c r="CG79" s="139" t="s">
        <v>16</v>
      </c>
      <c r="CH79" s="63" t="s">
        <v>16</v>
      </c>
      <c r="CI79" s="34" t="s">
        <v>16</v>
      </c>
      <c r="CJ79" s="34">
        <v>570</v>
      </c>
      <c r="CK79" s="54" t="s">
        <v>16</v>
      </c>
      <c r="CL79" s="54">
        <v>540</v>
      </c>
      <c r="CM79" s="54" t="s">
        <v>16</v>
      </c>
      <c r="CN79" s="54">
        <v>520</v>
      </c>
      <c r="CO79" s="54" t="s">
        <v>16</v>
      </c>
      <c r="CP79" s="54">
        <v>500</v>
      </c>
      <c r="CQ79" s="54" t="s">
        <v>16</v>
      </c>
      <c r="CR79" s="54">
        <v>490</v>
      </c>
      <c r="CS79" s="54" t="s">
        <v>16</v>
      </c>
      <c r="CT79" s="54">
        <v>470</v>
      </c>
      <c r="CU79" s="54" t="s">
        <v>16</v>
      </c>
      <c r="CV79" s="54">
        <v>420</v>
      </c>
      <c r="CW79" s="54" t="s">
        <v>16</v>
      </c>
      <c r="CX79" s="54">
        <v>375</v>
      </c>
      <c r="CY79" s="54" t="s">
        <v>16</v>
      </c>
      <c r="CZ79" s="54" t="s">
        <v>16</v>
      </c>
      <c r="DA79" s="54" t="s">
        <v>16</v>
      </c>
      <c r="DB79" s="54" t="s">
        <v>16</v>
      </c>
      <c r="DC79" s="54" t="s">
        <v>16</v>
      </c>
      <c r="DD79" s="54" t="s">
        <v>16</v>
      </c>
      <c r="DE79" s="54" t="s">
        <v>16</v>
      </c>
      <c r="DF79" s="54" t="s">
        <v>16</v>
      </c>
      <c r="DG79" s="54" t="s">
        <v>16</v>
      </c>
      <c r="DH79" s="54" t="s">
        <v>16</v>
      </c>
      <c r="DI79" s="54" t="s">
        <v>16</v>
      </c>
      <c r="DJ79" s="54" t="s">
        <v>16</v>
      </c>
      <c r="DK79" s="54" t="s">
        <v>16</v>
      </c>
      <c r="DL79" s="54" t="s">
        <v>16</v>
      </c>
      <c r="DM79" s="54" t="s">
        <v>16</v>
      </c>
      <c r="DN79" s="54" t="s">
        <v>16</v>
      </c>
      <c r="DO79" s="54" t="s">
        <v>16</v>
      </c>
      <c r="DP79" s="54" t="s">
        <v>16</v>
      </c>
      <c r="DQ79" s="54" t="s">
        <v>16</v>
      </c>
      <c r="DR79" s="64" t="s">
        <v>16</v>
      </c>
    </row>
    <row r="80" spans="1:122">
      <c r="A80" s="56" t="s">
        <v>110</v>
      </c>
      <c r="B80" s="56"/>
      <c r="C80" s="53" t="str">
        <f>C79</f>
        <v>bar</v>
      </c>
      <c r="D80" s="53">
        <v>16</v>
      </c>
      <c r="E80" s="53">
        <v>25</v>
      </c>
      <c r="F80" s="53" t="s">
        <v>16</v>
      </c>
      <c r="G80" s="53" t="s">
        <v>105</v>
      </c>
      <c r="H80" s="72">
        <v>800</v>
      </c>
      <c r="I80" s="48">
        <v>610</v>
      </c>
      <c r="J80" s="82" t="str">
        <f t="shared" ref="J80:K82" si="155">J79</f>
        <v>GOST</v>
      </c>
      <c r="K80" s="63">
        <f t="shared" si="155"/>
        <v>195</v>
      </c>
      <c r="L80" s="34" t="str">
        <f t="shared" ref="L80:M82" si="156">L79</f>
        <v>-</v>
      </c>
      <c r="M80" s="34" t="str">
        <f t="shared" si="156"/>
        <v>-</v>
      </c>
      <c r="N80" s="34" t="str">
        <f t="shared" ref="N80:W82" si="157">N79</f>
        <v>-</v>
      </c>
      <c r="O80" s="34">
        <f t="shared" si="157"/>
        <v>182</v>
      </c>
      <c r="P80" s="34" t="str">
        <f t="shared" si="157"/>
        <v>-</v>
      </c>
      <c r="Q80" s="34" t="str">
        <f t="shared" si="157"/>
        <v>-</v>
      </c>
      <c r="R80" s="34" t="str">
        <f t="shared" si="157"/>
        <v>-</v>
      </c>
      <c r="S80" s="34">
        <f t="shared" si="157"/>
        <v>165</v>
      </c>
      <c r="T80" s="34" t="str">
        <f t="shared" si="157"/>
        <v>-</v>
      </c>
      <c r="U80" s="34">
        <f t="shared" si="157"/>
        <v>158</v>
      </c>
      <c r="V80" s="34" t="str">
        <f t="shared" si="157"/>
        <v>-</v>
      </c>
      <c r="W80" s="34">
        <f t="shared" si="157"/>
        <v>150</v>
      </c>
      <c r="X80" s="34" t="str">
        <f t="shared" ref="X80:AG82" si="158">X79</f>
        <v>-</v>
      </c>
      <c r="Y80" s="34">
        <f t="shared" si="158"/>
        <v>148</v>
      </c>
      <c r="Z80" s="34">
        <f t="shared" si="158"/>
        <v>146</v>
      </c>
      <c r="AA80" s="34">
        <f t="shared" si="158"/>
        <v>145</v>
      </c>
      <c r="AB80" s="34">
        <f t="shared" si="158"/>
        <v>143</v>
      </c>
      <c r="AC80" s="34">
        <f t="shared" si="158"/>
        <v>142</v>
      </c>
      <c r="AD80" s="34">
        <f t="shared" si="158"/>
        <v>140</v>
      </c>
      <c r="AE80" s="34" t="str">
        <f t="shared" si="158"/>
        <v>-</v>
      </c>
      <c r="AF80" s="34" t="str">
        <f t="shared" si="158"/>
        <v>-</v>
      </c>
      <c r="AG80" s="34" t="str">
        <f t="shared" si="158"/>
        <v>-</v>
      </c>
      <c r="AH80" s="34" t="str">
        <f t="shared" ref="AH80:AQ82" si="159">AH79</f>
        <v>-</v>
      </c>
      <c r="AI80" s="34" t="str">
        <f t="shared" si="159"/>
        <v>-</v>
      </c>
      <c r="AJ80" s="34" t="str">
        <f t="shared" si="159"/>
        <v>-</v>
      </c>
      <c r="AK80" s="34" t="str">
        <f t="shared" si="159"/>
        <v>-</v>
      </c>
      <c r="AL80" s="34" t="str">
        <f t="shared" si="159"/>
        <v>-</v>
      </c>
      <c r="AM80" s="34" t="str">
        <f t="shared" si="159"/>
        <v>-</v>
      </c>
      <c r="AN80" s="34" t="str">
        <f t="shared" si="159"/>
        <v>-</v>
      </c>
      <c r="AO80" s="34" t="str">
        <f t="shared" si="159"/>
        <v>-</v>
      </c>
      <c r="AP80" s="34" t="str">
        <f t="shared" si="159"/>
        <v>-</v>
      </c>
      <c r="AQ80" s="34" t="str">
        <f t="shared" si="159"/>
        <v>-</v>
      </c>
      <c r="AR80" s="34" t="str">
        <f t="shared" ref="AR80:AX82" si="160">AR79</f>
        <v>-</v>
      </c>
      <c r="AS80" s="34" t="str">
        <f t="shared" si="160"/>
        <v>-</v>
      </c>
      <c r="AT80" s="34" t="str">
        <f t="shared" si="160"/>
        <v>-</v>
      </c>
      <c r="AU80" s="55" t="str">
        <f t="shared" si="160"/>
        <v>-</v>
      </c>
      <c r="AV80" s="57" t="str">
        <f t="shared" si="160"/>
        <v>UNI</v>
      </c>
      <c r="AW80" s="63" t="str">
        <f t="shared" si="160"/>
        <v>-</v>
      </c>
      <c r="AX80" s="34" t="str">
        <f t="shared" si="160"/>
        <v>-</v>
      </c>
      <c r="AY80" s="34" t="str">
        <f t="shared" ref="AY80:CB82" si="161">AY79</f>
        <v>-</v>
      </c>
      <c r="AZ80" s="34" t="str">
        <f t="shared" si="161"/>
        <v>-</v>
      </c>
      <c r="BA80" s="34" t="str">
        <f t="shared" si="161"/>
        <v>-</v>
      </c>
      <c r="BB80" s="34" t="str">
        <f t="shared" si="161"/>
        <v>-</v>
      </c>
      <c r="BC80" s="34" t="str">
        <f t="shared" si="161"/>
        <v>-</v>
      </c>
      <c r="BD80" s="34" t="str">
        <f t="shared" si="161"/>
        <v>-</v>
      </c>
      <c r="BE80" s="34" t="str">
        <f t="shared" si="161"/>
        <v>-</v>
      </c>
      <c r="BF80" s="34" t="str">
        <f t="shared" si="161"/>
        <v>-</v>
      </c>
      <c r="BG80" s="34" t="str">
        <f t="shared" si="161"/>
        <v>-</v>
      </c>
      <c r="BH80" s="34" t="str">
        <f t="shared" si="161"/>
        <v>-</v>
      </c>
      <c r="BI80" s="34" t="str">
        <f t="shared" si="161"/>
        <v>-</v>
      </c>
      <c r="BJ80" s="34" t="str">
        <f t="shared" si="161"/>
        <v>-</v>
      </c>
      <c r="BK80" s="34" t="str">
        <f t="shared" si="161"/>
        <v>-</v>
      </c>
      <c r="BL80" s="34" t="str">
        <f t="shared" si="161"/>
        <v>-</v>
      </c>
      <c r="BM80" s="34" t="str">
        <f t="shared" si="161"/>
        <v>-</v>
      </c>
      <c r="BN80" s="34" t="str">
        <f t="shared" si="161"/>
        <v>-</v>
      </c>
      <c r="BO80" s="34" t="str">
        <f t="shared" si="161"/>
        <v>-</v>
      </c>
      <c r="BP80" s="34" t="str">
        <f t="shared" si="161"/>
        <v>-</v>
      </c>
      <c r="BQ80" s="34" t="str">
        <f t="shared" si="161"/>
        <v>-</v>
      </c>
      <c r="BR80" s="34" t="str">
        <f t="shared" si="161"/>
        <v>-</v>
      </c>
      <c r="BS80" s="34" t="str">
        <f t="shared" si="161"/>
        <v>-</v>
      </c>
      <c r="BT80" s="34" t="str">
        <f t="shared" si="161"/>
        <v>-</v>
      </c>
      <c r="BU80" s="34" t="str">
        <f t="shared" si="161"/>
        <v>-</v>
      </c>
      <c r="BV80" s="34" t="str">
        <f t="shared" si="161"/>
        <v>-</v>
      </c>
      <c r="BW80" s="34" t="str">
        <f t="shared" si="161"/>
        <v>-</v>
      </c>
      <c r="BX80" s="34" t="str">
        <f t="shared" si="161"/>
        <v>-</v>
      </c>
      <c r="BY80" s="34" t="str">
        <f t="shared" si="161"/>
        <v>-</v>
      </c>
      <c r="BZ80" s="34" t="str">
        <f t="shared" si="161"/>
        <v>-</v>
      </c>
      <c r="CA80" s="34" t="str">
        <f t="shared" si="161"/>
        <v>-</v>
      </c>
      <c r="CB80" s="34" t="str">
        <f t="shared" si="161"/>
        <v>-</v>
      </c>
      <c r="CC80" s="34" t="str">
        <f t="shared" ref="CC80:CL82" si="162">CC79</f>
        <v>-</v>
      </c>
      <c r="CD80" s="34" t="str">
        <f t="shared" si="162"/>
        <v>-</v>
      </c>
      <c r="CE80" s="34" t="str">
        <f t="shared" si="162"/>
        <v>-</v>
      </c>
      <c r="CF80" s="34" t="str">
        <f t="shared" si="162"/>
        <v>-</v>
      </c>
      <c r="CG80" s="44" t="str">
        <f t="shared" si="162"/>
        <v>-</v>
      </c>
      <c r="CH80" s="63" t="str">
        <f t="shared" si="162"/>
        <v>-</v>
      </c>
      <c r="CI80" s="34" t="str">
        <f t="shared" si="162"/>
        <v>-</v>
      </c>
      <c r="CJ80" s="34">
        <f t="shared" si="162"/>
        <v>570</v>
      </c>
      <c r="CK80" s="34" t="str">
        <f t="shared" si="162"/>
        <v>-</v>
      </c>
      <c r="CL80" s="34">
        <f t="shared" si="162"/>
        <v>540</v>
      </c>
      <c r="CM80" s="34" t="str">
        <f t="shared" ref="CM80:CV82" si="163">CM79</f>
        <v>-</v>
      </c>
      <c r="CN80" s="34">
        <f t="shared" si="163"/>
        <v>520</v>
      </c>
      <c r="CO80" s="34" t="str">
        <f t="shared" si="163"/>
        <v>-</v>
      </c>
      <c r="CP80" s="34">
        <f t="shared" si="163"/>
        <v>500</v>
      </c>
      <c r="CQ80" s="34" t="str">
        <f t="shared" si="163"/>
        <v>-</v>
      </c>
      <c r="CR80" s="34">
        <f t="shared" si="163"/>
        <v>490</v>
      </c>
      <c r="CS80" s="34" t="str">
        <f t="shared" si="163"/>
        <v>-</v>
      </c>
      <c r="CT80" s="34">
        <f t="shared" si="163"/>
        <v>470</v>
      </c>
      <c r="CU80" s="34" t="str">
        <f t="shared" si="163"/>
        <v>-</v>
      </c>
      <c r="CV80" s="34">
        <f t="shared" si="163"/>
        <v>420</v>
      </c>
      <c r="CW80" s="34" t="str">
        <f t="shared" ref="CW80:DF82" si="164">CW79</f>
        <v>-</v>
      </c>
      <c r="CX80" s="34">
        <f t="shared" si="164"/>
        <v>375</v>
      </c>
      <c r="CY80" s="34" t="str">
        <f t="shared" si="164"/>
        <v>-</v>
      </c>
      <c r="CZ80" s="34" t="str">
        <f t="shared" si="164"/>
        <v>-</v>
      </c>
      <c r="DA80" s="34" t="str">
        <f t="shared" si="164"/>
        <v>-</v>
      </c>
      <c r="DB80" s="34" t="str">
        <f t="shared" si="164"/>
        <v>-</v>
      </c>
      <c r="DC80" s="34" t="str">
        <f t="shared" si="164"/>
        <v>-</v>
      </c>
      <c r="DD80" s="34" t="str">
        <f t="shared" si="164"/>
        <v>-</v>
      </c>
      <c r="DE80" s="34" t="str">
        <f t="shared" si="164"/>
        <v>-</v>
      </c>
      <c r="DF80" s="34" t="str">
        <f t="shared" si="164"/>
        <v>-</v>
      </c>
      <c r="DG80" s="34" t="str">
        <f t="shared" ref="DG80:DP82" si="165">DG79</f>
        <v>-</v>
      </c>
      <c r="DH80" s="34" t="str">
        <f t="shared" si="165"/>
        <v>-</v>
      </c>
      <c r="DI80" s="34" t="str">
        <f t="shared" si="165"/>
        <v>-</v>
      </c>
      <c r="DJ80" s="34" t="str">
        <f t="shared" si="165"/>
        <v>-</v>
      </c>
      <c r="DK80" s="34" t="str">
        <f t="shared" si="165"/>
        <v>-</v>
      </c>
      <c r="DL80" s="34" t="str">
        <f t="shared" si="165"/>
        <v>-</v>
      </c>
      <c r="DM80" s="34" t="str">
        <f t="shared" si="165"/>
        <v>-</v>
      </c>
      <c r="DN80" s="34" t="str">
        <f t="shared" si="165"/>
        <v>-</v>
      </c>
      <c r="DO80" s="34" t="str">
        <f t="shared" si="165"/>
        <v>-</v>
      </c>
      <c r="DP80" s="34" t="str">
        <f t="shared" si="165"/>
        <v>-</v>
      </c>
      <c r="DQ80" s="34" t="str">
        <f t="shared" ref="DQ80:DR82" si="166">DQ79</f>
        <v>-</v>
      </c>
      <c r="DR80" s="55" t="str">
        <f t="shared" si="166"/>
        <v>-</v>
      </c>
    </row>
    <row r="81" spans="1:122">
      <c r="A81" s="56" t="s">
        <v>110</v>
      </c>
      <c r="B81" s="56"/>
      <c r="C81" s="53" t="str">
        <f>C80</f>
        <v>bar</v>
      </c>
      <c r="D81" s="53">
        <v>10</v>
      </c>
      <c r="E81" s="53">
        <v>16</v>
      </c>
      <c r="F81" s="53" t="s">
        <v>16</v>
      </c>
      <c r="G81" s="53" t="s">
        <v>105</v>
      </c>
      <c r="H81" s="72">
        <v>820</v>
      </c>
      <c r="I81" s="48">
        <v>630</v>
      </c>
      <c r="J81" s="82" t="str">
        <f t="shared" si="155"/>
        <v>GOST</v>
      </c>
      <c r="K81" s="63">
        <f t="shared" si="155"/>
        <v>195</v>
      </c>
      <c r="L81" s="34" t="str">
        <f t="shared" si="156"/>
        <v>-</v>
      </c>
      <c r="M81" s="34" t="str">
        <f t="shared" si="156"/>
        <v>-</v>
      </c>
      <c r="N81" s="34" t="str">
        <f t="shared" si="157"/>
        <v>-</v>
      </c>
      <c r="O81" s="34">
        <f t="shared" si="157"/>
        <v>182</v>
      </c>
      <c r="P81" s="34" t="str">
        <f t="shared" si="157"/>
        <v>-</v>
      </c>
      <c r="Q81" s="34" t="str">
        <f t="shared" si="157"/>
        <v>-</v>
      </c>
      <c r="R81" s="34" t="str">
        <f t="shared" si="157"/>
        <v>-</v>
      </c>
      <c r="S81" s="34">
        <f t="shared" si="157"/>
        <v>165</v>
      </c>
      <c r="T81" s="34" t="str">
        <f t="shared" si="157"/>
        <v>-</v>
      </c>
      <c r="U81" s="34">
        <f t="shared" si="157"/>
        <v>158</v>
      </c>
      <c r="V81" s="34" t="str">
        <f t="shared" si="157"/>
        <v>-</v>
      </c>
      <c r="W81" s="34">
        <f t="shared" si="157"/>
        <v>150</v>
      </c>
      <c r="X81" s="34" t="str">
        <f t="shared" si="158"/>
        <v>-</v>
      </c>
      <c r="Y81" s="34">
        <f t="shared" si="158"/>
        <v>148</v>
      </c>
      <c r="Z81" s="34">
        <f t="shared" si="158"/>
        <v>146</v>
      </c>
      <c r="AA81" s="34">
        <f t="shared" si="158"/>
        <v>145</v>
      </c>
      <c r="AB81" s="34">
        <f t="shared" si="158"/>
        <v>143</v>
      </c>
      <c r="AC81" s="34">
        <f t="shared" si="158"/>
        <v>142</v>
      </c>
      <c r="AD81" s="34">
        <f t="shared" si="158"/>
        <v>140</v>
      </c>
      <c r="AE81" s="34" t="str">
        <f t="shared" si="158"/>
        <v>-</v>
      </c>
      <c r="AF81" s="34" t="str">
        <f t="shared" si="158"/>
        <v>-</v>
      </c>
      <c r="AG81" s="34" t="str">
        <f t="shared" si="158"/>
        <v>-</v>
      </c>
      <c r="AH81" s="34" t="str">
        <f t="shared" si="159"/>
        <v>-</v>
      </c>
      <c r="AI81" s="34" t="str">
        <f t="shared" si="159"/>
        <v>-</v>
      </c>
      <c r="AJ81" s="34" t="str">
        <f t="shared" si="159"/>
        <v>-</v>
      </c>
      <c r="AK81" s="34" t="str">
        <f t="shared" si="159"/>
        <v>-</v>
      </c>
      <c r="AL81" s="34" t="str">
        <f t="shared" si="159"/>
        <v>-</v>
      </c>
      <c r="AM81" s="34" t="str">
        <f t="shared" si="159"/>
        <v>-</v>
      </c>
      <c r="AN81" s="34" t="str">
        <f t="shared" si="159"/>
        <v>-</v>
      </c>
      <c r="AO81" s="34" t="str">
        <f t="shared" si="159"/>
        <v>-</v>
      </c>
      <c r="AP81" s="34" t="str">
        <f t="shared" si="159"/>
        <v>-</v>
      </c>
      <c r="AQ81" s="34" t="str">
        <f t="shared" si="159"/>
        <v>-</v>
      </c>
      <c r="AR81" s="34" t="str">
        <f t="shared" si="160"/>
        <v>-</v>
      </c>
      <c r="AS81" s="34" t="str">
        <f t="shared" si="160"/>
        <v>-</v>
      </c>
      <c r="AT81" s="34" t="str">
        <f t="shared" si="160"/>
        <v>-</v>
      </c>
      <c r="AU81" s="55" t="str">
        <f t="shared" si="160"/>
        <v>-</v>
      </c>
      <c r="AV81" s="57" t="str">
        <f t="shared" si="160"/>
        <v>UNI</v>
      </c>
      <c r="AW81" s="63" t="str">
        <f t="shared" si="160"/>
        <v>-</v>
      </c>
      <c r="AX81" s="34" t="str">
        <f t="shared" si="160"/>
        <v>-</v>
      </c>
      <c r="AY81" s="34" t="str">
        <f t="shared" si="161"/>
        <v>-</v>
      </c>
      <c r="AZ81" s="34" t="str">
        <f t="shared" si="161"/>
        <v>-</v>
      </c>
      <c r="BA81" s="34" t="str">
        <f t="shared" si="161"/>
        <v>-</v>
      </c>
      <c r="BB81" s="34" t="str">
        <f t="shared" si="161"/>
        <v>-</v>
      </c>
      <c r="BC81" s="34" t="str">
        <f t="shared" si="161"/>
        <v>-</v>
      </c>
      <c r="BD81" s="34" t="str">
        <f t="shared" si="161"/>
        <v>-</v>
      </c>
      <c r="BE81" s="34" t="str">
        <f t="shared" si="161"/>
        <v>-</v>
      </c>
      <c r="BF81" s="34" t="str">
        <f t="shared" si="161"/>
        <v>-</v>
      </c>
      <c r="BG81" s="34" t="str">
        <f t="shared" si="161"/>
        <v>-</v>
      </c>
      <c r="BH81" s="34" t="str">
        <f t="shared" si="161"/>
        <v>-</v>
      </c>
      <c r="BI81" s="34" t="str">
        <f t="shared" si="161"/>
        <v>-</v>
      </c>
      <c r="BJ81" s="34" t="str">
        <f t="shared" si="161"/>
        <v>-</v>
      </c>
      <c r="BK81" s="34" t="str">
        <f t="shared" si="161"/>
        <v>-</v>
      </c>
      <c r="BL81" s="34" t="str">
        <f t="shared" si="161"/>
        <v>-</v>
      </c>
      <c r="BM81" s="34" t="str">
        <f t="shared" si="161"/>
        <v>-</v>
      </c>
      <c r="BN81" s="34" t="str">
        <f t="shared" si="161"/>
        <v>-</v>
      </c>
      <c r="BO81" s="34" t="str">
        <f t="shared" si="161"/>
        <v>-</v>
      </c>
      <c r="BP81" s="34" t="str">
        <f t="shared" si="161"/>
        <v>-</v>
      </c>
      <c r="BQ81" s="34" t="str">
        <f t="shared" si="161"/>
        <v>-</v>
      </c>
      <c r="BR81" s="34" t="str">
        <f t="shared" si="161"/>
        <v>-</v>
      </c>
      <c r="BS81" s="34" t="str">
        <f t="shared" si="161"/>
        <v>-</v>
      </c>
      <c r="BT81" s="34" t="str">
        <f t="shared" si="161"/>
        <v>-</v>
      </c>
      <c r="BU81" s="34" t="str">
        <f t="shared" si="161"/>
        <v>-</v>
      </c>
      <c r="BV81" s="34" t="str">
        <f t="shared" si="161"/>
        <v>-</v>
      </c>
      <c r="BW81" s="34" t="str">
        <f t="shared" si="161"/>
        <v>-</v>
      </c>
      <c r="BX81" s="34" t="str">
        <f t="shared" si="161"/>
        <v>-</v>
      </c>
      <c r="BY81" s="34" t="str">
        <f t="shared" si="161"/>
        <v>-</v>
      </c>
      <c r="BZ81" s="34" t="str">
        <f t="shared" si="161"/>
        <v>-</v>
      </c>
      <c r="CA81" s="34" t="str">
        <f t="shared" si="161"/>
        <v>-</v>
      </c>
      <c r="CB81" s="34" t="str">
        <f t="shared" si="161"/>
        <v>-</v>
      </c>
      <c r="CC81" s="34" t="str">
        <f t="shared" si="162"/>
        <v>-</v>
      </c>
      <c r="CD81" s="34" t="str">
        <f t="shared" si="162"/>
        <v>-</v>
      </c>
      <c r="CE81" s="34" t="str">
        <f t="shared" si="162"/>
        <v>-</v>
      </c>
      <c r="CF81" s="34" t="str">
        <f t="shared" si="162"/>
        <v>-</v>
      </c>
      <c r="CG81" s="44" t="str">
        <f t="shared" si="162"/>
        <v>-</v>
      </c>
      <c r="CH81" s="63" t="str">
        <f t="shared" si="162"/>
        <v>-</v>
      </c>
      <c r="CI81" s="34" t="str">
        <f t="shared" si="162"/>
        <v>-</v>
      </c>
      <c r="CJ81" s="34">
        <f t="shared" si="162"/>
        <v>570</v>
      </c>
      <c r="CK81" s="34" t="str">
        <f t="shared" si="162"/>
        <v>-</v>
      </c>
      <c r="CL81" s="34">
        <f t="shared" si="162"/>
        <v>540</v>
      </c>
      <c r="CM81" s="34" t="str">
        <f t="shared" si="163"/>
        <v>-</v>
      </c>
      <c r="CN81" s="34">
        <f t="shared" si="163"/>
        <v>520</v>
      </c>
      <c r="CO81" s="34" t="str">
        <f t="shared" si="163"/>
        <v>-</v>
      </c>
      <c r="CP81" s="34">
        <f t="shared" si="163"/>
        <v>500</v>
      </c>
      <c r="CQ81" s="34" t="str">
        <f t="shared" si="163"/>
        <v>-</v>
      </c>
      <c r="CR81" s="34">
        <f t="shared" si="163"/>
        <v>490</v>
      </c>
      <c r="CS81" s="34" t="str">
        <f t="shared" si="163"/>
        <v>-</v>
      </c>
      <c r="CT81" s="34">
        <f t="shared" si="163"/>
        <v>470</v>
      </c>
      <c r="CU81" s="34" t="str">
        <f t="shared" si="163"/>
        <v>-</v>
      </c>
      <c r="CV81" s="34">
        <f t="shared" si="163"/>
        <v>420</v>
      </c>
      <c r="CW81" s="34" t="str">
        <f t="shared" si="164"/>
        <v>-</v>
      </c>
      <c r="CX81" s="34">
        <f t="shared" si="164"/>
        <v>375</v>
      </c>
      <c r="CY81" s="34" t="str">
        <f t="shared" si="164"/>
        <v>-</v>
      </c>
      <c r="CZ81" s="34" t="str">
        <f t="shared" si="164"/>
        <v>-</v>
      </c>
      <c r="DA81" s="34" t="str">
        <f t="shared" si="164"/>
        <v>-</v>
      </c>
      <c r="DB81" s="34" t="str">
        <f t="shared" si="164"/>
        <v>-</v>
      </c>
      <c r="DC81" s="34" t="str">
        <f t="shared" si="164"/>
        <v>-</v>
      </c>
      <c r="DD81" s="34" t="str">
        <f t="shared" si="164"/>
        <v>-</v>
      </c>
      <c r="DE81" s="34" t="str">
        <f t="shared" si="164"/>
        <v>-</v>
      </c>
      <c r="DF81" s="34" t="str">
        <f t="shared" si="164"/>
        <v>-</v>
      </c>
      <c r="DG81" s="34" t="str">
        <f t="shared" si="165"/>
        <v>-</v>
      </c>
      <c r="DH81" s="34" t="str">
        <f t="shared" si="165"/>
        <v>-</v>
      </c>
      <c r="DI81" s="34" t="str">
        <f t="shared" si="165"/>
        <v>-</v>
      </c>
      <c r="DJ81" s="34" t="str">
        <f t="shared" si="165"/>
        <v>-</v>
      </c>
      <c r="DK81" s="34" t="str">
        <f t="shared" si="165"/>
        <v>-</v>
      </c>
      <c r="DL81" s="34" t="str">
        <f t="shared" si="165"/>
        <v>-</v>
      </c>
      <c r="DM81" s="34" t="str">
        <f t="shared" si="165"/>
        <v>-</v>
      </c>
      <c r="DN81" s="34" t="str">
        <f t="shared" si="165"/>
        <v>-</v>
      </c>
      <c r="DO81" s="34" t="str">
        <f t="shared" si="165"/>
        <v>-</v>
      </c>
      <c r="DP81" s="34" t="str">
        <f t="shared" si="165"/>
        <v>-</v>
      </c>
      <c r="DQ81" s="34" t="str">
        <f t="shared" si="166"/>
        <v>-</v>
      </c>
      <c r="DR81" s="55" t="str">
        <f t="shared" si="166"/>
        <v>-</v>
      </c>
    </row>
    <row r="82" spans="1:122">
      <c r="A82" s="56" t="s">
        <v>110</v>
      </c>
      <c r="B82" s="56"/>
      <c r="C82" s="53" t="str">
        <f>C81</f>
        <v>bar</v>
      </c>
      <c r="D82" s="53" t="s">
        <v>16</v>
      </c>
      <c r="E82" s="53">
        <v>10</v>
      </c>
      <c r="F82" s="53" t="s">
        <v>16</v>
      </c>
      <c r="G82" s="53" t="s">
        <v>105</v>
      </c>
      <c r="H82" s="72">
        <v>830</v>
      </c>
      <c r="I82" s="48">
        <v>640</v>
      </c>
      <c r="J82" s="82" t="str">
        <f t="shared" si="155"/>
        <v>GOST</v>
      </c>
      <c r="K82" s="63">
        <f t="shared" si="155"/>
        <v>195</v>
      </c>
      <c r="L82" s="34" t="str">
        <f t="shared" si="156"/>
        <v>-</v>
      </c>
      <c r="M82" s="34" t="str">
        <f t="shared" si="156"/>
        <v>-</v>
      </c>
      <c r="N82" s="34" t="str">
        <f t="shared" si="157"/>
        <v>-</v>
      </c>
      <c r="O82" s="34">
        <f t="shared" si="157"/>
        <v>182</v>
      </c>
      <c r="P82" s="34" t="str">
        <f t="shared" si="157"/>
        <v>-</v>
      </c>
      <c r="Q82" s="34" t="str">
        <f t="shared" si="157"/>
        <v>-</v>
      </c>
      <c r="R82" s="34" t="str">
        <f t="shared" si="157"/>
        <v>-</v>
      </c>
      <c r="S82" s="34">
        <f t="shared" si="157"/>
        <v>165</v>
      </c>
      <c r="T82" s="34" t="str">
        <f t="shared" si="157"/>
        <v>-</v>
      </c>
      <c r="U82" s="34">
        <f t="shared" si="157"/>
        <v>158</v>
      </c>
      <c r="V82" s="34" t="str">
        <f t="shared" si="157"/>
        <v>-</v>
      </c>
      <c r="W82" s="34">
        <f t="shared" si="157"/>
        <v>150</v>
      </c>
      <c r="X82" s="34" t="str">
        <f t="shared" si="158"/>
        <v>-</v>
      </c>
      <c r="Y82" s="34">
        <f t="shared" si="158"/>
        <v>148</v>
      </c>
      <c r="Z82" s="34">
        <f t="shared" si="158"/>
        <v>146</v>
      </c>
      <c r="AA82" s="34">
        <f t="shared" si="158"/>
        <v>145</v>
      </c>
      <c r="AB82" s="34">
        <f t="shared" si="158"/>
        <v>143</v>
      </c>
      <c r="AC82" s="34">
        <f t="shared" si="158"/>
        <v>142</v>
      </c>
      <c r="AD82" s="34">
        <f t="shared" si="158"/>
        <v>140</v>
      </c>
      <c r="AE82" s="34" t="str">
        <f t="shared" si="158"/>
        <v>-</v>
      </c>
      <c r="AF82" s="34" t="str">
        <f t="shared" si="158"/>
        <v>-</v>
      </c>
      <c r="AG82" s="34" t="str">
        <f t="shared" si="158"/>
        <v>-</v>
      </c>
      <c r="AH82" s="34" t="str">
        <f t="shared" si="159"/>
        <v>-</v>
      </c>
      <c r="AI82" s="34" t="str">
        <f t="shared" si="159"/>
        <v>-</v>
      </c>
      <c r="AJ82" s="34" t="str">
        <f t="shared" si="159"/>
        <v>-</v>
      </c>
      <c r="AK82" s="34" t="str">
        <f t="shared" si="159"/>
        <v>-</v>
      </c>
      <c r="AL82" s="34" t="str">
        <f t="shared" si="159"/>
        <v>-</v>
      </c>
      <c r="AM82" s="34" t="str">
        <f t="shared" si="159"/>
        <v>-</v>
      </c>
      <c r="AN82" s="34" t="str">
        <f t="shared" si="159"/>
        <v>-</v>
      </c>
      <c r="AO82" s="34" t="str">
        <f t="shared" si="159"/>
        <v>-</v>
      </c>
      <c r="AP82" s="34" t="str">
        <f t="shared" si="159"/>
        <v>-</v>
      </c>
      <c r="AQ82" s="34" t="str">
        <f t="shared" si="159"/>
        <v>-</v>
      </c>
      <c r="AR82" s="34" t="str">
        <f t="shared" si="160"/>
        <v>-</v>
      </c>
      <c r="AS82" s="34" t="str">
        <f t="shared" si="160"/>
        <v>-</v>
      </c>
      <c r="AT82" s="34" t="str">
        <f t="shared" si="160"/>
        <v>-</v>
      </c>
      <c r="AU82" s="55" t="str">
        <f t="shared" si="160"/>
        <v>-</v>
      </c>
      <c r="AV82" s="57" t="str">
        <f t="shared" si="160"/>
        <v>UNI</v>
      </c>
      <c r="AW82" s="63" t="str">
        <f t="shared" si="160"/>
        <v>-</v>
      </c>
      <c r="AX82" s="34" t="str">
        <f t="shared" si="160"/>
        <v>-</v>
      </c>
      <c r="AY82" s="34" t="str">
        <f t="shared" si="161"/>
        <v>-</v>
      </c>
      <c r="AZ82" s="34" t="str">
        <f t="shared" si="161"/>
        <v>-</v>
      </c>
      <c r="BA82" s="34" t="str">
        <f t="shared" si="161"/>
        <v>-</v>
      </c>
      <c r="BB82" s="34" t="str">
        <f t="shared" si="161"/>
        <v>-</v>
      </c>
      <c r="BC82" s="34" t="str">
        <f t="shared" si="161"/>
        <v>-</v>
      </c>
      <c r="BD82" s="34" t="str">
        <f t="shared" si="161"/>
        <v>-</v>
      </c>
      <c r="BE82" s="34" t="str">
        <f t="shared" si="161"/>
        <v>-</v>
      </c>
      <c r="BF82" s="34" t="str">
        <f t="shared" si="161"/>
        <v>-</v>
      </c>
      <c r="BG82" s="34" t="str">
        <f t="shared" si="161"/>
        <v>-</v>
      </c>
      <c r="BH82" s="34" t="str">
        <f t="shared" si="161"/>
        <v>-</v>
      </c>
      <c r="BI82" s="34" t="str">
        <f t="shared" si="161"/>
        <v>-</v>
      </c>
      <c r="BJ82" s="34" t="str">
        <f t="shared" si="161"/>
        <v>-</v>
      </c>
      <c r="BK82" s="34" t="str">
        <f t="shared" si="161"/>
        <v>-</v>
      </c>
      <c r="BL82" s="34" t="str">
        <f t="shared" si="161"/>
        <v>-</v>
      </c>
      <c r="BM82" s="34" t="str">
        <f t="shared" si="161"/>
        <v>-</v>
      </c>
      <c r="BN82" s="34" t="str">
        <f t="shared" si="161"/>
        <v>-</v>
      </c>
      <c r="BO82" s="34" t="str">
        <f t="shared" si="161"/>
        <v>-</v>
      </c>
      <c r="BP82" s="34" t="str">
        <f t="shared" si="161"/>
        <v>-</v>
      </c>
      <c r="BQ82" s="34" t="str">
        <f t="shared" si="161"/>
        <v>-</v>
      </c>
      <c r="BR82" s="34" t="str">
        <f t="shared" si="161"/>
        <v>-</v>
      </c>
      <c r="BS82" s="34" t="str">
        <f t="shared" si="161"/>
        <v>-</v>
      </c>
      <c r="BT82" s="34" t="str">
        <f t="shared" si="161"/>
        <v>-</v>
      </c>
      <c r="BU82" s="34" t="str">
        <f t="shared" si="161"/>
        <v>-</v>
      </c>
      <c r="BV82" s="34" t="str">
        <f t="shared" si="161"/>
        <v>-</v>
      </c>
      <c r="BW82" s="34" t="str">
        <f t="shared" si="161"/>
        <v>-</v>
      </c>
      <c r="BX82" s="34" t="str">
        <f t="shared" si="161"/>
        <v>-</v>
      </c>
      <c r="BY82" s="34" t="str">
        <f t="shared" si="161"/>
        <v>-</v>
      </c>
      <c r="BZ82" s="34" t="str">
        <f t="shared" si="161"/>
        <v>-</v>
      </c>
      <c r="CA82" s="34" t="str">
        <f t="shared" si="161"/>
        <v>-</v>
      </c>
      <c r="CB82" s="34" t="str">
        <f t="shared" si="161"/>
        <v>-</v>
      </c>
      <c r="CC82" s="34" t="str">
        <f t="shared" si="162"/>
        <v>-</v>
      </c>
      <c r="CD82" s="34" t="str">
        <f t="shared" si="162"/>
        <v>-</v>
      </c>
      <c r="CE82" s="34" t="str">
        <f t="shared" si="162"/>
        <v>-</v>
      </c>
      <c r="CF82" s="34" t="str">
        <f t="shared" si="162"/>
        <v>-</v>
      </c>
      <c r="CG82" s="44" t="str">
        <f t="shared" si="162"/>
        <v>-</v>
      </c>
      <c r="CH82" s="63" t="str">
        <f t="shared" si="162"/>
        <v>-</v>
      </c>
      <c r="CI82" s="34" t="str">
        <f t="shared" si="162"/>
        <v>-</v>
      </c>
      <c r="CJ82" s="34">
        <f t="shared" si="162"/>
        <v>570</v>
      </c>
      <c r="CK82" s="34" t="str">
        <f t="shared" si="162"/>
        <v>-</v>
      </c>
      <c r="CL82" s="34">
        <f t="shared" si="162"/>
        <v>540</v>
      </c>
      <c r="CM82" s="34" t="str">
        <f t="shared" si="163"/>
        <v>-</v>
      </c>
      <c r="CN82" s="34">
        <f t="shared" si="163"/>
        <v>520</v>
      </c>
      <c r="CO82" s="34" t="str">
        <f t="shared" si="163"/>
        <v>-</v>
      </c>
      <c r="CP82" s="34">
        <f t="shared" si="163"/>
        <v>500</v>
      </c>
      <c r="CQ82" s="34" t="str">
        <f t="shared" si="163"/>
        <v>-</v>
      </c>
      <c r="CR82" s="34">
        <f t="shared" si="163"/>
        <v>490</v>
      </c>
      <c r="CS82" s="34" t="str">
        <f t="shared" si="163"/>
        <v>-</v>
      </c>
      <c r="CT82" s="34">
        <f t="shared" si="163"/>
        <v>470</v>
      </c>
      <c r="CU82" s="34" t="str">
        <f t="shared" si="163"/>
        <v>-</v>
      </c>
      <c r="CV82" s="34">
        <f t="shared" si="163"/>
        <v>420</v>
      </c>
      <c r="CW82" s="34" t="str">
        <f t="shared" si="164"/>
        <v>-</v>
      </c>
      <c r="CX82" s="34">
        <f t="shared" si="164"/>
        <v>375</v>
      </c>
      <c r="CY82" s="34" t="str">
        <f t="shared" si="164"/>
        <v>-</v>
      </c>
      <c r="CZ82" s="34" t="str">
        <f t="shared" si="164"/>
        <v>-</v>
      </c>
      <c r="DA82" s="34" t="str">
        <f t="shared" si="164"/>
        <v>-</v>
      </c>
      <c r="DB82" s="34" t="str">
        <f t="shared" si="164"/>
        <v>-</v>
      </c>
      <c r="DC82" s="34" t="str">
        <f t="shared" si="164"/>
        <v>-</v>
      </c>
      <c r="DD82" s="34" t="str">
        <f t="shared" si="164"/>
        <v>-</v>
      </c>
      <c r="DE82" s="34" t="str">
        <f t="shared" si="164"/>
        <v>-</v>
      </c>
      <c r="DF82" s="34" t="str">
        <f t="shared" si="164"/>
        <v>-</v>
      </c>
      <c r="DG82" s="34" t="str">
        <f t="shared" si="165"/>
        <v>-</v>
      </c>
      <c r="DH82" s="34" t="str">
        <f t="shared" si="165"/>
        <v>-</v>
      </c>
      <c r="DI82" s="34" t="str">
        <f t="shared" si="165"/>
        <v>-</v>
      </c>
      <c r="DJ82" s="34" t="str">
        <f t="shared" si="165"/>
        <v>-</v>
      </c>
      <c r="DK82" s="34" t="str">
        <f t="shared" si="165"/>
        <v>-</v>
      </c>
      <c r="DL82" s="34" t="str">
        <f t="shared" si="165"/>
        <v>-</v>
      </c>
      <c r="DM82" s="34" t="str">
        <f t="shared" si="165"/>
        <v>-</v>
      </c>
      <c r="DN82" s="34" t="str">
        <f t="shared" si="165"/>
        <v>-</v>
      </c>
      <c r="DO82" s="34" t="str">
        <f t="shared" si="165"/>
        <v>-</v>
      </c>
      <c r="DP82" s="34" t="str">
        <f t="shared" si="165"/>
        <v>-</v>
      </c>
      <c r="DQ82" s="34" t="str">
        <f t="shared" si="166"/>
        <v>-</v>
      </c>
      <c r="DR82" s="55" t="str">
        <f t="shared" si="166"/>
        <v>-</v>
      </c>
    </row>
    <row r="83" spans="1:122">
      <c r="A83" s="56" t="s">
        <v>111</v>
      </c>
      <c r="B83" s="56"/>
      <c r="C83" s="53" t="s">
        <v>15</v>
      </c>
      <c r="D83" s="62">
        <v>25</v>
      </c>
      <c r="E83" s="62">
        <v>40</v>
      </c>
      <c r="F83" s="53" t="s">
        <v>16</v>
      </c>
      <c r="G83" s="53" t="s">
        <v>105</v>
      </c>
      <c r="H83" s="72">
        <v>680</v>
      </c>
      <c r="I83" s="48">
        <v>370</v>
      </c>
      <c r="J83" s="82" t="s">
        <v>63</v>
      </c>
      <c r="K83" s="63" t="s">
        <v>16</v>
      </c>
      <c r="L83" s="34">
        <v>129</v>
      </c>
      <c r="M83" s="34" t="s">
        <v>16</v>
      </c>
      <c r="N83" s="54" t="s">
        <v>16</v>
      </c>
      <c r="O83" s="54">
        <v>114</v>
      </c>
      <c r="P83" s="54">
        <v>108</v>
      </c>
      <c r="Q83" s="54">
        <v>103</v>
      </c>
      <c r="R83" s="54">
        <v>100</v>
      </c>
      <c r="S83" s="54">
        <v>96</v>
      </c>
      <c r="T83" s="54">
        <v>93</v>
      </c>
      <c r="U83" s="54">
        <v>90</v>
      </c>
      <c r="V83" s="54">
        <v>87</v>
      </c>
      <c r="W83" s="54">
        <v>85</v>
      </c>
      <c r="X83" s="54">
        <v>83</v>
      </c>
      <c r="Y83" s="54">
        <v>82</v>
      </c>
      <c r="Z83" s="54">
        <v>82</v>
      </c>
      <c r="AA83" s="54">
        <v>79</v>
      </c>
      <c r="AB83" s="54" t="s">
        <v>16</v>
      </c>
      <c r="AC83" s="54" t="s">
        <v>16</v>
      </c>
      <c r="AD83" s="54" t="s">
        <v>16</v>
      </c>
      <c r="AE83" s="54" t="s">
        <v>16</v>
      </c>
      <c r="AF83" s="54" t="s">
        <v>16</v>
      </c>
      <c r="AG83" s="54" t="s">
        <v>16</v>
      </c>
      <c r="AH83" s="54" t="s">
        <v>16</v>
      </c>
      <c r="AI83" s="54" t="s">
        <v>16</v>
      </c>
      <c r="AJ83" s="54" t="s">
        <v>16</v>
      </c>
      <c r="AK83" s="54" t="s">
        <v>16</v>
      </c>
      <c r="AL83" s="54" t="s">
        <v>16</v>
      </c>
      <c r="AM83" s="54" t="s">
        <v>16</v>
      </c>
      <c r="AN83" s="54" t="s">
        <v>16</v>
      </c>
      <c r="AO83" s="54" t="s">
        <v>16</v>
      </c>
      <c r="AP83" s="54" t="s">
        <v>16</v>
      </c>
      <c r="AQ83" s="54" t="s">
        <v>16</v>
      </c>
      <c r="AR83" s="54" t="s">
        <v>16</v>
      </c>
      <c r="AS83" s="54" t="s">
        <v>16</v>
      </c>
      <c r="AT83" s="54" t="s">
        <v>16</v>
      </c>
      <c r="AU83" s="64" t="s">
        <v>16</v>
      </c>
      <c r="AV83" s="141" t="s">
        <v>64</v>
      </c>
      <c r="AW83" s="63" t="s">
        <v>16</v>
      </c>
      <c r="AX83" s="34" t="s">
        <v>16</v>
      </c>
      <c r="AY83" s="34" t="s">
        <v>16</v>
      </c>
      <c r="AZ83" s="54" t="s">
        <v>16</v>
      </c>
      <c r="BA83" s="54" t="s">
        <v>16</v>
      </c>
      <c r="BB83" s="54" t="s">
        <v>16</v>
      </c>
      <c r="BC83" s="54" t="s">
        <v>16</v>
      </c>
      <c r="BD83" s="54" t="s">
        <v>16</v>
      </c>
      <c r="BE83" s="54" t="s">
        <v>16</v>
      </c>
      <c r="BF83" s="54" t="s">
        <v>16</v>
      </c>
      <c r="BG83" s="54" t="s">
        <v>16</v>
      </c>
      <c r="BH83" s="54" t="s">
        <v>16</v>
      </c>
      <c r="BI83" s="54" t="s">
        <v>16</v>
      </c>
      <c r="BJ83" s="54" t="s">
        <v>16</v>
      </c>
      <c r="BK83" s="54" t="s">
        <v>16</v>
      </c>
      <c r="BL83" s="54" t="s">
        <v>16</v>
      </c>
      <c r="BM83" s="54" t="s">
        <v>16</v>
      </c>
      <c r="BN83" s="54" t="s">
        <v>16</v>
      </c>
      <c r="BO83" s="54" t="s">
        <v>16</v>
      </c>
      <c r="BP83" s="54" t="s">
        <v>16</v>
      </c>
      <c r="BQ83" s="54" t="s">
        <v>16</v>
      </c>
      <c r="BR83" s="54" t="s">
        <v>16</v>
      </c>
      <c r="BS83" s="54" t="s">
        <v>16</v>
      </c>
      <c r="BT83" s="54" t="s">
        <v>16</v>
      </c>
      <c r="BU83" s="54" t="s">
        <v>16</v>
      </c>
      <c r="BV83" s="54" t="s">
        <v>16</v>
      </c>
      <c r="BW83" s="54" t="s">
        <v>16</v>
      </c>
      <c r="BX83" s="54" t="s">
        <v>16</v>
      </c>
      <c r="BY83" s="54" t="s">
        <v>16</v>
      </c>
      <c r="BZ83" s="54" t="s">
        <v>16</v>
      </c>
      <c r="CA83" s="54" t="s">
        <v>16</v>
      </c>
      <c r="CB83" s="54" t="s">
        <v>16</v>
      </c>
      <c r="CC83" s="54" t="s">
        <v>16</v>
      </c>
      <c r="CD83" s="54" t="s">
        <v>16</v>
      </c>
      <c r="CE83" s="54" t="s">
        <v>16</v>
      </c>
      <c r="CF83" s="54" t="s">
        <v>16</v>
      </c>
      <c r="CG83" s="139" t="s">
        <v>16</v>
      </c>
      <c r="CH83" s="63" t="s">
        <v>16</v>
      </c>
      <c r="CI83" s="34" t="s">
        <v>16</v>
      </c>
      <c r="CJ83" s="34" t="s">
        <v>16</v>
      </c>
      <c r="CK83" s="54" t="s">
        <v>16</v>
      </c>
      <c r="CL83" s="54">
        <v>210</v>
      </c>
      <c r="CM83" s="54" t="s">
        <v>16</v>
      </c>
      <c r="CN83" s="54">
        <v>200</v>
      </c>
      <c r="CO83" s="54" t="s">
        <v>16</v>
      </c>
      <c r="CP83" s="54">
        <v>190</v>
      </c>
      <c r="CQ83" s="54" t="s">
        <v>16</v>
      </c>
      <c r="CR83" s="54">
        <v>185</v>
      </c>
      <c r="CS83" s="54" t="s">
        <v>16</v>
      </c>
      <c r="CT83" s="54">
        <v>180</v>
      </c>
      <c r="CU83" s="54" t="s">
        <v>16</v>
      </c>
      <c r="CV83" s="54">
        <v>180</v>
      </c>
      <c r="CW83" s="54" t="s">
        <v>16</v>
      </c>
      <c r="CX83" s="54" t="s">
        <v>16</v>
      </c>
      <c r="CY83" s="54" t="s">
        <v>16</v>
      </c>
      <c r="CZ83" s="54" t="s">
        <v>16</v>
      </c>
      <c r="DA83" s="54" t="s">
        <v>16</v>
      </c>
      <c r="DB83" s="54" t="s">
        <v>16</v>
      </c>
      <c r="DC83" s="54" t="s">
        <v>16</v>
      </c>
      <c r="DD83" s="54" t="s">
        <v>16</v>
      </c>
      <c r="DE83" s="54" t="s">
        <v>16</v>
      </c>
      <c r="DF83" s="54" t="s">
        <v>16</v>
      </c>
      <c r="DG83" s="54" t="s">
        <v>16</v>
      </c>
      <c r="DH83" s="54" t="s">
        <v>16</v>
      </c>
      <c r="DI83" s="54" t="s">
        <v>16</v>
      </c>
      <c r="DJ83" s="54" t="s">
        <v>16</v>
      </c>
      <c r="DK83" s="54" t="s">
        <v>16</v>
      </c>
      <c r="DL83" s="54" t="s">
        <v>16</v>
      </c>
      <c r="DM83" s="54" t="s">
        <v>16</v>
      </c>
      <c r="DN83" s="54" t="s">
        <v>16</v>
      </c>
      <c r="DO83" s="54" t="s">
        <v>16</v>
      </c>
      <c r="DP83" s="54" t="s">
        <v>16</v>
      </c>
      <c r="DQ83" s="54" t="s">
        <v>16</v>
      </c>
      <c r="DR83" s="64" t="s">
        <v>16</v>
      </c>
    </row>
    <row r="84" spans="1:122">
      <c r="A84" s="56" t="s">
        <v>111</v>
      </c>
      <c r="B84" s="56"/>
      <c r="C84" s="53" t="s">
        <v>15</v>
      </c>
      <c r="D84" s="53">
        <v>16</v>
      </c>
      <c r="E84" s="53">
        <v>25</v>
      </c>
      <c r="F84" s="53" t="s">
        <v>16</v>
      </c>
      <c r="G84" s="53" t="s">
        <v>105</v>
      </c>
      <c r="H84" s="72">
        <v>710</v>
      </c>
      <c r="I84" s="48">
        <v>420</v>
      </c>
      <c r="J84" s="82" t="s">
        <v>63</v>
      </c>
      <c r="K84" s="63" t="str">
        <f>K83</f>
        <v>-</v>
      </c>
      <c r="L84" s="34">
        <f t="shared" ref="L84:AU84" si="167">L83</f>
        <v>129</v>
      </c>
      <c r="M84" s="34" t="str">
        <f t="shared" si="167"/>
        <v>-</v>
      </c>
      <c r="N84" s="34" t="str">
        <f t="shared" si="167"/>
        <v>-</v>
      </c>
      <c r="O84" s="34">
        <f t="shared" si="167"/>
        <v>114</v>
      </c>
      <c r="P84" s="34">
        <f t="shared" si="167"/>
        <v>108</v>
      </c>
      <c r="Q84" s="34">
        <f t="shared" si="167"/>
        <v>103</v>
      </c>
      <c r="R84" s="34">
        <f t="shared" si="167"/>
        <v>100</v>
      </c>
      <c r="S84" s="34">
        <f t="shared" si="167"/>
        <v>96</v>
      </c>
      <c r="T84" s="34">
        <f t="shared" si="167"/>
        <v>93</v>
      </c>
      <c r="U84" s="34">
        <f t="shared" si="167"/>
        <v>90</v>
      </c>
      <c r="V84" s="34">
        <f t="shared" si="167"/>
        <v>87</v>
      </c>
      <c r="W84" s="34">
        <f t="shared" si="167"/>
        <v>85</v>
      </c>
      <c r="X84" s="34">
        <f t="shared" si="167"/>
        <v>83</v>
      </c>
      <c r="Y84" s="34">
        <f t="shared" si="167"/>
        <v>82</v>
      </c>
      <c r="Z84" s="34">
        <f t="shared" si="167"/>
        <v>82</v>
      </c>
      <c r="AA84" s="34">
        <f t="shared" si="167"/>
        <v>79</v>
      </c>
      <c r="AB84" s="34" t="str">
        <f t="shared" si="167"/>
        <v>-</v>
      </c>
      <c r="AC84" s="34" t="str">
        <f t="shared" si="167"/>
        <v>-</v>
      </c>
      <c r="AD84" s="34" t="str">
        <f t="shared" si="167"/>
        <v>-</v>
      </c>
      <c r="AE84" s="34" t="str">
        <f t="shared" si="167"/>
        <v>-</v>
      </c>
      <c r="AF84" s="34" t="str">
        <f t="shared" si="167"/>
        <v>-</v>
      </c>
      <c r="AG84" s="34" t="str">
        <f t="shared" si="167"/>
        <v>-</v>
      </c>
      <c r="AH84" s="34" t="str">
        <f t="shared" si="167"/>
        <v>-</v>
      </c>
      <c r="AI84" s="34" t="str">
        <f t="shared" si="167"/>
        <v>-</v>
      </c>
      <c r="AJ84" s="34" t="str">
        <f t="shared" si="167"/>
        <v>-</v>
      </c>
      <c r="AK84" s="34" t="str">
        <f t="shared" si="167"/>
        <v>-</v>
      </c>
      <c r="AL84" s="34" t="str">
        <f t="shared" si="167"/>
        <v>-</v>
      </c>
      <c r="AM84" s="34" t="str">
        <f t="shared" si="167"/>
        <v>-</v>
      </c>
      <c r="AN84" s="34" t="str">
        <f t="shared" si="167"/>
        <v>-</v>
      </c>
      <c r="AO84" s="34" t="str">
        <f t="shared" si="167"/>
        <v>-</v>
      </c>
      <c r="AP84" s="34" t="str">
        <f t="shared" si="167"/>
        <v>-</v>
      </c>
      <c r="AQ84" s="34" t="str">
        <f t="shared" si="167"/>
        <v>-</v>
      </c>
      <c r="AR84" s="34" t="str">
        <f t="shared" si="167"/>
        <v>-</v>
      </c>
      <c r="AS84" s="34" t="str">
        <f t="shared" si="167"/>
        <v>-</v>
      </c>
      <c r="AT84" s="34" t="str">
        <f t="shared" si="167"/>
        <v>-</v>
      </c>
      <c r="AU84" s="55" t="str">
        <f t="shared" si="167"/>
        <v>-</v>
      </c>
      <c r="AV84" s="57" t="str">
        <f>AV83</f>
        <v>EN</v>
      </c>
      <c r="AW84" s="63" t="str">
        <f t="shared" ref="AW84:DH86" si="168">AW83</f>
        <v>-</v>
      </c>
      <c r="AX84" s="34" t="str">
        <f t="shared" si="168"/>
        <v>-</v>
      </c>
      <c r="AY84" s="34" t="str">
        <f t="shared" si="168"/>
        <v>-</v>
      </c>
      <c r="AZ84" s="34" t="str">
        <f t="shared" si="168"/>
        <v>-</v>
      </c>
      <c r="BA84" s="34" t="str">
        <f t="shared" si="168"/>
        <v>-</v>
      </c>
      <c r="BB84" s="34" t="str">
        <f t="shared" si="168"/>
        <v>-</v>
      </c>
      <c r="BC84" s="34" t="str">
        <f t="shared" si="168"/>
        <v>-</v>
      </c>
      <c r="BD84" s="34" t="str">
        <f t="shared" si="168"/>
        <v>-</v>
      </c>
      <c r="BE84" s="34" t="str">
        <f t="shared" si="168"/>
        <v>-</v>
      </c>
      <c r="BF84" s="34" t="str">
        <f t="shared" si="168"/>
        <v>-</v>
      </c>
      <c r="BG84" s="34" t="str">
        <f t="shared" si="168"/>
        <v>-</v>
      </c>
      <c r="BH84" s="34" t="str">
        <f t="shared" si="168"/>
        <v>-</v>
      </c>
      <c r="BI84" s="34" t="str">
        <f t="shared" si="168"/>
        <v>-</v>
      </c>
      <c r="BJ84" s="34" t="str">
        <f t="shared" si="168"/>
        <v>-</v>
      </c>
      <c r="BK84" s="34" t="str">
        <f t="shared" si="168"/>
        <v>-</v>
      </c>
      <c r="BL84" s="34" t="str">
        <f t="shared" si="168"/>
        <v>-</v>
      </c>
      <c r="BM84" s="34" t="str">
        <f t="shared" si="168"/>
        <v>-</v>
      </c>
      <c r="BN84" s="34" t="str">
        <f t="shared" si="168"/>
        <v>-</v>
      </c>
      <c r="BO84" s="34" t="str">
        <f t="shared" si="168"/>
        <v>-</v>
      </c>
      <c r="BP84" s="34" t="str">
        <f t="shared" si="168"/>
        <v>-</v>
      </c>
      <c r="BQ84" s="34" t="str">
        <f t="shared" si="168"/>
        <v>-</v>
      </c>
      <c r="BR84" s="34" t="str">
        <f t="shared" si="168"/>
        <v>-</v>
      </c>
      <c r="BS84" s="34" t="str">
        <f t="shared" si="168"/>
        <v>-</v>
      </c>
      <c r="BT84" s="34" t="str">
        <f t="shared" si="168"/>
        <v>-</v>
      </c>
      <c r="BU84" s="34" t="str">
        <f t="shared" si="168"/>
        <v>-</v>
      </c>
      <c r="BV84" s="34" t="str">
        <f t="shared" si="168"/>
        <v>-</v>
      </c>
      <c r="BW84" s="34" t="str">
        <f t="shared" si="168"/>
        <v>-</v>
      </c>
      <c r="BX84" s="34" t="str">
        <f t="shared" si="168"/>
        <v>-</v>
      </c>
      <c r="BY84" s="34" t="str">
        <f t="shared" si="168"/>
        <v>-</v>
      </c>
      <c r="BZ84" s="34" t="str">
        <f t="shared" si="168"/>
        <v>-</v>
      </c>
      <c r="CA84" s="34" t="str">
        <f t="shared" si="168"/>
        <v>-</v>
      </c>
      <c r="CB84" s="34" t="str">
        <f t="shared" si="168"/>
        <v>-</v>
      </c>
      <c r="CC84" s="34" t="str">
        <f t="shared" si="168"/>
        <v>-</v>
      </c>
      <c r="CD84" s="34" t="str">
        <f t="shared" si="168"/>
        <v>-</v>
      </c>
      <c r="CE84" s="34" t="str">
        <f t="shared" si="168"/>
        <v>-</v>
      </c>
      <c r="CF84" s="34" t="str">
        <f t="shared" si="168"/>
        <v>-</v>
      </c>
      <c r="CG84" s="44" t="str">
        <f t="shared" si="168"/>
        <v>-</v>
      </c>
      <c r="CH84" s="63" t="str">
        <f t="shared" si="168"/>
        <v>-</v>
      </c>
      <c r="CI84" s="34" t="str">
        <f t="shared" si="168"/>
        <v>-</v>
      </c>
      <c r="CJ84" s="34" t="str">
        <f t="shared" si="168"/>
        <v>-</v>
      </c>
      <c r="CK84" s="34" t="str">
        <f t="shared" si="168"/>
        <v>-</v>
      </c>
      <c r="CL84" s="34">
        <f t="shared" si="168"/>
        <v>210</v>
      </c>
      <c r="CM84" s="34" t="str">
        <f t="shared" si="168"/>
        <v>-</v>
      </c>
      <c r="CN84" s="34">
        <f t="shared" si="168"/>
        <v>200</v>
      </c>
      <c r="CO84" s="34" t="str">
        <f t="shared" si="168"/>
        <v>-</v>
      </c>
      <c r="CP84" s="34">
        <f t="shared" si="168"/>
        <v>190</v>
      </c>
      <c r="CQ84" s="34" t="str">
        <f t="shared" si="168"/>
        <v>-</v>
      </c>
      <c r="CR84" s="34">
        <f t="shared" si="168"/>
        <v>185</v>
      </c>
      <c r="CS84" s="34" t="str">
        <f t="shared" si="168"/>
        <v>-</v>
      </c>
      <c r="CT84" s="34">
        <f t="shared" si="168"/>
        <v>180</v>
      </c>
      <c r="CU84" s="34" t="str">
        <f t="shared" si="168"/>
        <v>-</v>
      </c>
      <c r="CV84" s="34">
        <f t="shared" si="168"/>
        <v>180</v>
      </c>
      <c r="CW84" s="34" t="str">
        <f t="shared" si="168"/>
        <v>-</v>
      </c>
      <c r="CX84" s="34" t="str">
        <f t="shared" si="168"/>
        <v>-</v>
      </c>
      <c r="CY84" s="34" t="str">
        <f t="shared" si="168"/>
        <v>-</v>
      </c>
      <c r="CZ84" s="34" t="str">
        <f t="shared" si="168"/>
        <v>-</v>
      </c>
      <c r="DA84" s="34" t="str">
        <f t="shared" si="168"/>
        <v>-</v>
      </c>
      <c r="DB84" s="34" t="str">
        <f t="shared" si="168"/>
        <v>-</v>
      </c>
      <c r="DC84" s="34" t="str">
        <f t="shared" si="168"/>
        <v>-</v>
      </c>
      <c r="DD84" s="34" t="str">
        <f t="shared" si="168"/>
        <v>-</v>
      </c>
      <c r="DE84" s="34" t="str">
        <f t="shared" si="168"/>
        <v>-</v>
      </c>
      <c r="DF84" s="34" t="str">
        <f t="shared" si="168"/>
        <v>-</v>
      </c>
      <c r="DG84" s="34" t="str">
        <f t="shared" si="168"/>
        <v>-</v>
      </c>
      <c r="DH84" s="34" t="str">
        <f t="shared" si="168"/>
        <v>-</v>
      </c>
      <c r="DI84" s="34" t="str">
        <f t="shared" ref="DI84:DR86" si="169">DI83</f>
        <v>-</v>
      </c>
      <c r="DJ84" s="34" t="str">
        <f t="shared" si="169"/>
        <v>-</v>
      </c>
      <c r="DK84" s="34" t="str">
        <f t="shared" si="169"/>
        <v>-</v>
      </c>
      <c r="DL84" s="34" t="str">
        <f t="shared" si="169"/>
        <v>-</v>
      </c>
      <c r="DM84" s="34" t="str">
        <f t="shared" si="169"/>
        <v>-</v>
      </c>
      <c r="DN84" s="34" t="str">
        <f t="shared" si="169"/>
        <v>-</v>
      </c>
      <c r="DO84" s="34" t="str">
        <f t="shared" si="169"/>
        <v>-</v>
      </c>
      <c r="DP84" s="34" t="str">
        <f t="shared" si="169"/>
        <v>-</v>
      </c>
      <c r="DQ84" s="34" t="str">
        <f t="shared" si="169"/>
        <v>-</v>
      </c>
      <c r="DR84" s="55" t="str">
        <f t="shared" si="169"/>
        <v>-</v>
      </c>
    </row>
    <row r="85" spans="1:122">
      <c r="A85" s="56" t="s">
        <v>111</v>
      </c>
      <c r="B85" s="56"/>
      <c r="C85" s="53" t="s">
        <v>15</v>
      </c>
      <c r="D85" s="53">
        <v>10</v>
      </c>
      <c r="E85" s="53">
        <v>16</v>
      </c>
      <c r="F85" s="53" t="s">
        <v>16</v>
      </c>
      <c r="G85" s="53" t="s">
        <v>105</v>
      </c>
      <c r="H85" s="72">
        <v>720</v>
      </c>
      <c r="I85" s="48">
        <v>450</v>
      </c>
      <c r="J85" s="82" t="s">
        <v>63</v>
      </c>
      <c r="K85" s="63" t="str">
        <f>K83</f>
        <v>-</v>
      </c>
      <c r="L85" s="34">
        <f t="shared" ref="L85:AU85" si="170">L83</f>
        <v>129</v>
      </c>
      <c r="M85" s="34" t="str">
        <f t="shared" si="170"/>
        <v>-</v>
      </c>
      <c r="N85" s="34" t="str">
        <f t="shared" si="170"/>
        <v>-</v>
      </c>
      <c r="O85" s="34">
        <f t="shared" si="170"/>
        <v>114</v>
      </c>
      <c r="P85" s="34">
        <f t="shared" si="170"/>
        <v>108</v>
      </c>
      <c r="Q85" s="34">
        <f t="shared" si="170"/>
        <v>103</v>
      </c>
      <c r="R85" s="34">
        <f t="shared" si="170"/>
        <v>100</v>
      </c>
      <c r="S85" s="34">
        <f t="shared" si="170"/>
        <v>96</v>
      </c>
      <c r="T85" s="34">
        <f t="shared" si="170"/>
        <v>93</v>
      </c>
      <c r="U85" s="34">
        <f t="shared" si="170"/>
        <v>90</v>
      </c>
      <c r="V85" s="34">
        <f t="shared" si="170"/>
        <v>87</v>
      </c>
      <c r="W85" s="34">
        <f t="shared" si="170"/>
        <v>85</v>
      </c>
      <c r="X85" s="34">
        <f t="shared" si="170"/>
        <v>83</v>
      </c>
      <c r="Y85" s="34">
        <f t="shared" si="170"/>
        <v>82</v>
      </c>
      <c r="Z85" s="34">
        <f t="shared" si="170"/>
        <v>82</v>
      </c>
      <c r="AA85" s="34">
        <f t="shared" si="170"/>
        <v>79</v>
      </c>
      <c r="AB85" s="34" t="str">
        <f t="shared" si="170"/>
        <v>-</v>
      </c>
      <c r="AC85" s="34" t="str">
        <f t="shared" si="170"/>
        <v>-</v>
      </c>
      <c r="AD85" s="34" t="str">
        <f t="shared" si="170"/>
        <v>-</v>
      </c>
      <c r="AE85" s="34" t="str">
        <f t="shared" si="170"/>
        <v>-</v>
      </c>
      <c r="AF85" s="34" t="str">
        <f t="shared" si="170"/>
        <v>-</v>
      </c>
      <c r="AG85" s="34" t="str">
        <f t="shared" si="170"/>
        <v>-</v>
      </c>
      <c r="AH85" s="34" t="str">
        <f t="shared" si="170"/>
        <v>-</v>
      </c>
      <c r="AI85" s="34" t="str">
        <f t="shared" si="170"/>
        <v>-</v>
      </c>
      <c r="AJ85" s="34" t="str">
        <f t="shared" si="170"/>
        <v>-</v>
      </c>
      <c r="AK85" s="34" t="str">
        <f t="shared" si="170"/>
        <v>-</v>
      </c>
      <c r="AL85" s="34" t="str">
        <f t="shared" si="170"/>
        <v>-</v>
      </c>
      <c r="AM85" s="34" t="str">
        <f t="shared" si="170"/>
        <v>-</v>
      </c>
      <c r="AN85" s="34" t="str">
        <f t="shared" si="170"/>
        <v>-</v>
      </c>
      <c r="AO85" s="34" t="str">
        <f t="shared" si="170"/>
        <v>-</v>
      </c>
      <c r="AP85" s="34" t="str">
        <f t="shared" si="170"/>
        <v>-</v>
      </c>
      <c r="AQ85" s="34" t="str">
        <f t="shared" si="170"/>
        <v>-</v>
      </c>
      <c r="AR85" s="34" t="str">
        <f t="shared" si="170"/>
        <v>-</v>
      </c>
      <c r="AS85" s="34" t="str">
        <f t="shared" si="170"/>
        <v>-</v>
      </c>
      <c r="AT85" s="34" t="str">
        <f t="shared" si="170"/>
        <v>-</v>
      </c>
      <c r="AU85" s="55" t="str">
        <f t="shared" si="170"/>
        <v>-</v>
      </c>
      <c r="AV85" s="57" t="str">
        <f>AV84</f>
        <v>EN</v>
      </c>
      <c r="AW85" s="63" t="str">
        <f t="shared" si="168"/>
        <v>-</v>
      </c>
      <c r="AX85" s="34" t="str">
        <f t="shared" si="168"/>
        <v>-</v>
      </c>
      <c r="AY85" s="34" t="str">
        <f t="shared" si="168"/>
        <v>-</v>
      </c>
      <c r="AZ85" s="34" t="str">
        <f t="shared" si="168"/>
        <v>-</v>
      </c>
      <c r="BA85" s="34" t="str">
        <f t="shared" si="168"/>
        <v>-</v>
      </c>
      <c r="BB85" s="34" t="str">
        <f t="shared" si="168"/>
        <v>-</v>
      </c>
      <c r="BC85" s="34" t="str">
        <f t="shared" si="168"/>
        <v>-</v>
      </c>
      <c r="BD85" s="34" t="str">
        <f t="shared" si="168"/>
        <v>-</v>
      </c>
      <c r="BE85" s="34" t="str">
        <f t="shared" si="168"/>
        <v>-</v>
      </c>
      <c r="BF85" s="34" t="str">
        <f t="shared" si="168"/>
        <v>-</v>
      </c>
      <c r="BG85" s="34" t="str">
        <f t="shared" si="168"/>
        <v>-</v>
      </c>
      <c r="BH85" s="34" t="str">
        <f t="shared" si="168"/>
        <v>-</v>
      </c>
      <c r="BI85" s="34" t="str">
        <f t="shared" si="168"/>
        <v>-</v>
      </c>
      <c r="BJ85" s="34" t="str">
        <f t="shared" si="168"/>
        <v>-</v>
      </c>
      <c r="BK85" s="34" t="str">
        <f t="shared" si="168"/>
        <v>-</v>
      </c>
      <c r="BL85" s="34" t="str">
        <f t="shared" si="168"/>
        <v>-</v>
      </c>
      <c r="BM85" s="34" t="str">
        <f t="shared" si="168"/>
        <v>-</v>
      </c>
      <c r="BN85" s="34" t="str">
        <f t="shared" si="168"/>
        <v>-</v>
      </c>
      <c r="BO85" s="34" t="str">
        <f t="shared" si="168"/>
        <v>-</v>
      </c>
      <c r="BP85" s="34" t="str">
        <f t="shared" si="168"/>
        <v>-</v>
      </c>
      <c r="BQ85" s="34" t="str">
        <f t="shared" si="168"/>
        <v>-</v>
      </c>
      <c r="BR85" s="34" t="str">
        <f t="shared" si="168"/>
        <v>-</v>
      </c>
      <c r="BS85" s="34" t="str">
        <f t="shared" si="168"/>
        <v>-</v>
      </c>
      <c r="BT85" s="34" t="str">
        <f t="shared" si="168"/>
        <v>-</v>
      </c>
      <c r="BU85" s="34" t="str">
        <f t="shared" si="168"/>
        <v>-</v>
      </c>
      <c r="BV85" s="34" t="str">
        <f t="shared" si="168"/>
        <v>-</v>
      </c>
      <c r="BW85" s="34" t="str">
        <f t="shared" si="168"/>
        <v>-</v>
      </c>
      <c r="BX85" s="34" t="str">
        <f t="shared" si="168"/>
        <v>-</v>
      </c>
      <c r="BY85" s="34" t="str">
        <f t="shared" si="168"/>
        <v>-</v>
      </c>
      <c r="BZ85" s="34" t="str">
        <f t="shared" si="168"/>
        <v>-</v>
      </c>
      <c r="CA85" s="34" t="str">
        <f t="shared" si="168"/>
        <v>-</v>
      </c>
      <c r="CB85" s="34" t="str">
        <f t="shared" si="168"/>
        <v>-</v>
      </c>
      <c r="CC85" s="34" t="str">
        <f t="shared" si="168"/>
        <v>-</v>
      </c>
      <c r="CD85" s="34" t="str">
        <f t="shared" si="168"/>
        <v>-</v>
      </c>
      <c r="CE85" s="34" t="str">
        <f t="shared" si="168"/>
        <v>-</v>
      </c>
      <c r="CF85" s="34" t="str">
        <f t="shared" si="168"/>
        <v>-</v>
      </c>
      <c r="CG85" s="44" t="str">
        <f t="shared" si="168"/>
        <v>-</v>
      </c>
      <c r="CH85" s="63" t="str">
        <f t="shared" si="168"/>
        <v>-</v>
      </c>
      <c r="CI85" s="34" t="str">
        <f t="shared" si="168"/>
        <v>-</v>
      </c>
      <c r="CJ85" s="34" t="str">
        <f t="shared" si="168"/>
        <v>-</v>
      </c>
      <c r="CK85" s="34" t="str">
        <f t="shared" si="168"/>
        <v>-</v>
      </c>
      <c r="CL85" s="34">
        <f t="shared" si="168"/>
        <v>210</v>
      </c>
      <c r="CM85" s="34" t="str">
        <f t="shared" si="168"/>
        <v>-</v>
      </c>
      <c r="CN85" s="34">
        <f t="shared" si="168"/>
        <v>200</v>
      </c>
      <c r="CO85" s="34" t="str">
        <f t="shared" si="168"/>
        <v>-</v>
      </c>
      <c r="CP85" s="34">
        <f t="shared" si="168"/>
        <v>190</v>
      </c>
      <c r="CQ85" s="34" t="str">
        <f t="shared" si="168"/>
        <v>-</v>
      </c>
      <c r="CR85" s="34">
        <f t="shared" si="168"/>
        <v>185</v>
      </c>
      <c r="CS85" s="34" t="str">
        <f t="shared" si="168"/>
        <v>-</v>
      </c>
      <c r="CT85" s="34">
        <f t="shared" si="168"/>
        <v>180</v>
      </c>
      <c r="CU85" s="34" t="str">
        <f t="shared" si="168"/>
        <v>-</v>
      </c>
      <c r="CV85" s="34">
        <f t="shared" si="168"/>
        <v>180</v>
      </c>
      <c r="CW85" s="34" t="str">
        <f t="shared" si="168"/>
        <v>-</v>
      </c>
      <c r="CX85" s="34" t="str">
        <f t="shared" si="168"/>
        <v>-</v>
      </c>
      <c r="CY85" s="34" t="str">
        <f t="shared" si="168"/>
        <v>-</v>
      </c>
      <c r="CZ85" s="34" t="str">
        <f t="shared" si="168"/>
        <v>-</v>
      </c>
      <c r="DA85" s="34" t="str">
        <f t="shared" si="168"/>
        <v>-</v>
      </c>
      <c r="DB85" s="34" t="str">
        <f t="shared" si="168"/>
        <v>-</v>
      </c>
      <c r="DC85" s="34" t="str">
        <f t="shared" si="168"/>
        <v>-</v>
      </c>
      <c r="DD85" s="34" t="str">
        <f t="shared" si="168"/>
        <v>-</v>
      </c>
      <c r="DE85" s="34" t="str">
        <f t="shared" si="168"/>
        <v>-</v>
      </c>
      <c r="DF85" s="34" t="str">
        <f t="shared" si="168"/>
        <v>-</v>
      </c>
      <c r="DG85" s="34" t="str">
        <f t="shared" si="168"/>
        <v>-</v>
      </c>
      <c r="DH85" s="34" t="str">
        <f t="shared" si="168"/>
        <v>-</v>
      </c>
      <c r="DI85" s="34" t="str">
        <f t="shared" si="169"/>
        <v>-</v>
      </c>
      <c r="DJ85" s="34" t="str">
        <f t="shared" si="169"/>
        <v>-</v>
      </c>
      <c r="DK85" s="34" t="str">
        <f t="shared" si="169"/>
        <v>-</v>
      </c>
      <c r="DL85" s="34" t="str">
        <f t="shared" si="169"/>
        <v>-</v>
      </c>
      <c r="DM85" s="34" t="str">
        <f t="shared" si="169"/>
        <v>-</v>
      </c>
      <c r="DN85" s="34" t="str">
        <f t="shared" si="169"/>
        <v>-</v>
      </c>
      <c r="DO85" s="34" t="str">
        <f t="shared" si="169"/>
        <v>-</v>
      </c>
      <c r="DP85" s="34" t="str">
        <f t="shared" si="169"/>
        <v>-</v>
      </c>
      <c r="DQ85" s="34" t="str">
        <f t="shared" si="169"/>
        <v>-</v>
      </c>
      <c r="DR85" s="55" t="str">
        <f t="shared" si="169"/>
        <v>-</v>
      </c>
    </row>
    <row r="86" spans="1:122">
      <c r="A86" s="56" t="s">
        <v>111</v>
      </c>
      <c r="B86" s="56"/>
      <c r="C86" s="53" t="s">
        <v>15</v>
      </c>
      <c r="D86" s="53" t="s">
        <v>16</v>
      </c>
      <c r="E86" s="53">
        <v>10</v>
      </c>
      <c r="F86" s="53" t="s">
        <v>16</v>
      </c>
      <c r="G86" s="53" t="s">
        <v>105</v>
      </c>
      <c r="H86" s="72">
        <v>740</v>
      </c>
      <c r="I86" s="48">
        <v>480</v>
      </c>
      <c r="J86" s="82" t="s">
        <v>63</v>
      </c>
      <c r="K86" s="63" t="str">
        <f>K83</f>
        <v>-</v>
      </c>
      <c r="L86" s="34">
        <f t="shared" ref="L86:AU86" si="171">L83</f>
        <v>129</v>
      </c>
      <c r="M86" s="34" t="str">
        <f t="shared" si="171"/>
        <v>-</v>
      </c>
      <c r="N86" s="34" t="str">
        <f t="shared" si="171"/>
        <v>-</v>
      </c>
      <c r="O86" s="34">
        <f t="shared" si="171"/>
        <v>114</v>
      </c>
      <c r="P86" s="34">
        <f t="shared" si="171"/>
        <v>108</v>
      </c>
      <c r="Q86" s="34">
        <f t="shared" si="171"/>
        <v>103</v>
      </c>
      <c r="R86" s="34">
        <f t="shared" si="171"/>
        <v>100</v>
      </c>
      <c r="S86" s="34">
        <f t="shared" si="171"/>
        <v>96</v>
      </c>
      <c r="T86" s="34">
        <f t="shared" si="171"/>
        <v>93</v>
      </c>
      <c r="U86" s="34">
        <f t="shared" si="171"/>
        <v>90</v>
      </c>
      <c r="V86" s="34">
        <f t="shared" si="171"/>
        <v>87</v>
      </c>
      <c r="W86" s="34">
        <f t="shared" si="171"/>
        <v>85</v>
      </c>
      <c r="X86" s="34">
        <f t="shared" si="171"/>
        <v>83</v>
      </c>
      <c r="Y86" s="34">
        <f t="shared" si="171"/>
        <v>82</v>
      </c>
      <c r="Z86" s="34">
        <f t="shared" si="171"/>
        <v>82</v>
      </c>
      <c r="AA86" s="34">
        <f t="shared" si="171"/>
        <v>79</v>
      </c>
      <c r="AB86" s="34" t="str">
        <f t="shared" si="171"/>
        <v>-</v>
      </c>
      <c r="AC86" s="34" t="str">
        <f t="shared" si="171"/>
        <v>-</v>
      </c>
      <c r="AD86" s="34" t="str">
        <f t="shared" si="171"/>
        <v>-</v>
      </c>
      <c r="AE86" s="34" t="str">
        <f t="shared" si="171"/>
        <v>-</v>
      </c>
      <c r="AF86" s="34" t="str">
        <f t="shared" si="171"/>
        <v>-</v>
      </c>
      <c r="AG86" s="34" t="str">
        <f t="shared" si="171"/>
        <v>-</v>
      </c>
      <c r="AH86" s="34" t="str">
        <f t="shared" si="171"/>
        <v>-</v>
      </c>
      <c r="AI86" s="34" t="str">
        <f t="shared" si="171"/>
        <v>-</v>
      </c>
      <c r="AJ86" s="34" t="str">
        <f t="shared" si="171"/>
        <v>-</v>
      </c>
      <c r="AK86" s="34" t="str">
        <f t="shared" si="171"/>
        <v>-</v>
      </c>
      <c r="AL86" s="34" t="str">
        <f t="shared" si="171"/>
        <v>-</v>
      </c>
      <c r="AM86" s="34" t="str">
        <f t="shared" si="171"/>
        <v>-</v>
      </c>
      <c r="AN86" s="34" t="str">
        <f t="shared" si="171"/>
        <v>-</v>
      </c>
      <c r="AO86" s="34" t="str">
        <f t="shared" si="171"/>
        <v>-</v>
      </c>
      <c r="AP86" s="34" t="str">
        <f t="shared" si="171"/>
        <v>-</v>
      </c>
      <c r="AQ86" s="34" t="str">
        <f t="shared" si="171"/>
        <v>-</v>
      </c>
      <c r="AR86" s="34" t="str">
        <f t="shared" si="171"/>
        <v>-</v>
      </c>
      <c r="AS86" s="34" t="str">
        <f t="shared" si="171"/>
        <v>-</v>
      </c>
      <c r="AT86" s="34" t="str">
        <f t="shared" si="171"/>
        <v>-</v>
      </c>
      <c r="AU86" s="55" t="str">
        <f t="shared" si="171"/>
        <v>-</v>
      </c>
      <c r="AV86" s="57" t="str">
        <f>AV85</f>
        <v>EN</v>
      </c>
      <c r="AW86" s="63" t="str">
        <f t="shared" si="168"/>
        <v>-</v>
      </c>
      <c r="AX86" s="34" t="str">
        <f t="shared" si="168"/>
        <v>-</v>
      </c>
      <c r="AY86" s="34" t="str">
        <f t="shared" si="168"/>
        <v>-</v>
      </c>
      <c r="AZ86" s="34" t="str">
        <f t="shared" si="168"/>
        <v>-</v>
      </c>
      <c r="BA86" s="34" t="str">
        <f t="shared" si="168"/>
        <v>-</v>
      </c>
      <c r="BB86" s="34" t="str">
        <f t="shared" si="168"/>
        <v>-</v>
      </c>
      <c r="BC86" s="34" t="str">
        <f t="shared" si="168"/>
        <v>-</v>
      </c>
      <c r="BD86" s="34" t="str">
        <f t="shared" si="168"/>
        <v>-</v>
      </c>
      <c r="BE86" s="34" t="str">
        <f t="shared" si="168"/>
        <v>-</v>
      </c>
      <c r="BF86" s="34" t="str">
        <f t="shared" si="168"/>
        <v>-</v>
      </c>
      <c r="BG86" s="34" t="str">
        <f t="shared" si="168"/>
        <v>-</v>
      </c>
      <c r="BH86" s="34" t="str">
        <f t="shared" si="168"/>
        <v>-</v>
      </c>
      <c r="BI86" s="34" t="str">
        <f t="shared" si="168"/>
        <v>-</v>
      </c>
      <c r="BJ86" s="34" t="str">
        <f t="shared" si="168"/>
        <v>-</v>
      </c>
      <c r="BK86" s="34" t="str">
        <f t="shared" si="168"/>
        <v>-</v>
      </c>
      <c r="BL86" s="34" t="str">
        <f t="shared" si="168"/>
        <v>-</v>
      </c>
      <c r="BM86" s="34" t="str">
        <f t="shared" si="168"/>
        <v>-</v>
      </c>
      <c r="BN86" s="34" t="str">
        <f t="shared" si="168"/>
        <v>-</v>
      </c>
      <c r="BO86" s="34" t="str">
        <f t="shared" si="168"/>
        <v>-</v>
      </c>
      <c r="BP86" s="34" t="str">
        <f t="shared" si="168"/>
        <v>-</v>
      </c>
      <c r="BQ86" s="34" t="str">
        <f t="shared" si="168"/>
        <v>-</v>
      </c>
      <c r="BR86" s="34" t="str">
        <f t="shared" si="168"/>
        <v>-</v>
      </c>
      <c r="BS86" s="34" t="str">
        <f t="shared" si="168"/>
        <v>-</v>
      </c>
      <c r="BT86" s="34" t="str">
        <f t="shared" si="168"/>
        <v>-</v>
      </c>
      <c r="BU86" s="34" t="str">
        <f t="shared" si="168"/>
        <v>-</v>
      </c>
      <c r="BV86" s="34" t="str">
        <f t="shared" si="168"/>
        <v>-</v>
      </c>
      <c r="BW86" s="34" t="str">
        <f t="shared" si="168"/>
        <v>-</v>
      </c>
      <c r="BX86" s="34" t="str">
        <f t="shared" si="168"/>
        <v>-</v>
      </c>
      <c r="BY86" s="34" t="str">
        <f t="shared" si="168"/>
        <v>-</v>
      </c>
      <c r="BZ86" s="34" t="str">
        <f t="shared" si="168"/>
        <v>-</v>
      </c>
      <c r="CA86" s="34" t="str">
        <f t="shared" si="168"/>
        <v>-</v>
      </c>
      <c r="CB86" s="34" t="str">
        <f t="shared" si="168"/>
        <v>-</v>
      </c>
      <c r="CC86" s="34" t="str">
        <f t="shared" si="168"/>
        <v>-</v>
      </c>
      <c r="CD86" s="34" t="str">
        <f t="shared" si="168"/>
        <v>-</v>
      </c>
      <c r="CE86" s="34" t="str">
        <f t="shared" si="168"/>
        <v>-</v>
      </c>
      <c r="CF86" s="34" t="str">
        <f t="shared" si="168"/>
        <v>-</v>
      </c>
      <c r="CG86" s="44" t="str">
        <f t="shared" si="168"/>
        <v>-</v>
      </c>
      <c r="CH86" s="63" t="str">
        <f t="shared" si="168"/>
        <v>-</v>
      </c>
      <c r="CI86" s="34" t="str">
        <f t="shared" si="168"/>
        <v>-</v>
      </c>
      <c r="CJ86" s="34" t="str">
        <f t="shared" si="168"/>
        <v>-</v>
      </c>
      <c r="CK86" s="34" t="str">
        <f t="shared" si="168"/>
        <v>-</v>
      </c>
      <c r="CL86" s="34">
        <f t="shared" si="168"/>
        <v>210</v>
      </c>
      <c r="CM86" s="34" t="str">
        <f t="shared" si="168"/>
        <v>-</v>
      </c>
      <c r="CN86" s="34">
        <f t="shared" si="168"/>
        <v>200</v>
      </c>
      <c r="CO86" s="34" t="str">
        <f t="shared" si="168"/>
        <v>-</v>
      </c>
      <c r="CP86" s="34">
        <f t="shared" si="168"/>
        <v>190</v>
      </c>
      <c r="CQ86" s="34" t="str">
        <f t="shared" si="168"/>
        <v>-</v>
      </c>
      <c r="CR86" s="34">
        <f t="shared" si="168"/>
        <v>185</v>
      </c>
      <c r="CS86" s="34" t="str">
        <f t="shared" si="168"/>
        <v>-</v>
      </c>
      <c r="CT86" s="34">
        <f t="shared" si="168"/>
        <v>180</v>
      </c>
      <c r="CU86" s="34" t="str">
        <f t="shared" si="168"/>
        <v>-</v>
      </c>
      <c r="CV86" s="34">
        <f t="shared" si="168"/>
        <v>180</v>
      </c>
      <c r="CW86" s="34" t="str">
        <f t="shared" si="168"/>
        <v>-</v>
      </c>
      <c r="CX86" s="34" t="str">
        <f t="shared" si="168"/>
        <v>-</v>
      </c>
      <c r="CY86" s="34" t="str">
        <f t="shared" si="168"/>
        <v>-</v>
      </c>
      <c r="CZ86" s="34" t="str">
        <f t="shared" si="168"/>
        <v>-</v>
      </c>
      <c r="DA86" s="34" t="str">
        <f t="shared" si="168"/>
        <v>-</v>
      </c>
      <c r="DB86" s="34" t="str">
        <f t="shared" si="168"/>
        <v>-</v>
      </c>
      <c r="DC86" s="34" t="str">
        <f t="shared" si="168"/>
        <v>-</v>
      </c>
      <c r="DD86" s="34" t="str">
        <f t="shared" si="168"/>
        <v>-</v>
      </c>
      <c r="DE86" s="34" t="str">
        <f t="shared" si="168"/>
        <v>-</v>
      </c>
      <c r="DF86" s="34" t="str">
        <f t="shared" si="168"/>
        <v>-</v>
      </c>
      <c r="DG86" s="34" t="str">
        <f t="shared" si="168"/>
        <v>-</v>
      </c>
      <c r="DH86" s="34" t="str">
        <f t="shared" si="168"/>
        <v>-</v>
      </c>
      <c r="DI86" s="34" t="str">
        <f t="shared" si="169"/>
        <v>-</v>
      </c>
      <c r="DJ86" s="34" t="str">
        <f t="shared" si="169"/>
        <v>-</v>
      </c>
      <c r="DK86" s="34" t="str">
        <f t="shared" si="169"/>
        <v>-</v>
      </c>
      <c r="DL86" s="34" t="str">
        <f t="shared" si="169"/>
        <v>-</v>
      </c>
      <c r="DM86" s="34" t="str">
        <f t="shared" si="169"/>
        <v>-</v>
      </c>
      <c r="DN86" s="34" t="str">
        <f t="shared" si="169"/>
        <v>-</v>
      </c>
      <c r="DO86" s="34" t="str">
        <f t="shared" si="169"/>
        <v>-</v>
      </c>
      <c r="DP86" s="34" t="str">
        <f t="shared" si="169"/>
        <v>-</v>
      </c>
      <c r="DQ86" s="34" t="str">
        <f t="shared" si="169"/>
        <v>-</v>
      </c>
      <c r="DR86" s="55" t="str">
        <f t="shared" si="169"/>
        <v>-</v>
      </c>
    </row>
    <row r="87" spans="1:122">
      <c r="A87" s="96" t="s">
        <v>112</v>
      </c>
      <c r="B87" s="96"/>
      <c r="C87" s="62" t="s">
        <v>113</v>
      </c>
      <c r="D87" s="62" t="s">
        <v>16</v>
      </c>
      <c r="E87" s="62" t="s">
        <v>16</v>
      </c>
      <c r="F87" s="62" t="s">
        <v>16</v>
      </c>
      <c r="G87" s="62" t="s">
        <v>17</v>
      </c>
      <c r="H87" s="105">
        <v>485</v>
      </c>
      <c r="I87" s="99">
        <v>275</v>
      </c>
      <c r="J87" s="62" t="s">
        <v>18</v>
      </c>
      <c r="K87" s="100" t="s">
        <v>16</v>
      </c>
      <c r="L87" s="101">
        <v>138</v>
      </c>
      <c r="M87" s="101"/>
      <c r="N87" s="101">
        <v>138</v>
      </c>
      <c r="O87" s="101">
        <v>138</v>
      </c>
      <c r="P87" s="101">
        <v>138</v>
      </c>
      <c r="Q87" s="101">
        <v>138</v>
      </c>
      <c r="R87" s="101" t="s">
        <v>16</v>
      </c>
      <c r="S87" s="101">
        <v>138</v>
      </c>
      <c r="T87" s="101" t="s">
        <v>16</v>
      </c>
      <c r="U87" s="101">
        <v>138</v>
      </c>
      <c r="V87" s="101" t="s">
        <v>16</v>
      </c>
      <c r="W87" s="101">
        <v>138</v>
      </c>
      <c r="X87" s="101">
        <v>138</v>
      </c>
      <c r="Y87" s="101">
        <v>135</v>
      </c>
      <c r="Z87" s="101">
        <v>123</v>
      </c>
      <c r="AA87" s="101" t="s">
        <v>16</v>
      </c>
      <c r="AB87" s="101" t="s">
        <v>16</v>
      </c>
      <c r="AC87" s="101" t="s">
        <v>16</v>
      </c>
      <c r="AD87" s="101" t="s">
        <v>16</v>
      </c>
      <c r="AE87" s="102" t="s">
        <v>16</v>
      </c>
      <c r="AF87" s="102" t="s">
        <v>16</v>
      </c>
      <c r="AG87" s="102" t="s">
        <v>16</v>
      </c>
      <c r="AH87" s="102" t="s">
        <v>16</v>
      </c>
      <c r="AI87" s="102" t="s">
        <v>16</v>
      </c>
      <c r="AJ87" s="102" t="s">
        <v>16</v>
      </c>
      <c r="AK87" s="102" t="s">
        <v>16</v>
      </c>
      <c r="AL87" s="102" t="s">
        <v>16</v>
      </c>
      <c r="AM87" s="102" t="s">
        <v>16</v>
      </c>
      <c r="AN87" s="102" t="s">
        <v>16</v>
      </c>
      <c r="AO87" s="102" t="s">
        <v>16</v>
      </c>
      <c r="AP87" s="102" t="s">
        <v>16</v>
      </c>
      <c r="AQ87" s="102" t="s">
        <v>16</v>
      </c>
      <c r="AR87" s="102" t="s">
        <v>16</v>
      </c>
      <c r="AS87" s="102" t="s">
        <v>16</v>
      </c>
      <c r="AT87" s="102" t="s">
        <v>16</v>
      </c>
      <c r="AU87" s="103" t="s">
        <v>16</v>
      </c>
      <c r="AV87" s="78" t="s">
        <v>18</v>
      </c>
      <c r="AW87" s="59">
        <v>483</v>
      </c>
      <c r="AX87" s="54">
        <v>483</v>
      </c>
      <c r="AY87" s="54">
        <v>483</v>
      </c>
      <c r="AZ87" s="54">
        <v>483</v>
      </c>
      <c r="BA87" s="54">
        <v>483</v>
      </c>
      <c r="BB87" s="54">
        <v>483</v>
      </c>
      <c r="BC87" s="54">
        <v>483</v>
      </c>
      <c r="BD87" s="54">
        <v>483</v>
      </c>
      <c r="BE87" s="54">
        <v>483</v>
      </c>
      <c r="BF87" s="54">
        <v>483</v>
      </c>
      <c r="BG87" s="54">
        <v>483</v>
      </c>
      <c r="BH87" s="54">
        <v>483</v>
      </c>
      <c r="BI87" s="54">
        <v>483</v>
      </c>
      <c r="BJ87" s="54">
        <v>483</v>
      </c>
      <c r="BK87" s="54">
        <v>483</v>
      </c>
      <c r="BL87" s="54">
        <v>483</v>
      </c>
      <c r="BM87" s="54">
        <v>476</v>
      </c>
      <c r="BN87" s="54">
        <v>446</v>
      </c>
      <c r="BO87" s="54">
        <v>411</v>
      </c>
      <c r="BP87" s="54">
        <v>372</v>
      </c>
      <c r="BQ87" s="34">
        <v>332</v>
      </c>
      <c r="BR87" s="34">
        <v>296</v>
      </c>
      <c r="BS87" s="34" t="s">
        <v>16</v>
      </c>
      <c r="BT87" s="34" t="s">
        <v>16</v>
      </c>
      <c r="BU87" s="34" t="s">
        <v>16</v>
      </c>
      <c r="BV87" s="34" t="s">
        <v>16</v>
      </c>
      <c r="BW87" s="34" t="s">
        <v>16</v>
      </c>
      <c r="BX87" s="34" t="s">
        <v>16</v>
      </c>
      <c r="BY87" s="34" t="s">
        <v>16</v>
      </c>
      <c r="BZ87" s="34" t="s">
        <v>16</v>
      </c>
      <c r="CA87" s="34" t="s">
        <v>16</v>
      </c>
      <c r="CB87" s="34" t="s">
        <v>16</v>
      </c>
      <c r="CC87" s="34" t="s">
        <v>16</v>
      </c>
      <c r="CD87" s="34" t="s">
        <v>16</v>
      </c>
      <c r="CE87" s="34" t="s">
        <v>16</v>
      </c>
      <c r="CF87" s="34" t="s">
        <v>16</v>
      </c>
      <c r="CG87" s="44" t="s">
        <v>16</v>
      </c>
      <c r="CH87" s="59">
        <v>276</v>
      </c>
      <c r="CI87" s="54">
        <v>276</v>
      </c>
      <c r="CJ87" s="54" t="s">
        <v>16</v>
      </c>
      <c r="CK87" s="54">
        <v>259</v>
      </c>
      <c r="CL87" s="54">
        <v>251</v>
      </c>
      <c r="CM87" s="54">
        <v>248</v>
      </c>
      <c r="CN87" s="54">
        <v>244</v>
      </c>
      <c r="CO87" s="54">
        <v>240</v>
      </c>
      <c r="CP87" s="54">
        <v>237</v>
      </c>
      <c r="CQ87" s="54">
        <v>232</v>
      </c>
      <c r="CR87" s="54">
        <v>227</v>
      </c>
      <c r="CS87" s="54">
        <v>221</v>
      </c>
      <c r="CT87" s="54">
        <v>216</v>
      </c>
      <c r="CU87" s="54">
        <v>209</v>
      </c>
      <c r="CV87" s="54">
        <v>202</v>
      </c>
      <c r="CW87" s="54">
        <v>196</v>
      </c>
      <c r="CX87" s="54">
        <v>191</v>
      </c>
      <c r="CY87" s="54">
        <v>185</v>
      </c>
      <c r="CZ87" s="54">
        <v>180</v>
      </c>
      <c r="DA87" s="54">
        <v>176</v>
      </c>
      <c r="DB87" s="34">
        <v>171</v>
      </c>
      <c r="DC87" s="34">
        <v>167</v>
      </c>
      <c r="DD87" s="34" t="s">
        <v>16</v>
      </c>
      <c r="DE87" s="34" t="s">
        <v>16</v>
      </c>
      <c r="DF87" s="34" t="s">
        <v>16</v>
      </c>
      <c r="DG87" s="34" t="s">
        <v>16</v>
      </c>
      <c r="DH87" s="34" t="s">
        <v>16</v>
      </c>
      <c r="DI87" s="34" t="s">
        <v>16</v>
      </c>
      <c r="DJ87" s="34" t="s">
        <v>16</v>
      </c>
      <c r="DK87" s="34" t="s">
        <v>16</v>
      </c>
      <c r="DL87" s="34" t="s">
        <v>16</v>
      </c>
      <c r="DM87" s="34" t="s">
        <v>16</v>
      </c>
      <c r="DN87" s="34" t="s">
        <v>16</v>
      </c>
      <c r="DO87" s="34" t="s">
        <v>16</v>
      </c>
      <c r="DP87" s="34" t="s">
        <v>16</v>
      </c>
      <c r="DQ87" s="34" t="s">
        <v>16</v>
      </c>
      <c r="DR87" s="55" t="s">
        <v>16</v>
      </c>
    </row>
    <row r="88" spans="1:122">
      <c r="A88" s="56" t="s">
        <v>114</v>
      </c>
      <c r="B88" s="56"/>
      <c r="C88" s="53" t="s">
        <v>113</v>
      </c>
      <c r="D88" s="53" t="s">
        <v>16</v>
      </c>
      <c r="E88" s="53" t="s">
        <v>16</v>
      </c>
      <c r="F88" s="53" t="s">
        <v>115</v>
      </c>
      <c r="G88" s="53" t="s">
        <v>17</v>
      </c>
      <c r="H88" s="72">
        <v>755</v>
      </c>
      <c r="I88" s="48">
        <v>550</v>
      </c>
      <c r="J88" s="82" t="s">
        <v>63</v>
      </c>
      <c r="K88" s="59" t="s">
        <v>16</v>
      </c>
      <c r="L88" s="54">
        <v>108</v>
      </c>
      <c r="M88" s="54" t="s">
        <v>16</v>
      </c>
      <c r="N88" s="54" t="s">
        <v>16</v>
      </c>
      <c r="O88" s="54">
        <v>108</v>
      </c>
      <c r="P88" s="54">
        <v>108</v>
      </c>
      <c r="Q88" s="54">
        <v>108</v>
      </c>
      <c r="R88" s="54">
        <v>108</v>
      </c>
      <c r="S88" s="54">
        <v>108</v>
      </c>
      <c r="T88" s="54">
        <v>108</v>
      </c>
      <c r="U88" s="54">
        <v>107</v>
      </c>
      <c r="V88" s="54">
        <v>105</v>
      </c>
      <c r="W88" s="54">
        <v>104</v>
      </c>
      <c r="X88" s="54">
        <v>102</v>
      </c>
      <c r="Y88" s="54">
        <v>100</v>
      </c>
      <c r="Z88" s="54" t="s">
        <v>16</v>
      </c>
      <c r="AA88" s="54" t="s">
        <v>16</v>
      </c>
      <c r="AB88" s="54" t="s">
        <v>16</v>
      </c>
      <c r="AC88" s="54" t="s">
        <v>16</v>
      </c>
      <c r="AD88" s="54" t="s">
        <v>16</v>
      </c>
      <c r="AE88" s="54" t="s">
        <v>16</v>
      </c>
      <c r="AF88" s="54" t="s">
        <v>16</v>
      </c>
      <c r="AG88" s="54" t="s">
        <v>16</v>
      </c>
      <c r="AH88" s="54" t="s">
        <v>16</v>
      </c>
      <c r="AI88" s="54" t="s">
        <v>16</v>
      </c>
      <c r="AJ88" s="54" t="s">
        <v>16</v>
      </c>
      <c r="AK88" s="54" t="s">
        <v>16</v>
      </c>
      <c r="AL88" s="54" t="s">
        <v>16</v>
      </c>
      <c r="AM88" s="54" t="s">
        <v>16</v>
      </c>
      <c r="AN88" s="54" t="s">
        <v>16</v>
      </c>
      <c r="AO88" s="54" t="s">
        <v>16</v>
      </c>
      <c r="AP88" s="54" t="s">
        <v>16</v>
      </c>
      <c r="AQ88" s="54" t="s">
        <v>16</v>
      </c>
      <c r="AR88" s="54" t="s">
        <v>16</v>
      </c>
      <c r="AS88" s="54" t="s">
        <v>16</v>
      </c>
      <c r="AT88" s="54" t="s">
        <v>16</v>
      </c>
      <c r="AU88" s="64" t="s">
        <v>16</v>
      </c>
      <c r="AV88" s="141" t="s">
        <v>63</v>
      </c>
      <c r="AW88" s="59" t="s">
        <v>16</v>
      </c>
      <c r="AX88" s="54" t="s">
        <v>16</v>
      </c>
      <c r="AY88" s="54" t="s">
        <v>16</v>
      </c>
      <c r="AZ88" s="54" t="s">
        <v>16</v>
      </c>
      <c r="BA88" s="54" t="s">
        <v>16</v>
      </c>
      <c r="BB88" s="54" t="s">
        <v>16</v>
      </c>
      <c r="BC88" s="54" t="s">
        <v>16</v>
      </c>
      <c r="BD88" s="54" t="s">
        <v>16</v>
      </c>
      <c r="BE88" s="54" t="s">
        <v>16</v>
      </c>
      <c r="BF88" s="54" t="s">
        <v>16</v>
      </c>
      <c r="BG88" s="54" t="s">
        <v>16</v>
      </c>
      <c r="BH88" s="54" t="s">
        <v>16</v>
      </c>
      <c r="BI88" s="54" t="s">
        <v>16</v>
      </c>
      <c r="BJ88" s="54" t="s">
        <v>16</v>
      </c>
      <c r="BK88" s="54" t="s">
        <v>16</v>
      </c>
      <c r="BL88" s="54" t="s">
        <v>16</v>
      </c>
      <c r="BM88" s="54" t="s">
        <v>16</v>
      </c>
      <c r="BN88" s="54" t="s">
        <v>16</v>
      </c>
      <c r="BO88" s="54" t="s">
        <v>16</v>
      </c>
      <c r="BP88" s="54" t="s">
        <v>16</v>
      </c>
      <c r="BQ88" s="54" t="s">
        <v>16</v>
      </c>
      <c r="BR88" s="54" t="s">
        <v>16</v>
      </c>
      <c r="BS88" s="54" t="s">
        <v>16</v>
      </c>
      <c r="BT88" s="54" t="s">
        <v>16</v>
      </c>
      <c r="BU88" s="54" t="s">
        <v>16</v>
      </c>
      <c r="BV88" s="54" t="s">
        <v>16</v>
      </c>
      <c r="BW88" s="54" t="s">
        <v>16</v>
      </c>
      <c r="BX88" s="54" t="s">
        <v>16</v>
      </c>
      <c r="BY88" s="54" t="s">
        <v>16</v>
      </c>
      <c r="BZ88" s="54" t="s">
        <v>16</v>
      </c>
      <c r="CA88" s="54" t="s">
        <v>16</v>
      </c>
      <c r="CB88" s="54" t="s">
        <v>16</v>
      </c>
      <c r="CC88" s="54" t="s">
        <v>16</v>
      </c>
      <c r="CD88" s="54" t="s">
        <v>16</v>
      </c>
      <c r="CE88" s="54" t="s">
        <v>16</v>
      </c>
      <c r="CF88" s="54" t="s">
        <v>16</v>
      </c>
      <c r="CG88" s="139" t="s">
        <v>16</v>
      </c>
      <c r="CH88" s="59">
        <v>550</v>
      </c>
      <c r="CI88" s="54">
        <v>550</v>
      </c>
      <c r="CJ88" s="54" t="s">
        <v>16</v>
      </c>
      <c r="CK88" s="54">
        <v>527</v>
      </c>
      <c r="CL88" s="54">
        <v>517</v>
      </c>
      <c r="CM88" s="54">
        <v>509</v>
      </c>
      <c r="CN88" s="54">
        <v>503</v>
      </c>
      <c r="CO88" s="54">
        <v>498</v>
      </c>
      <c r="CP88" s="54">
        <v>493</v>
      </c>
      <c r="CQ88" s="54">
        <v>489</v>
      </c>
      <c r="CR88" s="54">
        <v>486</v>
      </c>
      <c r="CS88" s="54">
        <v>483</v>
      </c>
      <c r="CT88" s="54">
        <v>479</v>
      </c>
      <c r="CU88" s="54">
        <v>474</v>
      </c>
      <c r="CV88" s="54">
        <v>468</v>
      </c>
      <c r="CW88" s="54">
        <v>461</v>
      </c>
      <c r="CX88" s="54">
        <v>450</v>
      </c>
      <c r="CY88" s="54">
        <v>438</v>
      </c>
      <c r="CZ88" s="54" t="s">
        <v>16</v>
      </c>
      <c r="DA88" s="54" t="s">
        <v>16</v>
      </c>
      <c r="DB88" s="54" t="s">
        <v>16</v>
      </c>
      <c r="DC88" s="54" t="s">
        <v>16</v>
      </c>
      <c r="DD88" s="54" t="s">
        <v>16</v>
      </c>
      <c r="DE88" s="54" t="s">
        <v>16</v>
      </c>
      <c r="DF88" s="54" t="s">
        <v>16</v>
      </c>
      <c r="DG88" s="54" t="s">
        <v>16</v>
      </c>
      <c r="DH88" s="54" t="s">
        <v>16</v>
      </c>
      <c r="DI88" s="54" t="s">
        <v>16</v>
      </c>
      <c r="DJ88" s="54" t="s">
        <v>16</v>
      </c>
      <c r="DK88" s="54" t="s">
        <v>16</v>
      </c>
      <c r="DL88" s="54" t="s">
        <v>16</v>
      </c>
      <c r="DM88" s="54" t="s">
        <v>16</v>
      </c>
      <c r="DN88" s="54" t="s">
        <v>16</v>
      </c>
      <c r="DO88" s="54" t="s">
        <v>16</v>
      </c>
      <c r="DP88" s="54" t="s">
        <v>16</v>
      </c>
      <c r="DQ88" s="54" t="s">
        <v>16</v>
      </c>
      <c r="DR88" s="64" t="s">
        <v>16</v>
      </c>
    </row>
    <row r="89" spans="1:122">
      <c r="A89" s="56" t="s">
        <v>116</v>
      </c>
      <c r="B89" s="56"/>
      <c r="C89" s="53" t="str">
        <f>C88</f>
        <v>casting</v>
      </c>
      <c r="D89" s="53" t="str">
        <f>D88</f>
        <v>-</v>
      </c>
      <c r="E89" s="53" t="str">
        <f>E88</f>
        <v>-</v>
      </c>
      <c r="F89" s="53" t="s">
        <v>117</v>
      </c>
      <c r="G89" s="53" t="str">
        <f t="shared" ref="G89:M89" si="172">G88</f>
        <v>ASTM</v>
      </c>
      <c r="H89" s="72">
        <f t="shared" si="172"/>
        <v>755</v>
      </c>
      <c r="I89" s="48">
        <f t="shared" si="172"/>
        <v>550</v>
      </c>
      <c r="J89" s="82" t="str">
        <f t="shared" si="172"/>
        <v>JIS</v>
      </c>
      <c r="K89" s="59" t="str">
        <f t="shared" si="172"/>
        <v>-</v>
      </c>
      <c r="L89" s="54">
        <f t="shared" si="172"/>
        <v>108</v>
      </c>
      <c r="M89" s="54" t="str">
        <f t="shared" si="172"/>
        <v>-</v>
      </c>
      <c r="N89" s="54" t="str">
        <f t="shared" ref="N89:AU89" si="173">N88</f>
        <v>-</v>
      </c>
      <c r="O89" s="54">
        <f t="shared" si="173"/>
        <v>108</v>
      </c>
      <c r="P89" s="54">
        <f t="shared" si="173"/>
        <v>108</v>
      </c>
      <c r="Q89" s="54">
        <f t="shared" si="173"/>
        <v>108</v>
      </c>
      <c r="R89" s="54">
        <f t="shared" si="173"/>
        <v>108</v>
      </c>
      <c r="S89" s="54">
        <f t="shared" si="173"/>
        <v>108</v>
      </c>
      <c r="T89" s="54">
        <f t="shared" si="173"/>
        <v>108</v>
      </c>
      <c r="U89" s="54">
        <f t="shared" si="173"/>
        <v>107</v>
      </c>
      <c r="V89" s="54">
        <f t="shared" si="173"/>
        <v>105</v>
      </c>
      <c r="W89" s="54">
        <f t="shared" si="173"/>
        <v>104</v>
      </c>
      <c r="X89" s="54">
        <f t="shared" si="173"/>
        <v>102</v>
      </c>
      <c r="Y89" s="54">
        <f t="shared" si="173"/>
        <v>100</v>
      </c>
      <c r="Z89" s="54" t="str">
        <f t="shared" si="173"/>
        <v>-</v>
      </c>
      <c r="AA89" s="54" t="str">
        <f t="shared" si="173"/>
        <v>-</v>
      </c>
      <c r="AB89" s="54" t="str">
        <f t="shared" si="173"/>
        <v>-</v>
      </c>
      <c r="AC89" s="54" t="str">
        <f t="shared" si="173"/>
        <v>-</v>
      </c>
      <c r="AD89" s="54" t="str">
        <f t="shared" si="173"/>
        <v>-</v>
      </c>
      <c r="AE89" s="54" t="str">
        <f t="shared" si="173"/>
        <v>-</v>
      </c>
      <c r="AF89" s="54" t="str">
        <f t="shared" si="173"/>
        <v>-</v>
      </c>
      <c r="AG89" s="54" t="str">
        <f t="shared" si="173"/>
        <v>-</v>
      </c>
      <c r="AH89" s="54" t="str">
        <f t="shared" si="173"/>
        <v>-</v>
      </c>
      <c r="AI89" s="54" t="str">
        <f t="shared" si="173"/>
        <v>-</v>
      </c>
      <c r="AJ89" s="54" t="str">
        <f t="shared" si="173"/>
        <v>-</v>
      </c>
      <c r="AK89" s="54" t="str">
        <f t="shared" si="173"/>
        <v>-</v>
      </c>
      <c r="AL89" s="54" t="str">
        <f t="shared" si="173"/>
        <v>-</v>
      </c>
      <c r="AM89" s="54" t="str">
        <f t="shared" si="173"/>
        <v>-</v>
      </c>
      <c r="AN89" s="54" t="str">
        <f t="shared" si="173"/>
        <v>-</v>
      </c>
      <c r="AO89" s="54" t="str">
        <f t="shared" si="173"/>
        <v>-</v>
      </c>
      <c r="AP89" s="54" t="str">
        <f t="shared" si="173"/>
        <v>-</v>
      </c>
      <c r="AQ89" s="54" t="str">
        <f t="shared" si="173"/>
        <v>-</v>
      </c>
      <c r="AR89" s="54" t="str">
        <f t="shared" si="173"/>
        <v>-</v>
      </c>
      <c r="AS89" s="54" t="str">
        <f t="shared" si="173"/>
        <v>-</v>
      </c>
      <c r="AT89" s="54" t="str">
        <f t="shared" si="173"/>
        <v>-</v>
      </c>
      <c r="AU89" s="64" t="str">
        <f t="shared" si="173"/>
        <v>-</v>
      </c>
      <c r="AV89" s="141" t="str">
        <f>AV88</f>
        <v>JIS</v>
      </c>
      <c r="AW89" s="59" t="str">
        <f>AW88</f>
        <v>-</v>
      </c>
      <c r="AX89" s="54" t="str">
        <f>AX88</f>
        <v>-</v>
      </c>
      <c r="AY89" s="54" t="str">
        <f t="shared" ref="AY89:CF89" si="174">AY88</f>
        <v>-</v>
      </c>
      <c r="AZ89" s="54" t="str">
        <f t="shared" si="174"/>
        <v>-</v>
      </c>
      <c r="BA89" s="54" t="str">
        <f t="shared" si="174"/>
        <v>-</v>
      </c>
      <c r="BB89" s="54" t="str">
        <f t="shared" si="174"/>
        <v>-</v>
      </c>
      <c r="BC89" s="54" t="str">
        <f t="shared" si="174"/>
        <v>-</v>
      </c>
      <c r="BD89" s="54" t="str">
        <f t="shared" si="174"/>
        <v>-</v>
      </c>
      <c r="BE89" s="54" t="str">
        <f t="shared" si="174"/>
        <v>-</v>
      </c>
      <c r="BF89" s="54" t="str">
        <f t="shared" si="174"/>
        <v>-</v>
      </c>
      <c r="BG89" s="54" t="str">
        <f t="shared" si="174"/>
        <v>-</v>
      </c>
      <c r="BH89" s="54" t="str">
        <f t="shared" si="174"/>
        <v>-</v>
      </c>
      <c r="BI89" s="54" t="str">
        <f t="shared" si="174"/>
        <v>-</v>
      </c>
      <c r="BJ89" s="54" t="str">
        <f t="shared" si="174"/>
        <v>-</v>
      </c>
      <c r="BK89" s="54" t="str">
        <f t="shared" si="174"/>
        <v>-</v>
      </c>
      <c r="BL89" s="54" t="str">
        <f t="shared" si="174"/>
        <v>-</v>
      </c>
      <c r="BM89" s="54" t="str">
        <f t="shared" si="174"/>
        <v>-</v>
      </c>
      <c r="BN89" s="54" t="str">
        <f t="shared" si="174"/>
        <v>-</v>
      </c>
      <c r="BO89" s="54" t="str">
        <f t="shared" si="174"/>
        <v>-</v>
      </c>
      <c r="BP89" s="54" t="str">
        <f t="shared" si="174"/>
        <v>-</v>
      </c>
      <c r="BQ89" s="54" t="str">
        <f t="shared" si="174"/>
        <v>-</v>
      </c>
      <c r="BR89" s="54" t="str">
        <f t="shared" si="174"/>
        <v>-</v>
      </c>
      <c r="BS89" s="54" t="str">
        <f t="shared" si="174"/>
        <v>-</v>
      </c>
      <c r="BT89" s="54" t="str">
        <f t="shared" si="174"/>
        <v>-</v>
      </c>
      <c r="BU89" s="54" t="str">
        <f t="shared" si="174"/>
        <v>-</v>
      </c>
      <c r="BV89" s="54" t="str">
        <f t="shared" si="174"/>
        <v>-</v>
      </c>
      <c r="BW89" s="54" t="str">
        <f t="shared" si="174"/>
        <v>-</v>
      </c>
      <c r="BX89" s="54" t="str">
        <f t="shared" si="174"/>
        <v>-</v>
      </c>
      <c r="BY89" s="54" t="str">
        <f t="shared" si="174"/>
        <v>-</v>
      </c>
      <c r="BZ89" s="54" t="str">
        <f t="shared" si="174"/>
        <v>-</v>
      </c>
      <c r="CA89" s="54" t="str">
        <f t="shared" si="174"/>
        <v>-</v>
      </c>
      <c r="CB89" s="54" t="str">
        <f t="shared" si="174"/>
        <v>-</v>
      </c>
      <c r="CC89" s="54" t="str">
        <f t="shared" si="174"/>
        <v>-</v>
      </c>
      <c r="CD89" s="54" t="str">
        <f t="shared" si="174"/>
        <v>-</v>
      </c>
      <c r="CE89" s="54" t="str">
        <f t="shared" si="174"/>
        <v>-</v>
      </c>
      <c r="CF89" s="54" t="str">
        <f t="shared" si="174"/>
        <v>-</v>
      </c>
      <c r="CG89" s="139" t="str">
        <f>CG88</f>
        <v>-</v>
      </c>
      <c r="CH89" s="59">
        <f>CH88</f>
        <v>550</v>
      </c>
      <c r="CI89" s="54">
        <f>CI88</f>
        <v>550</v>
      </c>
      <c r="CJ89" s="54" t="str">
        <f t="shared" ref="CJ89:DR89" si="175">CJ88</f>
        <v>-</v>
      </c>
      <c r="CK89" s="54">
        <f t="shared" si="175"/>
        <v>527</v>
      </c>
      <c r="CL89" s="54">
        <f t="shared" si="175"/>
        <v>517</v>
      </c>
      <c r="CM89" s="54">
        <f t="shared" si="175"/>
        <v>509</v>
      </c>
      <c r="CN89" s="54">
        <f t="shared" si="175"/>
        <v>503</v>
      </c>
      <c r="CO89" s="54">
        <f t="shared" si="175"/>
        <v>498</v>
      </c>
      <c r="CP89" s="54">
        <f t="shared" si="175"/>
        <v>493</v>
      </c>
      <c r="CQ89" s="54">
        <f t="shared" si="175"/>
        <v>489</v>
      </c>
      <c r="CR89" s="54">
        <f t="shared" si="175"/>
        <v>486</v>
      </c>
      <c r="CS89" s="54">
        <f t="shared" si="175"/>
        <v>483</v>
      </c>
      <c r="CT89" s="54">
        <f t="shared" si="175"/>
        <v>479</v>
      </c>
      <c r="CU89" s="54">
        <f t="shared" si="175"/>
        <v>474</v>
      </c>
      <c r="CV89" s="54">
        <f t="shared" si="175"/>
        <v>468</v>
      </c>
      <c r="CW89" s="54">
        <f t="shared" si="175"/>
        <v>461</v>
      </c>
      <c r="CX89" s="54">
        <f t="shared" si="175"/>
        <v>450</v>
      </c>
      <c r="CY89" s="54">
        <f t="shared" si="175"/>
        <v>438</v>
      </c>
      <c r="CZ89" s="54" t="str">
        <f t="shared" si="175"/>
        <v>-</v>
      </c>
      <c r="DA89" s="54" t="str">
        <f t="shared" si="175"/>
        <v>-</v>
      </c>
      <c r="DB89" s="54" t="str">
        <f t="shared" si="175"/>
        <v>-</v>
      </c>
      <c r="DC89" s="54" t="str">
        <f t="shared" si="175"/>
        <v>-</v>
      </c>
      <c r="DD89" s="54" t="str">
        <f t="shared" si="175"/>
        <v>-</v>
      </c>
      <c r="DE89" s="54" t="str">
        <f t="shared" si="175"/>
        <v>-</v>
      </c>
      <c r="DF89" s="54" t="str">
        <f t="shared" si="175"/>
        <v>-</v>
      </c>
      <c r="DG89" s="54" t="str">
        <f t="shared" si="175"/>
        <v>-</v>
      </c>
      <c r="DH89" s="54" t="str">
        <f t="shared" si="175"/>
        <v>-</v>
      </c>
      <c r="DI89" s="54" t="str">
        <f t="shared" si="175"/>
        <v>-</v>
      </c>
      <c r="DJ89" s="54" t="str">
        <f t="shared" si="175"/>
        <v>-</v>
      </c>
      <c r="DK89" s="54" t="str">
        <f t="shared" si="175"/>
        <v>-</v>
      </c>
      <c r="DL89" s="54" t="str">
        <f t="shared" si="175"/>
        <v>-</v>
      </c>
      <c r="DM89" s="54" t="str">
        <f t="shared" si="175"/>
        <v>-</v>
      </c>
      <c r="DN89" s="54" t="str">
        <f t="shared" si="175"/>
        <v>-</v>
      </c>
      <c r="DO89" s="54" t="str">
        <f t="shared" si="175"/>
        <v>-</v>
      </c>
      <c r="DP89" s="54" t="str">
        <f t="shared" si="175"/>
        <v>-</v>
      </c>
      <c r="DQ89" s="54" t="str">
        <f t="shared" si="175"/>
        <v>-</v>
      </c>
      <c r="DR89" s="64" t="str">
        <f t="shared" si="175"/>
        <v>-</v>
      </c>
    </row>
    <row r="90" spans="1:122">
      <c r="A90" s="56" t="s">
        <v>118</v>
      </c>
      <c r="B90" s="56"/>
      <c r="C90" s="53" t="s">
        <v>113</v>
      </c>
      <c r="D90" s="53" t="s">
        <v>16</v>
      </c>
      <c r="E90" s="53" t="s">
        <v>16</v>
      </c>
      <c r="F90" s="53" t="s">
        <v>119</v>
      </c>
      <c r="G90" s="53" t="s">
        <v>17</v>
      </c>
      <c r="H90" s="72">
        <v>485</v>
      </c>
      <c r="I90" s="48">
        <v>205</v>
      </c>
      <c r="J90" s="82" t="s">
        <v>63</v>
      </c>
      <c r="K90" s="59" t="s">
        <v>16</v>
      </c>
      <c r="L90" s="54">
        <v>97</v>
      </c>
      <c r="M90" s="54">
        <v>97</v>
      </c>
      <c r="N90" s="54">
        <v>97</v>
      </c>
      <c r="O90" s="54">
        <v>95</v>
      </c>
      <c r="P90" s="54">
        <v>90</v>
      </c>
      <c r="Q90" s="54">
        <v>86</v>
      </c>
      <c r="R90" s="54">
        <v>82</v>
      </c>
      <c r="S90" s="54">
        <v>79</v>
      </c>
      <c r="T90" s="54">
        <v>77</v>
      </c>
      <c r="U90" s="54">
        <v>74</v>
      </c>
      <c r="V90" s="54">
        <v>72</v>
      </c>
      <c r="W90" s="54">
        <v>70</v>
      </c>
      <c r="X90" s="54">
        <v>69</v>
      </c>
      <c r="Y90" s="54">
        <v>67</v>
      </c>
      <c r="Z90" s="54">
        <v>66</v>
      </c>
      <c r="AA90" s="54">
        <v>66</v>
      </c>
      <c r="AB90" s="54">
        <v>65</v>
      </c>
      <c r="AC90" s="54">
        <v>64</v>
      </c>
      <c r="AD90" s="54" t="s">
        <v>16</v>
      </c>
      <c r="AE90" s="54" t="s">
        <v>16</v>
      </c>
      <c r="AF90" s="54" t="s">
        <v>16</v>
      </c>
      <c r="AG90" s="54" t="s">
        <v>16</v>
      </c>
      <c r="AH90" s="54" t="s">
        <v>16</v>
      </c>
      <c r="AI90" s="54" t="s">
        <v>16</v>
      </c>
      <c r="AJ90" s="54" t="s">
        <v>16</v>
      </c>
      <c r="AK90" s="54" t="s">
        <v>16</v>
      </c>
      <c r="AL90" s="54" t="s">
        <v>16</v>
      </c>
      <c r="AM90" s="54" t="s">
        <v>16</v>
      </c>
      <c r="AN90" s="54" t="s">
        <v>16</v>
      </c>
      <c r="AO90" s="54" t="s">
        <v>16</v>
      </c>
      <c r="AP90" s="54" t="s">
        <v>16</v>
      </c>
      <c r="AQ90" s="54" t="s">
        <v>16</v>
      </c>
      <c r="AR90" s="54" t="s">
        <v>16</v>
      </c>
      <c r="AS90" s="54" t="s">
        <v>16</v>
      </c>
      <c r="AT90" s="54" t="s">
        <v>16</v>
      </c>
      <c r="AU90" s="64" t="s">
        <v>16</v>
      </c>
      <c r="AV90" s="48" t="s">
        <v>18</v>
      </c>
      <c r="AW90" s="59">
        <v>483</v>
      </c>
      <c r="AX90" s="54">
        <v>483</v>
      </c>
      <c r="AY90" s="54" t="s">
        <v>16</v>
      </c>
      <c r="AZ90" s="54" t="s">
        <v>16</v>
      </c>
      <c r="BA90" s="54">
        <v>482</v>
      </c>
      <c r="BB90" s="54" t="s">
        <v>16</v>
      </c>
      <c r="BC90" s="54">
        <v>469</v>
      </c>
      <c r="BD90" s="54" t="s">
        <v>16</v>
      </c>
      <c r="BE90" s="54">
        <v>463</v>
      </c>
      <c r="BF90" s="54">
        <v>463</v>
      </c>
      <c r="BG90" s="54">
        <v>463</v>
      </c>
      <c r="BH90" s="54">
        <v>463</v>
      </c>
      <c r="BI90" s="54">
        <v>463</v>
      </c>
      <c r="BJ90" s="54">
        <v>463</v>
      </c>
      <c r="BK90" s="54">
        <v>463</v>
      </c>
      <c r="BL90" s="54">
        <v>463</v>
      </c>
      <c r="BM90" s="54">
        <v>460</v>
      </c>
      <c r="BN90" s="54">
        <v>457</v>
      </c>
      <c r="BO90" s="54">
        <v>451</v>
      </c>
      <c r="BP90" s="54">
        <v>443</v>
      </c>
      <c r="BQ90" s="54">
        <v>434</v>
      </c>
      <c r="BR90" s="54">
        <v>422</v>
      </c>
      <c r="BS90" s="54" t="s">
        <v>16</v>
      </c>
      <c r="BT90" s="54" t="s">
        <v>16</v>
      </c>
      <c r="BU90" s="54" t="s">
        <v>16</v>
      </c>
      <c r="BV90" s="54" t="s">
        <v>16</v>
      </c>
      <c r="BW90" s="54" t="s">
        <v>16</v>
      </c>
      <c r="BX90" s="54" t="s">
        <v>16</v>
      </c>
      <c r="BY90" s="54" t="s">
        <v>16</v>
      </c>
      <c r="BZ90" s="54" t="s">
        <v>16</v>
      </c>
      <c r="CA90" s="54" t="s">
        <v>16</v>
      </c>
      <c r="CB90" s="54" t="s">
        <v>16</v>
      </c>
      <c r="CC90" s="54" t="s">
        <v>16</v>
      </c>
      <c r="CD90" s="54" t="s">
        <v>16</v>
      </c>
      <c r="CE90" s="54" t="s">
        <v>16</v>
      </c>
      <c r="CF90" s="54" t="s">
        <v>16</v>
      </c>
      <c r="CG90" s="139" t="s">
        <v>16</v>
      </c>
      <c r="CH90" s="59">
        <v>207</v>
      </c>
      <c r="CI90" s="54">
        <v>207</v>
      </c>
      <c r="CJ90" s="54" t="s">
        <v>16</v>
      </c>
      <c r="CK90" s="54">
        <v>189</v>
      </c>
      <c r="CL90" s="54">
        <v>176</v>
      </c>
      <c r="CM90" s="54">
        <v>168</v>
      </c>
      <c r="CN90" s="54">
        <v>160</v>
      </c>
      <c r="CO90" s="54">
        <v>154</v>
      </c>
      <c r="CP90" s="54">
        <v>148</v>
      </c>
      <c r="CQ90" s="54">
        <v>143</v>
      </c>
      <c r="CR90" s="54">
        <v>139</v>
      </c>
      <c r="CS90" s="54">
        <v>139</v>
      </c>
      <c r="CT90" s="54">
        <v>135</v>
      </c>
      <c r="CU90" s="54">
        <v>131</v>
      </c>
      <c r="CV90" s="54">
        <v>129</v>
      </c>
      <c r="CW90" s="54">
        <v>126</v>
      </c>
      <c r="CX90" s="54">
        <v>124</v>
      </c>
      <c r="CY90" s="54">
        <v>123</v>
      </c>
      <c r="CZ90" s="54">
        <v>121</v>
      </c>
      <c r="DA90" s="54">
        <v>120</v>
      </c>
      <c r="DB90" s="54">
        <v>119</v>
      </c>
      <c r="DC90" s="54">
        <v>118</v>
      </c>
      <c r="DD90" s="54">
        <v>117</v>
      </c>
      <c r="DE90" s="54" t="s">
        <v>16</v>
      </c>
      <c r="DF90" s="54" t="s">
        <v>16</v>
      </c>
      <c r="DG90" s="54" t="s">
        <v>16</v>
      </c>
      <c r="DH90" s="54" t="s">
        <v>16</v>
      </c>
      <c r="DI90" s="54" t="s">
        <v>16</v>
      </c>
      <c r="DJ90" s="54" t="s">
        <v>16</v>
      </c>
      <c r="DK90" s="54" t="s">
        <v>16</v>
      </c>
      <c r="DL90" s="54" t="s">
        <v>16</v>
      </c>
      <c r="DM90" s="54" t="s">
        <v>16</v>
      </c>
      <c r="DN90" s="54" t="s">
        <v>16</v>
      </c>
      <c r="DO90" s="54" t="s">
        <v>16</v>
      </c>
      <c r="DP90" s="54" t="s">
        <v>16</v>
      </c>
      <c r="DQ90" s="54" t="s">
        <v>16</v>
      </c>
      <c r="DR90" s="64" t="s">
        <v>16</v>
      </c>
    </row>
    <row r="91" spans="1:122">
      <c r="A91" s="56" t="s">
        <v>120</v>
      </c>
      <c r="B91" s="56"/>
      <c r="C91" s="53" t="str">
        <f>C90</f>
        <v>casting</v>
      </c>
      <c r="D91" s="53" t="str">
        <f>D90</f>
        <v>-</v>
      </c>
      <c r="E91" s="53" t="str">
        <f>E90</f>
        <v>-</v>
      </c>
      <c r="F91" s="53" t="s">
        <v>121</v>
      </c>
      <c r="G91" s="53" t="str">
        <f t="shared" ref="G91:M91" si="176">G90</f>
        <v>ASTM</v>
      </c>
      <c r="H91" s="72">
        <f t="shared" si="176"/>
        <v>485</v>
      </c>
      <c r="I91" s="48">
        <f t="shared" si="176"/>
        <v>205</v>
      </c>
      <c r="J91" s="82" t="str">
        <f t="shared" si="176"/>
        <v>JIS</v>
      </c>
      <c r="K91" s="59" t="str">
        <f t="shared" si="176"/>
        <v>-</v>
      </c>
      <c r="L91" s="54">
        <f t="shared" si="176"/>
        <v>97</v>
      </c>
      <c r="M91" s="54">
        <f t="shared" si="176"/>
        <v>97</v>
      </c>
      <c r="N91" s="54">
        <f t="shared" ref="N91:AU91" si="177">N90</f>
        <v>97</v>
      </c>
      <c r="O91" s="54">
        <f t="shared" si="177"/>
        <v>95</v>
      </c>
      <c r="P91" s="54">
        <f t="shared" si="177"/>
        <v>90</v>
      </c>
      <c r="Q91" s="54">
        <f t="shared" si="177"/>
        <v>86</v>
      </c>
      <c r="R91" s="54">
        <f t="shared" si="177"/>
        <v>82</v>
      </c>
      <c r="S91" s="54">
        <f t="shared" si="177"/>
        <v>79</v>
      </c>
      <c r="T91" s="54">
        <f t="shared" si="177"/>
        <v>77</v>
      </c>
      <c r="U91" s="54">
        <f t="shared" si="177"/>
        <v>74</v>
      </c>
      <c r="V91" s="54">
        <f t="shared" si="177"/>
        <v>72</v>
      </c>
      <c r="W91" s="54">
        <f t="shared" si="177"/>
        <v>70</v>
      </c>
      <c r="X91" s="54">
        <f t="shared" si="177"/>
        <v>69</v>
      </c>
      <c r="Y91" s="54">
        <f t="shared" si="177"/>
        <v>67</v>
      </c>
      <c r="Z91" s="54">
        <f t="shared" si="177"/>
        <v>66</v>
      </c>
      <c r="AA91" s="54">
        <f t="shared" si="177"/>
        <v>66</v>
      </c>
      <c r="AB91" s="54">
        <f t="shared" si="177"/>
        <v>65</v>
      </c>
      <c r="AC91" s="54">
        <f t="shared" si="177"/>
        <v>64</v>
      </c>
      <c r="AD91" s="54" t="str">
        <f t="shared" si="177"/>
        <v>-</v>
      </c>
      <c r="AE91" s="54" t="str">
        <f t="shared" si="177"/>
        <v>-</v>
      </c>
      <c r="AF91" s="54" t="str">
        <f t="shared" si="177"/>
        <v>-</v>
      </c>
      <c r="AG91" s="54" t="str">
        <f t="shared" si="177"/>
        <v>-</v>
      </c>
      <c r="AH91" s="54" t="str">
        <f t="shared" si="177"/>
        <v>-</v>
      </c>
      <c r="AI91" s="54" t="str">
        <f t="shared" si="177"/>
        <v>-</v>
      </c>
      <c r="AJ91" s="54" t="str">
        <f t="shared" si="177"/>
        <v>-</v>
      </c>
      <c r="AK91" s="54" t="str">
        <f t="shared" si="177"/>
        <v>-</v>
      </c>
      <c r="AL91" s="54" t="str">
        <f t="shared" si="177"/>
        <v>-</v>
      </c>
      <c r="AM91" s="54" t="str">
        <f t="shared" si="177"/>
        <v>-</v>
      </c>
      <c r="AN91" s="54" t="str">
        <f t="shared" si="177"/>
        <v>-</v>
      </c>
      <c r="AO91" s="54" t="str">
        <f t="shared" si="177"/>
        <v>-</v>
      </c>
      <c r="AP91" s="54" t="str">
        <f t="shared" si="177"/>
        <v>-</v>
      </c>
      <c r="AQ91" s="54" t="str">
        <f t="shared" si="177"/>
        <v>-</v>
      </c>
      <c r="AR91" s="54" t="str">
        <f t="shared" si="177"/>
        <v>-</v>
      </c>
      <c r="AS91" s="54" t="str">
        <f t="shared" si="177"/>
        <v>-</v>
      </c>
      <c r="AT91" s="54" t="str">
        <f t="shared" si="177"/>
        <v>-</v>
      </c>
      <c r="AU91" s="64" t="str">
        <f t="shared" si="177"/>
        <v>-</v>
      </c>
      <c r="AV91" s="48" t="str">
        <f>AV90</f>
        <v>ASME</v>
      </c>
      <c r="AW91" s="59">
        <f>AW90</f>
        <v>483</v>
      </c>
      <c r="AX91" s="54">
        <f>AX90</f>
        <v>483</v>
      </c>
      <c r="AY91" s="54" t="str">
        <f t="shared" ref="AY91:DJ91" si="178">AY90</f>
        <v>-</v>
      </c>
      <c r="AZ91" s="54" t="str">
        <f t="shared" si="178"/>
        <v>-</v>
      </c>
      <c r="BA91" s="54">
        <f t="shared" si="178"/>
        <v>482</v>
      </c>
      <c r="BB91" s="54" t="str">
        <f t="shared" si="178"/>
        <v>-</v>
      </c>
      <c r="BC91" s="54">
        <f t="shared" si="178"/>
        <v>469</v>
      </c>
      <c r="BD91" s="54" t="str">
        <f t="shared" si="178"/>
        <v>-</v>
      </c>
      <c r="BE91" s="54">
        <f t="shared" si="178"/>
        <v>463</v>
      </c>
      <c r="BF91" s="54">
        <f t="shared" si="178"/>
        <v>463</v>
      </c>
      <c r="BG91" s="54">
        <f t="shared" si="178"/>
        <v>463</v>
      </c>
      <c r="BH91" s="54">
        <f t="shared" si="178"/>
        <v>463</v>
      </c>
      <c r="BI91" s="54">
        <f t="shared" si="178"/>
        <v>463</v>
      </c>
      <c r="BJ91" s="54">
        <f t="shared" si="178"/>
        <v>463</v>
      </c>
      <c r="BK91" s="54">
        <f t="shared" si="178"/>
        <v>463</v>
      </c>
      <c r="BL91" s="54">
        <f t="shared" si="178"/>
        <v>463</v>
      </c>
      <c r="BM91" s="54">
        <f t="shared" si="178"/>
        <v>460</v>
      </c>
      <c r="BN91" s="54">
        <f t="shared" si="178"/>
        <v>457</v>
      </c>
      <c r="BO91" s="54">
        <f t="shared" si="178"/>
        <v>451</v>
      </c>
      <c r="BP91" s="54">
        <f t="shared" si="178"/>
        <v>443</v>
      </c>
      <c r="BQ91" s="54">
        <f t="shared" si="178"/>
        <v>434</v>
      </c>
      <c r="BR91" s="54">
        <f t="shared" si="178"/>
        <v>422</v>
      </c>
      <c r="BS91" s="54" t="str">
        <f t="shared" si="178"/>
        <v>-</v>
      </c>
      <c r="BT91" s="54" t="str">
        <f t="shared" si="178"/>
        <v>-</v>
      </c>
      <c r="BU91" s="54" t="str">
        <f t="shared" si="178"/>
        <v>-</v>
      </c>
      <c r="BV91" s="54" t="str">
        <f t="shared" si="178"/>
        <v>-</v>
      </c>
      <c r="BW91" s="54" t="str">
        <f t="shared" si="178"/>
        <v>-</v>
      </c>
      <c r="BX91" s="54" t="str">
        <f t="shared" si="178"/>
        <v>-</v>
      </c>
      <c r="BY91" s="54" t="str">
        <f t="shared" si="178"/>
        <v>-</v>
      </c>
      <c r="BZ91" s="54" t="str">
        <f t="shared" si="178"/>
        <v>-</v>
      </c>
      <c r="CA91" s="54" t="str">
        <f t="shared" si="178"/>
        <v>-</v>
      </c>
      <c r="CB91" s="54" t="str">
        <f t="shared" si="178"/>
        <v>-</v>
      </c>
      <c r="CC91" s="54" t="str">
        <f t="shared" si="178"/>
        <v>-</v>
      </c>
      <c r="CD91" s="54" t="str">
        <f t="shared" si="178"/>
        <v>-</v>
      </c>
      <c r="CE91" s="54" t="str">
        <f t="shared" si="178"/>
        <v>-</v>
      </c>
      <c r="CF91" s="54" t="str">
        <f t="shared" si="178"/>
        <v>-</v>
      </c>
      <c r="CG91" s="139" t="str">
        <f t="shared" si="178"/>
        <v>-</v>
      </c>
      <c r="CH91" s="59">
        <f t="shared" si="178"/>
        <v>207</v>
      </c>
      <c r="CI91" s="54">
        <f t="shared" si="178"/>
        <v>207</v>
      </c>
      <c r="CJ91" s="54" t="str">
        <f t="shared" si="178"/>
        <v>-</v>
      </c>
      <c r="CK91" s="54">
        <f t="shared" si="178"/>
        <v>189</v>
      </c>
      <c r="CL91" s="54">
        <f t="shared" si="178"/>
        <v>176</v>
      </c>
      <c r="CM91" s="54">
        <f t="shared" si="178"/>
        <v>168</v>
      </c>
      <c r="CN91" s="54">
        <f t="shared" si="178"/>
        <v>160</v>
      </c>
      <c r="CO91" s="54">
        <f t="shared" si="178"/>
        <v>154</v>
      </c>
      <c r="CP91" s="54">
        <f t="shared" si="178"/>
        <v>148</v>
      </c>
      <c r="CQ91" s="54">
        <f t="shared" si="178"/>
        <v>143</v>
      </c>
      <c r="CR91" s="54">
        <f t="shared" si="178"/>
        <v>139</v>
      </c>
      <c r="CS91" s="54">
        <f t="shared" si="178"/>
        <v>139</v>
      </c>
      <c r="CT91" s="54">
        <f t="shared" si="178"/>
        <v>135</v>
      </c>
      <c r="CU91" s="54">
        <f t="shared" si="178"/>
        <v>131</v>
      </c>
      <c r="CV91" s="54">
        <f t="shared" si="178"/>
        <v>129</v>
      </c>
      <c r="CW91" s="54">
        <f t="shared" si="178"/>
        <v>126</v>
      </c>
      <c r="CX91" s="54">
        <f t="shared" si="178"/>
        <v>124</v>
      </c>
      <c r="CY91" s="54">
        <f t="shared" si="178"/>
        <v>123</v>
      </c>
      <c r="CZ91" s="54">
        <f t="shared" si="178"/>
        <v>121</v>
      </c>
      <c r="DA91" s="54">
        <f t="shared" si="178"/>
        <v>120</v>
      </c>
      <c r="DB91" s="54">
        <f t="shared" si="178"/>
        <v>119</v>
      </c>
      <c r="DC91" s="54">
        <f t="shared" si="178"/>
        <v>118</v>
      </c>
      <c r="DD91" s="54">
        <f t="shared" si="178"/>
        <v>117</v>
      </c>
      <c r="DE91" s="54" t="str">
        <f t="shared" si="178"/>
        <v>-</v>
      </c>
      <c r="DF91" s="54" t="str">
        <f t="shared" si="178"/>
        <v>-</v>
      </c>
      <c r="DG91" s="54" t="str">
        <f t="shared" si="178"/>
        <v>-</v>
      </c>
      <c r="DH91" s="54" t="str">
        <f t="shared" si="178"/>
        <v>-</v>
      </c>
      <c r="DI91" s="54" t="str">
        <f t="shared" si="178"/>
        <v>-</v>
      </c>
      <c r="DJ91" s="54" t="str">
        <f t="shared" si="178"/>
        <v>-</v>
      </c>
      <c r="DK91" s="54" t="str">
        <f t="shared" ref="DK91:DR91" si="179">DK90</f>
        <v>-</v>
      </c>
      <c r="DL91" s="54" t="str">
        <f t="shared" si="179"/>
        <v>-</v>
      </c>
      <c r="DM91" s="54" t="str">
        <f t="shared" si="179"/>
        <v>-</v>
      </c>
      <c r="DN91" s="54" t="str">
        <f t="shared" si="179"/>
        <v>-</v>
      </c>
      <c r="DO91" s="54" t="str">
        <f t="shared" si="179"/>
        <v>-</v>
      </c>
      <c r="DP91" s="54" t="str">
        <f t="shared" si="179"/>
        <v>-</v>
      </c>
      <c r="DQ91" s="54" t="str">
        <f t="shared" si="179"/>
        <v>-</v>
      </c>
      <c r="DR91" s="64" t="str">
        <f t="shared" si="179"/>
        <v>-</v>
      </c>
    </row>
    <row r="92" spans="1:122">
      <c r="A92" s="56" t="s">
        <v>122</v>
      </c>
      <c r="B92" s="56"/>
      <c r="C92" s="53" t="s">
        <v>84</v>
      </c>
      <c r="D92" s="69" t="s">
        <v>16</v>
      </c>
      <c r="E92" s="69" t="s">
        <v>16</v>
      </c>
      <c r="F92" s="69" t="s">
        <v>123</v>
      </c>
      <c r="G92" s="69" t="s">
        <v>17</v>
      </c>
      <c r="H92" s="79">
        <v>690</v>
      </c>
      <c r="I92" s="7">
        <v>515</v>
      </c>
      <c r="J92" s="69" t="s">
        <v>16</v>
      </c>
      <c r="K92" s="59" t="s">
        <v>16</v>
      </c>
      <c r="L92" s="54" t="s">
        <v>16</v>
      </c>
      <c r="M92" s="54" t="s">
        <v>16</v>
      </c>
      <c r="N92" s="54" t="s">
        <v>16</v>
      </c>
      <c r="O92" s="54" t="s">
        <v>16</v>
      </c>
      <c r="P92" s="54" t="s">
        <v>16</v>
      </c>
      <c r="Q92" s="54" t="s">
        <v>16</v>
      </c>
      <c r="R92" s="54" t="s">
        <v>16</v>
      </c>
      <c r="S92" s="54" t="s">
        <v>16</v>
      </c>
      <c r="T92" s="54" t="s">
        <v>16</v>
      </c>
      <c r="U92" s="54" t="s">
        <v>16</v>
      </c>
      <c r="V92" s="54" t="s">
        <v>16</v>
      </c>
      <c r="W92" s="54" t="s">
        <v>16</v>
      </c>
      <c r="X92" s="54" t="s">
        <v>16</v>
      </c>
      <c r="Y92" s="54" t="s">
        <v>16</v>
      </c>
      <c r="Z92" s="54" t="s">
        <v>16</v>
      </c>
      <c r="AA92" s="54" t="s">
        <v>16</v>
      </c>
      <c r="AB92" s="54" t="s">
        <v>16</v>
      </c>
      <c r="AC92" s="54" t="s">
        <v>16</v>
      </c>
      <c r="AD92" s="54" t="s">
        <v>16</v>
      </c>
      <c r="AE92" s="54" t="s">
        <v>16</v>
      </c>
      <c r="AF92" s="54" t="s">
        <v>16</v>
      </c>
      <c r="AG92" s="54" t="s">
        <v>16</v>
      </c>
      <c r="AH92" s="54" t="s">
        <v>16</v>
      </c>
      <c r="AI92" s="54" t="s">
        <v>16</v>
      </c>
      <c r="AJ92" s="54" t="s">
        <v>16</v>
      </c>
      <c r="AK92" s="54" t="s">
        <v>16</v>
      </c>
      <c r="AL92" s="54" t="s">
        <v>16</v>
      </c>
      <c r="AM92" s="54" t="s">
        <v>16</v>
      </c>
      <c r="AN92" s="54" t="s">
        <v>16</v>
      </c>
      <c r="AO92" s="54" t="s">
        <v>16</v>
      </c>
      <c r="AP92" s="54" t="s">
        <v>16</v>
      </c>
      <c r="AQ92" s="54" t="s">
        <v>16</v>
      </c>
      <c r="AR92" s="54" t="s">
        <v>16</v>
      </c>
      <c r="AS92" s="54" t="s">
        <v>16</v>
      </c>
      <c r="AT92" s="54" t="s">
        <v>16</v>
      </c>
      <c r="AU92" s="64" t="s">
        <v>16</v>
      </c>
      <c r="AV92" s="141" t="s">
        <v>38</v>
      </c>
      <c r="AW92" s="59" t="s">
        <v>16</v>
      </c>
      <c r="AX92" s="54" t="s">
        <v>16</v>
      </c>
      <c r="AY92" s="54" t="s">
        <v>16</v>
      </c>
      <c r="AZ92" s="54" t="s">
        <v>16</v>
      </c>
      <c r="BA92" s="54" t="s">
        <v>16</v>
      </c>
      <c r="BB92" s="54" t="s">
        <v>16</v>
      </c>
      <c r="BC92" s="54" t="s">
        <v>16</v>
      </c>
      <c r="BD92" s="54" t="s">
        <v>16</v>
      </c>
      <c r="BE92" s="54" t="s">
        <v>16</v>
      </c>
      <c r="BF92" s="54" t="s">
        <v>16</v>
      </c>
      <c r="BG92" s="54" t="s">
        <v>16</v>
      </c>
      <c r="BH92" s="54" t="s">
        <v>16</v>
      </c>
      <c r="BI92" s="54" t="s">
        <v>16</v>
      </c>
      <c r="BJ92" s="54" t="s">
        <v>16</v>
      </c>
      <c r="BK92" s="54" t="s">
        <v>16</v>
      </c>
      <c r="BL92" s="54" t="s">
        <v>16</v>
      </c>
      <c r="BM92" s="54" t="s">
        <v>16</v>
      </c>
      <c r="BN92" s="54" t="s">
        <v>16</v>
      </c>
      <c r="BO92" s="54" t="s">
        <v>16</v>
      </c>
      <c r="BP92" s="54" t="s">
        <v>16</v>
      </c>
      <c r="BQ92" s="54" t="s">
        <v>16</v>
      </c>
      <c r="BR92" s="54" t="s">
        <v>16</v>
      </c>
      <c r="BS92" s="54" t="s">
        <v>16</v>
      </c>
      <c r="BT92" s="54" t="s">
        <v>16</v>
      </c>
      <c r="BU92" s="54" t="s">
        <v>16</v>
      </c>
      <c r="BV92" s="54" t="s">
        <v>16</v>
      </c>
      <c r="BW92" s="54" t="s">
        <v>16</v>
      </c>
      <c r="BX92" s="54" t="s">
        <v>16</v>
      </c>
      <c r="BY92" s="54" t="s">
        <v>16</v>
      </c>
      <c r="BZ92" s="54" t="s">
        <v>16</v>
      </c>
      <c r="CA92" s="54" t="s">
        <v>16</v>
      </c>
      <c r="CB92" s="54" t="s">
        <v>16</v>
      </c>
      <c r="CC92" s="54" t="s">
        <v>16</v>
      </c>
      <c r="CD92" s="54" t="s">
        <v>16</v>
      </c>
      <c r="CE92" s="54" t="s">
        <v>16</v>
      </c>
      <c r="CF92" s="54" t="s">
        <v>16</v>
      </c>
      <c r="CG92" s="139" t="s">
        <v>16</v>
      </c>
      <c r="CH92" s="59">
        <v>390</v>
      </c>
      <c r="CI92" s="54">
        <v>390</v>
      </c>
      <c r="CJ92" s="54">
        <v>390</v>
      </c>
      <c r="CK92" s="54">
        <v>390</v>
      </c>
      <c r="CL92" s="54">
        <v>390</v>
      </c>
      <c r="CM92" s="54">
        <v>330</v>
      </c>
      <c r="CN92" s="54">
        <v>330</v>
      </c>
      <c r="CO92" s="54">
        <v>330</v>
      </c>
      <c r="CP92" s="54">
        <v>330</v>
      </c>
      <c r="CQ92" s="54" t="s">
        <v>16</v>
      </c>
      <c r="CR92" s="54" t="s">
        <v>16</v>
      </c>
      <c r="CS92" s="54" t="s">
        <v>16</v>
      </c>
      <c r="CT92" s="54" t="s">
        <v>16</v>
      </c>
      <c r="CU92" s="54" t="s">
        <v>16</v>
      </c>
      <c r="CV92" s="54" t="s">
        <v>16</v>
      </c>
      <c r="CW92" s="54" t="s">
        <v>16</v>
      </c>
      <c r="CX92" s="54" t="s">
        <v>16</v>
      </c>
      <c r="CY92" s="54" t="s">
        <v>16</v>
      </c>
      <c r="CZ92" s="54" t="s">
        <v>16</v>
      </c>
      <c r="DA92" s="54" t="s">
        <v>16</v>
      </c>
      <c r="DB92" s="54" t="s">
        <v>16</v>
      </c>
      <c r="DC92" s="54" t="s">
        <v>16</v>
      </c>
      <c r="DD92" s="54" t="s">
        <v>16</v>
      </c>
      <c r="DE92" s="54" t="s">
        <v>16</v>
      </c>
      <c r="DF92" s="54" t="s">
        <v>16</v>
      </c>
      <c r="DG92" s="54" t="s">
        <v>16</v>
      </c>
      <c r="DH92" s="54" t="s">
        <v>16</v>
      </c>
      <c r="DI92" s="54" t="s">
        <v>16</v>
      </c>
      <c r="DJ92" s="54" t="s">
        <v>16</v>
      </c>
      <c r="DK92" s="54" t="s">
        <v>16</v>
      </c>
      <c r="DL92" s="54" t="s">
        <v>16</v>
      </c>
      <c r="DM92" s="54" t="s">
        <v>16</v>
      </c>
      <c r="DN92" s="54" t="s">
        <v>16</v>
      </c>
      <c r="DO92" s="54" t="s">
        <v>16</v>
      </c>
      <c r="DP92" s="54" t="s">
        <v>16</v>
      </c>
      <c r="DQ92" s="54" t="s">
        <v>16</v>
      </c>
      <c r="DR92" s="64" t="s">
        <v>16</v>
      </c>
    </row>
    <row r="93" spans="1:122">
      <c r="A93" s="56" t="s">
        <v>124</v>
      </c>
      <c r="B93" s="56"/>
      <c r="C93" s="53" t="s">
        <v>113</v>
      </c>
      <c r="D93" s="53" t="s">
        <v>16</v>
      </c>
      <c r="E93" s="53" t="s">
        <v>16</v>
      </c>
      <c r="F93" s="53" t="s">
        <v>16</v>
      </c>
      <c r="G93" s="53" t="s">
        <v>17</v>
      </c>
      <c r="H93" s="72">
        <v>450</v>
      </c>
      <c r="I93" s="48">
        <v>240</v>
      </c>
      <c r="J93" s="53" t="s">
        <v>18</v>
      </c>
      <c r="K93" s="59"/>
      <c r="L93" s="34">
        <v>128</v>
      </c>
      <c r="M93" s="34"/>
      <c r="N93" s="34">
        <v>128</v>
      </c>
      <c r="O93" s="34">
        <v>128</v>
      </c>
      <c r="P93" s="34">
        <v>128</v>
      </c>
      <c r="Q93" s="34">
        <v>128</v>
      </c>
      <c r="R93" s="54" t="s">
        <v>16</v>
      </c>
      <c r="S93" s="34">
        <v>128</v>
      </c>
      <c r="T93" s="54" t="s">
        <v>16</v>
      </c>
      <c r="U93" s="34">
        <v>128</v>
      </c>
      <c r="V93" s="54" t="s">
        <v>16</v>
      </c>
      <c r="W93" s="34">
        <v>128</v>
      </c>
      <c r="X93" s="34">
        <v>128</v>
      </c>
      <c r="Y93" s="34">
        <v>128</v>
      </c>
      <c r="Z93" s="34">
        <v>126</v>
      </c>
      <c r="AA93" s="54" t="s">
        <v>16</v>
      </c>
      <c r="AB93" s="54" t="s">
        <v>16</v>
      </c>
      <c r="AC93" s="54" t="s">
        <v>16</v>
      </c>
      <c r="AD93" s="54" t="s">
        <v>16</v>
      </c>
      <c r="AE93" s="34" t="s">
        <v>16</v>
      </c>
      <c r="AF93" s="34" t="s">
        <v>16</v>
      </c>
      <c r="AG93" s="34" t="s">
        <v>16</v>
      </c>
      <c r="AH93" s="34" t="s">
        <v>16</v>
      </c>
      <c r="AI93" s="34" t="s">
        <v>16</v>
      </c>
      <c r="AJ93" s="34" t="s">
        <v>16</v>
      </c>
      <c r="AK93" s="34" t="s">
        <v>16</v>
      </c>
      <c r="AL93" s="34" t="s">
        <v>16</v>
      </c>
      <c r="AM93" s="34" t="s">
        <v>16</v>
      </c>
      <c r="AN93" s="34" t="s">
        <v>16</v>
      </c>
      <c r="AO93" s="34" t="s">
        <v>16</v>
      </c>
      <c r="AP93" s="34" t="s">
        <v>16</v>
      </c>
      <c r="AQ93" s="34" t="s">
        <v>16</v>
      </c>
      <c r="AR93" s="34" t="s">
        <v>16</v>
      </c>
      <c r="AS93" s="34" t="s">
        <v>16</v>
      </c>
      <c r="AT93" s="34" t="s">
        <v>16</v>
      </c>
      <c r="AU93" s="55" t="s">
        <v>16</v>
      </c>
      <c r="AV93" s="57" t="s">
        <v>18</v>
      </c>
      <c r="AW93" s="59" t="s">
        <v>16</v>
      </c>
      <c r="AX93" s="34">
        <v>448</v>
      </c>
      <c r="AY93" s="34" t="s">
        <v>16</v>
      </c>
      <c r="AZ93" s="34" t="s">
        <v>16</v>
      </c>
      <c r="BA93" s="34">
        <v>448</v>
      </c>
      <c r="BB93" s="34" t="s">
        <v>16</v>
      </c>
      <c r="BC93" s="34">
        <v>448</v>
      </c>
      <c r="BD93" s="34" t="s">
        <v>16</v>
      </c>
      <c r="BE93" s="34">
        <v>448</v>
      </c>
      <c r="BF93" s="34" t="s">
        <v>16</v>
      </c>
      <c r="BG93" s="34">
        <v>448</v>
      </c>
      <c r="BH93" s="34" t="s">
        <v>16</v>
      </c>
      <c r="BI93" s="34">
        <v>448</v>
      </c>
      <c r="BJ93" s="34">
        <v>448</v>
      </c>
      <c r="BK93" s="34">
        <v>448</v>
      </c>
      <c r="BL93" s="34">
        <v>448</v>
      </c>
      <c r="BM93" s="34">
        <v>448</v>
      </c>
      <c r="BN93" s="34">
        <v>448</v>
      </c>
      <c r="BO93" s="34">
        <v>440</v>
      </c>
      <c r="BP93" s="34">
        <v>422</v>
      </c>
      <c r="BQ93" s="34">
        <v>401</v>
      </c>
      <c r="BR93" s="34">
        <v>376</v>
      </c>
      <c r="BS93" s="34" t="s">
        <v>16</v>
      </c>
      <c r="BT93" s="34" t="s">
        <v>16</v>
      </c>
      <c r="BU93" s="34" t="s">
        <v>16</v>
      </c>
      <c r="BV93" s="34" t="s">
        <v>16</v>
      </c>
      <c r="BW93" s="34" t="s">
        <v>16</v>
      </c>
      <c r="BX93" s="34" t="s">
        <v>16</v>
      </c>
      <c r="BY93" s="34" t="s">
        <v>16</v>
      </c>
      <c r="BZ93" s="34" t="s">
        <v>16</v>
      </c>
      <c r="CA93" s="34" t="s">
        <v>16</v>
      </c>
      <c r="CB93" s="34" t="s">
        <v>16</v>
      </c>
      <c r="CC93" s="34" t="s">
        <v>16</v>
      </c>
      <c r="CD93" s="34" t="s">
        <v>16</v>
      </c>
      <c r="CE93" s="34" t="s">
        <v>16</v>
      </c>
      <c r="CF93" s="34" t="s">
        <v>16</v>
      </c>
      <c r="CG93" s="44" t="s">
        <v>16</v>
      </c>
      <c r="CH93" s="59" t="s">
        <v>16</v>
      </c>
      <c r="CI93" s="34">
        <v>241</v>
      </c>
      <c r="CJ93" s="34" t="s">
        <v>16</v>
      </c>
      <c r="CK93" s="34">
        <v>232</v>
      </c>
      <c r="CL93" s="34">
        <v>226</v>
      </c>
      <c r="CM93" s="34">
        <v>221</v>
      </c>
      <c r="CN93" s="34">
        <v>218</v>
      </c>
      <c r="CO93" s="34">
        <v>214</v>
      </c>
      <c r="CP93" s="34">
        <v>211</v>
      </c>
      <c r="CQ93" s="34">
        <v>208</v>
      </c>
      <c r="CR93" s="34">
        <v>205</v>
      </c>
      <c r="CS93" s="34">
        <v>202</v>
      </c>
      <c r="CT93" s="34">
        <v>199</v>
      </c>
      <c r="CU93" s="34">
        <v>196</v>
      </c>
      <c r="CV93" s="34">
        <v>193</v>
      </c>
      <c r="CW93" s="34">
        <v>189</v>
      </c>
      <c r="CX93" s="34">
        <v>185</v>
      </c>
      <c r="CY93" s="34">
        <v>181</v>
      </c>
      <c r="CZ93" s="34">
        <v>175</v>
      </c>
      <c r="DA93" s="34">
        <v>170</v>
      </c>
      <c r="DB93" s="34">
        <v>163</v>
      </c>
      <c r="DC93" s="34">
        <v>157</v>
      </c>
      <c r="DD93" s="34" t="s">
        <v>16</v>
      </c>
      <c r="DE93" s="34" t="s">
        <v>16</v>
      </c>
      <c r="DF93" s="34" t="s">
        <v>16</v>
      </c>
      <c r="DG93" s="34" t="s">
        <v>16</v>
      </c>
      <c r="DH93" s="34" t="s">
        <v>16</v>
      </c>
      <c r="DI93" s="34" t="s">
        <v>16</v>
      </c>
      <c r="DJ93" s="34" t="s">
        <v>16</v>
      </c>
      <c r="DK93" s="34" t="s">
        <v>16</v>
      </c>
      <c r="DL93" s="34" t="s">
        <v>16</v>
      </c>
      <c r="DM93" s="34" t="s">
        <v>16</v>
      </c>
      <c r="DN93" s="34" t="s">
        <v>16</v>
      </c>
      <c r="DO93" s="34" t="s">
        <v>16</v>
      </c>
      <c r="DP93" s="34" t="s">
        <v>16</v>
      </c>
      <c r="DQ93" s="34" t="s">
        <v>16</v>
      </c>
      <c r="DR93" s="55" t="s">
        <v>16</v>
      </c>
    </row>
    <row r="94" spans="1:122">
      <c r="A94" s="56" t="s">
        <v>125</v>
      </c>
      <c r="B94" s="56"/>
      <c r="C94" s="53" t="s">
        <v>84</v>
      </c>
      <c r="D94" s="53" t="s">
        <v>16</v>
      </c>
      <c r="E94" s="53" t="s">
        <v>16</v>
      </c>
      <c r="F94" s="53" t="s">
        <v>126</v>
      </c>
      <c r="G94" s="53" t="s">
        <v>17</v>
      </c>
      <c r="H94" s="72">
        <v>690</v>
      </c>
      <c r="I94" s="48">
        <v>515</v>
      </c>
      <c r="J94" s="53" t="s">
        <v>16</v>
      </c>
      <c r="K94" s="59" t="s">
        <v>16</v>
      </c>
      <c r="L94" s="54" t="s">
        <v>16</v>
      </c>
      <c r="M94" s="54" t="s">
        <v>16</v>
      </c>
      <c r="N94" s="54" t="s">
        <v>16</v>
      </c>
      <c r="O94" s="54" t="s">
        <v>16</v>
      </c>
      <c r="P94" s="54" t="s">
        <v>16</v>
      </c>
      <c r="Q94" s="54" t="s">
        <v>16</v>
      </c>
      <c r="R94" s="54" t="s">
        <v>16</v>
      </c>
      <c r="S94" s="54" t="s">
        <v>16</v>
      </c>
      <c r="T94" s="54" t="s">
        <v>16</v>
      </c>
      <c r="U94" s="54" t="s">
        <v>16</v>
      </c>
      <c r="V94" s="54" t="s">
        <v>16</v>
      </c>
      <c r="W94" s="54" t="s">
        <v>16</v>
      </c>
      <c r="X94" s="54" t="s">
        <v>16</v>
      </c>
      <c r="Y94" s="54" t="s">
        <v>16</v>
      </c>
      <c r="Z94" s="54" t="s">
        <v>16</v>
      </c>
      <c r="AA94" s="54" t="s">
        <v>16</v>
      </c>
      <c r="AB94" s="54" t="s">
        <v>16</v>
      </c>
      <c r="AC94" s="54" t="s">
        <v>16</v>
      </c>
      <c r="AD94" s="54" t="s">
        <v>16</v>
      </c>
      <c r="AE94" s="54" t="s">
        <v>16</v>
      </c>
      <c r="AF94" s="54" t="s">
        <v>16</v>
      </c>
      <c r="AG94" s="54" t="s">
        <v>16</v>
      </c>
      <c r="AH94" s="54" t="s">
        <v>16</v>
      </c>
      <c r="AI94" s="54" t="s">
        <v>16</v>
      </c>
      <c r="AJ94" s="54" t="s">
        <v>16</v>
      </c>
      <c r="AK94" s="54" t="s">
        <v>16</v>
      </c>
      <c r="AL94" s="54" t="s">
        <v>16</v>
      </c>
      <c r="AM94" s="54" t="s">
        <v>16</v>
      </c>
      <c r="AN94" s="54" t="s">
        <v>16</v>
      </c>
      <c r="AO94" s="54" t="s">
        <v>16</v>
      </c>
      <c r="AP94" s="54" t="s">
        <v>16</v>
      </c>
      <c r="AQ94" s="54" t="s">
        <v>16</v>
      </c>
      <c r="AR94" s="54" t="s">
        <v>16</v>
      </c>
      <c r="AS94" s="54" t="s">
        <v>16</v>
      </c>
      <c r="AT94" s="54" t="s">
        <v>16</v>
      </c>
      <c r="AU94" s="64" t="s">
        <v>16</v>
      </c>
      <c r="AV94" s="141" t="s">
        <v>64</v>
      </c>
      <c r="AW94" s="59" t="s">
        <v>16</v>
      </c>
      <c r="AX94" s="54" t="s">
        <v>16</v>
      </c>
      <c r="AY94" s="54" t="s">
        <v>16</v>
      </c>
      <c r="AZ94" s="54" t="s">
        <v>16</v>
      </c>
      <c r="BA94" s="54" t="s">
        <v>16</v>
      </c>
      <c r="BB94" s="54" t="s">
        <v>16</v>
      </c>
      <c r="BC94" s="54" t="s">
        <v>16</v>
      </c>
      <c r="BD94" s="54" t="s">
        <v>16</v>
      </c>
      <c r="BE94" s="54" t="s">
        <v>16</v>
      </c>
      <c r="BF94" s="54" t="s">
        <v>16</v>
      </c>
      <c r="BG94" s="54" t="s">
        <v>16</v>
      </c>
      <c r="BH94" s="54" t="s">
        <v>16</v>
      </c>
      <c r="BI94" s="54" t="s">
        <v>16</v>
      </c>
      <c r="BJ94" s="54" t="s">
        <v>16</v>
      </c>
      <c r="BK94" s="54" t="s">
        <v>16</v>
      </c>
      <c r="BL94" s="54" t="s">
        <v>16</v>
      </c>
      <c r="BM94" s="54" t="s">
        <v>16</v>
      </c>
      <c r="BN94" s="54" t="s">
        <v>16</v>
      </c>
      <c r="BO94" s="54" t="s">
        <v>16</v>
      </c>
      <c r="BP94" s="54" t="s">
        <v>16</v>
      </c>
      <c r="BQ94" s="54" t="s">
        <v>16</v>
      </c>
      <c r="BR94" s="54" t="s">
        <v>16</v>
      </c>
      <c r="BS94" s="54" t="s">
        <v>16</v>
      </c>
      <c r="BT94" s="54" t="s">
        <v>16</v>
      </c>
      <c r="BU94" s="54" t="s">
        <v>16</v>
      </c>
      <c r="BV94" s="54" t="s">
        <v>16</v>
      </c>
      <c r="BW94" s="54" t="s">
        <v>16</v>
      </c>
      <c r="BX94" s="54" t="s">
        <v>16</v>
      </c>
      <c r="BY94" s="54" t="s">
        <v>16</v>
      </c>
      <c r="BZ94" s="54" t="s">
        <v>16</v>
      </c>
      <c r="CA94" s="54" t="s">
        <v>16</v>
      </c>
      <c r="CB94" s="54" t="s">
        <v>16</v>
      </c>
      <c r="CC94" s="54" t="s">
        <v>16</v>
      </c>
      <c r="CD94" s="54" t="s">
        <v>16</v>
      </c>
      <c r="CE94" s="54" t="s">
        <v>16</v>
      </c>
      <c r="CF94" s="54" t="s">
        <v>16</v>
      </c>
      <c r="CG94" s="139" t="s">
        <v>16</v>
      </c>
      <c r="CH94" s="59">
        <v>390</v>
      </c>
      <c r="CI94" s="54">
        <v>390</v>
      </c>
      <c r="CJ94" s="54">
        <v>390</v>
      </c>
      <c r="CK94" s="54">
        <v>390</v>
      </c>
      <c r="CL94" s="54">
        <v>390</v>
      </c>
      <c r="CM94" s="54">
        <v>330</v>
      </c>
      <c r="CN94" s="54">
        <v>330</v>
      </c>
      <c r="CO94" s="54">
        <v>330</v>
      </c>
      <c r="CP94" s="54">
        <v>330</v>
      </c>
      <c r="CQ94" s="54" t="s">
        <v>16</v>
      </c>
      <c r="CR94" s="54" t="s">
        <v>16</v>
      </c>
      <c r="CS94" s="54" t="s">
        <v>16</v>
      </c>
      <c r="CT94" s="54" t="s">
        <v>16</v>
      </c>
      <c r="CU94" s="54" t="s">
        <v>16</v>
      </c>
      <c r="CV94" s="54" t="s">
        <v>16</v>
      </c>
      <c r="CW94" s="54" t="s">
        <v>16</v>
      </c>
      <c r="CX94" s="54" t="s">
        <v>16</v>
      </c>
      <c r="CY94" s="54" t="s">
        <v>16</v>
      </c>
      <c r="CZ94" s="54" t="s">
        <v>16</v>
      </c>
      <c r="DA94" s="54" t="s">
        <v>16</v>
      </c>
      <c r="DB94" s="54" t="s">
        <v>16</v>
      </c>
      <c r="DC94" s="54" t="s">
        <v>16</v>
      </c>
      <c r="DD94" s="54" t="s">
        <v>16</v>
      </c>
      <c r="DE94" s="54" t="s">
        <v>16</v>
      </c>
      <c r="DF94" s="54" t="s">
        <v>16</v>
      </c>
      <c r="DG94" s="54" t="s">
        <v>16</v>
      </c>
      <c r="DH94" s="54" t="s">
        <v>16</v>
      </c>
      <c r="DI94" s="54" t="s">
        <v>16</v>
      </c>
      <c r="DJ94" s="54" t="s">
        <v>16</v>
      </c>
      <c r="DK94" s="54" t="s">
        <v>16</v>
      </c>
      <c r="DL94" s="54" t="s">
        <v>16</v>
      </c>
      <c r="DM94" s="54" t="s">
        <v>16</v>
      </c>
      <c r="DN94" s="54" t="s">
        <v>16</v>
      </c>
      <c r="DO94" s="54" t="s">
        <v>16</v>
      </c>
      <c r="DP94" s="54" t="s">
        <v>16</v>
      </c>
      <c r="DQ94" s="54" t="s">
        <v>16</v>
      </c>
      <c r="DR94" s="64" t="s">
        <v>16</v>
      </c>
    </row>
    <row r="95" spans="1:122">
      <c r="A95" s="56" t="s">
        <v>127</v>
      </c>
      <c r="B95" s="56"/>
      <c r="C95" s="60" t="s">
        <v>113</v>
      </c>
      <c r="D95" s="60" t="s">
        <v>16</v>
      </c>
      <c r="E95" s="60" t="s">
        <v>16</v>
      </c>
      <c r="F95" s="60" t="s">
        <v>16</v>
      </c>
      <c r="G95" s="60" t="s">
        <v>64</v>
      </c>
      <c r="H95" s="72">
        <v>240</v>
      </c>
      <c r="I95" s="48">
        <v>140</v>
      </c>
      <c r="J95" s="60" t="s">
        <v>16</v>
      </c>
      <c r="K95" s="59" t="s">
        <v>16</v>
      </c>
      <c r="L95" s="54" t="s">
        <v>16</v>
      </c>
      <c r="M95" s="54" t="s">
        <v>16</v>
      </c>
      <c r="N95" s="54" t="s">
        <v>16</v>
      </c>
      <c r="O95" s="54" t="s">
        <v>16</v>
      </c>
      <c r="P95" s="54" t="s">
        <v>16</v>
      </c>
      <c r="Q95" s="54" t="s">
        <v>16</v>
      </c>
      <c r="R95" s="54" t="s">
        <v>16</v>
      </c>
      <c r="S95" s="54" t="s">
        <v>16</v>
      </c>
      <c r="T95" s="54" t="s">
        <v>16</v>
      </c>
      <c r="U95" s="54" t="s">
        <v>16</v>
      </c>
      <c r="V95" s="54" t="s">
        <v>16</v>
      </c>
      <c r="W95" s="54" t="s">
        <v>16</v>
      </c>
      <c r="X95" s="54" t="s">
        <v>16</v>
      </c>
      <c r="Y95" s="54" t="s">
        <v>16</v>
      </c>
      <c r="Z95" s="54" t="s">
        <v>16</v>
      </c>
      <c r="AA95" s="54" t="s">
        <v>16</v>
      </c>
      <c r="AB95" s="54" t="s">
        <v>16</v>
      </c>
      <c r="AC95" s="54" t="s">
        <v>16</v>
      </c>
      <c r="AD95" s="54" t="s">
        <v>16</v>
      </c>
      <c r="AE95" s="54" t="s">
        <v>16</v>
      </c>
      <c r="AF95" s="54" t="s">
        <v>16</v>
      </c>
      <c r="AG95" s="54" t="s">
        <v>16</v>
      </c>
      <c r="AH95" s="54" t="s">
        <v>16</v>
      </c>
      <c r="AI95" s="54" t="s">
        <v>16</v>
      </c>
      <c r="AJ95" s="54" t="s">
        <v>16</v>
      </c>
      <c r="AK95" s="54" t="s">
        <v>16</v>
      </c>
      <c r="AL95" s="54" t="s">
        <v>16</v>
      </c>
      <c r="AM95" s="54" t="s">
        <v>16</v>
      </c>
      <c r="AN95" s="54" t="s">
        <v>16</v>
      </c>
      <c r="AO95" s="54" t="s">
        <v>16</v>
      </c>
      <c r="AP95" s="54" t="s">
        <v>16</v>
      </c>
      <c r="AQ95" s="54" t="s">
        <v>16</v>
      </c>
      <c r="AR95" s="54" t="s">
        <v>16</v>
      </c>
      <c r="AS95" s="54" t="s">
        <v>16</v>
      </c>
      <c r="AT95" s="54" t="s">
        <v>16</v>
      </c>
      <c r="AU95" s="64" t="s">
        <v>16</v>
      </c>
      <c r="AV95" s="141" t="s">
        <v>64</v>
      </c>
      <c r="AW95" s="59" t="s">
        <v>16</v>
      </c>
      <c r="AX95" s="54" t="s">
        <v>16</v>
      </c>
      <c r="AY95" s="54">
        <v>288.10000000000002</v>
      </c>
      <c r="AZ95" s="54" t="s">
        <v>16</v>
      </c>
      <c r="BA95" s="54">
        <v>284.10000000000002</v>
      </c>
      <c r="BB95" s="54" t="s">
        <v>16</v>
      </c>
      <c r="BC95" s="54">
        <v>258.5</v>
      </c>
      <c r="BD95" s="54" t="s">
        <v>16</v>
      </c>
      <c r="BE95" s="54">
        <v>216.3</v>
      </c>
      <c r="BF95" s="54" t="s">
        <v>16</v>
      </c>
      <c r="BG95" s="54" t="s">
        <v>16</v>
      </c>
      <c r="BH95" s="54" t="s">
        <v>16</v>
      </c>
      <c r="BI95" s="54">
        <v>112</v>
      </c>
      <c r="BJ95" s="54" t="s">
        <v>16</v>
      </c>
      <c r="BK95" s="54" t="s">
        <v>16</v>
      </c>
      <c r="BL95" s="54" t="s">
        <v>16</v>
      </c>
      <c r="BM95" s="54">
        <v>22.8</v>
      </c>
      <c r="BN95" s="54" t="s">
        <v>16</v>
      </c>
      <c r="BO95" s="54">
        <v>14.2</v>
      </c>
      <c r="BP95" s="54" t="s">
        <v>16</v>
      </c>
      <c r="BQ95" s="54" t="s">
        <v>16</v>
      </c>
      <c r="BR95" s="54" t="s">
        <v>16</v>
      </c>
      <c r="BS95" s="54" t="s">
        <v>16</v>
      </c>
      <c r="BT95" s="54" t="s">
        <v>16</v>
      </c>
      <c r="BU95" s="54" t="s">
        <v>16</v>
      </c>
      <c r="BV95" s="54" t="s">
        <v>16</v>
      </c>
      <c r="BW95" s="54" t="s">
        <v>16</v>
      </c>
      <c r="BX95" s="54" t="s">
        <v>16</v>
      </c>
      <c r="BY95" s="54" t="s">
        <v>16</v>
      </c>
      <c r="BZ95" s="54" t="s">
        <v>16</v>
      </c>
      <c r="CA95" s="54" t="s">
        <v>16</v>
      </c>
      <c r="CB95" s="54" t="s">
        <v>16</v>
      </c>
      <c r="CC95" s="54" t="s">
        <v>16</v>
      </c>
      <c r="CD95" s="54" t="s">
        <v>16</v>
      </c>
      <c r="CE95" s="54" t="s">
        <v>16</v>
      </c>
      <c r="CF95" s="54" t="s">
        <v>16</v>
      </c>
      <c r="CG95" s="139" t="s">
        <v>16</v>
      </c>
      <c r="CH95" s="59" t="s">
        <v>16</v>
      </c>
      <c r="CI95" s="54" t="s">
        <v>16</v>
      </c>
      <c r="CJ95" s="54">
        <v>178.1</v>
      </c>
      <c r="CK95" s="54" t="s">
        <v>16</v>
      </c>
      <c r="CL95" s="54">
        <v>177.8</v>
      </c>
      <c r="CM95" s="54" t="s">
        <v>16</v>
      </c>
      <c r="CN95" s="54">
        <v>173.1</v>
      </c>
      <c r="CO95" s="54" t="s">
        <v>16</v>
      </c>
      <c r="CP95" s="54">
        <v>156.5</v>
      </c>
      <c r="CQ95" s="54" t="s">
        <v>16</v>
      </c>
      <c r="CR95" s="54">
        <v>137.1</v>
      </c>
      <c r="CS95" s="54" t="s">
        <v>16</v>
      </c>
      <c r="CT95" s="54">
        <v>84.1</v>
      </c>
      <c r="CU95" s="54" t="s">
        <v>16</v>
      </c>
      <c r="CV95" s="54" t="s">
        <v>16</v>
      </c>
      <c r="CW95" s="54" t="s">
        <v>16</v>
      </c>
      <c r="CX95" s="54">
        <v>18.399999999999999</v>
      </c>
      <c r="CY95" s="54" t="s">
        <v>16</v>
      </c>
      <c r="CZ95" s="54">
        <v>10</v>
      </c>
      <c r="DA95" s="54" t="s">
        <v>16</v>
      </c>
      <c r="DB95" s="54" t="s">
        <v>16</v>
      </c>
      <c r="DC95" s="54" t="s">
        <v>16</v>
      </c>
      <c r="DD95" s="54" t="s">
        <v>16</v>
      </c>
      <c r="DE95" s="54" t="s">
        <v>16</v>
      </c>
      <c r="DF95" s="54" t="s">
        <v>16</v>
      </c>
      <c r="DG95" s="54" t="s">
        <v>16</v>
      </c>
      <c r="DH95" s="54" t="s">
        <v>16</v>
      </c>
      <c r="DI95" s="54" t="s">
        <v>16</v>
      </c>
      <c r="DJ95" s="54" t="s">
        <v>16</v>
      </c>
      <c r="DK95" s="54" t="s">
        <v>16</v>
      </c>
      <c r="DL95" s="54" t="s">
        <v>16</v>
      </c>
      <c r="DM95" s="54" t="s">
        <v>16</v>
      </c>
      <c r="DN95" s="54" t="s">
        <v>16</v>
      </c>
      <c r="DO95" s="54" t="s">
        <v>16</v>
      </c>
      <c r="DP95" s="54" t="s">
        <v>16</v>
      </c>
      <c r="DQ95" s="54" t="s">
        <v>16</v>
      </c>
      <c r="DR95" s="64" t="s">
        <v>16</v>
      </c>
    </row>
    <row r="96" spans="1:122">
      <c r="A96" s="56" t="s">
        <v>128</v>
      </c>
      <c r="B96" s="56"/>
      <c r="C96" s="53" t="s">
        <v>113</v>
      </c>
      <c r="D96" s="53" t="s">
        <v>16</v>
      </c>
      <c r="E96" s="53" t="s">
        <v>16</v>
      </c>
      <c r="F96" s="53" t="s">
        <v>129</v>
      </c>
      <c r="G96" s="53" t="s">
        <v>17</v>
      </c>
      <c r="H96" s="72">
        <v>485</v>
      </c>
      <c r="I96" s="48">
        <v>205</v>
      </c>
      <c r="J96" s="53" t="s">
        <v>18</v>
      </c>
      <c r="K96" s="59" t="s">
        <v>16</v>
      </c>
      <c r="L96" s="34">
        <v>138</v>
      </c>
      <c r="M96" s="34" t="s">
        <v>16</v>
      </c>
      <c r="N96" s="34">
        <v>138</v>
      </c>
      <c r="O96" s="34">
        <v>138</v>
      </c>
      <c r="P96" s="34">
        <v>136</v>
      </c>
      <c r="Q96" s="34">
        <v>134</v>
      </c>
      <c r="R96" s="54" t="s">
        <v>16</v>
      </c>
      <c r="S96" s="54">
        <v>133</v>
      </c>
      <c r="T96" s="54" t="s">
        <v>16</v>
      </c>
      <c r="U96" s="54">
        <v>125</v>
      </c>
      <c r="V96" s="54" t="s">
        <v>16</v>
      </c>
      <c r="W96" s="54">
        <v>119</v>
      </c>
      <c r="X96" s="54">
        <v>116</v>
      </c>
      <c r="Y96" s="54">
        <v>114</v>
      </c>
      <c r="Z96" s="54">
        <v>112</v>
      </c>
      <c r="AA96" s="34">
        <v>111</v>
      </c>
      <c r="AB96" s="34">
        <v>110</v>
      </c>
      <c r="AC96" s="54">
        <v>108</v>
      </c>
      <c r="AD96" s="34">
        <v>107</v>
      </c>
      <c r="AE96" s="34">
        <v>107</v>
      </c>
      <c r="AF96" s="34">
        <v>104</v>
      </c>
      <c r="AG96" s="34">
        <v>94.7</v>
      </c>
      <c r="AH96" s="34">
        <v>73.7</v>
      </c>
      <c r="AI96" s="34">
        <v>57.9</v>
      </c>
      <c r="AJ96" s="34">
        <v>46</v>
      </c>
      <c r="AK96" s="34">
        <v>36.9</v>
      </c>
      <c r="AL96" s="34">
        <v>30.1</v>
      </c>
      <c r="AM96" s="34">
        <v>24.3</v>
      </c>
      <c r="AN96" s="34">
        <v>20.3</v>
      </c>
      <c r="AO96" s="34">
        <v>17</v>
      </c>
      <c r="AP96" s="34">
        <v>14.3</v>
      </c>
      <c r="AQ96" s="34">
        <v>12.1</v>
      </c>
      <c r="AR96" s="34">
        <v>10.3</v>
      </c>
      <c r="AS96" s="34" t="s">
        <v>16</v>
      </c>
      <c r="AT96" s="34" t="s">
        <v>16</v>
      </c>
      <c r="AU96" s="55" t="s">
        <v>16</v>
      </c>
      <c r="AV96" s="57" t="s">
        <v>18</v>
      </c>
      <c r="AW96" s="63" t="s">
        <v>16</v>
      </c>
      <c r="AX96" s="34">
        <v>483</v>
      </c>
      <c r="AY96" s="34" t="s">
        <v>16</v>
      </c>
      <c r="AZ96" s="34" t="s">
        <v>16</v>
      </c>
      <c r="BA96" s="34">
        <v>482</v>
      </c>
      <c r="BB96" s="34" t="s">
        <v>16</v>
      </c>
      <c r="BC96" s="34">
        <v>469</v>
      </c>
      <c r="BD96" s="34" t="s">
        <v>16</v>
      </c>
      <c r="BE96" s="34">
        <v>463</v>
      </c>
      <c r="BF96" s="34" t="s">
        <v>16</v>
      </c>
      <c r="BG96" s="34">
        <v>463</v>
      </c>
      <c r="BH96" s="34" t="s">
        <v>16</v>
      </c>
      <c r="BI96" s="34">
        <v>463</v>
      </c>
      <c r="BJ96" s="34">
        <v>463</v>
      </c>
      <c r="BK96" s="34">
        <v>463</v>
      </c>
      <c r="BL96" s="34">
        <v>463</v>
      </c>
      <c r="BM96" s="34">
        <v>460</v>
      </c>
      <c r="BN96" s="34">
        <v>457</v>
      </c>
      <c r="BO96" s="34">
        <v>451</v>
      </c>
      <c r="BP96" s="34">
        <v>443</v>
      </c>
      <c r="BQ96" s="34">
        <v>434</v>
      </c>
      <c r="BR96" s="34">
        <v>422</v>
      </c>
      <c r="BS96" s="54" t="s">
        <v>16</v>
      </c>
      <c r="BT96" s="54" t="s">
        <v>16</v>
      </c>
      <c r="BU96" s="54" t="s">
        <v>16</v>
      </c>
      <c r="BV96" s="54" t="s">
        <v>16</v>
      </c>
      <c r="BW96" s="54" t="s">
        <v>16</v>
      </c>
      <c r="BX96" s="54" t="s">
        <v>16</v>
      </c>
      <c r="BY96" s="54" t="s">
        <v>16</v>
      </c>
      <c r="BZ96" s="54" t="s">
        <v>16</v>
      </c>
      <c r="CA96" s="54" t="s">
        <v>16</v>
      </c>
      <c r="CB96" s="54" t="s">
        <v>16</v>
      </c>
      <c r="CC96" s="54" t="s">
        <v>16</v>
      </c>
      <c r="CD96" s="54" t="s">
        <v>16</v>
      </c>
      <c r="CE96" s="54" t="s">
        <v>16</v>
      </c>
      <c r="CF96" s="54" t="s">
        <v>16</v>
      </c>
      <c r="CG96" s="139" t="s">
        <v>16</v>
      </c>
      <c r="CH96" s="63" t="s">
        <v>16</v>
      </c>
      <c r="CI96" s="34">
        <v>207</v>
      </c>
      <c r="CJ96" s="34" t="s">
        <v>16</v>
      </c>
      <c r="CK96" s="34">
        <v>189</v>
      </c>
      <c r="CL96" s="34">
        <v>176</v>
      </c>
      <c r="CM96" s="34">
        <v>168</v>
      </c>
      <c r="CN96" s="34">
        <v>160</v>
      </c>
      <c r="CO96" s="34">
        <v>154</v>
      </c>
      <c r="CP96" s="34">
        <v>148</v>
      </c>
      <c r="CQ96" s="34">
        <v>143</v>
      </c>
      <c r="CR96" s="34">
        <v>139</v>
      </c>
      <c r="CS96" s="34">
        <v>135</v>
      </c>
      <c r="CT96" s="34">
        <v>131</v>
      </c>
      <c r="CU96" s="34">
        <v>129</v>
      </c>
      <c r="CV96" s="34">
        <v>126</v>
      </c>
      <c r="CW96" s="34">
        <v>124</v>
      </c>
      <c r="CX96" s="34">
        <v>123</v>
      </c>
      <c r="CY96" s="34">
        <v>121</v>
      </c>
      <c r="CZ96" s="34">
        <v>120</v>
      </c>
      <c r="DA96" s="34">
        <v>119</v>
      </c>
      <c r="DB96" s="34">
        <v>118</v>
      </c>
      <c r="DC96" s="34">
        <v>117</v>
      </c>
      <c r="DD96" s="54" t="s">
        <v>16</v>
      </c>
      <c r="DE96" s="54" t="s">
        <v>16</v>
      </c>
      <c r="DF96" s="54" t="s">
        <v>16</v>
      </c>
      <c r="DG96" s="54" t="s">
        <v>16</v>
      </c>
      <c r="DH96" s="54" t="s">
        <v>16</v>
      </c>
      <c r="DI96" s="54" t="s">
        <v>16</v>
      </c>
      <c r="DJ96" s="54" t="s">
        <v>16</v>
      </c>
      <c r="DK96" s="54" t="s">
        <v>16</v>
      </c>
      <c r="DL96" s="54" t="s">
        <v>16</v>
      </c>
      <c r="DM96" s="54" t="s">
        <v>16</v>
      </c>
      <c r="DN96" s="54" t="s">
        <v>16</v>
      </c>
      <c r="DO96" s="54" t="s">
        <v>16</v>
      </c>
      <c r="DP96" s="54" t="s">
        <v>16</v>
      </c>
      <c r="DQ96" s="54" t="s">
        <v>16</v>
      </c>
      <c r="DR96" s="64" t="s">
        <v>16</v>
      </c>
    </row>
    <row r="97" spans="1:122">
      <c r="A97" s="56" t="s">
        <v>130</v>
      </c>
      <c r="B97" s="56"/>
      <c r="C97" s="53" t="str">
        <f>C96</f>
        <v>casting</v>
      </c>
      <c r="D97" s="53" t="str">
        <f>D96</f>
        <v>-</v>
      </c>
      <c r="E97" s="53" t="str">
        <f>E96</f>
        <v>-</v>
      </c>
      <c r="F97" s="53" t="s">
        <v>131</v>
      </c>
      <c r="G97" s="53" t="str">
        <f>G96</f>
        <v>ASTM</v>
      </c>
      <c r="H97" s="72">
        <f>H96</f>
        <v>485</v>
      </c>
      <c r="I97" s="48">
        <f>I96</f>
        <v>205</v>
      </c>
      <c r="J97" s="53" t="str">
        <f>J96</f>
        <v>ASME</v>
      </c>
      <c r="K97" s="59" t="str">
        <f t="shared" ref="K97:AU97" si="180">K96</f>
        <v>-</v>
      </c>
      <c r="L97" s="54">
        <f t="shared" si="180"/>
        <v>138</v>
      </c>
      <c r="M97" s="54" t="str">
        <f t="shared" si="180"/>
        <v>-</v>
      </c>
      <c r="N97" s="54">
        <f t="shared" si="180"/>
        <v>138</v>
      </c>
      <c r="O97" s="54">
        <f t="shared" si="180"/>
        <v>138</v>
      </c>
      <c r="P97" s="54">
        <f t="shared" si="180"/>
        <v>136</v>
      </c>
      <c r="Q97" s="54">
        <f t="shared" si="180"/>
        <v>134</v>
      </c>
      <c r="R97" s="54" t="str">
        <f t="shared" si="180"/>
        <v>-</v>
      </c>
      <c r="S97" s="54">
        <f t="shared" si="180"/>
        <v>133</v>
      </c>
      <c r="T97" s="54" t="str">
        <f t="shared" si="180"/>
        <v>-</v>
      </c>
      <c r="U97" s="54">
        <f t="shared" si="180"/>
        <v>125</v>
      </c>
      <c r="V97" s="54" t="str">
        <f t="shared" si="180"/>
        <v>-</v>
      </c>
      <c r="W97" s="54">
        <f t="shared" si="180"/>
        <v>119</v>
      </c>
      <c r="X97" s="54">
        <f t="shared" si="180"/>
        <v>116</v>
      </c>
      <c r="Y97" s="54">
        <f t="shared" si="180"/>
        <v>114</v>
      </c>
      <c r="Z97" s="54">
        <f t="shared" si="180"/>
        <v>112</v>
      </c>
      <c r="AA97" s="54">
        <f t="shared" si="180"/>
        <v>111</v>
      </c>
      <c r="AB97" s="54">
        <f t="shared" si="180"/>
        <v>110</v>
      </c>
      <c r="AC97" s="54">
        <f t="shared" si="180"/>
        <v>108</v>
      </c>
      <c r="AD97" s="54">
        <f t="shared" si="180"/>
        <v>107</v>
      </c>
      <c r="AE97" s="54">
        <f t="shared" si="180"/>
        <v>107</v>
      </c>
      <c r="AF97" s="54">
        <f t="shared" si="180"/>
        <v>104</v>
      </c>
      <c r="AG97" s="54">
        <f t="shared" si="180"/>
        <v>94.7</v>
      </c>
      <c r="AH97" s="54">
        <f t="shared" si="180"/>
        <v>73.7</v>
      </c>
      <c r="AI97" s="54">
        <f t="shared" si="180"/>
        <v>57.9</v>
      </c>
      <c r="AJ97" s="54">
        <f t="shared" si="180"/>
        <v>46</v>
      </c>
      <c r="AK97" s="54">
        <f t="shared" si="180"/>
        <v>36.9</v>
      </c>
      <c r="AL97" s="54">
        <f t="shared" si="180"/>
        <v>30.1</v>
      </c>
      <c r="AM97" s="54">
        <f t="shared" si="180"/>
        <v>24.3</v>
      </c>
      <c r="AN97" s="54">
        <f t="shared" si="180"/>
        <v>20.3</v>
      </c>
      <c r="AO97" s="54">
        <f t="shared" si="180"/>
        <v>17</v>
      </c>
      <c r="AP97" s="54">
        <f t="shared" si="180"/>
        <v>14.3</v>
      </c>
      <c r="AQ97" s="54">
        <f t="shared" si="180"/>
        <v>12.1</v>
      </c>
      <c r="AR97" s="54">
        <f t="shared" si="180"/>
        <v>10.3</v>
      </c>
      <c r="AS97" s="54" t="str">
        <f t="shared" si="180"/>
        <v>-</v>
      </c>
      <c r="AT97" s="54" t="str">
        <f t="shared" si="180"/>
        <v>-</v>
      </c>
      <c r="AU97" s="64" t="str">
        <f t="shared" si="180"/>
        <v>-</v>
      </c>
      <c r="AV97" s="48" t="str">
        <f>AV96</f>
        <v>ASME</v>
      </c>
      <c r="AW97" s="59" t="str">
        <f t="shared" ref="AW97:DH97" si="181">AW96</f>
        <v>-</v>
      </c>
      <c r="AX97" s="54">
        <f t="shared" si="181"/>
        <v>483</v>
      </c>
      <c r="AY97" s="54" t="str">
        <f t="shared" si="181"/>
        <v>-</v>
      </c>
      <c r="AZ97" s="54" t="str">
        <f t="shared" si="181"/>
        <v>-</v>
      </c>
      <c r="BA97" s="54">
        <f t="shared" si="181"/>
        <v>482</v>
      </c>
      <c r="BB97" s="54" t="str">
        <f t="shared" si="181"/>
        <v>-</v>
      </c>
      <c r="BC97" s="54">
        <f t="shared" si="181"/>
        <v>469</v>
      </c>
      <c r="BD97" s="54" t="str">
        <f t="shared" si="181"/>
        <v>-</v>
      </c>
      <c r="BE97" s="54">
        <f t="shared" si="181"/>
        <v>463</v>
      </c>
      <c r="BF97" s="54" t="str">
        <f t="shared" si="181"/>
        <v>-</v>
      </c>
      <c r="BG97" s="54">
        <f t="shared" si="181"/>
        <v>463</v>
      </c>
      <c r="BH97" s="54" t="str">
        <f t="shared" si="181"/>
        <v>-</v>
      </c>
      <c r="BI97" s="54">
        <f t="shared" si="181"/>
        <v>463</v>
      </c>
      <c r="BJ97" s="54">
        <f t="shared" si="181"/>
        <v>463</v>
      </c>
      <c r="BK97" s="54">
        <f t="shared" si="181"/>
        <v>463</v>
      </c>
      <c r="BL97" s="54">
        <f t="shared" si="181"/>
        <v>463</v>
      </c>
      <c r="BM97" s="54">
        <f t="shared" si="181"/>
        <v>460</v>
      </c>
      <c r="BN97" s="54">
        <f t="shared" si="181"/>
        <v>457</v>
      </c>
      <c r="BO97" s="54">
        <f t="shared" si="181"/>
        <v>451</v>
      </c>
      <c r="BP97" s="54">
        <f t="shared" si="181"/>
        <v>443</v>
      </c>
      <c r="BQ97" s="54">
        <f t="shared" si="181"/>
        <v>434</v>
      </c>
      <c r="BR97" s="54">
        <f t="shared" si="181"/>
        <v>422</v>
      </c>
      <c r="BS97" s="54" t="str">
        <f t="shared" si="181"/>
        <v>-</v>
      </c>
      <c r="BT97" s="54" t="str">
        <f t="shared" si="181"/>
        <v>-</v>
      </c>
      <c r="BU97" s="54" t="str">
        <f t="shared" si="181"/>
        <v>-</v>
      </c>
      <c r="BV97" s="54" t="str">
        <f t="shared" si="181"/>
        <v>-</v>
      </c>
      <c r="BW97" s="54" t="str">
        <f t="shared" si="181"/>
        <v>-</v>
      </c>
      <c r="BX97" s="54" t="str">
        <f t="shared" si="181"/>
        <v>-</v>
      </c>
      <c r="BY97" s="54" t="str">
        <f t="shared" si="181"/>
        <v>-</v>
      </c>
      <c r="BZ97" s="54" t="str">
        <f t="shared" si="181"/>
        <v>-</v>
      </c>
      <c r="CA97" s="54" t="str">
        <f t="shared" si="181"/>
        <v>-</v>
      </c>
      <c r="CB97" s="54" t="str">
        <f t="shared" si="181"/>
        <v>-</v>
      </c>
      <c r="CC97" s="54" t="str">
        <f t="shared" si="181"/>
        <v>-</v>
      </c>
      <c r="CD97" s="54" t="str">
        <f t="shared" si="181"/>
        <v>-</v>
      </c>
      <c r="CE97" s="54" t="str">
        <f t="shared" si="181"/>
        <v>-</v>
      </c>
      <c r="CF97" s="54" t="str">
        <f t="shared" si="181"/>
        <v>-</v>
      </c>
      <c r="CG97" s="139" t="str">
        <f t="shared" si="181"/>
        <v>-</v>
      </c>
      <c r="CH97" s="59" t="str">
        <f t="shared" si="181"/>
        <v>-</v>
      </c>
      <c r="CI97" s="54">
        <f t="shared" si="181"/>
        <v>207</v>
      </c>
      <c r="CJ97" s="54" t="str">
        <f t="shared" si="181"/>
        <v>-</v>
      </c>
      <c r="CK97" s="54">
        <f t="shared" si="181"/>
        <v>189</v>
      </c>
      <c r="CL97" s="54">
        <f t="shared" si="181"/>
        <v>176</v>
      </c>
      <c r="CM97" s="54">
        <f t="shared" si="181"/>
        <v>168</v>
      </c>
      <c r="CN97" s="54">
        <f t="shared" si="181"/>
        <v>160</v>
      </c>
      <c r="CO97" s="54">
        <f t="shared" si="181"/>
        <v>154</v>
      </c>
      <c r="CP97" s="54">
        <f t="shared" si="181"/>
        <v>148</v>
      </c>
      <c r="CQ97" s="54">
        <f t="shared" si="181"/>
        <v>143</v>
      </c>
      <c r="CR97" s="54">
        <f t="shared" si="181"/>
        <v>139</v>
      </c>
      <c r="CS97" s="54">
        <f t="shared" si="181"/>
        <v>135</v>
      </c>
      <c r="CT97" s="54">
        <f t="shared" si="181"/>
        <v>131</v>
      </c>
      <c r="CU97" s="54">
        <f t="shared" si="181"/>
        <v>129</v>
      </c>
      <c r="CV97" s="54">
        <f t="shared" si="181"/>
        <v>126</v>
      </c>
      <c r="CW97" s="54">
        <f t="shared" si="181"/>
        <v>124</v>
      </c>
      <c r="CX97" s="54">
        <f t="shared" si="181"/>
        <v>123</v>
      </c>
      <c r="CY97" s="54">
        <f t="shared" si="181"/>
        <v>121</v>
      </c>
      <c r="CZ97" s="54">
        <f t="shared" si="181"/>
        <v>120</v>
      </c>
      <c r="DA97" s="54">
        <f t="shared" si="181"/>
        <v>119</v>
      </c>
      <c r="DB97" s="54">
        <f t="shared" si="181"/>
        <v>118</v>
      </c>
      <c r="DC97" s="54">
        <f t="shared" si="181"/>
        <v>117</v>
      </c>
      <c r="DD97" s="54" t="str">
        <f t="shared" si="181"/>
        <v>-</v>
      </c>
      <c r="DE97" s="54" t="str">
        <f t="shared" si="181"/>
        <v>-</v>
      </c>
      <c r="DF97" s="54" t="str">
        <f t="shared" si="181"/>
        <v>-</v>
      </c>
      <c r="DG97" s="54" t="str">
        <f t="shared" si="181"/>
        <v>-</v>
      </c>
      <c r="DH97" s="54" t="str">
        <f t="shared" si="181"/>
        <v>-</v>
      </c>
      <c r="DI97" s="54" t="str">
        <f t="shared" ref="DI97:DR97" si="182">DI96</f>
        <v>-</v>
      </c>
      <c r="DJ97" s="54" t="str">
        <f t="shared" si="182"/>
        <v>-</v>
      </c>
      <c r="DK97" s="54" t="str">
        <f t="shared" si="182"/>
        <v>-</v>
      </c>
      <c r="DL97" s="54" t="str">
        <f t="shared" si="182"/>
        <v>-</v>
      </c>
      <c r="DM97" s="54" t="str">
        <f t="shared" si="182"/>
        <v>-</v>
      </c>
      <c r="DN97" s="54" t="str">
        <f t="shared" si="182"/>
        <v>-</v>
      </c>
      <c r="DO97" s="54" t="str">
        <f t="shared" si="182"/>
        <v>-</v>
      </c>
      <c r="DP97" s="54" t="str">
        <f t="shared" si="182"/>
        <v>-</v>
      </c>
      <c r="DQ97" s="54" t="str">
        <f t="shared" si="182"/>
        <v>-</v>
      </c>
      <c r="DR97" s="64" t="str">
        <f t="shared" si="182"/>
        <v>-</v>
      </c>
    </row>
    <row r="98" spans="1:122">
      <c r="A98" s="56" t="s">
        <v>132</v>
      </c>
      <c r="B98" s="56"/>
      <c r="C98" s="53" t="s">
        <v>113</v>
      </c>
      <c r="D98" s="53" t="s">
        <v>16</v>
      </c>
      <c r="E98" s="53" t="s">
        <v>16</v>
      </c>
      <c r="F98" s="53" t="s">
        <v>133</v>
      </c>
      <c r="G98" s="53" t="s">
        <v>17</v>
      </c>
      <c r="H98" s="72">
        <v>450</v>
      </c>
      <c r="I98" s="48">
        <v>240</v>
      </c>
      <c r="J98" s="53" t="s">
        <v>18</v>
      </c>
      <c r="K98" s="59" t="s">
        <v>16</v>
      </c>
      <c r="L98" s="34">
        <v>128</v>
      </c>
      <c r="M98" s="34" t="s">
        <v>16</v>
      </c>
      <c r="N98" s="34">
        <v>128</v>
      </c>
      <c r="O98" s="34">
        <v>128</v>
      </c>
      <c r="P98" s="34">
        <v>128</v>
      </c>
      <c r="Q98" s="34">
        <v>128</v>
      </c>
      <c r="R98" s="54" t="s">
        <v>16</v>
      </c>
      <c r="S98" s="34">
        <v>128</v>
      </c>
      <c r="T98" s="54" t="s">
        <v>16</v>
      </c>
      <c r="U98" s="34">
        <v>128</v>
      </c>
      <c r="V98" s="54" t="s">
        <v>16</v>
      </c>
      <c r="W98" s="34">
        <v>125</v>
      </c>
      <c r="X98" s="54">
        <v>122</v>
      </c>
      <c r="Y98" s="54">
        <v>118</v>
      </c>
      <c r="Z98" s="34">
        <v>114</v>
      </c>
      <c r="AA98" s="54" t="s">
        <v>16</v>
      </c>
      <c r="AB98" s="54" t="s">
        <v>16</v>
      </c>
      <c r="AC98" s="54" t="s">
        <v>16</v>
      </c>
      <c r="AD98" s="54" t="s">
        <v>16</v>
      </c>
      <c r="AE98" s="34" t="s">
        <v>16</v>
      </c>
      <c r="AF98" s="34" t="s">
        <v>16</v>
      </c>
      <c r="AG98" s="34" t="s">
        <v>16</v>
      </c>
      <c r="AH98" s="34" t="s">
        <v>16</v>
      </c>
      <c r="AI98" s="34" t="s">
        <v>16</v>
      </c>
      <c r="AJ98" s="34" t="s">
        <v>16</v>
      </c>
      <c r="AK98" s="34" t="s">
        <v>16</v>
      </c>
      <c r="AL98" s="34" t="s">
        <v>16</v>
      </c>
      <c r="AM98" s="34" t="s">
        <v>16</v>
      </c>
      <c r="AN98" s="34" t="s">
        <v>16</v>
      </c>
      <c r="AO98" s="34" t="s">
        <v>16</v>
      </c>
      <c r="AP98" s="34" t="s">
        <v>16</v>
      </c>
      <c r="AQ98" s="34" t="s">
        <v>16</v>
      </c>
      <c r="AR98" s="34" t="s">
        <v>16</v>
      </c>
      <c r="AS98" s="34" t="s">
        <v>16</v>
      </c>
      <c r="AT98" s="34" t="s">
        <v>16</v>
      </c>
      <c r="AU98" s="55" t="s">
        <v>16</v>
      </c>
      <c r="AV98" s="57" t="s">
        <v>18</v>
      </c>
      <c r="AW98" s="63" t="s">
        <v>16</v>
      </c>
      <c r="AX98" s="34">
        <v>448</v>
      </c>
      <c r="AY98" s="34" t="s">
        <v>16</v>
      </c>
      <c r="AZ98" s="34" t="s">
        <v>16</v>
      </c>
      <c r="BA98" s="34">
        <v>448</v>
      </c>
      <c r="BB98" s="34" t="s">
        <v>16</v>
      </c>
      <c r="BC98" s="34">
        <v>448</v>
      </c>
      <c r="BD98" s="34" t="s">
        <v>16</v>
      </c>
      <c r="BE98" s="34">
        <v>448</v>
      </c>
      <c r="BF98" s="34" t="s">
        <v>16</v>
      </c>
      <c r="BG98" s="34">
        <v>448</v>
      </c>
      <c r="BH98" s="34" t="s">
        <v>16</v>
      </c>
      <c r="BI98" s="34">
        <v>448</v>
      </c>
      <c r="BJ98" s="34">
        <v>448</v>
      </c>
      <c r="BK98" s="34">
        <v>448</v>
      </c>
      <c r="BL98" s="34">
        <v>448</v>
      </c>
      <c r="BM98" s="34">
        <v>442</v>
      </c>
      <c r="BN98" s="34">
        <v>414</v>
      </c>
      <c r="BO98" s="34">
        <v>381</v>
      </c>
      <c r="BP98" s="34">
        <v>345</v>
      </c>
      <c r="BQ98" s="34">
        <v>308</v>
      </c>
      <c r="BR98" s="34">
        <v>274</v>
      </c>
      <c r="BS98" s="54" t="s">
        <v>16</v>
      </c>
      <c r="BT98" s="54" t="s">
        <v>16</v>
      </c>
      <c r="BU98" s="54" t="s">
        <v>16</v>
      </c>
      <c r="BV98" s="54" t="s">
        <v>16</v>
      </c>
      <c r="BW98" s="54" t="s">
        <v>16</v>
      </c>
      <c r="BX98" s="54" t="s">
        <v>16</v>
      </c>
      <c r="BY98" s="54" t="s">
        <v>16</v>
      </c>
      <c r="BZ98" s="54" t="s">
        <v>16</v>
      </c>
      <c r="CA98" s="54" t="s">
        <v>16</v>
      </c>
      <c r="CB98" s="54" t="s">
        <v>16</v>
      </c>
      <c r="CC98" s="54" t="s">
        <v>16</v>
      </c>
      <c r="CD98" s="54" t="s">
        <v>16</v>
      </c>
      <c r="CE98" s="54" t="s">
        <v>16</v>
      </c>
      <c r="CF98" s="54" t="s">
        <v>16</v>
      </c>
      <c r="CG98" s="139" t="s">
        <v>16</v>
      </c>
      <c r="CH98" s="63" t="s">
        <v>16</v>
      </c>
      <c r="CI98" s="34">
        <v>241</v>
      </c>
      <c r="CJ98" s="34" t="s">
        <v>16</v>
      </c>
      <c r="CK98" s="34">
        <v>227</v>
      </c>
      <c r="CL98" s="34">
        <v>220</v>
      </c>
      <c r="CM98" s="34">
        <v>217</v>
      </c>
      <c r="CN98" s="34">
        <v>214</v>
      </c>
      <c r="CO98" s="34">
        <v>210</v>
      </c>
      <c r="CP98" s="34">
        <v>207</v>
      </c>
      <c r="CQ98" s="34">
        <v>203</v>
      </c>
      <c r="CR98" s="34">
        <v>198</v>
      </c>
      <c r="CS98" s="34">
        <v>194</v>
      </c>
      <c r="CT98" s="34">
        <v>188</v>
      </c>
      <c r="CU98" s="34">
        <v>183</v>
      </c>
      <c r="CV98" s="34">
        <v>177</v>
      </c>
      <c r="CW98" s="34">
        <v>172</v>
      </c>
      <c r="CX98" s="34">
        <v>167</v>
      </c>
      <c r="CY98" s="34">
        <v>162</v>
      </c>
      <c r="CZ98" s="34">
        <v>158</v>
      </c>
      <c r="DA98" s="34">
        <v>154</v>
      </c>
      <c r="DB98" s="34">
        <v>150</v>
      </c>
      <c r="DC98" s="34">
        <v>146</v>
      </c>
      <c r="DD98" s="34" t="s">
        <v>16</v>
      </c>
      <c r="DE98" s="34" t="s">
        <v>16</v>
      </c>
      <c r="DF98" s="34" t="s">
        <v>16</v>
      </c>
      <c r="DG98" s="34" t="s">
        <v>16</v>
      </c>
      <c r="DH98" s="34" t="s">
        <v>16</v>
      </c>
      <c r="DI98" s="34" t="s">
        <v>16</v>
      </c>
      <c r="DJ98" s="34" t="s">
        <v>16</v>
      </c>
      <c r="DK98" s="34" t="s">
        <v>16</v>
      </c>
      <c r="DL98" s="34" t="s">
        <v>16</v>
      </c>
      <c r="DM98" s="34" t="s">
        <v>16</v>
      </c>
      <c r="DN98" s="34" t="s">
        <v>16</v>
      </c>
      <c r="DO98" s="34" t="s">
        <v>16</v>
      </c>
      <c r="DP98" s="34" t="s">
        <v>16</v>
      </c>
      <c r="DQ98" s="34" t="s">
        <v>16</v>
      </c>
      <c r="DR98" s="55" t="s">
        <v>16</v>
      </c>
    </row>
    <row r="99" spans="1:122">
      <c r="A99" s="56" t="s">
        <v>134</v>
      </c>
      <c r="B99" s="56"/>
      <c r="C99" s="53" t="str">
        <f>C98</f>
        <v>casting</v>
      </c>
      <c r="D99" s="53" t="str">
        <f>D98</f>
        <v>-</v>
      </c>
      <c r="E99" s="53" t="str">
        <f>E98</f>
        <v>-</v>
      </c>
      <c r="F99" s="53" t="s">
        <v>135</v>
      </c>
      <c r="G99" s="53" t="str">
        <f>G98</f>
        <v>ASTM</v>
      </c>
      <c r="H99" s="72">
        <f>H98</f>
        <v>450</v>
      </c>
      <c r="I99" s="48">
        <f t="shared" ref="I99:AU99" si="183">I98</f>
        <v>240</v>
      </c>
      <c r="J99" s="53" t="str">
        <f>J98</f>
        <v>ASME</v>
      </c>
      <c r="K99" s="59" t="str">
        <f t="shared" si="183"/>
        <v>-</v>
      </c>
      <c r="L99" s="54">
        <f t="shared" si="183"/>
        <v>128</v>
      </c>
      <c r="M99" s="54" t="str">
        <f t="shared" si="183"/>
        <v>-</v>
      </c>
      <c r="N99" s="54">
        <f t="shared" si="183"/>
        <v>128</v>
      </c>
      <c r="O99" s="54">
        <f t="shared" si="183"/>
        <v>128</v>
      </c>
      <c r="P99" s="54">
        <f t="shared" si="183"/>
        <v>128</v>
      </c>
      <c r="Q99" s="54">
        <f t="shared" si="183"/>
        <v>128</v>
      </c>
      <c r="R99" s="54" t="str">
        <f t="shared" si="183"/>
        <v>-</v>
      </c>
      <c r="S99" s="54">
        <f t="shared" si="183"/>
        <v>128</v>
      </c>
      <c r="T99" s="54" t="str">
        <f t="shared" si="183"/>
        <v>-</v>
      </c>
      <c r="U99" s="54">
        <f t="shared" si="183"/>
        <v>128</v>
      </c>
      <c r="V99" s="54" t="str">
        <f t="shared" si="183"/>
        <v>-</v>
      </c>
      <c r="W99" s="54">
        <f t="shared" si="183"/>
        <v>125</v>
      </c>
      <c r="X99" s="54">
        <f t="shared" si="183"/>
        <v>122</v>
      </c>
      <c r="Y99" s="54">
        <f t="shared" si="183"/>
        <v>118</v>
      </c>
      <c r="Z99" s="54">
        <f t="shared" si="183"/>
        <v>114</v>
      </c>
      <c r="AA99" s="54" t="str">
        <f t="shared" si="183"/>
        <v>-</v>
      </c>
      <c r="AB99" s="54" t="str">
        <f t="shared" si="183"/>
        <v>-</v>
      </c>
      <c r="AC99" s="54" t="str">
        <f t="shared" si="183"/>
        <v>-</v>
      </c>
      <c r="AD99" s="54" t="str">
        <f t="shared" si="183"/>
        <v>-</v>
      </c>
      <c r="AE99" s="54" t="str">
        <f t="shared" si="183"/>
        <v>-</v>
      </c>
      <c r="AF99" s="54" t="str">
        <f t="shared" si="183"/>
        <v>-</v>
      </c>
      <c r="AG99" s="54" t="str">
        <f t="shared" si="183"/>
        <v>-</v>
      </c>
      <c r="AH99" s="54" t="str">
        <f t="shared" si="183"/>
        <v>-</v>
      </c>
      <c r="AI99" s="54" t="str">
        <f t="shared" si="183"/>
        <v>-</v>
      </c>
      <c r="AJ99" s="54" t="str">
        <f t="shared" si="183"/>
        <v>-</v>
      </c>
      <c r="AK99" s="54" t="str">
        <f t="shared" si="183"/>
        <v>-</v>
      </c>
      <c r="AL99" s="54" t="str">
        <f t="shared" si="183"/>
        <v>-</v>
      </c>
      <c r="AM99" s="54" t="str">
        <f t="shared" si="183"/>
        <v>-</v>
      </c>
      <c r="AN99" s="54" t="str">
        <f t="shared" si="183"/>
        <v>-</v>
      </c>
      <c r="AO99" s="54" t="str">
        <f t="shared" si="183"/>
        <v>-</v>
      </c>
      <c r="AP99" s="54" t="str">
        <f t="shared" si="183"/>
        <v>-</v>
      </c>
      <c r="AQ99" s="54" t="str">
        <f t="shared" si="183"/>
        <v>-</v>
      </c>
      <c r="AR99" s="54" t="str">
        <f t="shared" si="183"/>
        <v>-</v>
      </c>
      <c r="AS99" s="54" t="str">
        <f t="shared" si="183"/>
        <v>-</v>
      </c>
      <c r="AT99" s="54" t="str">
        <f t="shared" si="183"/>
        <v>-</v>
      </c>
      <c r="AU99" s="64" t="str">
        <f t="shared" si="183"/>
        <v>-</v>
      </c>
      <c r="AV99" s="48" t="str">
        <f>AV98</f>
        <v>ASME</v>
      </c>
      <c r="AW99" s="59" t="str">
        <f t="shared" ref="AW99:DH99" si="184">AW98</f>
        <v>-</v>
      </c>
      <c r="AX99" s="54">
        <f t="shared" si="184"/>
        <v>448</v>
      </c>
      <c r="AY99" s="54" t="str">
        <f t="shared" si="184"/>
        <v>-</v>
      </c>
      <c r="AZ99" s="54" t="str">
        <f t="shared" si="184"/>
        <v>-</v>
      </c>
      <c r="BA99" s="54">
        <f t="shared" si="184"/>
        <v>448</v>
      </c>
      <c r="BB99" s="54" t="str">
        <f t="shared" si="184"/>
        <v>-</v>
      </c>
      <c r="BC99" s="54">
        <f t="shared" si="184"/>
        <v>448</v>
      </c>
      <c r="BD99" s="54" t="str">
        <f t="shared" si="184"/>
        <v>-</v>
      </c>
      <c r="BE99" s="54">
        <f t="shared" si="184"/>
        <v>448</v>
      </c>
      <c r="BF99" s="54" t="str">
        <f t="shared" si="184"/>
        <v>-</v>
      </c>
      <c r="BG99" s="54">
        <f t="shared" si="184"/>
        <v>448</v>
      </c>
      <c r="BH99" s="54" t="str">
        <f t="shared" si="184"/>
        <v>-</v>
      </c>
      <c r="BI99" s="54">
        <f t="shared" si="184"/>
        <v>448</v>
      </c>
      <c r="BJ99" s="54">
        <f t="shared" si="184"/>
        <v>448</v>
      </c>
      <c r="BK99" s="54">
        <f t="shared" si="184"/>
        <v>448</v>
      </c>
      <c r="BL99" s="54">
        <f t="shared" si="184"/>
        <v>448</v>
      </c>
      <c r="BM99" s="54">
        <f t="shared" si="184"/>
        <v>442</v>
      </c>
      <c r="BN99" s="54">
        <f t="shared" si="184"/>
        <v>414</v>
      </c>
      <c r="BO99" s="54">
        <f t="shared" si="184"/>
        <v>381</v>
      </c>
      <c r="BP99" s="54">
        <f t="shared" si="184"/>
        <v>345</v>
      </c>
      <c r="BQ99" s="54">
        <f t="shared" si="184"/>
        <v>308</v>
      </c>
      <c r="BR99" s="54">
        <f t="shared" si="184"/>
        <v>274</v>
      </c>
      <c r="BS99" s="54" t="str">
        <f t="shared" si="184"/>
        <v>-</v>
      </c>
      <c r="BT99" s="54" t="str">
        <f t="shared" si="184"/>
        <v>-</v>
      </c>
      <c r="BU99" s="54" t="str">
        <f t="shared" si="184"/>
        <v>-</v>
      </c>
      <c r="BV99" s="54" t="str">
        <f t="shared" si="184"/>
        <v>-</v>
      </c>
      <c r="BW99" s="54" t="str">
        <f t="shared" si="184"/>
        <v>-</v>
      </c>
      <c r="BX99" s="54" t="str">
        <f t="shared" si="184"/>
        <v>-</v>
      </c>
      <c r="BY99" s="54" t="str">
        <f t="shared" si="184"/>
        <v>-</v>
      </c>
      <c r="BZ99" s="54" t="str">
        <f t="shared" si="184"/>
        <v>-</v>
      </c>
      <c r="CA99" s="54" t="str">
        <f t="shared" si="184"/>
        <v>-</v>
      </c>
      <c r="CB99" s="54" t="str">
        <f t="shared" si="184"/>
        <v>-</v>
      </c>
      <c r="CC99" s="54" t="str">
        <f t="shared" si="184"/>
        <v>-</v>
      </c>
      <c r="CD99" s="54" t="str">
        <f t="shared" si="184"/>
        <v>-</v>
      </c>
      <c r="CE99" s="54" t="str">
        <f t="shared" si="184"/>
        <v>-</v>
      </c>
      <c r="CF99" s="54" t="str">
        <f t="shared" si="184"/>
        <v>-</v>
      </c>
      <c r="CG99" s="139" t="str">
        <f t="shared" si="184"/>
        <v>-</v>
      </c>
      <c r="CH99" s="59" t="str">
        <f t="shared" si="184"/>
        <v>-</v>
      </c>
      <c r="CI99" s="54">
        <f t="shared" si="184"/>
        <v>241</v>
      </c>
      <c r="CJ99" s="54" t="str">
        <f t="shared" si="184"/>
        <v>-</v>
      </c>
      <c r="CK99" s="54">
        <f t="shared" si="184"/>
        <v>227</v>
      </c>
      <c r="CL99" s="54">
        <f t="shared" si="184"/>
        <v>220</v>
      </c>
      <c r="CM99" s="54">
        <f t="shared" si="184"/>
        <v>217</v>
      </c>
      <c r="CN99" s="54">
        <f t="shared" si="184"/>
        <v>214</v>
      </c>
      <c r="CO99" s="54">
        <f t="shared" si="184"/>
        <v>210</v>
      </c>
      <c r="CP99" s="54">
        <f t="shared" si="184"/>
        <v>207</v>
      </c>
      <c r="CQ99" s="54">
        <f t="shared" si="184"/>
        <v>203</v>
      </c>
      <c r="CR99" s="54">
        <f t="shared" si="184"/>
        <v>198</v>
      </c>
      <c r="CS99" s="54">
        <f t="shared" si="184"/>
        <v>194</v>
      </c>
      <c r="CT99" s="54">
        <f t="shared" si="184"/>
        <v>188</v>
      </c>
      <c r="CU99" s="54">
        <f t="shared" si="184"/>
        <v>183</v>
      </c>
      <c r="CV99" s="54">
        <f t="shared" si="184"/>
        <v>177</v>
      </c>
      <c r="CW99" s="54">
        <f t="shared" si="184"/>
        <v>172</v>
      </c>
      <c r="CX99" s="54">
        <f t="shared" si="184"/>
        <v>167</v>
      </c>
      <c r="CY99" s="54">
        <f t="shared" si="184"/>
        <v>162</v>
      </c>
      <c r="CZ99" s="54">
        <f t="shared" si="184"/>
        <v>158</v>
      </c>
      <c r="DA99" s="54">
        <f t="shared" si="184"/>
        <v>154</v>
      </c>
      <c r="DB99" s="54">
        <f t="shared" si="184"/>
        <v>150</v>
      </c>
      <c r="DC99" s="54">
        <f t="shared" si="184"/>
        <v>146</v>
      </c>
      <c r="DD99" s="54" t="str">
        <f t="shared" si="184"/>
        <v>-</v>
      </c>
      <c r="DE99" s="54" t="str">
        <f t="shared" si="184"/>
        <v>-</v>
      </c>
      <c r="DF99" s="54" t="str">
        <f t="shared" si="184"/>
        <v>-</v>
      </c>
      <c r="DG99" s="54" t="str">
        <f t="shared" si="184"/>
        <v>-</v>
      </c>
      <c r="DH99" s="54" t="str">
        <f t="shared" si="184"/>
        <v>-</v>
      </c>
      <c r="DI99" s="54" t="str">
        <f t="shared" ref="DI99:DR99" si="185">DI98</f>
        <v>-</v>
      </c>
      <c r="DJ99" s="54" t="str">
        <f t="shared" si="185"/>
        <v>-</v>
      </c>
      <c r="DK99" s="54" t="str">
        <f t="shared" si="185"/>
        <v>-</v>
      </c>
      <c r="DL99" s="54" t="str">
        <f t="shared" si="185"/>
        <v>-</v>
      </c>
      <c r="DM99" s="54" t="str">
        <f t="shared" si="185"/>
        <v>-</v>
      </c>
      <c r="DN99" s="54" t="str">
        <f t="shared" si="185"/>
        <v>-</v>
      </c>
      <c r="DO99" s="54" t="str">
        <f t="shared" si="185"/>
        <v>-</v>
      </c>
      <c r="DP99" s="54" t="str">
        <f t="shared" si="185"/>
        <v>-</v>
      </c>
      <c r="DQ99" s="54" t="str">
        <f t="shared" si="185"/>
        <v>-</v>
      </c>
      <c r="DR99" s="64" t="str">
        <f t="shared" si="185"/>
        <v>-</v>
      </c>
    </row>
    <row r="100" spans="1:122">
      <c r="A100" s="56" t="s">
        <v>136</v>
      </c>
      <c r="B100" s="56"/>
      <c r="C100" s="53" t="s">
        <v>84</v>
      </c>
      <c r="D100" s="53" t="s">
        <v>16</v>
      </c>
      <c r="E100" s="53" t="s">
        <v>16</v>
      </c>
      <c r="F100" s="62" t="s">
        <v>137</v>
      </c>
      <c r="G100" s="62" t="s">
        <v>17</v>
      </c>
      <c r="H100" s="105">
        <v>620</v>
      </c>
      <c r="I100" s="78">
        <v>415</v>
      </c>
      <c r="J100" s="112" t="s">
        <v>18</v>
      </c>
      <c r="K100" s="63" t="s">
        <v>16</v>
      </c>
      <c r="L100" s="34">
        <v>177</v>
      </c>
      <c r="M100" s="34" t="s">
        <v>16</v>
      </c>
      <c r="N100" s="54">
        <v>177</v>
      </c>
      <c r="O100" s="34">
        <v>177</v>
      </c>
      <c r="P100" s="54">
        <v>173</v>
      </c>
      <c r="Q100" s="34">
        <v>170</v>
      </c>
      <c r="R100" s="54" t="s">
        <v>16</v>
      </c>
      <c r="S100" s="34">
        <v>168</v>
      </c>
      <c r="T100" s="54" t="s">
        <v>16</v>
      </c>
      <c r="U100" s="34">
        <v>168</v>
      </c>
      <c r="V100" s="54" t="s">
        <v>16</v>
      </c>
      <c r="W100" s="34">
        <v>168</v>
      </c>
      <c r="X100" s="54" t="s">
        <v>16</v>
      </c>
      <c r="Y100" s="34" t="s">
        <v>16</v>
      </c>
      <c r="Z100" s="54" t="s">
        <v>16</v>
      </c>
      <c r="AA100" s="34" t="s">
        <v>16</v>
      </c>
      <c r="AB100" s="54" t="s">
        <v>16</v>
      </c>
      <c r="AC100" s="34" t="s">
        <v>16</v>
      </c>
      <c r="AD100" s="54" t="s">
        <v>16</v>
      </c>
      <c r="AE100" s="34" t="s">
        <v>16</v>
      </c>
      <c r="AF100" s="54" t="s">
        <v>16</v>
      </c>
      <c r="AG100" s="34" t="s">
        <v>16</v>
      </c>
      <c r="AH100" s="54" t="s">
        <v>16</v>
      </c>
      <c r="AI100" s="34" t="s">
        <v>16</v>
      </c>
      <c r="AJ100" s="54" t="s">
        <v>16</v>
      </c>
      <c r="AK100" s="34" t="s">
        <v>16</v>
      </c>
      <c r="AL100" s="54" t="s">
        <v>16</v>
      </c>
      <c r="AM100" s="34" t="s">
        <v>16</v>
      </c>
      <c r="AN100" s="54" t="s">
        <v>16</v>
      </c>
      <c r="AO100" s="34" t="s">
        <v>16</v>
      </c>
      <c r="AP100" s="54" t="s">
        <v>16</v>
      </c>
      <c r="AQ100" s="34" t="s">
        <v>16</v>
      </c>
      <c r="AR100" s="54" t="s">
        <v>16</v>
      </c>
      <c r="AS100" s="34" t="s">
        <v>16</v>
      </c>
      <c r="AT100" s="54" t="s">
        <v>16</v>
      </c>
      <c r="AU100" s="55" t="s">
        <v>16</v>
      </c>
      <c r="AV100" s="57" t="s">
        <v>16</v>
      </c>
      <c r="AW100" s="63" t="s">
        <v>16</v>
      </c>
      <c r="AX100" s="34" t="s">
        <v>16</v>
      </c>
      <c r="AY100" s="34" t="s">
        <v>16</v>
      </c>
      <c r="AZ100" s="34" t="s">
        <v>16</v>
      </c>
      <c r="BA100" s="34" t="s">
        <v>16</v>
      </c>
      <c r="BB100" s="34" t="s">
        <v>16</v>
      </c>
      <c r="BC100" s="34" t="s">
        <v>16</v>
      </c>
      <c r="BD100" s="34" t="s">
        <v>16</v>
      </c>
      <c r="BE100" s="34" t="s">
        <v>16</v>
      </c>
      <c r="BF100" s="34" t="s">
        <v>16</v>
      </c>
      <c r="BG100" s="34" t="s">
        <v>16</v>
      </c>
      <c r="BH100" s="34" t="s">
        <v>16</v>
      </c>
      <c r="BI100" s="34" t="s">
        <v>16</v>
      </c>
      <c r="BJ100" s="34" t="s">
        <v>16</v>
      </c>
      <c r="BK100" s="34" t="s">
        <v>16</v>
      </c>
      <c r="BL100" s="34" t="s">
        <v>16</v>
      </c>
      <c r="BM100" s="34" t="s">
        <v>16</v>
      </c>
      <c r="BN100" s="34" t="s">
        <v>16</v>
      </c>
      <c r="BO100" s="34" t="s">
        <v>16</v>
      </c>
      <c r="BP100" s="34" t="s">
        <v>16</v>
      </c>
      <c r="BQ100" s="34" t="s">
        <v>16</v>
      </c>
      <c r="BR100" s="34" t="s">
        <v>16</v>
      </c>
      <c r="BS100" s="34" t="s">
        <v>16</v>
      </c>
      <c r="BT100" s="34" t="s">
        <v>16</v>
      </c>
      <c r="BU100" s="34" t="s">
        <v>16</v>
      </c>
      <c r="BV100" s="34" t="s">
        <v>16</v>
      </c>
      <c r="BW100" s="34" t="s">
        <v>16</v>
      </c>
      <c r="BX100" s="34" t="s">
        <v>16</v>
      </c>
      <c r="BY100" s="34" t="s">
        <v>16</v>
      </c>
      <c r="BZ100" s="34" t="s">
        <v>16</v>
      </c>
      <c r="CA100" s="34" t="s">
        <v>16</v>
      </c>
      <c r="CB100" s="34" t="s">
        <v>16</v>
      </c>
      <c r="CC100" s="34" t="s">
        <v>16</v>
      </c>
      <c r="CD100" s="34" t="s">
        <v>16</v>
      </c>
      <c r="CE100" s="34" t="s">
        <v>16</v>
      </c>
      <c r="CF100" s="34" t="s">
        <v>16</v>
      </c>
      <c r="CG100" s="44" t="s">
        <v>16</v>
      </c>
      <c r="CH100" s="63" t="s">
        <v>16</v>
      </c>
      <c r="CI100" s="34" t="s">
        <v>16</v>
      </c>
      <c r="CJ100" s="34" t="s">
        <v>16</v>
      </c>
      <c r="CK100" s="34" t="s">
        <v>16</v>
      </c>
      <c r="CL100" s="34" t="s">
        <v>16</v>
      </c>
      <c r="CM100" s="34" t="s">
        <v>16</v>
      </c>
      <c r="CN100" s="34" t="s">
        <v>16</v>
      </c>
      <c r="CO100" s="34" t="s">
        <v>16</v>
      </c>
      <c r="CP100" s="34" t="s">
        <v>16</v>
      </c>
      <c r="CQ100" s="34" t="s">
        <v>16</v>
      </c>
      <c r="CR100" s="34" t="s">
        <v>16</v>
      </c>
      <c r="CS100" s="34" t="s">
        <v>16</v>
      </c>
      <c r="CT100" s="34" t="s">
        <v>16</v>
      </c>
      <c r="CU100" s="34" t="s">
        <v>16</v>
      </c>
      <c r="CV100" s="34" t="s">
        <v>16</v>
      </c>
      <c r="CW100" s="34" t="s">
        <v>16</v>
      </c>
      <c r="CX100" s="34" t="s">
        <v>16</v>
      </c>
      <c r="CY100" s="34" t="s">
        <v>16</v>
      </c>
      <c r="CZ100" s="34" t="s">
        <v>16</v>
      </c>
      <c r="DA100" s="34" t="s">
        <v>16</v>
      </c>
      <c r="DB100" s="34" t="s">
        <v>16</v>
      </c>
      <c r="DC100" s="34" t="s">
        <v>16</v>
      </c>
      <c r="DD100" s="34" t="s">
        <v>16</v>
      </c>
      <c r="DE100" s="34" t="s">
        <v>16</v>
      </c>
      <c r="DF100" s="34" t="s">
        <v>16</v>
      </c>
      <c r="DG100" s="34" t="s">
        <v>16</v>
      </c>
      <c r="DH100" s="34" t="s">
        <v>16</v>
      </c>
      <c r="DI100" s="34" t="s">
        <v>16</v>
      </c>
      <c r="DJ100" s="34" t="s">
        <v>16</v>
      </c>
      <c r="DK100" s="34" t="s">
        <v>16</v>
      </c>
      <c r="DL100" s="34" t="s">
        <v>16</v>
      </c>
      <c r="DM100" s="34" t="s">
        <v>16</v>
      </c>
      <c r="DN100" s="34" t="s">
        <v>16</v>
      </c>
      <c r="DO100" s="34" t="s">
        <v>16</v>
      </c>
      <c r="DP100" s="34" t="s">
        <v>16</v>
      </c>
      <c r="DQ100" s="34" t="s">
        <v>16</v>
      </c>
      <c r="DR100" s="55" t="s">
        <v>16</v>
      </c>
    </row>
    <row r="101" spans="1:122">
      <c r="A101" s="56" t="s">
        <v>138</v>
      </c>
      <c r="B101" s="56"/>
      <c r="C101" s="53" t="str">
        <f>C100</f>
        <v>pressure casting</v>
      </c>
      <c r="D101" s="53" t="str">
        <f>D100</f>
        <v>-</v>
      </c>
      <c r="E101" s="53" t="str">
        <f>E100</f>
        <v>-</v>
      </c>
      <c r="F101" s="69" t="s">
        <v>139</v>
      </c>
      <c r="G101" s="69" t="str">
        <f t="shared" ref="G101:M101" si="186">G100</f>
        <v>ASTM</v>
      </c>
      <c r="H101" s="79">
        <f t="shared" si="186"/>
        <v>620</v>
      </c>
      <c r="I101" s="65">
        <f t="shared" si="186"/>
        <v>415</v>
      </c>
      <c r="J101" s="95" t="str">
        <f t="shared" si="186"/>
        <v>ASME</v>
      </c>
      <c r="K101" s="63" t="str">
        <f t="shared" si="186"/>
        <v>-</v>
      </c>
      <c r="L101" s="34">
        <f t="shared" si="186"/>
        <v>177</v>
      </c>
      <c r="M101" s="34" t="str">
        <f t="shared" si="186"/>
        <v>-</v>
      </c>
      <c r="N101" s="34">
        <f t="shared" ref="N101:AU101" si="187">N100</f>
        <v>177</v>
      </c>
      <c r="O101" s="34">
        <f t="shared" si="187"/>
        <v>177</v>
      </c>
      <c r="P101" s="34">
        <f t="shared" si="187"/>
        <v>173</v>
      </c>
      <c r="Q101" s="34">
        <f t="shared" si="187"/>
        <v>170</v>
      </c>
      <c r="R101" s="34" t="str">
        <f t="shared" si="187"/>
        <v>-</v>
      </c>
      <c r="S101" s="34">
        <f t="shared" si="187"/>
        <v>168</v>
      </c>
      <c r="T101" s="34" t="str">
        <f t="shared" si="187"/>
        <v>-</v>
      </c>
      <c r="U101" s="34">
        <f t="shared" si="187"/>
        <v>168</v>
      </c>
      <c r="V101" s="34" t="str">
        <f t="shared" si="187"/>
        <v>-</v>
      </c>
      <c r="W101" s="34">
        <f t="shared" si="187"/>
        <v>168</v>
      </c>
      <c r="X101" s="34" t="str">
        <f t="shared" si="187"/>
        <v>-</v>
      </c>
      <c r="Y101" s="34" t="str">
        <f t="shared" si="187"/>
        <v>-</v>
      </c>
      <c r="Z101" s="34" t="str">
        <f t="shared" si="187"/>
        <v>-</v>
      </c>
      <c r="AA101" s="34" t="str">
        <f t="shared" si="187"/>
        <v>-</v>
      </c>
      <c r="AB101" s="34" t="str">
        <f t="shared" si="187"/>
        <v>-</v>
      </c>
      <c r="AC101" s="34" t="str">
        <f t="shared" si="187"/>
        <v>-</v>
      </c>
      <c r="AD101" s="34" t="str">
        <f t="shared" si="187"/>
        <v>-</v>
      </c>
      <c r="AE101" s="34" t="str">
        <f t="shared" si="187"/>
        <v>-</v>
      </c>
      <c r="AF101" s="34" t="str">
        <f t="shared" si="187"/>
        <v>-</v>
      </c>
      <c r="AG101" s="34" t="str">
        <f t="shared" si="187"/>
        <v>-</v>
      </c>
      <c r="AH101" s="34" t="str">
        <f t="shared" si="187"/>
        <v>-</v>
      </c>
      <c r="AI101" s="34" t="str">
        <f t="shared" si="187"/>
        <v>-</v>
      </c>
      <c r="AJ101" s="34" t="str">
        <f t="shared" si="187"/>
        <v>-</v>
      </c>
      <c r="AK101" s="34" t="str">
        <f t="shared" si="187"/>
        <v>-</v>
      </c>
      <c r="AL101" s="34" t="str">
        <f t="shared" si="187"/>
        <v>-</v>
      </c>
      <c r="AM101" s="34" t="str">
        <f t="shared" si="187"/>
        <v>-</v>
      </c>
      <c r="AN101" s="34" t="str">
        <f t="shared" si="187"/>
        <v>-</v>
      </c>
      <c r="AO101" s="34" t="str">
        <f t="shared" si="187"/>
        <v>-</v>
      </c>
      <c r="AP101" s="34" t="str">
        <f t="shared" si="187"/>
        <v>-</v>
      </c>
      <c r="AQ101" s="34" t="str">
        <f t="shared" si="187"/>
        <v>-</v>
      </c>
      <c r="AR101" s="34" t="str">
        <f t="shared" si="187"/>
        <v>-</v>
      </c>
      <c r="AS101" s="34" t="str">
        <f t="shared" si="187"/>
        <v>-</v>
      </c>
      <c r="AT101" s="34" t="str">
        <f t="shared" si="187"/>
        <v>-</v>
      </c>
      <c r="AU101" s="55" t="str">
        <f t="shared" si="187"/>
        <v>-</v>
      </c>
      <c r="AV101" s="57" t="s">
        <v>16</v>
      </c>
      <c r="AW101" s="63" t="s">
        <v>16</v>
      </c>
      <c r="AX101" s="34" t="s">
        <v>16</v>
      </c>
      <c r="AY101" s="34" t="s">
        <v>16</v>
      </c>
      <c r="AZ101" s="34" t="s">
        <v>16</v>
      </c>
      <c r="BA101" s="34" t="s">
        <v>16</v>
      </c>
      <c r="BB101" s="34" t="s">
        <v>16</v>
      </c>
      <c r="BC101" s="34" t="s">
        <v>16</v>
      </c>
      <c r="BD101" s="34" t="s">
        <v>16</v>
      </c>
      <c r="BE101" s="34" t="s">
        <v>16</v>
      </c>
      <c r="BF101" s="34" t="s">
        <v>16</v>
      </c>
      <c r="BG101" s="34" t="s">
        <v>16</v>
      </c>
      <c r="BH101" s="34" t="s">
        <v>16</v>
      </c>
      <c r="BI101" s="34" t="s">
        <v>16</v>
      </c>
      <c r="BJ101" s="34" t="s">
        <v>16</v>
      </c>
      <c r="BK101" s="34" t="s">
        <v>16</v>
      </c>
      <c r="BL101" s="34" t="s">
        <v>16</v>
      </c>
      <c r="BM101" s="34" t="s">
        <v>16</v>
      </c>
      <c r="BN101" s="34" t="s">
        <v>16</v>
      </c>
      <c r="BO101" s="34" t="s">
        <v>16</v>
      </c>
      <c r="BP101" s="34" t="s">
        <v>16</v>
      </c>
      <c r="BQ101" s="34" t="s">
        <v>16</v>
      </c>
      <c r="BR101" s="34" t="s">
        <v>16</v>
      </c>
      <c r="BS101" s="34" t="s">
        <v>16</v>
      </c>
      <c r="BT101" s="34" t="s">
        <v>16</v>
      </c>
      <c r="BU101" s="34" t="s">
        <v>16</v>
      </c>
      <c r="BV101" s="34" t="s">
        <v>16</v>
      </c>
      <c r="BW101" s="34" t="s">
        <v>16</v>
      </c>
      <c r="BX101" s="34" t="s">
        <v>16</v>
      </c>
      <c r="BY101" s="34" t="s">
        <v>16</v>
      </c>
      <c r="BZ101" s="34" t="s">
        <v>16</v>
      </c>
      <c r="CA101" s="34" t="s">
        <v>16</v>
      </c>
      <c r="CB101" s="34" t="s">
        <v>16</v>
      </c>
      <c r="CC101" s="34" t="s">
        <v>16</v>
      </c>
      <c r="CD101" s="34" t="s">
        <v>16</v>
      </c>
      <c r="CE101" s="34" t="s">
        <v>16</v>
      </c>
      <c r="CF101" s="34" t="s">
        <v>16</v>
      </c>
      <c r="CG101" s="44" t="s">
        <v>16</v>
      </c>
      <c r="CH101" s="63" t="s">
        <v>16</v>
      </c>
      <c r="CI101" s="34" t="s">
        <v>16</v>
      </c>
      <c r="CJ101" s="34" t="s">
        <v>16</v>
      </c>
      <c r="CK101" s="34" t="s">
        <v>16</v>
      </c>
      <c r="CL101" s="34" t="s">
        <v>16</v>
      </c>
      <c r="CM101" s="34" t="s">
        <v>16</v>
      </c>
      <c r="CN101" s="34" t="s">
        <v>16</v>
      </c>
      <c r="CO101" s="34" t="s">
        <v>16</v>
      </c>
      <c r="CP101" s="34" t="s">
        <v>16</v>
      </c>
      <c r="CQ101" s="34" t="s">
        <v>16</v>
      </c>
      <c r="CR101" s="34" t="s">
        <v>16</v>
      </c>
      <c r="CS101" s="34" t="s">
        <v>16</v>
      </c>
      <c r="CT101" s="34" t="s">
        <v>16</v>
      </c>
      <c r="CU101" s="34" t="s">
        <v>16</v>
      </c>
      <c r="CV101" s="34" t="s">
        <v>16</v>
      </c>
      <c r="CW101" s="34" t="s">
        <v>16</v>
      </c>
      <c r="CX101" s="34" t="s">
        <v>16</v>
      </c>
      <c r="CY101" s="34" t="s">
        <v>16</v>
      </c>
      <c r="CZ101" s="34" t="s">
        <v>16</v>
      </c>
      <c r="DA101" s="34" t="s">
        <v>16</v>
      </c>
      <c r="DB101" s="34" t="s">
        <v>16</v>
      </c>
      <c r="DC101" s="34" t="s">
        <v>16</v>
      </c>
      <c r="DD101" s="34" t="s">
        <v>16</v>
      </c>
      <c r="DE101" s="34" t="s">
        <v>16</v>
      </c>
      <c r="DF101" s="34" t="s">
        <v>16</v>
      </c>
      <c r="DG101" s="34" t="s">
        <v>16</v>
      </c>
      <c r="DH101" s="34" t="s">
        <v>16</v>
      </c>
      <c r="DI101" s="34" t="s">
        <v>16</v>
      </c>
      <c r="DJ101" s="34" t="s">
        <v>16</v>
      </c>
      <c r="DK101" s="34" t="s">
        <v>16</v>
      </c>
      <c r="DL101" s="34" t="s">
        <v>16</v>
      </c>
      <c r="DM101" s="34" t="s">
        <v>16</v>
      </c>
      <c r="DN101" s="34" t="s">
        <v>16</v>
      </c>
      <c r="DO101" s="34" t="s">
        <v>16</v>
      </c>
      <c r="DP101" s="34" t="s">
        <v>16</v>
      </c>
      <c r="DQ101" s="34" t="s">
        <v>16</v>
      </c>
      <c r="DR101" s="55" t="s">
        <v>16</v>
      </c>
    </row>
    <row r="102" spans="1:122">
      <c r="A102" s="56" t="s">
        <v>140</v>
      </c>
      <c r="B102" s="56"/>
      <c r="C102" s="53" t="s">
        <v>113</v>
      </c>
      <c r="D102" s="53" t="s">
        <v>16</v>
      </c>
      <c r="E102" s="53" t="s">
        <v>16</v>
      </c>
      <c r="F102" s="53" t="s">
        <v>141</v>
      </c>
      <c r="G102" s="53" t="s">
        <v>17</v>
      </c>
      <c r="H102" s="72">
        <v>485</v>
      </c>
      <c r="I102" s="48">
        <v>250</v>
      </c>
      <c r="J102" s="53" t="s">
        <v>18</v>
      </c>
      <c r="K102" s="59" t="s">
        <v>16</v>
      </c>
      <c r="L102" s="34">
        <v>138</v>
      </c>
      <c r="M102" s="34" t="s">
        <v>16</v>
      </c>
      <c r="N102" s="34">
        <v>138</v>
      </c>
      <c r="O102" s="34">
        <v>138</v>
      </c>
      <c r="P102" s="34">
        <v>138</v>
      </c>
      <c r="Q102" s="34">
        <v>138</v>
      </c>
      <c r="R102" s="34" t="s">
        <v>16</v>
      </c>
      <c r="S102" s="34">
        <v>138</v>
      </c>
      <c r="T102" s="34" t="s">
        <v>16</v>
      </c>
      <c r="U102" s="34">
        <v>136</v>
      </c>
      <c r="V102" s="34" t="s">
        <v>16</v>
      </c>
      <c r="W102" s="34">
        <v>129</v>
      </c>
      <c r="X102" s="34">
        <v>125</v>
      </c>
      <c r="Y102" s="34">
        <v>122</v>
      </c>
      <c r="Z102" s="34">
        <v>117</v>
      </c>
      <c r="AA102" s="34">
        <v>101</v>
      </c>
      <c r="AB102" s="34">
        <v>83.9</v>
      </c>
      <c r="AC102" s="34">
        <v>67</v>
      </c>
      <c r="AD102" s="34">
        <v>51.1</v>
      </c>
      <c r="AE102" s="34">
        <v>33.6</v>
      </c>
      <c r="AF102" s="34">
        <v>21.3</v>
      </c>
      <c r="AG102" s="34">
        <v>12.9</v>
      </c>
      <c r="AH102" s="34" t="s">
        <v>16</v>
      </c>
      <c r="AI102" s="34" t="s">
        <v>16</v>
      </c>
      <c r="AJ102" s="34" t="s">
        <v>16</v>
      </c>
      <c r="AK102" s="34" t="s">
        <v>16</v>
      </c>
      <c r="AL102" s="34" t="s">
        <v>16</v>
      </c>
      <c r="AM102" s="34" t="s">
        <v>16</v>
      </c>
      <c r="AN102" s="34" t="s">
        <v>16</v>
      </c>
      <c r="AO102" s="34" t="s">
        <v>16</v>
      </c>
      <c r="AP102" s="34" t="s">
        <v>16</v>
      </c>
      <c r="AQ102" s="34" t="s">
        <v>16</v>
      </c>
      <c r="AR102" s="34" t="s">
        <v>16</v>
      </c>
      <c r="AS102" s="34" t="s">
        <v>16</v>
      </c>
      <c r="AT102" s="34" t="s">
        <v>16</v>
      </c>
      <c r="AU102" s="55" t="s">
        <v>16</v>
      </c>
      <c r="AV102" s="57" t="s">
        <v>18</v>
      </c>
      <c r="AW102" s="63" t="s">
        <v>16</v>
      </c>
      <c r="AX102" s="34">
        <v>483</v>
      </c>
      <c r="AY102" s="34" t="s">
        <v>16</v>
      </c>
      <c r="AZ102" s="34" t="s">
        <v>16</v>
      </c>
      <c r="BA102" s="34">
        <v>483</v>
      </c>
      <c r="BB102" s="34" t="s">
        <v>16</v>
      </c>
      <c r="BC102" s="34">
        <v>483</v>
      </c>
      <c r="BD102" s="34" t="s">
        <v>16</v>
      </c>
      <c r="BE102" s="34">
        <v>483</v>
      </c>
      <c r="BF102" s="34" t="s">
        <v>16</v>
      </c>
      <c r="BG102" s="34">
        <v>483</v>
      </c>
      <c r="BH102" s="34" t="s">
        <v>16</v>
      </c>
      <c r="BI102" s="34">
        <v>483</v>
      </c>
      <c r="BJ102" s="34">
        <v>483</v>
      </c>
      <c r="BK102" s="34">
        <v>483</v>
      </c>
      <c r="BL102" s="34">
        <v>483</v>
      </c>
      <c r="BM102" s="34">
        <v>476</v>
      </c>
      <c r="BN102" s="34">
        <v>446</v>
      </c>
      <c r="BO102" s="34">
        <v>411</v>
      </c>
      <c r="BP102" s="34">
        <v>372</v>
      </c>
      <c r="BQ102" s="34">
        <v>332</v>
      </c>
      <c r="BR102" s="34">
        <v>296</v>
      </c>
      <c r="BS102" s="54" t="s">
        <v>16</v>
      </c>
      <c r="BT102" s="54" t="s">
        <v>16</v>
      </c>
      <c r="BU102" s="54" t="s">
        <v>16</v>
      </c>
      <c r="BV102" s="54" t="s">
        <v>16</v>
      </c>
      <c r="BW102" s="54" t="s">
        <v>16</v>
      </c>
      <c r="BX102" s="54" t="s">
        <v>16</v>
      </c>
      <c r="BY102" s="54" t="s">
        <v>16</v>
      </c>
      <c r="BZ102" s="54" t="s">
        <v>16</v>
      </c>
      <c r="CA102" s="54" t="s">
        <v>16</v>
      </c>
      <c r="CB102" s="54" t="s">
        <v>16</v>
      </c>
      <c r="CC102" s="54" t="s">
        <v>16</v>
      </c>
      <c r="CD102" s="54" t="s">
        <v>16</v>
      </c>
      <c r="CE102" s="54" t="s">
        <v>16</v>
      </c>
      <c r="CF102" s="54" t="s">
        <v>16</v>
      </c>
      <c r="CG102" s="139" t="s">
        <v>16</v>
      </c>
      <c r="CH102" s="63" t="s">
        <v>16</v>
      </c>
      <c r="CI102" s="34">
        <v>248</v>
      </c>
      <c r="CJ102" s="34" t="s">
        <v>16</v>
      </c>
      <c r="CK102" s="34">
        <v>233</v>
      </c>
      <c r="CL102" s="34">
        <v>227</v>
      </c>
      <c r="CM102" s="34">
        <v>223</v>
      </c>
      <c r="CN102" s="34">
        <v>219</v>
      </c>
      <c r="CO102" s="34">
        <v>216</v>
      </c>
      <c r="CP102" s="34">
        <v>213</v>
      </c>
      <c r="CQ102" s="34">
        <v>209</v>
      </c>
      <c r="CR102" s="34">
        <v>204</v>
      </c>
      <c r="CS102" s="34">
        <v>199</v>
      </c>
      <c r="CT102" s="34">
        <v>194</v>
      </c>
      <c r="CU102" s="34">
        <v>188</v>
      </c>
      <c r="CV102" s="34">
        <v>183</v>
      </c>
      <c r="CW102" s="34">
        <v>177</v>
      </c>
      <c r="CX102" s="34">
        <v>171</v>
      </c>
      <c r="CY102" s="34">
        <v>166</v>
      </c>
      <c r="CZ102" s="34">
        <v>162</v>
      </c>
      <c r="DA102" s="34">
        <v>158</v>
      </c>
      <c r="DB102" s="34">
        <v>154</v>
      </c>
      <c r="DC102" s="34">
        <v>150</v>
      </c>
      <c r="DD102" s="34" t="s">
        <v>16</v>
      </c>
      <c r="DE102" s="34" t="s">
        <v>16</v>
      </c>
      <c r="DF102" s="34" t="s">
        <v>16</v>
      </c>
      <c r="DG102" s="34" t="s">
        <v>16</v>
      </c>
      <c r="DH102" s="34" t="s">
        <v>16</v>
      </c>
      <c r="DI102" s="34" t="s">
        <v>16</v>
      </c>
      <c r="DJ102" s="34" t="s">
        <v>16</v>
      </c>
      <c r="DK102" s="34" t="s">
        <v>16</v>
      </c>
      <c r="DL102" s="34" t="s">
        <v>16</v>
      </c>
      <c r="DM102" s="34" t="s">
        <v>16</v>
      </c>
      <c r="DN102" s="34" t="s">
        <v>16</v>
      </c>
      <c r="DO102" s="34" t="s">
        <v>16</v>
      </c>
      <c r="DP102" s="34" t="s">
        <v>16</v>
      </c>
      <c r="DQ102" s="34" t="s">
        <v>16</v>
      </c>
      <c r="DR102" s="55" t="s">
        <v>16</v>
      </c>
    </row>
    <row r="103" spans="1:122">
      <c r="A103" s="56" t="s">
        <v>142</v>
      </c>
      <c r="B103" s="96"/>
      <c r="C103" s="62" t="str">
        <f>C102</f>
        <v>casting</v>
      </c>
      <c r="D103" s="72" t="str">
        <f>D102</f>
        <v>-</v>
      </c>
      <c r="E103" s="72" t="str">
        <f>E102</f>
        <v>-</v>
      </c>
      <c r="F103" s="53" t="s">
        <v>143</v>
      </c>
      <c r="G103" s="53" t="str">
        <f>G102</f>
        <v>ASTM</v>
      </c>
      <c r="H103" s="72">
        <f>H102</f>
        <v>485</v>
      </c>
      <c r="I103" s="48">
        <f t="shared" ref="I103:AU103" si="188">I102</f>
        <v>250</v>
      </c>
      <c r="J103" s="53" t="str">
        <f>J102</f>
        <v>ASME</v>
      </c>
      <c r="K103" s="59" t="str">
        <f t="shared" si="188"/>
        <v>-</v>
      </c>
      <c r="L103" s="54">
        <f t="shared" si="188"/>
        <v>138</v>
      </c>
      <c r="M103" s="54" t="str">
        <f t="shared" si="188"/>
        <v>-</v>
      </c>
      <c r="N103" s="54">
        <f t="shared" si="188"/>
        <v>138</v>
      </c>
      <c r="O103" s="54">
        <f t="shared" si="188"/>
        <v>138</v>
      </c>
      <c r="P103" s="54">
        <f t="shared" si="188"/>
        <v>138</v>
      </c>
      <c r="Q103" s="54">
        <f t="shared" si="188"/>
        <v>138</v>
      </c>
      <c r="R103" s="54" t="str">
        <f t="shared" si="188"/>
        <v>-</v>
      </c>
      <c r="S103" s="54">
        <f t="shared" si="188"/>
        <v>138</v>
      </c>
      <c r="T103" s="54" t="str">
        <f t="shared" si="188"/>
        <v>-</v>
      </c>
      <c r="U103" s="54">
        <f t="shared" si="188"/>
        <v>136</v>
      </c>
      <c r="V103" s="54" t="str">
        <f t="shared" si="188"/>
        <v>-</v>
      </c>
      <c r="W103" s="54">
        <f t="shared" si="188"/>
        <v>129</v>
      </c>
      <c r="X103" s="54">
        <f t="shared" si="188"/>
        <v>125</v>
      </c>
      <c r="Y103" s="54">
        <f t="shared" si="188"/>
        <v>122</v>
      </c>
      <c r="Z103" s="54">
        <f t="shared" si="188"/>
        <v>117</v>
      </c>
      <c r="AA103" s="54">
        <f t="shared" si="188"/>
        <v>101</v>
      </c>
      <c r="AB103" s="54">
        <f t="shared" si="188"/>
        <v>83.9</v>
      </c>
      <c r="AC103" s="54">
        <f t="shared" si="188"/>
        <v>67</v>
      </c>
      <c r="AD103" s="54">
        <f t="shared" si="188"/>
        <v>51.1</v>
      </c>
      <c r="AE103" s="54">
        <f t="shared" si="188"/>
        <v>33.6</v>
      </c>
      <c r="AF103" s="54">
        <f t="shared" si="188"/>
        <v>21.3</v>
      </c>
      <c r="AG103" s="54">
        <f t="shared" si="188"/>
        <v>12.9</v>
      </c>
      <c r="AH103" s="54" t="str">
        <f t="shared" si="188"/>
        <v>-</v>
      </c>
      <c r="AI103" s="54" t="str">
        <f t="shared" si="188"/>
        <v>-</v>
      </c>
      <c r="AJ103" s="54" t="str">
        <f t="shared" si="188"/>
        <v>-</v>
      </c>
      <c r="AK103" s="54" t="str">
        <f t="shared" si="188"/>
        <v>-</v>
      </c>
      <c r="AL103" s="54" t="str">
        <f t="shared" si="188"/>
        <v>-</v>
      </c>
      <c r="AM103" s="54" t="str">
        <f t="shared" si="188"/>
        <v>-</v>
      </c>
      <c r="AN103" s="54" t="str">
        <f t="shared" si="188"/>
        <v>-</v>
      </c>
      <c r="AO103" s="54" t="str">
        <f t="shared" si="188"/>
        <v>-</v>
      </c>
      <c r="AP103" s="54" t="str">
        <f t="shared" si="188"/>
        <v>-</v>
      </c>
      <c r="AQ103" s="54" t="str">
        <f t="shared" si="188"/>
        <v>-</v>
      </c>
      <c r="AR103" s="54" t="str">
        <f t="shared" si="188"/>
        <v>-</v>
      </c>
      <c r="AS103" s="54" t="str">
        <f t="shared" si="188"/>
        <v>-</v>
      </c>
      <c r="AT103" s="54" t="str">
        <f t="shared" si="188"/>
        <v>-</v>
      </c>
      <c r="AU103" s="64" t="str">
        <f t="shared" si="188"/>
        <v>-</v>
      </c>
      <c r="AV103" s="48" t="str">
        <f>AV102</f>
        <v>ASME</v>
      </c>
      <c r="AW103" s="59" t="str">
        <f t="shared" ref="AW103:DH103" si="189">AW102</f>
        <v>-</v>
      </c>
      <c r="AX103" s="54">
        <f t="shared" si="189"/>
        <v>483</v>
      </c>
      <c r="AY103" s="54" t="str">
        <f t="shared" si="189"/>
        <v>-</v>
      </c>
      <c r="AZ103" s="54" t="str">
        <f t="shared" si="189"/>
        <v>-</v>
      </c>
      <c r="BA103" s="54">
        <f t="shared" si="189"/>
        <v>483</v>
      </c>
      <c r="BB103" s="54" t="str">
        <f t="shared" si="189"/>
        <v>-</v>
      </c>
      <c r="BC103" s="54">
        <f t="shared" si="189"/>
        <v>483</v>
      </c>
      <c r="BD103" s="54" t="str">
        <f t="shared" si="189"/>
        <v>-</v>
      </c>
      <c r="BE103" s="54">
        <f t="shared" si="189"/>
        <v>483</v>
      </c>
      <c r="BF103" s="54" t="str">
        <f t="shared" si="189"/>
        <v>-</v>
      </c>
      <c r="BG103" s="54">
        <f t="shared" si="189"/>
        <v>483</v>
      </c>
      <c r="BH103" s="54" t="str">
        <f t="shared" si="189"/>
        <v>-</v>
      </c>
      <c r="BI103" s="54">
        <f t="shared" si="189"/>
        <v>483</v>
      </c>
      <c r="BJ103" s="54">
        <f t="shared" si="189"/>
        <v>483</v>
      </c>
      <c r="BK103" s="54">
        <f t="shared" si="189"/>
        <v>483</v>
      </c>
      <c r="BL103" s="54">
        <f t="shared" si="189"/>
        <v>483</v>
      </c>
      <c r="BM103" s="54">
        <f t="shared" si="189"/>
        <v>476</v>
      </c>
      <c r="BN103" s="54">
        <f t="shared" si="189"/>
        <v>446</v>
      </c>
      <c r="BO103" s="54">
        <f t="shared" si="189"/>
        <v>411</v>
      </c>
      <c r="BP103" s="54">
        <f t="shared" si="189"/>
        <v>372</v>
      </c>
      <c r="BQ103" s="54">
        <f t="shared" si="189"/>
        <v>332</v>
      </c>
      <c r="BR103" s="54">
        <f t="shared" si="189"/>
        <v>296</v>
      </c>
      <c r="BS103" s="54" t="str">
        <f t="shared" si="189"/>
        <v>-</v>
      </c>
      <c r="BT103" s="54" t="str">
        <f t="shared" si="189"/>
        <v>-</v>
      </c>
      <c r="BU103" s="54" t="str">
        <f t="shared" si="189"/>
        <v>-</v>
      </c>
      <c r="BV103" s="54" t="str">
        <f t="shared" si="189"/>
        <v>-</v>
      </c>
      <c r="BW103" s="54" t="str">
        <f t="shared" si="189"/>
        <v>-</v>
      </c>
      <c r="BX103" s="54" t="str">
        <f t="shared" si="189"/>
        <v>-</v>
      </c>
      <c r="BY103" s="54" t="str">
        <f t="shared" si="189"/>
        <v>-</v>
      </c>
      <c r="BZ103" s="54" t="str">
        <f t="shared" si="189"/>
        <v>-</v>
      </c>
      <c r="CA103" s="54" t="str">
        <f t="shared" si="189"/>
        <v>-</v>
      </c>
      <c r="CB103" s="54" t="str">
        <f t="shared" si="189"/>
        <v>-</v>
      </c>
      <c r="CC103" s="54" t="str">
        <f t="shared" si="189"/>
        <v>-</v>
      </c>
      <c r="CD103" s="54" t="str">
        <f t="shared" si="189"/>
        <v>-</v>
      </c>
      <c r="CE103" s="54" t="str">
        <f t="shared" si="189"/>
        <v>-</v>
      </c>
      <c r="CF103" s="54" t="str">
        <f t="shared" si="189"/>
        <v>-</v>
      </c>
      <c r="CG103" s="139" t="str">
        <f t="shared" si="189"/>
        <v>-</v>
      </c>
      <c r="CH103" s="59" t="str">
        <f t="shared" si="189"/>
        <v>-</v>
      </c>
      <c r="CI103" s="54">
        <f t="shared" si="189"/>
        <v>248</v>
      </c>
      <c r="CJ103" s="54" t="str">
        <f t="shared" si="189"/>
        <v>-</v>
      </c>
      <c r="CK103" s="54">
        <f t="shared" si="189"/>
        <v>233</v>
      </c>
      <c r="CL103" s="54">
        <f t="shared" si="189"/>
        <v>227</v>
      </c>
      <c r="CM103" s="54">
        <f t="shared" si="189"/>
        <v>223</v>
      </c>
      <c r="CN103" s="54">
        <f t="shared" si="189"/>
        <v>219</v>
      </c>
      <c r="CO103" s="54">
        <f t="shared" si="189"/>
        <v>216</v>
      </c>
      <c r="CP103" s="54">
        <f t="shared" si="189"/>
        <v>213</v>
      </c>
      <c r="CQ103" s="54">
        <f t="shared" si="189"/>
        <v>209</v>
      </c>
      <c r="CR103" s="54">
        <f t="shared" si="189"/>
        <v>204</v>
      </c>
      <c r="CS103" s="54">
        <f t="shared" si="189"/>
        <v>199</v>
      </c>
      <c r="CT103" s="54">
        <f t="shared" si="189"/>
        <v>194</v>
      </c>
      <c r="CU103" s="54">
        <f t="shared" si="189"/>
        <v>188</v>
      </c>
      <c r="CV103" s="54">
        <f t="shared" si="189"/>
        <v>183</v>
      </c>
      <c r="CW103" s="54">
        <f t="shared" si="189"/>
        <v>177</v>
      </c>
      <c r="CX103" s="54">
        <f t="shared" si="189"/>
        <v>171</v>
      </c>
      <c r="CY103" s="54">
        <f t="shared" si="189"/>
        <v>166</v>
      </c>
      <c r="CZ103" s="54">
        <f t="shared" si="189"/>
        <v>162</v>
      </c>
      <c r="DA103" s="54">
        <f t="shared" si="189"/>
        <v>158</v>
      </c>
      <c r="DB103" s="54">
        <f t="shared" si="189"/>
        <v>154</v>
      </c>
      <c r="DC103" s="54">
        <f t="shared" si="189"/>
        <v>150</v>
      </c>
      <c r="DD103" s="54" t="str">
        <f t="shared" si="189"/>
        <v>-</v>
      </c>
      <c r="DE103" s="54" t="str">
        <f t="shared" si="189"/>
        <v>-</v>
      </c>
      <c r="DF103" s="54" t="str">
        <f t="shared" si="189"/>
        <v>-</v>
      </c>
      <c r="DG103" s="54" t="str">
        <f t="shared" si="189"/>
        <v>-</v>
      </c>
      <c r="DH103" s="54" t="str">
        <f t="shared" si="189"/>
        <v>-</v>
      </c>
      <c r="DI103" s="54" t="str">
        <f t="shared" ref="DI103:DR103" si="190">DI102</f>
        <v>-</v>
      </c>
      <c r="DJ103" s="54" t="str">
        <f t="shared" si="190"/>
        <v>-</v>
      </c>
      <c r="DK103" s="54" t="str">
        <f t="shared" si="190"/>
        <v>-</v>
      </c>
      <c r="DL103" s="54" t="str">
        <f t="shared" si="190"/>
        <v>-</v>
      </c>
      <c r="DM103" s="54" t="str">
        <f t="shared" si="190"/>
        <v>-</v>
      </c>
      <c r="DN103" s="54" t="str">
        <f t="shared" si="190"/>
        <v>-</v>
      </c>
      <c r="DO103" s="54" t="str">
        <f t="shared" si="190"/>
        <v>-</v>
      </c>
      <c r="DP103" s="54" t="str">
        <f t="shared" si="190"/>
        <v>-</v>
      </c>
      <c r="DQ103" s="54" t="str">
        <f t="shared" si="190"/>
        <v>-</v>
      </c>
      <c r="DR103" s="64" t="str">
        <f t="shared" si="190"/>
        <v>-</v>
      </c>
    </row>
    <row r="104" spans="1:122">
      <c r="A104" s="146" t="s">
        <v>144</v>
      </c>
      <c r="B104" s="146"/>
      <c r="C104" s="53" t="s">
        <v>84</v>
      </c>
      <c r="D104" s="72" t="s">
        <v>16</v>
      </c>
      <c r="E104" s="72" t="s">
        <v>16</v>
      </c>
      <c r="F104" s="53" t="s">
        <v>145</v>
      </c>
      <c r="G104" s="53" t="s">
        <v>17</v>
      </c>
      <c r="H104" s="85">
        <v>690</v>
      </c>
      <c r="I104" s="57">
        <v>515</v>
      </c>
      <c r="J104" s="53" t="s">
        <v>16</v>
      </c>
      <c r="K104" s="63" t="s">
        <v>16</v>
      </c>
      <c r="L104" s="34" t="s">
        <v>16</v>
      </c>
      <c r="M104" s="34" t="s">
        <v>16</v>
      </c>
      <c r="N104" s="34" t="s">
        <v>16</v>
      </c>
      <c r="O104" s="34" t="s">
        <v>16</v>
      </c>
      <c r="P104" s="34" t="s">
        <v>16</v>
      </c>
      <c r="Q104" s="34" t="s">
        <v>16</v>
      </c>
      <c r="R104" s="34" t="s">
        <v>16</v>
      </c>
      <c r="S104" s="34" t="s">
        <v>16</v>
      </c>
      <c r="T104" s="34" t="s">
        <v>16</v>
      </c>
      <c r="U104" s="34" t="s">
        <v>16</v>
      </c>
      <c r="V104" s="34" t="s">
        <v>16</v>
      </c>
      <c r="W104" s="34" t="s">
        <v>16</v>
      </c>
      <c r="X104" s="34" t="s">
        <v>16</v>
      </c>
      <c r="Y104" s="34" t="s">
        <v>16</v>
      </c>
      <c r="Z104" s="34" t="s">
        <v>16</v>
      </c>
      <c r="AA104" s="34" t="s">
        <v>16</v>
      </c>
      <c r="AB104" s="34" t="s">
        <v>16</v>
      </c>
      <c r="AC104" s="34" t="s">
        <v>16</v>
      </c>
      <c r="AD104" s="34" t="s">
        <v>16</v>
      </c>
      <c r="AE104" s="34" t="s">
        <v>16</v>
      </c>
      <c r="AF104" s="34" t="s">
        <v>16</v>
      </c>
      <c r="AG104" s="34" t="s">
        <v>16</v>
      </c>
      <c r="AH104" s="34" t="s">
        <v>16</v>
      </c>
      <c r="AI104" s="34" t="s">
        <v>16</v>
      </c>
      <c r="AJ104" s="34" t="s">
        <v>16</v>
      </c>
      <c r="AK104" s="34" t="s">
        <v>16</v>
      </c>
      <c r="AL104" s="34" t="s">
        <v>16</v>
      </c>
      <c r="AM104" s="34" t="s">
        <v>16</v>
      </c>
      <c r="AN104" s="34" t="s">
        <v>16</v>
      </c>
      <c r="AO104" s="34" t="s">
        <v>16</v>
      </c>
      <c r="AP104" s="34" t="s">
        <v>16</v>
      </c>
      <c r="AQ104" s="34" t="s">
        <v>16</v>
      </c>
      <c r="AR104" s="34" t="s">
        <v>16</v>
      </c>
      <c r="AS104" s="34" t="s">
        <v>16</v>
      </c>
      <c r="AT104" s="34" t="s">
        <v>16</v>
      </c>
      <c r="AU104" s="55" t="s">
        <v>16</v>
      </c>
      <c r="AV104" s="57"/>
      <c r="AW104" s="63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4"/>
      <c r="BS104" s="34"/>
      <c r="BT104" s="34"/>
      <c r="BU104" s="34"/>
      <c r="BV104" s="34"/>
      <c r="BW104" s="34"/>
      <c r="BX104" s="34"/>
      <c r="BY104" s="34"/>
      <c r="BZ104" s="34"/>
      <c r="CA104" s="34"/>
      <c r="CB104" s="34"/>
      <c r="CC104" s="34"/>
      <c r="CD104" s="34"/>
      <c r="CE104" s="34"/>
      <c r="CF104" s="34"/>
      <c r="CG104" s="44"/>
      <c r="CH104" s="63"/>
      <c r="CI104" s="34"/>
      <c r="CJ104" s="34"/>
      <c r="CK104" s="34"/>
      <c r="CL104" s="34"/>
      <c r="CM104" s="34"/>
      <c r="CN104" s="34"/>
      <c r="CO104" s="34"/>
      <c r="CP104" s="34"/>
      <c r="CQ104" s="34"/>
      <c r="CR104" s="34"/>
      <c r="CS104" s="34"/>
      <c r="CT104" s="34"/>
      <c r="CU104" s="34"/>
      <c r="CV104" s="34"/>
      <c r="CW104" s="34"/>
      <c r="CX104" s="34"/>
      <c r="CY104" s="34"/>
      <c r="CZ104" s="34"/>
      <c r="DA104" s="34"/>
      <c r="DB104" s="34"/>
      <c r="DC104" s="34"/>
      <c r="DD104" s="34"/>
      <c r="DE104" s="34"/>
      <c r="DF104" s="34"/>
      <c r="DG104" s="34"/>
      <c r="DH104" s="34"/>
      <c r="DI104" s="34"/>
      <c r="DJ104" s="34"/>
      <c r="DK104" s="34"/>
      <c r="DL104" s="34"/>
      <c r="DM104" s="34"/>
      <c r="DN104" s="34"/>
      <c r="DO104" s="34"/>
      <c r="DP104" s="34"/>
      <c r="DQ104" s="34"/>
      <c r="DR104" s="55"/>
    </row>
    <row r="105" spans="1:122">
      <c r="A105" s="146" t="s">
        <v>146</v>
      </c>
      <c r="B105" s="146"/>
      <c r="C105" s="53" t="str">
        <f>C104</f>
        <v>pressure casting</v>
      </c>
      <c r="D105" s="72" t="str">
        <f>D104</f>
        <v>-</v>
      </c>
      <c r="E105" s="72" t="str">
        <f>E104</f>
        <v>-</v>
      </c>
      <c r="F105" s="53" t="s">
        <v>147</v>
      </c>
      <c r="G105" s="53" t="str">
        <f t="shared" ref="G105:M105" si="191">G104</f>
        <v>ASTM</v>
      </c>
      <c r="H105" s="85">
        <f t="shared" si="191"/>
        <v>690</v>
      </c>
      <c r="I105" s="57">
        <f t="shared" si="191"/>
        <v>515</v>
      </c>
      <c r="J105" s="53" t="str">
        <f t="shared" si="191"/>
        <v>-</v>
      </c>
      <c r="K105" s="63" t="str">
        <f t="shared" si="191"/>
        <v>-</v>
      </c>
      <c r="L105" s="34" t="str">
        <f t="shared" si="191"/>
        <v>-</v>
      </c>
      <c r="M105" s="34" t="str">
        <f t="shared" si="191"/>
        <v>-</v>
      </c>
      <c r="N105" s="34" t="str">
        <f t="shared" ref="N105:AU105" si="192">N104</f>
        <v>-</v>
      </c>
      <c r="O105" s="34" t="str">
        <f t="shared" si="192"/>
        <v>-</v>
      </c>
      <c r="P105" s="34" t="str">
        <f t="shared" si="192"/>
        <v>-</v>
      </c>
      <c r="Q105" s="34" t="str">
        <f t="shared" si="192"/>
        <v>-</v>
      </c>
      <c r="R105" s="34" t="str">
        <f t="shared" si="192"/>
        <v>-</v>
      </c>
      <c r="S105" s="34" t="str">
        <f t="shared" si="192"/>
        <v>-</v>
      </c>
      <c r="T105" s="34" t="str">
        <f t="shared" si="192"/>
        <v>-</v>
      </c>
      <c r="U105" s="34" t="str">
        <f t="shared" si="192"/>
        <v>-</v>
      </c>
      <c r="V105" s="34" t="str">
        <f t="shared" si="192"/>
        <v>-</v>
      </c>
      <c r="W105" s="34" t="str">
        <f t="shared" si="192"/>
        <v>-</v>
      </c>
      <c r="X105" s="34" t="str">
        <f t="shared" si="192"/>
        <v>-</v>
      </c>
      <c r="Y105" s="34" t="str">
        <f t="shared" si="192"/>
        <v>-</v>
      </c>
      <c r="Z105" s="34" t="str">
        <f t="shared" si="192"/>
        <v>-</v>
      </c>
      <c r="AA105" s="34" t="str">
        <f t="shared" si="192"/>
        <v>-</v>
      </c>
      <c r="AB105" s="34" t="str">
        <f t="shared" si="192"/>
        <v>-</v>
      </c>
      <c r="AC105" s="34" t="str">
        <f t="shared" si="192"/>
        <v>-</v>
      </c>
      <c r="AD105" s="34" t="str">
        <f t="shared" si="192"/>
        <v>-</v>
      </c>
      <c r="AE105" s="34" t="str">
        <f t="shared" si="192"/>
        <v>-</v>
      </c>
      <c r="AF105" s="34" t="str">
        <f t="shared" si="192"/>
        <v>-</v>
      </c>
      <c r="AG105" s="34" t="str">
        <f t="shared" si="192"/>
        <v>-</v>
      </c>
      <c r="AH105" s="34" t="str">
        <f t="shared" si="192"/>
        <v>-</v>
      </c>
      <c r="AI105" s="34" t="str">
        <f t="shared" si="192"/>
        <v>-</v>
      </c>
      <c r="AJ105" s="34" t="str">
        <f t="shared" si="192"/>
        <v>-</v>
      </c>
      <c r="AK105" s="34" t="str">
        <f t="shared" si="192"/>
        <v>-</v>
      </c>
      <c r="AL105" s="34" t="str">
        <f t="shared" si="192"/>
        <v>-</v>
      </c>
      <c r="AM105" s="34" t="str">
        <f t="shared" si="192"/>
        <v>-</v>
      </c>
      <c r="AN105" s="34" t="str">
        <f t="shared" si="192"/>
        <v>-</v>
      </c>
      <c r="AO105" s="34" t="str">
        <f t="shared" si="192"/>
        <v>-</v>
      </c>
      <c r="AP105" s="34" t="str">
        <f t="shared" si="192"/>
        <v>-</v>
      </c>
      <c r="AQ105" s="34" t="str">
        <f t="shared" si="192"/>
        <v>-</v>
      </c>
      <c r="AR105" s="34" t="str">
        <f t="shared" si="192"/>
        <v>-</v>
      </c>
      <c r="AS105" s="34" t="str">
        <f t="shared" si="192"/>
        <v>-</v>
      </c>
      <c r="AT105" s="34" t="str">
        <f t="shared" si="192"/>
        <v>-</v>
      </c>
      <c r="AU105" s="55" t="str">
        <f t="shared" si="192"/>
        <v>-</v>
      </c>
      <c r="AV105" s="57"/>
      <c r="AW105" s="63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34"/>
      <c r="BX105" s="34"/>
      <c r="BY105" s="34"/>
      <c r="BZ105" s="34"/>
      <c r="CA105" s="34"/>
      <c r="CB105" s="34"/>
      <c r="CC105" s="34"/>
      <c r="CD105" s="34"/>
      <c r="CE105" s="34"/>
      <c r="CF105" s="34"/>
      <c r="CG105" s="44"/>
      <c r="CH105" s="63"/>
      <c r="CI105" s="34"/>
      <c r="CJ105" s="34"/>
      <c r="CK105" s="34"/>
      <c r="CL105" s="34"/>
      <c r="CM105" s="34"/>
      <c r="CN105" s="34"/>
      <c r="CO105" s="34"/>
      <c r="CP105" s="34"/>
      <c r="CQ105" s="34"/>
      <c r="CR105" s="34"/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  <c r="DO105" s="34"/>
      <c r="DP105" s="34"/>
      <c r="DQ105" s="34"/>
      <c r="DR105" s="55"/>
    </row>
    <row r="106" spans="1:122">
      <c r="A106" s="56" t="s">
        <v>148</v>
      </c>
      <c r="B106" s="56"/>
      <c r="C106" s="53" t="s">
        <v>113</v>
      </c>
      <c r="D106" s="72" t="s">
        <v>16</v>
      </c>
      <c r="E106" s="72" t="s">
        <v>16</v>
      </c>
      <c r="F106" s="53" t="s">
        <v>16</v>
      </c>
      <c r="G106" s="53" t="s">
        <v>17</v>
      </c>
      <c r="H106" s="72">
        <v>520</v>
      </c>
      <c r="I106" s="48">
        <v>240</v>
      </c>
      <c r="J106" s="53" t="s">
        <v>16</v>
      </c>
      <c r="K106" s="63" t="s">
        <v>16</v>
      </c>
      <c r="L106" s="34" t="s">
        <v>16</v>
      </c>
      <c r="M106" s="34" t="s">
        <v>16</v>
      </c>
      <c r="N106" s="34" t="s">
        <v>16</v>
      </c>
      <c r="O106" s="34" t="s">
        <v>16</v>
      </c>
      <c r="P106" s="34" t="s">
        <v>16</v>
      </c>
      <c r="Q106" s="34" t="s">
        <v>16</v>
      </c>
      <c r="R106" s="34" t="s">
        <v>16</v>
      </c>
      <c r="S106" s="34" t="s">
        <v>16</v>
      </c>
      <c r="T106" s="34" t="s">
        <v>16</v>
      </c>
      <c r="U106" s="34" t="s">
        <v>16</v>
      </c>
      <c r="V106" s="34" t="s">
        <v>16</v>
      </c>
      <c r="W106" s="34" t="s">
        <v>16</v>
      </c>
      <c r="X106" s="34" t="s">
        <v>16</v>
      </c>
      <c r="Y106" s="34" t="s">
        <v>16</v>
      </c>
      <c r="Z106" s="34" t="s">
        <v>16</v>
      </c>
      <c r="AA106" s="34" t="s">
        <v>16</v>
      </c>
      <c r="AB106" s="34" t="s">
        <v>16</v>
      </c>
      <c r="AC106" s="34" t="s">
        <v>16</v>
      </c>
      <c r="AD106" s="34" t="s">
        <v>16</v>
      </c>
      <c r="AE106" s="34" t="s">
        <v>16</v>
      </c>
      <c r="AF106" s="34" t="s">
        <v>16</v>
      </c>
      <c r="AG106" s="34" t="s">
        <v>16</v>
      </c>
      <c r="AH106" s="34" t="s">
        <v>16</v>
      </c>
      <c r="AI106" s="34" t="s">
        <v>16</v>
      </c>
      <c r="AJ106" s="34" t="s">
        <v>16</v>
      </c>
      <c r="AK106" s="34" t="s">
        <v>16</v>
      </c>
      <c r="AL106" s="34" t="s">
        <v>16</v>
      </c>
      <c r="AM106" s="34" t="s">
        <v>16</v>
      </c>
      <c r="AN106" s="34" t="s">
        <v>16</v>
      </c>
      <c r="AO106" s="34" t="s">
        <v>16</v>
      </c>
      <c r="AP106" s="34" t="s">
        <v>16</v>
      </c>
      <c r="AQ106" s="34" t="s">
        <v>16</v>
      </c>
      <c r="AR106" s="34" t="s">
        <v>16</v>
      </c>
      <c r="AS106" s="34" t="s">
        <v>16</v>
      </c>
      <c r="AT106" s="34" t="s">
        <v>16</v>
      </c>
      <c r="AU106" s="55" t="s">
        <v>16</v>
      </c>
      <c r="AV106" s="57" t="s">
        <v>16</v>
      </c>
      <c r="AW106" s="63" t="s">
        <v>16</v>
      </c>
      <c r="AX106" s="34" t="s">
        <v>16</v>
      </c>
      <c r="AY106" s="34" t="s">
        <v>16</v>
      </c>
      <c r="AZ106" s="34" t="s">
        <v>16</v>
      </c>
      <c r="BA106" s="34" t="s">
        <v>16</v>
      </c>
      <c r="BB106" s="34" t="s">
        <v>16</v>
      </c>
      <c r="BC106" s="34" t="s">
        <v>16</v>
      </c>
      <c r="BD106" s="34" t="s">
        <v>16</v>
      </c>
      <c r="BE106" s="34" t="s">
        <v>16</v>
      </c>
      <c r="BF106" s="34" t="s">
        <v>16</v>
      </c>
      <c r="BG106" s="34" t="s">
        <v>16</v>
      </c>
      <c r="BH106" s="34" t="s">
        <v>16</v>
      </c>
      <c r="BI106" s="34" t="s">
        <v>16</v>
      </c>
      <c r="BJ106" s="34" t="s">
        <v>16</v>
      </c>
      <c r="BK106" s="34" t="s">
        <v>16</v>
      </c>
      <c r="BL106" s="34" t="s">
        <v>16</v>
      </c>
      <c r="BM106" s="34" t="s">
        <v>16</v>
      </c>
      <c r="BN106" s="34" t="s">
        <v>16</v>
      </c>
      <c r="BO106" s="34" t="s">
        <v>16</v>
      </c>
      <c r="BP106" s="34" t="s">
        <v>16</v>
      </c>
      <c r="BQ106" s="34" t="s">
        <v>16</v>
      </c>
      <c r="BR106" s="34" t="s">
        <v>16</v>
      </c>
      <c r="BS106" s="34" t="s">
        <v>16</v>
      </c>
      <c r="BT106" s="34" t="s">
        <v>16</v>
      </c>
      <c r="BU106" s="34" t="s">
        <v>16</v>
      </c>
      <c r="BV106" s="34" t="s">
        <v>16</v>
      </c>
      <c r="BW106" s="34" t="s">
        <v>16</v>
      </c>
      <c r="BX106" s="34" t="s">
        <v>16</v>
      </c>
      <c r="BY106" s="34" t="s">
        <v>16</v>
      </c>
      <c r="BZ106" s="34" t="s">
        <v>16</v>
      </c>
      <c r="CA106" s="34" t="s">
        <v>16</v>
      </c>
      <c r="CB106" s="34" t="s">
        <v>16</v>
      </c>
      <c r="CC106" s="34" t="s">
        <v>16</v>
      </c>
      <c r="CD106" s="34" t="s">
        <v>16</v>
      </c>
      <c r="CE106" s="34" t="s">
        <v>16</v>
      </c>
      <c r="CF106" s="34" t="s">
        <v>16</v>
      </c>
      <c r="CG106" s="44" t="s">
        <v>16</v>
      </c>
      <c r="CH106" s="63" t="s">
        <v>16</v>
      </c>
      <c r="CI106" s="34" t="s">
        <v>16</v>
      </c>
      <c r="CJ106" s="34" t="s">
        <v>16</v>
      </c>
      <c r="CK106" s="34" t="s">
        <v>16</v>
      </c>
      <c r="CL106" s="34" t="s">
        <v>16</v>
      </c>
      <c r="CM106" s="34" t="s">
        <v>16</v>
      </c>
      <c r="CN106" s="34" t="s">
        <v>16</v>
      </c>
      <c r="CO106" s="34" t="s">
        <v>16</v>
      </c>
      <c r="CP106" s="34" t="s">
        <v>16</v>
      </c>
      <c r="CQ106" s="34" t="s">
        <v>16</v>
      </c>
      <c r="CR106" s="34" t="s">
        <v>16</v>
      </c>
      <c r="CS106" s="34" t="s">
        <v>16</v>
      </c>
      <c r="CT106" s="34" t="s">
        <v>16</v>
      </c>
      <c r="CU106" s="34" t="s">
        <v>16</v>
      </c>
      <c r="CV106" s="34" t="s">
        <v>16</v>
      </c>
      <c r="CW106" s="34" t="s">
        <v>16</v>
      </c>
      <c r="CX106" s="34" t="s">
        <v>16</v>
      </c>
      <c r="CY106" s="34" t="s">
        <v>16</v>
      </c>
      <c r="CZ106" s="34" t="s">
        <v>16</v>
      </c>
      <c r="DA106" s="34" t="s">
        <v>16</v>
      </c>
      <c r="DB106" s="34" t="s">
        <v>16</v>
      </c>
      <c r="DC106" s="34" t="s">
        <v>16</v>
      </c>
      <c r="DD106" s="34" t="s">
        <v>16</v>
      </c>
      <c r="DE106" s="34" t="s">
        <v>16</v>
      </c>
      <c r="DF106" s="34" t="s">
        <v>16</v>
      </c>
      <c r="DG106" s="34" t="s">
        <v>16</v>
      </c>
      <c r="DH106" s="34" t="s">
        <v>16</v>
      </c>
      <c r="DI106" s="34" t="s">
        <v>16</v>
      </c>
      <c r="DJ106" s="34" t="s">
        <v>16</v>
      </c>
      <c r="DK106" s="34" t="s">
        <v>16</v>
      </c>
      <c r="DL106" s="34" t="s">
        <v>16</v>
      </c>
      <c r="DM106" s="34" t="s">
        <v>16</v>
      </c>
      <c r="DN106" s="34" t="s">
        <v>16</v>
      </c>
      <c r="DO106" s="34" t="s">
        <v>16</v>
      </c>
      <c r="DP106" s="34" t="s">
        <v>16</v>
      </c>
      <c r="DQ106" s="34" t="s">
        <v>16</v>
      </c>
      <c r="DR106" s="55" t="s">
        <v>16</v>
      </c>
    </row>
    <row r="107" spans="1:122">
      <c r="A107" s="56" t="s">
        <v>149</v>
      </c>
      <c r="B107" s="56"/>
      <c r="C107" s="53" t="s">
        <v>84</v>
      </c>
      <c r="D107" s="72" t="s">
        <v>16</v>
      </c>
      <c r="E107" s="72" t="s">
        <v>16</v>
      </c>
      <c r="F107" s="53" t="s">
        <v>150</v>
      </c>
      <c r="G107" s="53" t="s">
        <v>17</v>
      </c>
      <c r="H107" s="72">
        <v>690</v>
      </c>
      <c r="I107" s="48">
        <v>450</v>
      </c>
      <c r="J107" s="82" t="s">
        <v>17</v>
      </c>
      <c r="K107" s="63" t="s">
        <v>16</v>
      </c>
      <c r="L107" s="34">
        <v>184</v>
      </c>
      <c r="M107" s="34">
        <v>184</v>
      </c>
      <c r="N107" s="34">
        <v>184</v>
      </c>
      <c r="O107" s="34">
        <v>184</v>
      </c>
      <c r="P107" s="34">
        <v>184</v>
      </c>
      <c r="Q107" s="34">
        <v>184</v>
      </c>
      <c r="R107" s="34" t="s">
        <v>16</v>
      </c>
      <c r="S107" s="34">
        <v>183</v>
      </c>
      <c r="T107" s="34">
        <v>183</v>
      </c>
      <c r="U107" s="34">
        <v>183</v>
      </c>
      <c r="V107" s="34">
        <v>183</v>
      </c>
      <c r="W107" s="34">
        <v>183</v>
      </c>
      <c r="X107" s="34">
        <v>183</v>
      </c>
      <c r="Y107" s="34" t="s">
        <v>16</v>
      </c>
      <c r="Z107" s="34" t="s">
        <v>16</v>
      </c>
      <c r="AA107" s="34" t="s">
        <v>16</v>
      </c>
      <c r="AB107" s="34" t="s">
        <v>16</v>
      </c>
      <c r="AC107" s="34" t="s">
        <v>16</v>
      </c>
      <c r="AD107" s="34" t="s">
        <v>16</v>
      </c>
      <c r="AE107" s="34" t="s">
        <v>16</v>
      </c>
      <c r="AF107" s="34" t="s">
        <v>16</v>
      </c>
      <c r="AG107" s="34" t="s">
        <v>16</v>
      </c>
      <c r="AH107" s="34" t="s">
        <v>16</v>
      </c>
      <c r="AI107" s="34" t="s">
        <v>16</v>
      </c>
      <c r="AJ107" s="34" t="s">
        <v>16</v>
      </c>
      <c r="AK107" s="34" t="s">
        <v>16</v>
      </c>
      <c r="AL107" s="34" t="s">
        <v>16</v>
      </c>
      <c r="AM107" s="34" t="s">
        <v>16</v>
      </c>
      <c r="AN107" s="34" t="s">
        <v>16</v>
      </c>
      <c r="AO107" s="34" t="s">
        <v>16</v>
      </c>
      <c r="AP107" s="34" t="s">
        <v>16</v>
      </c>
      <c r="AQ107" s="34" t="s">
        <v>16</v>
      </c>
      <c r="AR107" s="34" t="s">
        <v>16</v>
      </c>
      <c r="AS107" s="34" t="s">
        <v>16</v>
      </c>
      <c r="AT107" s="34" t="s">
        <v>16</v>
      </c>
      <c r="AU107" s="55" t="s">
        <v>16</v>
      </c>
      <c r="AV107" s="57" t="s">
        <v>16</v>
      </c>
      <c r="AW107" s="63" t="s">
        <v>16</v>
      </c>
      <c r="AX107" s="34" t="s">
        <v>16</v>
      </c>
      <c r="AY107" s="34" t="s">
        <v>16</v>
      </c>
      <c r="AZ107" s="34" t="s">
        <v>16</v>
      </c>
      <c r="BA107" s="34" t="s">
        <v>16</v>
      </c>
      <c r="BB107" s="34" t="s">
        <v>16</v>
      </c>
      <c r="BC107" s="34" t="s">
        <v>16</v>
      </c>
      <c r="BD107" s="34" t="s">
        <v>16</v>
      </c>
      <c r="BE107" s="34" t="s">
        <v>16</v>
      </c>
      <c r="BF107" s="34" t="s">
        <v>16</v>
      </c>
      <c r="BG107" s="34" t="s">
        <v>16</v>
      </c>
      <c r="BH107" s="34" t="s">
        <v>16</v>
      </c>
      <c r="BI107" s="34" t="s">
        <v>16</v>
      </c>
      <c r="BJ107" s="34" t="s">
        <v>16</v>
      </c>
      <c r="BK107" s="34" t="s">
        <v>16</v>
      </c>
      <c r="BL107" s="34" t="s">
        <v>16</v>
      </c>
      <c r="BM107" s="34" t="s">
        <v>16</v>
      </c>
      <c r="BN107" s="34" t="s">
        <v>16</v>
      </c>
      <c r="BO107" s="34" t="s">
        <v>16</v>
      </c>
      <c r="BP107" s="34" t="s">
        <v>16</v>
      </c>
      <c r="BQ107" s="34" t="s">
        <v>16</v>
      </c>
      <c r="BR107" s="34" t="s">
        <v>16</v>
      </c>
      <c r="BS107" s="34" t="s">
        <v>16</v>
      </c>
      <c r="BT107" s="34" t="s">
        <v>16</v>
      </c>
      <c r="BU107" s="34" t="s">
        <v>16</v>
      </c>
      <c r="BV107" s="34" t="s">
        <v>16</v>
      </c>
      <c r="BW107" s="34" t="s">
        <v>16</v>
      </c>
      <c r="BX107" s="34" t="s">
        <v>16</v>
      </c>
      <c r="BY107" s="34" t="s">
        <v>16</v>
      </c>
      <c r="BZ107" s="34" t="s">
        <v>16</v>
      </c>
      <c r="CA107" s="34" t="s">
        <v>16</v>
      </c>
      <c r="CB107" s="34" t="s">
        <v>16</v>
      </c>
      <c r="CC107" s="34" t="s">
        <v>16</v>
      </c>
      <c r="CD107" s="34" t="s">
        <v>16</v>
      </c>
      <c r="CE107" s="34" t="s">
        <v>16</v>
      </c>
      <c r="CF107" s="34" t="s">
        <v>16</v>
      </c>
      <c r="CG107" s="44" t="s">
        <v>16</v>
      </c>
      <c r="CH107" s="63" t="s">
        <v>16</v>
      </c>
      <c r="CI107" s="34" t="s">
        <v>16</v>
      </c>
      <c r="CJ107" s="34" t="s">
        <v>16</v>
      </c>
      <c r="CK107" s="34" t="s">
        <v>16</v>
      </c>
      <c r="CL107" s="34" t="s">
        <v>16</v>
      </c>
      <c r="CM107" s="34" t="s">
        <v>16</v>
      </c>
      <c r="CN107" s="34" t="s">
        <v>16</v>
      </c>
      <c r="CO107" s="34" t="s">
        <v>16</v>
      </c>
      <c r="CP107" s="34" t="s">
        <v>16</v>
      </c>
      <c r="CQ107" s="34" t="s">
        <v>16</v>
      </c>
      <c r="CR107" s="34" t="s">
        <v>16</v>
      </c>
      <c r="CS107" s="34" t="s">
        <v>16</v>
      </c>
      <c r="CT107" s="34" t="s">
        <v>16</v>
      </c>
      <c r="CU107" s="34" t="s">
        <v>16</v>
      </c>
      <c r="CV107" s="34" t="s">
        <v>16</v>
      </c>
      <c r="CW107" s="34" t="s">
        <v>16</v>
      </c>
      <c r="CX107" s="34" t="s">
        <v>16</v>
      </c>
      <c r="CY107" s="34" t="s">
        <v>16</v>
      </c>
      <c r="CZ107" s="34" t="s">
        <v>16</v>
      </c>
      <c r="DA107" s="34" t="s">
        <v>16</v>
      </c>
      <c r="DB107" s="34" t="s">
        <v>16</v>
      </c>
      <c r="DC107" s="34" t="s">
        <v>16</v>
      </c>
      <c r="DD107" s="34" t="s">
        <v>16</v>
      </c>
      <c r="DE107" s="34" t="s">
        <v>16</v>
      </c>
      <c r="DF107" s="34" t="s">
        <v>16</v>
      </c>
      <c r="DG107" s="34" t="s">
        <v>16</v>
      </c>
      <c r="DH107" s="34" t="s">
        <v>16</v>
      </c>
      <c r="DI107" s="34" t="s">
        <v>16</v>
      </c>
      <c r="DJ107" s="34" t="s">
        <v>16</v>
      </c>
      <c r="DK107" s="34" t="s">
        <v>16</v>
      </c>
      <c r="DL107" s="34" t="s">
        <v>16</v>
      </c>
      <c r="DM107" s="34" t="s">
        <v>16</v>
      </c>
      <c r="DN107" s="34" t="s">
        <v>16</v>
      </c>
      <c r="DO107" s="34" t="s">
        <v>16</v>
      </c>
      <c r="DP107" s="34" t="s">
        <v>16</v>
      </c>
      <c r="DQ107" s="34" t="s">
        <v>16</v>
      </c>
      <c r="DR107" s="55" t="s">
        <v>16</v>
      </c>
    </row>
    <row r="108" spans="1:122">
      <c r="A108" s="56" t="s">
        <v>151</v>
      </c>
      <c r="B108" s="56"/>
      <c r="C108" s="53" t="s">
        <v>84</v>
      </c>
      <c r="D108" s="72" t="s">
        <v>16</v>
      </c>
      <c r="E108" s="72" t="s">
        <v>16</v>
      </c>
      <c r="F108" s="53" t="s">
        <v>152</v>
      </c>
      <c r="G108" s="53" t="s">
        <v>17</v>
      </c>
      <c r="H108" s="72">
        <v>690</v>
      </c>
      <c r="I108" s="48">
        <v>450</v>
      </c>
      <c r="J108" s="82" t="s">
        <v>17</v>
      </c>
      <c r="K108" s="63" t="s">
        <v>16</v>
      </c>
      <c r="L108" s="34">
        <v>184</v>
      </c>
      <c r="M108" s="34">
        <v>184</v>
      </c>
      <c r="N108" s="34">
        <v>184</v>
      </c>
      <c r="O108" s="34">
        <v>184</v>
      </c>
      <c r="P108" s="34">
        <v>184</v>
      </c>
      <c r="Q108" s="34">
        <v>184</v>
      </c>
      <c r="R108" s="34" t="s">
        <v>16</v>
      </c>
      <c r="S108" s="34">
        <v>183</v>
      </c>
      <c r="T108" s="34">
        <v>183</v>
      </c>
      <c r="U108" s="34">
        <v>183</v>
      </c>
      <c r="V108" s="34">
        <v>183</v>
      </c>
      <c r="W108" s="34">
        <v>183</v>
      </c>
      <c r="X108" s="34">
        <v>183</v>
      </c>
      <c r="Y108" s="34" t="s">
        <v>16</v>
      </c>
      <c r="Z108" s="34" t="s">
        <v>16</v>
      </c>
      <c r="AA108" s="34" t="s">
        <v>16</v>
      </c>
      <c r="AB108" s="34" t="s">
        <v>16</v>
      </c>
      <c r="AC108" s="34" t="s">
        <v>16</v>
      </c>
      <c r="AD108" s="34" t="s">
        <v>16</v>
      </c>
      <c r="AE108" s="34" t="s">
        <v>16</v>
      </c>
      <c r="AF108" s="34" t="s">
        <v>16</v>
      </c>
      <c r="AG108" s="34" t="s">
        <v>16</v>
      </c>
      <c r="AH108" s="34" t="s">
        <v>16</v>
      </c>
      <c r="AI108" s="34" t="s">
        <v>16</v>
      </c>
      <c r="AJ108" s="34" t="s">
        <v>16</v>
      </c>
      <c r="AK108" s="34" t="s">
        <v>16</v>
      </c>
      <c r="AL108" s="34" t="s">
        <v>16</v>
      </c>
      <c r="AM108" s="34" t="s">
        <v>16</v>
      </c>
      <c r="AN108" s="34" t="s">
        <v>16</v>
      </c>
      <c r="AO108" s="34" t="s">
        <v>16</v>
      </c>
      <c r="AP108" s="34" t="s">
        <v>16</v>
      </c>
      <c r="AQ108" s="34" t="s">
        <v>16</v>
      </c>
      <c r="AR108" s="34" t="s">
        <v>16</v>
      </c>
      <c r="AS108" s="34" t="s">
        <v>16</v>
      </c>
      <c r="AT108" s="34" t="s">
        <v>16</v>
      </c>
      <c r="AU108" s="55" t="s">
        <v>16</v>
      </c>
      <c r="AV108" s="57" t="s">
        <v>16</v>
      </c>
      <c r="AW108" s="63" t="s">
        <v>16</v>
      </c>
      <c r="AX108" s="34" t="s">
        <v>16</v>
      </c>
      <c r="AY108" s="34" t="s">
        <v>16</v>
      </c>
      <c r="AZ108" s="34" t="s">
        <v>16</v>
      </c>
      <c r="BA108" s="34" t="s">
        <v>16</v>
      </c>
      <c r="BB108" s="34" t="s">
        <v>16</v>
      </c>
      <c r="BC108" s="34" t="s">
        <v>16</v>
      </c>
      <c r="BD108" s="34" t="s">
        <v>16</v>
      </c>
      <c r="BE108" s="34" t="s">
        <v>16</v>
      </c>
      <c r="BF108" s="34" t="s">
        <v>16</v>
      </c>
      <c r="BG108" s="34" t="s">
        <v>16</v>
      </c>
      <c r="BH108" s="34" t="s">
        <v>16</v>
      </c>
      <c r="BI108" s="34" t="s">
        <v>16</v>
      </c>
      <c r="BJ108" s="34" t="s">
        <v>16</v>
      </c>
      <c r="BK108" s="34" t="s">
        <v>16</v>
      </c>
      <c r="BL108" s="34" t="s">
        <v>16</v>
      </c>
      <c r="BM108" s="34" t="s">
        <v>16</v>
      </c>
      <c r="BN108" s="34" t="s">
        <v>16</v>
      </c>
      <c r="BO108" s="34" t="s">
        <v>16</v>
      </c>
      <c r="BP108" s="34" t="s">
        <v>16</v>
      </c>
      <c r="BQ108" s="34" t="s">
        <v>16</v>
      </c>
      <c r="BR108" s="34" t="s">
        <v>16</v>
      </c>
      <c r="BS108" s="34" t="s">
        <v>16</v>
      </c>
      <c r="BT108" s="34" t="s">
        <v>16</v>
      </c>
      <c r="BU108" s="34" t="s">
        <v>16</v>
      </c>
      <c r="BV108" s="34" t="s">
        <v>16</v>
      </c>
      <c r="BW108" s="34" t="s">
        <v>16</v>
      </c>
      <c r="BX108" s="34" t="s">
        <v>16</v>
      </c>
      <c r="BY108" s="34" t="s">
        <v>16</v>
      </c>
      <c r="BZ108" s="34" t="s">
        <v>16</v>
      </c>
      <c r="CA108" s="34" t="s">
        <v>16</v>
      </c>
      <c r="CB108" s="34" t="s">
        <v>16</v>
      </c>
      <c r="CC108" s="34" t="s">
        <v>16</v>
      </c>
      <c r="CD108" s="34" t="s">
        <v>16</v>
      </c>
      <c r="CE108" s="34" t="s">
        <v>16</v>
      </c>
      <c r="CF108" s="34" t="s">
        <v>16</v>
      </c>
      <c r="CG108" s="44" t="s">
        <v>16</v>
      </c>
      <c r="CH108" s="63" t="s">
        <v>16</v>
      </c>
      <c r="CI108" s="34" t="s">
        <v>16</v>
      </c>
      <c r="CJ108" s="34" t="s">
        <v>16</v>
      </c>
      <c r="CK108" s="34" t="s">
        <v>16</v>
      </c>
      <c r="CL108" s="34" t="s">
        <v>16</v>
      </c>
      <c r="CM108" s="34" t="s">
        <v>16</v>
      </c>
      <c r="CN108" s="34" t="s">
        <v>16</v>
      </c>
      <c r="CO108" s="34" t="s">
        <v>16</v>
      </c>
      <c r="CP108" s="34" t="s">
        <v>16</v>
      </c>
      <c r="CQ108" s="34" t="s">
        <v>16</v>
      </c>
      <c r="CR108" s="34" t="s">
        <v>16</v>
      </c>
      <c r="CS108" s="34" t="s">
        <v>16</v>
      </c>
      <c r="CT108" s="34" t="s">
        <v>16</v>
      </c>
      <c r="CU108" s="34" t="s">
        <v>16</v>
      </c>
      <c r="CV108" s="34" t="s">
        <v>16</v>
      </c>
      <c r="CW108" s="34" t="s">
        <v>16</v>
      </c>
      <c r="CX108" s="34" t="s">
        <v>16</v>
      </c>
      <c r="CY108" s="34" t="s">
        <v>16</v>
      </c>
      <c r="CZ108" s="34" t="s">
        <v>16</v>
      </c>
      <c r="DA108" s="34" t="s">
        <v>16</v>
      </c>
      <c r="DB108" s="34" t="s">
        <v>16</v>
      </c>
      <c r="DC108" s="34" t="s">
        <v>16</v>
      </c>
      <c r="DD108" s="34" t="s">
        <v>16</v>
      </c>
      <c r="DE108" s="34" t="s">
        <v>16</v>
      </c>
      <c r="DF108" s="34" t="s">
        <v>16</v>
      </c>
      <c r="DG108" s="34" t="s">
        <v>16</v>
      </c>
      <c r="DH108" s="34" t="s">
        <v>16</v>
      </c>
      <c r="DI108" s="34" t="s">
        <v>16</v>
      </c>
      <c r="DJ108" s="34" t="s">
        <v>16</v>
      </c>
      <c r="DK108" s="34" t="s">
        <v>16</v>
      </c>
      <c r="DL108" s="34" t="s">
        <v>16</v>
      </c>
      <c r="DM108" s="34" t="s">
        <v>16</v>
      </c>
      <c r="DN108" s="34" t="s">
        <v>16</v>
      </c>
      <c r="DO108" s="34" t="s">
        <v>16</v>
      </c>
      <c r="DP108" s="34" t="s">
        <v>16</v>
      </c>
      <c r="DQ108" s="34" t="s">
        <v>16</v>
      </c>
      <c r="DR108" s="55" t="s">
        <v>16</v>
      </c>
    </row>
    <row r="109" spans="1:122">
      <c r="A109" s="56" t="s">
        <v>153</v>
      </c>
      <c r="B109" s="56"/>
      <c r="C109" s="53" t="s">
        <v>113</v>
      </c>
      <c r="D109" s="72" t="s">
        <v>16</v>
      </c>
      <c r="E109" s="72" t="s">
        <v>16</v>
      </c>
      <c r="F109" s="53" t="s">
        <v>154</v>
      </c>
      <c r="G109" s="53" t="s">
        <v>17</v>
      </c>
      <c r="H109" s="72">
        <v>485</v>
      </c>
      <c r="I109" s="48">
        <v>205</v>
      </c>
      <c r="J109" s="82" t="s">
        <v>17</v>
      </c>
      <c r="K109" s="63" t="s">
        <v>16</v>
      </c>
      <c r="L109" s="34">
        <v>97</v>
      </c>
      <c r="M109" s="34" t="s">
        <v>16</v>
      </c>
      <c r="N109" s="34">
        <v>97</v>
      </c>
      <c r="O109" s="34">
        <v>95</v>
      </c>
      <c r="P109" s="34">
        <v>90</v>
      </c>
      <c r="Q109" s="34">
        <v>86</v>
      </c>
      <c r="R109" s="34">
        <v>82</v>
      </c>
      <c r="S109" s="34">
        <v>79</v>
      </c>
      <c r="T109" s="34">
        <v>77</v>
      </c>
      <c r="U109" s="34">
        <v>74</v>
      </c>
      <c r="V109" s="34">
        <v>72</v>
      </c>
      <c r="W109" s="34">
        <v>70</v>
      </c>
      <c r="X109" s="34">
        <v>69</v>
      </c>
      <c r="Y109" s="34">
        <v>69</v>
      </c>
      <c r="Z109" s="34">
        <v>66</v>
      </c>
      <c r="AA109" s="34">
        <v>66</v>
      </c>
      <c r="AB109" s="34">
        <v>65</v>
      </c>
      <c r="AC109" s="34">
        <v>64</v>
      </c>
      <c r="AD109" s="34">
        <v>63</v>
      </c>
      <c r="AE109" s="34">
        <v>63</v>
      </c>
      <c r="AF109" s="34">
        <v>62</v>
      </c>
      <c r="AG109" s="34">
        <v>62</v>
      </c>
      <c r="AH109" s="34">
        <v>58</v>
      </c>
      <c r="AI109" s="34">
        <v>46</v>
      </c>
      <c r="AJ109" s="34">
        <v>36</v>
      </c>
      <c r="AK109" s="34">
        <v>30</v>
      </c>
      <c r="AL109" s="34">
        <v>24</v>
      </c>
      <c r="AM109" s="34">
        <v>19</v>
      </c>
      <c r="AN109" s="34">
        <v>16</v>
      </c>
      <c r="AO109" s="34">
        <v>14</v>
      </c>
      <c r="AP109" s="34">
        <v>12</v>
      </c>
      <c r="AQ109" s="34">
        <v>10</v>
      </c>
      <c r="AR109" s="34" t="s">
        <v>16</v>
      </c>
      <c r="AS109" s="34" t="s">
        <v>16</v>
      </c>
      <c r="AT109" s="34" t="s">
        <v>16</v>
      </c>
      <c r="AU109" s="55" t="s">
        <v>16</v>
      </c>
      <c r="AV109" s="57" t="s">
        <v>18</v>
      </c>
      <c r="AW109" s="63" t="s">
        <v>16</v>
      </c>
      <c r="AX109" s="34">
        <v>483</v>
      </c>
      <c r="AY109" s="34" t="s">
        <v>16</v>
      </c>
      <c r="AZ109" s="34" t="s">
        <v>16</v>
      </c>
      <c r="BA109" s="34">
        <v>482</v>
      </c>
      <c r="BB109" s="34" t="s">
        <v>16</v>
      </c>
      <c r="BC109" s="34">
        <v>469</v>
      </c>
      <c r="BD109" s="34" t="s">
        <v>16</v>
      </c>
      <c r="BE109" s="34">
        <v>463</v>
      </c>
      <c r="BF109" s="34" t="s">
        <v>16</v>
      </c>
      <c r="BG109" s="34">
        <v>463</v>
      </c>
      <c r="BH109" s="34" t="s">
        <v>16</v>
      </c>
      <c r="BI109" s="34">
        <v>463</v>
      </c>
      <c r="BJ109" s="34">
        <v>463</v>
      </c>
      <c r="BK109" s="34">
        <v>463</v>
      </c>
      <c r="BL109" s="34">
        <v>463</v>
      </c>
      <c r="BM109" s="34">
        <v>460</v>
      </c>
      <c r="BN109" s="34">
        <v>457</v>
      </c>
      <c r="BO109" s="34">
        <v>451</v>
      </c>
      <c r="BP109" s="34">
        <v>443</v>
      </c>
      <c r="BQ109" s="34">
        <v>434</v>
      </c>
      <c r="BR109" s="34">
        <v>422</v>
      </c>
      <c r="BS109" s="34" t="s">
        <v>16</v>
      </c>
      <c r="BT109" s="34" t="s">
        <v>16</v>
      </c>
      <c r="BU109" s="34" t="s">
        <v>16</v>
      </c>
      <c r="BV109" s="34" t="s">
        <v>16</v>
      </c>
      <c r="BW109" s="34" t="s">
        <v>16</v>
      </c>
      <c r="BX109" s="34" t="s">
        <v>16</v>
      </c>
      <c r="BY109" s="34" t="s">
        <v>16</v>
      </c>
      <c r="BZ109" s="34" t="s">
        <v>16</v>
      </c>
      <c r="CA109" s="34" t="s">
        <v>16</v>
      </c>
      <c r="CB109" s="34" t="s">
        <v>16</v>
      </c>
      <c r="CC109" s="34" t="s">
        <v>16</v>
      </c>
      <c r="CD109" s="34" t="s">
        <v>16</v>
      </c>
      <c r="CE109" s="34" t="s">
        <v>16</v>
      </c>
      <c r="CF109" s="34" t="s">
        <v>16</v>
      </c>
      <c r="CG109" s="44" t="s">
        <v>16</v>
      </c>
      <c r="CH109" s="63" t="s">
        <v>16</v>
      </c>
      <c r="CI109" s="34">
        <v>207</v>
      </c>
      <c r="CJ109" s="34" t="s">
        <v>16</v>
      </c>
      <c r="CK109" s="34">
        <v>189</v>
      </c>
      <c r="CL109" s="34">
        <v>176</v>
      </c>
      <c r="CM109" s="34">
        <v>168</v>
      </c>
      <c r="CN109" s="34">
        <v>160</v>
      </c>
      <c r="CO109" s="34">
        <v>154</v>
      </c>
      <c r="CP109" s="34">
        <v>148</v>
      </c>
      <c r="CQ109" s="34">
        <v>143</v>
      </c>
      <c r="CR109" s="34">
        <v>139</v>
      </c>
      <c r="CS109" s="34">
        <v>135</v>
      </c>
      <c r="CT109" s="34">
        <v>131</v>
      </c>
      <c r="CU109" s="34">
        <v>129</v>
      </c>
      <c r="CV109" s="34">
        <v>126</v>
      </c>
      <c r="CW109" s="34">
        <v>124</v>
      </c>
      <c r="CX109" s="34">
        <v>123</v>
      </c>
      <c r="CY109" s="34">
        <v>121</v>
      </c>
      <c r="CZ109" s="34">
        <v>120</v>
      </c>
      <c r="DA109" s="34">
        <v>119</v>
      </c>
      <c r="DB109" s="34">
        <v>118</v>
      </c>
      <c r="DC109" s="34">
        <v>117</v>
      </c>
      <c r="DD109" s="34" t="s">
        <v>16</v>
      </c>
      <c r="DE109" s="34" t="s">
        <v>16</v>
      </c>
      <c r="DF109" s="34" t="s">
        <v>16</v>
      </c>
      <c r="DG109" s="34" t="s">
        <v>16</v>
      </c>
      <c r="DH109" s="34" t="s">
        <v>16</v>
      </c>
      <c r="DI109" s="34" t="s">
        <v>16</v>
      </c>
      <c r="DJ109" s="34" t="s">
        <v>16</v>
      </c>
      <c r="DK109" s="34" t="s">
        <v>16</v>
      </c>
      <c r="DL109" s="34" t="s">
        <v>16</v>
      </c>
      <c r="DM109" s="34" t="s">
        <v>16</v>
      </c>
      <c r="DN109" s="34" t="s">
        <v>16</v>
      </c>
      <c r="DO109" s="34" t="s">
        <v>16</v>
      </c>
      <c r="DP109" s="34" t="s">
        <v>16</v>
      </c>
      <c r="DQ109" s="34" t="s">
        <v>16</v>
      </c>
      <c r="DR109" s="55" t="s">
        <v>16</v>
      </c>
    </row>
    <row r="110" spans="1:122">
      <c r="A110" s="56" t="s">
        <v>155</v>
      </c>
      <c r="B110" s="56"/>
      <c r="C110" s="53" t="str">
        <f>C109</f>
        <v>casting</v>
      </c>
      <c r="D110" s="53" t="str">
        <f>D109</f>
        <v>-</v>
      </c>
      <c r="E110" s="53" t="str">
        <f>E109</f>
        <v>-</v>
      </c>
      <c r="F110" s="53" t="s">
        <v>156</v>
      </c>
      <c r="G110" s="53" t="str">
        <f t="shared" ref="G110:M110" si="193">G109</f>
        <v>ASTM</v>
      </c>
      <c r="H110" s="72">
        <f t="shared" si="193"/>
        <v>485</v>
      </c>
      <c r="I110" s="48">
        <f t="shared" si="193"/>
        <v>205</v>
      </c>
      <c r="J110" s="82" t="str">
        <f t="shared" si="193"/>
        <v>ASTM</v>
      </c>
      <c r="K110" s="63" t="str">
        <f t="shared" si="193"/>
        <v>-</v>
      </c>
      <c r="L110" s="34">
        <f t="shared" si="193"/>
        <v>97</v>
      </c>
      <c r="M110" s="34" t="str">
        <f t="shared" si="193"/>
        <v>-</v>
      </c>
      <c r="N110" s="34">
        <f t="shared" ref="N110:AV110" si="194">N109</f>
        <v>97</v>
      </c>
      <c r="O110" s="34">
        <f t="shared" si="194"/>
        <v>95</v>
      </c>
      <c r="P110" s="34">
        <f t="shared" si="194"/>
        <v>90</v>
      </c>
      <c r="Q110" s="34">
        <f t="shared" si="194"/>
        <v>86</v>
      </c>
      <c r="R110" s="34">
        <f t="shared" si="194"/>
        <v>82</v>
      </c>
      <c r="S110" s="34">
        <f t="shared" si="194"/>
        <v>79</v>
      </c>
      <c r="T110" s="34">
        <f t="shared" si="194"/>
        <v>77</v>
      </c>
      <c r="U110" s="34">
        <f t="shared" si="194"/>
        <v>74</v>
      </c>
      <c r="V110" s="34">
        <f t="shared" si="194"/>
        <v>72</v>
      </c>
      <c r="W110" s="34">
        <f t="shared" si="194"/>
        <v>70</v>
      </c>
      <c r="X110" s="34">
        <f t="shared" si="194"/>
        <v>69</v>
      </c>
      <c r="Y110" s="34">
        <f t="shared" si="194"/>
        <v>69</v>
      </c>
      <c r="Z110" s="34">
        <f t="shared" si="194"/>
        <v>66</v>
      </c>
      <c r="AA110" s="34">
        <f t="shared" si="194"/>
        <v>66</v>
      </c>
      <c r="AB110" s="34">
        <f t="shared" si="194"/>
        <v>65</v>
      </c>
      <c r="AC110" s="34">
        <f t="shared" si="194"/>
        <v>64</v>
      </c>
      <c r="AD110" s="34">
        <f t="shared" si="194"/>
        <v>63</v>
      </c>
      <c r="AE110" s="34">
        <f t="shared" si="194"/>
        <v>63</v>
      </c>
      <c r="AF110" s="34">
        <f t="shared" si="194"/>
        <v>62</v>
      </c>
      <c r="AG110" s="34">
        <f t="shared" si="194"/>
        <v>62</v>
      </c>
      <c r="AH110" s="34">
        <f t="shared" si="194"/>
        <v>58</v>
      </c>
      <c r="AI110" s="34">
        <f t="shared" si="194"/>
        <v>46</v>
      </c>
      <c r="AJ110" s="34">
        <f t="shared" si="194"/>
        <v>36</v>
      </c>
      <c r="AK110" s="34">
        <f t="shared" si="194"/>
        <v>30</v>
      </c>
      <c r="AL110" s="34">
        <f t="shared" si="194"/>
        <v>24</v>
      </c>
      <c r="AM110" s="34">
        <f t="shared" si="194"/>
        <v>19</v>
      </c>
      <c r="AN110" s="34">
        <f t="shared" si="194"/>
        <v>16</v>
      </c>
      <c r="AO110" s="34">
        <f t="shared" si="194"/>
        <v>14</v>
      </c>
      <c r="AP110" s="34">
        <f t="shared" si="194"/>
        <v>12</v>
      </c>
      <c r="AQ110" s="34">
        <f t="shared" si="194"/>
        <v>10</v>
      </c>
      <c r="AR110" s="34" t="str">
        <f t="shared" si="194"/>
        <v>-</v>
      </c>
      <c r="AS110" s="34" t="str">
        <f t="shared" si="194"/>
        <v>-</v>
      </c>
      <c r="AT110" s="34" t="str">
        <f t="shared" si="194"/>
        <v>-</v>
      </c>
      <c r="AU110" s="55" t="str">
        <f t="shared" si="194"/>
        <v>-</v>
      </c>
      <c r="AV110" s="57" t="str">
        <f t="shared" si="194"/>
        <v>ASME</v>
      </c>
      <c r="AW110" s="63" t="str">
        <f t="shared" ref="AW110:BS110" si="195">AW109</f>
        <v>-</v>
      </c>
      <c r="AX110" s="34">
        <f t="shared" si="195"/>
        <v>483</v>
      </c>
      <c r="AY110" s="34" t="str">
        <f t="shared" si="195"/>
        <v>-</v>
      </c>
      <c r="AZ110" s="34" t="str">
        <f t="shared" si="195"/>
        <v>-</v>
      </c>
      <c r="BA110" s="34">
        <f t="shared" si="195"/>
        <v>482</v>
      </c>
      <c r="BB110" s="34" t="str">
        <f t="shared" si="195"/>
        <v>-</v>
      </c>
      <c r="BC110" s="34">
        <f t="shared" si="195"/>
        <v>469</v>
      </c>
      <c r="BD110" s="34" t="str">
        <f t="shared" si="195"/>
        <v>-</v>
      </c>
      <c r="BE110" s="34">
        <f t="shared" si="195"/>
        <v>463</v>
      </c>
      <c r="BF110" s="34" t="str">
        <f t="shared" si="195"/>
        <v>-</v>
      </c>
      <c r="BG110" s="34">
        <f t="shared" si="195"/>
        <v>463</v>
      </c>
      <c r="BH110" s="34" t="str">
        <f t="shared" si="195"/>
        <v>-</v>
      </c>
      <c r="BI110" s="34">
        <f t="shared" si="195"/>
        <v>463</v>
      </c>
      <c r="BJ110" s="34">
        <f t="shared" si="195"/>
        <v>463</v>
      </c>
      <c r="BK110" s="34">
        <f t="shared" si="195"/>
        <v>463</v>
      </c>
      <c r="BL110" s="34">
        <f t="shared" si="195"/>
        <v>463</v>
      </c>
      <c r="BM110" s="34">
        <f t="shared" si="195"/>
        <v>460</v>
      </c>
      <c r="BN110" s="34">
        <f t="shared" si="195"/>
        <v>457</v>
      </c>
      <c r="BO110" s="34">
        <f t="shared" si="195"/>
        <v>451</v>
      </c>
      <c r="BP110" s="34">
        <f t="shared" si="195"/>
        <v>443</v>
      </c>
      <c r="BQ110" s="34">
        <f t="shared" si="195"/>
        <v>434</v>
      </c>
      <c r="BR110" s="34">
        <f t="shared" si="195"/>
        <v>422</v>
      </c>
      <c r="BS110" s="34" t="str">
        <f t="shared" si="195"/>
        <v>-</v>
      </c>
      <c r="BT110" s="34" t="str">
        <f t="shared" ref="BT110:CY110" si="196">BT109</f>
        <v>-</v>
      </c>
      <c r="BU110" s="34" t="str">
        <f t="shared" si="196"/>
        <v>-</v>
      </c>
      <c r="BV110" s="34" t="str">
        <f t="shared" si="196"/>
        <v>-</v>
      </c>
      <c r="BW110" s="34" t="str">
        <f t="shared" si="196"/>
        <v>-</v>
      </c>
      <c r="BX110" s="34" t="str">
        <f t="shared" si="196"/>
        <v>-</v>
      </c>
      <c r="BY110" s="34" t="str">
        <f t="shared" si="196"/>
        <v>-</v>
      </c>
      <c r="BZ110" s="34" t="str">
        <f t="shared" si="196"/>
        <v>-</v>
      </c>
      <c r="CA110" s="34" t="str">
        <f t="shared" si="196"/>
        <v>-</v>
      </c>
      <c r="CB110" s="34" t="str">
        <f t="shared" si="196"/>
        <v>-</v>
      </c>
      <c r="CC110" s="34" t="str">
        <f t="shared" si="196"/>
        <v>-</v>
      </c>
      <c r="CD110" s="34" t="str">
        <f t="shared" si="196"/>
        <v>-</v>
      </c>
      <c r="CE110" s="34" t="str">
        <f t="shared" si="196"/>
        <v>-</v>
      </c>
      <c r="CF110" s="34" t="str">
        <f t="shared" si="196"/>
        <v>-</v>
      </c>
      <c r="CG110" s="44" t="str">
        <f t="shared" si="196"/>
        <v>-</v>
      </c>
      <c r="CH110" s="63" t="str">
        <f t="shared" si="196"/>
        <v>-</v>
      </c>
      <c r="CI110" s="34">
        <f t="shared" si="196"/>
        <v>207</v>
      </c>
      <c r="CJ110" s="34" t="str">
        <f t="shared" si="196"/>
        <v>-</v>
      </c>
      <c r="CK110" s="34">
        <f t="shared" si="196"/>
        <v>189</v>
      </c>
      <c r="CL110" s="34">
        <f t="shared" si="196"/>
        <v>176</v>
      </c>
      <c r="CM110" s="34">
        <f t="shared" si="196"/>
        <v>168</v>
      </c>
      <c r="CN110" s="34">
        <f t="shared" si="196"/>
        <v>160</v>
      </c>
      <c r="CO110" s="34">
        <f t="shared" si="196"/>
        <v>154</v>
      </c>
      <c r="CP110" s="34">
        <f t="shared" si="196"/>
        <v>148</v>
      </c>
      <c r="CQ110" s="34">
        <f t="shared" si="196"/>
        <v>143</v>
      </c>
      <c r="CR110" s="34">
        <f t="shared" si="196"/>
        <v>139</v>
      </c>
      <c r="CS110" s="34">
        <f t="shared" si="196"/>
        <v>135</v>
      </c>
      <c r="CT110" s="34">
        <f t="shared" si="196"/>
        <v>131</v>
      </c>
      <c r="CU110" s="34">
        <f t="shared" si="196"/>
        <v>129</v>
      </c>
      <c r="CV110" s="34">
        <f t="shared" si="196"/>
        <v>126</v>
      </c>
      <c r="CW110" s="34">
        <f t="shared" si="196"/>
        <v>124</v>
      </c>
      <c r="CX110" s="34">
        <f t="shared" si="196"/>
        <v>123</v>
      </c>
      <c r="CY110" s="34">
        <f t="shared" si="196"/>
        <v>121</v>
      </c>
      <c r="CZ110" s="34">
        <f t="shared" ref="CZ110:DR110" si="197">CZ109</f>
        <v>120</v>
      </c>
      <c r="DA110" s="34">
        <f t="shared" si="197"/>
        <v>119</v>
      </c>
      <c r="DB110" s="34">
        <f t="shared" si="197"/>
        <v>118</v>
      </c>
      <c r="DC110" s="34">
        <f t="shared" si="197"/>
        <v>117</v>
      </c>
      <c r="DD110" s="34" t="str">
        <f t="shared" si="197"/>
        <v>-</v>
      </c>
      <c r="DE110" s="34" t="str">
        <f t="shared" si="197"/>
        <v>-</v>
      </c>
      <c r="DF110" s="34" t="str">
        <f t="shared" si="197"/>
        <v>-</v>
      </c>
      <c r="DG110" s="34" t="str">
        <f t="shared" si="197"/>
        <v>-</v>
      </c>
      <c r="DH110" s="34" t="str">
        <f t="shared" si="197"/>
        <v>-</v>
      </c>
      <c r="DI110" s="34" t="str">
        <f t="shared" si="197"/>
        <v>-</v>
      </c>
      <c r="DJ110" s="34" t="str">
        <f t="shared" si="197"/>
        <v>-</v>
      </c>
      <c r="DK110" s="34" t="str">
        <f t="shared" si="197"/>
        <v>-</v>
      </c>
      <c r="DL110" s="34" t="str">
        <f t="shared" si="197"/>
        <v>-</v>
      </c>
      <c r="DM110" s="34" t="str">
        <f t="shared" si="197"/>
        <v>-</v>
      </c>
      <c r="DN110" s="34" t="str">
        <f t="shared" si="197"/>
        <v>-</v>
      </c>
      <c r="DO110" s="34" t="str">
        <f t="shared" si="197"/>
        <v>-</v>
      </c>
      <c r="DP110" s="34" t="str">
        <f t="shared" si="197"/>
        <v>-</v>
      </c>
      <c r="DQ110" s="34" t="str">
        <f t="shared" si="197"/>
        <v>-</v>
      </c>
      <c r="DR110" s="55" t="str">
        <f t="shared" si="197"/>
        <v>-</v>
      </c>
    </row>
    <row r="111" spans="1:122">
      <c r="A111" s="56" t="s">
        <v>157</v>
      </c>
      <c r="B111" s="56"/>
      <c r="C111" s="53" t="s">
        <v>113</v>
      </c>
      <c r="D111" s="72" t="s">
        <v>16</v>
      </c>
      <c r="E111" s="72" t="s">
        <v>16</v>
      </c>
      <c r="F111" s="53" t="s">
        <v>16</v>
      </c>
      <c r="G111" s="53" t="s">
        <v>17</v>
      </c>
      <c r="H111" s="72">
        <v>450</v>
      </c>
      <c r="I111" s="48">
        <v>225</v>
      </c>
      <c r="J111" s="53" t="s">
        <v>16</v>
      </c>
      <c r="K111" s="63" t="s">
        <v>16</v>
      </c>
      <c r="L111" s="34" t="s">
        <v>16</v>
      </c>
      <c r="M111" s="34" t="s">
        <v>16</v>
      </c>
      <c r="N111" s="34" t="s">
        <v>16</v>
      </c>
      <c r="O111" s="34" t="s">
        <v>16</v>
      </c>
      <c r="P111" s="34" t="s">
        <v>16</v>
      </c>
      <c r="Q111" s="34" t="s">
        <v>16</v>
      </c>
      <c r="R111" s="34" t="s">
        <v>16</v>
      </c>
      <c r="S111" s="34" t="s">
        <v>16</v>
      </c>
      <c r="T111" s="34" t="s">
        <v>16</v>
      </c>
      <c r="U111" s="34" t="s">
        <v>16</v>
      </c>
      <c r="V111" s="34" t="s">
        <v>16</v>
      </c>
      <c r="W111" s="34" t="s">
        <v>16</v>
      </c>
      <c r="X111" s="34" t="s">
        <v>16</v>
      </c>
      <c r="Y111" s="34" t="s">
        <v>16</v>
      </c>
      <c r="Z111" s="34" t="s">
        <v>16</v>
      </c>
      <c r="AA111" s="34" t="s">
        <v>16</v>
      </c>
      <c r="AB111" s="34" t="s">
        <v>16</v>
      </c>
      <c r="AC111" s="34" t="s">
        <v>16</v>
      </c>
      <c r="AD111" s="34" t="s">
        <v>16</v>
      </c>
      <c r="AE111" s="34" t="s">
        <v>16</v>
      </c>
      <c r="AF111" s="34" t="s">
        <v>16</v>
      </c>
      <c r="AG111" s="34" t="s">
        <v>16</v>
      </c>
      <c r="AH111" s="34" t="s">
        <v>16</v>
      </c>
      <c r="AI111" s="34" t="s">
        <v>16</v>
      </c>
      <c r="AJ111" s="34" t="s">
        <v>16</v>
      </c>
      <c r="AK111" s="34" t="s">
        <v>16</v>
      </c>
      <c r="AL111" s="34" t="s">
        <v>16</v>
      </c>
      <c r="AM111" s="34" t="s">
        <v>16</v>
      </c>
      <c r="AN111" s="34" t="s">
        <v>16</v>
      </c>
      <c r="AO111" s="34" t="s">
        <v>16</v>
      </c>
      <c r="AP111" s="34" t="s">
        <v>16</v>
      </c>
      <c r="AQ111" s="34" t="s">
        <v>16</v>
      </c>
      <c r="AR111" s="34" t="s">
        <v>16</v>
      </c>
      <c r="AS111" s="34" t="s">
        <v>16</v>
      </c>
      <c r="AT111" s="34" t="s">
        <v>16</v>
      </c>
      <c r="AU111" s="55" t="s">
        <v>16</v>
      </c>
      <c r="AV111" s="57" t="s">
        <v>16</v>
      </c>
      <c r="AW111" s="63" t="s">
        <v>16</v>
      </c>
      <c r="AX111" s="34" t="s">
        <v>16</v>
      </c>
      <c r="AY111" s="34" t="s">
        <v>16</v>
      </c>
      <c r="AZ111" s="34" t="s">
        <v>16</v>
      </c>
      <c r="BA111" s="34" t="s">
        <v>16</v>
      </c>
      <c r="BB111" s="34" t="s">
        <v>16</v>
      </c>
      <c r="BC111" s="34" t="s">
        <v>16</v>
      </c>
      <c r="BD111" s="34" t="s">
        <v>16</v>
      </c>
      <c r="BE111" s="34" t="s">
        <v>16</v>
      </c>
      <c r="BF111" s="34" t="s">
        <v>16</v>
      </c>
      <c r="BG111" s="34" t="s">
        <v>16</v>
      </c>
      <c r="BH111" s="34" t="s">
        <v>16</v>
      </c>
      <c r="BI111" s="34" t="s">
        <v>16</v>
      </c>
      <c r="BJ111" s="34" t="s">
        <v>16</v>
      </c>
      <c r="BK111" s="34" t="s">
        <v>16</v>
      </c>
      <c r="BL111" s="34" t="s">
        <v>16</v>
      </c>
      <c r="BM111" s="34" t="s">
        <v>16</v>
      </c>
      <c r="BN111" s="34" t="s">
        <v>16</v>
      </c>
      <c r="BO111" s="34" t="s">
        <v>16</v>
      </c>
      <c r="BP111" s="34" t="s">
        <v>16</v>
      </c>
      <c r="BQ111" s="34" t="s">
        <v>16</v>
      </c>
      <c r="BR111" s="34" t="s">
        <v>16</v>
      </c>
      <c r="BS111" s="34" t="s">
        <v>16</v>
      </c>
      <c r="BT111" s="34" t="s">
        <v>16</v>
      </c>
      <c r="BU111" s="34" t="s">
        <v>16</v>
      </c>
      <c r="BV111" s="34" t="s">
        <v>16</v>
      </c>
      <c r="BW111" s="34" t="s">
        <v>16</v>
      </c>
      <c r="BX111" s="34" t="s">
        <v>16</v>
      </c>
      <c r="BY111" s="34" t="s">
        <v>16</v>
      </c>
      <c r="BZ111" s="34" t="s">
        <v>16</v>
      </c>
      <c r="CA111" s="34" t="s">
        <v>16</v>
      </c>
      <c r="CB111" s="34" t="s">
        <v>16</v>
      </c>
      <c r="CC111" s="34" t="s">
        <v>16</v>
      </c>
      <c r="CD111" s="34" t="s">
        <v>16</v>
      </c>
      <c r="CE111" s="34" t="s">
        <v>16</v>
      </c>
      <c r="CF111" s="34" t="s">
        <v>16</v>
      </c>
      <c r="CG111" s="44" t="s">
        <v>16</v>
      </c>
      <c r="CH111" s="63" t="s">
        <v>16</v>
      </c>
      <c r="CI111" s="34" t="s">
        <v>16</v>
      </c>
      <c r="CJ111" s="34" t="s">
        <v>16</v>
      </c>
      <c r="CK111" s="34" t="s">
        <v>16</v>
      </c>
      <c r="CL111" s="34" t="s">
        <v>16</v>
      </c>
      <c r="CM111" s="34" t="s">
        <v>16</v>
      </c>
      <c r="CN111" s="34" t="s">
        <v>16</v>
      </c>
      <c r="CO111" s="34" t="s">
        <v>16</v>
      </c>
      <c r="CP111" s="34" t="s">
        <v>16</v>
      </c>
      <c r="CQ111" s="34" t="s">
        <v>16</v>
      </c>
      <c r="CR111" s="34" t="s">
        <v>16</v>
      </c>
      <c r="CS111" s="34" t="s">
        <v>16</v>
      </c>
      <c r="CT111" s="34" t="s">
        <v>16</v>
      </c>
      <c r="CU111" s="34" t="s">
        <v>16</v>
      </c>
      <c r="CV111" s="34" t="s">
        <v>16</v>
      </c>
      <c r="CW111" s="34" t="s">
        <v>16</v>
      </c>
      <c r="CX111" s="34" t="s">
        <v>16</v>
      </c>
      <c r="CY111" s="34" t="s">
        <v>16</v>
      </c>
      <c r="CZ111" s="34" t="s">
        <v>16</v>
      </c>
      <c r="DA111" s="34" t="s">
        <v>16</v>
      </c>
      <c r="DB111" s="34" t="s">
        <v>16</v>
      </c>
      <c r="DC111" s="34" t="s">
        <v>16</v>
      </c>
      <c r="DD111" s="34" t="s">
        <v>16</v>
      </c>
      <c r="DE111" s="34" t="s">
        <v>16</v>
      </c>
      <c r="DF111" s="34" t="s">
        <v>16</v>
      </c>
      <c r="DG111" s="34" t="s">
        <v>16</v>
      </c>
      <c r="DH111" s="34" t="s">
        <v>16</v>
      </c>
      <c r="DI111" s="34" t="s">
        <v>16</v>
      </c>
      <c r="DJ111" s="34" t="s">
        <v>16</v>
      </c>
      <c r="DK111" s="34" t="s">
        <v>16</v>
      </c>
      <c r="DL111" s="34" t="s">
        <v>16</v>
      </c>
      <c r="DM111" s="34" t="s">
        <v>16</v>
      </c>
      <c r="DN111" s="34" t="s">
        <v>16</v>
      </c>
      <c r="DO111" s="34" t="s">
        <v>16</v>
      </c>
      <c r="DP111" s="34" t="s">
        <v>16</v>
      </c>
      <c r="DQ111" s="34" t="s">
        <v>16</v>
      </c>
      <c r="DR111" s="55" t="s">
        <v>16</v>
      </c>
    </row>
    <row r="112" spans="1:122">
      <c r="A112" s="56" t="s">
        <v>158</v>
      </c>
      <c r="B112" s="56"/>
      <c r="C112" s="53" t="s">
        <v>113</v>
      </c>
      <c r="D112" s="72" t="s">
        <v>16</v>
      </c>
      <c r="E112" s="72" t="s">
        <v>16</v>
      </c>
      <c r="F112" s="53" t="s">
        <v>16</v>
      </c>
      <c r="G112" s="53" t="s">
        <v>17</v>
      </c>
      <c r="H112" s="85">
        <v>620</v>
      </c>
      <c r="I112" s="57">
        <v>275</v>
      </c>
      <c r="J112" s="53" t="s">
        <v>16</v>
      </c>
      <c r="K112" s="63" t="s">
        <v>16</v>
      </c>
      <c r="L112" s="34" t="s">
        <v>16</v>
      </c>
      <c r="M112" s="34" t="s">
        <v>16</v>
      </c>
      <c r="N112" s="34" t="s">
        <v>16</v>
      </c>
      <c r="O112" s="34" t="s">
        <v>16</v>
      </c>
      <c r="P112" s="34" t="s">
        <v>16</v>
      </c>
      <c r="Q112" s="34" t="s">
        <v>16</v>
      </c>
      <c r="R112" s="34" t="s">
        <v>16</v>
      </c>
      <c r="S112" s="34" t="s">
        <v>16</v>
      </c>
      <c r="T112" s="34" t="s">
        <v>16</v>
      </c>
      <c r="U112" s="34" t="s">
        <v>16</v>
      </c>
      <c r="V112" s="34" t="s">
        <v>16</v>
      </c>
      <c r="W112" s="34" t="s">
        <v>16</v>
      </c>
      <c r="X112" s="34" t="s">
        <v>16</v>
      </c>
      <c r="Y112" s="34" t="s">
        <v>16</v>
      </c>
      <c r="Z112" s="34" t="s">
        <v>16</v>
      </c>
      <c r="AA112" s="34" t="s">
        <v>16</v>
      </c>
      <c r="AB112" s="34" t="s">
        <v>16</v>
      </c>
      <c r="AC112" s="34" t="s">
        <v>16</v>
      </c>
      <c r="AD112" s="34" t="s">
        <v>16</v>
      </c>
      <c r="AE112" s="34" t="s">
        <v>16</v>
      </c>
      <c r="AF112" s="34" t="s">
        <v>16</v>
      </c>
      <c r="AG112" s="34" t="s">
        <v>16</v>
      </c>
      <c r="AH112" s="34" t="s">
        <v>16</v>
      </c>
      <c r="AI112" s="34" t="s">
        <v>16</v>
      </c>
      <c r="AJ112" s="34" t="s">
        <v>16</v>
      </c>
      <c r="AK112" s="34" t="s">
        <v>16</v>
      </c>
      <c r="AL112" s="34" t="s">
        <v>16</v>
      </c>
      <c r="AM112" s="34" t="s">
        <v>16</v>
      </c>
      <c r="AN112" s="34" t="s">
        <v>16</v>
      </c>
      <c r="AO112" s="34" t="s">
        <v>16</v>
      </c>
      <c r="AP112" s="34" t="s">
        <v>16</v>
      </c>
      <c r="AQ112" s="34" t="s">
        <v>16</v>
      </c>
      <c r="AR112" s="34" t="s">
        <v>16</v>
      </c>
      <c r="AS112" s="34" t="s">
        <v>16</v>
      </c>
      <c r="AT112" s="34" t="s">
        <v>16</v>
      </c>
      <c r="AU112" s="55" t="s">
        <v>16</v>
      </c>
      <c r="AV112" s="57" t="s">
        <v>16</v>
      </c>
      <c r="AW112" s="63" t="s">
        <v>16</v>
      </c>
      <c r="AX112" s="34" t="s">
        <v>16</v>
      </c>
      <c r="AY112" s="34" t="s">
        <v>16</v>
      </c>
      <c r="AZ112" s="34" t="s">
        <v>16</v>
      </c>
      <c r="BA112" s="34" t="s">
        <v>16</v>
      </c>
      <c r="BB112" s="34" t="s">
        <v>16</v>
      </c>
      <c r="BC112" s="34" t="s">
        <v>16</v>
      </c>
      <c r="BD112" s="34" t="s">
        <v>16</v>
      </c>
      <c r="BE112" s="34" t="s">
        <v>16</v>
      </c>
      <c r="BF112" s="34" t="s">
        <v>16</v>
      </c>
      <c r="BG112" s="34" t="s">
        <v>16</v>
      </c>
      <c r="BH112" s="34" t="s">
        <v>16</v>
      </c>
      <c r="BI112" s="34" t="s">
        <v>16</v>
      </c>
      <c r="BJ112" s="34" t="s">
        <v>16</v>
      </c>
      <c r="BK112" s="34" t="s">
        <v>16</v>
      </c>
      <c r="BL112" s="34" t="s">
        <v>16</v>
      </c>
      <c r="BM112" s="34" t="s">
        <v>16</v>
      </c>
      <c r="BN112" s="34" t="s">
        <v>16</v>
      </c>
      <c r="BO112" s="34" t="s">
        <v>16</v>
      </c>
      <c r="BP112" s="34" t="s">
        <v>16</v>
      </c>
      <c r="BQ112" s="34" t="s">
        <v>16</v>
      </c>
      <c r="BR112" s="34" t="s">
        <v>16</v>
      </c>
      <c r="BS112" s="34" t="s">
        <v>16</v>
      </c>
      <c r="BT112" s="34" t="s">
        <v>16</v>
      </c>
      <c r="BU112" s="34" t="s">
        <v>16</v>
      </c>
      <c r="BV112" s="34" t="s">
        <v>16</v>
      </c>
      <c r="BW112" s="34" t="s">
        <v>16</v>
      </c>
      <c r="BX112" s="34" t="s">
        <v>16</v>
      </c>
      <c r="BY112" s="34" t="s">
        <v>16</v>
      </c>
      <c r="BZ112" s="34" t="s">
        <v>16</v>
      </c>
      <c r="CA112" s="34" t="s">
        <v>16</v>
      </c>
      <c r="CB112" s="34" t="s">
        <v>16</v>
      </c>
      <c r="CC112" s="34" t="s">
        <v>16</v>
      </c>
      <c r="CD112" s="34" t="s">
        <v>16</v>
      </c>
      <c r="CE112" s="34" t="s">
        <v>16</v>
      </c>
      <c r="CF112" s="34" t="s">
        <v>16</v>
      </c>
      <c r="CG112" s="44" t="s">
        <v>16</v>
      </c>
      <c r="CH112" s="63" t="s">
        <v>16</v>
      </c>
      <c r="CI112" s="34" t="s">
        <v>16</v>
      </c>
      <c r="CJ112" s="34" t="s">
        <v>16</v>
      </c>
      <c r="CK112" s="34" t="s">
        <v>16</v>
      </c>
      <c r="CL112" s="34" t="s">
        <v>16</v>
      </c>
      <c r="CM112" s="34" t="s">
        <v>16</v>
      </c>
      <c r="CN112" s="34" t="s">
        <v>16</v>
      </c>
      <c r="CO112" s="34" t="s">
        <v>16</v>
      </c>
      <c r="CP112" s="34" t="s">
        <v>16</v>
      </c>
      <c r="CQ112" s="34" t="s">
        <v>16</v>
      </c>
      <c r="CR112" s="34" t="s">
        <v>16</v>
      </c>
      <c r="CS112" s="34" t="s">
        <v>16</v>
      </c>
      <c r="CT112" s="34" t="s">
        <v>16</v>
      </c>
      <c r="CU112" s="34" t="s">
        <v>16</v>
      </c>
      <c r="CV112" s="34" t="s">
        <v>16</v>
      </c>
      <c r="CW112" s="34" t="s">
        <v>16</v>
      </c>
      <c r="CX112" s="34" t="s">
        <v>16</v>
      </c>
      <c r="CY112" s="34" t="s">
        <v>16</v>
      </c>
      <c r="CZ112" s="34" t="s">
        <v>16</v>
      </c>
      <c r="DA112" s="34" t="s">
        <v>16</v>
      </c>
      <c r="DB112" s="34" t="s">
        <v>16</v>
      </c>
      <c r="DC112" s="34" t="s">
        <v>16</v>
      </c>
      <c r="DD112" s="34" t="s">
        <v>16</v>
      </c>
      <c r="DE112" s="34" t="s">
        <v>16</v>
      </c>
      <c r="DF112" s="34" t="s">
        <v>16</v>
      </c>
      <c r="DG112" s="34" t="s">
        <v>16</v>
      </c>
      <c r="DH112" s="34" t="s">
        <v>16</v>
      </c>
      <c r="DI112" s="34" t="s">
        <v>16</v>
      </c>
      <c r="DJ112" s="34" t="s">
        <v>16</v>
      </c>
      <c r="DK112" s="34" t="s">
        <v>16</v>
      </c>
      <c r="DL112" s="34" t="s">
        <v>16</v>
      </c>
      <c r="DM112" s="34" t="s">
        <v>16</v>
      </c>
      <c r="DN112" s="34" t="s">
        <v>16</v>
      </c>
      <c r="DO112" s="34" t="s">
        <v>16</v>
      </c>
      <c r="DP112" s="34" t="s">
        <v>16</v>
      </c>
      <c r="DQ112" s="34" t="s">
        <v>16</v>
      </c>
      <c r="DR112" s="55" t="s">
        <v>16</v>
      </c>
    </row>
    <row r="113" spans="1:122">
      <c r="A113" s="56" t="s">
        <v>159</v>
      </c>
      <c r="B113" s="56"/>
      <c r="C113" s="53" t="s">
        <v>113</v>
      </c>
      <c r="D113" s="72" t="s">
        <v>16</v>
      </c>
      <c r="E113" s="72" t="s">
        <v>16</v>
      </c>
      <c r="F113" s="53" t="s">
        <v>160</v>
      </c>
      <c r="G113" s="53" t="s">
        <v>17</v>
      </c>
      <c r="H113" s="85">
        <v>485</v>
      </c>
      <c r="I113" s="57">
        <v>205</v>
      </c>
      <c r="J113" s="53" t="s">
        <v>18</v>
      </c>
      <c r="K113" s="63" t="s">
        <v>16</v>
      </c>
      <c r="L113" s="34">
        <v>138</v>
      </c>
      <c r="M113" s="34" t="s">
        <v>16</v>
      </c>
      <c r="N113" s="34">
        <v>138</v>
      </c>
      <c r="O113" s="34">
        <v>138</v>
      </c>
      <c r="P113" s="34">
        <v>136</v>
      </c>
      <c r="Q113" s="34">
        <v>134</v>
      </c>
      <c r="R113" s="54" t="s">
        <v>16</v>
      </c>
      <c r="S113" s="34">
        <v>133</v>
      </c>
      <c r="T113" s="54" t="s">
        <v>16</v>
      </c>
      <c r="U113" s="34">
        <v>125</v>
      </c>
      <c r="V113" s="54" t="s">
        <v>16</v>
      </c>
      <c r="W113" s="34">
        <v>119</v>
      </c>
      <c r="X113" s="34">
        <v>116</v>
      </c>
      <c r="Y113" s="34">
        <v>114</v>
      </c>
      <c r="Z113" s="34">
        <v>112</v>
      </c>
      <c r="AA113" s="34">
        <v>111</v>
      </c>
      <c r="AB113" s="34">
        <v>110</v>
      </c>
      <c r="AC113" s="34">
        <v>108</v>
      </c>
      <c r="AD113" s="34">
        <v>107</v>
      </c>
      <c r="AE113" s="34" t="s">
        <v>16</v>
      </c>
      <c r="AF113" s="34" t="s">
        <v>16</v>
      </c>
      <c r="AG113" s="34" t="s">
        <v>16</v>
      </c>
      <c r="AH113" s="34" t="s">
        <v>16</v>
      </c>
      <c r="AI113" s="34" t="s">
        <v>16</v>
      </c>
      <c r="AJ113" s="34" t="s">
        <v>16</v>
      </c>
      <c r="AK113" s="34" t="s">
        <v>16</v>
      </c>
      <c r="AL113" s="34" t="s">
        <v>16</v>
      </c>
      <c r="AM113" s="34" t="s">
        <v>16</v>
      </c>
      <c r="AN113" s="34" t="s">
        <v>16</v>
      </c>
      <c r="AO113" s="34" t="s">
        <v>16</v>
      </c>
      <c r="AP113" s="34" t="s">
        <v>16</v>
      </c>
      <c r="AQ113" s="34" t="s">
        <v>16</v>
      </c>
      <c r="AR113" s="34" t="s">
        <v>16</v>
      </c>
      <c r="AS113" s="34" t="s">
        <v>16</v>
      </c>
      <c r="AT113" s="34" t="s">
        <v>16</v>
      </c>
      <c r="AU113" s="55" t="s">
        <v>16</v>
      </c>
      <c r="AV113" s="57" t="s">
        <v>18</v>
      </c>
      <c r="AW113" s="63" t="s">
        <v>16</v>
      </c>
      <c r="AX113" s="34">
        <v>483</v>
      </c>
      <c r="AY113" s="34" t="s">
        <v>16</v>
      </c>
      <c r="AZ113" s="34" t="s">
        <v>16</v>
      </c>
      <c r="BA113" s="34">
        <v>482</v>
      </c>
      <c r="BB113" s="34" t="s">
        <v>16</v>
      </c>
      <c r="BC113" s="34">
        <v>469</v>
      </c>
      <c r="BD113" s="34" t="s">
        <v>16</v>
      </c>
      <c r="BE113" s="34">
        <v>463</v>
      </c>
      <c r="BF113" s="34" t="s">
        <v>16</v>
      </c>
      <c r="BG113" s="34">
        <v>463</v>
      </c>
      <c r="BH113" s="34" t="s">
        <v>16</v>
      </c>
      <c r="BI113" s="34">
        <v>463</v>
      </c>
      <c r="BJ113" s="34">
        <v>463</v>
      </c>
      <c r="BK113" s="34">
        <v>463</v>
      </c>
      <c r="BL113" s="34">
        <v>463</v>
      </c>
      <c r="BM113" s="34">
        <v>460</v>
      </c>
      <c r="BN113" s="34">
        <v>457</v>
      </c>
      <c r="BO113" s="34">
        <v>451</v>
      </c>
      <c r="BP113" s="34">
        <v>443</v>
      </c>
      <c r="BQ113" s="34">
        <v>434</v>
      </c>
      <c r="BR113" s="34">
        <v>422</v>
      </c>
      <c r="BS113" s="34" t="s">
        <v>16</v>
      </c>
      <c r="BT113" s="34" t="s">
        <v>16</v>
      </c>
      <c r="BU113" s="34" t="s">
        <v>16</v>
      </c>
      <c r="BV113" s="34" t="s">
        <v>16</v>
      </c>
      <c r="BW113" s="34" t="s">
        <v>16</v>
      </c>
      <c r="BX113" s="34" t="s">
        <v>16</v>
      </c>
      <c r="BY113" s="34" t="s">
        <v>16</v>
      </c>
      <c r="BZ113" s="34" t="s">
        <v>16</v>
      </c>
      <c r="CA113" s="34" t="s">
        <v>16</v>
      </c>
      <c r="CB113" s="34" t="s">
        <v>16</v>
      </c>
      <c r="CC113" s="34" t="s">
        <v>16</v>
      </c>
      <c r="CD113" s="34" t="s">
        <v>16</v>
      </c>
      <c r="CE113" s="34" t="s">
        <v>16</v>
      </c>
      <c r="CF113" s="34" t="s">
        <v>16</v>
      </c>
      <c r="CG113" s="44" t="s">
        <v>16</v>
      </c>
      <c r="CH113" s="63" t="s">
        <v>16</v>
      </c>
      <c r="CI113" s="34">
        <v>207</v>
      </c>
      <c r="CJ113" s="34" t="s">
        <v>16</v>
      </c>
      <c r="CK113" s="34">
        <v>189</v>
      </c>
      <c r="CL113" s="34">
        <v>176</v>
      </c>
      <c r="CM113" s="34">
        <v>168</v>
      </c>
      <c r="CN113" s="34">
        <v>160</v>
      </c>
      <c r="CO113" s="34">
        <v>154</v>
      </c>
      <c r="CP113" s="34">
        <v>148</v>
      </c>
      <c r="CQ113" s="34">
        <v>143</v>
      </c>
      <c r="CR113" s="34">
        <v>139</v>
      </c>
      <c r="CS113" s="34">
        <v>135</v>
      </c>
      <c r="CT113" s="34">
        <v>131</v>
      </c>
      <c r="CU113" s="34">
        <v>129</v>
      </c>
      <c r="CV113" s="34">
        <v>126</v>
      </c>
      <c r="CW113" s="34">
        <v>124</v>
      </c>
      <c r="CX113" s="34">
        <v>123</v>
      </c>
      <c r="CY113" s="34">
        <v>121</v>
      </c>
      <c r="CZ113" s="34">
        <v>120</v>
      </c>
      <c r="DA113" s="34">
        <v>119</v>
      </c>
      <c r="DB113" s="34">
        <v>118</v>
      </c>
      <c r="DC113" s="34">
        <v>117</v>
      </c>
      <c r="DD113" s="34" t="s">
        <v>16</v>
      </c>
      <c r="DE113" s="34" t="s">
        <v>16</v>
      </c>
      <c r="DF113" s="34" t="s">
        <v>16</v>
      </c>
      <c r="DG113" s="34" t="s">
        <v>16</v>
      </c>
      <c r="DH113" s="34" t="s">
        <v>16</v>
      </c>
      <c r="DI113" s="34" t="s">
        <v>16</v>
      </c>
      <c r="DJ113" s="34" t="s">
        <v>16</v>
      </c>
      <c r="DK113" s="34" t="s">
        <v>16</v>
      </c>
      <c r="DL113" s="34" t="s">
        <v>16</v>
      </c>
      <c r="DM113" s="34" t="s">
        <v>16</v>
      </c>
      <c r="DN113" s="34" t="s">
        <v>16</v>
      </c>
      <c r="DO113" s="34" t="s">
        <v>16</v>
      </c>
      <c r="DP113" s="34" t="s">
        <v>16</v>
      </c>
      <c r="DQ113" s="34" t="s">
        <v>16</v>
      </c>
      <c r="DR113" s="55" t="s">
        <v>16</v>
      </c>
    </row>
    <row r="114" spans="1:122">
      <c r="A114" s="56" t="s">
        <v>161</v>
      </c>
      <c r="B114" s="56"/>
      <c r="C114" s="53" t="str">
        <f>C113</f>
        <v>casting</v>
      </c>
      <c r="D114" s="53" t="str">
        <f>D113</f>
        <v>-</v>
      </c>
      <c r="E114" s="53" t="str">
        <f>E113</f>
        <v>-</v>
      </c>
      <c r="F114" s="53" t="s">
        <v>162</v>
      </c>
      <c r="G114" s="53" t="str">
        <f>G113</f>
        <v>ASTM</v>
      </c>
      <c r="H114" s="85">
        <f>H113</f>
        <v>485</v>
      </c>
      <c r="I114" s="57">
        <f t="shared" ref="I114:AU114" si="198">I113</f>
        <v>205</v>
      </c>
      <c r="J114" s="53" t="str">
        <f>J113</f>
        <v>ASME</v>
      </c>
      <c r="K114" s="63" t="str">
        <f t="shared" si="198"/>
        <v>-</v>
      </c>
      <c r="L114" s="34">
        <f t="shared" si="198"/>
        <v>138</v>
      </c>
      <c r="M114" s="34" t="str">
        <f t="shared" si="198"/>
        <v>-</v>
      </c>
      <c r="N114" s="34">
        <f t="shared" si="198"/>
        <v>138</v>
      </c>
      <c r="O114" s="34">
        <f t="shared" si="198"/>
        <v>138</v>
      </c>
      <c r="P114" s="34">
        <f t="shared" si="198"/>
        <v>136</v>
      </c>
      <c r="Q114" s="34">
        <f t="shared" si="198"/>
        <v>134</v>
      </c>
      <c r="R114" s="34" t="str">
        <f t="shared" si="198"/>
        <v>-</v>
      </c>
      <c r="S114" s="34">
        <f t="shared" si="198"/>
        <v>133</v>
      </c>
      <c r="T114" s="34" t="str">
        <f t="shared" si="198"/>
        <v>-</v>
      </c>
      <c r="U114" s="34">
        <f t="shared" si="198"/>
        <v>125</v>
      </c>
      <c r="V114" s="34" t="str">
        <f t="shared" si="198"/>
        <v>-</v>
      </c>
      <c r="W114" s="34">
        <f t="shared" si="198"/>
        <v>119</v>
      </c>
      <c r="X114" s="34">
        <f t="shared" si="198"/>
        <v>116</v>
      </c>
      <c r="Y114" s="34">
        <f t="shared" si="198"/>
        <v>114</v>
      </c>
      <c r="Z114" s="34">
        <f t="shared" si="198"/>
        <v>112</v>
      </c>
      <c r="AA114" s="34">
        <f t="shared" si="198"/>
        <v>111</v>
      </c>
      <c r="AB114" s="34">
        <f t="shared" si="198"/>
        <v>110</v>
      </c>
      <c r="AC114" s="34">
        <f t="shared" si="198"/>
        <v>108</v>
      </c>
      <c r="AD114" s="34">
        <f t="shared" si="198"/>
        <v>107</v>
      </c>
      <c r="AE114" s="34" t="str">
        <f t="shared" si="198"/>
        <v>-</v>
      </c>
      <c r="AF114" s="34" t="str">
        <f t="shared" si="198"/>
        <v>-</v>
      </c>
      <c r="AG114" s="34" t="str">
        <f t="shared" si="198"/>
        <v>-</v>
      </c>
      <c r="AH114" s="34" t="str">
        <f t="shared" si="198"/>
        <v>-</v>
      </c>
      <c r="AI114" s="34" t="str">
        <f t="shared" si="198"/>
        <v>-</v>
      </c>
      <c r="AJ114" s="34" t="str">
        <f t="shared" si="198"/>
        <v>-</v>
      </c>
      <c r="AK114" s="34" t="str">
        <f t="shared" si="198"/>
        <v>-</v>
      </c>
      <c r="AL114" s="34" t="str">
        <f t="shared" si="198"/>
        <v>-</v>
      </c>
      <c r="AM114" s="34" t="str">
        <f t="shared" si="198"/>
        <v>-</v>
      </c>
      <c r="AN114" s="34" t="str">
        <f t="shared" si="198"/>
        <v>-</v>
      </c>
      <c r="AO114" s="34" t="str">
        <f t="shared" si="198"/>
        <v>-</v>
      </c>
      <c r="AP114" s="34" t="str">
        <f t="shared" si="198"/>
        <v>-</v>
      </c>
      <c r="AQ114" s="34" t="str">
        <f t="shared" si="198"/>
        <v>-</v>
      </c>
      <c r="AR114" s="34" t="str">
        <f t="shared" si="198"/>
        <v>-</v>
      </c>
      <c r="AS114" s="34" t="str">
        <f t="shared" si="198"/>
        <v>-</v>
      </c>
      <c r="AT114" s="34" t="str">
        <f t="shared" si="198"/>
        <v>-</v>
      </c>
      <c r="AU114" s="55" t="str">
        <f t="shared" si="198"/>
        <v>-</v>
      </c>
      <c r="AV114" s="57" t="str">
        <f>AV113</f>
        <v>ASME</v>
      </c>
      <c r="AW114" s="63" t="str">
        <f>AW113</f>
        <v>-</v>
      </c>
      <c r="AX114" s="34">
        <f t="shared" ref="AX114:BT114" si="199">AX113</f>
        <v>483</v>
      </c>
      <c r="AY114" s="34" t="str">
        <f t="shared" si="199"/>
        <v>-</v>
      </c>
      <c r="AZ114" s="34" t="str">
        <f t="shared" si="199"/>
        <v>-</v>
      </c>
      <c r="BA114" s="34">
        <f t="shared" si="199"/>
        <v>482</v>
      </c>
      <c r="BB114" s="34" t="str">
        <f t="shared" si="199"/>
        <v>-</v>
      </c>
      <c r="BC114" s="34">
        <f t="shared" si="199"/>
        <v>469</v>
      </c>
      <c r="BD114" s="34" t="str">
        <f t="shared" si="199"/>
        <v>-</v>
      </c>
      <c r="BE114" s="34">
        <f t="shared" si="199"/>
        <v>463</v>
      </c>
      <c r="BF114" s="34" t="str">
        <f t="shared" si="199"/>
        <v>-</v>
      </c>
      <c r="BG114" s="34">
        <f t="shared" si="199"/>
        <v>463</v>
      </c>
      <c r="BH114" s="34" t="str">
        <f t="shared" si="199"/>
        <v>-</v>
      </c>
      <c r="BI114" s="34">
        <f t="shared" si="199"/>
        <v>463</v>
      </c>
      <c r="BJ114" s="34">
        <f t="shared" si="199"/>
        <v>463</v>
      </c>
      <c r="BK114" s="34">
        <f t="shared" si="199"/>
        <v>463</v>
      </c>
      <c r="BL114" s="34">
        <f t="shared" si="199"/>
        <v>463</v>
      </c>
      <c r="BM114" s="34">
        <f t="shared" si="199"/>
        <v>460</v>
      </c>
      <c r="BN114" s="34">
        <f t="shared" si="199"/>
        <v>457</v>
      </c>
      <c r="BO114" s="34">
        <f t="shared" si="199"/>
        <v>451</v>
      </c>
      <c r="BP114" s="34">
        <f t="shared" si="199"/>
        <v>443</v>
      </c>
      <c r="BQ114" s="34">
        <f t="shared" si="199"/>
        <v>434</v>
      </c>
      <c r="BR114" s="34">
        <f t="shared" si="199"/>
        <v>422</v>
      </c>
      <c r="BS114" s="34" t="str">
        <f t="shared" si="199"/>
        <v>-</v>
      </c>
      <c r="BT114" s="34" t="str">
        <f t="shared" si="199"/>
        <v>-</v>
      </c>
      <c r="BU114" s="34" t="str">
        <f t="shared" ref="BU114:CI114" si="200">BU113</f>
        <v>-</v>
      </c>
      <c r="BV114" s="34" t="str">
        <f t="shared" si="200"/>
        <v>-</v>
      </c>
      <c r="BW114" s="34" t="str">
        <f t="shared" si="200"/>
        <v>-</v>
      </c>
      <c r="BX114" s="34" t="str">
        <f t="shared" si="200"/>
        <v>-</v>
      </c>
      <c r="BY114" s="34" t="str">
        <f t="shared" si="200"/>
        <v>-</v>
      </c>
      <c r="BZ114" s="34" t="str">
        <f t="shared" si="200"/>
        <v>-</v>
      </c>
      <c r="CA114" s="34" t="str">
        <f t="shared" si="200"/>
        <v>-</v>
      </c>
      <c r="CB114" s="34" t="str">
        <f t="shared" si="200"/>
        <v>-</v>
      </c>
      <c r="CC114" s="34" t="str">
        <f t="shared" si="200"/>
        <v>-</v>
      </c>
      <c r="CD114" s="34" t="str">
        <f t="shared" si="200"/>
        <v>-</v>
      </c>
      <c r="CE114" s="34" t="str">
        <f t="shared" si="200"/>
        <v>-</v>
      </c>
      <c r="CF114" s="34" t="str">
        <f t="shared" si="200"/>
        <v>-</v>
      </c>
      <c r="CG114" s="44" t="str">
        <f t="shared" si="200"/>
        <v>-</v>
      </c>
      <c r="CH114" s="63" t="str">
        <f t="shared" si="200"/>
        <v>-</v>
      </c>
      <c r="CI114" s="34">
        <f t="shared" si="200"/>
        <v>207</v>
      </c>
      <c r="CJ114" s="34" t="str">
        <f t="shared" ref="CJ114:DR114" si="201">CJ113</f>
        <v>-</v>
      </c>
      <c r="CK114" s="34">
        <f t="shared" si="201"/>
        <v>189</v>
      </c>
      <c r="CL114" s="34">
        <f t="shared" si="201"/>
        <v>176</v>
      </c>
      <c r="CM114" s="34">
        <f t="shared" si="201"/>
        <v>168</v>
      </c>
      <c r="CN114" s="34">
        <f t="shared" si="201"/>
        <v>160</v>
      </c>
      <c r="CO114" s="34">
        <f t="shared" si="201"/>
        <v>154</v>
      </c>
      <c r="CP114" s="34">
        <f t="shared" si="201"/>
        <v>148</v>
      </c>
      <c r="CQ114" s="34">
        <f t="shared" si="201"/>
        <v>143</v>
      </c>
      <c r="CR114" s="34">
        <f t="shared" si="201"/>
        <v>139</v>
      </c>
      <c r="CS114" s="34">
        <f t="shared" si="201"/>
        <v>135</v>
      </c>
      <c r="CT114" s="34">
        <f t="shared" si="201"/>
        <v>131</v>
      </c>
      <c r="CU114" s="34">
        <f t="shared" si="201"/>
        <v>129</v>
      </c>
      <c r="CV114" s="34">
        <f t="shared" si="201"/>
        <v>126</v>
      </c>
      <c r="CW114" s="34">
        <f t="shared" si="201"/>
        <v>124</v>
      </c>
      <c r="CX114" s="34">
        <f t="shared" si="201"/>
        <v>123</v>
      </c>
      <c r="CY114" s="34">
        <f t="shared" si="201"/>
        <v>121</v>
      </c>
      <c r="CZ114" s="34">
        <f t="shared" si="201"/>
        <v>120</v>
      </c>
      <c r="DA114" s="34">
        <f t="shared" si="201"/>
        <v>119</v>
      </c>
      <c r="DB114" s="34">
        <f t="shared" si="201"/>
        <v>118</v>
      </c>
      <c r="DC114" s="34">
        <f t="shared" si="201"/>
        <v>117</v>
      </c>
      <c r="DD114" s="34" t="str">
        <f t="shared" si="201"/>
        <v>-</v>
      </c>
      <c r="DE114" s="34" t="str">
        <f t="shared" si="201"/>
        <v>-</v>
      </c>
      <c r="DF114" s="34" t="str">
        <f t="shared" si="201"/>
        <v>-</v>
      </c>
      <c r="DG114" s="34" t="str">
        <f t="shared" si="201"/>
        <v>-</v>
      </c>
      <c r="DH114" s="34" t="str">
        <f t="shared" si="201"/>
        <v>-</v>
      </c>
      <c r="DI114" s="34" t="str">
        <f t="shared" si="201"/>
        <v>-</v>
      </c>
      <c r="DJ114" s="34" t="str">
        <f t="shared" si="201"/>
        <v>-</v>
      </c>
      <c r="DK114" s="34" t="str">
        <f t="shared" si="201"/>
        <v>-</v>
      </c>
      <c r="DL114" s="34" t="str">
        <f t="shared" si="201"/>
        <v>-</v>
      </c>
      <c r="DM114" s="34" t="str">
        <f t="shared" si="201"/>
        <v>-</v>
      </c>
      <c r="DN114" s="34" t="str">
        <f t="shared" si="201"/>
        <v>-</v>
      </c>
      <c r="DO114" s="34" t="str">
        <f t="shared" si="201"/>
        <v>-</v>
      </c>
      <c r="DP114" s="34" t="str">
        <f t="shared" si="201"/>
        <v>-</v>
      </c>
      <c r="DQ114" s="34" t="str">
        <f t="shared" si="201"/>
        <v>-</v>
      </c>
      <c r="DR114" s="55" t="str">
        <f t="shared" si="201"/>
        <v>-</v>
      </c>
    </row>
    <row r="115" spans="1:122">
      <c r="A115" s="56" t="s">
        <v>163</v>
      </c>
      <c r="B115" s="56"/>
      <c r="C115" s="53" t="s">
        <v>113</v>
      </c>
      <c r="D115" s="72" t="s">
        <v>16</v>
      </c>
      <c r="E115" s="72" t="s">
        <v>16</v>
      </c>
      <c r="F115" s="53" t="s">
        <v>16</v>
      </c>
      <c r="G115" s="53" t="s">
        <v>17</v>
      </c>
      <c r="H115" s="72">
        <v>448</v>
      </c>
      <c r="I115" s="48">
        <v>310</v>
      </c>
      <c r="J115" s="82" t="s">
        <v>17</v>
      </c>
      <c r="K115" s="63">
        <v>38.6</v>
      </c>
      <c r="L115" s="34">
        <v>38.6</v>
      </c>
      <c r="M115" s="34">
        <v>38.6</v>
      </c>
      <c r="N115" s="34">
        <v>38.6</v>
      </c>
      <c r="O115" s="34">
        <v>38.6</v>
      </c>
      <c r="P115" s="34">
        <v>38.6</v>
      </c>
      <c r="Q115" s="34">
        <v>38.6</v>
      </c>
      <c r="R115" s="34">
        <v>38.6</v>
      </c>
      <c r="S115" s="34">
        <v>38.6</v>
      </c>
      <c r="T115" s="34">
        <v>38.6</v>
      </c>
      <c r="U115" s="34">
        <v>38.6</v>
      </c>
      <c r="V115" s="34">
        <v>38.6</v>
      </c>
      <c r="W115" s="34">
        <v>38.6</v>
      </c>
      <c r="X115" s="34">
        <v>38.6</v>
      </c>
      <c r="Y115" s="34">
        <v>38.6</v>
      </c>
      <c r="Z115" s="34" t="s">
        <v>16</v>
      </c>
      <c r="AA115" s="34" t="s">
        <v>16</v>
      </c>
      <c r="AB115" s="34" t="s">
        <v>16</v>
      </c>
      <c r="AC115" s="34" t="s">
        <v>16</v>
      </c>
      <c r="AD115" s="34" t="s">
        <v>16</v>
      </c>
      <c r="AE115" s="34" t="s">
        <v>16</v>
      </c>
      <c r="AF115" s="34" t="s">
        <v>16</v>
      </c>
      <c r="AG115" s="34" t="s">
        <v>16</v>
      </c>
      <c r="AH115" s="34" t="s">
        <v>16</v>
      </c>
      <c r="AI115" s="34" t="s">
        <v>16</v>
      </c>
      <c r="AJ115" s="34" t="s">
        <v>16</v>
      </c>
      <c r="AK115" s="34" t="s">
        <v>16</v>
      </c>
      <c r="AL115" s="34" t="s">
        <v>16</v>
      </c>
      <c r="AM115" s="34" t="s">
        <v>16</v>
      </c>
      <c r="AN115" s="34" t="s">
        <v>16</v>
      </c>
      <c r="AO115" s="34" t="s">
        <v>16</v>
      </c>
      <c r="AP115" s="34" t="s">
        <v>16</v>
      </c>
      <c r="AQ115" s="34" t="s">
        <v>16</v>
      </c>
      <c r="AR115" s="34" t="s">
        <v>16</v>
      </c>
      <c r="AS115" s="34" t="s">
        <v>16</v>
      </c>
      <c r="AT115" s="34" t="s">
        <v>16</v>
      </c>
      <c r="AU115" s="55" t="s">
        <v>16</v>
      </c>
      <c r="AV115" s="57" t="s">
        <v>16</v>
      </c>
      <c r="AW115" s="63" t="s">
        <v>16</v>
      </c>
      <c r="AX115" s="34" t="s">
        <v>16</v>
      </c>
      <c r="AY115" s="34" t="s">
        <v>16</v>
      </c>
      <c r="AZ115" s="34" t="s">
        <v>16</v>
      </c>
      <c r="BA115" s="34" t="s">
        <v>16</v>
      </c>
      <c r="BB115" s="34" t="s">
        <v>16</v>
      </c>
      <c r="BC115" s="34" t="s">
        <v>16</v>
      </c>
      <c r="BD115" s="34" t="s">
        <v>16</v>
      </c>
      <c r="BE115" s="34" t="s">
        <v>16</v>
      </c>
      <c r="BF115" s="34" t="s">
        <v>16</v>
      </c>
      <c r="BG115" s="34" t="s">
        <v>16</v>
      </c>
      <c r="BH115" s="34" t="s">
        <v>16</v>
      </c>
      <c r="BI115" s="34" t="s">
        <v>16</v>
      </c>
      <c r="BJ115" s="34" t="s">
        <v>16</v>
      </c>
      <c r="BK115" s="34" t="s">
        <v>16</v>
      </c>
      <c r="BL115" s="34" t="s">
        <v>16</v>
      </c>
      <c r="BM115" s="34" t="s">
        <v>16</v>
      </c>
      <c r="BN115" s="34" t="s">
        <v>16</v>
      </c>
      <c r="BO115" s="34" t="s">
        <v>16</v>
      </c>
      <c r="BP115" s="34" t="s">
        <v>16</v>
      </c>
      <c r="BQ115" s="34" t="s">
        <v>16</v>
      </c>
      <c r="BR115" s="34" t="s">
        <v>16</v>
      </c>
      <c r="BS115" s="34" t="s">
        <v>16</v>
      </c>
      <c r="BT115" s="34" t="s">
        <v>16</v>
      </c>
      <c r="BU115" s="34" t="s">
        <v>16</v>
      </c>
      <c r="BV115" s="34" t="s">
        <v>16</v>
      </c>
      <c r="BW115" s="34" t="s">
        <v>16</v>
      </c>
      <c r="BX115" s="34" t="s">
        <v>16</v>
      </c>
      <c r="BY115" s="34" t="s">
        <v>16</v>
      </c>
      <c r="BZ115" s="34" t="s">
        <v>16</v>
      </c>
      <c r="CA115" s="34" t="s">
        <v>16</v>
      </c>
      <c r="CB115" s="34" t="s">
        <v>16</v>
      </c>
      <c r="CC115" s="34" t="s">
        <v>16</v>
      </c>
      <c r="CD115" s="34" t="s">
        <v>16</v>
      </c>
      <c r="CE115" s="34" t="s">
        <v>16</v>
      </c>
      <c r="CF115" s="34" t="s">
        <v>16</v>
      </c>
      <c r="CG115" s="44" t="s">
        <v>16</v>
      </c>
      <c r="CH115" s="63" t="s">
        <v>16</v>
      </c>
      <c r="CI115" s="34" t="s">
        <v>16</v>
      </c>
      <c r="CJ115" s="34" t="s">
        <v>16</v>
      </c>
      <c r="CK115" s="34" t="s">
        <v>16</v>
      </c>
      <c r="CL115" s="34" t="s">
        <v>16</v>
      </c>
      <c r="CM115" s="34" t="s">
        <v>16</v>
      </c>
      <c r="CN115" s="34" t="s">
        <v>16</v>
      </c>
      <c r="CO115" s="34" t="s">
        <v>16</v>
      </c>
      <c r="CP115" s="34" t="s">
        <v>16</v>
      </c>
      <c r="CQ115" s="34" t="s">
        <v>16</v>
      </c>
      <c r="CR115" s="34" t="s">
        <v>16</v>
      </c>
      <c r="CS115" s="34" t="s">
        <v>16</v>
      </c>
      <c r="CT115" s="34" t="s">
        <v>16</v>
      </c>
      <c r="CU115" s="34" t="s">
        <v>16</v>
      </c>
      <c r="CV115" s="34" t="s">
        <v>16</v>
      </c>
      <c r="CW115" s="34" t="s">
        <v>16</v>
      </c>
      <c r="CX115" s="34" t="s">
        <v>16</v>
      </c>
      <c r="CY115" s="34" t="s">
        <v>16</v>
      </c>
      <c r="CZ115" s="34" t="s">
        <v>16</v>
      </c>
      <c r="DA115" s="34" t="s">
        <v>16</v>
      </c>
      <c r="DB115" s="34" t="s">
        <v>16</v>
      </c>
      <c r="DC115" s="34" t="s">
        <v>16</v>
      </c>
      <c r="DD115" s="34" t="s">
        <v>16</v>
      </c>
      <c r="DE115" s="34" t="s">
        <v>16</v>
      </c>
      <c r="DF115" s="34" t="s">
        <v>16</v>
      </c>
      <c r="DG115" s="34" t="s">
        <v>16</v>
      </c>
      <c r="DH115" s="34" t="s">
        <v>16</v>
      </c>
      <c r="DI115" s="34" t="s">
        <v>16</v>
      </c>
      <c r="DJ115" s="34" t="s">
        <v>16</v>
      </c>
      <c r="DK115" s="34" t="s">
        <v>16</v>
      </c>
      <c r="DL115" s="34" t="s">
        <v>16</v>
      </c>
      <c r="DM115" s="34" t="s">
        <v>16</v>
      </c>
      <c r="DN115" s="34" t="s">
        <v>16</v>
      </c>
      <c r="DO115" s="34" t="s">
        <v>16</v>
      </c>
      <c r="DP115" s="34" t="s">
        <v>16</v>
      </c>
      <c r="DQ115" s="34" t="s">
        <v>16</v>
      </c>
      <c r="DR115" s="55" t="s">
        <v>16</v>
      </c>
    </row>
    <row r="116" spans="1:122">
      <c r="A116" s="56" t="s">
        <v>164</v>
      </c>
      <c r="B116" s="56"/>
      <c r="C116" s="53" t="s">
        <v>84</v>
      </c>
      <c r="D116" s="72" t="s">
        <v>16</v>
      </c>
      <c r="E116" s="72" t="s">
        <v>16</v>
      </c>
      <c r="F116" s="53" t="s">
        <v>165</v>
      </c>
      <c r="G116" s="53" t="s">
        <v>17</v>
      </c>
      <c r="H116" s="72">
        <v>620</v>
      </c>
      <c r="I116" s="48">
        <v>415</v>
      </c>
      <c r="J116" s="82" t="s">
        <v>18</v>
      </c>
      <c r="K116" s="63" t="s">
        <v>16</v>
      </c>
      <c r="L116" s="34">
        <v>177</v>
      </c>
      <c r="M116" s="34" t="s">
        <v>16</v>
      </c>
      <c r="N116" s="34">
        <v>177</v>
      </c>
      <c r="O116" s="34">
        <v>177</v>
      </c>
      <c r="P116" s="34">
        <v>173</v>
      </c>
      <c r="Q116" s="34">
        <v>170</v>
      </c>
      <c r="R116" s="34" t="s">
        <v>16</v>
      </c>
      <c r="S116" s="34">
        <v>168</v>
      </c>
      <c r="T116" s="34" t="s">
        <v>16</v>
      </c>
      <c r="U116" s="34">
        <v>168</v>
      </c>
      <c r="V116" s="34" t="s">
        <v>16</v>
      </c>
      <c r="W116" s="34">
        <v>168</v>
      </c>
      <c r="X116" s="34" t="s">
        <v>16</v>
      </c>
      <c r="Y116" s="34" t="s">
        <v>16</v>
      </c>
      <c r="Z116" s="34" t="s">
        <v>16</v>
      </c>
      <c r="AA116" s="34" t="s">
        <v>16</v>
      </c>
      <c r="AB116" s="34" t="s">
        <v>16</v>
      </c>
      <c r="AC116" s="34" t="s">
        <v>16</v>
      </c>
      <c r="AD116" s="34" t="s">
        <v>16</v>
      </c>
      <c r="AE116" s="34" t="s">
        <v>16</v>
      </c>
      <c r="AF116" s="34" t="s">
        <v>16</v>
      </c>
      <c r="AG116" s="34" t="s">
        <v>16</v>
      </c>
      <c r="AH116" s="34" t="s">
        <v>16</v>
      </c>
      <c r="AI116" s="34" t="s">
        <v>16</v>
      </c>
      <c r="AJ116" s="34" t="s">
        <v>16</v>
      </c>
      <c r="AK116" s="34" t="s">
        <v>16</v>
      </c>
      <c r="AL116" s="34" t="s">
        <v>16</v>
      </c>
      <c r="AM116" s="34" t="s">
        <v>16</v>
      </c>
      <c r="AN116" s="34" t="s">
        <v>16</v>
      </c>
      <c r="AO116" s="34" t="s">
        <v>16</v>
      </c>
      <c r="AP116" s="34" t="s">
        <v>16</v>
      </c>
      <c r="AQ116" s="34" t="s">
        <v>16</v>
      </c>
      <c r="AR116" s="34" t="s">
        <v>16</v>
      </c>
      <c r="AS116" s="34" t="s">
        <v>16</v>
      </c>
      <c r="AT116" s="34" t="s">
        <v>16</v>
      </c>
      <c r="AU116" s="55" t="s">
        <v>16</v>
      </c>
      <c r="AV116" s="57" t="s">
        <v>16</v>
      </c>
      <c r="AW116" s="63" t="s">
        <v>16</v>
      </c>
      <c r="AX116" s="34" t="s">
        <v>16</v>
      </c>
      <c r="AY116" s="34" t="s">
        <v>16</v>
      </c>
      <c r="AZ116" s="34" t="s">
        <v>16</v>
      </c>
      <c r="BA116" s="34" t="s">
        <v>16</v>
      </c>
      <c r="BB116" s="34" t="s">
        <v>16</v>
      </c>
      <c r="BC116" s="34" t="s">
        <v>16</v>
      </c>
      <c r="BD116" s="34" t="s">
        <v>16</v>
      </c>
      <c r="BE116" s="34" t="s">
        <v>16</v>
      </c>
      <c r="BF116" s="34" t="s">
        <v>16</v>
      </c>
      <c r="BG116" s="34" t="s">
        <v>16</v>
      </c>
      <c r="BH116" s="34" t="s">
        <v>16</v>
      </c>
      <c r="BI116" s="34" t="s">
        <v>16</v>
      </c>
      <c r="BJ116" s="34" t="s">
        <v>16</v>
      </c>
      <c r="BK116" s="34" t="s">
        <v>16</v>
      </c>
      <c r="BL116" s="34" t="s">
        <v>16</v>
      </c>
      <c r="BM116" s="34" t="s">
        <v>16</v>
      </c>
      <c r="BN116" s="34" t="s">
        <v>16</v>
      </c>
      <c r="BO116" s="34" t="s">
        <v>16</v>
      </c>
      <c r="BP116" s="34" t="s">
        <v>16</v>
      </c>
      <c r="BQ116" s="34" t="s">
        <v>16</v>
      </c>
      <c r="BR116" s="34" t="s">
        <v>16</v>
      </c>
      <c r="BS116" s="34" t="s">
        <v>16</v>
      </c>
      <c r="BT116" s="34" t="s">
        <v>16</v>
      </c>
      <c r="BU116" s="34" t="s">
        <v>16</v>
      </c>
      <c r="BV116" s="34" t="s">
        <v>16</v>
      </c>
      <c r="BW116" s="34" t="s">
        <v>16</v>
      </c>
      <c r="BX116" s="34" t="s">
        <v>16</v>
      </c>
      <c r="BY116" s="34" t="s">
        <v>16</v>
      </c>
      <c r="BZ116" s="34" t="s">
        <v>16</v>
      </c>
      <c r="CA116" s="34" t="s">
        <v>16</v>
      </c>
      <c r="CB116" s="34" t="s">
        <v>16</v>
      </c>
      <c r="CC116" s="34" t="s">
        <v>16</v>
      </c>
      <c r="CD116" s="34" t="s">
        <v>16</v>
      </c>
      <c r="CE116" s="34" t="s">
        <v>16</v>
      </c>
      <c r="CF116" s="34" t="s">
        <v>16</v>
      </c>
      <c r="CG116" s="44" t="s">
        <v>16</v>
      </c>
      <c r="CH116" s="63" t="s">
        <v>16</v>
      </c>
      <c r="CI116" s="34" t="s">
        <v>16</v>
      </c>
      <c r="CJ116" s="34" t="s">
        <v>16</v>
      </c>
      <c r="CK116" s="34" t="s">
        <v>16</v>
      </c>
      <c r="CL116" s="34" t="s">
        <v>16</v>
      </c>
      <c r="CM116" s="34" t="s">
        <v>16</v>
      </c>
      <c r="CN116" s="34" t="s">
        <v>16</v>
      </c>
      <c r="CO116" s="34" t="s">
        <v>16</v>
      </c>
      <c r="CP116" s="34" t="s">
        <v>16</v>
      </c>
      <c r="CQ116" s="34" t="s">
        <v>16</v>
      </c>
      <c r="CR116" s="34" t="s">
        <v>16</v>
      </c>
      <c r="CS116" s="34" t="s">
        <v>16</v>
      </c>
      <c r="CT116" s="34" t="s">
        <v>16</v>
      </c>
      <c r="CU116" s="34" t="s">
        <v>16</v>
      </c>
      <c r="CV116" s="34" t="s">
        <v>16</v>
      </c>
      <c r="CW116" s="34" t="s">
        <v>16</v>
      </c>
      <c r="CX116" s="34" t="s">
        <v>16</v>
      </c>
      <c r="CY116" s="34" t="s">
        <v>16</v>
      </c>
      <c r="CZ116" s="34" t="s">
        <v>16</v>
      </c>
      <c r="DA116" s="34" t="s">
        <v>16</v>
      </c>
      <c r="DB116" s="34" t="s">
        <v>16</v>
      </c>
      <c r="DC116" s="34" t="s">
        <v>16</v>
      </c>
      <c r="DD116" s="34" t="s">
        <v>16</v>
      </c>
      <c r="DE116" s="34" t="s">
        <v>16</v>
      </c>
      <c r="DF116" s="34" t="s">
        <v>16</v>
      </c>
      <c r="DG116" s="34" t="s">
        <v>16</v>
      </c>
      <c r="DH116" s="34" t="s">
        <v>16</v>
      </c>
      <c r="DI116" s="34" t="s">
        <v>16</v>
      </c>
      <c r="DJ116" s="34" t="s">
        <v>16</v>
      </c>
      <c r="DK116" s="34" t="s">
        <v>16</v>
      </c>
      <c r="DL116" s="34" t="s">
        <v>16</v>
      </c>
      <c r="DM116" s="34" t="s">
        <v>16</v>
      </c>
      <c r="DN116" s="34" t="s">
        <v>16</v>
      </c>
      <c r="DO116" s="34" t="s">
        <v>16</v>
      </c>
      <c r="DP116" s="34" t="s">
        <v>16</v>
      </c>
      <c r="DQ116" s="34" t="s">
        <v>16</v>
      </c>
      <c r="DR116" s="55" t="s">
        <v>16</v>
      </c>
    </row>
    <row r="117" spans="1:122">
      <c r="A117" s="56" t="s">
        <v>166</v>
      </c>
      <c r="B117" s="56"/>
      <c r="C117" s="53" t="s">
        <v>113</v>
      </c>
      <c r="D117" s="79" t="s">
        <v>16</v>
      </c>
      <c r="E117" s="79" t="s">
        <v>16</v>
      </c>
      <c r="F117" s="69" t="s">
        <v>16</v>
      </c>
      <c r="G117" s="69" t="s">
        <v>17</v>
      </c>
      <c r="H117" s="9">
        <v>585</v>
      </c>
      <c r="I117" s="7">
        <v>240</v>
      </c>
      <c r="J117" s="95" t="s">
        <v>18</v>
      </c>
      <c r="K117" s="63" t="s">
        <v>16</v>
      </c>
      <c r="L117" s="34">
        <v>161</v>
      </c>
      <c r="M117" s="34" t="s">
        <v>16</v>
      </c>
      <c r="N117" s="34">
        <v>159</v>
      </c>
      <c r="O117" s="34">
        <v>158</v>
      </c>
      <c r="P117" s="34">
        <v>157</v>
      </c>
      <c r="Q117" s="34">
        <v>156</v>
      </c>
      <c r="R117" s="34">
        <v>155</v>
      </c>
      <c r="S117" s="34">
        <v>152</v>
      </c>
      <c r="T117" s="34">
        <v>149</v>
      </c>
      <c r="U117" s="34" t="s">
        <v>16</v>
      </c>
      <c r="V117" s="34" t="s">
        <v>16</v>
      </c>
      <c r="W117" s="34" t="s">
        <v>16</v>
      </c>
      <c r="X117" s="34" t="s">
        <v>16</v>
      </c>
      <c r="Y117" s="34" t="s">
        <v>16</v>
      </c>
      <c r="Z117" s="34" t="s">
        <v>16</v>
      </c>
      <c r="AA117" s="34" t="s">
        <v>16</v>
      </c>
      <c r="AB117" s="34" t="s">
        <v>16</v>
      </c>
      <c r="AC117" s="34" t="s">
        <v>16</v>
      </c>
      <c r="AD117" s="34" t="s">
        <v>16</v>
      </c>
      <c r="AE117" s="34" t="s">
        <v>16</v>
      </c>
      <c r="AF117" s="34" t="s">
        <v>16</v>
      </c>
      <c r="AG117" s="34" t="s">
        <v>16</v>
      </c>
      <c r="AH117" s="34" t="s">
        <v>16</v>
      </c>
      <c r="AI117" s="34" t="s">
        <v>16</v>
      </c>
      <c r="AJ117" s="34" t="s">
        <v>16</v>
      </c>
      <c r="AK117" s="34" t="s">
        <v>16</v>
      </c>
      <c r="AL117" s="34" t="s">
        <v>16</v>
      </c>
      <c r="AM117" s="34" t="s">
        <v>16</v>
      </c>
      <c r="AN117" s="34" t="s">
        <v>16</v>
      </c>
      <c r="AO117" s="34" t="s">
        <v>16</v>
      </c>
      <c r="AP117" s="34" t="s">
        <v>16</v>
      </c>
      <c r="AQ117" s="34" t="s">
        <v>16</v>
      </c>
      <c r="AR117" s="34" t="s">
        <v>16</v>
      </c>
      <c r="AS117" s="34" t="s">
        <v>16</v>
      </c>
      <c r="AT117" s="34" t="s">
        <v>16</v>
      </c>
      <c r="AU117" s="55" t="s">
        <v>16</v>
      </c>
      <c r="AV117" s="57" t="s">
        <v>16</v>
      </c>
      <c r="AW117" s="63" t="s">
        <v>16</v>
      </c>
      <c r="AX117" s="34" t="s">
        <v>16</v>
      </c>
      <c r="AY117" s="34" t="s">
        <v>16</v>
      </c>
      <c r="AZ117" s="34" t="s">
        <v>16</v>
      </c>
      <c r="BA117" s="34" t="s">
        <v>16</v>
      </c>
      <c r="BB117" s="34" t="s">
        <v>16</v>
      </c>
      <c r="BC117" s="34" t="s">
        <v>16</v>
      </c>
      <c r="BD117" s="34" t="s">
        <v>16</v>
      </c>
      <c r="BE117" s="34" t="s">
        <v>16</v>
      </c>
      <c r="BF117" s="34" t="s">
        <v>16</v>
      </c>
      <c r="BG117" s="34" t="s">
        <v>16</v>
      </c>
      <c r="BH117" s="34" t="s">
        <v>16</v>
      </c>
      <c r="BI117" s="34" t="s">
        <v>16</v>
      </c>
      <c r="BJ117" s="34" t="s">
        <v>16</v>
      </c>
      <c r="BK117" s="34" t="s">
        <v>16</v>
      </c>
      <c r="BL117" s="34" t="s">
        <v>16</v>
      </c>
      <c r="BM117" s="34" t="s">
        <v>16</v>
      </c>
      <c r="BN117" s="34" t="s">
        <v>16</v>
      </c>
      <c r="BO117" s="34" t="s">
        <v>16</v>
      </c>
      <c r="BP117" s="34" t="s">
        <v>16</v>
      </c>
      <c r="BQ117" s="34" t="s">
        <v>16</v>
      </c>
      <c r="BR117" s="34" t="s">
        <v>16</v>
      </c>
      <c r="BS117" s="34" t="s">
        <v>16</v>
      </c>
      <c r="BT117" s="34" t="s">
        <v>16</v>
      </c>
      <c r="BU117" s="34" t="s">
        <v>16</v>
      </c>
      <c r="BV117" s="34" t="s">
        <v>16</v>
      </c>
      <c r="BW117" s="34" t="s">
        <v>16</v>
      </c>
      <c r="BX117" s="34" t="s">
        <v>16</v>
      </c>
      <c r="BY117" s="34" t="s">
        <v>16</v>
      </c>
      <c r="BZ117" s="34" t="s">
        <v>16</v>
      </c>
      <c r="CA117" s="34" t="s">
        <v>16</v>
      </c>
      <c r="CB117" s="34" t="s">
        <v>16</v>
      </c>
      <c r="CC117" s="34" t="s">
        <v>16</v>
      </c>
      <c r="CD117" s="34" t="s">
        <v>16</v>
      </c>
      <c r="CE117" s="34" t="s">
        <v>16</v>
      </c>
      <c r="CF117" s="34" t="s">
        <v>16</v>
      </c>
      <c r="CG117" s="44" t="s">
        <v>16</v>
      </c>
      <c r="CH117" s="63" t="s">
        <v>16</v>
      </c>
      <c r="CI117" s="34" t="s">
        <v>16</v>
      </c>
      <c r="CJ117" s="34" t="s">
        <v>16</v>
      </c>
      <c r="CK117" s="34" t="s">
        <v>16</v>
      </c>
      <c r="CL117" s="34" t="s">
        <v>16</v>
      </c>
      <c r="CM117" s="34" t="s">
        <v>16</v>
      </c>
      <c r="CN117" s="34" t="s">
        <v>16</v>
      </c>
      <c r="CO117" s="34" t="s">
        <v>16</v>
      </c>
      <c r="CP117" s="34" t="s">
        <v>16</v>
      </c>
      <c r="CQ117" s="34" t="s">
        <v>16</v>
      </c>
      <c r="CR117" s="34" t="s">
        <v>16</v>
      </c>
      <c r="CS117" s="34" t="s">
        <v>16</v>
      </c>
      <c r="CT117" s="34" t="s">
        <v>16</v>
      </c>
      <c r="CU117" s="34" t="s">
        <v>16</v>
      </c>
      <c r="CV117" s="34" t="s">
        <v>16</v>
      </c>
      <c r="CW117" s="34" t="s">
        <v>16</v>
      </c>
      <c r="CX117" s="34" t="s">
        <v>16</v>
      </c>
      <c r="CY117" s="34" t="s">
        <v>16</v>
      </c>
      <c r="CZ117" s="34" t="s">
        <v>16</v>
      </c>
      <c r="DA117" s="34" t="s">
        <v>16</v>
      </c>
      <c r="DB117" s="34" t="s">
        <v>16</v>
      </c>
      <c r="DC117" s="34" t="s">
        <v>16</v>
      </c>
      <c r="DD117" s="34" t="s">
        <v>16</v>
      </c>
      <c r="DE117" s="34" t="s">
        <v>16</v>
      </c>
      <c r="DF117" s="34" t="s">
        <v>16</v>
      </c>
      <c r="DG117" s="34" t="s">
        <v>16</v>
      </c>
      <c r="DH117" s="34" t="s">
        <v>16</v>
      </c>
      <c r="DI117" s="34" t="s">
        <v>16</v>
      </c>
      <c r="DJ117" s="34" t="s">
        <v>16</v>
      </c>
      <c r="DK117" s="34" t="s">
        <v>16</v>
      </c>
      <c r="DL117" s="34" t="s">
        <v>16</v>
      </c>
      <c r="DM117" s="34" t="s">
        <v>16</v>
      </c>
      <c r="DN117" s="34" t="s">
        <v>16</v>
      </c>
      <c r="DO117" s="34" t="s">
        <v>16</v>
      </c>
      <c r="DP117" s="34" t="s">
        <v>16</v>
      </c>
      <c r="DQ117" s="34" t="s">
        <v>16</v>
      </c>
      <c r="DR117" s="55" t="s">
        <v>16</v>
      </c>
    </row>
    <row r="118" spans="1:122">
      <c r="A118" s="56" t="s">
        <v>167</v>
      </c>
      <c r="B118" s="56"/>
      <c r="C118" s="53" t="s">
        <v>113</v>
      </c>
      <c r="D118" s="72" t="s">
        <v>16</v>
      </c>
      <c r="E118" s="72" t="s">
        <v>16</v>
      </c>
      <c r="F118" s="53" t="s">
        <v>168</v>
      </c>
      <c r="G118" s="53" t="s">
        <v>17</v>
      </c>
      <c r="H118" s="72">
        <v>485</v>
      </c>
      <c r="I118" s="48">
        <v>275</v>
      </c>
      <c r="J118" s="53" t="s">
        <v>18</v>
      </c>
      <c r="K118" s="59" t="s">
        <v>16</v>
      </c>
      <c r="L118" s="34">
        <v>138</v>
      </c>
      <c r="M118" s="34" t="s">
        <v>16</v>
      </c>
      <c r="N118" s="34">
        <v>138</v>
      </c>
      <c r="O118" s="34">
        <v>138</v>
      </c>
      <c r="P118" s="34">
        <v>138</v>
      </c>
      <c r="Q118" s="34">
        <v>138</v>
      </c>
      <c r="R118" s="54" t="s">
        <v>16</v>
      </c>
      <c r="S118" s="34">
        <v>138</v>
      </c>
      <c r="T118" s="54" t="s">
        <v>16</v>
      </c>
      <c r="U118" s="34">
        <v>138</v>
      </c>
      <c r="V118" s="54" t="s">
        <v>16</v>
      </c>
      <c r="W118" s="34">
        <v>138</v>
      </c>
      <c r="X118" s="34">
        <v>136</v>
      </c>
      <c r="Y118" s="34">
        <v>129</v>
      </c>
      <c r="Z118" s="54" t="s">
        <v>16</v>
      </c>
      <c r="AA118" s="54" t="s">
        <v>16</v>
      </c>
      <c r="AB118" s="54" t="s">
        <v>16</v>
      </c>
      <c r="AC118" s="54" t="s">
        <v>16</v>
      </c>
      <c r="AD118" s="54" t="s">
        <v>16</v>
      </c>
      <c r="AE118" s="34" t="s">
        <v>16</v>
      </c>
      <c r="AF118" s="34" t="s">
        <v>16</v>
      </c>
      <c r="AG118" s="34" t="s">
        <v>16</v>
      </c>
      <c r="AH118" s="34" t="s">
        <v>16</v>
      </c>
      <c r="AI118" s="34" t="s">
        <v>16</v>
      </c>
      <c r="AJ118" s="34" t="s">
        <v>16</v>
      </c>
      <c r="AK118" s="34" t="s">
        <v>16</v>
      </c>
      <c r="AL118" s="34" t="s">
        <v>16</v>
      </c>
      <c r="AM118" s="34" t="s">
        <v>16</v>
      </c>
      <c r="AN118" s="34" t="s">
        <v>16</v>
      </c>
      <c r="AO118" s="34" t="s">
        <v>16</v>
      </c>
      <c r="AP118" s="34" t="s">
        <v>16</v>
      </c>
      <c r="AQ118" s="34" t="s">
        <v>16</v>
      </c>
      <c r="AR118" s="34" t="s">
        <v>16</v>
      </c>
      <c r="AS118" s="34" t="s">
        <v>16</v>
      </c>
      <c r="AT118" s="34" t="s">
        <v>16</v>
      </c>
      <c r="AU118" s="55" t="s">
        <v>16</v>
      </c>
      <c r="AV118" s="57" t="s">
        <v>18</v>
      </c>
      <c r="AW118" s="63" t="s">
        <v>16</v>
      </c>
      <c r="AX118" s="34">
        <v>483</v>
      </c>
      <c r="AY118" s="34" t="s">
        <v>16</v>
      </c>
      <c r="AZ118" s="34" t="s">
        <v>16</v>
      </c>
      <c r="BA118" s="34">
        <v>483</v>
      </c>
      <c r="BB118" s="34" t="s">
        <v>16</v>
      </c>
      <c r="BC118" s="34">
        <v>483</v>
      </c>
      <c r="BD118" s="34" t="s">
        <v>16</v>
      </c>
      <c r="BE118" s="34">
        <v>483</v>
      </c>
      <c r="BF118" s="34" t="s">
        <v>16</v>
      </c>
      <c r="BG118" s="34">
        <v>483</v>
      </c>
      <c r="BH118" s="34" t="s">
        <v>16</v>
      </c>
      <c r="BI118" s="34">
        <v>483</v>
      </c>
      <c r="BJ118" s="34">
        <v>483</v>
      </c>
      <c r="BK118" s="34">
        <v>480</v>
      </c>
      <c r="BL118" s="34">
        <v>454</v>
      </c>
      <c r="BM118" s="34">
        <v>426</v>
      </c>
      <c r="BN118" s="34">
        <v>401</v>
      </c>
      <c r="BO118" s="34">
        <v>377</v>
      </c>
      <c r="BP118" s="34">
        <v>353</v>
      </c>
      <c r="BQ118" s="34">
        <v>326</v>
      </c>
      <c r="BR118" s="34">
        <v>291</v>
      </c>
      <c r="BS118" s="34" t="s">
        <v>16</v>
      </c>
      <c r="BT118" s="34" t="s">
        <v>16</v>
      </c>
      <c r="BU118" s="34" t="s">
        <v>16</v>
      </c>
      <c r="BV118" s="34" t="s">
        <v>16</v>
      </c>
      <c r="BW118" s="34" t="s">
        <v>16</v>
      </c>
      <c r="BX118" s="34" t="s">
        <v>16</v>
      </c>
      <c r="BY118" s="34" t="s">
        <v>16</v>
      </c>
      <c r="BZ118" s="34" t="s">
        <v>16</v>
      </c>
      <c r="CA118" s="34" t="s">
        <v>16</v>
      </c>
      <c r="CB118" s="34" t="s">
        <v>16</v>
      </c>
      <c r="CC118" s="34" t="s">
        <v>16</v>
      </c>
      <c r="CD118" s="34" t="s">
        <v>16</v>
      </c>
      <c r="CE118" s="34" t="s">
        <v>16</v>
      </c>
      <c r="CF118" s="34" t="s">
        <v>16</v>
      </c>
      <c r="CG118" s="44" t="s">
        <v>16</v>
      </c>
      <c r="CH118" s="63" t="s">
        <v>16</v>
      </c>
      <c r="CI118" s="34">
        <v>276</v>
      </c>
      <c r="CJ118" s="34" t="s">
        <v>16</v>
      </c>
      <c r="CK118" s="34">
        <v>259</v>
      </c>
      <c r="CL118" s="34">
        <v>251</v>
      </c>
      <c r="CM118" s="34">
        <v>247</v>
      </c>
      <c r="CN118" s="34">
        <v>244</v>
      </c>
      <c r="CO118" s="34">
        <v>241</v>
      </c>
      <c r="CP118" s="34">
        <v>237</v>
      </c>
      <c r="CQ118" s="34">
        <v>232</v>
      </c>
      <c r="CR118" s="34">
        <v>227</v>
      </c>
      <c r="CS118" s="34">
        <v>220</v>
      </c>
      <c r="CT118" s="34">
        <v>212</v>
      </c>
      <c r="CU118" s="34">
        <v>204</v>
      </c>
      <c r="CV118" s="34">
        <v>195</v>
      </c>
      <c r="CW118" s="34">
        <v>185</v>
      </c>
      <c r="CX118" s="34">
        <v>174</v>
      </c>
      <c r="CY118" s="34">
        <v>163</v>
      </c>
      <c r="CZ118" s="34">
        <v>152</v>
      </c>
      <c r="DA118" s="34">
        <v>140</v>
      </c>
      <c r="DB118" s="34">
        <v>130</v>
      </c>
      <c r="DC118" s="34">
        <v>120</v>
      </c>
      <c r="DD118" s="34" t="s">
        <v>16</v>
      </c>
      <c r="DE118" s="34" t="s">
        <v>16</v>
      </c>
      <c r="DF118" s="34" t="s">
        <v>16</v>
      </c>
      <c r="DG118" s="34" t="s">
        <v>16</v>
      </c>
      <c r="DH118" s="34" t="s">
        <v>16</v>
      </c>
      <c r="DI118" s="34" t="s">
        <v>16</v>
      </c>
      <c r="DJ118" s="34" t="s">
        <v>16</v>
      </c>
      <c r="DK118" s="34" t="s">
        <v>16</v>
      </c>
      <c r="DL118" s="34" t="s">
        <v>16</v>
      </c>
      <c r="DM118" s="34" t="s">
        <v>16</v>
      </c>
      <c r="DN118" s="34" t="s">
        <v>16</v>
      </c>
      <c r="DO118" s="34" t="s">
        <v>16</v>
      </c>
      <c r="DP118" s="34" t="s">
        <v>16</v>
      </c>
      <c r="DQ118" s="34" t="s">
        <v>16</v>
      </c>
      <c r="DR118" s="55" t="s">
        <v>16</v>
      </c>
    </row>
    <row r="119" spans="1:122">
      <c r="A119" s="56" t="s">
        <v>169</v>
      </c>
      <c r="B119" s="56"/>
      <c r="C119" s="56" t="s">
        <v>113</v>
      </c>
      <c r="D119" s="85" t="s">
        <v>16</v>
      </c>
      <c r="E119" s="85" t="s">
        <v>16</v>
      </c>
      <c r="F119" s="56" t="s">
        <v>16</v>
      </c>
      <c r="G119" s="97" t="s">
        <v>52</v>
      </c>
      <c r="H119" s="85">
        <v>127</v>
      </c>
      <c r="I119" s="57" t="s">
        <v>16</v>
      </c>
      <c r="J119" s="97" t="s">
        <v>63</v>
      </c>
      <c r="K119" s="63">
        <v>25.48</v>
      </c>
      <c r="L119" s="34">
        <v>25.48</v>
      </c>
      <c r="M119" s="34">
        <v>25.48</v>
      </c>
      <c r="N119" s="34">
        <v>25.48</v>
      </c>
      <c r="O119" s="34">
        <v>24.5</v>
      </c>
      <c r="P119" s="34">
        <v>21.56</v>
      </c>
      <c r="Q119" s="34" t="s">
        <v>16</v>
      </c>
      <c r="R119" s="34" t="s">
        <v>16</v>
      </c>
      <c r="S119" s="34" t="s">
        <v>16</v>
      </c>
      <c r="T119" s="34" t="s">
        <v>16</v>
      </c>
      <c r="U119" s="34" t="s">
        <v>16</v>
      </c>
      <c r="V119" s="34" t="s">
        <v>16</v>
      </c>
      <c r="W119" s="34" t="s">
        <v>16</v>
      </c>
      <c r="X119" s="34" t="s">
        <v>16</v>
      </c>
      <c r="Y119" s="34" t="s">
        <v>16</v>
      </c>
      <c r="Z119" s="34" t="s">
        <v>16</v>
      </c>
      <c r="AA119" s="34" t="s">
        <v>16</v>
      </c>
      <c r="AB119" s="34" t="s">
        <v>16</v>
      </c>
      <c r="AC119" s="34" t="s">
        <v>16</v>
      </c>
      <c r="AD119" s="34" t="s">
        <v>16</v>
      </c>
      <c r="AE119" s="34" t="s">
        <v>16</v>
      </c>
      <c r="AF119" s="34" t="s">
        <v>16</v>
      </c>
      <c r="AG119" s="34" t="s">
        <v>16</v>
      </c>
      <c r="AH119" s="34" t="s">
        <v>16</v>
      </c>
      <c r="AI119" s="34" t="s">
        <v>16</v>
      </c>
      <c r="AJ119" s="34" t="s">
        <v>16</v>
      </c>
      <c r="AK119" s="34" t="s">
        <v>16</v>
      </c>
      <c r="AL119" s="34" t="s">
        <v>16</v>
      </c>
      <c r="AM119" s="34" t="s">
        <v>16</v>
      </c>
      <c r="AN119" s="34" t="s">
        <v>16</v>
      </c>
      <c r="AO119" s="34" t="s">
        <v>16</v>
      </c>
      <c r="AP119" s="34" t="s">
        <v>16</v>
      </c>
      <c r="AQ119" s="34" t="s">
        <v>16</v>
      </c>
      <c r="AR119" s="34" t="s">
        <v>16</v>
      </c>
      <c r="AS119" s="34" t="s">
        <v>16</v>
      </c>
      <c r="AT119" s="34" t="s">
        <v>16</v>
      </c>
      <c r="AU119" s="55" t="s">
        <v>16</v>
      </c>
      <c r="AV119" s="140" t="s">
        <v>64</v>
      </c>
      <c r="AW119" s="63">
        <v>210</v>
      </c>
      <c r="AX119" s="34">
        <v>210</v>
      </c>
      <c r="AY119" s="34">
        <v>210</v>
      </c>
      <c r="AZ119" s="34">
        <v>210</v>
      </c>
      <c r="BA119" s="34">
        <v>210</v>
      </c>
      <c r="BB119" s="34">
        <v>210</v>
      </c>
      <c r="BC119" s="34">
        <v>210</v>
      </c>
      <c r="BD119" s="34">
        <v>70</v>
      </c>
      <c r="BE119" s="34">
        <v>70</v>
      </c>
      <c r="BF119" s="34" t="s">
        <v>16</v>
      </c>
      <c r="BG119" s="34" t="s">
        <v>16</v>
      </c>
      <c r="BH119" s="34" t="s">
        <v>16</v>
      </c>
      <c r="BI119" s="34" t="s">
        <v>16</v>
      </c>
      <c r="BJ119" s="34" t="s">
        <v>16</v>
      </c>
      <c r="BK119" s="34" t="s">
        <v>16</v>
      </c>
      <c r="BL119" s="34" t="s">
        <v>16</v>
      </c>
      <c r="BM119" s="34" t="s">
        <v>16</v>
      </c>
      <c r="BN119" s="34" t="s">
        <v>16</v>
      </c>
      <c r="BO119" s="34" t="s">
        <v>16</v>
      </c>
      <c r="BP119" s="34" t="s">
        <v>16</v>
      </c>
      <c r="BQ119" s="34" t="s">
        <v>16</v>
      </c>
      <c r="BR119" s="34" t="s">
        <v>16</v>
      </c>
      <c r="BS119" s="34" t="s">
        <v>16</v>
      </c>
      <c r="BT119" s="34" t="s">
        <v>16</v>
      </c>
      <c r="BU119" s="34" t="s">
        <v>16</v>
      </c>
      <c r="BV119" s="34" t="s">
        <v>16</v>
      </c>
      <c r="BW119" s="34" t="s">
        <v>16</v>
      </c>
      <c r="BX119" s="34" t="s">
        <v>16</v>
      </c>
      <c r="BY119" s="34" t="s">
        <v>16</v>
      </c>
      <c r="BZ119" s="34" t="s">
        <v>16</v>
      </c>
      <c r="CA119" s="34" t="s">
        <v>16</v>
      </c>
      <c r="CB119" s="34" t="s">
        <v>16</v>
      </c>
      <c r="CC119" s="34" t="s">
        <v>16</v>
      </c>
      <c r="CD119" s="34" t="s">
        <v>16</v>
      </c>
      <c r="CE119" s="34" t="s">
        <v>16</v>
      </c>
      <c r="CF119" s="34" t="s">
        <v>16</v>
      </c>
      <c r="CG119" s="44" t="s">
        <v>16</v>
      </c>
      <c r="CH119" s="63">
        <v>180</v>
      </c>
      <c r="CI119" s="34">
        <v>180</v>
      </c>
      <c r="CJ119" s="34">
        <v>180</v>
      </c>
      <c r="CK119" s="34">
        <v>180</v>
      </c>
      <c r="CL119" s="34">
        <v>180</v>
      </c>
      <c r="CM119" s="34">
        <v>180</v>
      </c>
      <c r="CN119" s="34">
        <v>180</v>
      </c>
      <c r="CO119" s="34">
        <v>50</v>
      </c>
      <c r="CP119" s="34">
        <v>50</v>
      </c>
      <c r="CQ119" s="34" t="s">
        <v>16</v>
      </c>
      <c r="CR119" s="34" t="s">
        <v>16</v>
      </c>
      <c r="CS119" s="34" t="s">
        <v>16</v>
      </c>
      <c r="CT119" s="34" t="s">
        <v>16</v>
      </c>
      <c r="CU119" s="34" t="s">
        <v>16</v>
      </c>
      <c r="CV119" s="34" t="s">
        <v>16</v>
      </c>
      <c r="CW119" s="34" t="s">
        <v>16</v>
      </c>
      <c r="CX119" s="34" t="s">
        <v>16</v>
      </c>
      <c r="CY119" s="34" t="s">
        <v>16</v>
      </c>
      <c r="CZ119" s="34" t="s">
        <v>16</v>
      </c>
      <c r="DA119" s="34" t="s">
        <v>16</v>
      </c>
      <c r="DB119" s="34" t="s">
        <v>16</v>
      </c>
      <c r="DC119" s="34" t="s">
        <v>16</v>
      </c>
      <c r="DD119" s="34" t="s">
        <v>16</v>
      </c>
      <c r="DE119" s="34" t="s">
        <v>16</v>
      </c>
      <c r="DF119" s="34" t="s">
        <v>16</v>
      </c>
      <c r="DG119" s="34" t="s">
        <v>16</v>
      </c>
      <c r="DH119" s="34" t="s">
        <v>16</v>
      </c>
      <c r="DI119" s="34" t="s">
        <v>16</v>
      </c>
      <c r="DJ119" s="34" t="s">
        <v>16</v>
      </c>
      <c r="DK119" s="34" t="s">
        <v>16</v>
      </c>
      <c r="DL119" s="34" t="s">
        <v>16</v>
      </c>
      <c r="DM119" s="34" t="s">
        <v>16</v>
      </c>
      <c r="DN119" s="34" t="s">
        <v>16</v>
      </c>
      <c r="DO119" s="34" t="s">
        <v>16</v>
      </c>
      <c r="DP119" s="34" t="s">
        <v>16</v>
      </c>
      <c r="DQ119" s="34" t="s">
        <v>16</v>
      </c>
      <c r="DR119" s="55" t="s">
        <v>16</v>
      </c>
    </row>
    <row r="120" spans="1:122">
      <c r="A120" s="104" t="s">
        <v>170</v>
      </c>
      <c r="B120" s="104"/>
      <c r="C120" s="62" t="str">
        <f t="shared" ref="C120:AH120" si="202">C15</f>
        <v>bar</v>
      </c>
      <c r="D120" s="62" t="str">
        <f t="shared" si="202"/>
        <v>-</v>
      </c>
      <c r="E120" s="62" t="str">
        <f t="shared" si="202"/>
        <v>-</v>
      </c>
      <c r="F120" s="62" t="str">
        <f t="shared" si="202"/>
        <v>A8I</v>
      </c>
      <c r="G120" s="62" t="str">
        <f t="shared" si="202"/>
        <v>ASTM</v>
      </c>
      <c r="H120" s="105">
        <f t="shared" si="202"/>
        <v>485</v>
      </c>
      <c r="I120" s="62">
        <f t="shared" si="202"/>
        <v>170</v>
      </c>
      <c r="J120" s="62" t="str">
        <f t="shared" si="202"/>
        <v>-</v>
      </c>
      <c r="K120" s="100" t="str">
        <f t="shared" si="202"/>
        <v>-</v>
      </c>
      <c r="L120" s="101" t="str">
        <f t="shared" si="202"/>
        <v>-</v>
      </c>
      <c r="M120" s="101" t="str">
        <f t="shared" si="202"/>
        <v>-</v>
      </c>
      <c r="N120" s="101" t="str">
        <f t="shared" si="202"/>
        <v>-</v>
      </c>
      <c r="O120" s="101" t="str">
        <f t="shared" si="202"/>
        <v>-</v>
      </c>
      <c r="P120" s="101" t="str">
        <f t="shared" si="202"/>
        <v>-</v>
      </c>
      <c r="Q120" s="101" t="str">
        <f t="shared" si="202"/>
        <v>-</v>
      </c>
      <c r="R120" s="101" t="str">
        <f t="shared" si="202"/>
        <v>-</v>
      </c>
      <c r="S120" s="101" t="str">
        <f t="shared" si="202"/>
        <v>-</v>
      </c>
      <c r="T120" s="101" t="str">
        <f t="shared" si="202"/>
        <v>-</v>
      </c>
      <c r="U120" s="101" t="str">
        <f t="shared" si="202"/>
        <v>-</v>
      </c>
      <c r="V120" s="101" t="str">
        <f t="shared" si="202"/>
        <v>-</v>
      </c>
      <c r="W120" s="101" t="str">
        <f t="shared" si="202"/>
        <v>-</v>
      </c>
      <c r="X120" s="101" t="str">
        <f t="shared" si="202"/>
        <v>-</v>
      </c>
      <c r="Y120" s="101" t="str">
        <f t="shared" si="202"/>
        <v>-</v>
      </c>
      <c r="Z120" s="101" t="str">
        <f t="shared" si="202"/>
        <v>-</v>
      </c>
      <c r="AA120" s="101" t="str">
        <f t="shared" si="202"/>
        <v>-</v>
      </c>
      <c r="AB120" s="101" t="str">
        <f t="shared" si="202"/>
        <v>-</v>
      </c>
      <c r="AC120" s="101" t="str">
        <f t="shared" si="202"/>
        <v>-</v>
      </c>
      <c r="AD120" s="101" t="str">
        <f t="shared" si="202"/>
        <v>-</v>
      </c>
      <c r="AE120" s="101" t="str">
        <f t="shared" si="202"/>
        <v>-</v>
      </c>
      <c r="AF120" s="101" t="str">
        <f t="shared" si="202"/>
        <v>-</v>
      </c>
      <c r="AG120" s="101" t="str">
        <f t="shared" si="202"/>
        <v>-</v>
      </c>
      <c r="AH120" s="101" t="str">
        <f t="shared" si="202"/>
        <v>-</v>
      </c>
      <c r="AI120" s="101" t="str">
        <f t="shared" ref="AI120:BN120" si="203">AI15</f>
        <v>-</v>
      </c>
      <c r="AJ120" s="101" t="str">
        <f t="shared" si="203"/>
        <v>-</v>
      </c>
      <c r="AK120" s="101" t="str">
        <f t="shared" si="203"/>
        <v>-</v>
      </c>
      <c r="AL120" s="101" t="str">
        <f t="shared" si="203"/>
        <v>-</v>
      </c>
      <c r="AM120" s="101" t="str">
        <f t="shared" si="203"/>
        <v>-</v>
      </c>
      <c r="AN120" s="101" t="str">
        <f t="shared" si="203"/>
        <v>-</v>
      </c>
      <c r="AO120" s="101" t="str">
        <f t="shared" si="203"/>
        <v>-</v>
      </c>
      <c r="AP120" s="101" t="str">
        <f t="shared" si="203"/>
        <v>-</v>
      </c>
      <c r="AQ120" s="101" t="str">
        <f t="shared" si="203"/>
        <v>-</v>
      </c>
      <c r="AR120" s="101" t="str">
        <f t="shared" si="203"/>
        <v>-</v>
      </c>
      <c r="AS120" s="101" t="str">
        <f t="shared" si="203"/>
        <v>-</v>
      </c>
      <c r="AT120" s="101" t="str">
        <f t="shared" si="203"/>
        <v>-</v>
      </c>
      <c r="AU120" s="106" t="str">
        <f t="shared" si="203"/>
        <v>-</v>
      </c>
      <c r="AV120" s="99" t="str">
        <f t="shared" si="203"/>
        <v>ISO</v>
      </c>
      <c r="AW120" s="59" t="str">
        <f t="shared" si="203"/>
        <v>-</v>
      </c>
      <c r="AX120" s="54" t="str">
        <f t="shared" si="203"/>
        <v>-</v>
      </c>
      <c r="AY120" s="54" t="str">
        <f t="shared" si="203"/>
        <v>-</v>
      </c>
      <c r="AZ120" s="54" t="str">
        <f t="shared" si="203"/>
        <v>-</v>
      </c>
      <c r="BA120" s="54">
        <f t="shared" si="203"/>
        <v>200</v>
      </c>
      <c r="BB120" s="54" t="str">
        <f t="shared" si="203"/>
        <v>-</v>
      </c>
      <c r="BC120" s="54">
        <f t="shared" si="203"/>
        <v>180</v>
      </c>
      <c r="BD120" s="54" t="str">
        <f t="shared" si="203"/>
        <v>-</v>
      </c>
      <c r="BE120" s="54">
        <f t="shared" si="203"/>
        <v>165</v>
      </c>
      <c r="BF120" s="54" t="str">
        <f t="shared" si="203"/>
        <v>-</v>
      </c>
      <c r="BG120" s="54">
        <f t="shared" si="203"/>
        <v>153</v>
      </c>
      <c r="BH120" s="54" t="str">
        <f t="shared" si="203"/>
        <v>-</v>
      </c>
      <c r="BI120" s="54">
        <f t="shared" si="203"/>
        <v>145</v>
      </c>
      <c r="BJ120" s="54" t="str">
        <f t="shared" si="203"/>
        <v>-</v>
      </c>
      <c r="BK120" s="54">
        <f t="shared" si="203"/>
        <v>139</v>
      </c>
      <c r="BL120" s="54" t="str">
        <f t="shared" si="203"/>
        <v>-</v>
      </c>
      <c r="BM120" s="54">
        <f t="shared" si="203"/>
        <v>135</v>
      </c>
      <c r="BN120" s="54" t="str">
        <f t="shared" si="203"/>
        <v>-</v>
      </c>
      <c r="BO120" s="54">
        <f t="shared" ref="BO120:CT120" si="204">BO15</f>
        <v>130</v>
      </c>
      <c r="BP120" s="54" t="str">
        <f t="shared" si="204"/>
        <v>-</v>
      </c>
      <c r="BQ120" s="54">
        <f t="shared" si="204"/>
        <v>128</v>
      </c>
      <c r="BR120" s="54" t="str">
        <f t="shared" si="204"/>
        <v>-</v>
      </c>
      <c r="BS120" s="54">
        <f t="shared" si="204"/>
        <v>127</v>
      </c>
      <c r="BT120" s="54" t="str">
        <f t="shared" si="204"/>
        <v>-</v>
      </c>
      <c r="BU120" s="54" t="str">
        <f t="shared" si="204"/>
        <v>-</v>
      </c>
      <c r="BV120" s="54" t="str">
        <f t="shared" si="204"/>
        <v>-</v>
      </c>
      <c r="BW120" s="54" t="str">
        <f t="shared" si="204"/>
        <v>-</v>
      </c>
      <c r="BX120" s="54" t="str">
        <f t="shared" si="204"/>
        <v>-</v>
      </c>
      <c r="BY120" s="54" t="str">
        <f t="shared" si="204"/>
        <v>-</v>
      </c>
      <c r="BZ120" s="54" t="str">
        <f t="shared" si="204"/>
        <v>-</v>
      </c>
      <c r="CA120" s="54" t="str">
        <f t="shared" si="204"/>
        <v>-</v>
      </c>
      <c r="CB120" s="54" t="str">
        <f t="shared" si="204"/>
        <v>-</v>
      </c>
      <c r="CC120" s="54" t="str">
        <f t="shared" si="204"/>
        <v>-</v>
      </c>
      <c r="CD120" s="54" t="str">
        <f t="shared" si="204"/>
        <v>-</v>
      </c>
      <c r="CE120" s="54" t="str">
        <f t="shared" si="204"/>
        <v>-</v>
      </c>
      <c r="CF120" s="54" t="str">
        <f t="shared" si="204"/>
        <v>-</v>
      </c>
      <c r="CG120" s="139" t="str">
        <f t="shared" si="204"/>
        <v>-</v>
      </c>
      <c r="CH120" s="59" t="str">
        <f t="shared" si="204"/>
        <v>-</v>
      </c>
      <c r="CI120" s="54" t="str">
        <f t="shared" si="204"/>
        <v>-</v>
      </c>
      <c r="CJ120" s="54" t="str">
        <f t="shared" si="204"/>
        <v>-</v>
      </c>
      <c r="CK120" s="54" t="str">
        <f t="shared" si="204"/>
        <v>-</v>
      </c>
      <c r="CL120" s="54">
        <f t="shared" si="204"/>
        <v>165</v>
      </c>
      <c r="CM120" s="54" t="str">
        <f t="shared" si="204"/>
        <v>-</v>
      </c>
      <c r="CN120" s="54">
        <f t="shared" si="204"/>
        <v>150</v>
      </c>
      <c r="CO120" s="54" t="str">
        <f t="shared" si="204"/>
        <v>-</v>
      </c>
      <c r="CP120" s="54">
        <f t="shared" si="204"/>
        <v>137</v>
      </c>
      <c r="CQ120" s="54" t="str">
        <f t="shared" si="204"/>
        <v>-</v>
      </c>
      <c r="CR120" s="54">
        <f t="shared" si="204"/>
        <v>127</v>
      </c>
      <c r="CS120" s="54" t="str">
        <f t="shared" si="204"/>
        <v>-</v>
      </c>
      <c r="CT120" s="54">
        <f t="shared" si="204"/>
        <v>119</v>
      </c>
      <c r="CU120" s="54" t="str">
        <f t="shared" ref="CU120:DR120" si="205">CU15</f>
        <v>-</v>
      </c>
      <c r="CV120" s="54">
        <f t="shared" si="205"/>
        <v>113</v>
      </c>
      <c r="CW120" s="54" t="str">
        <f t="shared" si="205"/>
        <v>-</v>
      </c>
      <c r="CX120" s="54">
        <f t="shared" si="205"/>
        <v>108</v>
      </c>
      <c r="CY120" s="54" t="str">
        <f t="shared" si="205"/>
        <v>-</v>
      </c>
      <c r="CZ120" s="54">
        <f t="shared" si="205"/>
        <v>108</v>
      </c>
      <c r="DA120" s="54" t="str">
        <f t="shared" si="205"/>
        <v>-</v>
      </c>
      <c r="DB120" s="54">
        <f t="shared" si="205"/>
        <v>100</v>
      </c>
      <c r="DC120" s="54" t="str">
        <f t="shared" si="205"/>
        <v>-</v>
      </c>
      <c r="DD120" s="54">
        <f t="shared" si="205"/>
        <v>98</v>
      </c>
      <c r="DE120" s="54" t="str">
        <f t="shared" si="205"/>
        <v>-</v>
      </c>
      <c r="DF120" s="54" t="str">
        <f t="shared" si="205"/>
        <v>-</v>
      </c>
      <c r="DG120" s="54" t="str">
        <f t="shared" si="205"/>
        <v>-</v>
      </c>
      <c r="DH120" s="54" t="str">
        <f t="shared" si="205"/>
        <v>-</v>
      </c>
      <c r="DI120" s="54" t="str">
        <f t="shared" si="205"/>
        <v>-</v>
      </c>
      <c r="DJ120" s="54" t="str">
        <f t="shared" si="205"/>
        <v>-</v>
      </c>
      <c r="DK120" s="54" t="str">
        <f t="shared" si="205"/>
        <v>-</v>
      </c>
      <c r="DL120" s="54" t="str">
        <f t="shared" si="205"/>
        <v>-</v>
      </c>
      <c r="DM120" s="54" t="str">
        <f t="shared" si="205"/>
        <v>-</v>
      </c>
      <c r="DN120" s="54" t="str">
        <f t="shared" si="205"/>
        <v>-</v>
      </c>
      <c r="DO120" s="54" t="str">
        <f t="shared" si="205"/>
        <v>-</v>
      </c>
      <c r="DP120" s="54" t="str">
        <f t="shared" si="205"/>
        <v>-</v>
      </c>
      <c r="DQ120" s="54" t="str">
        <f t="shared" si="205"/>
        <v>-</v>
      </c>
      <c r="DR120" s="64" t="str">
        <f t="shared" si="205"/>
        <v>-</v>
      </c>
    </row>
    <row r="121" spans="1:122">
      <c r="A121" s="87" t="s">
        <v>170</v>
      </c>
      <c r="B121" s="87"/>
      <c r="C121" s="53" t="str">
        <f t="shared" ref="C121:AH121" si="206">C16</f>
        <v>bar</v>
      </c>
      <c r="D121" s="53" t="str">
        <f t="shared" si="206"/>
        <v>-</v>
      </c>
      <c r="E121" s="53">
        <f t="shared" si="206"/>
        <v>12.7</v>
      </c>
      <c r="F121" s="53" t="str">
        <f t="shared" si="206"/>
        <v>A8I</v>
      </c>
      <c r="G121" s="53" t="str">
        <f t="shared" si="206"/>
        <v>ASTM</v>
      </c>
      <c r="H121" s="72">
        <f t="shared" si="206"/>
        <v>620</v>
      </c>
      <c r="I121" s="53">
        <f t="shared" si="206"/>
        <v>310</v>
      </c>
      <c r="J121" s="53" t="str">
        <f t="shared" si="206"/>
        <v>-</v>
      </c>
      <c r="K121" s="59" t="str">
        <f t="shared" si="206"/>
        <v>-</v>
      </c>
      <c r="L121" s="54" t="str">
        <f t="shared" si="206"/>
        <v>-</v>
      </c>
      <c r="M121" s="54" t="str">
        <f t="shared" si="206"/>
        <v>-</v>
      </c>
      <c r="N121" s="54" t="str">
        <f t="shared" si="206"/>
        <v>-</v>
      </c>
      <c r="O121" s="54" t="str">
        <f t="shared" si="206"/>
        <v>-</v>
      </c>
      <c r="P121" s="54" t="str">
        <f t="shared" si="206"/>
        <v>-</v>
      </c>
      <c r="Q121" s="54" t="str">
        <f t="shared" si="206"/>
        <v>-</v>
      </c>
      <c r="R121" s="54" t="str">
        <f t="shared" si="206"/>
        <v>-</v>
      </c>
      <c r="S121" s="54" t="str">
        <f t="shared" si="206"/>
        <v>-</v>
      </c>
      <c r="T121" s="54" t="str">
        <f t="shared" si="206"/>
        <v>-</v>
      </c>
      <c r="U121" s="54" t="str">
        <f t="shared" si="206"/>
        <v>-</v>
      </c>
      <c r="V121" s="54" t="str">
        <f t="shared" si="206"/>
        <v>-</v>
      </c>
      <c r="W121" s="54" t="str">
        <f t="shared" si="206"/>
        <v>-</v>
      </c>
      <c r="X121" s="54" t="str">
        <f t="shared" si="206"/>
        <v>-</v>
      </c>
      <c r="Y121" s="54" t="str">
        <f t="shared" si="206"/>
        <v>-</v>
      </c>
      <c r="Z121" s="54" t="str">
        <f t="shared" si="206"/>
        <v>-</v>
      </c>
      <c r="AA121" s="54" t="str">
        <f t="shared" si="206"/>
        <v>-</v>
      </c>
      <c r="AB121" s="54" t="str">
        <f t="shared" si="206"/>
        <v>-</v>
      </c>
      <c r="AC121" s="54" t="str">
        <f t="shared" si="206"/>
        <v>-</v>
      </c>
      <c r="AD121" s="54" t="str">
        <f t="shared" si="206"/>
        <v>-</v>
      </c>
      <c r="AE121" s="54" t="str">
        <f t="shared" si="206"/>
        <v>-</v>
      </c>
      <c r="AF121" s="54" t="str">
        <f t="shared" si="206"/>
        <v>-</v>
      </c>
      <c r="AG121" s="54" t="str">
        <f t="shared" si="206"/>
        <v>-</v>
      </c>
      <c r="AH121" s="54" t="str">
        <f t="shared" si="206"/>
        <v>-</v>
      </c>
      <c r="AI121" s="54" t="str">
        <f t="shared" ref="AI121:BN121" si="207">AI16</f>
        <v>-</v>
      </c>
      <c r="AJ121" s="54" t="str">
        <f t="shared" si="207"/>
        <v>-</v>
      </c>
      <c r="AK121" s="54" t="str">
        <f t="shared" si="207"/>
        <v>-</v>
      </c>
      <c r="AL121" s="54" t="str">
        <f t="shared" si="207"/>
        <v>-</v>
      </c>
      <c r="AM121" s="54" t="str">
        <f t="shared" si="207"/>
        <v>-</v>
      </c>
      <c r="AN121" s="54" t="str">
        <f t="shared" si="207"/>
        <v>-</v>
      </c>
      <c r="AO121" s="54" t="str">
        <f t="shared" si="207"/>
        <v>-</v>
      </c>
      <c r="AP121" s="54" t="str">
        <f t="shared" si="207"/>
        <v>-</v>
      </c>
      <c r="AQ121" s="54" t="str">
        <f t="shared" si="207"/>
        <v>-</v>
      </c>
      <c r="AR121" s="54" t="str">
        <f t="shared" si="207"/>
        <v>-</v>
      </c>
      <c r="AS121" s="54" t="str">
        <f t="shared" si="207"/>
        <v>-</v>
      </c>
      <c r="AT121" s="54" t="str">
        <f t="shared" si="207"/>
        <v>-</v>
      </c>
      <c r="AU121" s="64" t="str">
        <f t="shared" si="207"/>
        <v>-</v>
      </c>
      <c r="AV121" s="99" t="str">
        <f t="shared" si="207"/>
        <v>ISO</v>
      </c>
      <c r="AW121" s="59" t="str">
        <f t="shared" si="207"/>
        <v>-</v>
      </c>
      <c r="AX121" s="54" t="str">
        <f t="shared" si="207"/>
        <v>-</v>
      </c>
      <c r="AY121" s="54" t="str">
        <f t="shared" si="207"/>
        <v>-</v>
      </c>
      <c r="AZ121" s="54" t="str">
        <f t="shared" si="207"/>
        <v>-</v>
      </c>
      <c r="BA121" s="54">
        <f t="shared" si="207"/>
        <v>200</v>
      </c>
      <c r="BB121" s="54" t="str">
        <f t="shared" si="207"/>
        <v>-</v>
      </c>
      <c r="BC121" s="54">
        <f t="shared" si="207"/>
        <v>180</v>
      </c>
      <c r="BD121" s="54" t="str">
        <f t="shared" si="207"/>
        <v>-</v>
      </c>
      <c r="BE121" s="54">
        <f t="shared" si="207"/>
        <v>165</v>
      </c>
      <c r="BF121" s="54" t="str">
        <f t="shared" si="207"/>
        <v>-</v>
      </c>
      <c r="BG121" s="54">
        <f t="shared" si="207"/>
        <v>153</v>
      </c>
      <c r="BH121" s="54" t="str">
        <f t="shared" si="207"/>
        <v>-</v>
      </c>
      <c r="BI121" s="54">
        <f t="shared" si="207"/>
        <v>145</v>
      </c>
      <c r="BJ121" s="54" t="str">
        <f t="shared" si="207"/>
        <v>-</v>
      </c>
      <c r="BK121" s="54">
        <f t="shared" si="207"/>
        <v>139</v>
      </c>
      <c r="BL121" s="54" t="str">
        <f t="shared" si="207"/>
        <v>-</v>
      </c>
      <c r="BM121" s="54">
        <f t="shared" si="207"/>
        <v>135</v>
      </c>
      <c r="BN121" s="54" t="str">
        <f t="shared" si="207"/>
        <v>-</v>
      </c>
      <c r="BO121" s="54">
        <f t="shared" ref="BO121:CT121" si="208">BO16</f>
        <v>130</v>
      </c>
      <c r="BP121" s="54" t="str">
        <f t="shared" si="208"/>
        <v>-</v>
      </c>
      <c r="BQ121" s="54">
        <f t="shared" si="208"/>
        <v>128</v>
      </c>
      <c r="BR121" s="54" t="str">
        <f t="shared" si="208"/>
        <v>-</v>
      </c>
      <c r="BS121" s="54">
        <f t="shared" si="208"/>
        <v>127</v>
      </c>
      <c r="BT121" s="54" t="str">
        <f t="shared" si="208"/>
        <v>-</v>
      </c>
      <c r="BU121" s="54" t="str">
        <f t="shared" si="208"/>
        <v>-</v>
      </c>
      <c r="BV121" s="54" t="str">
        <f t="shared" si="208"/>
        <v>-</v>
      </c>
      <c r="BW121" s="54" t="str">
        <f t="shared" si="208"/>
        <v>-</v>
      </c>
      <c r="BX121" s="54" t="str">
        <f t="shared" si="208"/>
        <v>-</v>
      </c>
      <c r="BY121" s="54" t="str">
        <f t="shared" si="208"/>
        <v>-</v>
      </c>
      <c r="BZ121" s="54" t="str">
        <f t="shared" si="208"/>
        <v>-</v>
      </c>
      <c r="CA121" s="54" t="str">
        <f t="shared" si="208"/>
        <v>-</v>
      </c>
      <c r="CB121" s="54" t="str">
        <f t="shared" si="208"/>
        <v>-</v>
      </c>
      <c r="CC121" s="54" t="str">
        <f t="shared" si="208"/>
        <v>-</v>
      </c>
      <c r="CD121" s="54" t="str">
        <f t="shared" si="208"/>
        <v>-</v>
      </c>
      <c r="CE121" s="54" t="str">
        <f t="shared" si="208"/>
        <v>-</v>
      </c>
      <c r="CF121" s="54" t="str">
        <f t="shared" si="208"/>
        <v>-</v>
      </c>
      <c r="CG121" s="139" t="str">
        <f t="shared" si="208"/>
        <v>-</v>
      </c>
      <c r="CH121" s="59" t="str">
        <f t="shared" si="208"/>
        <v>-</v>
      </c>
      <c r="CI121" s="54" t="str">
        <f t="shared" si="208"/>
        <v>-</v>
      </c>
      <c r="CJ121" s="54" t="str">
        <f t="shared" si="208"/>
        <v>-</v>
      </c>
      <c r="CK121" s="54" t="str">
        <f t="shared" si="208"/>
        <v>-</v>
      </c>
      <c r="CL121" s="54">
        <f t="shared" si="208"/>
        <v>165</v>
      </c>
      <c r="CM121" s="54" t="str">
        <f t="shared" si="208"/>
        <v>-</v>
      </c>
      <c r="CN121" s="54">
        <f t="shared" si="208"/>
        <v>150</v>
      </c>
      <c r="CO121" s="54" t="str">
        <f t="shared" si="208"/>
        <v>-</v>
      </c>
      <c r="CP121" s="54">
        <f t="shared" si="208"/>
        <v>137</v>
      </c>
      <c r="CQ121" s="54" t="str">
        <f t="shared" si="208"/>
        <v>-</v>
      </c>
      <c r="CR121" s="54">
        <f t="shared" si="208"/>
        <v>127</v>
      </c>
      <c r="CS121" s="54" t="str">
        <f t="shared" si="208"/>
        <v>-</v>
      </c>
      <c r="CT121" s="54">
        <f t="shared" si="208"/>
        <v>119</v>
      </c>
      <c r="CU121" s="54" t="str">
        <f t="shared" ref="CU121:DR121" si="209">CU16</f>
        <v>-</v>
      </c>
      <c r="CV121" s="54">
        <f t="shared" si="209"/>
        <v>113</v>
      </c>
      <c r="CW121" s="54" t="str">
        <f t="shared" si="209"/>
        <v>-</v>
      </c>
      <c r="CX121" s="54">
        <f t="shared" si="209"/>
        <v>108</v>
      </c>
      <c r="CY121" s="54" t="str">
        <f t="shared" si="209"/>
        <v>-</v>
      </c>
      <c r="CZ121" s="54">
        <f t="shared" si="209"/>
        <v>108</v>
      </c>
      <c r="DA121" s="54" t="str">
        <f t="shared" si="209"/>
        <v>-</v>
      </c>
      <c r="DB121" s="54">
        <f t="shared" si="209"/>
        <v>100</v>
      </c>
      <c r="DC121" s="54" t="str">
        <f t="shared" si="209"/>
        <v>-</v>
      </c>
      <c r="DD121" s="54">
        <f t="shared" si="209"/>
        <v>98</v>
      </c>
      <c r="DE121" s="54" t="str">
        <f t="shared" si="209"/>
        <v>-</v>
      </c>
      <c r="DF121" s="54" t="str">
        <f t="shared" si="209"/>
        <v>-</v>
      </c>
      <c r="DG121" s="54" t="str">
        <f t="shared" si="209"/>
        <v>-</v>
      </c>
      <c r="DH121" s="54" t="str">
        <f t="shared" si="209"/>
        <v>-</v>
      </c>
      <c r="DI121" s="54" t="str">
        <f t="shared" si="209"/>
        <v>-</v>
      </c>
      <c r="DJ121" s="54" t="str">
        <f t="shared" si="209"/>
        <v>-</v>
      </c>
      <c r="DK121" s="54" t="str">
        <f t="shared" si="209"/>
        <v>-</v>
      </c>
      <c r="DL121" s="54" t="str">
        <f t="shared" si="209"/>
        <v>-</v>
      </c>
      <c r="DM121" s="54" t="str">
        <f t="shared" si="209"/>
        <v>-</v>
      </c>
      <c r="DN121" s="54" t="str">
        <f t="shared" si="209"/>
        <v>-</v>
      </c>
      <c r="DO121" s="54" t="str">
        <f t="shared" si="209"/>
        <v>-</v>
      </c>
      <c r="DP121" s="54" t="str">
        <f t="shared" si="209"/>
        <v>-</v>
      </c>
      <c r="DQ121" s="54" t="str">
        <f t="shared" si="209"/>
        <v>-</v>
      </c>
      <c r="DR121" s="64" t="str">
        <f t="shared" si="209"/>
        <v>-</v>
      </c>
    </row>
    <row r="122" spans="1:122">
      <c r="A122" s="87" t="s">
        <v>170</v>
      </c>
      <c r="B122" s="87"/>
      <c r="C122" s="53" t="str">
        <f t="shared" ref="C122:AH122" si="210">C17</f>
        <v>bar</v>
      </c>
      <c r="D122" s="53">
        <f t="shared" si="210"/>
        <v>12.7</v>
      </c>
      <c r="E122" s="53" t="str">
        <f t="shared" si="210"/>
        <v>-</v>
      </c>
      <c r="F122" s="53" t="str">
        <f t="shared" si="210"/>
        <v>A8I</v>
      </c>
      <c r="G122" s="53" t="str">
        <f t="shared" si="210"/>
        <v>ASTM</v>
      </c>
      <c r="H122" s="72">
        <f t="shared" si="210"/>
        <v>485</v>
      </c>
      <c r="I122" s="53">
        <f t="shared" si="210"/>
        <v>170</v>
      </c>
      <c r="J122" s="53" t="str">
        <f t="shared" si="210"/>
        <v>-</v>
      </c>
      <c r="K122" s="59" t="str">
        <f t="shared" si="210"/>
        <v>-</v>
      </c>
      <c r="L122" s="54" t="str">
        <f t="shared" si="210"/>
        <v>-</v>
      </c>
      <c r="M122" s="54" t="str">
        <f t="shared" si="210"/>
        <v>-</v>
      </c>
      <c r="N122" s="54" t="str">
        <f t="shared" si="210"/>
        <v>-</v>
      </c>
      <c r="O122" s="54" t="str">
        <f t="shared" si="210"/>
        <v>-</v>
      </c>
      <c r="P122" s="54" t="str">
        <f t="shared" si="210"/>
        <v>-</v>
      </c>
      <c r="Q122" s="54" t="str">
        <f t="shared" si="210"/>
        <v>-</v>
      </c>
      <c r="R122" s="54" t="str">
        <f t="shared" si="210"/>
        <v>-</v>
      </c>
      <c r="S122" s="54" t="str">
        <f t="shared" si="210"/>
        <v>-</v>
      </c>
      <c r="T122" s="54" t="str">
        <f t="shared" si="210"/>
        <v>-</v>
      </c>
      <c r="U122" s="54" t="str">
        <f t="shared" si="210"/>
        <v>-</v>
      </c>
      <c r="V122" s="54" t="str">
        <f t="shared" si="210"/>
        <v>-</v>
      </c>
      <c r="W122" s="54" t="str">
        <f t="shared" si="210"/>
        <v>-</v>
      </c>
      <c r="X122" s="54" t="str">
        <f t="shared" si="210"/>
        <v>-</v>
      </c>
      <c r="Y122" s="54" t="str">
        <f t="shared" si="210"/>
        <v>-</v>
      </c>
      <c r="Z122" s="54" t="str">
        <f t="shared" si="210"/>
        <v>-</v>
      </c>
      <c r="AA122" s="54" t="str">
        <f t="shared" si="210"/>
        <v>-</v>
      </c>
      <c r="AB122" s="54" t="str">
        <f t="shared" si="210"/>
        <v>-</v>
      </c>
      <c r="AC122" s="54" t="str">
        <f t="shared" si="210"/>
        <v>-</v>
      </c>
      <c r="AD122" s="54" t="str">
        <f t="shared" si="210"/>
        <v>-</v>
      </c>
      <c r="AE122" s="54" t="str">
        <f t="shared" si="210"/>
        <v>-</v>
      </c>
      <c r="AF122" s="54" t="str">
        <f t="shared" si="210"/>
        <v>-</v>
      </c>
      <c r="AG122" s="54" t="str">
        <f t="shared" si="210"/>
        <v>-</v>
      </c>
      <c r="AH122" s="54" t="str">
        <f t="shared" si="210"/>
        <v>-</v>
      </c>
      <c r="AI122" s="54" t="str">
        <f t="shared" ref="AI122:BN122" si="211">AI17</f>
        <v>-</v>
      </c>
      <c r="AJ122" s="54" t="str">
        <f t="shared" si="211"/>
        <v>-</v>
      </c>
      <c r="AK122" s="54" t="str">
        <f t="shared" si="211"/>
        <v>-</v>
      </c>
      <c r="AL122" s="54" t="str">
        <f t="shared" si="211"/>
        <v>-</v>
      </c>
      <c r="AM122" s="54" t="str">
        <f t="shared" si="211"/>
        <v>-</v>
      </c>
      <c r="AN122" s="54" t="str">
        <f t="shared" si="211"/>
        <v>-</v>
      </c>
      <c r="AO122" s="54" t="str">
        <f t="shared" si="211"/>
        <v>-</v>
      </c>
      <c r="AP122" s="54" t="str">
        <f t="shared" si="211"/>
        <v>-</v>
      </c>
      <c r="AQ122" s="54" t="str">
        <f t="shared" si="211"/>
        <v>-</v>
      </c>
      <c r="AR122" s="54" t="str">
        <f t="shared" si="211"/>
        <v>-</v>
      </c>
      <c r="AS122" s="54" t="str">
        <f t="shared" si="211"/>
        <v>-</v>
      </c>
      <c r="AT122" s="54" t="str">
        <f t="shared" si="211"/>
        <v>-</v>
      </c>
      <c r="AU122" s="64" t="str">
        <f t="shared" si="211"/>
        <v>-</v>
      </c>
      <c r="AV122" s="99" t="str">
        <f t="shared" si="211"/>
        <v>ISO</v>
      </c>
      <c r="AW122" s="59" t="str">
        <f t="shared" si="211"/>
        <v>-</v>
      </c>
      <c r="AX122" s="54" t="str">
        <f t="shared" si="211"/>
        <v>-</v>
      </c>
      <c r="AY122" s="54" t="str">
        <f t="shared" si="211"/>
        <v>-</v>
      </c>
      <c r="AZ122" s="54" t="str">
        <f t="shared" si="211"/>
        <v>-</v>
      </c>
      <c r="BA122" s="54">
        <f t="shared" si="211"/>
        <v>200</v>
      </c>
      <c r="BB122" s="54" t="str">
        <f t="shared" si="211"/>
        <v>-</v>
      </c>
      <c r="BC122" s="54">
        <f t="shared" si="211"/>
        <v>180</v>
      </c>
      <c r="BD122" s="54" t="str">
        <f t="shared" si="211"/>
        <v>-</v>
      </c>
      <c r="BE122" s="54">
        <f t="shared" si="211"/>
        <v>165</v>
      </c>
      <c r="BF122" s="54" t="str">
        <f t="shared" si="211"/>
        <v>-</v>
      </c>
      <c r="BG122" s="54">
        <f t="shared" si="211"/>
        <v>153</v>
      </c>
      <c r="BH122" s="54" t="str">
        <f t="shared" si="211"/>
        <v>-</v>
      </c>
      <c r="BI122" s="54">
        <f t="shared" si="211"/>
        <v>145</v>
      </c>
      <c r="BJ122" s="54" t="str">
        <f t="shared" si="211"/>
        <v>-</v>
      </c>
      <c r="BK122" s="54">
        <f t="shared" si="211"/>
        <v>139</v>
      </c>
      <c r="BL122" s="54" t="str">
        <f t="shared" si="211"/>
        <v>-</v>
      </c>
      <c r="BM122" s="54">
        <f t="shared" si="211"/>
        <v>135</v>
      </c>
      <c r="BN122" s="54" t="str">
        <f t="shared" si="211"/>
        <v>-</v>
      </c>
      <c r="BO122" s="54">
        <f t="shared" ref="BO122:CT122" si="212">BO17</f>
        <v>130</v>
      </c>
      <c r="BP122" s="54" t="str">
        <f t="shared" si="212"/>
        <v>-</v>
      </c>
      <c r="BQ122" s="54">
        <f t="shared" si="212"/>
        <v>128</v>
      </c>
      <c r="BR122" s="54" t="str">
        <f t="shared" si="212"/>
        <v>-</v>
      </c>
      <c r="BS122" s="54">
        <f t="shared" si="212"/>
        <v>127</v>
      </c>
      <c r="BT122" s="54" t="str">
        <f t="shared" si="212"/>
        <v>-</v>
      </c>
      <c r="BU122" s="54" t="str">
        <f t="shared" si="212"/>
        <v>-</v>
      </c>
      <c r="BV122" s="54" t="str">
        <f t="shared" si="212"/>
        <v>-</v>
      </c>
      <c r="BW122" s="54" t="str">
        <f t="shared" si="212"/>
        <v>-</v>
      </c>
      <c r="BX122" s="54" t="str">
        <f t="shared" si="212"/>
        <v>-</v>
      </c>
      <c r="BY122" s="54" t="str">
        <f t="shared" si="212"/>
        <v>-</v>
      </c>
      <c r="BZ122" s="54" t="str">
        <f t="shared" si="212"/>
        <v>-</v>
      </c>
      <c r="CA122" s="54" t="str">
        <f t="shared" si="212"/>
        <v>-</v>
      </c>
      <c r="CB122" s="54" t="str">
        <f t="shared" si="212"/>
        <v>-</v>
      </c>
      <c r="CC122" s="54" t="str">
        <f t="shared" si="212"/>
        <v>-</v>
      </c>
      <c r="CD122" s="54" t="str">
        <f t="shared" si="212"/>
        <v>-</v>
      </c>
      <c r="CE122" s="54" t="str">
        <f t="shared" si="212"/>
        <v>-</v>
      </c>
      <c r="CF122" s="54" t="str">
        <f t="shared" si="212"/>
        <v>-</v>
      </c>
      <c r="CG122" s="139" t="str">
        <f t="shared" si="212"/>
        <v>-</v>
      </c>
      <c r="CH122" s="59" t="str">
        <f t="shared" si="212"/>
        <v>-</v>
      </c>
      <c r="CI122" s="54" t="str">
        <f t="shared" si="212"/>
        <v>-</v>
      </c>
      <c r="CJ122" s="54" t="str">
        <f t="shared" si="212"/>
        <v>-</v>
      </c>
      <c r="CK122" s="54" t="str">
        <f t="shared" si="212"/>
        <v>-</v>
      </c>
      <c r="CL122" s="54">
        <f t="shared" si="212"/>
        <v>165</v>
      </c>
      <c r="CM122" s="54" t="str">
        <f t="shared" si="212"/>
        <v>-</v>
      </c>
      <c r="CN122" s="54">
        <f t="shared" si="212"/>
        <v>150</v>
      </c>
      <c r="CO122" s="54" t="str">
        <f t="shared" si="212"/>
        <v>-</v>
      </c>
      <c r="CP122" s="54">
        <f t="shared" si="212"/>
        <v>137</v>
      </c>
      <c r="CQ122" s="54" t="str">
        <f t="shared" si="212"/>
        <v>-</v>
      </c>
      <c r="CR122" s="54">
        <f t="shared" si="212"/>
        <v>127</v>
      </c>
      <c r="CS122" s="54" t="str">
        <f t="shared" si="212"/>
        <v>-</v>
      </c>
      <c r="CT122" s="54">
        <f t="shared" si="212"/>
        <v>119</v>
      </c>
      <c r="CU122" s="54" t="str">
        <f t="shared" ref="CU122:DR122" si="213">CU17</f>
        <v>-</v>
      </c>
      <c r="CV122" s="54">
        <f t="shared" si="213"/>
        <v>113</v>
      </c>
      <c r="CW122" s="54" t="str">
        <f t="shared" si="213"/>
        <v>-</v>
      </c>
      <c r="CX122" s="54">
        <f t="shared" si="213"/>
        <v>108</v>
      </c>
      <c r="CY122" s="54" t="str">
        <f t="shared" si="213"/>
        <v>-</v>
      </c>
      <c r="CZ122" s="54">
        <f t="shared" si="213"/>
        <v>108</v>
      </c>
      <c r="DA122" s="54" t="str">
        <f t="shared" si="213"/>
        <v>-</v>
      </c>
      <c r="DB122" s="54">
        <f t="shared" si="213"/>
        <v>100</v>
      </c>
      <c r="DC122" s="54" t="str">
        <f t="shared" si="213"/>
        <v>-</v>
      </c>
      <c r="DD122" s="54">
        <f t="shared" si="213"/>
        <v>98</v>
      </c>
      <c r="DE122" s="54" t="str">
        <f t="shared" si="213"/>
        <v>-</v>
      </c>
      <c r="DF122" s="54" t="str">
        <f t="shared" si="213"/>
        <v>-</v>
      </c>
      <c r="DG122" s="54" t="str">
        <f t="shared" si="213"/>
        <v>-</v>
      </c>
      <c r="DH122" s="54" t="str">
        <f t="shared" si="213"/>
        <v>-</v>
      </c>
      <c r="DI122" s="54" t="str">
        <f t="shared" si="213"/>
        <v>-</v>
      </c>
      <c r="DJ122" s="54" t="str">
        <f t="shared" si="213"/>
        <v>-</v>
      </c>
      <c r="DK122" s="54" t="str">
        <f t="shared" si="213"/>
        <v>-</v>
      </c>
      <c r="DL122" s="54" t="str">
        <f t="shared" si="213"/>
        <v>-</v>
      </c>
      <c r="DM122" s="54" t="str">
        <f t="shared" si="213"/>
        <v>-</v>
      </c>
      <c r="DN122" s="54" t="str">
        <f t="shared" si="213"/>
        <v>-</v>
      </c>
      <c r="DO122" s="54" t="str">
        <f t="shared" si="213"/>
        <v>-</v>
      </c>
      <c r="DP122" s="54" t="str">
        <f t="shared" si="213"/>
        <v>-</v>
      </c>
      <c r="DQ122" s="54" t="str">
        <f t="shared" si="213"/>
        <v>-</v>
      </c>
      <c r="DR122" s="64" t="str">
        <f t="shared" si="213"/>
        <v>-</v>
      </c>
    </row>
    <row r="123" spans="1:122">
      <c r="A123" s="56" t="s">
        <v>171</v>
      </c>
      <c r="B123" s="56"/>
      <c r="C123" s="53" t="s">
        <v>94</v>
      </c>
      <c r="D123" s="53">
        <v>100</v>
      </c>
      <c r="E123" s="53">
        <v>175</v>
      </c>
      <c r="F123" s="53" t="s">
        <v>172</v>
      </c>
      <c r="G123" s="53" t="s">
        <v>17</v>
      </c>
      <c r="H123" s="72">
        <v>690</v>
      </c>
      <c r="I123" s="53">
        <v>515</v>
      </c>
      <c r="J123" s="53" t="s">
        <v>18</v>
      </c>
      <c r="K123" s="59" t="s">
        <v>16</v>
      </c>
      <c r="L123" s="34">
        <v>130</v>
      </c>
      <c r="M123" s="34" t="s">
        <v>16</v>
      </c>
      <c r="N123" s="34">
        <v>130</v>
      </c>
      <c r="O123" s="34">
        <v>130</v>
      </c>
      <c r="P123" s="34">
        <v>130</v>
      </c>
      <c r="Q123" s="34">
        <v>130</v>
      </c>
      <c r="R123" s="54">
        <v>130</v>
      </c>
      <c r="S123" s="34">
        <v>130</v>
      </c>
      <c r="T123" s="54">
        <v>130</v>
      </c>
      <c r="U123" s="34">
        <v>130</v>
      </c>
      <c r="V123" s="54">
        <v>130</v>
      </c>
      <c r="W123" s="34">
        <v>130</v>
      </c>
      <c r="X123" s="34">
        <v>130</v>
      </c>
      <c r="Y123" s="34">
        <v>130</v>
      </c>
      <c r="Z123" s="34">
        <v>130</v>
      </c>
      <c r="AA123" s="54">
        <v>130</v>
      </c>
      <c r="AB123" s="54">
        <v>125</v>
      </c>
      <c r="AC123" s="54">
        <v>115</v>
      </c>
      <c r="AD123" s="54">
        <v>93.7</v>
      </c>
      <c r="AE123" s="34">
        <v>68.400000000000006</v>
      </c>
      <c r="AF123" s="34">
        <v>43.8</v>
      </c>
      <c r="AG123" s="34">
        <v>18.899999999999999</v>
      </c>
      <c r="AH123" s="34" t="s">
        <v>16</v>
      </c>
      <c r="AI123" s="34" t="s">
        <v>16</v>
      </c>
      <c r="AJ123" s="34" t="s">
        <v>16</v>
      </c>
      <c r="AK123" s="34" t="s">
        <v>16</v>
      </c>
      <c r="AL123" s="34" t="s">
        <v>16</v>
      </c>
      <c r="AM123" s="34" t="s">
        <v>16</v>
      </c>
      <c r="AN123" s="34" t="s">
        <v>16</v>
      </c>
      <c r="AO123" s="34" t="s">
        <v>16</v>
      </c>
      <c r="AP123" s="34" t="s">
        <v>16</v>
      </c>
      <c r="AQ123" s="34" t="s">
        <v>16</v>
      </c>
      <c r="AR123" s="34" t="s">
        <v>16</v>
      </c>
      <c r="AS123" s="34" t="s">
        <v>16</v>
      </c>
      <c r="AT123" s="34" t="s">
        <v>16</v>
      </c>
      <c r="AU123" s="55" t="s">
        <v>16</v>
      </c>
      <c r="AV123" s="57" t="s">
        <v>18</v>
      </c>
      <c r="AW123" s="63" t="s">
        <v>16</v>
      </c>
      <c r="AX123" s="34">
        <v>689</v>
      </c>
      <c r="AY123" s="34" t="s">
        <v>16</v>
      </c>
      <c r="AZ123" s="34" t="s">
        <v>16</v>
      </c>
      <c r="BA123" s="34">
        <v>689</v>
      </c>
      <c r="BB123" s="34" t="s">
        <v>16</v>
      </c>
      <c r="BC123" s="34">
        <v>689</v>
      </c>
      <c r="BD123" s="34" t="s">
        <v>16</v>
      </c>
      <c r="BE123" s="34">
        <v>689</v>
      </c>
      <c r="BF123" s="34" t="s">
        <v>16</v>
      </c>
      <c r="BG123" s="34">
        <v>689</v>
      </c>
      <c r="BH123" s="34" t="s">
        <v>16</v>
      </c>
      <c r="BI123" s="34">
        <v>689</v>
      </c>
      <c r="BJ123" s="34">
        <v>689</v>
      </c>
      <c r="BK123" s="34">
        <v>685</v>
      </c>
      <c r="BL123" s="34">
        <v>655</v>
      </c>
      <c r="BM123" s="34">
        <v>629</v>
      </c>
      <c r="BN123" s="34">
        <v>600</v>
      </c>
      <c r="BO123" s="34">
        <v>567</v>
      </c>
      <c r="BP123" s="34">
        <v>532</v>
      </c>
      <c r="BQ123" s="34">
        <v>495</v>
      </c>
      <c r="BR123" s="34">
        <v>454</v>
      </c>
      <c r="BS123" s="34" t="s">
        <v>16</v>
      </c>
      <c r="BT123" s="34" t="s">
        <v>16</v>
      </c>
      <c r="BU123" s="34" t="s">
        <v>16</v>
      </c>
      <c r="BV123" s="34" t="s">
        <v>16</v>
      </c>
      <c r="BW123" s="34" t="s">
        <v>16</v>
      </c>
      <c r="BX123" s="34" t="s">
        <v>16</v>
      </c>
      <c r="BY123" s="34" t="s">
        <v>16</v>
      </c>
      <c r="BZ123" s="34" t="s">
        <v>16</v>
      </c>
      <c r="CA123" s="34" t="s">
        <v>16</v>
      </c>
      <c r="CB123" s="34" t="s">
        <v>16</v>
      </c>
      <c r="CC123" s="34" t="s">
        <v>16</v>
      </c>
      <c r="CD123" s="34" t="s">
        <v>16</v>
      </c>
      <c r="CE123" s="34" t="s">
        <v>16</v>
      </c>
      <c r="CF123" s="34" t="s">
        <v>16</v>
      </c>
      <c r="CG123" s="44" t="s">
        <v>16</v>
      </c>
      <c r="CH123" s="63" t="s">
        <v>16</v>
      </c>
      <c r="CI123" s="34">
        <v>517</v>
      </c>
      <c r="CJ123" s="34" t="s">
        <v>16</v>
      </c>
      <c r="CK123" s="34">
        <v>498</v>
      </c>
      <c r="CL123" s="34">
        <v>479</v>
      </c>
      <c r="CM123" s="34">
        <v>470</v>
      </c>
      <c r="CN123" s="34">
        <v>463</v>
      </c>
      <c r="CO123" s="34">
        <v>457</v>
      </c>
      <c r="CP123" s="34">
        <v>451</v>
      </c>
      <c r="CQ123" s="34">
        <v>445</v>
      </c>
      <c r="CR123" s="34">
        <v>438</v>
      </c>
      <c r="CS123" s="34">
        <v>432</v>
      </c>
      <c r="CT123" s="34">
        <v>425</v>
      </c>
      <c r="CU123" s="34">
        <v>416</v>
      </c>
      <c r="CV123" s="34">
        <v>406</v>
      </c>
      <c r="CW123" s="34">
        <v>395</v>
      </c>
      <c r="CX123" s="34">
        <v>381</v>
      </c>
      <c r="CY123" s="34">
        <v>365</v>
      </c>
      <c r="CZ123" s="34">
        <v>346</v>
      </c>
      <c r="DA123" s="34">
        <v>323</v>
      </c>
      <c r="DB123" s="34">
        <v>297</v>
      </c>
      <c r="DC123" s="34">
        <v>268</v>
      </c>
      <c r="DD123" s="34" t="s">
        <v>16</v>
      </c>
      <c r="DE123" s="34" t="s">
        <v>16</v>
      </c>
      <c r="DF123" s="34" t="s">
        <v>16</v>
      </c>
      <c r="DG123" s="34" t="s">
        <v>16</v>
      </c>
      <c r="DH123" s="34" t="s">
        <v>16</v>
      </c>
      <c r="DI123" s="34" t="s">
        <v>16</v>
      </c>
      <c r="DJ123" s="34" t="s">
        <v>16</v>
      </c>
      <c r="DK123" s="34" t="s">
        <v>16</v>
      </c>
      <c r="DL123" s="34" t="s">
        <v>16</v>
      </c>
      <c r="DM123" s="34" t="s">
        <v>16</v>
      </c>
      <c r="DN123" s="34" t="s">
        <v>16</v>
      </c>
      <c r="DO123" s="34" t="s">
        <v>16</v>
      </c>
      <c r="DP123" s="34" t="s">
        <v>16</v>
      </c>
      <c r="DQ123" s="34" t="s">
        <v>16</v>
      </c>
      <c r="DR123" s="55" t="s">
        <v>16</v>
      </c>
    </row>
    <row r="124" spans="1:122">
      <c r="A124" s="56" t="s">
        <v>171</v>
      </c>
      <c r="B124" s="56"/>
      <c r="C124" s="53" t="s">
        <v>94</v>
      </c>
      <c r="D124" s="53">
        <v>64</v>
      </c>
      <c r="E124" s="53">
        <v>100</v>
      </c>
      <c r="F124" s="53" t="str">
        <f>F123</f>
        <v>S43</v>
      </c>
      <c r="G124" s="53" t="str">
        <f>G123</f>
        <v>ASTM</v>
      </c>
      <c r="H124" s="72">
        <v>795</v>
      </c>
      <c r="I124" s="53">
        <v>655</v>
      </c>
      <c r="J124" s="53" t="str">
        <f>J123</f>
        <v>ASME</v>
      </c>
      <c r="K124" s="59" t="s">
        <v>16</v>
      </c>
      <c r="L124" s="34">
        <v>159</v>
      </c>
      <c r="M124" s="34" t="s">
        <v>16</v>
      </c>
      <c r="N124" s="34">
        <v>159</v>
      </c>
      <c r="O124" s="34">
        <v>159</v>
      </c>
      <c r="P124" s="34">
        <v>159</v>
      </c>
      <c r="Q124" s="34">
        <v>159</v>
      </c>
      <c r="R124" s="54">
        <v>159</v>
      </c>
      <c r="S124" s="34">
        <v>159</v>
      </c>
      <c r="T124" s="54">
        <v>159</v>
      </c>
      <c r="U124" s="34">
        <v>159</v>
      </c>
      <c r="V124" s="54">
        <v>159</v>
      </c>
      <c r="W124" s="34">
        <v>159</v>
      </c>
      <c r="X124" s="34">
        <v>159</v>
      </c>
      <c r="Y124" s="34">
        <v>159</v>
      </c>
      <c r="Z124" s="34">
        <v>158</v>
      </c>
      <c r="AA124" s="54">
        <v>153</v>
      </c>
      <c r="AB124" s="54">
        <v>139</v>
      </c>
      <c r="AC124" s="54">
        <v>117</v>
      </c>
      <c r="AD124" s="54">
        <v>93</v>
      </c>
      <c r="AE124" s="34">
        <v>68.599999999999994</v>
      </c>
      <c r="AF124" s="34">
        <v>43.7</v>
      </c>
      <c r="AG124" s="34">
        <v>18.899999999999999</v>
      </c>
      <c r="AH124" s="34" t="s">
        <v>16</v>
      </c>
      <c r="AI124" s="34" t="s">
        <v>16</v>
      </c>
      <c r="AJ124" s="34" t="s">
        <v>16</v>
      </c>
      <c r="AK124" s="34" t="s">
        <v>16</v>
      </c>
      <c r="AL124" s="34" t="s">
        <v>16</v>
      </c>
      <c r="AM124" s="34" t="s">
        <v>16</v>
      </c>
      <c r="AN124" s="34" t="s">
        <v>16</v>
      </c>
      <c r="AO124" s="34" t="s">
        <v>16</v>
      </c>
      <c r="AP124" s="34" t="s">
        <v>16</v>
      </c>
      <c r="AQ124" s="34" t="s">
        <v>16</v>
      </c>
      <c r="AR124" s="34" t="s">
        <v>16</v>
      </c>
      <c r="AS124" s="34" t="s">
        <v>16</v>
      </c>
      <c r="AT124" s="34" t="s">
        <v>16</v>
      </c>
      <c r="AU124" s="55" t="s">
        <v>16</v>
      </c>
      <c r="AV124" s="57" t="str">
        <f>AV123</f>
        <v>ASME</v>
      </c>
      <c r="AW124" s="63" t="s">
        <v>16</v>
      </c>
      <c r="AX124" s="34">
        <v>793</v>
      </c>
      <c r="AY124" s="34" t="s">
        <v>16</v>
      </c>
      <c r="AZ124" s="34" t="s">
        <v>16</v>
      </c>
      <c r="BA124" s="34">
        <v>793</v>
      </c>
      <c r="BB124" s="34" t="s">
        <v>16</v>
      </c>
      <c r="BC124" s="34">
        <v>793</v>
      </c>
      <c r="BD124" s="34" t="s">
        <v>16</v>
      </c>
      <c r="BE124" s="34">
        <v>793</v>
      </c>
      <c r="BF124" s="34" t="s">
        <v>16</v>
      </c>
      <c r="BG124" s="34">
        <v>793</v>
      </c>
      <c r="BH124" s="34" t="s">
        <v>16</v>
      </c>
      <c r="BI124" s="34">
        <v>793</v>
      </c>
      <c r="BJ124" s="34">
        <v>792</v>
      </c>
      <c r="BK124" s="34">
        <v>785</v>
      </c>
      <c r="BL124" s="34">
        <v>754</v>
      </c>
      <c r="BM124" s="34">
        <v>723</v>
      </c>
      <c r="BN124" s="34">
        <v>690</v>
      </c>
      <c r="BO124" s="34">
        <v>652</v>
      </c>
      <c r="BP124" s="34">
        <v>612</v>
      </c>
      <c r="BQ124" s="34">
        <v>569</v>
      </c>
      <c r="BR124" s="34">
        <v>522</v>
      </c>
      <c r="BS124" s="34" t="s">
        <v>16</v>
      </c>
      <c r="BT124" s="34" t="s">
        <v>16</v>
      </c>
      <c r="BU124" s="34" t="s">
        <v>16</v>
      </c>
      <c r="BV124" s="34" t="s">
        <v>16</v>
      </c>
      <c r="BW124" s="34" t="s">
        <v>16</v>
      </c>
      <c r="BX124" s="34" t="s">
        <v>16</v>
      </c>
      <c r="BY124" s="34" t="s">
        <v>16</v>
      </c>
      <c r="BZ124" s="34" t="s">
        <v>16</v>
      </c>
      <c r="CA124" s="34" t="s">
        <v>16</v>
      </c>
      <c r="CB124" s="34" t="s">
        <v>16</v>
      </c>
      <c r="CC124" s="34" t="s">
        <v>16</v>
      </c>
      <c r="CD124" s="34" t="s">
        <v>16</v>
      </c>
      <c r="CE124" s="34" t="s">
        <v>16</v>
      </c>
      <c r="CF124" s="34" t="s">
        <v>16</v>
      </c>
      <c r="CG124" s="44" t="s">
        <v>16</v>
      </c>
      <c r="CH124" s="63" t="s">
        <v>16</v>
      </c>
      <c r="CI124" s="34">
        <v>655</v>
      </c>
      <c r="CJ124" s="34" t="s">
        <v>16</v>
      </c>
      <c r="CK124" s="34">
        <v>631</v>
      </c>
      <c r="CL124" s="34">
        <v>606</v>
      </c>
      <c r="CM124" s="34">
        <v>595</v>
      </c>
      <c r="CN124" s="34">
        <v>586</v>
      </c>
      <c r="CO124" s="34">
        <v>579</v>
      </c>
      <c r="CP124" s="34">
        <v>572</v>
      </c>
      <c r="CQ124" s="34">
        <v>564</v>
      </c>
      <c r="CR124" s="34">
        <v>556</v>
      </c>
      <c r="CS124" s="34">
        <v>547</v>
      </c>
      <c r="CT124" s="34">
        <v>538</v>
      </c>
      <c r="CU124" s="34">
        <v>527</v>
      </c>
      <c r="CV124" s="34">
        <v>514</v>
      </c>
      <c r="CW124" s="34">
        <v>501</v>
      </c>
      <c r="CX124" s="34">
        <v>483</v>
      </c>
      <c r="CY124" s="34">
        <v>463</v>
      </c>
      <c r="CZ124" s="34">
        <v>439</v>
      </c>
      <c r="DA124" s="34">
        <v>409</v>
      </c>
      <c r="DB124" s="34">
        <v>376</v>
      </c>
      <c r="DC124" s="34">
        <v>339</v>
      </c>
      <c r="DD124" s="34" t="s">
        <v>16</v>
      </c>
      <c r="DE124" s="34" t="s">
        <v>16</v>
      </c>
      <c r="DF124" s="34" t="s">
        <v>16</v>
      </c>
      <c r="DG124" s="34" t="s">
        <v>16</v>
      </c>
      <c r="DH124" s="34" t="s">
        <v>16</v>
      </c>
      <c r="DI124" s="34" t="s">
        <v>16</v>
      </c>
      <c r="DJ124" s="34" t="s">
        <v>16</v>
      </c>
      <c r="DK124" s="34" t="s">
        <v>16</v>
      </c>
      <c r="DL124" s="34" t="s">
        <v>16</v>
      </c>
      <c r="DM124" s="34" t="s">
        <v>16</v>
      </c>
      <c r="DN124" s="34" t="s">
        <v>16</v>
      </c>
      <c r="DO124" s="34" t="s">
        <v>16</v>
      </c>
      <c r="DP124" s="34" t="s">
        <v>16</v>
      </c>
      <c r="DQ124" s="34" t="s">
        <v>16</v>
      </c>
      <c r="DR124" s="55" t="s">
        <v>16</v>
      </c>
    </row>
    <row r="125" spans="1:122">
      <c r="A125" s="56" t="s">
        <v>171</v>
      </c>
      <c r="B125" s="56"/>
      <c r="C125" s="53" t="s">
        <v>94</v>
      </c>
      <c r="D125" s="53" t="s">
        <v>16</v>
      </c>
      <c r="E125" s="53">
        <v>64</v>
      </c>
      <c r="F125" s="53" t="str">
        <f>F124</f>
        <v>S43</v>
      </c>
      <c r="G125" s="53" t="str">
        <f>G124</f>
        <v>ASTM</v>
      </c>
      <c r="H125" s="72">
        <v>860</v>
      </c>
      <c r="I125" s="53">
        <v>725</v>
      </c>
      <c r="J125" s="53" t="str">
        <f>J124</f>
        <v>ASME</v>
      </c>
      <c r="K125" s="59" t="s">
        <v>16</v>
      </c>
      <c r="L125" s="34">
        <v>172</v>
      </c>
      <c r="M125" s="34" t="s">
        <v>16</v>
      </c>
      <c r="N125" s="34">
        <v>172</v>
      </c>
      <c r="O125" s="34">
        <v>172</v>
      </c>
      <c r="P125" s="34">
        <v>172</v>
      </c>
      <c r="Q125" s="34">
        <v>172</v>
      </c>
      <c r="R125" s="54">
        <v>172</v>
      </c>
      <c r="S125" s="34">
        <v>172</v>
      </c>
      <c r="T125" s="54">
        <v>172</v>
      </c>
      <c r="U125" s="34">
        <v>172</v>
      </c>
      <c r="V125" s="54">
        <v>172</v>
      </c>
      <c r="W125" s="34">
        <v>172</v>
      </c>
      <c r="X125" s="34">
        <v>172</v>
      </c>
      <c r="Y125" s="34">
        <v>172</v>
      </c>
      <c r="Z125" s="34">
        <v>172</v>
      </c>
      <c r="AA125" s="54">
        <v>162</v>
      </c>
      <c r="AB125" s="54">
        <v>146</v>
      </c>
      <c r="AC125" s="54">
        <v>118</v>
      </c>
      <c r="AD125" s="54">
        <v>92.7</v>
      </c>
      <c r="AE125" s="34">
        <v>68.8</v>
      </c>
      <c r="AF125" s="34">
        <v>43.6</v>
      </c>
      <c r="AG125" s="34">
        <v>18.899999999999999</v>
      </c>
      <c r="AH125" s="34" t="s">
        <v>16</v>
      </c>
      <c r="AI125" s="34" t="s">
        <v>16</v>
      </c>
      <c r="AJ125" s="34" t="s">
        <v>16</v>
      </c>
      <c r="AK125" s="34" t="s">
        <v>16</v>
      </c>
      <c r="AL125" s="34" t="s">
        <v>16</v>
      </c>
      <c r="AM125" s="34" t="s">
        <v>16</v>
      </c>
      <c r="AN125" s="34" t="s">
        <v>16</v>
      </c>
      <c r="AO125" s="34" t="s">
        <v>16</v>
      </c>
      <c r="AP125" s="34" t="s">
        <v>16</v>
      </c>
      <c r="AQ125" s="34" t="s">
        <v>16</v>
      </c>
      <c r="AR125" s="34" t="s">
        <v>16</v>
      </c>
      <c r="AS125" s="34" t="s">
        <v>16</v>
      </c>
      <c r="AT125" s="34" t="s">
        <v>16</v>
      </c>
      <c r="AU125" s="55" t="s">
        <v>16</v>
      </c>
      <c r="AV125" s="57" t="str">
        <f>AV124</f>
        <v>ASME</v>
      </c>
      <c r="AW125" s="63" t="s">
        <v>16</v>
      </c>
      <c r="AX125" s="34">
        <v>862</v>
      </c>
      <c r="AY125" s="34" t="s">
        <v>16</v>
      </c>
      <c r="AZ125" s="34" t="s">
        <v>16</v>
      </c>
      <c r="BA125" s="34">
        <v>862</v>
      </c>
      <c r="BB125" s="34" t="s">
        <v>16</v>
      </c>
      <c r="BC125" s="34">
        <v>862</v>
      </c>
      <c r="BD125" s="34" t="s">
        <v>16</v>
      </c>
      <c r="BE125" s="34">
        <v>862</v>
      </c>
      <c r="BF125" s="34" t="s">
        <v>16</v>
      </c>
      <c r="BG125" s="34">
        <v>862</v>
      </c>
      <c r="BH125" s="34" t="s">
        <v>16</v>
      </c>
      <c r="BI125" s="34">
        <v>862</v>
      </c>
      <c r="BJ125" s="34">
        <v>862</v>
      </c>
      <c r="BK125" s="34">
        <v>852</v>
      </c>
      <c r="BL125" s="34">
        <v>819</v>
      </c>
      <c r="BM125" s="34">
        <v>787</v>
      </c>
      <c r="BN125" s="34">
        <v>750</v>
      </c>
      <c r="BO125" s="34">
        <v>709</v>
      </c>
      <c r="BP125" s="34">
        <v>666</v>
      </c>
      <c r="BQ125" s="34">
        <v>618</v>
      </c>
      <c r="BR125" s="34">
        <v>567</v>
      </c>
      <c r="BS125" s="34" t="s">
        <v>16</v>
      </c>
      <c r="BT125" s="34" t="s">
        <v>16</v>
      </c>
      <c r="BU125" s="34" t="s">
        <v>16</v>
      </c>
      <c r="BV125" s="34" t="s">
        <v>16</v>
      </c>
      <c r="BW125" s="34" t="s">
        <v>16</v>
      </c>
      <c r="BX125" s="34" t="s">
        <v>16</v>
      </c>
      <c r="BY125" s="34" t="s">
        <v>16</v>
      </c>
      <c r="BZ125" s="34" t="s">
        <v>16</v>
      </c>
      <c r="CA125" s="34" t="s">
        <v>16</v>
      </c>
      <c r="CB125" s="34" t="s">
        <v>16</v>
      </c>
      <c r="CC125" s="34" t="s">
        <v>16</v>
      </c>
      <c r="CD125" s="34" t="s">
        <v>16</v>
      </c>
      <c r="CE125" s="34" t="s">
        <v>16</v>
      </c>
      <c r="CF125" s="34" t="s">
        <v>16</v>
      </c>
      <c r="CG125" s="44" t="s">
        <v>16</v>
      </c>
      <c r="CH125" s="63" t="s">
        <v>16</v>
      </c>
      <c r="CI125" s="34">
        <v>724</v>
      </c>
      <c r="CJ125" s="34" t="s">
        <v>16</v>
      </c>
      <c r="CK125" s="34">
        <v>698</v>
      </c>
      <c r="CL125" s="34">
        <v>671</v>
      </c>
      <c r="CM125" s="34">
        <v>658</v>
      </c>
      <c r="CN125" s="34">
        <v>648</v>
      </c>
      <c r="CO125" s="34">
        <v>640</v>
      </c>
      <c r="CP125" s="34">
        <v>632</v>
      </c>
      <c r="CQ125" s="34">
        <v>623</v>
      </c>
      <c r="CR125" s="34">
        <v>614</v>
      </c>
      <c r="CS125" s="34">
        <v>605</v>
      </c>
      <c r="CT125" s="34">
        <v>595</v>
      </c>
      <c r="CU125" s="34">
        <v>583</v>
      </c>
      <c r="CV125" s="34">
        <v>568</v>
      </c>
      <c r="CW125" s="34">
        <v>553</v>
      </c>
      <c r="CX125" s="34">
        <v>534</v>
      </c>
      <c r="CY125" s="34">
        <v>511</v>
      </c>
      <c r="CZ125" s="34">
        <v>485</v>
      </c>
      <c r="DA125" s="34">
        <v>452</v>
      </c>
      <c r="DB125" s="34">
        <v>416</v>
      </c>
      <c r="DC125" s="34">
        <v>374</v>
      </c>
      <c r="DD125" s="34" t="s">
        <v>16</v>
      </c>
      <c r="DE125" s="34" t="s">
        <v>16</v>
      </c>
      <c r="DF125" s="34" t="s">
        <v>16</v>
      </c>
      <c r="DG125" s="34" t="s">
        <v>16</v>
      </c>
      <c r="DH125" s="34" t="s">
        <v>16</v>
      </c>
      <c r="DI125" s="34" t="s">
        <v>16</v>
      </c>
      <c r="DJ125" s="34" t="s">
        <v>16</v>
      </c>
      <c r="DK125" s="34" t="s">
        <v>16</v>
      </c>
      <c r="DL125" s="34" t="s">
        <v>16</v>
      </c>
      <c r="DM125" s="34" t="s">
        <v>16</v>
      </c>
      <c r="DN125" s="34" t="s">
        <v>16</v>
      </c>
      <c r="DO125" s="34" t="s">
        <v>16</v>
      </c>
      <c r="DP125" s="34" t="s">
        <v>16</v>
      </c>
      <c r="DQ125" s="34" t="s">
        <v>16</v>
      </c>
      <c r="DR125" s="55" t="s">
        <v>16</v>
      </c>
    </row>
    <row r="126" spans="1:122">
      <c r="A126" s="56" t="s">
        <v>173</v>
      </c>
      <c r="B126" s="56"/>
      <c r="C126" s="53" t="s">
        <v>94</v>
      </c>
      <c r="D126" s="53" t="s">
        <v>16</v>
      </c>
      <c r="E126" s="53" t="s">
        <v>16</v>
      </c>
      <c r="F126" s="53" t="s">
        <v>16</v>
      </c>
      <c r="G126" s="53" t="s">
        <v>17</v>
      </c>
      <c r="H126" s="72">
        <v>515</v>
      </c>
      <c r="I126" s="53">
        <v>205</v>
      </c>
      <c r="J126" s="53" t="s">
        <v>18</v>
      </c>
      <c r="K126" s="59" t="s">
        <v>16</v>
      </c>
      <c r="L126" s="54">
        <v>130</v>
      </c>
      <c r="M126" s="54" t="s">
        <v>16</v>
      </c>
      <c r="N126" s="54">
        <v>127</v>
      </c>
      <c r="O126" s="54">
        <v>121</v>
      </c>
      <c r="P126" s="54">
        <v>114</v>
      </c>
      <c r="Q126" s="54">
        <v>107</v>
      </c>
      <c r="R126" s="54">
        <v>103</v>
      </c>
      <c r="S126" s="54">
        <v>99.2</v>
      </c>
      <c r="T126" s="54">
        <v>95.9</v>
      </c>
      <c r="U126" s="54">
        <v>92.8</v>
      </c>
      <c r="V126" s="54">
        <v>90.2</v>
      </c>
      <c r="W126" s="54">
        <v>88.1</v>
      </c>
      <c r="X126" s="54">
        <v>86.1</v>
      </c>
      <c r="Y126" s="54">
        <v>84.4</v>
      </c>
      <c r="Z126" s="54">
        <v>83.2</v>
      </c>
      <c r="AA126" s="54">
        <v>82</v>
      </c>
      <c r="AB126" s="54">
        <v>80.7</v>
      </c>
      <c r="AC126" s="54">
        <v>80.099999999999994</v>
      </c>
      <c r="AD126" s="54">
        <v>79.5</v>
      </c>
      <c r="AE126" s="34">
        <v>78.8</v>
      </c>
      <c r="AF126" s="34">
        <v>78.2</v>
      </c>
      <c r="AG126" s="34">
        <v>77.599999999999994</v>
      </c>
      <c r="AH126" s="34">
        <v>77.099999999999994</v>
      </c>
      <c r="AI126" s="34">
        <v>74.7</v>
      </c>
      <c r="AJ126" s="34">
        <v>65.5</v>
      </c>
      <c r="AK126" s="34">
        <v>50.4</v>
      </c>
      <c r="AL126" s="34">
        <v>38.6</v>
      </c>
      <c r="AM126" s="34">
        <v>29.6</v>
      </c>
      <c r="AN126" s="34">
        <v>23</v>
      </c>
      <c r="AO126" s="34">
        <v>17.7</v>
      </c>
      <c r="AP126" s="34">
        <v>13.4</v>
      </c>
      <c r="AQ126" s="34">
        <v>10.4</v>
      </c>
      <c r="AR126" s="34">
        <v>8.0500000000000007</v>
      </c>
      <c r="AS126" s="34" t="s">
        <v>16</v>
      </c>
      <c r="AT126" s="34" t="s">
        <v>16</v>
      </c>
      <c r="AU126" s="55" t="s">
        <v>16</v>
      </c>
      <c r="AV126" s="57" t="s">
        <v>18</v>
      </c>
      <c r="AW126" s="63" t="s">
        <v>16</v>
      </c>
      <c r="AX126" s="34">
        <v>517</v>
      </c>
      <c r="AY126" s="34" t="s">
        <v>16</v>
      </c>
      <c r="AZ126" s="34" t="s">
        <v>16</v>
      </c>
      <c r="BA126" s="34">
        <v>516</v>
      </c>
      <c r="BB126" s="34" t="s">
        <v>16</v>
      </c>
      <c r="BC126" s="34">
        <v>502</v>
      </c>
      <c r="BD126" s="34" t="s">
        <v>16</v>
      </c>
      <c r="BE126" s="34">
        <v>496</v>
      </c>
      <c r="BF126" s="34" t="s">
        <v>16</v>
      </c>
      <c r="BG126" s="34">
        <v>495</v>
      </c>
      <c r="BH126" s="34" t="s">
        <v>16</v>
      </c>
      <c r="BI126" s="34">
        <v>495</v>
      </c>
      <c r="BJ126" s="34">
        <v>495</v>
      </c>
      <c r="BK126" s="34">
        <v>495</v>
      </c>
      <c r="BL126" s="34">
        <v>495</v>
      </c>
      <c r="BM126" s="34">
        <v>493</v>
      </c>
      <c r="BN126" s="34">
        <v>489</v>
      </c>
      <c r="BO126" s="34">
        <v>482</v>
      </c>
      <c r="BP126" s="34">
        <v>474</v>
      </c>
      <c r="BQ126" s="34">
        <v>463</v>
      </c>
      <c r="BR126" s="34">
        <v>450</v>
      </c>
      <c r="BS126" s="34" t="s">
        <v>16</v>
      </c>
      <c r="BT126" s="34" t="s">
        <v>16</v>
      </c>
      <c r="BU126" s="34" t="s">
        <v>16</v>
      </c>
      <c r="BV126" s="34" t="s">
        <v>16</v>
      </c>
      <c r="BW126" s="34" t="s">
        <v>16</v>
      </c>
      <c r="BX126" s="34" t="s">
        <v>16</v>
      </c>
      <c r="BY126" s="34" t="s">
        <v>16</v>
      </c>
      <c r="BZ126" s="34" t="s">
        <v>16</v>
      </c>
      <c r="CA126" s="34" t="s">
        <v>16</v>
      </c>
      <c r="CB126" s="34" t="s">
        <v>16</v>
      </c>
      <c r="CC126" s="34" t="s">
        <v>16</v>
      </c>
      <c r="CD126" s="34" t="s">
        <v>16</v>
      </c>
      <c r="CE126" s="34" t="s">
        <v>16</v>
      </c>
      <c r="CF126" s="34" t="s">
        <v>16</v>
      </c>
      <c r="CG126" s="44" t="s">
        <v>16</v>
      </c>
      <c r="CH126" s="63" t="s">
        <v>16</v>
      </c>
      <c r="CI126" s="34">
        <v>207</v>
      </c>
      <c r="CJ126" s="34" t="s">
        <v>16</v>
      </c>
      <c r="CK126" s="34">
        <v>192</v>
      </c>
      <c r="CL126" s="34">
        <v>176</v>
      </c>
      <c r="CM126" s="34">
        <v>168</v>
      </c>
      <c r="CN126" s="34">
        <v>161</v>
      </c>
      <c r="CO126" s="34">
        <v>155</v>
      </c>
      <c r="CP126" s="34">
        <v>149</v>
      </c>
      <c r="CQ126" s="34">
        <v>144</v>
      </c>
      <c r="CR126" s="34">
        <v>139</v>
      </c>
      <c r="CS126" s="34">
        <v>136</v>
      </c>
      <c r="CT126" s="34">
        <v>132</v>
      </c>
      <c r="CU126" s="34">
        <v>129</v>
      </c>
      <c r="CV126" s="34">
        <v>127</v>
      </c>
      <c r="CW126" s="34">
        <v>125</v>
      </c>
      <c r="CX126" s="34">
        <v>123</v>
      </c>
      <c r="CY126" s="34">
        <v>122</v>
      </c>
      <c r="CZ126" s="34">
        <v>121</v>
      </c>
      <c r="DA126" s="34">
        <v>120</v>
      </c>
      <c r="DB126" s="34">
        <v>118</v>
      </c>
      <c r="DC126" s="34">
        <v>117</v>
      </c>
      <c r="DD126" s="34" t="s">
        <v>16</v>
      </c>
      <c r="DE126" s="34" t="s">
        <v>16</v>
      </c>
      <c r="DF126" s="34" t="s">
        <v>16</v>
      </c>
      <c r="DG126" s="34" t="s">
        <v>16</v>
      </c>
      <c r="DH126" s="34" t="s">
        <v>16</v>
      </c>
      <c r="DI126" s="34" t="s">
        <v>16</v>
      </c>
      <c r="DJ126" s="34" t="s">
        <v>16</v>
      </c>
      <c r="DK126" s="34" t="s">
        <v>16</v>
      </c>
      <c r="DL126" s="34" t="s">
        <v>16</v>
      </c>
      <c r="DM126" s="34" t="s">
        <v>16</v>
      </c>
      <c r="DN126" s="34" t="s">
        <v>16</v>
      </c>
      <c r="DO126" s="34" t="s">
        <v>16</v>
      </c>
      <c r="DP126" s="34" t="s">
        <v>16</v>
      </c>
      <c r="DQ126" s="34" t="s">
        <v>16</v>
      </c>
      <c r="DR126" s="55" t="s">
        <v>16</v>
      </c>
    </row>
    <row r="127" spans="1:122">
      <c r="A127" s="56" t="s">
        <v>174</v>
      </c>
      <c r="B127" s="56"/>
      <c r="C127" s="60" t="s">
        <v>94</v>
      </c>
      <c r="D127" s="60" t="s">
        <v>16</v>
      </c>
      <c r="E127" s="60" t="s">
        <v>16</v>
      </c>
      <c r="F127" s="60" t="s">
        <v>16</v>
      </c>
      <c r="G127" s="60" t="s">
        <v>17</v>
      </c>
      <c r="H127" s="72">
        <v>515</v>
      </c>
      <c r="I127" s="53">
        <v>205</v>
      </c>
      <c r="J127" s="113" t="s">
        <v>17</v>
      </c>
      <c r="K127" s="59" t="s">
        <v>16</v>
      </c>
      <c r="L127" s="54" t="s">
        <v>16</v>
      </c>
      <c r="M127" s="54">
        <v>52</v>
      </c>
      <c r="N127" s="54" t="s">
        <v>16</v>
      </c>
      <c r="O127" s="54">
        <v>52</v>
      </c>
      <c r="P127" s="54" t="s">
        <v>16</v>
      </c>
      <c r="Q127" s="54">
        <v>52</v>
      </c>
      <c r="R127" s="54" t="s">
        <v>16</v>
      </c>
      <c r="S127" s="54">
        <v>50</v>
      </c>
      <c r="T127" s="54" t="s">
        <v>16</v>
      </c>
      <c r="U127" s="54">
        <v>47</v>
      </c>
      <c r="V127" s="54" t="s">
        <v>16</v>
      </c>
      <c r="W127" s="54">
        <v>44</v>
      </c>
      <c r="X127" s="54">
        <v>43</v>
      </c>
      <c r="Y127" s="54">
        <v>42</v>
      </c>
      <c r="Z127" s="54">
        <v>42</v>
      </c>
      <c r="AA127" s="54">
        <v>41</v>
      </c>
      <c r="AB127" s="54">
        <v>41</v>
      </c>
      <c r="AC127" s="54">
        <v>40</v>
      </c>
      <c r="AD127" s="54">
        <v>40</v>
      </c>
      <c r="AE127" s="54">
        <v>39</v>
      </c>
      <c r="AF127" s="54">
        <v>39</v>
      </c>
      <c r="AG127" s="54">
        <v>39</v>
      </c>
      <c r="AH127" s="54" t="s">
        <v>16</v>
      </c>
      <c r="AI127" s="54" t="s">
        <v>16</v>
      </c>
      <c r="AJ127" s="54" t="s">
        <v>16</v>
      </c>
      <c r="AK127" s="54" t="s">
        <v>16</v>
      </c>
      <c r="AL127" s="54" t="s">
        <v>16</v>
      </c>
      <c r="AM127" s="54" t="s">
        <v>16</v>
      </c>
      <c r="AN127" s="54" t="s">
        <v>16</v>
      </c>
      <c r="AO127" s="54" t="s">
        <v>16</v>
      </c>
      <c r="AP127" s="54" t="s">
        <v>16</v>
      </c>
      <c r="AQ127" s="54" t="s">
        <v>16</v>
      </c>
      <c r="AR127" s="54" t="s">
        <v>16</v>
      </c>
      <c r="AS127" s="54" t="s">
        <v>16</v>
      </c>
      <c r="AT127" s="54" t="s">
        <v>16</v>
      </c>
      <c r="AU127" s="64" t="s">
        <v>16</v>
      </c>
      <c r="AV127" s="48" t="s">
        <v>18</v>
      </c>
      <c r="AW127" s="63" t="s">
        <v>16</v>
      </c>
      <c r="AX127" s="34">
        <v>517</v>
      </c>
      <c r="AY127" s="34" t="s">
        <v>16</v>
      </c>
      <c r="AZ127" s="34" t="s">
        <v>16</v>
      </c>
      <c r="BA127" s="34">
        <v>516</v>
      </c>
      <c r="BB127" s="34" t="s">
        <v>16</v>
      </c>
      <c r="BC127" s="34">
        <v>502</v>
      </c>
      <c r="BD127" s="34" t="s">
        <v>16</v>
      </c>
      <c r="BE127" s="34">
        <v>496</v>
      </c>
      <c r="BF127" s="34" t="s">
        <v>16</v>
      </c>
      <c r="BG127" s="34">
        <v>495</v>
      </c>
      <c r="BH127" s="34" t="s">
        <v>16</v>
      </c>
      <c r="BI127" s="34">
        <v>495</v>
      </c>
      <c r="BJ127" s="34">
        <v>495</v>
      </c>
      <c r="BK127" s="34">
        <v>495</v>
      </c>
      <c r="BL127" s="34">
        <v>495</v>
      </c>
      <c r="BM127" s="34">
        <v>493</v>
      </c>
      <c r="BN127" s="34">
        <v>489</v>
      </c>
      <c r="BO127" s="34">
        <v>482</v>
      </c>
      <c r="BP127" s="34">
        <v>474</v>
      </c>
      <c r="BQ127" s="34">
        <v>463</v>
      </c>
      <c r="BR127" s="34">
        <v>450</v>
      </c>
      <c r="BS127" s="34" t="s">
        <v>16</v>
      </c>
      <c r="BT127" s="34" t="s">
        <v>16</v>
      </c>
      <c r="BU127" s="34" t="s">
        <v>16</v>
      </c>
      <c r="BV127" s="34" t="s">
        <v>16</v>
      </c>
      <c r="BW127" s="34" t="s">
        <v>16</v>
      </c>
      <c r="BX127" s="34" t="s">
        <v>16</v>
      </c>
      <c r="BY127" s="34" t="s">
        <v>16</v>
      </c>
      <c r="BZ127" s="34" t="s">
        <v>16</v>
      </c>
      <c r="CA127" s="34" t="s">
        <v>16</v>
      </c>
      <c r="CB127" s="34" t="s">
        <v>16</v>
      </c>
      <c r="CC127" s="34" t="s">
        <v>16</v>
      </c>
      <c r="CD127" s="34" t="s">
        <v>16</v>
      </c>
      <c r="CE127" s="34" t="s">
        <v>16</v>
      </c>
      <c r="CF127" s="34" t="s">
        <v>16</v>
      </c>
      <c r="CG127" s="44" t="s">
        <v>16</v>
      </c>
      <c r="CH127" s="63" t="s">
        <v>16</v>
      </c>
      <c r="CI127" s="34">
        <v>207</v>
      </c>
      <c r="CJ127" s="34" t="s">
        <v>16</v>
      </c>
      <c r="CK127" s="34">
        <v>192</v>
      </c>
      <c r="CL127" s="34">
        <v>176</v>
      </c>
      <c r="CM127" s="34">
        <v>168</v>
      </c>
      <c r="CN127" s="34">
        <v>161</v>
      </c>
      <c r="CO127" s="34">
        <v>155</v>
      </c>
      <c r="CP127" s="34">
        <v>149</v>
      </c>
      <c r="CQ127" s="34">
        <v>144</v>
      </c>
      <c r="CR127" s="34">
        <v>139</v>
      </c>
      <c r="CS127" s="34">
        <v>136</v>
      </c>
      <c r="CT127" s="34">
        <v>207</v>
      </c>
      <c r="CU127" s="34">
        <v>192</v>
      </c>
      <c r="CV127" s="34">
        <v>176</v>
      </c>
      <c r="CW127" s="34">
        <v>168</v>
      </c>
      <c r="CX127" s="34">
        <v>161</v>
      </c>
      <c r="CY127" s="34">
        <v>155</v>
      </c>
      <c r="CZ127" s="34">
        <v>149</v>
      </c>
      <c r="DA127" s="34">
        <v>144</v>
      </c>
      <c r="DB127" s="34">
        <v>139</v>
      </c>
      <c r="DC127" s="34">
        <v>136</v>
      </c>
      <c r="DD127" s="34" t="s">
        <v>16</v>
      </c>
      <c r="DE127" s="34" t="s">
        <v>16</v>
      </c>
      <c r="DF127" s="34" t="s">
        <v>16</v>
      </c>
      <c r="DG127" s="34" t="s">
        <v>16</v>
      </c>
      <c r="DH127" s="34" t="s">
        <v>16</v>
      </c>
      <c r="DI127" s="34" t="s">
        <v>16</v>
      </c>
      <c r="DJ127" s="34" t="s">
        <v>16</v>
      </c>
      <c r="DK127" s="34" t="s">
        <v>16</v>
      </c>
      <c r="DL127" s="34" t="s">
        <v>16</v>
      </c>
      <c r="DM127" s="34" t="s">
        <v>16</v>
      </c>
      <c r="DN127" s="34" t="s">
        <v>16</v>
      </c>
      <c r="DO127" s="34" t="s">
        <v>16</v>
      </c>
      <c r="DP127" s="34" t="s">
        <v>16</v>
      </c>
      <c r="DQ127" s="34" t="s">
        <v>16</v>
      </c>
      <c r="DR127" s="55" t="s">
        <v>16</v>
      </c>
    </row>
    <row r="128" spans="1:122">
      <c r="A128" s="56" t="s">
        <v>175</v>
      </c>
      <c r="B128" s="56"/>
      <c r="C128" s="53" t="s">
        <v>94</v>
      </c>
      <c r="D128" s="53">
        <v>32</v>
      </c>
      <c r="E128" s="53">
        <v>38</v>
      </c>
      <c r="F128" s="53" t="s">
        <v>16</v>
      </c>
      <c r="G128" s="53" t="s">
        <v>17</v>
      </c>
      <c r="H128" s="72">
        <v>620</v>
      </c>
      <c r="I128" s="53">
        <v>345</v>
      </c>
      <c r="J128" s="53" t="s">
        <v>18</v>
      </c>
      <c r="K128" s="59" t="s">
        <v>16</v>
      </c>
      <c r="L128" s="34">
        <v>130</v>
      </c>
      <c r="M128" s="34" t="s">
        <v>16</v>
      </c>
      <c r="N128" s="34">
        <v>127</v>
      </c>
      <c r="O128" s="34">
        <v>121</v>
      </c>
      <c r="P128" s="34">
        <v>114</v>
      </c>
      <c r="Q128" s="34">
        <v>107</v>
      </c>
      <c r="R128" s="54">
        <v>103</v>
      </c>
      <c r="S128" s="54">
        <v>99.2</v>
      </c>
      <c r="T128" s="54">
        <v>96</v>
      </c>
      <c r="U128" s="54">
        <v>92.9</v>
      </c>
      <c r="V128" s="54">
        <v>90.1</v>
      </c>
      <c r="W128" s="54">
        <v>87.8</v>
      </c>
      <c r="X128" s="54">
        <v>86.5</v>
      </c>
      <c r="Y128" s="54">
        <v>86.2</v>
      </c>
      <c r="Z128" s="54">
        <v>86.2</v>
      </c>
      <c r="AA128" s="34">
        <v>86.2</v>
      </c>
      <c r="AB128" s="34">
        <v>86.2</v>
      </c>
      <c r="AC128" s="54">
        <v>86.2</v>
      </c>
      <c r="AD128" s="34" t="s">
        <v>16</v>
      </c>
      <c r="AE128" s="34" t="s">
        <v>16</v>
      </c>
      <c r="AF128" s="34" t="s">
        <v>16</v>
      </c>
      <c r="AG128" s="34" t="s">
        <v>16</v>
      </c>
      <c r="AH128" s="34" t="s">
        <v>16</v>
      </c>
      <c r="AI128" s="34" t="s">
        <v>16</v>
      </c>
      <c r="AJ128" s="34" t="s">
        <v>16</v>
      </c>
      <c r="AK128" s="34" t="s">
        <v>16</v>
      </c>
      <c r="AL128" s="34" t="s">
        <v>16</v>
      </c>
      <c r="AM128" s="34" t="s">
        <v>16</v>
      </c>
      <c r="AN128" s="34" t="s">
        <v>16</v>
      </c>
      <c r="AO128" s="34" t="s">
        <v>16</v>
      </c>
      <c r="AP128" s="34" t="s">
        <v>16</v>
      </c>
      <c r="AQ128" s="34" t="s">
        <v>16</v>
      </c>
      <c r="AR128" s="34" t="s">
        <v>16</v>
      </c>
      <c r="AS128" s="34" t="s">
        <v>16</v>
      </c>
      <c r="AT128" s="34" t="s">
        <v>16</v>
      </c>
      <c r="AU128" s="55" t="s">
        <v>16</v>
      </c>
      <c r="AV128" s="57" t="s">
        <v>18</v>
      </c>
      <c r="AW128" s="63" t="s">
        <v>16</v>
      </c>
      <c r="AX128" s="34">
        <v>621</v>
      </c>
      <c r="AY128" s="34" t="s">
        <v>16</v>
      </c>
      <c r="AZ128" s="34" t="s">
        <v>16</v>
      </c>
      <c r="BA128" s="34">
        <v>619</v>
      </c>
      <c r="BB128" s="34" t="s">
        <v>16</v>
      </c>
      <c r="BC128" s="34">
        <v>598</v>
      </c>
      <c r="BD128" s="34" t="s">
        <v>16</v>
      </c>
      <c r="BE128" s="34">
        <v>577</v>
      </c>
      <c r="BF128" s="34" t="s">
        <v>16</v>
      </c>
      <c r="BG128" s="34">
        <v>577</v>
      </c>
      <c r="BH128" s="34" t="s">
        <v>16</v>
      </c>
      <c r="BI128" s="34">
        <v>577</v>
      </c>
      <c r="BJ128" s="34">
        <v>577</v>
      </c>
      <c r="BK128" s="34">
        <v>577</v>
      </c>
      <c r="BL128" s="34">
        <v>577</v>
      </c>
      <c r="BM128" s="34">
        <v>574</v>
      </c>
      <c r="BN128" s="34">
        <v>571</v>
      </c>
      <c r="BO128" s="34">
        <v>562</v>
      </c>
      <c r="BP128" s="34">
        <v>550</v>
      </c>
      <c r="BQ128" s="34">
        <v>537</v>
      </c>
      <c r="BR128" s="34">
        <v>525</v>
      </c>
      <c r="BS128" s="34" t="s">
        <v>16</v>
      </c>
      <c r="BT128" s="34" t="s">
        <v>16</v>
      </c>
      <c r="BU128" s="34" t="s">
        <v>16</v>
      </c>
      <c r="BV128" s="34" t="s">
        <v>16</v>
      </c>
      <c r="BW128" s="34" t="s">
        <v>16</v>
      </c>
      <c r="BX128" s="34" t="s">
        <v>16</v>
      </c>
      <c r="BY128" s="34" t="s">
        <v>16</v>
      </c>
      <c r="BZ128" s="34" t="s">
        <v>16</v>
      </c>
      <c r="CA128" s="34" t="s">
        <v>16</v>
      </c>
      <c r="CB128" s="34" t="s">
        <v>16</v>
      </c>
      <c r="CC128" s="34" t="s">
        <v>16</v>
      </c>
      <c r="CD128" s="34" t="s">
        <v>16</v>
      </c>
      <c r="CE128" s="34" t="s">
        <v>16</v>
      </c>
      <c r="CF128" s="34" t="s">
        <v>16</v>
      </c>
      <c r="CG128" s="44" t="s">
        <v>16</v>
      </c>
      <c r="CH128" s="63" t="s">
        <v>16</v>
      </c>
      <c r="CI128" s="34">
        <v>345</v>
      </c>
      <c r="CJ128" s="34" t="s">
        <v>16</v>
      </c>
      <c r="CK128" s="34">
        <v>334</v>
      </c>
      <c r="CL128" s="34">
        <v>322</v>
      </c>
      <c r="CM128" s="34">
        <v>313</v>
      </c>
      <c r="CN128" s="34">
        <v>306</v>
      </c>
      <c r="CO128" s="34">
        <v>299</v>
      </c>
      <c r="CP128" s="34">
        <v>293</v>
      </c>
      <c r="CQ128" s="34">
        <v>288</v>
      </c>
      <c r="CR128" s="34">
        <v>285</v>
      </c>
      <c r="CS128" s="34">
        <v>283</v>
      </c>
      <c r="CT128" s="34">
        <v>280</v>
      </c>
      <c r="CU128" s="34">
        <v>277</v>
      </c>
      <c r="CV128" s="34">
        <v>274</v>
      </c>
      <c r="CW128" s="34">
        <v>270</v>
      </c>
      <c r="CX128" s="34">
        <v>267</v>
      </c>
      <c r="CY128" s="34">
        <v>264</v>
      </c>
      <c r="CZ128" s="34">
        <v>261</v>
      </c>
      <c r="DA128" s="34">
        <v>257</v>
      </c>
      <c r="DB128" s="34">
        <v>254</v>
      </c>
      <c r="DC128" s="34">
        <v>251</v>
      </c>
      <c r="DD128" s="34" t="s">
        <v>16</v>
      </c>
      <c r="DE128" s="34" t="s">
        <v>16</v>
      </c>
      <c r="DF128" s="34" t="s">
        <v>16</v>
      </c>
      <c r="DG128" s="34" t="s">
        <v>16</v>
      </c>
      <c r="DH128" s="34" t="s">
        <v>16</v>
      </c>
      <c r="DI128" s="34" t="s">
        <v>16</v>
      </c>
      <c r="DJ128" s="34" t="s">
        <v>16</v>
      </c>
      <c r="DK128" s="34" t="s">
        <v>16</v>
      </c>
      <c r="DL128" s="34" t="s">
        <v>16</v>
      </c>
      <c r="DM128" s="34" t="s">
        <v>16</v>
      </c>
      <c r="DN128" s="34" t="s">
        <v>16</v>
      </c>
      <c r="DO128" s="34" t="s">
        <v>16</v>
      </c>
      <c r="DP128" s="34" t="s">
        <v>16</v>
      </c>
      <c r="DQ128" s="34" t="s">
        <v>16</v>
      </c>
      <c r="DR128" s="55" t="s">
        <v>16</v>
      </c>
    </row>
    <row r="129" spans="1:122">
      <c r="A129" s="56" t="s">
        <v>175</v>
      </c>
      <c r="B129" s="56"/>
      <c r="C129" s="53" t="s">
        <v>94</v>
      </c>
      <c r="D129" s="53">
        <v>25</v>
      </c>
      <c r="E129" s="53">
        <v>32</v>
      </c>
      <c r="F129" s="53" t="s">
        <v>16</v>
      </c>
      <c r="G129" s="53" t="str">
        <f>G128</f>
        <v>ASTM</v>
      </c>
      <c r="H129" s="72">
        <v>655</v>
      </c>
      <c r="I129" s="53">
        <v>450</v>
      </c>
      <c r="J129" s="53" t="str">
        <f>J128</f>
        <v>ASME</v>
      </c>
      <c r="K129" s="59" t="s">
        <v>16</v>
      </c>
      <c r="L129" s="34">
        <v>130</v>
      </c>
      <c r="M129" s="34" t="s">
        <v>16</v>
      </c>
      <c r="N129" s="34">
        <v>127</v>
      </c>
      <c r="O129" s="34">
        <v>121</v>
      </c>
      <c r="P129" s="34">
        <v>112</v>
      </c>
      <c r="Q129" s="34">
        <v>112</v>
      </c>
      <c r="R129" s="34">
        <v>112</v>
      </c>
      <c r="S129" s="34">
        <v>112</v>
      </c>
      <c r="T129" s="34">
        <v>112</v>
      </c>
      <c r="U129" s="34">
        <v>112</v>
      </c>
      <c r="V129" s="34">
        <v>112</v>
      </c>
      <c r="W129" s="34">
        <v>112</v>
      </c>
      <c r="X129" s="34">
        <v>112</v>
      </c>
      <c r="Y129" s="34">
        <v>112</v>
      </c>
      <c r="Z129" s="34">
        <v>112</v>
      </c>
      <c r="AA129" s="34">
        <v>112</v>
      </c>
      <c r="AB129" s="34">
        <v>112</v>
      </c>
      <c r="AC129" s="54">
        <v>112</v>
      </c>
      <c r="AD129" s="34" t="s">
        <v>16</v>
      </c>
      <c r="AE129" s="34" t="s">
        <v>16</v>
      </c>
      <c r="AF129" s="34" t="s">
        <v>16</v>
      </c>
      <c r="AG129" s="34" t="s">
        <v>16</v>
      </c>
      <c r="AH129" s="34" t="s">
        <v>16</v>
      </c>
      <c r="AI129" s="34" t="s">
        <v>16</v>
      </c>
      <c r="AJ129" s="34" t="s">
        <v>16</v>
      </c>
      <c r="AK129" s="34" t="s">
        <v>16</v>
      </c>
      <c r="AL129" s="34" t="s">
        <v>16</v>
      </c>
      <c r="AM129" s="34" t="s">
        <v>16</v>
      </c>
      <c r="AN129" s="34" t="s">
        <v>16</v>
      </c>
      <c r="AO129" s="34" t="s">
        <v>16</v>
      </c>
      <c r="AP129" s="34" t="s">
        <v>16</v>
      </c>
      <c r="AQ129" s="34" t="s">
        <v>16</v>
      </c>
      <c r="AR129" s="34" t="s">
        <v>16</v>
      </c>
      <c r="AS129" s="34" t="s">
        <v>16</v>
      </c>
      <c r="AT129" s="34" t="s">
        <v>16</v>
      </c>
      <c r="AU129" s="55" t="s">
        <v>16</v>
      </c>
      <c r="AV129" s="48" t="s">
        <v>18</v>
      </c>
      <c r="AW129" s="63" t="s">
        <v>16</v>
      </c>
      <c r="AX129" s="34">
        <v>655</v>
      </c>
      <c r="AY129" s="34" t="s">
        <v>16</v>
      </c>
      <c r="AZ129" s="34" t="s">
        <v>16</v>
      </c>
      <c r="BA129" s="34">
        <v>654</v>
      </c>
      <c r="BB129" s="34" t="s">
        <v>16</v>
      </c>
      <c r="BC129" s="34">
        <v>631</v>
      </c>
      <c r="BD129" s="34" t="s">
        <v>16</v>
      </c>
      <c r="BE129" s="34">
        <v>609</v>
      </c>
      <c r="BF129" s="34" t="s">
        <v>16</v>
      </c>
      <c r="BG129" s="34">
        <v>609</v>
      </c>
      <c r="BH129" s="34" t="s">
        <v>16</v>
      </c>
      <c r="BI129" s="34">
        <v>609</v>
      </c>
      <c r="BJ129" s="34">
        <v>609</v>
      </c>
      <c r="BK129" s="34">
        <v>609</v>
      </c>
      <c r="BL129" s="34">
        <v>609</v>
      </c>
      <c r="BM129" s="34">
        <v>605</v>
      </c>
      <c r="BN129" s="34">
        <v>602</v>
      </c>
      <c r="BO129" s="34">
        <v>593</v>
      </c>
      <c r="BP129" s="34">
        <v>580</v>
      </c>
      <c r="BQ129" s="34">
        <v>567</v>
      </c>
      <c r="BR129" s="34">
        <v>554</v>
      </c>
      <c r="BS129" s="34" t="s">
        <v>16</v>
      </c>
      <c r="BT129" s="34" t="s">
        <v>16</v>
      </c>
      <c r="BU129" s="34" t="s">
        <v>16</v>
      </c>
      <c r="BV129" s="34" t="s">
        <v>16</v>
      </c>
      <c r="BW129" s="34" t="s">
        <v>16</v>
      </c>
      <c r="BX129" s="34" t="s">
        <v>16</v>
      </c>
      <c r="BY129" s="34" t="s">
        <v>16</v>
      </c>
      <c r="BZ129" s="34" t="s">
        <v>16</v>
      </c>
      <c r="CA129" s="34" t="s">
        <v>16</v>
      </c>
      <c r="CB129" s="34" t="s">
        <v>16</v>
      </c>
      <c r="CC129" s="34" t="s">
        <v>16</v>
      </c>
      <c r="CD129" s="34" t="s">
        <v>16</v>
      </c>
      <c r="CE129" s="34" t="s">
        <v>16</v>
      </c>
      <c r="CF129" s="34" t="s">
        <v>16</v>
      </c>
      <c r="CG129" s="44" t="s">
        <v>16</v>
      </c>
      <c r="CH129" s="63" t="s">
        <v>16</v>
      </c>
      <c r="CI129" s="34">
        <v>448</v>
      </c>
      <c r="CJ129" s="34" t="s">
        <v>16</v>
      </c>
      <c r="CK129" s="34">
        <v>435</v>
      </c>
      <c r="CL129" s="34">
        <v>418</v>
      </c>
      <c r="CM129" s="34">
        <v>408</v>
      </c>
      <c r="CN129" s="34">
        <v>397</v>
      </c>
      <c r="CO129" s="34">
        <v>388</v>
      </c>
      <c r="CP129" s="34">
        <v>380</v>
      </c>
      <c r="CQ129" s="34">
        <v>374</v>
      </c>
      <c r="CR129" s="34">
        <v>370</v>
      </c>
      <c r="CS129" s="34">
        <v>367</v>
      </c>
      <c r="CT129" s="34">
        <v>364</v>
      </c>
      <c r="CU129" s="34">
        <v>360</v>
      </c>
      <c r="CV129" s="34">
        <v>356</v>
      </c>
      <c r="CW129" s="34">
        <v>351</v>
      </c>
      <c r="CX129" s="34">
        <v>347</v>
      </c>
      <c r="CY129" s="34">
        <v>343</v>
      </c>
      <c r="CZ129" s="34">
        <v>339</v>
      </c>
      <c r="DA129" s="34">
        <v>335</v>
      </c>
      <c r="DB129" s="34">
        <v>330</v>
      </c>
      <c r="DC129" s="34">
        <v>325</v>
      </c>
      <c r="DD129" s="34" t="s">
        <v>16</v>
      </c>
      <c r="DE129" s="34" t="s">
        <v>16</v>
      </c>
      <c r="DF129" s="34" t="s">
        <v>16</v>
      </c>
      <c r="DG129" s="34" t="s">
        <v>16</v>
      </c>
      <c r="DH129" s="34" t="s">
        <v>16</v>
      </c>
      <c r="DI129" s="34" t="s">
        <v>16</v>
      </c>
      <c r="DJ129" s="34" t="s">
        <v>16</v>
      </c>
      <c r="DK129" s="34" t="s">
        <v>16</v>
      </c>
      <c r="DL129" s="34" t="s">
        <v>16</v>
      </c>
      <c r="DM129" s="34" t="s">
        <v>16</v>
      </c>
      <c r="DN129" s="34" t="s">
        <v>16</v>
      </c>
      <c r="DO129" s="34" t="s">
        <v>16</v>
      </c>
      <c r="DP129" s="34" t="s">
        <v>16</v>
      </c>
      <c r="DQ129" s="34" t="s">
        <v>16</v>
      </c>
      <c r="DR129" s="55" t="s">
        <v>16</v>
      </c>
    </row>
    <row r="130" spans="1:122">
      <c r="A130" s="56" t="s">
        <v>175</v>
      </c>
      <c r="B130" s="56"/>
      <c r="C130" s="53" t="s">
        <v>94</v>
      </c>
      <c r="D130" s="53">
        <v>19</v>
      </c>
      <c r="E130" s="53">
        <v>25</v>
      </c>
      <c r="F130" s="53" t="s">
        <v>16</v>
      </c>
      <c r="G130" s="53" t="str">
        <f>G129</f>
        <v>ASTM</v>
      </c>
      <c r="H130" s="72">
        <v>690</v>
      </c>
      <c r="I130" s="53">
        <v>550</v>
      </c>
      <c r="J130" s="53" t="str">
        <f>J129</f>
        <v>ASME</v>
      </c>
      <c r="K130" s="59" t="s">
        <v>16</v>
      </c>
      <c r="L130" s="34">
        <v>138</v>
      </c>
      <c r="M130" s="34" t="s">
        <v>16</v>
      </c>
      <c r="N130" s="34">
        <v>138</v>
      </c>
      <c r="O130" s="34">
        <v>138</v>
      </c>
      <c r="P130" s="34">
        <v>138</v>
      </c>
      <c r="Q130" s="34">
        <v>138</v>
      </c>
      <c r="R130" s="34">
        <v>138</v>
      </c>
      <c r="S130" s="34">
        <v>138</v>
      </c>
      <c r="T130" s="34">
        <v>138</v>
      </c>
      <c r="U130" s="34">
        <v>138</v>
      </c>
      <c r="V130" s="34">
        <v>138</v>
      </c>
      <c r="W130" s="34">
        <v>138</v>
      </c>
      <c r="X130" s="34">
        <v>138</v>
      </c>
      <c r="Y130" s="34">
        <v>138</v>
      </c>
      <c r="Z130" s="34">
        <v>138</v>
      </c>
      <c r="AA130" s="34">
        <v>138</v>
      </c>
      <c r="AB130" s="34">
        <v>138</v>
      </c>
      <c r="AC130" s="34">
        <v>138</v>
      </c>
      <c r="AD130" s="34" t="s">
        <v>16</v>
      </c>
      <c r="AE130" s="34" t="s">
        <v>16</v>
      </c>
      <c r="AF130" s="34" t="s">
        <v>16</v>
      </c>
      <c r="AG130" s="34" t="s">
        <v>16</v>
      </c>
      <c r="AH130" s="34" t="s">
        <v>16</v>
      </c>
      <c r="AI130" s="34" t="s">
        <v>16</v>
      </c>
      <c r="AJ130" s="34" t="s">
        <v>16</v>
      </c>
      <c r="AK130" s="34" t="s">
        <v>16</v>
      </c>
      <c r="AL130" s="34" t="s">
        <v>16</v>
      </c>
      <c r="AM130" s="34" t="s">
        <v>16</v>
      </c>
      <c r="AN130" s="34" t="s">
        <v>16</v>
      </c>
      <c r="AO130" s="34" t="s">
        <v>16</v>
      </c>
      <c r="AP130" s="34" t="s">
        <v>16</v>
      </c>
      <c r="AQ130" s="34" t="s">
        <v>16</v>
      </c>
      <c r="AR130" s="34" t="s">
        <v>16</v>
      </c>
      <c r="AS130" s="34" t="s">
        <v>16</v>
      </c>
      <c r="AT130" s="34" t="s">
        <v>16</v>
      </c>
      <c r="AU130" s="55" t="s">
        <v>16</v>
      </c>
      <c r="AV130" s="57" t="s">
        <v>18</v>
      </c>
      <c r="AW130" s="63" t="s">
        <v>16</v>
      </c>
      <c r="AX130" s="34">
        <v>689</v>
      </c>
      <c r="AY130" s="34" t="s">
        <v>16</v>
      </c>
      <c r="AZ130" s="34" t="s">
        <v>16</v>
      </c>
      <c r="BA130" s="34">
        <v>689</v>
      </c>
      <c r="BB130" s="34" t="s">
        <v>16</v>
      </c>
      <c r="BC130" s="34">
        <v>680</v>
      </c>
      <c r="BD130" s="34" t="s">
        <v>16</v>
      </c>
      <c r="BE130" s="34">
        <v>665</v>
      </c>
      <c r="BF130" s="34" t="s">
        <v>16</v>
      </c>
      <c r="BG130" s="34">
        <v>660</v>
      </c>
      <c r="BH130" s="34" t="s">
        <v>16</v>
      </c>
      <c r="BI130" s="34">
        <v>660</v>
      </c>
      <c r="BJ130" s="34">
        <v>660</v>
      </c>
      <c r="BK130" s="34">
        <v>660</v>
      </c>
      <c r="BL130" s="34">
        <v>660</v>
      </c>
      <c r="BM130" s="34">
        <v>657</v>
      </c>
      <c r="BN130" s="34">
        <v>651</v>
      </c>
      <c r="BO130" s="34">
        <v>643</v>
      </c>
      <c r="BP130" s="34">
        <v>632</v>
      </c>
      <c r="BQ130" s="34">
        <v>618</v>
      </c>
      <c r="BR130" s="34">
        <v>601</v>
      </c>
      <c r="BS130" s="34" t="s">
        <v>16</v>
      </c>
      <c r="BT130" s="34" t="s">
        <v>16</v>
      </c>
      <c r="BU130" s="34" t="s">
        <v>16</v>
      </c>
      <c r="BV130" s="34" t="s">
        <v>16</v>
      </c>
      <c r="BW130" s="34" t="s">
        <v>16</v>
      </c>
      <c r="BX130" s="34" t="s">
        <v>16</v>
      </c>
      <c r="BY130" s="34" t="s">
        <v>16</v>
      </c>
      <c r="BZ130" s="34" t="s">
        <v>16</v>
      </c>
      <c r="CA130" s="34" t="s">
        <v>16</v>
      </c>
      <c r="CB130" s="34" t="s">
        <v>16</v>
      </c>
      <c r="CC130" s="34" t="s">
        <v>16</v>
      </c>
      <c r="CD130" s="34" t="s">
        <v>16</v>
      </c>
      <c r="CE130" s="34" t="s">
        <v>16</v>
      </c>
      <c r="CF130" s="34" t="s">
        <v>16</v>
      </c>
      <c r="CG130" s="44" t="s">
        <v>16</v>
      </c>
      <c r="CH130" s="63" t="s">
        <v>16</v>
      </c>
      <c r="CI130" s="34">
        <v>552</v>
      </c>
      <c r="CJ130" s="34" t="s">
        <v>16</v>
      </c>
      <c r="CK130" s="34">
        <v>509</v>
      </c>
      <c r="CL130" s="34">
        <v>472</v>
      </c>
      <c r="CM130" s="34">
        <v>460</v>
      </c>
      <c r="CN130" s="34">
        <v>451</v>
      </c>
      <c r="CO130" s="34">
        <v>434</v>
      </c>
      <c r="CP130" s="34">
        <v>414</v>
      </c>
      <c r="CQ130" s="34">
        <v>397</v>
      </c>
      <c r="CR130" s="34">
        <v>383</v>
      </c>
      <c r="CS130" s="34">
        <v>374</v>
      </c>
      <c r="CT130" s="34">
        <v>364</v>
      </c>
      <c r="CU130" s="34">
        <v>350</v>
      </c>
      <c r="CV130" s="34">
        <v>338</v>
      </c>
      <c r="CW130" s="34">
        <v>333</v>
      </c>
      <c r="CX130" s="34">
        <v>329</v>
      </c>
      <c r="CY130" s="34">
        <v>325</v>
      </c>
      <c r="CZ130" s="34">
        <v>322</v>
      </c>
      <c r="DA130" s="34">
        <v>319</v>
      </c>
      <c r="DB130" s="34">
        <v>316</v>
      </c>
      <c r="DC130" s="34">
        <v>314</v>
      </c>
      <c r="DD130" s="34" t="s">
        <v>16</v>
      </c>
      <c r="DE130" s="34" t="s">
        <v>16</v>
      </c>
      <c r="DF130" s="34" t="s">
        <v>16</v>
      </c>
      <c r="DG130" s="34" t="s">
        <v>16</v>
      </c>
      <c r="DH130" s="34" t="s">
        <v>16</v>
      </c>
      <c r="DI130" s="34" t="s">
        <v>16</v>
      </c>
      <c r="DJ130" s="34" t="s">
        <v>16</v>
      </c>
      <c r="DK130" s="34" t="s">
        <v>16</v>
      </c>
      <c r="DL130" s="34" t="s">
        <v>16</v>
      </c>
      <c r="DM130" s="34" t="s">
        <v>16</v>
      </c>
      <c r="DN130" s="34" t="s">
        <v>16</v>
      </c>
      <c r="DO130" s="34" t="s">
        <v>16</v>
      </c>
      <c r="DP130" s="34" t="s">
        <v>16</v>
      </c>
      <c r="DQ130" s="34" t="s">
        <v>16</v>
      </c>
      <c r="DR130" s="55" t="s">
        <v>16</v>
      </c>
    </row>
    <row r="131" spans="1:122">
      <c r="A131" s="56" t="s">
        <v>175</v>
      </c>
      <c r="B131" s="56"/>
      <c r="C131" s="53" t="s">
        <v>94</v>
      </c>
      <c r="D131" s="53" t="s">
        <v>16</v>
      </c>
      <c r="E131" s="53">
        <v>19</v>
      </c>
      <c r="F131" s="53" t="s">
        <v>16</v>
      </c>
      <c r="G131" s="53" t="str">
        <f>G130</f>
        <v>ASTM</v>
      </c>
      <c r="H131" s="72">
        <v>760</v>
      </c>
      <c r="I131" s="53">
        <v>655</v>
      </c>
      <c r="J131" s="53" t="str">
        <f>J130</f>
        <v>ASME</v>
      </c>
      <c r="K131" s="59" t="s">
        <v>16</v>
      </c>
      <c r="L131" s="34">
        <v>152</v>
      </c>
      <c r="M131" s="34" t="s">
        <v>16</v>
      </c>
      <c r="N131" s="34">
        <v>152</v>
      </c>
      <c r="O131" s="34">
        <v>152</v>
      </c>
      <c r="P131" s="34">
        <v>152</v>
      </c>
      <c r="Q131" s="34">
        <v>152</v>
      </c>
      <c r="R131" s="34">
        <v>152</v>
      </c>
      <c r="S131" s="34">
        <v>152</v>
      </c>
      <c r="T131" s="34">
        <v>152</v>
      </c>
      <c r="U131" s="34">
        <v>152</v>
      </c>
      <c r="V131" s="34">
        <v>152</v>
      </c>
      <c r="W131" s="34">
        <v>152</v>
      </c>
      <c r="X131" s="34">
        <v>152</v>
      </c>
      <c r="Y131" s="34">
        <v>152</v>
      </c>
      <c r="Z131" s="34">
        <v>152</v>
      </c>
      <c r="AA131" s="34">
        <v>152</v>
      </c>
      <c r="AB131" s="34">
        <v>152</v>
      </c>
      <c r="AC131" s="34">
        <v>152</v>
      </c>
      <c r="AD131" s="34" t="s">
        <v>16</v>
      </c>
      <c r="AE131" s="34" t="s">
        <v>16</v>
      </c>
      <c r="AF131" s="34" t="s">
        <v>16</v>
      </c>
      <c r="AG131" s="34" t="s">
        <v>16</v>
      </c>
      <c r="AH131" s="34" t="s">
        <v>16</v>
      </c>
      <c r="AI131" s="34" t="s">
        <v>16</v>
      </c>
      <c r="AJ131" s="34" t="s">
        <v>16</v>
      </c>
      <c r="AK131" s="34" t="s">
        <v>16</v>
      </c>
      <c r="AL131" s="34" t="s">
        <v>16</v>
      </c>
      <c r="AM131" s="34" t="s">
        <v>16</v>
      </c>
      <c r="AN131" s="34" t="s">
        <v>16</v>
      </c>
      <c r="AO131" s="34" t="s">
        <v>16</v>
      </c>
      <c r="AP131" s="34" t="s">
        <v>16</v>
      </c>
      <c r="AQ131" s="34" t="s">
        <v>16</v>
      </c>
      <c r="AR131" s="34" t="s">
        <v>16</v>
      </c>
      <c r="AS131" s="34" t="s">
        <v>16</v>
      </c>
      <c r="AT131" s="34" t="s">
        <v>16</v>
      </c>
      <c r="AU131" s="55" t="s">
        <v>16</v>
      </c>
      <c r="AV131" s="48" t="s">
        <v>18</v>
      </c>
      <c r="AW131" s="63" t="s">
        <v>16</v>
      </c>
      <c r="AX131" s="34">
        <v>758</v>
      </c>
      <c r="AY131" s="34" t="s">
        <v>16</v>
      </c>
      <c r="AZ131" s="34" t="s">
        <v>16</v>
      </c>
      <c r="BA131" s="34">
        <v>758</v>
      </c>
      <c r="BB131" s="34" t="s">
        <v>16</v>
      </c>
      <c r="BC131" s="34">
        <v>747</v>
      </c>
      <c r="BD131" s="34" t="s">
        <v>16</v>
      </c>
      <c r="BE131" s="34">
        <v>731</v>
      </c>
      <c r="BF131" s="34" t="s">
        <v>16</v>
      </c>
      <c r="BG131" s="34">
        <v>726</v>
      </c>
      <c r="BH131" s="34" t="s">
        <v>16</v>
      </c>
      <c r="BI131" s="34">
        <v>726</v>
      </c>
      <c r="BJ131" s="34">
        <v>726</v>
      </c>
      <c r="BK131" s="34">
        <v>726</v>
      </c>
      <c r="BL131" s="34">
        <v>726</v>
      </c>
      <c r="BM131" s="34">
        <v>722</v>
      </c>
      <c r="BN131" s="34">
        <v>716</v>
      </c>
      <c r="BO131" s="34">
        <v>707</v>
      </c>
      <c r="BP131" s="34">
        <v>695</v>
      </c>
      <c r="BQ131" s="34">
        <v>680</v>
      </c>
      <c r="BR131" s="34">
        <v>661</v>
      </c>
      <c r="BS131" s="34" t="s">
        <v>16</v>
      </c>
      <c r="BT131" s="34" t="s">
        <v>16</v>
      </c>
      <c r="BU131" s="34" t="s">
        <v>16</v>
      </c>
      <c r="BV131" s="34" t="s">
        <v>16</v>
      </c>
      <c r="BW131" s="34" t="s">
        <v>16</v>
      </c>
      <c r="BX131" s="34" t="s">
        <v>16</v>
      </c>
      <c r="BY131" s="34" t="s">
        <v>16</v>
      </c>
      <c r="BZ131" s="34" t="s">
        <v>16</v>
      </c>
      <c r="CA131" s="34" t="s">
        <v>16</v>
      </c>
      <c r="CB131" s="34" t="s">
        <v>16</v>
      </c>
      <c r="CC131" s="34" t="s">
        <v>16</v>
      </c>
      <c r="CD131" s="34" t="s">
        <v>16</v>
      </c>
      <c r="CE131" s="34" t="s">
        <v>16</v>
      </c>
      <c r="CF131" s="34" t="s">
        <v>16</v>
      </c>
      <c r="CG131" s="44" t="s">
        <v>16</v>
      </c>
      <c r="CH131" s="63" t="s">
        <v>16</v>
      </c>
      <c r="CI131" s="34">
        <v>655</v>
      </c>
      <c r="CJ131" s="34" t="s">
        <v>16</v>
      </c>
      <c r="CK131" s="34">
        <v>597</v>
      </c>
      <c r="CL131" s="34">
        <v>537</v>
      </c>
      <c r="CM131" s="34">
        <v>509</v>
      </c>
      <c r="CN131" s="34">
        <v>489</v>
      </c>
      <c r="CO131" s="34">
        <v>471</v>
      </c>
      <c r="CP131" s="34">
        <v>454</v>
      </c>
      <c r="CQ131" s="34">
        <v>440</v>
      </c>
      <c r="CR131" s="34">
        <v>428</v>
      </c>
      <c r="CS131" s="34">
        <v>418</v>
      </c>
      <c r="CT131" s="34">
        <v>408</v>
      </c>
      <c r="CU131" s="34">
        <v>399</v>
      </c>
      <c r="CV131" s="34">
        <v>391</v>
      </c>
      <c r="CW131" s="34">
        <v>383</v>
      </c>
      <c r="CX131" s="34">
        <v>375</v>
      </c>
      <c r="CY131" s="34">
        <v>369</v>
      </c>
      <c r="CZ131" s="34">
        <v>362</v>
      </c>
      <c r="DA131" s="34">
        <v>356</v>
      </c>
      <c r="DB131" s="34">
        <v>349</v>
      </c>
      <c r="DC131" s="34">
        <v>342</v>
      </c>
      <c r="DD131" s="34" t="s">
        <v>16</v>
      </c>
      <c r="DE131" s="34" t="s">
        <v>16</v>
      </c>
      <c r="DF131" s="34" t="s">
        <v>16</v>
      </c>
      <c r="DG131" s="34" t="s">
        <v>16</v>
      </c>
      <c r="DH131" s="34" t="s">
        <v>16</v>
      </c>
      <c r="DI131" s="34" t="s">
        <v>16</v>
      </c>
      <c r="DJ131" s="34" t="s">
        <v>16</v>
      </c>
      <c r="DK131" s="34" t="s">
        <v>16</v>
      </c>
      <c r="DL131" s="34" t="s">
        <v>16</v>
      </c>
      <c r="DM131" s="34" t="s">
        <v>16</v>
      </c>
      <c r="DN131" s="34" t="s">
        <v>16</v>
      </c>
      <c r="DO131" s="34" t="s">
        <v>16</v>
      </c>
      <c r="DP131" s="34" t="s">
        <v>16</v>
      </c>
      <c r="DQ131" s="34" t="s">
        <v>16</v>
      </c>
      <c r="DR131" s="55" t="s">
        <v>16</v>
      </c>
    </row>
    <row r="132" spans="1:122">
      <c r="A132" s="56" t="s">
        <v>176</v>
      </c>
      <c r="B132" s="56"/>
      <c r="C132" s="53" t="s">
        <v>94</v>
      </c>
      <c r="D132" s="53">
        <v>32</v>
      </c>
      <c r="E132" s="53">
        <v>38</v>
      </c>
      <c r="F132" s="53" t="s">
        <v>16</v>
      </c>
      <c r="G132" s="53" t="s">
        <v>17</v>
      </c>
      <c r="H132" s="72">
        <v>690</v>
      </c>
      <c r="I132" s="53">
        <v>345</v>
      </c>
      <c r="J132" s="53" t="s">
        <v>18</v>
      </c>
      <c r="K132" s="59" t="s">
        <v>16</v>
      </c>
      <c r="L132" s="34">
        <v>130</v>
      </c>
      <c r="M132" s="34" t="s">
        <v>16</v>
      </c>
      <c r="N132" s="34">
        <v>122</v>
      </c>
      <c r="O132" s="34">
        <v>114</v>
      </c>
      <c r="P132" s="34">
        <v>108</v>
      </c>
      <c r="Q132" s="34">
        <v>103</v>
      </c>
      <c r="R132" s="54">
        <v>99.2</v>
      </c>
      <c r="S132" s="34">
        <v>95.7</v>
      </c>
      <c r="T132" s="54">
        <v>92.6</v>
      </c>
      <c r="U132" s="34">
        <v>89.9</v>
      </c>
      <c r="V132" s="54">
        <v>87.8</v>
      </c>
      <c r="W132" s="34">
        <v>86.5</v>
      </c>
      <c r="X132" s="54">
        <v>86.2</v>
      </c>
      <c r="Y132" s="54">
        <v>86.2</v>
      </c>
      <c r="Z132" s="34">
        <v>86.2</v>
      </c>
      <c r="AA132" s="54">
        <v>86.2</v>
      </c>
      <c r="AB132" s="54">
        <v>86.2</v>
      </c>
      <c r="AC132" s="54">
        <v>86.2</v>
      </c>
      <c r="AD132" s="54">
        <v>86.2</v>
      </c>
      <c r="AE132" s="34">
        <v>86.2</v>
      </c>
      <c r="AF132" s="34">
        <v>86.2</v>
      </c>
      <c r="AG132" s="34">
        <v>86.2</v>
      </c>
      <c r="AH132" s="34" t="s">
        <v>16</v>
      </c>
      <c r="AI132" s="34" t="s">
        <v>16</v>
      </c>
      <c r="AJ132" s="34" t="s">
        <v>16</v>
      </c>
      <c r="AK132" s="34" t="s">
        <v>16</v>
      </c>
      <c r="AL132" s="34" t="s">
        <v>16</v>
      </c>
      <c r="AM132" s="34" t="s">
        <v>16</v>
      </c>
      <c r="AN132" s="34" t="s">
        <v>16</v>
      </c>
      <c r="AO132" s="34" t="s">
        <v>16</v>
      </c>
      <c r="AP132" s="34" t="s">
        <v>16</v>
      </c>
      <c r="AQ132" s="34" t="s">
        <v>16</v>
      </c>
      <c r="AR132" s="34" t="s">
        <v>16</v>
      </c>
      <c r="AS132" s="34" t="s">
        <v>16</v>
      </c>
      <c r="AT132" s="34" t="s">
        <v>16</v>
      </c>
      <c r="AU132" s="55" t="s">
        <v>16</v>
      </c>
      <c r="AV132" s="48" t="s">
        <v>18</v>
      </c>
      <c r="AW132" s="59" t="s">
        <v>16</v>
      </c>
      <c r="AX132" s="34" t="s">
        <v>16</v>
      </c>
      <c r="AY132" s="34" t="s">
        <v>16</v>
      </c>
      <c r="AZ132" s="34" t="s">
        <v>16</v>
      </c>
      <c r="BA132" s="34" t="s">
        <v>16</v>
      </c>
      <c r="BB132" s="34" t="s">
        <v>16</v>
      </c>
      <c r="BC132" s="34" t="s">
        <v>16</v>
      </c>
      <c r="BD132" s="34" t="s">
        <v>16</v>
      </c>
      <c r="BE132" s="34" t="s">
        <v>16</v>
      </c>
      <c r="BF132" s="34" t="s">
        <v>16</v>
      </c>
      <c r="BG132" s="34" t="s">
        <v>16</v>
      </c>
      <c r="BH132" s="34" t="s">
        <v>16</v>
      </c>
      <c r="BI132" s="34" t="s">
        <v>16</v>
      </c>
      <c r="BJ132" s="34" t="s">
        <v>16</v>
      </c>
      <c r="BK132" s="34" t="s">
        <v>16</v>
      </c>
      <c r="BL132" s="34" t="s">
        <v>16</v>
      </c>
      <c r="BM132" s="34" t="s">
        <v>16</v>
      </c>
      <c r="BN132" s="34" t="s">
        <v>16</v>
      </c>
      <c r="BO132" s="34" t="s">
        <v>16</v>
      </c>
      <c r="BP132" s="34" t="s">
        <v>16</v>
      </c>
      <c r="BQ132" s="34" t="s">
        <v>16</v>
      </c>
      <c r="BR132" s="34" t="s">
        <v>16</v>
      </c>
      <c r="BS132" s="34" t="s">
        <v>16</v>
      </c>
      <c r="BT132" s="34" t="s">
        <v>16</v>
      </c>
      <c r="BU132" s="34" t="s">
        <v>16</v>
      </c>
      <c r="BV132" s="34" t="s">
        <v>16</v>
      </c>
      <c r="BW132" s="34" t="s">
        <v>16</v>
      </c>
      <c r="BX132" s="34" t="s">
        <v>16</v>
      </c>
      <c r="BY132" s="34" t="s">
        <v>16</v>
      </c>
      <c r="BZ132" s="34" t="s">
        <v>16</v>
      </c>
      <c r="CA132" s="34" t="s">
        <v>16</v>
      </c>
      <c r="CB132" s="34" t="s">
        <v>16</v>
      </c>
      <c r="CC132" s="34" t="s">
        <v>16</v>
      </c>
      <c r="CD132" s="34" t="s">
        <v>16</v>
      </c>
      <c r="CE132" s="34" t="s">
        <v>16</v>
      </c>
      <c r="CF132" s="34" t="s">
        <v>16</v>
      </c>
      <c r="CG132" s="44" t="s">
        <v>16</v>
      </c>
      <c r="CH132" s="63" t="s">
        <v>16</v>
      </c>
      <c r="CI132" s="34">
        <v>345</v>
      </c>
      <c r="CJ132" s="34" t="s">
        <v>16</v>
      </c>
      <c r="CK132" s="34">
        <v>307</v>
      </c>
      <c r="CL132" s="34">
        <v>283</v>
      </c>
      <c r="CM132" s="34">
        <v>268</v>
      </c>
      <c r="CN132" s="34">
        <v>257</v>
      </c>
      <c r="CO132" s="34">
        <v>247</v>
      </c>
      <c r="CP132" s="34">
        <v>240</v>
      </c>
      <c r="CQ132" s="34">
        <v>232</v>
      </c>
      <c r="CR132" s="34">
        <v>225</v>
      </c>
      <c r="CS132" s="34">
        <v>220</v>
      </c>
      <c r="CT132" s="34">
        <v>215</v>
      </c>
      <c r="CU132" s="34">
        <v>210</v>
      </c>
      <c r="CV132" s="34">
        <v>205</v>
      </c>
      <c r="CW132" s="34">
        <v>202</v>
      </c>
      <c r="CX132" s="34">
        <v>197</v>
      </c>
      <c r="CY132" s="34">
        <v>195</v>
      </c>
      <c r="CZ132" s="34">
        <v>190</v>
      </c>
      <c r="DA132" s="34">
        <v>187</v>
      </c>
      <c r="DB132" s="34">
        <v>183</v>
      </c>
      <c r="DC132" s="34">
        <v>180</v>
      </c>
      <c r="DD132" s="34" t="s">
        <v>16</v>
      </c>
      <c r="DE132" s="34" t="s">
        <v>16</v>
      </c>
      <c r="DF132" s="34" t="s">
        <v>16</v>
      </c>
      <c r="DG132" s="34" t="s">
        <v>16</v>
      </c>
      <c r="DH132" s="34" t="s">
        <v>16</v>
      </c>
      <c r="DI132" s="34" t="s">
        <v>16</v>
      </c>
      <c r="DJ132" s="34" t="s">
        <v>16</v>
      </c>
      <c r="DK132" s="34" t="s">
        <v>16</v>
      </c>
      <c r="DL132" s="34" t="s">
        <v>16</v>
      </c>
      <c r="DM132" s="34" t="s">
        <v>16</v>
      </c>
      <c r="DN132" s="34" t="s">
        <v>16</v>
      </c>
      <c r="DO132" s="34" t="s">
        <v>16</v>
      </c>
      <c r="DP132" s="34" t="s">
        <v>16</v>
      </c>
      <c r="DQ132" s="34" t="s">
        <v>16</v>
      </c>
      <c r="DR132" s="55" t="s">
        <v>16</v>
      </c>
    </row>
    <row r="133" spans="1:122">
      <c r="A133" s="56" t="s">
        <v>176</v>
      </c>
      <c r="B133" s="56"/>
      <c r="C133" s="53" t="s">
        <v>94</v>
      </c>
      <c r="D133" s="53">
        <v>25</v>
      </c>
      <c r="E133" s="53">
        <v>32</v>
      </c>
      <c r="F133" s="53" t="s">
        <v>16</v>
      </c>
      <c r="G133" s="53" t="str">
        <f>G132</f>
        <v>ASTM</v>
      </c>
      <c r="H133" s="72">
        <v>725</v>
      </c>
      <c r="I133" s="53">
        <v>450</v>
      </c>
      <c r="J133" s="53" t="str">
        <f>J132</f>
        <v>ASME</v>
      </c>
      <c r="K133" s="59" t="s">
        <v>16</v>
      </c>
      <c r="L133" s="34">
        <v>130</v>
      </c>
      <c r="M133" s="34" t="s">
        <v>16</v>
      </c>
      <c r="N133" s="34">
        <v>121</v>
      </c>
      <c r="O133" s="34">
        <v>115</v>
      </c>
      <c r="P133" s="34">
        <v>144</v>
      </c>
      <c r="Q133" s="34">
        <v>112</v>
      </c>
      <c r="R133" s="34">
        <v>112</v>
      </c>
      <c r="S133" s="34">
        <v>112</v>
      </c>
      <c r="T133" s="34">
        <v>112</v>
      </c>
      <c r="U133" s="34">
        <v>112</v>
      </c>
      <c r="V133" s="34">
        <v>112</v>
      </c>
      <c r="W133" s="34">
        <v>112</v>
      </c>
      <c r="X133" s="34">
        <v>112</v>
      </c>
      <c r="Y133" s="34">
        <v>112</v>
      </c>
      <c r="Z133" s="34">
        <v>112</v>
      </c>
      <c r="AA133" s="34">
        <v>112</v>
      </c>
      <c r="AB133" s="34">
        <v>112</v>
      </c>
      <c r="AC133" s="34">
        <v>112</v>
      </c>
      <c r="AD133" s="34">
        <v>112</v>
      </c>
      <c r="AE133" s="34">
        <v>112</v>
      </c>
      <c r="AF133" s="34">
        <v>112</v>
      </c>
      <c r="AG133" s="34">
        <v>112</v>
      </c>
      <c r="AH133" s="34" t="s">
        <v>16</v>
      </c>
      <c r="AI133" s="34" t="s">
        <v>16</v>
      </c>
      <c r="AJ133" s="34" t="s">
        <v>16</v>
      </c>
      <c r="AK133" s="34" t="s">
        <v>16</v>
      </c>
      <c r="AL133" s="34" t="s">
        <v>16</v>
      </c>
      <c r="AM133" s="34" t="s">
        <v>16</v>
      </c>
      <c r="AN133" s="34" t="s">
        <v>16</v>
      </c>
      <c r="AO133" s="34" t="s">
        <v>16</v>
      </c>
      <c r="AP133" s="34" t="s">
        <v>16</v>
      </c>
      <c r="AQ133" s="34" t="s">
        <v>16</v>
      </c>
      <c r="AR133" s="34" t="s">
        <v>16</v>
      </c>
      <c r="AS133" s="34" t="s">
        <v>16</v>
      </c>
      <c r="AT133" s="34" t="s">
        <v>16</v>
      </c>
      <c r="AU133" s="55" t="s">
        <v>16</v>
      </c>
      <c r="AV133" s="48" t="s">
        <v>18</v>
      </c>
      <c r="AW133" s="59" t="s">
        <v>16</v>
      </c>
      <c r="AX133" s="34" t="s">
        <v>16</v>
      </c>
      <c r="AY133" s="34" t="s">
        <v>16</v>
      </c>
      <c r="AZ133" s="34" t="s">
        <v>16</v>
      </c>
      <c r="BA133" s="34" t="s">
        <v>16</v>
      </c>
      <c r="BB133" s="34" t="s">
        <v>16</v>
      </c>
      <c r="BC133" s="34" t="s">
        <v>16</v>
      </c>
      <c r="BD133" s="34" t="s">
        <v>16</v>
      </c>
      <c r="BE133" s="34" t="s">
        <v>16</v>
      </c>
      <c r="BF133" s="34" t="s">
        <v>16</v>
      </c>
      <c r="BG133" s="34" t="s">
        <v>16</v>
      </c>
      <c r="BH133" s="34" t="s">
        <v>16</v>
      </c>
      <c r="BI133" s="34" t="s">
        <v>16</v>
      </c>
      <c r="BJ133" s="34" t="s">
        <v>16</v>
      </c>
      <c r="BK133" s="34" t="s">
        <v>16</v>
      </c>
      <c r="BL133" s="34" t="s">
        <v>16</v>
      </c>
      <c r="BM133" s="34" t="s">
        <v>16</v>
      </c>
      <c r="BN133" s="34" t="s">
        <v>16</v>
      </c>
      <c r="BO133" s="34" t="s">
        <v>16</v>
      </c>
      <c r="BP133" s="34" t="s">
        <v>16</v>
      </c>
      <c r="BQ133" s="34" t="s">
        <v>16</v>
      </c>
      <c r="BR133" s="34" t="s">
        <v>16</v>
      </c>
      <c r="BS133" s="34" t="s">
        <v>16</v>
      </c>
      <c r="BT133" s="34" t="s">
        <v>16</v>
      </c>
      <c r="BU133" s="34" t="s">
        <v>16</v>
      </c>
      <c r="BV133" s="34" t="s">
        <v>16</v>
      </c>
      <c r="BW133" s="34" t="s">
        <v>16</v>
      </c>
      <c r="BX133" s="34" t="s">
        <v>16</v>
      </c>
      <c r="BY133" s="34" t="s">
        <v>16</v>
      </c>
      <c r="BZ133" s="34" t="s">
        <v>16</v>
      </c>
      <c r="CA133" s="34" t="s">
        <v>16</v>
      </c>
      <c r="CB133" s="34" t="s">
        <v>16</v>
      </c>
      <c r="CC133" s="34" t="s">
        <v>16</v>
      </c>
      <c r="CD133" s="34" t="s">
        <v>16</v>
      </c>
      <c r="CE133" s="34" t="s">
        <v>16</v>
      </c>
      <c r="CF133" s="34" t="s">
        <v>16</v>
      </c>
      <c r="CG133" s="44" t="s">
        <v>16</v>
      </c>
      <c r="CH133" s="63" t="s">
        <v>16</v>
      </c>
      <c r="CI133" s="34">
        <v>448</v>
      </c>
      <c r="CJ133" s="34" t="s">
        <v>16</v>
      </c>
      <c r="CK133" s="34">
        <v>398</v>
      </c>
      <c r="CL133" s="34">
        <v>368</v>
      </c>
      <c r="CM133" s="34">
        <v>348</v>
      </c>
      <c r="CN133" s="34">
        <v>333</v>
      </c>
      <c r="CO133" s="34">
        <v>320</v>
      </c>
      <c r="CP133" s="34">
        <v>312</v>
      </c>
      <c r="CQ133" s="34">
        <v>301</v>
      </c>
      <c r="CR133" s="34">
        <v>292</v>
      </c>
      <c r="CS133" s="34">
        <v>286</v>
      </c>
      <c r="CT133" s="34">
        <v>279</v>
      </c>
      <c r="CU133" s="34">
        <v>273</v>
      </c>
      <c r="CV133" s="34">
        <v>266</v>
      </c>
      <c r="CW133" s="34">
        <v>262</v>
      </c>
      <c r="CX133" s="34">
        <v>255</v>
      </c>
      <c r="CY133" s="34">
        <v>253</v>
      </c>
      <c r="CZ133" s="34">
        <v>247</v>
      </c>
      <c r="DA133" s="34">
        <v>242</v>
      </c>
      <c r="DB133" s="34">
        <v>238</v>
      </c>
      <c r="DC133" s="34">
        <v>234</v>
      </c>
      <c r="DD133" s="34" t="s">
        <v>16</v>
      </c>
      <c r="DE133" s="34" t="s">
        <v>16</v>
      </c>
      <c r="DF133" s="34" t="s">
        <v>16</v>
      </c>
      <c r="DG133" s="34" t="s">
        <v>16</v>
      </c>
      <c r="DH133" s="34" t="s">
        <v>16</v>
      </c>
      <c r="DI133" s="34" t="s">
        <v>16</v>
      </c>
      <c r="DJ133" s="34" t="s">
        <v>16</v>
      </c>
      <c r="DK133" s="34" t="s">
        <v>16</v>
      </c>
      <c r="DL133" s="34" t="s">
        <v>16</v>
      </c>
      <c r="DM133" s="34" t="s">
        <v>16</v>
      </c>
      <c r="DN133" s="34" t="s">
        <v>16</v>
      </c>
      <c r="DO133" s="34" t="s">
        <v>16</v>
      </c>
      <c r="DP133" s="34" t="s">
        <v>16</v>
      </c>
      <c r="DQ133" s="34" t="s">
        <v>16</v>
      </c>
      <c r="DR133" s="55" t="s">
        <v>16</v>
      </c>
    </row>
    <row r="134" spans="1:122">
      <c r="A134" s="56" t="s">
        <v>176</v>
      </c>
      <c r="B134" s="56"/>
      <c r="C134" s="53" t="s">
        <v>94</v>
      </c>
      <c r="D134" s="53">
        <v>19</v>
      </c>
      <c r="E134" s="53">
        <v>25</v>
      </c>
      <c r="F134" s="53" t="s">
        <v>16</v>
      </c>
      <c r="G134" s="53" t="str">
        <f>G133</f>
        <v>ASTM</v>
      </c>
      <c r="H134" s="72">
        <v>795</v>
      </c>
      <c r="I134" s="53">
        <v>550</v>
      </c>
      <c r="J134" s="53" t="str">
        <f>J133</f>
        <v>ASME</v>
      </c>
      <c r="K134" s="59" t="s">
        <v>16</v>
      </c>
      <c r="L134" s="34">
        <v>138</v>
      </c>
      <c r="M134" s="34" t="s">
        <v>16</v>
      </c>
      <c r="N134" s="34">
        <v>138</v>
      </c>
      <c r="O134" s="34">
        <v>138</v>
      </c>
      <c r="P134" s="34">
        <v>138</v>
      </c>
      <c r="Q134" s="34">
        <v>138</v>
      </c>
      <c r="R134" s="34">
        <v>138</v>
      </c>
      <c r="S134" s="34">
        <v>138</v>
      </c>
      <c r="T134" s="34">
        <v>138</v>
      </c>
      <c r="U134" s="34">
        <v>138</v>
      </c>
      <c r="V134" s="34">
        <v>138</v>
      </c>
      <c r="W134" s="34">
        <v>138</v>
      </c>
      <c r="X134" s="34">
        <v>138</v>
      </c>
      <c r="Y134" s="34">
        <v>138</v>
      </c>
      <c r="Z134" s="34">
        <v>138</v>
      </c>
      <c r="AA134" s="34">
        <v>138</v>
      </c>
      <c r="AB134" s="34">
        <v>138</v>
      </c>
      <c r="AC134" s="34">
        <v>138</v>
      </c>
      <c r="AD134" s="34">
        <v>138</v>
      </c>
      <c r="AE134" s="34">
        <v>138</v>
      </c>
      <c r="AF134" s="34">
        <v>138</v>
      </c>
      <c r="AG134" s="34">
        <v>138</v>
      </c>
      <c r="AH134" s="34" t="s">
        <v>16</v>
      </c>
      <c r="AI134" s="34" t="s">
        <v>16</v>
      </c>
      <c r="AJ134" s="34" t="s">
        <v>16</v>
      </c>
      <c r="AK134" s="34" t="s">
        <v>16</v>
      </c>
      <c r="AL134" s="34" t="s">
        <v>16</v>
      </c>
      <c r="AM134" s="34" t="s">
        <v>16</v>
      </c>
      <c r="AN134" s="34" t="s">
        <v>16</v>
      </c>
      <c r="AO134" s="34" t="s">
        <v>16</v>
      </c>
      <c r="AP134" s="34" t="s">
        <v>16</v>
      </c>
      <c r="AQ134" s="34" t="s">
        <v>16</v>
      </c>
      <c r="AR134" s="34" t="s">
        <v>16</v>
      </c>
      <c r="AS134" s="34" t="s">
        <v>16</v>
      </c>
      <c r="AT134" s="34" t="s">
        <v>16</v>
      </c>
      <c r="AU134" s="55" t="s">
        <v>16</v>
      </c>
      <c r="AV134" s="48" t="s">
        <v>18</v>
      </c>
      <c r="AW134" s="59" t="s">
        <v>16</v>
      </c>
      <c r="AX134" s="34" t="s">
        <v>16</v>
      </c>
      <c r="AY134" s="34" t="s">
        <v>16</v>
      </c>
      <c r="AZ134" s="34" t="s">
        <v>16</v>
      </c>
      <c r="BA134" s="34" t="s">
        <v>16</v>
      </c>
      <c r="BB134" s="34" t="s">
        <v>16</v>
      </c>
      <c r="BC134" s="34" t="s">
        <v>16</v>
      </c>
      <c r="BD134" s="34" t="s">
        <v>16</v>
      </c>
      <c r="BE134" s="34" t="s">
        <v>16</v>
      </c>
      <c r="BF134" s="34" t="s">
        <v>16</v>
      </c>
      <c r="BG134" s="34" t="s">
        <v>16</v>
      </c>
      <c r="BH134" s="34" t="s">
        <v>16</v>
      </c>
      <c r="BI134" s="34" t="s">
        <v>16</v>
      </c>
      <c r="BJ134" s="34" t="s">
        <v>16</v>
      </c>
      <c r="BK134" s="34" t="s">
        <v>16</v>
      </c>
      <c r="BL134" s="34" t="s">
        <v>16</v>
      </c>
      <c r="BM134" s="34" t="s">
        <v>16</v>
      </c>
      <c r="BN134" s="34" t="s">
        <v>16</v>
      </c>
      <c r="BO134" s="34" t="s">
        <v>16</v>
      </c>
      <c r="BP134" s="34" t="s">
        <v>16</v>
      </c>
      <c r="BQ134" s="34" t="s">
        <v>16</v>
      </c>
      <c r="BR134" s="34" t="s">
        <v>16</v>
      </c>
      <c r="BS134" s="34" t="s">
        <v>16</v>
      </c>
      <c r="BT134" s="34" t="s">
        <v>16</v>
      </c>
      <c r="BU134" s="34" t="s">
        <v>16</v>
      </c>
      <c r="BV134" s="34" t="s">
        <v>16</v>
      </c>
      <c r="BW134" s="34" t="s">
        <v>16</v>
      </c>
      <c r="BX134" s="34" t="s">
        <v>16</v>
      </c>
      <c r="BY134" s="34" t="s">
        <v>16</v>
      </c>
      <c r="BZ134" s="34" t="s">
        <v>16</v>
      </c>
      <c r="CA134" s="34" t="s">
        <v>16</v>
      </c>
      <c r="CB134" s="34" t="s">
        <v>16</v>
      </c>
      <c r="CC134" s="34" t="s">
        <v>16</v>
      </c>
      <c r="CD134" s="34" t="s">
        <v>16</v>
      </c>
      <c r="CE134" s="34" t="s">
        <v>16</v>
      </c>
      <c r="CF134" s="34" t="s">
        <v>16</v>
      </c>
      <c r="CG134" s="44" t="s">
        <v>16</v>
      </c>
      <c r="CH134" s="63" t="s">
        <v>16</v>
      </c>
      <c r="CI134" s="34">
        <v>552</v>
      </c>
      <c r="CJ134" s="34" t="s">
        <v>16</v>
      </c>
      <c r="CK134" s="34">
        <v>491</v>
      </c>
      <c r="CL134" s="34">
        <v>453</v>
      </c>
      <c r="CM134" s="34">
        <v>429</v>
      </c>
      <c r="CN134" s="34">
        <v>411</v>
      </c>
      <c r="CO134" s="34">
        <v>395</v>
      </c>
      <c r="CP134" s="34">
        <v>384</v>
      </c>
      <c r="CQ134" s="34">
        <v>371</v>
      </c>
      <c r="CR134" s="34">
        <v>360</v>
      </c>
      <c r="CS134" s="34">
        <v>352</v>
      </c>
      <c r="CT134" s="34">
        <v>344</v>
      </c>
      <c r="CU134" s="34">
        <v>336</v>
      </c>
      <c r="CV134" s="34">
        <v>328</v>
      </c>
      <c r="CW134" s="34">
        <v>323</v>
      </c>
      <c r="CX134" s="34">
        <v>315</v>
      </c>
      <c r="CY134" s="34">
        <v>312</v>
      </c>
      <c r="CZ134" s="34">
        <v>304</v>
      </c>
      <c r="DA134" s="34">
        <v>299</v>
      </c>
      <c r="DB134" s="34">
        <v>293</v>
      </c>
      <c r="DC134" s="34">
        <v>288</v>
      </c>
      <c r="DD134" s="34" t="s">
        <v>16</v>
      </c>
      <c r="DE134" s="34" t="s">
        <v>16</v>
      </c>
      <c r="DF134" s="34" t="s">
        <v>16</v>
      </c>
      <c r="DG134" s="34" t="s">
        <v>16</v>
      </c>
      <c r="DH134" s="34" t="s">
        <v>16</v>
      </c>
      <c r="DI134" s="34" t="s">
        <v>16</v>
      </c>
      <c r="DJ134" s="34" t="s">
        <v>16</v>
      </c>
      <c r="DK134" s="34" t="s">
        <v>16</v>
      </c>
      <c r="DL134" s="34" t="s">
        <v>16</v>
      </c>
      <c r="DM134" s="34" t="s">
        <v>16</v>
      </c>
      <c r="DN134" s="34" t="s">
        <v>16</v>
      </c>
      <c r="DO134" s="34" t="s">
        <v>16</v>
      </c>
      <c r="DP134" s="34" t="s">
        <v>16</v>
      </c>
      <c r="DQ134" s="34" t="s">
        <v>16</v>
      </c>
      <c r="DR134" s="55" t="s">
        <v>16</v>
      </c>
    </row>
    <row r="135" spans="1:122">
      <c r="A135" s="56" t="s">
        <v>176</v>
      </c>
      <c r="B135" s="56"/>
      <c r="C135" s="53" t="s">
        <v>94</v>
      </c>
      <c r="D135" s="53" t="s">
        <v>16</v>
      </c>
      <c r="E135" s="53">
        <v>19</v>
      </c>
      <c r="F135" s="53" t="s">
        <v>16</v>
      </c>
      <c r="G135" s="53" t="str">
        <f>G134</f>
        <v>ASTM</v>
      </c>
      <c r="H135" s="72">
        <v>860</v>
      </c>
      <c r="I135" s="53">
        <v>690</v>
      </c>
      <c r="J135" s="53" t="str">
        <f>J134</f>
        <v>ASME</v>
      </c>
      <c r="K135" s="59" t="s">
        <v>16</v>
      </c>
      <c r="L135" s="34">
        <v>172</v>
      </c>
      <c r="M135" s="34" t="s">
        <v>16</v>
      </c>
      <c r="N135" s="34">
        <v>172</v>
      </c>
      <c r="O135" s="34">
        <v>172</v>
      </c>
      <c r="P135" s="34">
        <v>172</v>
      </c>
      <c r="Q135" s="34">
        <v>172</v>
      </c>
      <c r="R135" s="34">
        <v>172</v>
      </c>
      <c r="S135" s="34">
        <v>172</v>
      </c>
      <c r="T135" s="34">
        <v>172</v>
      </c>
      <c r="U135" s="34">
        <v>172</v>
      </c>
      <c r="V135" s="34">
        <v>172</v>
      </c>
      <c r="W135" s="34">
        <v>172</v>
      </c>
      <c r="X135" s="34">
        <v>172</v>
      </c>
      <c r="Y135" s="34">
        <v>172</v>
      </c>
      <c r="Z135" s="34">
        <v>172</v>
      </c>
      <c r="AA135" s="34">
        <v>172</v>
      </c>
      <c r="AB135" s="34">
        <v>172</v>
      </c>
      <c r="AC135" s="34">
        <v>172</v>
      </c>
      <c r="AD135" s="34">
        <v>172</v>
      </c>
      <c r="AE135" s="34">
        <v>172</v>
      </c>
      <c r="AF135" s="34">
        <v>169</v>
      </c>
      <c r="AG135" s="34">
        <v>164</v>
      </c>
      <c r="AH135" s="34" t="s">
        <v>16</v>
      </c>
      <c r="AI135" s="34" t="s">
        <v>16</v>
      </c>
      <c r="AJ135" s="34" t="s">
        <v>16</v>
      </c>
      <c r="AK135" s="34" t="s">
        <v>16</v>
      </c>
      <c r="AL135" s="34" t="s">
        <v>16</v>
      </c>
      <c r="AM135" s="34" t="s">
        <v>16</v>
      </c>
      <c r="AN135" s="34" t="s">
        <v>16</v>
      </c>
      <c r="AO135" s="34" t="s">
        <v>16</v>
      </c>
      <c r="AP135" s="34" t="s">
        <v>16</v>
      </c>
      <c r="AQ135" s="34" t="s">
        <v>16</v>
      </c>
      <c r="AR135" s="34" t="s">
        <v>16</v>
      </c>
      <c r="AS135" s="34" t="s">
        <v>16</v>
      </c>
      <c r="AT135" s="34" t="s">
        <v>16</v>
      </c>
      <c r="AU135" s="55" t="s">
        <v>16</v>
      </c>
      <c r="AV135" s="48" t="s">
        <v>18</v>
      </c>
      <c r="AW135" s="59" t="s">
        <v>16</v>
      </c>
      <c r="AX135" s="34" t="s">
        <v>16</v>
      </c>
      <c r="AY135" s="34" t="s">
        <v>16</v>
      </c>
      <c r="AZ135" s="34" t="s">
        <v>16</v>
      </c>
      <c r="BA135" s="34" t="s">
        <v>16</v>
      </c>
      <c r="BB135" s="34" t="s">
        <v>16</v>
      </c>
      <c r="BC135" s="34" t="s">
        <v>16</v>
      </c>
      <c r="BD135" s="34" t="s">
        <v>16</v>
      </c>
      <c r="BE135" s="34" t="s">
        <v>16</v>
      </c>
      <c r="BF135" s="34" t="s">
        <v>16</v>
      </c>
      <c r="BG135" s="34" t="s">
        <v>16</v>
      </c>
      <c r="BH135" s="34" t="s">
        <v>16</v>
      </c>
      <c r="BI135" s="34" t="s">
        <v>16</v>
      </c>
      <c r="BJ135" s="34" t="s">
        <v>16</v>
      </c>
      <c r="BK135" s="34" t="s">
        <v>16</v>
      </c>
      <c r="BL135" s="34" t="s">
        <v>16</v>
      </c>
      <c r="BM135" s="34" t="s">
        <v>16</v>
      </c>
      <c r="BN135" s="34" t="s">
        <v>16</v>
      </c>
      <c r="BO135" s="34" t="s">
        <v>16</v>
      </c>
      <c r="BP135" s="34" t="s">
        <v>16</v>
      </c>
      <c r="BQ135" s="34" t="s">
        <v>16</v>
      </c>
      <c r="BR135" s="34" t="s">
        <v>16</v>
      </c>
      <c r="BS135" s="34" t="s">
        <v>16</v>
      </c>
      <c r="BT135" s="34" t="s">
        <v>16</v>
      </c>
      <c r="BU135" s="34" t="s">
        <v>16</v>
      </c>
      <c r="BV135" s="34" t="s">
        <v>16</v>
      </c>
      <c r="BW135" s="34" t="s">
        <v>16</v>
      </c>
      <c r="BX135" s="34" t="s">
        <v>16</v>
      </c>
      <c r="BY135" s="34" t="s">
        <v>16</v>
      </c>
      <c r="BZ135" s="34" t="s">
        <v>16</v>
      </c>
      <c r="CA135" s="34" t="s">
        <v>16</v>
      </c>
      <c r="CB135" s="34" t="s">
        <v>16</v>
      </c>
      <c r="CC135" s="34" t="s">
        <v>16</v>
      </c>
      <c r="CD135" s="34" t="s">
        <v>16</v>
      </c>
      <c r="CE135" s="34" t="s">
        <v>16</v>
      </c>
      <c r="CF135" s="34" t="s">
        <v>16</v>
      </c>
      <c r="CG135" s="44" t="s">
        <v>16</v>
      </c>
      <c r="CH135" s="63" t="s">
        <v>16</v>
      </c>
      <c r="CI135" s="34">
        <v>689</v>
      </c>
      <c r="CJ135" s="34" t="s">
        <v>16</v>
      </c>
      <c r="CK135" s="34">
        <v>612</v>
      </c>
      <c r="CL135" s="34">
        <v>566</v>
      </c>
      <c r="CM135" s="34">
        <v>536</v>
      </c>
      <c r="CN135" s="34">
        <v>513</v>
      </c>
      <c r="CO135" s="34">
        <v>493</v>
      </c>
      <c r="CP135" s="34">
        <v>479</v>
      </c>
      <c r="CQ135" s="34">
        <v>463</v>
      </c>
      <c r="CR135" s="34">
        <v>449</v>
      </c>
      <c r="CS135" s="34">
        <v>439</v>
      </c>
      <c r="CT135" s="34">
        <v>429</v>
      </c>
      <c r="CU135" s="34">
        <v>419</v>
      </c>
      <c r="CV135" s="34">
        <v>409</v>
      </c>
      <c r="CW135" s="34">
        <v>403</v>
      </c>
      <c r="CX135" s="34">
        <v>393</v>
      </c>
      <c r="CY135" s="34">
        <v>389</v>
      </c>
      <c r="CZ135" s="34">
        <v>379</v>
      </c>
      <c r="DA135" s="34">
        <v>373</v>
      </c>
      <c r="DB135" s="34">
        <v>366</v>
      </c>
      <c r="DC135" s="34">
        <v>359</v>
      </c>
      <c r="DD135" s="34" t="s">
        <v>16</v>
      </c>
      <c r="DE135" s="34" t="s">
        <v>16</v>
      </c>
      <c r="DF135" s="34" t="s">
        <v>16</v>
      </c>
      <c r="DG135" s="34" t="s">
        <v>16</v>
      </c>
      <c r="DH135" s="34" t="s">
        <v>16</v>
      </c>
      <c r="DI135" s="34" t="s">
        <v>16</v>
      </c>
      <c r="DJ135" s="34" t="s">
        <v>16</v>
      </c>
      <c r="DK135" s="34" t="s">
        <v>16</v>
      </c>
      <c r="DL135" s="34" t="s">
        <v>16</v>
      </c>
      <c r="DM135" s="34" t="s">
        <v>16</v>
      </c>
      <c r="DN135" s="34" t="s">
        <v>16</v>
      </c>
      <c r="DO135" s="34" t="s">
        <v>16</v>
      </c>
      <c r="DP135" s="34" t="s">
        <v>16</v>
      </c>
      <c r="DQ135" s="34" t="s">
        <v>16</v>
      </c>
      <c r="DR135" s="55" t="s">
        <v>16</v>
      </c>
    </row>
    <row r="136" spans="1:122">
      <c r="A136" s="56" t="s">
        <v>177</v>
      </c>
      <c r="B136" s="56"/>
      <c r="C136" s="53" t="s">
        <v>94</v>
      </c>
      <c r="D136" s="53" t="s">
        <v>16</v>
      </c>
      <c r="E136" s="53" t="s">
        <v>16</v>
      </c>
      <c r="F136" s="53" t="s">
        <v>178</v>
      </c>
      <c r="G136" s="53" t="s">
        <v>17</v>
      </c>
      <c r="H136" s="72">
        <v>760</v>
      </c>
      <c r="I136" s="56">
        <v>585</v>
      </c>
      <c r="J136" s="53" t="s">
        <v>18</v>
      </c>
      <c r="K136" s="63" t="s">
        <v>16</v>
      </c>
      <c r="L136" s="34">
        <v>147</v>
      </c>
      <c r="M136" s="34" t="s">
        <v>16</v>
      </c>
      <c r="N136" s="54">
        <v>147</v>
      </c>
      <c r="O136" s="54">
        <v>147</v>
      </c>
      <c r="P136" s="54">
        <v>147</v>
      </c>
      <c r="Q136" s="54">
        <v>147</v>
      </c>
      <c r="R136" s="54">
        <v>147</v>
      </c>
      <c r="S136" s="54">
        <v>147</v>
      </c>
      <c r="T136" s="54">
        <v>147</v>
      </c>
      <c r="U136" s="54">
        <v>147</v>
      </c>
      <c r="V136" s="54">
        <v>147</v>
      </c>
      <c r="W136" s="54">
        <v>147</v>
      </c>
      <c r="X136" s="54">
        <v>147</v>
      </c>
      <c r="Y136" s="54">
        <v>147</v>
      </c>
      <c r="Z136" s="54">
        <v>147</v>
      </c>
      <c r="AA136" s="54">
        <v>147</v>
      </c>
      <c r="AB136" s="54">
        <v>147</v>
      </c>
      <c r="AC136" s="54">
        <v>125</v>
      </c>
      <c r="AD136" s="34">
        <v>92.4</v>
      </c>
      <c r="AE136" s="34">
        <v>68.400000000000006</v>
      </c>
      <c r="AF136" s="34" t="s">
        <v>16</v>
      </c>
      <c r="AG136" s="34" t="s">
        <v>16</v>
      </c>
      <c r="AH136" s="34" t="s">
        <v>16</v>
      </c>
      <c r="AI136" s="34" t="s">
        <v>16</v>
      </c>
      <c r="AJ136" s="34" t="s">
        <v>16</v>
      </c>
      <c r="AK136" s="34" t="s">
        <v>16</v>
      </c>
      <c r="AL136" s="34" t="s">
        <v>16</v>
      </c>
      <c r="AM136" s="34" t="s">
        <v>16</v>
      </c>
      <c r="AN136" s="34" t="s">
        <v>16</v>
      </c>
      <c r="AO136" s="34" t="s">
        <v>16</v>
      </c>
      <c r="AP136" s="34" t="s">
        <v>16</v>
      </c>
      <c r="AQ136" s="34" t="s">
        <v>16</v>
      </c>
      <c r="AR136" s="34" t="s">
        <v>16</v>
      </c>
      <c r="AS136" s="34" t="s">
        <v>16</v>
      </c>
      <c r="AT136" s="34" t="s">
        <v>16</v>
      </c>
      <c r="AU136" s="55" t="s">
        <v>16</v>
      </c>
      <c r="AV136" s="48" t="s">
        <v>18</v>
      </c>
      <c r="AW136" s="63" t="s">
        <v>16</v>
      </c>
      <c r="AX136" s="34">
        <v>758</v>
      </c>
      <c r="AY136" s="34" t="s">
        <v>16</v>
      </c>
      <c r="AZ136" s="34" t="s">
        <v>16</v>
      </c>
      <c r="BA136" s="34">
        <v>758</v>
      </c>
      <c r="BB136" s="34" t="s">
        <v>16</v>
      </c>
      <c r="BC136" s="34">
        <v>752</v>
      </c>
      <c r="BD136" s="34" t="s">
        <v>16</v>
      </c>
      <c r="BE136" s="34">
        <v>737</v>
      </c>
      <c r="BF136" s="34" t="s">
        <v>16</v>
      </c>
      <c r="BG136" s="34">
        <v>724</v>
      </c>
      <c r="BH136" s="34" t="s">
        <v>16</v>
      </c>
      <c r="BI136" s="34">
        <v>709</v>
      </c>
      <c r="BJ136" s="34">
        <v>699</v>
      </c>
      <c r="BK136" s="34">
        <v>687</v>
      </c>
      <c r="BL136" s="34">
        <v>671</v>
      </c>
      <c r="BM136" s="34">
        <v>652</v>
      </c>
      <c r="BN136" s="34">
        <v>628</v>
      </c>
      <c r="BO136" s="34">
        <v>601</v>
      </c>
      <c r="BP136" s="34">
        <v>569</v>
      </c>
      <c r="BQ136" s="34">
        <v>533</v>
      </c>
      <c r="BR136" s="34">
        <v>493</v>
      </c>
      <c r="BS136" s="34" t="s">
        <v>16</v>
      </c>
      <c r="BT136" s="34" t="s">
        <v>16</v>
      </c>
      <c r="BU136" s="34" t="s">
        <v>16</v>
      </c>
      <c r="BV136" s="34" t="s">
        <v>16</v>
      </c>
      <c r="BW136" s="34" t="s">
        <v>16</v>
      </c>
      <c r="BX136" s="34" t="s">
        <v>16</v>
      </c>
      <c r="BY136" s="34" t="s">
        <v>16</v>
      </c>
      <c r="BZ136" s="34" t="s">
        <v>16</v>
      </c>
      <c r="CA136" s="34" t="s">
        <v>16</v>
      </c>
      <c r="CB136" s="34" t="s">
        <v>16</v>
      </c>
      <c r="CC136" s="34" t="s">
        <v>16</v>
      </c>
      <c r="CD136" s="34" t="s">
        <v>16</v>
      </c>
      <c r="CE136" s="34" t="s">
        <v>16</v>
      </c>
      <c r="CF136" s="34" t="s">
        <v>16</v>
      </c>
      <c r="CG136" s="44" t="s">
        <v>16</v>
      </c>
      <c r="CH136" s="63" t="s">
        <v>16</v>
      </c>
      <c r="CI136" s="34">
        <v>586</v>
      </c>
      <c r="CJ136" s="34" t="s">
        <v>16</v>
      </c>
      <c r="CK136" s="34">
        <v>555</v>
      </c>
      <c r="CL136" s="34">
        <v>535</v>
      </c>
      <c r="CM136" s="34">
        <v>524</v>
      </c>
      <c r="CN136" s="34">
        <v>517</v>
      </c>
      <c r="CO136" s="34">
        <v>511</v>
      </c>
      <c r="CP136" s="34">
        <v>508</v>
      </c>
      <c r="CQ136" s="34">
        <v>505</v>
      </c>
      <c r="CR136" s="34">
        <v>503</v>
      </c>
      <c r="CS136" s="34">
        <v>500</v>
      </c>
      <c r="CT136" s="34">
        <v>497</v>
      </c>
      <c r="CU136" s="34">
        <v>492</v>
      </c>
      <c r="CV136" s="34">
        <v>486</v>
      </c>
      <c r="CW136" s="34">
        <v>477</v>
      </c>
      <c r="CX136" s="34">
        <v>465</v>
      </c>
      <c r="CY136" s="34">
        <v>451</v>
      </c>
      <c r="CZ136" s="34">
        <v>433</v>
      </c>
      <c r="DA136" s="34">
        <v>412</v>
      </c>
      <c r="DB136" s="34">
        <v>387</v>
      </c>
      <c r="DC136" s="34">
        <v>359</v>
      </c>
      <c r="DD136" s="34" t="s">
        <v>16</v>
      </c>
      <c r="DE136" s="34" t="s">
        <v>16</v>
      </c>
      <c r="DF136" s="34" t="s">
        <v>16</v>
      </c>
      <c r="DG136" s="34" t="s">
        <v>16</v>
      </c>
      <c r="DH136" s="34" t="s">
        <v>16</v>
      </c>
      <c r="DI136" s="34" t="s">
        <v>16</v>
      </c>
      <c r="DJ136" s="34" t="s">
        <v>16</v>
      </c>
      <c r="DK136" s="34" t="s">
        <v>16</v>
      </c>
      <c r="DL136" s="34" t="s">
        <v>16</v>
      </c>
      <c r="DM136" s="34" t="s">
        <v>16</v>
      </c>
      <c r="DN136" s="34" t="s">
        <v>16</v>
      </c>
      <c r="DO136" s="34" t="s">
        <v>16</v>
      </c>
      <c r="DP136" s="34" t="s">
        <v>16</v>
      </c>
      <c r="DQ136" s="34" t="s">
        <v>16</v>
      </c>
      <c r="DR136" s="55" t="s">
        <v>16</v>
      </c>
    </row>
    <row r="137" spans="1:122">
      <c r="A137" s="56" t="s">
        <v>179</v>
      </c>
      <c r="B137" s="56"/>
      <c r="C137" s="53" t="s">
        <v>94</v>
      </c>
      <c r="D137" s="53" t="s">
        <v>16</v>
      </c>
      <c r="E137" s="53" t="s">
        <v>16</v>
      </c>
      <c r="F137" s="53" t="s">
        <v>180</v>
      </c>
      <c r="G137" s="53" t="s">
        <v>17</v>
      </c>
      <c r="H137" s="72">
        <v>690</v>
      </c>
      <c r="I137" s="53">
        <v>550</v>
      </c>
      <c r="J137" s="53" t="s">
        <v>18</v>
      </c>
      <c r="K137" s="59" t="s">
        <v>16</v>
      </c>
      <c r="L137" s="34">
        <v>138</v>
      </c>
      <c r="M137" s="34" t="s">
        <v>16</v>
      </c>
      <c r="N137" s="34">
        <v>138</v>
      </c>
      <c r="O137" s="34">
        <v>138</v>
      </c>
      <c r="P137" s="34">
        <v>138</v>
      </c>
      <c r="Q137" s="34">
        <v>138</v>
      </c>
      <c r="R137" s="34">
        <v>138</v>
      </c>
      <c r="S137" s="34">
        <v>138</v>
      </c>
      <c r="T137" s="34">
        <v>138</v>
      </c>
      <c r="U137" s="34">
        <v>138</v>
      </c>
      <c r="V137" s="34">
        <v>138</v>
      </c>
      <c r="W137" s="34">
        <v>138</v>
      </c>
      <c r="X137" s="34">
        <v>138</v>
      </c>
      <c r="Y137" s="34">
        <v>138</v>
      </c>
      <c r="Z137" s="34">
        <v>138</v>
      </c>
      <c r="AA137" s="34">
        <v>138</v>
      </c>
      <c r="AB137" s="34">
        <v>128</v>
      </c>
      <c r="AC137" s="34">
        <v>115</v>
      </c>
      <c r="AD137" s="34">
        <v>93.6</v>
      </c>
      <c r="AE137" s="34">
        <v>68.400000000000006</v>
      </c>
      <c r="AF137" s="34">
        <v>43.7</v>
      </c>
      <c r="AG137" s="34">
        <v>18.899999999999999</v>
      </c>
      <c r="AH137" s="34" t="s">
        <v>16</v>
      </c>
      <c r="AI137" s="34" t="s">
        <v>16</v>
      </c>
      <c r="AJ137" s="34" t="s">
        <v>16</v>
      </c>
      <c r="AK137" s="34" t="s">
        <v>16</v>
      </c>
      <c r="AL137" s="34" t="s">
        <v>16</v>
      </c>
      <c r="AM137" s="34" t="s">
        <v>16</v>
      </c>
      <c r="AN137" s="34" t="s">
        <v>16</v>
      </c>
      <c r="AO137" s="34" t="s">
        <v>16</v>
      </c>
      <c r="AP137" s="34" t="s">
        <v>16</v>
      </c>
      <c r="AQ137" s="34" t="s">
        <v>16</v>
      </c>
      <c r="AR137" s="34" t="s">
        <v>16</v>
      </c>
      <c r="AS137" s="34" t="s">
        <v>16</v>
      </c>
      <c r="AT137" s="34" t="s">
        <v>16</v>
      </c>
      <c r="AU137" s="55" t="s">
        <v>16</v>
      </c>
      <c r="AV137" s="48" t="s">
        <v>18</v>
      </c>
      <c r="AW137" s="63" t="s">
        <v>16</v>
      </c>
      <c r="AX137" s="34">
        <v>689</v>
      </c>
      <c r="AY137" s="34" t="s">
        <v>16</v>
      </c>
      <c r="AZ137" s="34" t="s">
        <v>16</v>
      </c>
      <c r="BA137" s="34">
        <v>689</v>
      </c>
      <c r="BB137" s="34" t="s">
        <v>16</v>
      </c>
      <c r="BC137" s="34">
        <v>689</v>
      </c>
      <c r="BD137" s="34" t="s">
        <v>16</v>
      </c>
      <c r="BE137" s="34">
        <v>689</v>
      </c>
      <c r="BF137" s="34" t="s">
        <v>16</v>
      </c>
      <c r="BG137" s="34">
        <v>689</v>
      </c>
      <c r="BH137" s="34" t="s">
        <v>16</v>
      </c>
      <c r="BI137" s="34">
        <v>689</v>
      </c>
      <c r="BJ137" s="34">
        <v>689</v>
      </c>
      <c r="BK137" s="34">
        <v>685</v>
      </c>
      <c r="BL137" s="34">
        <v>655</v>
      </c>
      <c r="BM137" s="34">
        <v>629</v>
      </c>
      <c r="BN137" s="34">
        <v>600</v>
      </c>
      <c r="BO137" s="34">
        <v>567</v>
      </c>
      <c r="BP137" s="34">
        <v>532</v>
      </c>
      <c r="BQ137" s="34">
        <v>495</v>
      </c>
      <c r="BR137" s="34">
        <v>454</v>
      </c>
      <c r="BS137" s="34" t="s">
        <v>16</v>
      </c>
      <c r="BT137" s="34" t="s">
        <v>16</v>
      </c>
      <c r="BU137" s="34" t="s">
        <v>16</v>
      </c>
      <c r="BV137" s="34" t="s">
        <v>16</v>
      </c>
      <c r="BW137" s="34" t="s">
        <v>16</v>
      </c>
      <c r="BX137" s="34" t="s">
        <v>16</v>
      </c>
      <c r="BY137" s="34" t="s">
        <v>16</v>
      </c>
      <c r="BZ137" s="34" t="s">
        <v>16</v>
      </c>
      <c r="CA137" s="34" t="s">
        <v>16</v>
      </c>
      <c r="CB137" s="34" t="s">
        <v>16</v>
      </c>
      <c r="CC137" s="34" t="s">
        <v>16</v>
      </c>
      <c r="CD137" s="34" t="s">
        <v>16</v>
      </c>
      <c r="CE137" s="34" t="s">
        <v>16</v>
      </c>
      <c r="CF137" s="34" t="s">
        <v>16</v>
      </c>
      <c r="CG137" s="44" t="s">
        <v>16</v>
      </c>
      <c r="CH137" s="63" t="s">
        <v>16</v>
      </c>
      <c r="CI137" s="34">
        <v>552</v>
      </c>
      <c r="CJ137" s="34" t="s">
        <v>16</v>
      </c>
      <c r="CK137" s="34">
        <v>532</v>
      </c>
      <c r="CL137" s="34">
        <v>511</v>
      </c>
      <c r="CM137" s="34">
        <v>501</v>
      </c>
      <c r="CN137" s="34">
        <v>494</v>
      </c>
      <c r="CO137" s="34">
        <v>488</v>
      </c>
      <c r="CP137" s="34">
        <v>482</v>
      </c>
      <c r="CQ137" s="34">
        <v>475</v>
      </c>
      <c r="CR137" s="34">
        <v>467</v>
      </c>
      <c r="CS137" s="34">
        <v>461</v>
      </c>
      <c r="CT137" s="34">
        <v>454</v>
      </c>
      <c r="CU137" s="34">
        <v>444</v>
      </c>
      <c r="CV137" s="34">
        <v>433</v>
      </c>
      <c r="CW137" s="34">
        <v>421</v>
      </c>
      <c r="CX137" s="34">
        <v>407</v>
      </c>
      <c r="CY137" s="34">
        <v>389</v>
      </c>
      <c r="CZ137" s="34">
        <v>369</v>
      </c>
      <c r="DA137" s="34">
        <v>344</v>
      </c>
      <c r="DB137" s="34">
        <v>317</v>
      </c>
      <c r="DC137" s="34">
        <v>285</v>
      </c>
      <c r="DD137" s="34" t="s">
        <v>16</v>
      </c>
      <c r="DE137" s="34" t="s">
        <v>16</v>
      </c>
      <c r="DF137" s="34" t="s">
        <v>16</v>
      </c>
      <c r="DG137" s="34" t="s">
        <v>16</v>
      </c>
      <c r="DH137" s="34" t="s">
        <v>16</v>
      </c>
      <c r="DI137" s="34" t="s">
        <v>16</v>
      </c>
      <c r="DJ137" s="34" t="s">
        <v>16</v>
      </c>
      <c r="DK137" s="34" t="s">
        <v>16</v>
      </c>
      <c r="DL137" s="34" t="s">
        <v>16</v>
      </c>
      <c r="DM137" s="34" t="s">
        <v>16</v>
      </c>
      <c r="DN137" s="34" t="s">
        <v>16</v>
      </c>
      <c r="DO137" s="34" t="s">
        <v>16</v>
      </c>
      <c r="DP137" s="34" t="s">
        <v>16</v>
      </c>
      <c r="DQ137" s="34" t="s">
        <v>16</v>
      </c>
      <c r="DR137" s="55" t="s">
        <v>16</v>
      </c>
    </row>
    <row r="138" spans="1:122">
      <c r="A138" s="56" t="s">
        <v>181</v>
      </c>
      <c r="B138" s="56"/>
      <c r="C138" s="53" t="s">
        <v>94</v>
      </c>
      <c r="D138" s="53">
        <v>32</v>
      </c>
      <c r="E138" s="53">
        <v>38</v>
      </c>
      <c r="F138" s="53" t="s">
        <v>16</v>
      </c>
      <c r="G138" s="53" t="s">
        <v>17</v>
      </c>
      <c r="H138" s="85">
        <v>725</v>
      </c>
      <c r="I138" s="56">
        <v>560</v>
      </c>
      <c r="J138" s="53" t="s">
        <v>18</v>
      </c>
      <c r="K138" s="63" t="s">
        <v>16</v>
      </c>
      <c r="L138" s="34">
        <v>139</v>
      </c>
      <c r="M138" s="34" t="s">
        <v>16</v>
      </c>
      <c r="N138" s="54">
        <v>139</v>
      </c>
      <c r="O138" s="54">
        <v>139</v>
      </c>
      <c r="P138" s="54">
        <v>139</v>
      </c>
      <c r="Q138" s="54">
        <v>139</v>
      </c>
      <c r="R138" s="54">
        <v>139</v>
      </c>
      <c r="S138" s="54">
        <v>139</v>
      </c>
      <c r="T138" s="54">
        <v>139</v>
      </c>
      <c r="U138" s="54">
        <v>139</v>
      </c>
      <c r="V138" s="54">
        <v>139</v>
      </c>
      <c r="W138" s="54">
        <v>139</v>
      </c>
      <c r="X138" s="54">
        <v>139</v>
      </c>
      <c r="Y138" s="54">
        <v>139</v>
      </c>
      <c r="Z138" s="54" t="s">
        <v>16</v>
      </c>
      <c r="AA138" s="54" t="s">
        <v>16</v>
      </c>
      <c r="AB138" s="54" t="s">
        <v>16</v>
      </c>
      <c r="AC138" s="54" t="s">
        <v>16</v>
      </c>
      <c r="AD138" s="54" t="s">
        <v>16</v>
      </c>
      <c r="AE138" s="54" t="s">
        <v>16</v>
      </c>
      <c r="AF138" s="54" t="s">
        <v>16</v>
      </c>
      <c r="AG138" s="54" t="s">
        <v>16</v>
      </c>
      <c r="AH138" s="54" t="s">
        <v>16</v>
      </c>
      <c r="AI138" s="54" t="s">
        <v>16</v>
      </c>
      <c r="AJ138" s="54" t="s">
        <v>16</v>
      </c>
      <c r="AK138" s="54" t="s">
        <v>16</v>
      </c>
      <c r="AL138" s="54" t="s">
        <v>16</v>
      </c>
      <c r="AM138" s="54" t="s">
        <v>16</v>
      </c>
      <c r="AN138" s="54" t="s">
        <v>16</v>
      </c>
      <c r="AO138" s="54" t="s">
        <v>16</v>
      </c>
      <c r="AP138" s="54" t="s">
        <v>16</v>
      </c>
      <c r="AQ138" s="54" t="s">
        <v>16</v>
      </c>
      <c r="AR138" s="54" t="s">
        <v>16</v>
      </c>
      <c r="AS138" s="54" t="s">
        <v>16</v>
      </c>
      <c r="AT138" s="54" t="s">
        <v>16</v>
      </c>
      <c r="AU138" s="64" t="s">
        <v>16</v>
      </c>
      <c r="AV138" s="48" t="s">
        <v>18</v>
      </c>
      <c r="AW138" s="63" t="s">
        <v>16</v>
      </c>
      <c r="AX138" s="34">
        <v>724</v>
      </c>
      <c r="AY138" s="34" t="s">
        <v>16</v>
      </c>
      <c r="AZ138" s="34" t="s">
        <v>16</v>
      </c>
      <c r="BA138" s="34">
        <v>723</v>
      </c>
      <c r="BB138" s="34" t="s">
        <v>16</v>
      </c>
      <c r="BC138" s="34">
        <v>714</v>
      </c>
      <c r="BD138" s="34" t="s">
        <v>16</v>
      </c>
      <c r="BE138" s="34">
        <v>708</v>
      </c>
      <c r="BF138" s="34" t="s">
        <v>16</v>
      </c>
      <c r="BG138" s="34">
        <v>707</v>
      </c>
      <c r="BH138" s="34" t="s">
        <v>16</v>
      </c>
      <c r="BI138" s="34">
        <v>707</v>
      </c>
      <c r="BJ138" s="34">
        <v>707</v>
      </c>
      <c r="BK138" s="34">
        <v>707</v>
      </c>
      <c r="BL138" s="34">
        <v>706</v>
      </c>
      <c r="BM138" s="34">
        <v>699</v>
      </c>
      <c r="BN138" s="34">
        <v>678</v>
      </c>
      <c r="BO138" s="34">
        <v>640</v>
      </c>
      <c r="BP138" s="34">
        <v>577</v>
      </c>
      <c r="BQ138" s="34">
        <v>483</v>
      </c>
      <c r="BR138" s="34">
        <v>335</v>
      </c>
      <c r="BS138" s="34" t="s">
        <v>16</v>
      </c>
      <c r="BT138" s="34" t="s">
        <v>16</v>
      </c>
      <c r="BU138" s="34" t="s">
        <v>16</v>
      </c>
      <c r="BV138" s="34" t="s">
        <v>16</v>
      </c>
      <c r="BW138" s="34" t="s">
        <v>16</v>
      </c>
      <c r="BX138" s="34" t="s">
        <v>16</v>
      </c>
      <c r="BY138" s="34" t="s">
        <v>16</v>
      </c>
      <c r="BZ138" s="34" t="s">
        <v>16</v>
      </c>
      <c r="CA138" s="34" t="s">
        <v>16</v>
      </c>
      <c r="CB138" s="34" t="s">
        <v>16</v>
      </c>
      <c r="CC138" s="34" t="s">
        <v>16</v>
      </c>
      <c r="CD138" s="34" t="s">
        <v>16</v>
      </c>
      <c r="CE138" s="34" t="s">
        <v>16</v>
      </c>
      <c r="CF138" s="34" t="s">
        <v>16</v>
      </c>
      <c r="CG138" s="44" t="s">
        <v>16</v>
      </c>
      <c r="CH138" s="63" t="s">
        <v>16</v>
      </c>
      <c r="CI138" s="34">
        <v>558</v>
      </c>
      <c r="CJ138" s="34" t="s">
        <v>16</v>
      </c>
      <c r="CK138" s="34">
        <v>525</v>
      </c>
      <c r="CL138" s="34">
        <v>488</v>
      </c>
      <c r="CM138" s="34">
        <v>468</v>
      </c>
      <c r="CN138" s="34">
        <v>452</v>
      </c>
      <c r="CO138" s="34">
        <v>436</v>
      </c>
      <c r="CP138" s="34">
        <v>422</v>
      </c>
      <c r="CQ138" s="34">
        <v>409</v>
      </c>
      <c r="CR138" s="34">
        <v>399</v>
      </c>
      <c r="CS138" s="34">
        <v>390</v>
      </c>
      <c r="CT138" s="34">
        <v>381</v>
      </c>
      <c r="CU138" s="34">
        <v>374</v>
      </c>
      <c r="CV138" s="34">
        <v>366</v>
      </c>
      <c r="CW138" s="34">
        <v>359</v>
      </c>
      <c r="CX138" s="34">
        <v>351</v>
      </c>
      <c r="CY138" s="34">
        <v>341</v>
      </c>
      <c r="CZ138" s="34">
        <v>329</v>
      </c>
      <c r="DA138" s="34">
        <v>314</v>
      </c>
      <c r="DB138" s="34">
        <v>295</v>
      </c>
      <c r="DC138" s="34">
        <v>269</v>
      </c>
      <c r="DD138" s="34" t="s">
        <v>16</v>
      </c>
      <c r="DE138" s="34" t="s">
        <v>16</v>
      </c>
      <c r="DF138" s="34" t="s">
        <v>16</v>
      </c>
      <c r="DG138" s="34" t="s">
        <v>16</v>
      </c>
      <c r="DH138" s="34" t="s">
        <v>16</v>
      </c>
      <c r="DI138" s="34" t="s">
        <v>16</v>
      </c>
      <c r="DJ138" s="34" t="s">
        <v>16</v>
      </c>
      <c r="DK138" s="34" t="s">
        <v>16</v>
      </c>
      <c r="DL138" s="34" t="s">
        <v>16</v>
      </c>
      <c r="DM138" s="34" t="s">
        <v>16</v>
      </c>
      <c r="DN138" s="34" t="s">
        <v>16</v>
      </c>
      <c r="DO138" s="34" t="s">
        <v>16</v>
      </c>
      <c r="DP138" s="34" t="s">
        <v>16</v>
      </c>
      <c r="DQ138" s="34" t="s">
        <v>16</v>
      </c>
      <c r="DR138" s="55" t="s">
        <v>16</v>
      </c>
    </row>
    <row r="139" spans="1:122">
      <c r="A139" s="56" t="s">
        <v>181</v>
      </c>
      <c r="B139" s="56"/>
      <c r="C139" s="53" t="s">
        <v>94</v>
      </c>
      <c r="D139" s="53">
        <v>13</v>
      </c>
      <c r="E139" s="53">
        <v>25</v>
      </c>
      <c r="F139" s="53" t="s">
        <v>16</v>
      </c>
      <c r="G139" s="53" t="str">
        <f>G138</f>
        <v>ASTM</v>
      </c>
      <c r="H139" s="85">
        <v>825</v>
      </c>
      <c r="I139" s="56">
        <v>635</v>
      </c>
      <c r="J139" s="53" t="str">
        <f>J138</f>
        <v>ASME</v>
      </c>
      <c r="K139" s="63" t="s">
        <v>16</v>
      </c>
      <c r="L139" s="34">
        <v>159</v>
      </c>
      <c r="M139" s="34" t="s">
        <v>16</v>
      </c>
      <c r="N139" s="54">
        <v>159</v>
      </c>
      <c r="O139" s="54">
        <v>159</v>
      </c>
      <c r="P139" s="54">
        <v>159</v>
      </c>
      <c r="Q139" s="54">
        <v>159</v>
      </c>
      <c r="R139" s="54">
        <v>159</v>
      </c>
      <c r="S139" s="54">
        <v>159</v>
      </c>
      <c r="T139" s="54">
        <v>159</v>
      </c>
      <c r="U139" s="54">
        <v>159</v>
      </c>
      <c r="V139" s="54">
        <v>159</v>
      </c>
      <c r="W139" s="54">
        <v>159</v>
      </c>
      <c r="X139" s="54">
        <v>159</v>
      </c>
      <c r="Y139" s="54">
        <v>159</v>
      </c>
      <c r="Z139" s="54" t="s">
        <v>16</v>
      </c>
      <c r="AA139" s="54" t="s">
        <v>16</v>
      </c>
      <c r="AB139" s="54" t="s">
        <v>16</v>
      </c>
      <c r="AC139" s="54" t="s">
        <v>16</v>
      </c>
      <c r="AD139" s="54" t="s">
        <v>16</v>
      </c>
      <c r="AE139" s="54" t="s">
        <v>16</v>
      </c>
      <c r="AF139" s="54" t="s">
        <v>16</v>
      </c>
      <c r="AG139" s="54" t="s">
        <v>16</v>
      </c>
      <c r="AH139" s="54" t="s">
        <v>16</v>
      </c>
      <c r="AI139" s="54" t="s">
        <v>16</v>
      </c>
      <c r="AJ139" s="54" t="s">
        <v>16</v>
      </c>
      <c r="AK139" s="54" t="s">
        <v>16</v>
      </c>
      <c r="AL139" s="54" t="s">
        <v>16</v>
      </c>
      <c r="AM139" s="54" t="s">
        <v>16</v>
      </c>
      <c r="AN139" s="54" t="s">
        <v>16</v>
      </c>
      <c r="AO139" s="54" t="s">
        <v>16</v>
      </c>
      <c r="AP139" s="54" t="s">
        <v>16</v>
      </c>
      <c r="AQ139" s="54" t="s">
        <v>16</v>
      </c>
      <c r="AR139" s="54" t="s">
        <v>16</v>
      </c>
      <c r="AS139" s="54" t="s">
        <v>16</v>
      </c>
      <c r="AT139" s="54" t="s">
        <v>16</v>
      </c>
      <c r="AU139" s="64" t="s">
        <v>16</v>
      </c>
      <c r="AV139" s="48" t="s">
        <v>18</v>
      </c>
      <c r="AW139" s="63" t="s">
        <v>16</v>
      </c>
      <c r="AX139" s="34">
        <v>827</v>
      </c>
      <c r="AY139" s="34" t="s">
        <v>16</v>
      </c>
      <c r="AZ139" s="34" t="s">
        <v>16</v>
      </c>
      <c r="BA139" s="34">
        <v>827</v>
      </c>
      <c r="BB139" s="34" t="s">
        <v>16</v>
      </c>
      <c r="BC139" s="34">
        <v>816</v>
      </c>
      <c r="BD139" s="34" t="s">
        <v>16</v>
      </c>
      <c r="BE139" s="34">
        <v>809</v>
      </c>
      <c r="BF139" s="34" t="s">
        <v>16</v>
      </c>
      <c r="BG139" s="34">
        <v>808</v>
      </c>
      <c r="BH139" s="34" t="s">
        <v>16</v>
      </c>
      <c r="BI139" s="34">
        <v>808</v>
      </c>
      <c r="BJ139" s="34">
        <v>808</v>
      </c>
      <c r="BK139" s="34">
        <v>808</v>
      </c>
      <c r="BL139" s="34">
        <v>808</v>
      </c>
      <c r="BM139" s="34">
        <v>800</v>
      </c>
      <c r="BN139" s="34">
        <v>775</v>
      </c>
      <c r="BO139" s="34">
        <v>732</v>
      </c>
      <c r="BP139" s="34">
        <v>660</v>
      </c>
      <c r="BQ139" s="34">
        <v>552</v>
      </c>
      <c r="BR139" s="34">
        <v>384</v>
      </c>
      <c r="BS139" s="34" t="s">
        <v>16</v>
      </c>
      <c r="BT139" s="34" t="s">
        <v>16</v>
      </c>
      <c r="BU139" s="34" t="s">
        <v>16</v>
      </c>
      <c r="BV139" s="34" t="s">
        <v>16</v>
      </c>
      <c r="BW139" s="34" t="s">
        <v>16</v>
      </c>
      <c r="BX139" s="34" t="s">
        <v>16</v>
      </c>
      <c r="BY139" s="34" t="s">
        <v>16</v>
      </c>
      <c r="BZ139" s="34" t="s">
        <v>16</v>
      </c>
      <c r="CA139" s="34" t="s">
        <v>16</v>
      </c>
      <c r="CB139" s="34" t="s">
        <v>16</v>
      </c>
      <c r="CC139" s="34" t="s">
        <v>16</v>
      </c>
      <c r="CD139" s="34" t="s">
        <v>16</v>
      </c>
      <c r="CE139" s="34" t="s">
        <v>16</v>
      </c>
      <c r="CF139" s="34" t="s">
        <v>16</v>
      </c>
      <c r="CG139" s="44" t="s">
        <v>16</v>
      </c>
      <c r="CH139" s="63" t="s">
        <v>16</v>
      </c>
      <c r="CI139" s="34">
        <v>634</v>
      </c>
      <c r="CJ139" s="34" t="s">
        <v>16</v>
      </c>
      <c r="CK139" s="34">
        <v>596</v>
      </c>
      <c r="CL139" s="34">
        <v>554</v>
      </c>
      <c r="CM139" s="34">
        <v>531</v>
      </c>
      <c r="CN139" s="34">
        <v>513</v>
      </c>
      <c r="CO139" s="34">
        <v>495</v>
      </c>
      <c r="CP139" s="34">
        <v>479</v>
      </c>
      <c r="CQ139" s="34">
        <v>465</v>
      </c>
      <c r="CR139" s="34">
        <v>453</v>
      </c>
      <c r="CS139" s="34">
        <v>443</v>
      </c>
      <c r="CT139" s="34">
        <v>433</v>
      </c>
      <c r="CU139" s="34">
        <v>424</v>
      </c>
      <c r="CV139" s="34">
        <v>416</v>
      </c>
      <c r="CW139" s="34">
        <v>408</v>
      </c>
      <c r="CX139" s="34">
        <v>399</v>
      </c>
      <c r="CY139" s="34">
        <v>388</v>
      </c>
      <c r="CZ139" s="34">
        <v>374</v>
      </c>
      <c r="DA139" s="34">
        <v>357</v>
      </c>
      <c r="DB139" s="34">
        <v>335</v>
      </c>
      <c r="DC139" s="34">
        <v>306</v>
      </c>
      <c r="DD139" s="34" t="s">
        <v>16</v>
      </c>
      <c r="DE139" s="34" t="s">
        <v>16</v>
      </c>
      <c r="DF139" s="34" t="s">
        <v>16</v>
      </c>
      <c r="DG139" s="34" t="s">
        <v>16</v>
      </c>
      <c r="DH139" s="34" t="s">
        <v>16</v>
      </c>
      <c r="DI139" s="34" t="s">
        <v>16</v>
      </c>
      <c r="DJ139" s="34" t="s">
        <v>16</v>
      </c>
      <c r="DK139" s="34" t="s">
        <v>16</v>
      </c>
      <c r="DL139" s="34" t="s">
        <v>16</v>
      </c>
      <c r="DM139" s="34" t="s">
        <v>16</v>
      </c>
      <c r="DN139" s="34" t="s">
        <v>16</v>
      </c>
      <c r="DO139" s="34" t="s">
        <v>16</v>
      </c>
      <c r="DP139" s="34" t="s">
        <v>16</v>
      </c>
      <c r="DQ139" s="34" t="s">
        <v>16</v>
      </c>
      <c r="DR139" s="55" t="s">
        <v>16</v>
      </c>
    </row>
    <row r="140" spans="1:122">
      <c r="A140" s="56" t="s">
        <v>182</v>
      </c>
      <c r="B140" s="56"/>
      <c r="C140" s="53" t="s">
        <v>94</v>
      </c>
      <c r="D140" s="53" t="s">
        <v>16</v>
      </c>
      <c r="E140" s="53" t="s">
        <v>16</v>
      </c>
      <c r="F140" s="53" t="s">
        <v>183</v>
      </c>
      <c r="G140" s="53" t="s">
        <v>17</v>
      </c>
      <c r="H140" s="72">
        <v>860</v>
      </c>
      <c r="I140" s="53">
        <v>725</v>
      </c>
      <c r="J140" s="53" t="s">
        <v>18</v>
      </c>
      <c r="K140" s="59" t="s">
        <v>16</v>
      </c>
      <c r="L140" s="34">
        <v>172</v>
      </c>
      <c r="M140" s="34" t="s">
        <v>16</v>
      </c>
      <c r="N140" s="34">
        <v>172</v>
      </c>
      <c r="O140" s="34">
        <v>172</v>
      </c>
      <c r="P140" s="34">
        <v>172</v>
      </c>
      <c r="Q140" s="34">
        <v>172</v>
      </c>
      <c r="R140" s="54">
        <v>172</v>
      </c>
      <c r="S140" s="34">
        <v>172</v>
      </c>
      <c r="T140" s="54">
        <v>172</v>
      </c>
      <c r="U140" s="34">
        <v>172</v>
      </c>
      <c r="V140" s="54">
        <v>172</v>
      </c>
      <c r="W140" s="34">
        <v>172</v>
      </c>
      <c r="X140" s="34">
        <v>172</v>
      </c>
      <c r="Y140" s="34">
        <v>172</v>
      </c>
      <c r="Z140" s="34">
        <v>172</v>
      </c>
      <c r="AA140" s="34">
        <v>162</v>
      </c>
      <c r="AB140" s="34">
        <v>146</v>
      </c>
      <c r="AC140" s="34">
        <v>118</v>
      </c>
      <c r="AD140" s="34" t="s">
        <v>16</v>
      </c>
      <c r="AE140" s="34" t="s">
        <v>16</v>
      </c>
      <c r="AF140" s="34" t="s">
        <v>16</v>
      </c>
      <c r="AG140" s="34" t="s">
        <v>16</v>
      </c>
      <c r="AH140" s="34" t="s">
        <v>16</v>
      </c>
      <c r="AI140" s="34" t="s">
        <v>16</v>
      </c>
      <c r="AJ140" s="34" t="s">
        <v>16</v>
      </c>
      <c r="AK140" s="34" t="s">
        <v>16</v>
      </c>
      <c r="AL140" s="34" t="s">
        <v>16</v>
      </c>
      <c r="AM140" s="34" t="s">
        <v>16</v>
      </c>
      <c r="AN140" s="34" t="s">
        <v>16</v>
      </c>
      <c r="AO140" s="34" t="s">
        <v>16</v>
      </c>
      <c r="AP140" s="34" t="s">
        <v>16</v>
      </c>
      <c r="AQ140" s="34" t="s">
        <v>16</v>
      </c>
      <c r="AR140" s="34" t="s">
        <v>16</v>
      </c>
      <c r="AS140" s="34" t="s">
        <v>16</v>
      </c>
      <c r="AT140" s="34" t="s">
        <v>16</v>
      </c>
      <c r="AU140" s="55" t="s">
        <v>16</v>
      </c>
      <c r="AV140" s="48" t="s">
        <v>18</v>
      </c>
      <c r="AW140" s="63" t="s">
        <v>16</v>
      </c>
      <c r="AX140" s="34">
        <v>862</v>
      </c>
      <c r="AY140" s="34" t="s">
        <v>16</v>
      </c>
      <c r="AZ140" s="34" t="s">
        <v>16</v>
      </c>
      <c r="BA140" s="34">
        <v>862</v>
      </c>
      <c r="BB140" s="34" t="s">
        <v>16</v>
      </c>
      <c r="BC140" s="34">
        <v>862</v>
      </c>
      <c r="BD140" s="34" t="s">
        <v>16</v>
      </c>
      <c r="BE140" s="34">
        <v>862</v>
      </c>
      <c r="BF140" s="34" t="s">
        <v>16</v>
      </c>
      <c r="BG140" s="34">
        <v>862</v>
      </c>
      <c r="BH140" s="34" t="s">
        <v>16</v>
      </c>
      <c r="BI140" s="34">
        <v>862</v>
      </c>
      <c r="BJ140" s="34">
        <v>862</v>
      </c>
      <c r="BK140" s="34">
        <v>852</v>
      </c>
      <c r="BL140" s="34">
        <v>819</v>
      </c>
      <c r="BM140" s="34">
        <v>787</v>
      </c>
      <c r="BN140" s="34">
        <v>750</v>
      </c>
      <c r="BO140" s="34">
        <v>709</v>
      </c>
      <c r="BP140" s="34">
        <v>666</v>
      </c>
      <c r="BQ140" s="34">
        <v>618</v>
      </c>
      <c r="BR140" s="34">
        <v>567</v>
      </c>
      <c r="BS140" s="34" t="s">
        <v>16</v>
      </c>
      <c r="BT140" s="34" t="s">
        <v>16</v>
      </c>
      <c r="BU140" s="34" t="s">
        <v>16</v>
      </c>
      <c r="BV140" s="34" t="s">
        <v>16</v>
      </c>
      <c r="BW140" s="34" t="s">
        <v>16</v>
      </c>
      <c r="BX140" s="34" t="s">
        <v>16</v>
      </c>
      <c r="BY140" s="34" t="s">
        <v>16</v>
      </c>
      <c r="BZ140" s="34" t="s">
        <v>16</v>
      </c>
      <c r="CA140" s="34" t="s">
        <v>16</v>
      </c>
      <c r="CB140" s="34" t="s">
        <v>16</v>
      </c>
      <c r="CC140" s="34" t="s">
        <v>16</v>
      </c>
      <c r="CD140" s="34" t="s">
        <v>16</v>
      </c>
      <c r="CE140" s="34" t="s">
        <v>16</v>
      </c>
      <c r="CF140" s="34" t="s">
        <v>16</v>
      </c>
      <c r="CG140" s="44" t="s">
        <v>16</v>
      </c>
      <c r="CH140" s="63" t="s">
        <v>16</v>
      </c>
      <c r="CI140" s="34">
        <v>724</v>
      </c>
      <c r="CJ140" s="34" t="s">
        <v>16</v>
      </c>
      <c r="CK140" s="34">
        <v>698</v>
      </c>
      <c r="CL140" s="34">
        <v>671</v>
      </c>
      <c r="CM140" s="34">
        <v>658</v>
      </c>
      <c r="CN140" s="34">
        <v>648</v>
      </c>
      <c r="CO140" s="34">
        <v>640</v>
      </c>
      <c r="CP140" s="34">
        <v>632</v>
      </c>
      <c r="CQ140" s="34">
        <v>623</v>
      </c>
      <c r="CR140" s="34">
        <v>614</v>
      </c>
      <c r="CS140" s="34">
        <v>605</v>
      </c>
      <c r="CT140" s="34">
        <v>595</v>
      </c>
      <c r="CU140" s="34">
        <v>583</v>
      </c>
      <c r="CV140" s="34">
        <v>568</v>
      </c>
      <c r="CW140" s="34">
        <v>553</v>
      </c>
      <c r="CX140" s="34">
        <v>534</v>
      </c>
      <c r="CY140" s="34">
        <v>511</v>
      </c>
      <c r="CZ140" s="34">
        <v>485</v>
      </c>
      <c r="DA140" s="34">
        <v>452</v>
      </c>
      <c r="DB140" s="34">
        <v>416</v>
      </c>
      <c r="DC140" s="34">
        <v>374</v>
      </c>
      <c r="DD140" s="34" t="s">
        <v>16</v>
      </c>
      <c r="DE140" s="34" t="s">
        <v>16</v>
      </c>
      <c r="DF140" s="34" t="s">
        <v>16</v>
      </c>
      <c r="DG140" s="34" t="s">
        <v>16</v>
      </c>
      <c r="DH140" s="34" t="s">
        <v>16</v>
      </c>
      <c r="DI140" s="34" t="s">
        <v>16</v>
      </c>
      <c r="DJ140" s="34" t="s">
        <v>16</v>
      </c>
      <c r="DK140" s="34" t="s">
        <v>16</v>
      </c>
      <c r="DL140" s="34" t="s">
        <v>16</v>
      </c>
      <c r="DM140" s="34" t="s">
        <v>16</v>
      </c>
      <c r="DN140" s="34" t="s">
        <v>16</v>
      </c>
      <c r="DO140" s="34" t="s">
        <v>16</v>
      </c>
      <c r="DP140" s="34" t="s">
        <v>16</v>
      </c>
      <c r="DQ140" s="34" t="s">
        <v>16</v>
      </c>
      <c r="DR140" s="55" t="s">
        <v>16</v>
      </c>
    </row>
    <row r="141" spans="1:122">
      <c r="A141" s="56" t="s">
        <v>184</v>
      </c>
      <c r="B141" s="56"/>
      <c r="C141" s="53" t="s">
        <v>94</v>
      </c>
      <c r="D141" s="53">
        <v>32</v>
      </c>
      <c r="E141" s="53">
        <v>38</v>
      </c>
      <c r="F141" s="53" t="s">
        <v>16</v>
      </c>
      <c r="G141" s="53" t="s">
        <v>17</v>
      </c>
      <c r="H141" s="72">
        <v>620</v>
      </c>
      <c r="I141" s="53">
        <v>345</v>
      </c>
      <c r="J141" s="53" t="s">
        <v>18</v>
      </c>
      <c r="K141" s="59" t="s">
        <v>16</v>
      </c>
      <c r="L141" s="34">
        <v>130</v>
      </c>
      <c r="M141" s="34" t="s">
        <v>16</v>
      </c>
      <c r="N141" s="34">
        <v>127</v>
      </c>
      <c r="O141" s="34">
        <v>121</v>
      </c>
      <c r="P141" s="34">
        <v>114</v>
      </c>
      <c r="Q141" s="34">
        <v>107</v>
      </c>
      <c r="R141" s="54">
        <v>103</v>
      </c>
      <c r="S141" s="54">
        <v>99.2</v>
      </c>
      <c r="T141" s="54">
        <v>96</v>
      </c>
      <c r="U141" s="54">
        <v>92.9</v>
      </c>
      <c r="V141" s="54">
        <v>90.1</v>
      </c>
      <c r="W141" s="54">
        <v>87.8</v>
      </c>
      <c r="X141" s="54">
        <v>86.5</v>
      </c>
      <c r="Y141" s="54">
        <v>86.2</v>
      </c>
      <c r="Z141" s="54">
        <v>86.2</v>
      </c>
      <c r="AA141" s="34">
        <v>86.2</v>
      </c>
      <c r="AB141" s="34">
        <v>86.2</v>
      </c>
      <c r="AC141" s="54">
        <v>86.2</v>
      </c>
      <c r="AD141" s="34" t="s">
        <v>16</v>
      </c>
      <c r="AE141" s="34" t="s">
        <v>16</v>
      </c>
      <c r="AF141" s="34" t="s">
        <v>16</v>
      </c>
      <c r="AG141" s="34" t="s">
        <v>16</v>
      </c>
      <c r="AH141" s="34" t="s">
        <v>16</v>
      </c>
      <c r="AI141" s="34" t="s">
        <v>16</v>
      </c>
      <c r="AJ141" s="34" t="s">
        <v>16</v>
      </c>
      <c r="AK141" s="34" t="s">
        <v>16</v>
      </c>
      <c r="AL141" s="34" t="s">
        <v>16</v>
      </c>
      <c r="AM141" s="34" t="s">
        <v>16</v>
      </c>
      <c r="AN141" s="34" t="s">
        <v>16</v>
      </c>
      <c r="AO141" s="34" t="s">
        <v>16</v>
      </c>
      <c r="AP141" s="34" t="s">
        <v>16</v>
      </c>
      <c r="AQ141" s="34" t="s">
        <v>16</v>
      </c>
      <c r="AR141" s="34" t="s">
        <v>16</v>
      </c>
      <c r="AS141" s="34" t="s">
        <v>16</v>
      </c>
      <c r="AT141" s="34" t="s">
        <v>16</v>
      </c>
      <c r="AU141" s="55" t="s">
        <v>16</v>
      </c>
      <c r="AV141" s="48" t="s">
        <v>18</v>
      </c>
      <c r="AW141" s="63" t="s">
        <v>16</v>
      </c>
      <c r="AX141" s="34">
        <v>621</v>
      </c>
      <c r="AY141" s="34" t="s">
        <v>16</v>
      </c>
      <c r="AZ141" s="34" t="s">
        <v>16</v>
      </c>
      <c r="BA141" s="34">
        <v>619</v>
      </c>
      <c r="BB141" s="34" t="s">
        <v>16</v>
      </c>
      <c r="BC141" s="34">
        <v>598</v>
      </c>
      <c r="BD141" s="34" t="s">
        <v>16</v>
      </c>
      <c r="BE141" s="34">
        <v>577</v>
      </c>
      <c r="BF141" s="34" t="s">
        <v>16</v>
      </c>
      <c r="BG141" s="34">
        <v>577</v>
      </c>
      <c r="BH141" s="34" t="s">
        <v>16</v>
      </c>
      <c r="BI141" s="34">
        <v>577</v>
      </c>
      <c r="BJ141" s="34">
        <v>577</v>
      </c>
      <c r="BK141" s="34">
        <v>577</v>
      </c>
      <c r="BL141" s="34">
        <v>577</v>
      </c>
      <c r="BM141" s="34">
        <v>574</v>
      </c>
      <c r="BN141" s="34">
        <v>571</v>
      </c>
      <c r="BO141" s="34">
        <v>562</v>
      </c>
      <c r="BP141" s="34">
        <v>550</v>
      </c>
      <c r="BQ141" s="34">
        <v>537</v>
      </c>
      <c r="BR141" s="34">
        <v>525</v>
      </c>
      <c r="BS141" s="34" t="s">
        <v>16</v>
      </c>
      <c r="BT141" s="34" t="s">
        <v>16</v>
      </c>
      <c r="BU141" s="34" t="s">
        <v>16</v>
      </c>
      <c r="BV141" s="34" t="s">
        <v>16</v>
      </c>
      <c r="BW141" s="34" t="s">
        <v>16</v>
      </c>
      <c r="BX141" s="34" t="s">
        <v>16</v>
      </c>
      <c r="BY141" s="34" t="s">
        <v>16</v>
      </c>
      <c r="BZ141" s="34" t="s">
        <v>16</v>
      </c>
      <c r="CA141" s="34" t="s">
        <v>16</v>
      </c>
      <c r="CB141" s="34" t="s">
        <v>16</v>
      </c>
      <c r="CC141" s="34" t="s">
        <v>16</v>
      </c>
      <c r="CD141" s="34" t="s">
        <v>16</v>
      </c>
      <c r="CE141" s="34" t="s">
        <v>16</v>
      </c>
      <c r="CF141" s="34" t="s">
        <v>16</v>
      </c>
      <c r="CG141" s="44" t="s">
        <v>16</v>
      </c>
      <c r="CH141" s="63" t="s">
        <v>16</v>
      </c>
      <c r="CI141" s="34">
        <v>345</v>
      </c>
      <c r="CJ141" s="34" t="s">
        <v>16</v>
      </c>
      <c r="CK141" s="34">
        <v>334</v>
      </c>
      <c r="CL141" s="34">
        <v>322</v>
      </c>
      <c r="CM141" s="34">
        <v>313</v>
      </c>
      <c r="CN141" s="34">
        <v>306</v>
      </c>
      <c r="CO141" s="34">
        <v>299</v>
      </c>
      <c r="CP141" s="34">
        <v>293</v>
      </c>
      <c r="CQ141" s="34">
        <v>288</v>
      </c>
      <c r="CR141" s="34">
        <v>285</v>
      </c>
      <c r="CS141" s="34">
        <v>283</v>
      </c>
      <c r="CT141" s="34">
        <v>280</v>
      </c>
      <c r="CU141" s="34">
        <v>277</v>
      </c>
      <c r="CV141" s="34">
        <v>274</v>
      </c>
      <c r="CW141" s="34">
        <v>270</v>
      </c>
      <c r="CX141" s="34">
        <v>267</v>
      </c>
      <c r="CY141" s="34">
        <v>264</v>
      </c>
      <c r="CZ141" s="34">
        <v>261</v>
      </c>
      <c r="DA141" s="34">
        <v>257</v>
      </c>
      <c r="DB141" s="34">
        <v>254</v>
      </c>
      <c r="DC141" s="34">
        <v>251</v>
      </c>
      <c r="DD141" s="34" t="s">
        <v>16</v>
      </c>
      <c r="DE141" s="34" t="s">
        <v>16</v>
      </c>
      <c r="DF141" s="34" t="s">
        <v>16</v>
      </c>
      <c r="DG141" s="34" t="s">
        <v>16</v>
      </c>
      <c r="DH141" s="34" t="s">
        <v>16</v>
      </c>
      <c r="DI141" s="34" t="s">
        <v>16</v>
      </c>
      <c r="DJ141" s="34" t="s">
        <v>16</v>
      </c>
      <c r="DK141" s="34" t="s">
        <v>16</v>
      </c>
      <c r="DL141" s="34" t="s">
        <v>16</v>
      </c>
      <c r="DM141" s="34" t="s">
        <v>16</v>
      </c>
      <c r="DN141" s="34" t="s">
        <v>16</v>
      </c>
      <c r="DO141" s="34" t="s">
        <v>16</v>
      </c>
      <c r="DP141" s="34" t="s">
        <v>16</v>
      </c>
      <c r="DQ141" s="34" t="s">
        <v>16</v>
      </c>
      <c r="DR141" s="55" t="s">
        <v>16</v>
      </c>
    </row>
    <row r="142" spans="1:122">
      <c r="A142" s="56" t="s">
        <v>184</v>
      </c>
      <c r="B142" s="56"/>
      <c r="C142" s="53" t="s">
        <v>94</v>
      </c>
      <c r="D142" s="53">
        <v>25</v>
      </c>
      <c r="E142" s="53">
        <v>32</v>
      </c>
      <c r="F142" s="53" t="s">
        <v>16</v>
      </c>
      <c r="G142" s="53" t="str">
        <f>G141</f>
        <v>ASTM</v>
      </c>
      <c r="H142" s="72">
        <v>655</v>
      </c>
      <c r="I142" s="53">
        <v>450</v>
      </c>
      <c r="J142" s="53" t="str">
        <f>J141</f>
        <v>ASME</v>
      </c>
      <c r="K142" s="59" t="s">
        <v>16</v>
      </c>
      <c r="L142" s="34">
        <v>130</v>
      </c>
      <c r="M142" s="34" t="s">
        <v>16</v>
      </c>
      <c r="N142" s="34">
        <v>127</v>
      </c>
      <c r="O142" s="34">
        <v>121</v>
      </c>
      <c r="P142" s="34">
        <v>112</v>
      </c>
      <c r="Q142" s="34">
        <v>112</v>
      </c>
      <c r="R142" s="34">
        <v>112</v>
      </c>
      <c r="S142" s="34">
        <v>112</v>
      </c>
      <c r="T142" s="34">
        <v>112</v>
      </c>
      <c r="U142" s="34">
        <v>112</v>
      </c>
      <c r="V142" s="34">
        <v>112</v>
      </c>
      <c r="W142" s="34">
        <v>112</v>
      </c>
      <c r="X142" s="34">
        <v>112</v>
      </c>
      <c r="Y142" s="34">
        <v>112</v>
      </c>
      <c r="Z142" s="34">
        <v>112</v>
      </c>
      <c r="AA142" s="34">
        <v>112</v>
      </c>
      <c r="AB142" s="34">
        <v>112</v>
      </c>
      <c r="AC142" s="54">
        <v>112</v>
      </c>
      <c r="AD142" s="34" t="s">
        <v>16</v>
      </c>
      <c r="AE142" s="34" t="s">
        <v>16</v>
      </c>
      <c r="AF142" s="34" t="s">
        <v>16</v>
      </c>
      <c r="AG142" s="34" t="s">
        <v>16</v>
      </c>
      <c r="AH142" s="34" t="s">
        <v>16</v>
      </c>
      <c r="AI142" s="34" t="s">
        <v>16</v>
      </c>
      <c r="AJ142" s="34" t="s">
        <v>16</v>
      </c>
      <c r="AK142" s="34" t="s">
        <v>16</v>
      </c>
      <c r="AL142" s="34" t="s">
        <v>16</v>
      </c>
      <c r="AM142" s="34" t="s">
        <v>16</v>
      </c>
      <c r="AN142" s="34" t="s">
        <v>16</v>
      </c>
      <c r="AO142" s="34" t="s">
        <v>16</v>
      </c>
      <c r="AP142" s="34" t="s">
        <v>16</v>
      </c>
      <c r="AQ142" s="34" t="s">
        <v>16</v>
      </c>
      <c r="AR142" s="34" t="s">
        <v>16</v>
      </c>
      <c r="AS142" s="34" t="s">
        <v>16</v>
      </c>
      <c r="AT142" s="34" t="s">
        <v>16</v>
      </c>
      <c r="AU142" s="55" t="s">
        <v>16</v>
      </c>
      <c r="AV142" s="48" t="s">
        <v>18</v>
      </c>
      <c r="AW142" s="63" t="s">
        <v>16</v>
      </c>
      <c r="AX142" s="34">
        <v>655</v>
      </c>
      <c r="AY142" s="34" t="s">
        <v>16</v>
      </c>
      <c r="AZ142" s="34" t="s">
        <v>16</v>
      </c>
      <c r="BA142" s="34">
        <v>654</v>
      </c>
      <c r="BB142" s="34" t="s">
        <v>16</v>
      </c>
      <c r="BC142" s="34">
        <v>631</v>
      </c>
      <c r="BD142" s="34" t="s">
        <v>16</v>
      </c>
      <c r="BE142" s="34">
        <v>609</v>
      </c>
      <c r="BF142" s="34" t="s">
        <v>16</v>
      </c>
      <c r="BG142" s="34">
        <v>609</v>
      </c>
      <c r="BH142" s="34" t="s">
        <v>16</v>
      </c>
      <c r="BI142" s="34">
        <v>609</v>
      </c>
      <c r="BJ142" s="34">
        <v>609</v>
      </c>
      <c r="BK142" s="34">
        <v>609</v>
      </c>
      <c r="BL142" s="34">
        <v>609</v>
      </c>
      <c r="BM142" s="34">
        <v>605</v>
      </c>
      <c r="BN142" s="34">
        <v>602</v>
      </c>
      <c r="BO142" s="34">
        <v>593</v>
      </c>
      <c r="BP142" s="34">
        <v>580</v>
      </c>
      <c r="BQ142" s="34">
        <v>567</v>
      </c>
      <c r="BR142" s="34">
        <v>554</v>
      </c>
      <c r="BS142" s="34" t="s">
        <v>16</v>
      </c>
      <c r="BT142" s="34" t="s">
        <v>16</v>
      </c>
      <c r="BU142" s="34" t="s">
        <v>16</v>
      </c>
      <c r="BV142" s="34" t="s">
        <v>16</v>
      </c>
      <c r="BW142" s="34" t="s">
        <v>16</v>
      </c>
      <c r="BX142" s="34" t="s">
        <v>16</v>
      </c>
      <c r="BY142" s="34" t="s">
        <v>16</v>
      </c>
      <c r="BZ142" s="34" t="s">
        <v>16</v>
      </c>
      <c r="CA142" s="34" t="s">
        <v>16</v>
      </c>
      <c r="CB142" s="34" t="s">
        <v>16</v>
      </c>
      <c r="CC142" s="34" t="s">
        <v>16</v>
      </c>
      <c r="CD142" s="34" t="s">
        <v>16</v>
      </c>
      <c r="CE142" s="34" t="s">
        <v>16</v>
      </c>
      <c r="CF142" s="34" t="s">
        <v>16</v>
      </c>
      <c r="CG142" s="44" t="s">
        <v>16</v>
      </c>
      <c r="CH142" s="63" t="s">
        <v>16</v>
      </c>
      <c r="CI142" s="34">
        <v>448</v>
      </c>
      <c r="CJ142" s="34" t="s">
        <v>16</v>
      </c>
      <c r="CK142" s="34">
        <v>435</v>
      </c>
      <c r="CL142" s="34">
        <v>418</v>
      </c>
      <c r="CM142" s="34">
        <v>408</v>
      </c>
      <c r="CN142" s="34">
        <v>397</v>
      </c>
      <c r="CO142" s="34">
        <v>388</v>
      </c>
      <c r="CP142" s="34">
        <v>380</v>
      </c>
      <c r="CQ142" s="34">
        <v>374</v>
      </c>
      <c r="CR142" s="34">
        <v>370</v>
      </c>
      <c r="CS142" s="34">
        <v>367</v>
      </c>
      <c r="CT142" s="34">
        <v>364</v>
      </c>
      <c r="CU142" s="34">
        <v>360</v>
      </c>
      <c r="CV142" s="34">
        <v>356</v>
      </c>
      <c r="CW142" s="34">
        <v>351</v>
      </c>
      <c r="CX142" s="34">
        <v>347</v>
      </c>
      <c r="CY142" s="34">
        <v>343</v>
      </c>
      <c r="CZ142" s="34">
        <v>339</v>
      </c>
      <c r="DA142" s="34">
        <v>335</v>
      </c>
      <c r="DB142" s="34">
        <v>330</v>
      </c>
      <c r="DC142" s="34">
        <v>325</v>
      </c>
      <c r="DD142" s="34" t="s">
        <v>16</v>
      </c>
      <c r="DE142" s="34" t="s">
        <v>16</v>
      </c>
      <c r="DF142" s="34" t="s">
        <v>16</v>
      </c>
      <c r="DG142" s="34" t="s">
        <v>16</v>
      </c>
      <c r="DH142" s="34" t="s">
        <v>16</v>
      </c>
      <c r="DI142" s="34" t="s">
        <v>16</v>
      </c>
      <c r="DJ142" s="34" t="s">
        <v>16</v>
      </c>
      <c r="DK142" s="34" t="s">
        <v>16</v>
      </c>
      <c r="DL142" s="34" t="s">
        <v>16</v>
      </c>
      <c r="DM142" s="34" t="s">
        <v>16</v>
      </c>
      <c r="DN142" s="34" t="s">
        <v>16</v>
      </c>
      <c r="DO142" s="34" t="s">
        <v>16</v>
      </c>
      <c r="DP142" s="34" t="s">
        <v>16</v>
      </c>
      <c r="DQ142" s="34" t="s">
        <v>16</v>
      </c>
      <c r="DR142" s="55" t="s">
        <v>16</v>
      </c>
    </row>
    <row r="143" spans="1:122">
      <c r="A143" s="56" t="s">
        <v>184</v>
      </c>
      <c r="B143" s="56"/>
      <c r="C143" s="53" t="s">
        <v>94</v>
      </c>
      <c r="D143" s="53">
        <v>19</v>
      </c>
      <c r="E143" s="53">
        <v>25</v>
      </c>
      <c r="F143" s="53" t="s">
        <v>16</v>
      </c>
      <c r="G143" s="53" t="str">
        <f>G142</f>
        <v>ASTM</v>
      </c>
      <c r="H143" s="72">
        <v>690</v>
      </c>
      <c r="I143" s="53">
        <v>550</v>
      </c>
      <c r="J143" s="53" t="str">
        <f>J142</f>
        <v>ASME</v>
      </c>
      <c r="K143" s="59" t="s">
        <v>16</v>
      </c>
      <c r="L143" s="34">
        <v>138</v>
      </c>
      <c r="M143" s="34" t="s">
        <v>16</v>
      </c>
      <c r="N143" s="34">
        <v>138</v>
      </c>
      <c r="O143" s="34">
        <v>138</v>
      </c>
      <c r="P143" s="34">
        <v>138</v>
      </c>
      <c r="Q143" s="34">
        <v>138</v>
      </c>
      <c r="R143" s="34">
        <v>138</v>
      </c>
      <c r="S143" s="34">
        <v>138</v>
      </c>
      <c r="T143" s="34">
        <v>138</v>
      </c>
      <c r="U143" s="34">
        <v>138</v>
      </c>
      <c r="V143" s="34">
        <v>138</v>
      </c>
      <c r="W143" s="34">
        <v>138</v>
      </c>
      <c r="X143" s="34">
        <v>138</v>
      </c>
      <c r="Y143" s="34">
        <v>138</v>
      </c>
      <c r="Z143" s="34">
        <v>138</v>
      </c>
      <c r="AA143" s="34">
        <v>138</v>
      </c>
      <c r="AB143" s="34">
        <v>138</v>
      </c>
      <c r="AC143" s="34">
        <v>138</v>
      </c>
      <c r="AD143" s="34" t="s">
        <v>16</v>
      </c>
      <c r="AE143" s="34" t="s">
        <v>16</v>
      </c>
      <c r="AF143" s="34" t="s">
        <v>16</v>
      </c>
      <c r="AG143" s="34" t="s">
        <v>16</v>
      </c>
      <c r="AH143" s="34" t="s">
        <v>16</v>
      </c>
      <c r="AI143" s="34" t="s">
        <v>16</v>
      </c>
      <c r="AJ143" s="34" t="s">
        <v>16</v>
      </c>
      <c r="AK143" s="34" t="s">
        <v>16</v>
      </c>
      <c r="AL143" s="34" t="s">
        <v>16</v>
      </c>
      <c r="AM143" s="34" t="s">
        <v>16</v>
      </c>
      <c r="AN143" s="34" t="s">
        <v>16</v>
      </c>
      <c r="AO143" s="34" t="s">
        <v>16</v>
      </c>
      <c r="AP143" s="34" t="s">
        <v>16</v>
      </c>
      <c r="AQ143" s="34" t="s">
        <v>16</v>
      </c>
      <c r="AR143" s="34" t="s">
        <v>16</v>
      </c>
      <c r="AS143" s="34" t="s">
        <v>16</v>
      </c>
      <c r="AT143" s="34" t="s">
        <v>16</v>
      </c>
      <c r="AU143" s="55" t="s">
        <v>16</v>
      </c>
      <c r="AV143" s="48" t="s">
        <v>18</v>
      </c>
      <c r="AW143" s="63" t="s">
        <v>16</v>
      </c>
      <c r="AX143" s="34">
        <v>689</v>
      </c>
      <c r="AY143" s="34" t="s">
        <v>16</v>
      </c>
      <c r="AZ143" s="34" t="s">
        <v>16</v>
      </c>
      <c r="BA143" s="34">
        <v>689</v>
      </c>
      <c r="BB143" s="34" t="s">
        <v>16</v>
      </c>
      <c r="BC143" s="34">
        <v>680</v>
      </c>
      <c r="BD143" s="34" t="s">
        <v>16</v>
      </c>
      <c r="BE143" s="34">
        <v>665</v>
      </c>
      <c r="BF143" s="34" t="s">
        <v>16</v>
      </c>
      <c r="BG143" s="34">
        <v>660</v>
      </c>
      <c r="BH143" s="34" t="s">
        <v>16</v>
      </c>
      <c r="BI143" s="34">
        <v>660</v>
      </c>
      <c r="BJ143" s="34">
        <v>660</v>
      </c>
      <c r="BK143" s="34">
        <v>660</v>
      </c>
      <c r="BL143" s="34">
        <v>660</v>
      </c>
      <c r="BM143" s="34">
        <v>657</v>
      </c>
      <c r="BN143" s="34">
        <v>651</v>
      </c>
      <c r="BO143" s="34">
        <v>643</v>
      </c>
      <c r="BP143" s="34">
        <v>632</v>
      </c>
      <c r="BQ143" s="34">
        <v>618</v>
      </c>
      <c r="BR143" s="34">
        <v>601</v>
      </c>
      <c r="BS143" s="34" t="s">
        <v>16</v>
      </c>
      <c r="BT143" s="34" t="s">
        <v>16</v>
      </c>
      <c r="BU143" s="34" t="s">
        <v>16</v>
      </c>
      <c r="BV143" s="34" t="s">
        <v>16</v>
      </c>
      <c r="BW143" s="34" t="s">
        <v>16</v>
      </c>
      <c r="BX143" s="34" t="s">
        <v>16</v>
      </c>
      <c r="BY143" s="34" t="s">
        <v>16</v>
      </c>
      <c r="BZ143" s="34" t="s">
        <v>16</v>
      </c>
      <c r="CA143" s="34" t="s">
        <v>16</v>
      </c>
      <c r="CB143" s="34" t="s">
        <v>16</v>
      </c>
      <c r="CC143" s="34" t="s">
        <v>16</v>
      </c>
      <c r="CD143" s="34" t="s">
        <v>16</v>
      </c>
      <c r="CE143" s="34" t="s">
        <v>16</v>
      </c>
      <c r="CF143" s="34" t="s">
        <v>16</v>
      </c>
      <c r="CG143" s="44" t="s">
        <v>16</v>
      </c>
      <c r="CH143" s="63" t="s">
        <v>16</v>
      </c>
      <c r="CI143" s="34">
        <v>552</v>
      </c>
      <c r="CJ143" s="34" t="s">
        <v>16</v>
      </c>
      <c r="CK143" s="34">
        <v>509</v>
      </c>
      <c r="CL143" s="34">
        <v>472</v>
      </c>
      <c r="CM143" s="34">
        <v>460</v>
      </c>
      <c r="CN143" s="34">
        <v>451</v>
      </c>
      <c r="CO143" s="34">
        <v>434</v>
      </c>
      <c r="CP143" s="34">
        <v>414</v>
      </c>
      <c r="CQ143" s="34">
        <v>397</v>
      </c>
      <c r="CR143" s="34">
        <v>383</v>
      </c>
      <c r="CS143" s="34">
        <v>374</v>
      </c>
      <c r="CT143" s="34">
        <v>364</v>
      </c>
      <c r="CU143" s="34">
        <v>350</v>
      </c>
      <c r="CV143" s="34">
        <v>338</v>
      </c>
      <c r="CW143" s="34">
        <v>333</v>
      </c>
      <c r="CX143" s="34">
        <v>329</v>
      </c>
      <c r="CY143" s="34">
        <v>325</v>
      </c>
      <c r="CZ143" s="34">
        <v>322</v>
      </c>
      <c r="DA143" s="34">
        <v>319</v>
      </c>
      <c r="DB143" s="34">
        <v>316</v>
      </c>
      <c r="DC143" s="34">
        <v>314</v>
      </c>
      <c r="DD143" s="34" t="s">
        <v>16</v>
      </c>
      <c r="DE143" s="34" t="s">
        <v>16</v>
      </c>
      <c r="DF143" s="34" t="s">
        <v>16</v>
      </c>
      <c r="DG143" s="34" t="s">
        <v>16</v>
      </c>
      <c r="DH143" s="34" t="s">
        <v>16</v>
      </c>
      <c r="DI143" s="34" t="s">
        <v>16</v>
      </c>
      <c r="DJ143" s="34" t="s">
        <v>16</v>
      </c>
      <c r="DK143" s="34" t="s">
        <v>16</v>
      </c>
      <c r="DL143" s="34" t="s">
        <v>16</v>
      </c>
      <c r="DM143" s="34" t="s">
        <v>16</v>
      </c>
      <c r="DN143" s="34" t="s">
        <v>16</v>
      </c>
      <c r="DO143" s="34" t="s">
        <v>16</v>
      </c>
      <c r="DP143" s="34" t="s">
        <v>16</v>
      </c>
      <c r="DQ143" s="34" t="s">
        <v>16</v>
      </c>
      <c r="DR143" s="55" t="s">
        <v>16</v>
      </c>
    </row>
    <row r="144" spans="1:122">
      <c r="A144" s="56" t="s">
        <v>184</v>
      </c>
      <c r="B144" s="56"/>
      <c r="C144" s="53" t="s">
        <v>94</v>
      </c>
      <c r="D144" s="53" t="s">
        <v>16</v>
      </c>
      <c r="E144" s="53">
        <v>19</v>
      </c>
      <c r="F144" s="53" t="s">
        <v>16</v>
      </c>
      <c r="G144" s="53" t="str">
        <f>G143</f>
        <v>ASTM</v>
      </c>
      <c r="H144" s="72">
        <v>760</v>
      </c>
      <c r="I144" s="53">
        <v>655</v>
      </c>
      <c r="J144" s="53" t="str">
        <f>J143</f>
        <v>ASME</v>
      </c>
      <c r="K144" s="59" t="s">
        <v>16</v>
      </c>
      <c r="L144" s="34">
        <v>152</v>
      </c>
      <c r="M144" s="34" t="s">
        <v>16</v>
      </c>
      <c r="N144" s="34">
        <v>152</v>
      </c>
      <c r="O144" s="34">
        <v>152</v>
      </c>
      <c r="P144" s="34">
        <v>152</v>
      </c>
      <c r="Q144" s="34">
        <v>152</v>
      </c>
      <c r="R144" s="34">
        <v>152</v>
      </c>
      <c r="S144" s="34">
        <v>152</v>
      </c>
      <c r="T144" s="34">
        <v>152</v>
      </c>
      <c r="U144" s="34">
        <v>152</v>
      </c>
      <c r="V144" s="34">
        <v>152</v>
      </c>
      <c r="W144" s="34">
        <v>152</v>
      </c>
      <c r="X144" s="34">
        <v>152</v>
      </c>
      <c r="Y144" s="34">
        <v>152</v>
      </c>
      <c r="Z144" s="34">
        <v>152</v>
      </c>
      <c r="AA144" s="34">
        <v>152</v>
      </c>
      <c r="AB144" s="34">
        <v>152</v>
      </c>
      <c r="AC144" s="34">
        <v>152</v>
      </c>
      <c r="AD144" s="34" t="s">
        <v>16</v>
      </c>
      <c r="AE144" s="34" t="s">
        <v>16</v>
      </c>
      <c r="AF144" s="34" t="s">
        <v>16</v>
      </c>
      <c r="AG144" s="34" t="s">
        <v>16</v>
      </c>
      <c r="AH144" s="34" t="s">
        <v>16</v>
      </c>
      <c r="AI144" s="34" t="s">
        <v>16</v>
      </c>
      <c r="AJ144" s="34" t="s">
        <v>16</v>
      </c>
      <c r="AK144" s="34" t="s">
        <v>16</v>
      </c>
      <c r="AL144" s="34" t="s">
        <v>16</v>
      </c>
      <c r="AM144" s="34" t="s">
        <v>16</v>
      </c>
      <c r="AN144" s="34" t="s">
        <v>16</v>
      </c>
      <c r="AO144" s="34" t="s">
        <v>16</v>
      </c>
      <c r="AP144" s="34" t="s">
        <v>16</v>
      </c>
      <c r="AQ144" s="34" t="s">
        <v>16</v>
      </c>
      <c r="AR144" s="34" t="s">
        <v>16</v>
      </c>
      <c r="AS144" s="34" t="s">
        <v>16</v>
      </c>
      <c r="AT144" s="34" t="s">
        <v>16</v>
      </c>
      <c r="AU144" s="55" t="s">
        <v>16</v>
      </c>
      <c r="AV144" s="48" t="s">
        <v>18</v>
      </c>
      <c r="AW144" s="63" t="s">
        <v>16</v>
      </c>
      <c r="AX144" s="34">
        <v>758</v>
      </c>
      <c r="AY144" s="34" t="s">
        <v>16</v>
      </c>
      <c r="AZ144" s="34" t="s">
        <v>16</v>
      </c>
      <c r="BA144" s="34">
        <v>758</v>
      </c>
      <c r="BB144" s="34" t="s">
        <v>16</v>
      </c>
      <c r="BC144" s="34">
        <v>747</v>
      </c>
      <c r="BD144" s="34" t="s">
        <v>16</v>
      </c>
      <c r="BE144" s="34">
        <v>731</v>
      </c>
      <c r="BF144" s="34" t="s">
        <v>16</v>
      </c>
      <c r="BG144" s="34">
        <v>726</v>
      </c>
      <c r="BH144" s="34" t="s">
        <v>16</v>
      </c>
      <c r="BI144" s="34">
        <v>726</v>
      </c>
      <c r="BJ144" s="34">
        <v>726</v>
      </c>
      <c r="BK144" s="34">
        <v>726</v>
      </c>
      <c r="BL144" s="34">
        <v>726</v>
      </c>
      <c r="BM144" s="34">
        <v>722</v>
      </c>
      <c r="BN144" s="34">
        <v>716</v>
      </c>
      <c r="BO144" s="34">
        <v>707</v>
      </c>
      <c r="BP144" s="34">
        <v>695</v>
      </c>
      <c r="BQ144" s="34">
        <v>680</v>
      </c>
      <c r="BR144" s="34">
        <v>661</v>
      </c>
      <c r="BS144" s="34" t="s">
        <v>16</v>
      </c>
      <c r="BT144" s="34" t="s">
        <v>16</v>
      </c>
      <c r="BU144" s="34" t="s">
        <v>16</v>
      </c>
      <c r="BV144" s="34" t="s">
        <v>16</v>
      </c>
      <c r="BW144" s="34" t="s">
        <v>16</v>
      </c>
      <c r="BX144" s="34" t="s">
        <v>16</v>
      </c>
      <c r="BY144" s="34" t="s">
        <v>16</v>
      </c>
      <c r="BZ144" s="34" t="s">
        <v>16</v>
      </c>
      <c r="CA144" s="34" t="s">
        <v>16</v>
      </c>
      <c r="CB144" s="34" t="s">
        <v>16</v>
      </c>
      <c r="CC144" s="34" t="s">
        <v>16</v>
      </c>
      <c r="CD144" s="34" t="s">
        <v>16</v>
      </c>
      <c r="CE144" s="34" t="s">
        <v>16</v>
      </c>
      <c r="CF144" s="34" t="s">
        <v>16</v>
      </c>
      <c r="CG144" s="44" t="s">
        <v>16</v>
      </c>
      <c r="CH144" s="63" t="s">
        <v>16</v>
      </c>
      <c r="CI144" s="34">
        <v>655</v>
      </c>
      <c r="CJ144" s="34" t="s">
        <v>16</v>
      </c>
      <c r="CK144" s="34">
        <v>597</v>
      </c>
      <c r="CL144" s="34">
        <v>537</v>
      </c>
      <c r="CM144" s="34">
        <v>509</v>
      </c>
      <c r="CN144" s="34">
        <v>489</v>
      </c>
      <c r="CO144" s="34">
        <v>471</v>
      </c>
      <c r="CP144" s="34">
        <v>454</v>
      </c>
      <c r="CQ144" s="34">
        <v>440</v>
      </c>
      <c r="CR144" s="34">
        <v>428</v>
      </c>
      <c r="CS144" s="34">
        <v>418</v>
      </c>
      <c r="CT144" s="34">
        <v>408</v>
      </c>
      <c r="CU144" s="34">
        <v>399</v>
      </c>
      <c r="CV144" s="34">
        <v>391</v>
      </c>
      <c r="CW144" s="34">
        <v>383</v>
      </c>
      <c r="CX144" s="34">
        <v>375</v>
      </c>
      <c r="CY144" s="34">
        <v>369</v>
      </c>
      <c r="CZ144" s="34">
        <v>362</v>
      </c>
      <c r="DA144" s="34">
        <v>356</v>
      </c>
      <c r="DB144" s="34">
        <v>349</v>
      </c>
      <c r="DC144" s="34">
        <v>342</v>
      </c>
      <c r="DD144" s="34" t="s">
        <v>16</v>
      </c>
      <c r="DE144" s="34" t="s">
        <v>16</v>
      </c>
      <c r="DF144" s="34" t="s">
        <v>16</v>
      </c>
      <c r="DG144" s="34" t="s">
        <v>16</v>
      </c>
      <c r="DH144" s="34" t="s">
        <v>16</v>
      </c>
      <c r="DI144" s="34" t="s">
        <v>16</v>
      </c>
      <c r="DJ144" s="34" t="s">
        <v>16</v>
      </c>
      <c r="DK144" s="34" t="s">
        <v>16</v>
      </c>
      <c r="DL144" s="34" t="s">
        <v>16</v>
      </c>
      <c r="DM144" s="34" t="s">
        <v>16</v>
      </c>
      <c r="DN144" s="34" t="s">
        <v>16</v>
      </c>
      <c r="DO144" s="34" t="s">
        <v>16</v>
      </c>
      <c r="DP144" s="34" t="s">
        <v>16</v>
      </c>
      <c r="DQ144" s="34" t="s">
        <v>16</v>
      </c>
      <c r="DR144" s="55" t="s">
        <v>16</v>
      </c>
    </row>
    <row r="145" spans="1:122">
      <c r="A145" s="56" t="s">
        <v>185</v>
      </c>
      <c r="B145" s="56"/>
      <c r="C145" s="53" t="s">
        <v>15</v>
      </c>
      <c r="D145" s="53" t="s">
        <v>16</v>
      </c>
      <c r="E145" s="53" t="s">
        <v>16</v>
      </c>
      <c r="F145" s="53" t="s">
        <v>16</v>
      </c>
      <c r="G145" s="53" t="s">
        <v>17</v>
      </c>
      <c r="H145" s="72">
        <v>585</v>
      </c>
      <c r="I145" s="53">
        <v>240</v>
      </c>
      <c r="J145" s="53" t="s">
        <v>18</v>
      </c>
      <c r="K145" s="59" t="s">
        <v>16</v>
      </c>
      <c r="L145" s="34">
        <v>146</v>
      </c>
      <c r="M145" s="34" t="s">
        <v>16</v>
      </c>
      <c r="N145" s="34">
        <v>146</v>
      </c>
      <c r="O145" s="34">
        <v>146</v>
      </c>
      <c r="P145" s="34">
        <v>144</v>
      </c>
      <c r="Q145" s="34">
        <v>140</v>
      </c>
      <c r="R145" s="54">
        <v>137</v>
      </c>
      <c r="S145" s="34">
        <v>133</v>
      </c>
      <c r="T145" s="54">
        <v>130</v>
      </c>
      <c r="U145" s="34">
        <v>127</v>
      </c>
      <c r="V145" s="54">
        <v>125</v>
      </c>
      <c r="W145" s="34">
        <v>123</v>
      </c>
      <c r="X145" s="34">
        <v>122</v>
      </c>
      <c r="Y145" s="34">
        <v>121</v>
      </c>
      <c r="Z145" s="34">
        <v>119</v>
      </c>
      <c r="AA145" s="34">
        <v>119</v>
      </c>
      <c r="AB145" s="34">
        <v>118</v>
      </c>
      <c r="AC145" s="34">
        <v>117</v>
      </c>
      <c r="AD145" s="34">
        <v>116</v>
      </c>
      <c r="AE145" s="34">
        <v>115</v>
      </c>
      <c r="AF145" s="34">
        <v>115</v>
      </c>
      <c r="AG145" s="34">
        <v>114</v>
      </c>
      <c r="AH145" s="34" t="s">
        <v>16</v>
      </c>
      <c r="AI145" s="34" t="s">
        <v>16</v>
      </c>
      <c r="AJ145" s="34" t="s">
        <v>16</v>
      </c>
      <c r="AK145" s="34" t="s">
        <v>16</v>
      </c>
      <c r="AL145" s="34" t="s">
        <v>16</v>
      </c>
      <c r="AM145" s="34" t="s">
        <v>16</v>
      </c>
      <c r="AN145" s="34" t="s">
        <v>16</v>
      </c>
      <c r="AO145" s="34" t="s">
        <v>16</v>
      </c>
      <c r="AP145" s="34" t="s">
        <v>16</v>
      </c>
      <c r="AQ145" s="34" t="s">
        <v>16</v>
      </c>
      <c r="AR145" s="34" t="s">
        <v>16</v>
      </c>
      <c r="AS145" s="34" t="s">
        <v>16</v>
      </c>
      <c r="AT145" s="34" t="s">
        <v>16</v>
      </c>
      <c r="AU145" s="55" t="s">
        <v>16</v>
      </c>
      <c r="AV145" s="57" t="s">
        <v>18</v>
      </c>
      <c r="AW145" s="63" t="s">
        <v>16</v>
      </c>
      <c r="AX145" s="34">
        <v>400</v>
      </c>
      <c r="AY145" s="34" t="s">
        <v>16</v>
      </c>
      <c r="AZ145" s="34" t="s">
        <v>16</v>
      </c>
      <c r="BA145" s="34">
        <v>400</v>
      </c>
      <c r="BB145" s="34" t="s">
        <v>16</v>
      </c>
      <c r="BC145" s="34">
        <v>400</v>
      </c>
      <c r="BD145" s="34" t="s">
        <v>16</v>
      </c>
      <c r="BE145" s="34">
        <v>400</v>
      </c>
      <c r="BF145" s="34" t="s">
        <v>16</v>
      </c>
      <c r="BG145" s="34">
        <v>400</v>
      </c>
      <c r="BH145" s="34" t="s">
        <v>16</v>
      </c>
      <c r="BI145" s="34">
        <v>400</v>
      </c>
      <c r="BJ145" s="34">
        <v>400</v>
      </c>
      <c r="BK145" s="34">
        <v>400</v>
      </c>
      <c r="BL145" s="34">
        <v>400</v>
      </c>
      <c r="BM145" s="34">
        <v>394</v>
      </c>
      <c r="BN145" s="34">
        <v>369</v>
      </c>
      <c r="BO145" s="34">
        <v>340</v>
      </c>
      <c r="BP145" s="34">
        <v>308</v>
      </c>
      <c r="BQ145" s="34">
        <v>275</v>
      </c>
      <c r="BR145" s="34">
        <v>245</v>
      </c>
      <c r="BS145" s="34" t="s">
        <v>16</v>
      </c>
      <c r="BT145" s="34" t="s">
        <v>16</v>
      </c>
      <c r="BU145" s="34" t="s">
        <v>16</v>
      </c>
      <c r="BV145" s="34" t="s">
        <v>16</v>
      </c>
      <c r="BW145" s="34" t="s">
        <v>16</v>
      </c>
      <c r="BX145" s="34" t="s">
        <v>16</v>
      </c>
      <c r="BY145" s="34" t="s">
        <v>16</v>
      </c>
      <c r="BZ145" s="34" t="s">
        <v>16</v>
      </c>
      <c r="CA145" s="34" t="s">
        <v>16</v>
      </c>
      <c r="CB145" s="34" t="s">
        <v>16</v>
      </c>
      <c r="CC145" s="34" t="s">
        <v>16</v>
      </c>
      <c r="CD145" s="34" t="s">
        <v>16</v>
      </c>
      <c r="CE145" s="34" t="s">
        <v>16</v>
      </c>
      <c r="CF145" s="34" t="s">
        <v>16</v>
      </c>
      <c r="CG145" s="44" t="s">
        <v>16</v>
      </c>
      <c r="CH145" s="63" t="s">
        <v>16</v>
      </c>
      <c r="CI145" s="34">
        <v>248</v>
      </c>
      <c r="CJ145" s="34" t="s">
        <v>16</v>
      </c>
      <c r="CK145" s="34">
        <v>233</v>
      </c>
      <c r="CL145" s="34">
        <v>227</v>
      </c>
      <c r="CM145" s="34">
        <v>223</v>
      </c>
      <c r="CN145" s="34">
        <v>219</v>
      </c>
      <c r="CO145" s="34">
        <v>216</v>
      </c>
      <c r="CP145" s="34">
        <v>213</v>
      </c>
      <c r="CQ145" s="34">
        <v>209</v>
      </c>
      <c r="CR145" s="34">
        <v>204</v>
      </c>
      <c r="CS145" s="34">
        <v>199</v>
      </c>
      <c r="CT145" s="34">
        <v>194</v>
      </c>
      <c r="CU145" s="34">
        <v>188</v>
      </c>
      <c r="CV145" s="34">
        <v>183</v>
      </c>
      <c r="CW145" s="34">
        <v>177</v>
      </c>
      <c r="CX145" s="34">
        <v>171</v>
      </c>
      <c r="CY145" s="34">
        <v>166</v>
      </c>
      <c r="CZ145" s="34">
        <v>162</v>
      </c>
      <c r="DA145" s="34">
        <v>158</v>
      </c>
      <c r="DB145" s="34">
        <v>154</v>
      </c>
      <c r="DC145" s="34">
        <v>150</v>
      </c>
      <c r="DD145" s="34" t="s">
        <v>16</v>
      </c>
      <c r="DE145" s="34" t="s">
        <v>16</v>
      </c>
      <c r="DF145" s="34" t="s">
        <v>16</v>
      </c>
      <c r="DG145" s="34" t="s">
        <v>16</v>
      </c>
      <c r="DH145" s="34" t="s">
        <v>16</v>
      </c>
      <c r="DI145" s="34" t="s">
        <v>16</v>
      </c>
      <c r="DJ145" s="34" t="s">
        <v>16</v>
      </c>
      <c r="DK145" s="34" t="s">
        <v>16</v>
      </c>
      <c r="DL145" s="34" t="s">
        <v>16</v>
      </c>
      <c r="DM145" s="34" t="s">
        <v>16</v>
      </c>
      <c r="DN145" s="34" t="s">
        <v>16</v>
      </c>
      <c r="DO145" s="34" t="s">
        <v>16</v>
      </c>
      <c r="DP145" s="34" t="s">
        <v>16</v>
      </c>
      <c r="DQ145" s="34" t="s">
        <v>16</v>
      </c>
      <c r="DR145" s="55" t="s">
        <v>16</v>
      </c>
    </row>
    <row r="146" spans="1:122">
      <c r="A146" s="56" t="s">
        <v>186</v>
      </c>
      <c r="B146" s="56"/>
      <c r="C146" s="53" t="s">
        <v>94</v>
      </c>
      <c r="D146" s="53" t="s">
        <v>16</v>
      </c>
      <c r="E146" s="53" t="s">
        <v>16</v>
      </c>
      <c r="F146" s="53" t="s">
        <v>16</v>
      </c>
      <c r="G146" s="53" t="s">
        <v>17</v>
      </c>
      <c r="H146" s="72">
        <v>585</v>
      </c>
      <c r="I146" s="53">
        <v>240</v>
      </c>
      <c r="J146" s="53" t="s">
        <v>18</v>
      </c>
      <c r="K146" s="59" t="s">
        <v>16</v>
      </c>
      <c r="L146" s="34">
        <v>161</v>
      </c>
      <c r="M146" s="34" t="s">
        <v>16</v>
      </c>
      <c r="N146" s="54">
        <v>154</v>
      </c>
      <c r="O146" s="54">
        <v>146</v>
      </c>
      <c r="P146" s="54">
        <v>143</v>
      </c>
      <c r="Q146" s="54">
        <v>140</v>
      </c>
      <c r="R146" s="54">
        <v>137</v>
      </c>
      <c r="S146" s="54">
        <v>134</v>
      </c>
      <c r="T146" s="54">
        <v>131</v>
      </c>
      <c r="U146" s="54">
        <v>129</v>
      </c>
      <c r="V146" s="54">
        <v>126</v>
      </c>
      <c r="W146" s="54">
        <v>124</v>
      </c>
      <c r="X146" s="54">
        <v>122</v>
      </c>
      <c r="Y146" s="54">
        <v>120</v>
      </c>
      <c r="Z146" s="54">
        <v>119</v>
      </c>
      <c r="AA146" s="54">
        <v>119</v>
      </c>
      <c r="AB146" s="54">
        <v>117</v>
      </c>
      <c r="AC146" s="54">
        <v>117</v>
      </c>
      <c r="AD146" s="54">
        <v>117</v>
      </c>
      <c r="AE146" s="34">
        <v>116</v>
      </c>
      <c r="AF146" s="34">
        <v>115</v>
      </c>
      <c r="AG146" s="34">
        <v>113</v>
      </c>
      <c r="AH146" s="34" t="s">
        <v>16</v>
      </c>
      <c r="AI146" s="34" t="s">
        <v>16</v>
      </c>
      <c r="AJ146" s="34" t="s">
        <v>16</v>
      </c>
      <c r="AK146" s="34" t="s">
        <v>16</v>
      </c>
      <c r="AL146" s="34" t="s">
        <v>16</v>
      </c>
      <c r="AM146" s="34" t="s">
        <v>16</v>
      </c>
      <c r="AN146" s="34" t="s">
        <v>16</v>
      </c>
      <c r="AO146" s="34" t="s">
        <v>16</v>
      </c>
      <c r="AP146" s="34" t="s">
        <v>16</v>
      </c>
      <c r="AQ146" s="34" t="s">
        <v>16</v>
      </c>
      <c r="AR146" s="34" t="s">
        <v>16</v>
      </c>
      <c r="AS146" s="34" t="s">
        <v>16</v>
      </c>
      <c r="AT146" s="34" t="s">
        <v>16</v>
      </c>
      <c r="AU146" s="55" t="s">
        <v>16</v>
      </c>
      <c r="AV146" s="57" t="s">
        <v>18</v>
      </c>
      <c r="AW146" s="63" t="s">
        <v>16</v>
      </c>
      <c r="AX146" s="34">
        <v>586</v>
      </c>
      <c r="AY146" s="34" t="s">
        <v>16</v>
      </c>
      <c r="AZ146" s="34" t="s">
        <v>16</v>
      </c>
      <c r="BA146" s="34">
        <v>586</v>
      </c>
      <c r="BB146" s="34" t="s">
        <v>16</v>
      </c>
      <c r="BC146" s="34">
        <v>586</v>
      </c>
      <c r="BD146" s="34" t="s">
        <v>16</v>
      </c>
      <c r="BE146" s="34">
        <v>586</v>
      </c>
      <c r="BF146" s="34" t="s">
        <v>16</v>
      </c>
      <c r="BG146" s="34">
        <v>586</v>
      </c>
      <c r="BH146" s="34" t="s">
        <v>16</v>
      </c>
      <c r="BI146" s="34">
        <v>586</v>
      </c>
      <c r="BJ146" s="34">
        <v>585</v>
      </c>
      <c r="BK146" s="34">
        <v>583</v>
      </c>
      <c r="BL146" s="34">
        <v>580</v>
      </c>
      <c r="BM146" s="34">
        <v>577</v>
      </c>
      <c r="BN146" s="34">
        <v>573</v>
      </c>
      <c r="BO146" s="34">
        <v>569</v>
      </c>
      <c r="BP146" s="34">
        <v>564</v>
      </c>
      <c r="BQ146" s="34">
        <v>557</v>
      </c>
      <c r="BR146" s="34">
        <v>549</v>
      </c>
      <c r="BS146" s="34" t="s">
        <v>16</v>
      </c>
      <c r="BT146" s="34" t="s">
        <v>16</v>
      </c>
      <c r="BU146" s="34" t="s">
        <v>16</v>
      </c>
      <c r="BV146" s="34" t="s">
        <v>16</v>
      </c>
      <c r="BW146" s="34" t="s">
        <v>16</v>
      </c>
      <c r="BX146" s="34" t="s">
        <v>16</v>
      </c>
      <c r="BY146" s="34" t="s">
        <v>16</v>
      </c>
      <c r="BZ146" s="34" t="s">
        <v>16</v>
      </c>
      <c r="CA146" s="34" t="s">
        <v>16</v>
      </c>
      <c r="CB146" s="34" t="s">
        <v>16</v>
      </c>
      <c r="CC146" s="34" t="s">
        <v>16</v>
      </c>
      <c r="CD146" s="34" t="s">
        <v>16</v>
      </c>
      <c r="CE146" s="34" t="s">
        <v>16</v>
      </c>
      <c r="CF146" s="34" t="s">
        <v>16</v>
      </c>
      <c r="CG146" s="44" t="s">
        <v>16</v>
      </c>
      <c r="CH146" s="63" t="s">
        <v>16</v>
      </c>
      <c r="CI146" s="34">
        <v>241</v>
      </c>
      <c r="CJ146" s="34" t="s">
        <v>16</v>
      </c>
      <c r="CK146" s="34">
        <v>228</v>
      </c>
      <c r="CL146" s="34">
        <v>220</v>
      </c>
      <c r="CM146" s="34">
        <v>214</v>
      </c>
      <c r="CN146" s="34">
        <v>210</v>
      </c>
      <c r="CO146" s="34">
        <v>205</v>
      </c>
      <c r="CP146" s="34">
        <v>201</v>
      </c>
      <c r="CQ146" s="34">
        <v>197</v>
      </c>
      <c r="CR146" s="34">
        <v>193</v>
      </c>
      <c r="CS146" s="34">
        <v>189</v>
      </c>
      <c r="CT146" s="34">
        <v>186</v>
      </c>
      <c r="CU146" s="34">
        <v>183</v>
      </c>
      <c r="CV146" s="34">
        <v>181</v>
      </c>
      <c r="CW146" s="34">
        <v>179</v>
      </c>
      <c r="CX146" s="34">
        <v>177</v>
      </c>
      <c r="CY146" s="34">
        <v>177</v>
      </c>
      <c r="CZ146" s="34">
        <v>175</v>
      </c>
      <c r="DA146" s="34">
        <v>175</v>
      </c>
      <c r="DB146" s="34">
        <v>174</v>
      </c>
      <c r="DC146" s="34">
        <v>172</v>
      </c>
      <c r="DD146" s="34" t="s">
        <v>16</v>
      </c>
      <c r="DE146" s="34" t="s">
        <v>16</v>
      </c>
      <c r="DF146" s="34" t="s">
        <v>16</v>
      </c>
      <c r="DG146" s="34" t="s">
        <v>16</v>
      </c>
      <c r="DH146" s="34" t="s">
        <v>16</v>
      </c>
      <c r="DI146" s="34" t="s">
        <v>16</v>
      </c>
      <c r="DJ146" s="34" t="s">
        <v>16</v>
      </c>
      <c r="DK146" s="34" t="s">
        <v>16</v>
      </c>
      <c r="DL146" s="34" t="s">
        <v>16</v>
      </c>
      <c r="DM146" s="34" t="s">
        <v>16</v>
      </c>
      <c r="DN146" s="34" t="s">
        <v>16</v>
      </c>
      <c r="DO146" s="34" t="s">
        <v>16</v>
      </c>
      <c r="DP146" s="34" t="s">
        <v>16</v>
      </c>
      <c r="DQ146" s="34" t="s">
        <v>16</v>
      </c>
      <c r="DR146" s="55" t="s">
        <v>16</v>
      </c>
    </row>
    <row r="147" spans="1:122">
      <c r="A147" s="56" t="s">
        <v>187</v>
      </c>
      <c r="B147" s="56"/>
      <c r="C147" s="53" t="s">
        <v>15</v>
      </c>
      <c r="D147" s="53" t="s">
        <v>16</v>
      </c>
      <c r="E147" s="53" t="s">
        <v>16</v>
      </c>
      <c r="F147" s="53" t="s">
        <v>188</v>
      </c>
      <c r="G147" s="53" t="s">
        <v>17</v>
      </c>
      <c r="H147" s="72">
        <v>690</v>
      </c>
      <c r="I147" s="53">
        <v>380</v>
      </c>
      <c r="J147" s="53" t="s">
        <v>18</v>
      </c>
      <c r="K147" s="59" t="s">
        <v>16</v>
      </c>
      <c r="L147" s="34">
        <v>197</v>
      </c>
      <c r="M147" s="34" t="s">
        <v>16</v>
      </c>
      <c r="N147" s="54">
        <v>196</v>
      </c>
      <c r="O147" s="54">
        <v>195</v>
      </c>
      <c r="P147" s="54">
        <v>191</v>
      </c>
      <c r="Q147" s="54">
        <v>185</v>
      </c>
      <c r="R147" s="54" t="s">
        <v>16</v>
      </c>
      <c r="S147" s="54">
        <v>180</v>
      </c>
      <c r="T147" s="54" t="s">
        <v>16</v>
      </c>
      <c r="U147" s="54">
        <v>176</v>
      </c>
      <c r="V147" s="54" t="s">
        <v>16</v>
      </c>
      <c r="W147" s="54">
        <v>174</v>
      </c>
      <c r="X147" s="54">
        <v>173</v>
      </c>
      <c r="Y147" s="54">
        <v>171</v>
      </c>
      <c r="Z147" s="54">
        <v>170</v>
      </c>
      <c r="AA147" s="54">
        <v>169</v>
      </c>
      <c r="AB147" s="54">
        <v>167</v>
      </c>
      <c r="AC147" s="54">
        <v>165</v>
      </c>
      <c r="AD147" s="54">
        <v>163</v>
      </c>
      <c r="AE147" s="34">
        <v>161</v>
      </c>
      <c r="AF147" s="34">
        <v>158</v>
      </c>
      <c r="AG147" s="34">
        <v>157</v>
      </c>
      <c r="AH147" s="34">
        <v>152</v>
      </c>
      <c r="AI147" s="34">
        <v>132</v>
      </c>
      <c r="AJ147" s="34">
        <v>83.6</v>
      </c>
      <c r="AK147" s="34">
        <v>56.1</v>
      </c>
      <c r="AL147" s="34" t="s">
        <v>16</v>
      </c>
      <c r="AM147" s="34" t="s">
        <v>16</v>
      </c>
      <c r="AN147" s="34" t="s">
        <v>16</v>
      </c>
      <c r="AO147" s="34" t="s">
        <v>16</v>
      </c>
      <c r="AP147" s="34" t="s">
        <v>16</v>
      </c>
      <c r="AQ147" s="34" t="s">
        <v>16</v>
      </c>
      <c r="AR147" s="34" t="s">
        <v>16</v>
      </c>
      <c r="AS147" s="34" t="s">
        <v>16</v>
      </c>
      <c r="AT147" s="34" t="s">
        <v>16</v>
      </c>
      <c r="AU147" s="34" t="s">
        <v>16</v>
      </c>
      <c r="AV147" s="57" t="s">
        <v>18</v>
      </c>
      <c r="AW147" s="63" t="s">
        <v>16</v>
      </c>
      <c r="AX147" s="34">
        <v>689</v>
      </c>
      <c r="AY147" s="34" t="s">
        <v>16</v>
      </c>
      <c r="AZ147" s="34" t="s">
        <v>16</v>
      </c>
      <c r="BA147" s="34">
        <v>683</v>
      </c>
      <c r="BB147" s="34" t="s">
        <v>16</v>
      </c>
      <c r="BC147" s="34">
        <v>649</v>
      </c>
      <c r="BD147" s="34" t="s">
        <v>16</v>
      </c>
      <c r="BE147" s="34">
        <v>629</v>
      </c>
      <c r="BF147" s="34" t="s">
        <v>16</v>
      </c>
      <c r="BG147" s="34">
        <v>617</v>
      </c>
      <c r="BH147" s="34" t="s">
        <v>16</v>
      </c>
      <c r="BI147" s="34">
        <v>607</v>
      </c>
      <c r="BJ147" s="34">
        <v>603</v>
      </c>
      <c r="BK147" s="34">
        <v>599</v>
      </c>
      <c r="BL147" s="34">
        <v>595</v>
      </c>
      <c r="BM147" s="34">
        <v>590</v>
      </c>
      <c r="BN147" s="34">
        <v>585</v>
      </c>
      <c r="BO147" s="34">
        <v>579</v>
      </c>
      <c r="BP147" s="34">
        <v>572</v>
      </c>
      <c r="BQ147" s="34">
        <v>564</v>
      </c>
      <c r="BR147" s="34">
        <v>555</v>
      </c>
      <c r="BS147" s="34" t="s">
        <v>16</v>
      </c>
      <c r="BT147" s="34" t="s">
        <v>16</v>
      </c>
      <c r="BU147" s="34" t="s">
        <v>16</v>
      </c>
      <c r="BV147" s="34" t="s">
        <v>16</v>
      </c>
      <c r="BW147" s="34" t="s">
        <v>16</v>
      </c>
      <c r="BX147" s="34" t="s">
        <v>16</v>
      </c>
      <c r="BY147" s="34" t="s">
        <v>16</v>
      </c>
      <c r="BZ147" s="34" t="s">
        <v>16</v>
      </c>
      <c r="CA147" s="34" t="s">
        <v>16</v>
      </c>
      <c r="CB147" s="34" t="s">
        <v>16</v>
      </c>
      <c r="CC147" s="34" t="s">
        <v>16</v>
      </c>
      <c r="CD147" s="34" t="s">
        <v>16</v>
      </c>
      <c r="CE147" s="34" t="s">
        <v>16</v>
      </c>
      <c r="CF147" s="34" t="s">
        <v>16</v>
      </c>
      <c r="CG147" s="44" t="s">
        <v>16</v>
      </c>
      <c r="CH147" s="63" t="s">
        <v>16</v>
      </c>
      <c r="CI147" s="34">
        <v>379</v>
      </c>
      <c r="CJ147" s="34" t="s">
        <v>16</v>
      </c>
      <c r="CK147" s="34">
        <v>344</v>
      </c>
      <c r="CL147" s="34">
        <v>321</v>
      </c>
      <c r="CM147" s="34">
        <v>308</v>
      </c>
      <c r="CN147" s="34">
        <v>298</v>
      </c>
      <c r="CO147" s="34">
        <v>289</v>
      </c>
      <c r="CP147" s="34">
        <v>282</v>
      </c>
      <c r="CQ147" s="34">
        <v>275</v>
      </c>
      <c r="CR147" s="34">
        <v>270</v>
      </c>
      <c r="CS147" s="34">
        <v>265</v>
      </c>
      <c r="CT147" s="34">
        <v>260</v>
      </c>
      <c r="CU147" s="34">
        <v>256</v>
      </c>
      <c r="CV147" s="34">
        <v>253</v>
      </c>
      <c r="CW147" s="34">
        <v>250</v>
      </c>
      <c r="CX147" s="34">
        <v>247</v>
      </c>
      <c r="CY147" s="34">
        <v>244</v>
      </c>
      <c r="CZ147" s="34">
        <v>241</v>
      </c>
      <c r="DA147" s="34">
        <v>239</v>
      </c>
      <c r="DB147" s="34">
        <v>236</v>
      </c>
      <c r="DC147" s="34">
        <v>234</v>
      </c>
      <c r="DD147" s="34" t="s">
        <v>16</v>
      </c>
      <c r="DE147" s="34" t="s">
        <v>16</v>
      </c>
      <c r="DF147" s="34" t="s">
        <v>16</v>
      </c>
      <c r="DG147" s="34" t="s">
        <v>16</v>
      </c>
      <c r="DH147" s="34" t="s">
        <v>16</v>
      </c>
      <c r="DI147" s="34" t="s">
        <v>16</v>
      </c>
      <c r="DJ147" s="34" t="s">
        <v>16</v>
      </c>
      <c r="DK147" s="34" t="s">
        <v>16</v>
      </c>
      <c r="DL147" s="34" t="s">
        <v>16</v>
      </c>
      <c r="DM147" s="34" t="s">
        <v>16</v>
      </c>
      <c r="DN147" s="34" t="s">
        <v>16</v>
      </c>
      <c r="DO147" s="34" t="s">
        <v>16</v>
      </c>
      <c r="DP147" s="34" t="s">
        <v>16</v>
      </c>
      <c r="DQ147" s="34" t="s">
        <v>16</v>
      </c>
      <c r="DR147" s="55" t="s">
        <v>16</v>
      </c>
    </row>
    <row r="148" spans="1:122">
      <c r="A148" s="56" t="s">
        <v>189</v>
      </c>
      <c r="B148" s="56"/>
      <c r="C148" s="53" t="s">
        <v>94</v>
      </c>
      <c r="D148" s="53" t="s">
        <v>16</v>
      </c>
      <c r="E148" s="53" t="s">
        <v>16</v>
      </c>
      <c r="F148" s="53" t="s">
        <v>188</v>
      </c>
      <c r="G148" s="53" t="s">
        <v>17</v>
      </c>
      <c r="H148" s="72">
        <v>690</v>
      </c>
      <c r="I148" s="53">
        <v>380</v>
      </c>
      <c r="J148" s="53" t="s">
        <v>18</v>
      </c>
      <c r="K148" s="59" t="s">
        <v>16</v>
      </c>
      <c r="L148" s="34">
        <v>172</v>
      </c>
      <c r="M148" s="34" t="s">
        <v>16</v>
      </c>
      <c r="N148" s="34">
        <v>172</v>
      </c>
      <c r="O148" s="34">
        <v>171</v>
      </c>
      <c r="P148" s="34">
        <v>167</v>
      </c>
      <c r="Q148" s="34">
        <v>163</v>
      </c>
      <c r="R148" s="34">
        <v>159</v>
      </c>
      <c r="S148" s="34">
        <v>157</v>
      </c>
      <c r="T148" s="34">
        <v>155</v>
      </c>
      <c r="U148" s="34">
        <v>154</v>
      </c>
      <c r="V148" s="34">
        <v>153</v>
      </c>
      <c r="W148" s="34">
        <v>152</v>
      </c>
      <c r="X148" s="34">
        <v>151</v>
      </c>
      <c r="Y148" s="34">
        <v>150</v>
      </c>
      <c r="Z148" s="34">
        <v>149</v>
      </c>
      <c r="AA148" s="34">
        <v>147</v>
      </c>
      <c r="AB148" s="34">
        <v>146</v>
      </c>
      <c r="AC148" s="34">
        <v>144</v>
      </c>
      <c r="AD148" s="34">
        <v>143</v>
      </c>
      <c r="AE148" s="34">
        <v>141</v>
      </c>
      <c r="AF148" s="34">
        <v>139</v>
      </c>
      <c r="AG148" s="34">
        <v>134</v>
      </c>
      <c r="AH148" s="34">
        <v>121</v>
      </c>
      <c r="AI148" s="34">
        <v>80.099999999999994</v>
      </c>
      <c r="AJ148" s="34">
        <v>53.1</v>
      </c>
      <c r="AK148" s="34" t="s">
        <v>16</v>
      </c>
      <c r="AL148" s="34" t="s">
        <v>16</v>
      </c>
      <c r="AM148" s="34" t="s">
        <v>16</v>
      </c>
      <c r="AN148" s="34" t="s">
        <v>16</v>
      </c>
      <c r="AO148" s="34" t="s">
        <v>16</v>
      </c>
      <c r="AP148" s="34" t="s">
        <v>16</v>
      </c>
      <c r="AQ148" s="34" t="s">
        <v>16</v>
      </c>
      <c r="AR148" s="34" t="s">
        <v>16</v>
      </c>
      <c r="AS148" s="34" t="s">
        <v>16</v>
      </c>
      <c r="AT148" s="34" t="s">
        <v>16</v>
      </c>
      <c r="AU148" s="55" t="s">
        <v>16</v>
      </c>
      <c r="AV148" s="57" t="s">
        <v>18</v>
      </c>
      <c r="AW148" s="63" t="s">
        <v>16</v>
      </c>
      <c r="AX148" s="34">
        <v>689</v>
      </c>
      <c r="AY148" s="34" t="s">
        <v>16</v>
      </c>
      <c r="AZ148" s="34" t="s">
        <v>16</v>
      </c>
      <c r="BA148" s="34">
        <v>683</v>
      </c>
      <c r="BB148" s="34" t="s">
        <v>16</v>
      </c>
      <c r="BC148" s="34">
        <v>649</v>
      </c>
      <c r="BD148" s="34" t="s">
        <v>16</v>
      </c>
      <c r="BE148" s="34">
        <v>629</v>
      </c>
      <c r="BF148" s="34" t="s">
        <v>16</v>
      </c>
      <c r="BG148" s="34">
        <v>617</v>
      </c>
      <c r="BH148" s="34" t="s">
        <v>16</v>
      </c>
      <c r="BI148" s="34">
        <v>607</v>
      </c>
      <c r="BJ148" s="34">
        <v>603</v>
      </c>
      <c r="BK148" s="34">
        <v>599</v>
      </c>
      <c r="BL148" s="34">
        <v>595</v>
      </c>
      <c r="BM148" s="34">
        <v>590</v>
      </c>
      <c r="BN148" s="34">
        <v>585</v>
      </c>
      <c r="BO148" s="34">
        <v>579</v>
      </c>
      <c r="BP148" s="34">
        <v>572</v>
      </c>
      <c r="BQ148" s="34">
        <v>564</v>
      </c>
      <c r="BR148" s="34">
        <v>555</v>
      </c>
      <c r="BS148" s="34" t="s">
        <v>16</v>
      </c>
      <c r="BT148" s="34" t="s">
        <v>16</v>
      </c>
      <c r="BU148" s="34" t="s">
        <v>16</v>
      </c>
      <c r="BV148" s="34" t="s">
        <v>16</v>
      </c>
      <c r="BW148" s="34" t="s">
        <v>16</v>
      </c>
      <c r="BX148" s="34" t="s">
        <v>16</v>
      </c>
      <c r="BY148" s="34" t="s">
        <v>16</v>
      </c>
      <c r="BZ148" s="34" t="s">
        <v>16</v>
      </c>
      <c r="CA148" s="34" t="s">
        <v>16</v>
      </c>
      <c r="CB148" s="34" t="s">
        <v>16</v>
      </c>
      <c r="CC148" s="34" t="s">
        <v>16</v>
      </c>
      <c r="CD148" s="34" t="s">
        <v>16</v>
      </c>
      <c r="CE148" s="34" t="s">
        <v>16</v>
      </c>
      <c r="CF148" s="34" t="s">
        <v>16</v>
      </c>
      <c r="CG148" s="44" t="s">
        <v>16</v>
      </c>
      <c r="CH148" s="63" t="s">
        <v>16</v>
      </c>
      <c r="CI148" s="34">
        <v>379</v>
      </c>
      <c r="CJ148" s="34" t="s">
        <v>16</v>
      </c>
      <c r="CK148" s="34">
        <v>344</v>
      </c>
      <c r="CL148" s="34">
        <v>321</v>
      </c>
      <c r="CM148" s="34">
        <v>308</v>
      </c>
      <c r="CN148" s="34">
        <v>298</v>
      </c>
      <c r="CO148" s="34">
        <v>289</v>
      </c>
      <c r="CP148" s="34">
        <v>282</v>
      </c>
      <c r="CQ148" s="34">
        <v>275</v>
      </c>
      <c r="CR148" s="34">
        <v>270</v>
      </c>
      <c r="CS148" s="34">
        <v>265</v>
      </c>
      <c r="CT148" s="34">
        <v>260</v>
      </c>
      <c r="CU148" s="34">
        <v>256</v>
      </c>
      <c r="CV148" s="34">
        <v>253</v>
      </c>
      <c r="CW148" s="34">
        <v>250</v>
      </c>
      <c r="CX148" s="34">
        <v>247</v>
      </c>
      <c r="CY148" s="34">
        <v>244</v>
      </c>
      <c r="CZ148" s="34">
        <v>241</v>
      </c>
      <c r="DA148" s="34">
        <v>239</v>
      </c>
      <c r="DB148" s="34">
        <v>236</v>
      </c>
      <c r="DC148" s="34">
        <v>234</v>
      </c>
      <c r="DD148" s="34" t="s">
        <v>16</v>
      </c>
      <c r="DE148" s="34" t="s">
        <v>16</v>
      </c>
      <c r="DF148" s="34" t="s">
        <v>16</v>
      </c>
      <c r="DG148" s="34" t="s">
        <v>16</v>
      </c>
      <c r="DH148" s="34" t="s">
        <v>16</v>
      </c>
      <c r="DI148" s="34" t="s">
        <v>16</v>
      </c>
      <c r="DJ148" s="34" t="s">
        <v>16</v>
      </c>
      <c r="DK148" s="34" t="s">
        <v>16</v>
      </c>
      <c r="DL148" s="34" t="s">
        <v>16</v>
      </c>
      <c r="DM148" s="34" t="s">
        <v>16</v>
      </c>
      <c r="DN148" s="34" t="s">
        <v>16</v>
      </c>
      <c r="DO148" s="34" t="s">
        <v>16</v>
      </c>
      <c r="DP148" s="34" t="s">
        <v>16</v>
      </c>
      <c r="DQ148" s="34" t="s">
        <v>16</v>
      </c>
      <c r="DR148" s="55" t="s">
        <v>16</v>
      </c>
    </row>
    <row r="149" spans="1:122">
      <c r="A149" s="56" t="s">
        <v>189</v>
      </c>
      <c r="B149" s="56"/>
      <c r="C149" s="53" t="s">
        <v>94</v>
      </c>
      <c r="D149" s="53">
        <v>75</v>
      </c>
      <c r="E149" s="53">
        <v>200</v>
      </c>
      <c r="F149" s="53" t="str">
        <f t="shared" ref="F149:G151" si="214">F148</f>
        <v>A74</v>
      </c>
      <c r="G149" s="53" t="str">
        <f t="shared" si="214"/>
        <v>ASTM</v>
      </c>
      <c r="H149" s="72">
        <v>690</v>
      </c>
      <c r="I149" s="53">
        <v>415</v>
      </c>
      <c r="J149" s="53" t="str">
        <f>J148</f>
        <v>ASME</v>
      </c>
      <c r="K149" s="59" t="s">
        <v>16</v>
      </c>
      <c r="L149" s="34">
        <v>172</v>
      </c>
      <c r="M149" s="34" t="s">
        <v>16</v>
      </c>
      <c r="N149" s="34">
        <v>172</v>
      </c>
      <c r="O149" s="34">
        <v>171</v>
      </c>
      <c r="P149" s="34">
        <v>167</v>
      </c>
      <c r="Q149" s="34">
        <v>163</v>
      </c>
      <c r="R149" s="34">
        <v>159</v>
      </c>
      <c r="S149" s="34">
        <v>157</v>
      </c>
      <c r="T149" s="34">
        <v>155</v>
      </c>
      <c r="U149" s="34">
        <v>154</v>
      </c>
      <c r="V149" s="34">
        <v>153</v>
      </c>
      <c r="W149" s="34">
        <v>152</v>
      </c>
      <c r="X149" s="34">
        <v>151</v>
      </c>
      <c r="Y149" s="34">
        <v>150</v>
      </c>
      <c r="Z149" s="34">
        <v>149</v>
      </c>
      <c r="AA149" s="34">
        <v>147</v>
      </c>
      <c r="AB149" s="34">
        <v>146</v>
      </c>
      <c r="AC149" s="34">
        <v>144</v>
      </c>
      <c r="AD149" s="34">
        <v>143</v>
      </c>
      <c r="AE149" s="34">
        <v>141</v>
      </c>
      <c r="AF149" s="34">
        <v>139</v>
      </c>
      <c r="AG149" s="34">
        <v>134</v>
      </c>
      <c r="AH149" s="34">
        <v>121</v>
      </c>
      <c r="AI149" s="34">
        <v>80.099999999999994</v>
      </c>
      <c r="AJ149" s="34">
        <v>53.1</v>
      </c>
      <c r="AK149" s="34" t="s">
        <v>16</v>
      </c>
      <c r="AL149" s="34" t="s">
        <v>16</v>
      </c>
      <c r="AM149" s="34" t="s">
        <v>16</v>
      </c>
      <c r="AN149" s="34" t="s">
        <v>16</v>
      </c>
      <c r="AO149" s="34" t="s">
        <v>16</v>
      </c>
      <c r="AP149" s="34" t="s">
        <v>16</v>
      </c>
      <c r="AQ149" s="34" t="s">
        <v>16</v>
      </c>
      <c r="AR149" s="34" t="s">
        <v>16</v>
      </c>
      <c r="AS149" s="34" t="s">
        <v>16</v>
      </c>
      <c r="AT149" s="34" t="s">
        <v>16</v>
      </c>
      <c r="AU149" s="55" t="s">
        <v>16</v>
      </c>
      <c r="AV149" s="57" t="s">
        <v>18</v>
      </c>
      <c r="AW149" s="63" t="s">
        <v>16</v>
      </c>
      <c r="AX149" s="34">
        <v>689</v>
      </c>
      <c r="AY149" s="34" t="s">
        <v>16</v>
      </c>
      <c r="AZ149" s="34" t="s">
        <v>16</v>
      </c>
      <c r="BA149" s="34">
        <v>683</v>
      </c>
      <c r="BB149" s="34" t="s">
        <v>16</v>
      </c>
      <c r="BC149" s="34">
        <v>649</v>
      </c>
      <c r="BD149" s="34" t="s">
        <v>16</v>
      </c>
      <c r="BE149" s="34">
        <v>629</v>
      </c>
      <c r="BF149" s="34" t="s">
        <v>16</v>
      </c>
      <c r="BG149" s="34">
        <v>617</v>
      </c>
      <c r="BH149" s="34" t="s">
        <v>16</v>
      </c>
      <c r="BI149" s="34">
        <v>607</v>
      </c>
      <c r="BJ149" s="34">
        <v>603</v>
      </c>
      <c r="BK149" s="34">
        <v>599</v>
      </c>
      <c r="BL149" s="34">
        <v>595</v>
      </c>
      <c r="BM149" s="34">
        <v>590</v>
      </c>
      <c r="BN149" s="34">
        <v>585</v>
      </c>
      <c r="BO149" s="34">
        <v>579</v>
      </c>
      <c r="BP149" s="34">
        <v>572</v>
      </c>
      <c r="BQ149" s="34">
        <v>564</v>
      </c>
      <c r="BR149" s="34">
        <v>555</v>
      </c>
      <c r="BS149" s="34" t="s">
        <v>16</v>
      </c>
      <c r="BT149" s="34" t="s">
        <v>16</v>
      </c>
      <c r="BU149" s="34" t="s">
        <v>16</v>
      </c>
      <c r="BV149" s="34" t="s">
        <v>16</v>
      </c>
      <c r="BW149" s="34" t="s">
        <v>16</v>
      </c>
      <c r="BX149" s="34" t="s">
        <v>16</v>
      </c>
      <c r="BY149" s="34" t="s">
        <v>16</v>
      </c>
      <c r="BZ149" s="34" t="s">
        <v>16</v>
      </c>
      <c r="CA149" s="34" t="s">
        <v>16</v>
      </c>
      <c r="CB149" s="34" t="s">
        <v>16</v>
      </c>
      <c r="CC149" s="34" t="s">
        <v>16</v>
      </c>
      <c r="CD149" s="34" t="s">
        <v>16</v>
      </c>
      <c r="CE149" s="34" t="s">
        <v>16</v>
      </c>
      <c r="CF149" s="34" t="s">
        <v>16</v>
      </c>
      <c r="CG149" s="44" t="s">
        <v>16</v>
      </c>
      <c r="CH149" s="63" t="s">
        <v>16</v>
      </c>
      <c r="CI149" s="34">
        <v>414</v>
      </c>
      <c r="CJ149" s="34" t="s">
        <v>16</v>
      </c>
      <c r="CK149" s="34">
        <v>382</v>
      </c>
      <c r="CL149" s="34">
        <v>349</v>
      </c>
      <c r="CM149" s="34">
        <v>335</v>
      </c>
      <c r="CN149" s="34">
        <v>325</v>
      </c>
      <c r="CO149" s="34">
        <v>316</v>
      </c>
      <c r="CP149" s="34">
        <v>307</v>
      </c>
      <c r="CQ149" s="34">
        <v>300</v>
      </c>
      <c r="CR149" s="34">
        <v>295</v>
      </c>
      <c r="CS149" s="34">
        <v>289</v>
      </c>
      <c r="CT149" s="34">
        <v>284</v>
      </c>
      <c r="CU149" s="34">
        <v>280</v>
      </c>
      <c r="CV149" s="34">
        <v>275</v>
      </c>
      <c r="CW149" s="34">
        <v>272</v>
      </c>
      <c r="CX149" s="34">
        <v>269</v>
      </c>
      <c r="CY149" s="34">
        <v>266</v>
      </c>
      <c r="CZ149" s="34">
        <v>263</v>
      </c>
      <c r="DA149" s="34">
        <v>261</v>
      </c>
      <c r="DB149" s="34">
        <v>258</v>
      </c>
      <c r="DC149" s="34">
        <v>255</v>
      </c>
      <c r="DD149" s="34" t="s">
        <v>16</v>
      </c>
      <c r="DE149" s="34" t="s">
        <v>16</v>
      </c>
      <c r="DF149" s="34" t="s">
        <v>16</v>
      </c>
      <c r="DG149" s="34" t="s">
        <v>16</v>
      </c>
      <c r="DH149" s="34" t="s">
        <v>16</v>
      </c>
      <c r="DI149" s="34" t="s">
        <v>16</v>
      </c>
      <c r="DJ149" s="34" t="s">
        <v>16</v>
      </c>
      <c r="DK149" s="34" t="s">
        <v>16</v>
      </c>
      <c r="DL149" s="34" t="s">
        <v>16</v>
      </c>
      <c r="DM149" s="34" t="s">
        <v>16</v>
      </c>
      <c r="DN149" s="34" t="s">
        <v>16</v>
      </c>
      <c r="DO149" s="34" t="s">
        <v>16</v>
      </c>
      <c r="DP149" s="34" t="s">
        <v>16</v>
      </c>
      <c r="DQ149" s="34" t="s">
        <v>16</v>
      </c>
      <c r="DR149" s="55" t="s">
        <v>16</v>
      </c>
    </row>
    <row r="150" spans="1:122">
      <c r="A150" s="56" t="s">
        <v>189</v>
      </c>
      <c r="B150" s="56"/>
      <c r="C150" s="53" t="s">
        <v>94</v>
      </c>
      <c r="D150" s="53">
        <v>50</v>
      </c>
      <c r="E150" s="53">
        <v>75</v>
      </c>
      <c r="F150" s="53" t="str">
        <f t="shared" si="214"/>
        <v>A74</v>
      </c>
      <c r="G150" s="53" t="str">
        <f t="shared" si="214"/>
        <v>ASTM</v>
      </c>
      <c r="H150" s="72">
        <v>795</v>
      </c>
      <c r="I150" s="53">
        <v>515</v>
      </c>
      <c r="J150" s="53" t="str">
        <f>J149</f>
        <v>ASME</v>
      </c>
      <c r="K150" s="59" t="s">
        <v>16</v>
      </c>
      <c r="L150" s="34">
        <v>172</v>
      </c>
      <c r="M150" s="34" t="s">
        <v>16</v>
      </c>
      <c r="N150" s="34">
        <v>172</v>
      </c>
      <c r="O150" s="34">
        <v>171</v>
      </c>
      <c r="P150" s="34">
        <v>167</v>
      </c>
      <c r="Q150" s="34">
        <v>163</v>
      </c>
      <c r="R150" s="34">
        <v>159</v>
      </c>
      <c r="S150" s="34">
        <v>157</v>
      </c>
      <c r="T150" s="34">
        <v>155</v>
      </c>
      <c r="U150" s="34">
        <v>154</v>
      </c>
      <c r="V150" s="34">
        <v>153</v>
      </c>
      <c r="W150" s="34">
        <v>152</v>
      </c>
      <c r="X150" s="34">
        <v>151</v>
      </c>
      <c r="Y150" s="34">
        <v>150</v>
      </c>
      <c r="Z150" s="34">
        <v>149</v>
      </c>
      <c r="AA150" s="34">
        <v>147</v>
      </c>
      <c r="AB150" s="34">
        <v>146</v>
      </c>
      <c r="AC150" s="34">
        <v>144</v>
      </c>
      <c r="AD150" s="34">
        <v>143</v>
      </c>
      <c r="AE150" s="34">
        <v>141</v>
      </c>
      <c r="AF150" s="34">
        <v>139</v>
      </c>
      <c r="AG150" s="34">
        <v>134</v>
      </c>
      <c r="AH150" s="34">
        <v>121</v>
      </c>
      <c r="AI150" s="34">
        <v>80.099999999999994</v>
      </c>
      <c r="AJ150" s="34">
        <v>53.1</v>
      </c>
      <c r="AK150" s="34" t="s">
        <v>16</v>
      </c>
      <c r="AL150" s="34" t="s">
        <v>16</v>
      </c>
      <c r="AM150" s="34" t="s">
        <v>16</v>
      </c>
      <c r="AN150" s="34" t="s">
        <v>16</v>
      </c>
      <c r="AO150" s="34" t="s">
        <v>16</v>
      </c>
      <c r="AP150" s="34" t="s">
        <v>16</v>
      </c>
      <c r="AQ150" s="34" t="s">
        <v>16</v>
      </c>
      <c r="AR150" s="34" t="s">
        <v>16</v>
      </c>
      <c r="AS150" s="34" t="s">
        <v>16</v>
      </c>
      <c r="AT150" s="34" t="s">
        <v>16</v>
      </c>
      <c r="AU150" s="55" t="s">
        <v>16</v>
      </c>
      <c r="AV150" s="57" t="s">
        <v>18</v>
      </c>
      <c r="AW150" s="63" t="s">
        <v>16</v>
      </c>
      <c r="AX150" s="34">
        <v>793</v>
      </c>
      <c r="AY150" s="34" t="s">
        <v>16</v>
      </c>
      <c r="AZ150" s="34" t="s">
        <v>16</v>
      </c>
      <c r="BA150" s="34">
        <v>784</v>
      </c>
      <c r="BB150" s="34" t="s">
        <v>16</v>
      </c>
      <c r="BC150" s="34">
        <v>747</v>
      </c>
      <c r="BD150" s="34" t="s">
        <v>16</v>
      </c>
      <c r="BE150" s="34">
        <v>724</v>
      </c>
      <c r="BF150" s="34" t="s">
        <v>16</v>
      </c>
      <c r="BG150" s="34">
        <v>709</v>
      </c>
      <c r="BH150" s="34" t="s">
        <v>16</v>
      </c>
      <c r="BI150" s="34">
        <v>698</v>
      </c>
      <c r="BJ150" s="34">
        <v>693</v>
      </c>
      <c r="BK150" s="34">
        <v>689</v>
      </c>
      <c r="BL150" s="34">
        <v>684</v>
      </c>
      <c r="BM150" s="34">
        <v>678</v>
      </c>
      <c r="BN150" s="34">
        <v>673</v>
      </c>
      <c r="BO150" s="34">
        <v>665</v>
      </c>
      <c r="BP150" s="34">
        <v>657</v>
      </c>
      <c r="BQ150" s="34">
        <v>649</v>
      </c>
      <c r="BR150" s="34">
        <v>638</v>
      </c>
      <c r="BS150" s="34" t="s">
        <v>16</v>
      </c>
      <c r="BT150" s="34" t="s">
        <v>16</v>
      </c>
      <c r="BU150" s="34" t="s">
        <v>16</v>
      </c>
      <c r="BV150" s="34" t="s">
        <v>16</v>
      </c>
      <c r="BW150" s="34" t="s">
        <v>16</v>
      </c>
      <c r="BX150" s="34" t="s">
        <v>16</v>
      </c>
      <c r="BY150" s="34" t="s">
        <v>16</v>
      </c>
      <c r="BZ150" s="34" t="s">
        <v>16</v>
      </c>
      <c r="CA150" s="34" t="s">
        <v>16</v>
      </c>
      <c r="CB150" s="34" t="s">
        <v>16</v>
      </c>
      <c r="CC150" s="34" t="s">
        <v>16</v>
      </c>
      <c r="CD150" s="34" t="s">
        <v>16</v>
      </c>
      <c r="CE150" s="34" t="s">
        <v>16</v>
      </c>
      <c r="CF150" s="34" t="s">
        <v>16</v>
      </c>
      <c r="CG150" s="44" t="s">
        <v>16</v>
      </c>
      <c r="CH150" s="63" t="s">
        <v>16</v>
      </c>
      <c r="CI150" s="34">
        <v>517</v>
      </c>
      <c r="CJ150" s="34" t="s">
        <v>16</v>
      </c>
      <c r="CK150" s="34">
        <v>477</v>
      </c>
      <c r="CL150" s="34">
        <v>436</v>
      </c>
      <c r="CM150" s="34">
        <v>419</v>
      </c>
      <c r="CN150" s="34">
        <v>406</v>
      </c>
      <c r="CO150" s="34">
        <v>395</v>
      </c>
      <c r="CP150" s="34">
        <v>384</v>
      </c>
      <c r="CQ150" s="34">
        <v>376</v>
      </c>
      <c r="CR150" s="34">
        <v>368</v>
      </c>
      <c r="CS150" s="34">
        <v>361</v>
      </c>
      <c r="CT150" s="34">
        <v>355</v>
      </c>
      <c r="CU150" s="34">
        <v>350</v>
      </c>
      <c r="CV150" s="34">
        <v>345</v>
      </c>
      <c r="CW150" s="34">
        <v>340</v>
      </c>
      <c r="CX150" s="34">
        <v>336</v>
      </c>
      <c r="CY150" s="34">
        <v>333</v>
      </c>
      <c r="CZ150" s="34">
        <v>329</v>
      </c>
      <c r="DA150" s="34">
        <v>326</v>
      </c>
      <c r="DB150" s="34">
        <v>323</v>
      </c>
      <c r="DC150" s="34">
        <v>319</v>
      </c>
      <c r="DD150" s="34" t="s">
        <v>16</v>
      </c>
      <c r="DE150" s="34" t="s">
        <v>16</v>
      </c>
      <c r="DF150" s="34" t="s">
        <v>16</v>
      </c>
      <c r="DG150" s="34" t="s">
        <v>16</v>
      </c>
      <c r="DH150" s="34" t="s">
        <v>16</v>
      </c>
      <c r="DI150" s="34" t="s">
        <v>16</v>
      </c>
      <c r="DJ150" s="34" t="s">
        <v>16</v>
      </c>
      <c r="DK150" s="34" t="s">
        <v>16</v>
      </c>
      <c r="DL150" s="34" t="s">
        <v>16</v>
      </c>
      <c r="DM150" s="34" t="s">
        <v>16</v>
      </c>
      <c r="DN150" s="34" t="s">
        <v>16</v>
      </c>
      <c r="DO150" s="34" t="s">
        <v>16</v>
      </c>
      <c r="DP150" s="34" t="s">
        <v>16</v>
      </c>
      <c r="DQ150" s="34" t="s">
        <v>16</v>
      </c>
      <c r="DR150" s="55" t="s">
        <v>16</v>
      </c>
    </row>
    <row r="151" spans="1:122">
      <c r="A151" s="56" t="s">
        <v>189</v>
      </c>
      <c r="B151" s="56"/>
      <c r="C151" s="53" t="s">
        <v>94</v>
      </c>
      <c r="D151" s="53" t="s">
        <v>16</v>
      </c>
      <c r="E151" s="53">
        <v>50</v>
      </c>
      <c r="F151" s="53" t="str">
        <f t="shared" si="214"/>
        <v>A74</v>
      </c>
      <c r="G151" s="53" t="str">
        <f t="shared" si="214"/>
        <v>ASTM</v>
      </c>
      <c r="H151" s="72">
        <v>930</v>
      </c>
      <c r="I151" s="53">
        <v>725</v>
      </c>
      <c r="J151" s="53" t="str">
        <f>J150</f>
        <v>ASME</v>
      </c>
      <c r="K151" s="59" t="s">
        <v>16</v>
      </c>
      <c r="L151" s="34">
        <v>181</v>
      </c>
      <c r="M151" s="34" t="s">
        <v>16</v>
      </c>
      <c r="N151" s="54">
        <v>181</v>
      </c>
      <c r="O151" s="54">
        <v>181</v>
      </c>
      <c r="P151" s="34">
        <v>181</v>
      </c>
      <c r="Q151" s="54">
        <v>181</v>
      </c>
      <c r="R151" s="54">
        <v>181</v>
      </c>
      <c r="S151" s="54">
        <v>181</v>
      </c>
      <c r="T151" s="54">
        <v>181</v>
      </c>
      <c r="U151" s="54">
        <v>181</v>
      </c>
      <c r="V151" s="54">
        <v>181</v>
      </c>
      <c r="W151" s="54">
        <v>181</v>
      </c>
      <c r="X151" s="54">
        <v>181</v>
      </c>
      <c r="Y151" s="54">
        <v>181</v>
      </c>
      <c r="Z151" s="54">
        <v>181</v>
      </c>
      <c r="AA151" s="54">
        <v>181</v>
      </c>
      <c r="AB151" s="54">
        <v>181</v>
      </c>
      <c r="AC151" s="54">
        <v>181</v>
      </c>
      <c r="AD151" s="54">
        <v>181</v>
      </c>
      <c r="AE151" s="34">
        <v>181</v>
      </c>
      <c r="AF151" s="34">
        <v>181</v>
      </c>
      <c r="AG151" s="34">
        <v>165</v>
      </c>
      <c r="AH151" s="34">
        <v>114</v>
      </c>
      <c r="AI151" s="34">
        <v>81.8</v>
      </c>
      <c r="AJ151" s="34">
        <v>52.7</v>
      </c>
      <c r="AK151" s="34" t="s">
        <v>16</v>
      </c>
      <c r="AL151" s="34" t="s">
        <v>16</v>
      </c>
      <c r="AM151" s="34" t="s">
        <v>16</v>
      </c>
      <c r="AN151" s="34" t="s">
        <v>16</v>
      </c>
      <c r="AO151" s="34" t="s">
        <v>16</v>
      </c>
      <c r="AP151" s="34" t="s">
        <v>16</v>
      </c>
      <c r="AQ151" s="34" t="s">
        <v>16</v>
      </c>
      <c r="AR151" s="34" t="s">
        <v>16</v>
      </c>
      <c r="AS151" s="34" t="s">
        <v>16</v>
      </c>
      <c r="AT151" s="34" t="s">
        <v>16</v>
      </c>
      <c r="AU151" s="55" t="s">
        <v>16</v>
      </c>
      <c r="AV151" s="57" t="s">
        <v>18</v>
      </c>
      <c r="AW151" s="63" t="s">
        <v>16</v>
      </c>
      <c r="AX151" s="34">
        <v>931</v>
      </c>
      <c r="AY151" s="34" t="s">
        <v>16</v>
      </c>
      <c r="AZ151" s="34" t="s">
        <v>16</v>
      </c>
      <c r="BA151" s="34">
        <v>920</v>
      </c>
      <c r="BB151" s="34" t="s">
        <v>16</v>
      </c>
      <c r="BC151" s="34">
        <v>876</v>
      </c>
      <c r="BD151" s="34" t="s">
        <v>16</v>
      </c>
      <c r="BE151" s="34">
        <v>850</v>
      </c>
      <c r="BF151" s="34" t="s">
        <v>16</v>
      </c>
      <c r="BG151" s="34">
        <v>832</v>
      </c>
      <c r="BH151" s="34" t="s">
        <v>16</v>
      </c>
      <c r="BI151" s="34">
        <v>820</v>
      </c>
      <c r="BJ151" s="34">
        <v>814</v>
      </c>
      <c r="BK151" s="34">
        <v>809</v>
      </c>
      <c r="BL151" s="34">
        <v>803</v>
      </c>
      <c r="BM151" s="34">
        <v>797</v>
      </c>
      <c r="BN151" s="34">
        <v>789</v>
      </c>
      <c r="BO151" s="34">
        <v>781</v>
      </c>
      <c r="BP151" s="34">
        <v>772</v>
      </c>
      <c r="BQ151" s="34">
        <v>761</v>
      </c>
      <c r="BR151" s="34">
        <v>749</v>
      </c>
      <c r="BS151" s="34" t="s">
        <v>16</v>
      </c>
      <c r="BT151" s="34" t="s">
        <v>16</v>
      </c>
      <c r="BU151" s="34" t="s">
        <v>16</v>
      </c>
      <c r="BV151" s="34" t="s">
        <v>16</v>
      </c>
      <c r="BW151" s="34" t="s">
        <v>16</v>
      </c>
      <c r="BX151" s="34" t="s">
        <v>16</v>
      </c>
      <c r="BY151" s="34" t="s">
        <v>16</v>
      </c>
      <c r="BZ151" s="34" t="s">
        <v>16</v>
      </c>
      <c r="CA151" s="34" t="s">
        <v>16</v>
      </c>
      <c r="CB151" s="34" t="s">
        <v>16</v>
      </c>
      <c r="CC151" s="34" t="s">
        <v>16</v>
      </c>
      <c r="CD151" s="34" t="s">
        <v>16</v>
      </c>
      <c r="CE151" s="34" t="s">
        <v>16</v>
      </c>
      <c r="CF151" s="34" t="s">
        <v>16</v>
      </c>
      <c r="CG151" s="44" t="s">
        <v>16</v>
      </c>
      <c r="CH151" s="63" t="s">
        <v>16</v>
      </c>
      <c r="CI151" s="34">
        <v>724</v>
      </c>
      <c r="CJ151" s="34" t="s">
        <v>16</v>
      </c>
      <c r="CK151" s="34">
        <v>668</v>
      </c>
      <c r="CL151" s="34">
        <v>611</v>
      </c>
      <c r="CM151" s="34">
        <v>586</v>
      </c>
      <c r="CN151" s="34">
        <v>569</v>
      </c>
      <c r="CO151" s="34">
        <v>553</v>
      </c>
      <c r="CP151" s="34">
        <v>539</v>
      </c>
      <c r="CQ151" s="34">
        <v>526</v>
      </c>
      <c r="CR151" s="34">
        <v>516</v>
      </c>
      <c r="CS151" s="34">
        <v>506</v>
      </c>
      <c r="CT151" s="34">
        <v>497</v>
      </c>
      <c r="CU151" s="34">
        <v>490</v>
      </c>
      <c r="CV151" s="34">
        <v>483</v>
      </c>
      <c r="CW151" s="34">
        <v>476</v>
      </c>
      <c r="CX151" s="34">
        <v>471</v>
      </c>
      <c r="CY151" s="34">
        <v>466</v>
      </c>
      <c r="CZ151" s="34">
        <v>461</v>
      </c>
      <c r="DA151" s="34">
        <v>456</v>
      </c>
      <c r="DB151" s="34">
        <v>452</v>
      </c>
      <c r="DC151" s="34">
        <v>446</v>
      </c>
      <c r="DD151" s="34" t="s">
        <v>16</v>
      </c>
      <c r="DE151" s="34" t="s">
        <v>16</v>
      </c>
      <c r="DF151" s="34" t="s">
        <v>16</v>
      </c>
      <c r="DG151" s="34" t="s">
        <v>16</v>
      </c>
      <c r="DH151" s="34" t="s">
        <v>16</v>
      </c>
      <c r="DI151" s="34" t="s">
        <v>16</v>
      </c>
      <c r="DJ151" s="34" t="s">
        <v>16</v>
      </c>
      <c r="DK151" s="34" t="s">
        <v>16</v>
      </c>
      <c r="DL151" s="34" t="s">
        <v>16</v>
      </c>
      <c r="DM151" s="34" t="s">
        <v>16</v>
      </c>
      <c r="DN151" s="34" t="s">
        <v>16</v>
      </c>
      <c r="DO151" s="34" t="s">
        <v>16</v>
      </c>
      <c r="DP151" s="34" t="s">
        <v>16</v>
      </c>
      <c r="DQ151" s="34" t="s">
        <v>16</v>
      </c>
      <c r="DR151" s="55" t="s">
        <v>16</v>
      </c>
    </row>
    <row r="152" spans="1:122">
      <c r="A152" s="56" t="s">
        <v>190</v>
      </c>
      <c r="B152" s="56"/>
      <c r="C152" s="53" t="s">
        <v>94</v>
      </c>
      <c r="D152" s="53" t="s">
        <v>16</v>
      </c>
      <c r="E152" s="53" t="s">
        <v>16</v>
      </c>
      <c r="F152" s="53" t="s">
        <v>16</v>
      </c>
      <c r="G152" s="53" t="s">
        <v>17</v>
      </c>
      <c r="H152" s="72">
        <v>400</v>
      </c>
      <c r="I152" s="53">
        <v>284</v>
      </c>
      <c r="J152" s="53" t="s">
        <v>16</v>
      </c>
      <c r="K152" s="59" t="s">
        <v>16</v>
      </c>
      <c r="L152" s="34" t="s">
        <v>16</v>
      </c>
      <c r="M152" s="34" t="s">
        <v>16</v>
      </c>
      <c r="N152" s="54" t="s">
        <v>16</v>
      </c>
      <c r="O152" s="54" t="s">
        <v>16</v>
      </c>
      <c r="P152" s="54" t="s">
        <v>16</v>
      </c>
      <c r="Q152" s="54" t="s">
        <v>16</v>
      </c>
      <c r="R152" s="54" t="s">
        <v>16</v>
      </c>
      <c r="S152" s="54" t="s">
        <v>16</v>
      </c>
      <c r="T152" s="54" t="s">
        <v>16</v>
      </c>
      <c r="U152" s="54" t="s">
        <v>16</v>
      </c>
      <c r="V152" s="54" t="s">
        <v>16</v>
      </c>
      <c r="W152" s="54" t="s">
        <v>16</v>
      </c>
      <c r="X152" s="54" t="s">
        <v>16</v>
      </c>
      <c r="Y152" s="54" t="s">
        <v>16</v>
      </c>
      <c r="Z152" s="54" t="s">
        <v>16</v>
      </c>
      <c r="AA152" s="54" t="s">
        <v>16</v>
      </c>
      <c r="AB152" s="54" t="s">
        <v>16</v>
      </c>
      <c r="AC152" s="54" t="s">
        <v>16</v>
      </c>
      <c r="AD152" s="54" t="s">
        <v>16</v>
      </c>
      <c r="AE152" s="54" t="s">
        <v>16</v>
      </c>
      <c r="AF152" s="54" t="s">
        <v>16</v>
      </c>
      <c r="AG152" s="54" t="s">
        <v>16</v>
      </c>
      <c r="AH152" s="54" t="s">
        <v>16</v>
      </c>
      <c r="AI152" s="54" t="s">
        <v>16</v>
      </c>
      <c r="AJ152" s="54" t="s">
        <v>16</v>
      </c>
      <c r="AK152" s="54" t="s">
        <v>16</v>
      </c>
      <c r="AL152" s="54" t="s">
        <v>16</v>
      </c>
      <c r="AM152" s="54" t="s">
        <v>16</v>
      </c>
      <c r="AN152" s="54" t="s">
        <v>16</v>
      </c>
      <c r="AO152" s="54" t="s">
        <v>16</v>
      </c>
      <c r="AP152" s="54" t="s">
        <v>16</v>
      </c>
      <c r="AQ152" s="54" t="s">
        <v>16</v>
      </c>
      <c r="AR152" s="54" t="s">
        <v>16</v>
      </c>
      <c r="AS152" s="54" t="s">
        <v>16</v>
      </c>
      <c r="AT152" s="54" t="s">
        <v>16</v>
      </c>
      <c r="AU152" s="64" t="s">
        <v>16</v>
      </c>
      <c r="AV152" s="7" t="s">
        <v>16</v>
      </c>
      <c r="AW152" s="63" t="s">
        <v>16</v>
      </c>
      <c r="AX152" s="34" t="s">
        <v>16</v>
      </c>
      <c r="AY152" s="34" t="s">
        <v>16</v>
      </c>
      <c r="AZ152" s="34" t="s">
        <v>16</v>
      </c>
      <c r="BA152" s="34" t="s">
        <v>16</v>
      </c>
      <c r="BB152" s="34" t="s">
        <v>16</v>
      </c>
      <c r="BC152" s="34" t="s">
        <v>16</v>
      </c>
      <c r="BD152" s="34" t="s">
        <v>16</v>
      </c>
      <c r="BE152" s="34" t="s">
        <v>16</v>
      </c>
      <c r="BF152" s="34" t="s">
        <v>16</v>
      </c>
      <c r="BG152" s="34" t="s">
        <v>16</v>
      </c>
      <c r="BH152" s="34" t="s">
        <v>16</v>
      </c>
      <c r="BI152" s="34" t="s">
        <v>16</v>
      </c>
      <c r="BJ152" s="34" t="s">
        <v>16</v>
      </c>
      <c r="BK152" s="34" t="s">
        <v>16</v>
      </c>
      <c r="BL152" s="34" t="s">
        <v>16</v>
      </c>
      <c r="BM152" s="34" t="s">
        <v>16</v>
      </c>
      <c r="BN152" s="34" t="s">
        <v>16</v>
      </c>
      <c r="BO152" s="34" t="s">
        <v>16</v>
      </c>
      <c r="BP152" s="34" t="s">
        <v>16</v>
      </c>
      <c r="BQ152" s="34" t="s">
        <v>16</v>
      </c>
      <c r="BR152" s="34" t="s">
        <v>16</v>
      </c>
      <c r="BS152" s="34" t="s">
        <v>16</v>
      </c>
      <c r="BT152" s="34" t="s">
        <v>16</v>
      </c>
      <c r="BU152" s="34" t="s">
        <v>16</v>
      </c>
      <c r="BV152" s="34" t="s">
        <v>16</v>
      </c>
      <c r="BW152" s="34" t="s">
        <v>16</v>
      </c>
      <c r="BX152" s="34" t="s">
        <v>16</v>
      </c>
      <c r="BY152" s="34" t="s">
        <v>16</v>
      </c>
      <c r="BZ152" s="34" t="s">
        <v>16</v>
      </c>
      <c r="CA152" s="34" t="s">
        <v>16</v>
      </c>
      <c r="CB152" s="34" t="s">
        <v>16</v>
      </c>
      <c r="CC152" s="34" t="s">
        <v>16</v>
      </c>
      <c r="CD152" s="34" t="s">
        <v>16</v>
      </c>
      <c r="CE152" s="34" t="s">
        <v>16</v>
      </c>
      <c r="CF152" s="34" t="s">
        <v>16</v>
      </c>
      <c r="CG152" s="44" t="s">
        <v>16</v>
      </c>
      <c r="CH152" s="59" t="s">
        <v>16</v>
      </c>
      <c r="CI152" s="34" t="s">
        <v>16</v>
      </c>
      <c r="CJ152" s="34" t="s">
        <v>16</v>
      </c>
      <c r="CK152" s="34" t="s">
        <v>16</v>
      </c>
      <c r="CL152" s="34" t="s">
        <v>16</v>
      </c>
      <c r="CM152" s="34" t="s">
        <v>16</v>
      </c>
      <c r="CN152" s="34" t="s">
        <v>16</v>
      </c>
      <c r="CO152" s="34" t="s">
        <v>16</v>
      </c>
      <c r="CP152" s="34" t="s">
        <v>16</v>
      </c>
      <c r="CQ152" s="34" t="s">
        <v>16</v>
      </c>
      <c r="CR152" s="34" t="s">
        <v>16</v>
      </c>
      <c r="CS152" s="34" t="s">
        <v>16</v>
      </c>
      <c r="CT152" s="34" t="s">
        <v>16</v>
      </c>
      <c r="CU152" s="34" t="s">
        <v>16</v>
      </c>
      <c r="CV152" s="34" t="s">
        <v>16</v>
      </c>
      <c r="CW152" s="34" t="s">
        <v>16</v>
      </c>
      <c r="CX152" s="34" t="s">
        <v>16</v>
      </c>
      <c r="CY152" s="34" t="s">
        <v>16</v>
      </c>
      <c r="CZ152" s="34" t="s">
        <v>16</v>
      </c>
      <c r="DA152" s="34" t="s">
        <v>16</v>
      </c>
      <c r="DB152" s="34" t="s">
        <v>16</v>
      </c>
      <c r="DC152" s="34" t="s">
        <v>16</v>
      </c>
      <c r="DD152" s="34" t="s">
        <v>16</v>
      </c>
      <c r="DE152" s="34" t="s">
        <v>16</v>
      </c>
      <c r="DF152" s="34" t="s">
        <v>16</v>
      </c>
      <c r="DG152" s="34" t="s">
        <v>16</v>
      </c>
      <c r="DH152" s="34" t="s">
        <v>16</v>
      </c>
      <c r="DI152" s="34" t="s">
        <v>16</v>
      </c>
      <c r="DJ152" s="34" t="s">
        <v>16</v>
      </c>
      <c r="DK152" s="34" t="s">
        <v>16</v>
      </c>
      <c r="DL152" s="34" t="s">
        <v>16</v>
      </c>
      <c r="DM152" s="34" t="s">
        <v>16</v>
      </c>
      <c r="DN152" s="34" t="s">
        <v>16</v>
      </c>
      <c r="DO152" s="34" t="s">
        <v>16</v>
      </c>
      <c r="DP152" s="34" t="s">
        <v>16</v>
      </c>
      <c r="DQ152" s="34" t="s">
        <v>16</v>
      </c>
      <c r="DR152" s="64" t="s">
        <v>16</v>
      </c>
    </row>
    <row r="153" spans="1:122">
      <c r="A153" s="56" t="s">
        <v>93</v>
      </c>
      <c r="B153" s="56"/>
      <c r="C153" s="53" t="s">
        <v>94</v>
      </c>
      <c r="D153" s="53">
        <v>25</v>
      </c>
      <c r="E153" s="53">
        <v>38</v>
      </c>
      <c r="F153" s="53" t="s">
        <v>16</v>
      </c>
      <c r="G153" s="53" t="s">
        <v>17</v>
      </c>
      <c r="H153" s="72">
        <v>895</v>
      </c>
      <c r="I153" s="53">
        <v>585</v>
      </c>
      <c r="J153" s="53" t="s">
        <v>18</v>
      </c>
      <c r="K153" s="59" t="s">
        <v>16</v>
      </c>
      <c r="L153" s="34">
        <v>147</v>
      </c>
      <c r="M153" s="34" t="s">
        <v>16</v>
      </c>
      <c r="N153" s="54">
        <v>147</v>
      </c>
      <c r="O153" s="54">
        <v>147</v>
      </c>
      <c r="P153" s="54">
        <v>147</v>
      </c>
      <c r="Q153" s="54">
        <v>147</v>
      </c>
      <c r="R153" s="54">
        <v>147</v>
      </c>
      <c r="S153" s="54">
        <v>147</v>
      </c>
      <c r="T153" s="54">
        <v>147</v>
      </c>
      <c r="U153" s="54">
        <v>147</v>
      </c>
      <c r="V153" s="54">
        <v>147</v>
      </c>
      <c r="W153" s="54" t="s">
        <v>16</v>
      </c>
      <c r="X153" s="54" t="s">
        <v>16</v>
      </c>
      <c r="Y153" s="54" t="s">
        <v>16</v>
      </c>
      <c r="Z153" s="54" t="s">
        <v>16</v>
      </c>
      <c r="AA153" s="54" t="s">
        <v>16</v>
      </c>
      <c r="AB153" s="54" t="s">
        <v>16</v>
      </c>
      <c r="AC153" s="54" t="s">
        <v>16</v>
      </c>
      <c r="AD153" s="54" t="s">
        <v>16</v>
      </c>
      <c r="AE153" s="54" t="s">
        <v>16</v>
      </c>
      <c r="AF153" s="54" t="s">
        <v>16</v>
      </c>
      <c r="AG153" s="54" t="s">
        <v>16</v>
      </c>
      <c r="AH153" s="54" t="s">
        <v>16</v>
      </c>
      <c r="AI153" s="54" t="s">
        <v>16</v>
      </c>
      <c r="AJ153" s="54" t="s">
        <v>16</v>
      </c>
      <c r="AK153" s="54" t="s">
        <v>16</v>
      </c>
      <c r="AL153" s="54" t="s">
        <v>16</v>
      </c>
      <c r="AM153" s="54" t="s">
        <v>16</v>
      </c>
      <c r="AN153" s="54" t="s">
        <v>16</v>
      </c>
      <c r="AO153" s="54" t="s">
        <v>16</v>
      </c>
      <c r="AP153" s="54" t="s">
        <v>16</v>
      </c>
      <c r="AQ153" s="54" t="s">
        <v>16</v>
      </c>
      <c r="AR153" s="54" t="s">
        <v>16</v>
      </c>
      <c r="AS153" s="54" t="s">
        <v>16</v>
      </c>
      <c r="AT153" s="54" t="s">
        <v>16</v>
      </c>
      <c r="AU153" s="64" t="s">
        <v>16</v>
      </c>
      <c r="AV153" s="57" t="s">
        <v>18</v>
      </c>
      <c r="AW153" s="63" t="s">
        <v>16</v>
      </c>
      <c r="AX153" s="34">
        <v>896</v>
      </c>
      <c r="AY153" s="34" t="s">
        <v>16</v>
      </c>
      <c r="AZ153" s="34" t="s">
        <v>16</v>
      </c>
      <c r="BA153" s="34">
        <v>896</v>
      </c>
      <c r="BB153" s="34" t="s">
        <v>16</v>
      </c>
      <c r="BC153" s="34">
        <v>896</v>
      </c>
      <c r="BD153" s="34" t="s">
        <v>16</v>
      </c>
      <c r="BE153" s="34">
        <v>896</v>
      </c>
      <c r="BF153" s="34" t="s">
        <v>16</v>
      </c>
      <c r="BG153" s="34">
        <v>896</v>
      </c>
      <c r="BH153" s="34" t="s">
        <v>16</v>
      </c>
      <c r="BI153" s="34">
        <v>896</v>
      </c>
      <c r="BJ153" s="34">
        <v>890</v>
      </c>
      <c r="BK153" s="34">
        <v>880</v>
      </c>
      <c r="BL153" s="34">
        <v>869</v>
      </c>
      <c r="BM153" s="54" t="s">
        <v>16</v>
      </c>
      <c r="BN153" s="54" t="s">
        <v>16</v>
      </c>
      <c r="BO153" s="54" t="s">
        <v>16</v>
      </c>
      <c r="BP153" s="54" t="s">
        <v>16</v>
      </c>
      <c r="BQ153" s="54" t="s">
        <v>16</v>
      </c>
      <c r="BR153" s="54" t="s">
        <v>16</v>
      </c>
      <c r="BS153" s="54" t="s">
        <v>16</v>
      </c>
      <c r="BT153" s="54" t="s">
        <v>16</v>
      </c>
      <c r="BU153" s="54" t="s">
        <v>16</v>
      </c>
      <c r="BV153" s="54" t="s">
        <v>16</v>
      </c>
      <c r="BW153" s="54" t="s">
        <v>16</v>
      </c>
      <c r="BX153" s="54" t="s">
        <v>16</v>
      </c>
      <c r="BY153" s="54" t="s">
        <v>16</v>
      </c>
      <c r="BZ153" s="54" t="s">
        <v>16</v>
      </c>
      <c r="CA153" s="54" t="s">
        <v>16</v>
      </c>
      <c r="CB153" s="54" t="s">
        <v>16</v>
      </c>
      <c r="CC153" s="54" t="s">
        <v>16</v>
      </c>
      <c r="CD153" s="54" t="s">
        <v>16</v>
      </c>
      <c r="CE153" s="54" t="s">
        <v>16</v>
      </c>
      <c r="CF153" s="54" t="s">
        <v>16</v>
      </c>
      <c r="CG153" s="44" t="s">
        <v>16</v>
      </c>
      <c r="CH153" s="63" t="s">
        <v>16</v>
      </c>
      <c r="CI153" s="34">
        <v>586</v>
      </c>
      <c r="CJ153" s="34" t="s">
        <v>16</v>
      </c>
      <c r="CK153" s="34">
        <v>569</v>
      </c>
      <c r="CL153" s="34">
        <v>558</v>
      </c>
      <c r="CM153" s="34">
        <v>552</v>
      </c>
      <c r="CN153" s="34">
        <v>547</v>
      </c>
      <c r="CO153" s="34">
        <v>543</v>
      </c>
      <c r="CP153" s="34">
        <v>540</v>
      </c>
      <c r="CQ153" s="34">
        <v>537</v>
      </c>
      <c r="CR153" s="34">
        <v>535</v>
      </c>
      <c r="CS153" s="34">
        <v>534</v>
      </c>
      <c r="CT153" s="34">
        <v>532</v>
      </c>
      <c r="CU153" s="34">
        <v>531</v>
      </c>
      <c r="CV153" s="34">
        <v>530</v>
      </c>
      <c r="CW153" s="34">
        <v>529</v>
      </c>
      <c r="CX153" s="54" t="s">
        <v>16</v>
      </c>
      <c r="CY153" s="54" t="s">
        <v>16</v>
      </c>
      <c r="CZ153" s="54" t="s">
        <v>16</v>
      </c>
      <c r="DA153" s="54" t="s">
        <v>16</v>
      </c>
      <c r="DB153" s="54" t="s">
        <v>16</v>
      </c>
      <c r="DC153" s="54" t="s">
        <v>16</v>
      </c>
      <c r="DD153" s="54" t="s">
        <v>16</v>
      </c>
      <c r="DE153" s="54" t="s">
        <v>16</v>
      </c>
      <c r="DF153" s="54" t="s">
        <v>16</v>
      </c>
      <c r="DG153" s="54" t="s">
        <v>16</v>
      </c>
      <c r="DH153" s="54" t="s">
        <v>16</v>
      </c>
      <c r="DI153" s="54" t="s">
        <v>16</v>
      </c>
      <c r="DJ153" s="54" t="s">
        <v>16</v>
      </c>
      <c r="DK153" s="54" t="s">
        <v>16</v>
      </c>
      <c r="DL153" s="54" t="s">
        <v>16</v>
      </c>
      <c r="DM153" s="54" t="s">
        <v>16</v>
      </c>
      <c r="DN153" s="54" t="s">
        <v>16</v>
      </c>
      <c r="DO153" s="54" t="s">
        <v>16</v>
      </c>
      <c r="DP153" s="54" t="s">
        <v>16</v>
      </c>
      <c r="DQ153" s="54" t="s">
        <v>16</v>
      </c>
      <c r="DR153" s="64" t="s">
        <v>16</v>
      </c>
    </row>
    <row r="154" spans="1:122">
      <c r="A154" s="56" t="s">
        <v>93</v>
      </c>
      <c r="B154" s="56"/>
      <c r="C154" s="53" t="s">
        <v>94</v>
      </c>
      <c r="D154" s="53">
        <v>6</v>
      </c>
      <c r="E154" s="53">
        <v>16</v>
      </c>
      <c r="F154" s="53" t="s">
        <v>16</v>
      </c>
      <c r="G154" s="53" t="str">
        <f>G153</f>
        <v>ASTM</v>
      </c>
      <c r="H154" s="72">
        <v>895</v>
      </c>
      <c r="I154" s="53">
        <v>620</v>
      </c>
      <c r="J154" s="53" t="str">
        <f>J153</f>
        <v>ASME</v>
      </c>
      <c r="K154" s="59" t="s">
        <v>16</v>
      </c>
      <c r="L154" s="34">
        <v>155</v>
      </c>
      <c r="M154" s="34" t="s">
        <v>16</v>
      </c>
      <c r="N154" s="54">
        <v>155</v>
      </c>
      <c r="O154" s="54">
        <v>155</v>
      </c>
      <c r="P154" s="54">
        <v>155</v>
      </c>
      <c r="Q154" s="54">
        <v>155</v>
      </c>
      <c r="R154" s="54">
        <v>155</v>
      </c>
      <c r="S154" s="54">
        <v>155</v>
      </c>
      <c r="T154" s="54">
        <v>155</v>
      </c>
      <c r="U154" s="54">
        <v>155</v>
      </c>
      <c r="V154" s="54">
        <v>155</v>
      </c>
      <c r="W154" s="54" t="s">
        <v>16</v>
      </c>
      <c r="X154" s="54" t="s">
        <v>16</v>
      </c>
      <c r="Y154" s="54" t="s">
        <v>16</v>
      </c>
      <c r="Z154" s="54" t="s">
        <v>16</v>
      </c>
      <c r="AA154" s="54" t="s">
        <v>16</v>
      </c>
      <c r="AB154" s="54" t="s">
        <v>16</v>
      </c>
      <c r="AC154" s="54" t="s">
        <v>16</v>
      </c>
      <c r="AD154" s="54" t="s">
        <v>16</v>
      </c>
      <c r="AE154" s="54" t="s">
        <v>16</v>
      </c>
      <c r="AF154" s="54" t="s">
        <v>16</v>
      </c>
      <c r="AG154" s="54" t="s">
        <v>16</v>
      </c>
      <c r="AH154" s="54" t="s">
        <v>16</v>
      </c>
      <c r="AI154" s="54" t="s">
        <v>16</v>
      </c>
      <c r="AJ154" s="54" t="s">
        <v>16</v>
      </c>
      <c r="AK154" s="54" t="s">
        <v>16</v>
      </c>
      <c r="AL154" s="54" t="s">
        <v>16</v>
      </c>
      <c r="AM154" s="54" t="s">
        <v>16</v>
      </c>
      <c r="AN154" s="54" t="s">
        <v>16</v>
      </c>
      <c r="AO154" s="54" t="s">
        <v>16</v>
      </c>
      <c r="AP154" s="54" t="s">
        <v>16</v>
      </c>
      <c r="AQ154" s="54" t="s">
        <v>16</v>
      </c>
      <c r="AR154" s="54" t="s">
        <v>16</v>
      </c>
      <c r="AS154" s="54" t="s">
        <v>16</v>
      </c>
      <c r="AT154" s="54" t="s">
        <v>16</v>
      </c>
      <c r="AU154" s="64" t="s">
        <v>16</v>
      </c>
      <c r="AV154" s="48" t="str">
        <f>AV153</f>
        <v>ASME</v>
      </c>
      <c r="AW154" s="59" t="str">
        <f t="shared" ref="AW154:CG154" si="215">AW153</f>
        <v>-</v>
      </c>
      <c r="AX154" s="54">
        <f t="shared" si="215"/>
        <v>896</v>
      </c>
      <c r="AY154" s="54" t="str">
        <f t="shared" si="215"/>
        <v>-</v>
      </c>
      <c r="AZ154" s="54" t="str">
        <f t="shared" si="215"/>
        <v>-</v>
      </c>
      <c r="BA154" s="54">
        <f t="shared" si="215"/>
        <v>896</v>
      </c>
      <c r="BB154" s="54" t="str">
        <f t="shared" si="215"/>
        <v>-</v>
      </c>
      <c r="BC154" s="54">
        <f t="shared" si="215"/>
        <v>896</v>
      </c>
      <c r="BD154" s="54" t="str">
        <f t="shared" si="215"/>
        <v>-</v>
      </c>
      <c r="BE154" s="54">
        <f t="shared" si="215"/>
        <v>896</v>
      </c>
      <c r="BF154" s="54" t="str">
        <f t="shared" si="215"/>
        <v>-</v>
      </c>
      <c r="BG154" s="54">
        <f t="shared" si="215"/>
        <v>896</v>
      </c>
      <c r="BH154" s="54" t="str">
        <f t="shared" si="215"/>
        <v>-</v>
      </c>
      <c r="BI154" s="54">
        <f t="shared" si="215"/>
        <v>896</v>
      </c>
      <c r="BJ154" s="54">
        <f t="shared" si="215"/>
        <v>890</v>
      </c>
      <c r="BK154" s="54">
        <f t="shared" si="215"/>
        <v>880</v>
      </c>
      <c r="BL154" s="54">
        <f t="shared" si="215"/>
        <v>869</v>
      </c>
      <c r="BM154" s="54" t="str">
        <f t="shared" si="215"/>
        <v>-</v>
      </c>
      <c r="BN154" s="54" t="str">
        <f t="shared" si="215"/>
        <v>-</v>
      </c>
      <c r="BO154" s="54" t="str">
        <f t="shared" si="215"/>
        <v>-</v>
      </c>
      <c r="BP154" s="54" t="str">
        <f t="shared" si="215"/>
        <v>-</v>
      </c>
      <c r="BQ154" s="54" t="str">
        <f t="shared" si="215"/>
        <v>-</v>
      </c>
      <c r="BR154" s="54" t="str">
        <f t="shared" si="215"/>
        <v>-</v>
      </c>
      <c r="BS154" s="54" t="str">
        <f t="shared" si="215"/>
        <v>-</v>
      </c>
      <c r="BT154" s="54" t="str">
        <f t="shared" si="215"/>
        <v>-</v>
      </c>
      <c r="BU154" s="54" t="str">
        <f t="shared" si="215"/>
        <v>-</v>
      </c>
      <c r="BV154" s="54" t="str">
        <f t="shared" si="215"/>
        <v>-</v>
      </c>
      <c r="BW154" s="54" t="str">
        <f t="shared" si="215"/>
        <v>-</v>
      </c>
      <c r="BX154" s="54" t="str">
        <f t="shared" si="215"/>
        <v>-</v>
      </c>
      <c r="BY154" s="54" t="str">
        <f t="shared" si="215"/>
        <v>-</v>
      </c>
      <c r="BZ154" s="54" t="str">
        <f t="shared" si="215"/>
        <v>-</v>
      </c>
      <c r="CA154" s="54" t="str">
        <f t="shared" si="215"/>
        <v>-</v>
      </c>
      <c r="CB154" s="54" t="str">
        <f t="shared" si="215"/>
        <v>-</v>
      </c>
      <c r="CC154" s="54" t="str">
        <f t="shared" si="215"/>
        <v>-</v>
      </c>
      <c r="CD154" s="54" t="str">
        <f t="shared" si="215"/>
        <v>-</v>
      </c>
      <c r="CE154" s="54" t="str">
        <f t="shared" si="215"/>
        <v>-</v>
      </c>
      <c r="CF154" s="54" t="str">
        <f t="shared" si="215"/>
        <v>-</v>
      </c>
      <c r="CG154" s="139" t="str">
        <f t="shared" si="215"/>
        <v>-</v>
      </c>
      <c r="CH154" s="63" t="s">
        <v>16</v>
      </c>
      <c r="CI154" s="34">
        <v>621</v>
      </c>
      <c r="CJ154" s="34" t="s">
        <v>16</v>
      </c>
      <c r="CK154" s="34">
        <v>602</v>
      </c>
      <c r="CL154" s="34">
        <v>591</v>
      </c>
      <c r="CM154" s="34">
        <v>584</v>
      </c>
      <c r="CN154" s="34">
        <v>579</v>
      </c>
      <c r="CO154" s="34">
        <v>575</v>
      </c>
      <c r="CP154" s="34">
        <v>571</v>
      </c>
      <c r="CQ154" s="34">
        <v>569</v>
      </c>
      <c r="CR154" s="34">
        <v>567</v>
      </c>
      <c r="CS154" s="34">
        <v>565</v>
      </c>
      <c r="CT154" s="34">
        <v>564</v>
      </c>
      <c r="CU154" s="34">
        <v>562</v>
      </c>
      <c r="CV154" s="34">
        <v>561</v>
      </c>
      <c r="CW154" s="34">
        <v>560</v>
      </c>
      <c r="CX154" s="54" t="s">
        <v>16</v>
      </c>
      <c r="CY154" s="54" t="s">
        <v>16</v>
      </c>
      <c r="CZ154" s="54" t="s">
        <v>16</v>
      </c>
      <c r="DA154" s="54" t="s">
        <v>16</v>
      </c>
      <c r="DB154" s="54" t="s">
        <v>16</v>
      </c>
      <c r="DC154" s="54" t="s">
        <v>16</v>
      </c>
      <c r="DD154" s="54" t="s">
        <v>16</v>
      </c>
      <c r="DE154" s="54" t="s">
        <v>16</v>
      </c>
      <c r="DF154" s="54" t="s">
        <v>16</v>
      </c>
      <c r="DG154" s="54" t="s">
        <v>16</v>
      </c>
      <c r="DH154" s="54" t="s">
        <v>16</v>
      </c>
      <c r="DI154" s="54" t="s">
        <v>16</v>
      </c>
      <c r="DJ154" s="54" t="s">
        <v>16</v>
      </c>
      <c r="DK154" s="54" t="s">
        <v>16</v>
      </c>
      <c r="DL154" s="54" t="s">
        <v>16</v>
      </c>
      <c r="DM154" s="54" t="s">
        <v>16</v>
      </c>
      <c r="DN154" s="54" t="s">
        <v>16</v>
      </c>
      <c r="DO154" s="54" t="s">
        <v>16</v>
      </c>
      <c r="DP154" s="54" t="s">
        <v>16</v>
      </c>
      <c r="DQ154" s="54" t="s">
        <v>16</v>
      </c>
      <c r="DR154" s="64" t="s">
        <v>16</v>
      </c>
    </row>
    <row r="155" spans="1:122">
      <c r="A155" s="56" t="s">
        <v>191</v>
      </c>
      <c r="B155" s="56"/>
      <c r="C155" s="53" t="str">
        <f t="shared" ref="C155:AU155" si="216">C6</f>
        <v>bar</v>
      </c>
      <c r="D155" s="53" t="str">
        <f t="shared" si="216"/>
        <v>-</v>
      </c>
      <c r="E155" s="53" t="str">
        <f t="shared" si="216"/>
        <v>-</v>
      </c>
      <c r="F155" s="53" t="str">
        <f t="shared" si="216"/>
        <v>-</v>
      </c>
      <c r="G155" s="53" t="str">
        <f t="shared" si="216"/>
        <v>ASTM</v>
      </c>
      <c r="H155" s="72">
        <f t="shared" si="216"/>
        <v>515</v>
      </c>
      <c r="I155" s="53">
        <f t="shared" si="216"/>
        <v>205</v>
      </c>
      <c r="J155" s="53" t="str">
        <f t="shared" si="216"/>
        <v>ASME</v>
      </c>
      <c r="K155" s="59" t="str">
        <f t="shared" si="216"/>
        <v>-</v>
      </c>
      <c r="L155" s="54">
        <f t="shared" si="216"/>
        <v>138</v>
      </c>
      <c r="M155" s="54" t="str">
        <f t="shared" si="216"/>
        <v>-</v>
      </c>
      <c r="N155" s="54">
        <f t="shared" si="216"/>
        <v>138</v>
      </c>
      <c r="O155" s="54">
        <f t="shared" si="216"/>
        <v>138</v>
      </c>
      <c r="P155" s="54">
        <f t="shared" si="216"/>
        <v>138</v>
      </c>
      <c r="Q155" s="54">
        <f t="shared" si="216"/>
        <v>138</v>
      </c>
      <c r="R155" s="54" t="str">
        <f t="shared" si="216"/>
        <v>-</v>
      </c>
      <c r="S155" s="54">
        <f t="shared" si="216"/>
        <v>134</v>
      </c>
      <c r="T155" s="54" t="str">
        <f t="shared" si="216"/>
        <v>-</v>
      </c>
      <c r="U155" s="54">
        <f t="shared" si="216"/>
        <v>126</v>
      </c>
      <c r="V155" s="54" t="str">
        <f t="shared" si="216"/>
        <v>-</v>
      </c>
      <c r="W155" s="54">
        <f t="shared" si="216"/>
        <v>119</v>
      </c>
      <c r="X155" s="54">
        <f t="shared" si="216"/>
        <v>116</v>
      </c>
      <c r="Y155" s="54">
        <f t="shared" si="216"/>
        <v>114</v>
      </c>
      <c r="Z155" s="54">
        <f t="shared" si="216"/>
        <v>112</v>
      </c>
      <c r="AA155" s="54">
        <f t="shared" si="216"/>
        <v>111</v>
      </c>
      <c r="AB155" s="54">
        <f t="shared" si="216"/>
        <v>110</v>
      </c>
      <c r="AC155" s="54">
        <f t="shared" si="216"/>
        <v>108</v>
      </c>
      <c r="AD155" s="54">
        <f t="shared" si="216"/>
        <v>108</v>
      </c>
      <c r="AE155" s="54">
        <f t="shared" si="216"/>
        <v>107</v>
      </c>
      <c r="AF155" s="54">
        <f t="shared" si="216"/>
        <v>106</v>
      </c>
      <c r="AG155" s="54">
        <f t="shared" si="216"/>
        <v>105</v>
      </c>
      <c r="AH155" s="54">
        <f t="shared" si="216"/>
        <v>99.8</v>
      </c>
      <c r="AI155" s="54">
        <f t="shared" si="216"/>
        <v>80.3</v>
      </c>
      <c r="AJ155" s="54">
        <f t="shared" si="216"/>
        <v>65.5</v>
      </c>
      <c r="AK155" s="54">
        <f t="shared" si="216"/>
        <v>50.4</v>
      </c>
      <c r="AL155" s="54">
        <f t="shared" si="216"/>
        <v>38.6</v>
      </c>
      <c r="AM155" s="54">
        <f t="shared" si="216"/>
        <v>29.6</v>
      </c>
      <c r="AN155" s="54">
        <f t="shared" si="216"/>
        <v>23</v>
      </c>
      <c r="AO155" s="54">
        <f t="shared" si="216"/>
        <v>17.7</v>
      </c>
      <c r="AP155" s="54">
        <f t="shared" si="216"/>
        <v>13.4</v>
      </c>
      <c r="AQ155" s="54">
        <f t="shared" si="216"/>
        <v>10.4</v>
      </c>
      <c r="AR155" s="54">
        <f t="shared" si="216"/>
        <v>8.0500000000000007</v>
      </c>
      <c r="AS155" s="54" t="str">
        <f t="shared" si="216"/>
        <v>-</v>
      </c>
      <c r="AT155" s="54" t="str">
        <f t="shared" si="216"/>
        <v>-</v>
      </c>
      <c r="AU155" s="64" t="str">
        <f t="shared" si="216"/>
        <v>-</v>
      </c>
      <c r="AV155" s="48" t="s">
        <v>16</v>
      </c>
      <c r="AW155" s="59" t="s">
        <v>16</v>
      </c>
      <c r="AX155" s="54" t="s">
        <v>16</v>
      </c>
      <c r="AY155" s="54" t="s">
        <v>16</v>
      </c>
      <c r="AZ155" s="54" t="s">
        <v>16</v>
      </c>
      <c r="BA155" s="54" t="s">
        <v>16</v>
      </c>
      <c r="BB155" s="54" t="s">
        <v>16</v>
      </c>
      <c r="BC155" s="54" t="s">
        <v>16</v>
      </c>
      <c r="BD155" s="54" t="s">
        <v>16</v>
      </c>
      <c r="BE155" s="54" t="s">
        <v>16</v>
      </c>
      <c r="BF155" s="54" t="s">
        <v>16</v>
      </c>
      <c r="BG155" s="54" t="s">
        <v>16</v>
      </c>
      <c r="BH155" s="54" t="s">
        <v>16</v>
      </c>
      <c r="BI155" s="54" t="s">
        <v>16</v>
      </c>
      <c r="BJ155" s="54" t="s">
        <v>16</v>
      </c>
      <c r="BK155" s="54" t="s">
        <v>16</v>
      </c>
      <c r="BL155" s="54" t="s">
        <v>16</v>
      </c>
      <c r="BM155" s="54" t="s">
        <v>16</v>
      </c>
      <c r="BN155" s="54" t="s">
        <v>16</v>
      </c>
      <c r="BO155" s="54" t="s">
        <v>16</v>
      </c>
      <c r="BP155" s="54" t="s">
        <v>16</v>
      </c>
      <c r="BQ155" s="54" t="s">
        <v>16</v>
      </c>
      <c r="BR155" s="54" t="s">
        <v>16</v>
      </c>
      <c r="BS155" s="54" t="s">
        <v>16</v>
      </c>
      <c r="BT155" s="54" t="s">
        <v>16</v>
      </c>
      <c r="BU155" s="54" t="s">
        <v>16</v>
      </c>
      <c r="BV155" s="54" t="s">
        <v>16</v>
      </c>
      <c r="BW155" s="54" t="s">
        <v>16</v>
      </c>
      <c r="BX155" s="54" t="s">
        <v>16</v>
      </c>
      <c r="BY155" s="54" t="s">
        <v>16</v>
      </c>
      <c r="BZ155" s="54" t="s">
        <v>16</v>
      </c>
      <c r="CA155" s="54" t="s">
        <v>16</v>
      </c>
      <c r="CB155" s="54" t="s">
        <v>16</v>
      </c>
      <c r="CC155" s="54" t="s">
        <v>16</v>
      </c>
      <c r="CD155" s="54" t="s">
        <v>16</v>
      </c>
      <c r="CE155" s="54" t="s">
        <v>16</v>
      </c>
      <c r="CF155" s="54" t="s">
        <v>16</v>
      </c>
      <c r="CG155" s="44" t="s">
        <v>16</v>
      </c>
      <c r="CH155" s="59" t="s">
        <v>16</v>
      </c>
      <c r="CI155" s="54" t="s">
        <v>16</v>
      </c>
      <c r="CJ155" s="54" t="s">
        <v>16</v>
      </c>
      <c r="CK155" s="54" t="s">
        <v>16</v>
      </c>
      <c r="CL155" s="54" t="s">
        <v>16</v>
      </c>
      <c r="CM155" s="54" t="s">
        <v>16</v>
      </c>
      <c r="CN155" s="54" t="s">
        <v>16</v>
      </c>
      <c r="CO155" s="54" t="s">
        <v>16</v>
      </c>
      <c r="CP155" s="54" t="s">
        <v>16</v>
      </c>
      <c r="CQ155" s="54" t="s">
        <v>16</v>
      </c>
      <c r="CR155" s="54" t="s">
        <v>16</v>
      </c>
      <c r="CS155" s="54" t="s">
        <v>16</v>
      </c>
      <c r="CT155" s="54" t="s">
        <v>16</v>
      </c>
      <c r="CU155" s="54" t="s">
        <v>16</v>
      </c>
      <c r="CV155" s="54" t="s">
        <v>16</v>
      </c>
      <c r="CW155" s="54" t="s">
        <v>16</v>
      </c>
      <c r="CX155" s="54" t="s">
        <v>16</v>
      </c>
      <c r="CY155" s="54" t="s">
        <v>16</v>
      </c>
      <c r="CZ155" s="54" t="s">
        <v>16</v>
      </c>
      <c r="DA155" s="54" t="s">
        <v>16</v>
      </c>
      <c r="DB155" s="54" t="s">
        <v>16</v>
      </c>
      <c r="DC155" s="54" t="s">
        <v>16</v>
      </c>
      <c r="DD155" s="54" t="s">
        <v>16</v>
      </c>
      <c r="DE155" s="54" t="s">
        <v>16</v>
      </c>
      <c r="DF155" s="54" t="s">
        <v>16</v>
      </c>
      <c r="DG155" s="54" t="s">
        <v>16</v>
      </c>
      <c r="DH155" s="54" t="s">
        <v>16</v>
      </c>
      <c r="DI155" s="54" t="s">
        <v>16</v>
      </c>
      <c r="DJ155" s="54" t="s">
        <v>16</v>
      </c>
      <c r="DK155" s="54" t="s">
        <v>16</v>
      </c>
      <c r="DL155" s="54" t="s">
        <v>16</v>
      </c>
      <c r="DM155" s="54" t="s">
        <v>16</v>
      </c>
      <c r="DN155" s="54" t="s">
        <v>16</v>
      </c>
      <c r="DO155" s="54" t="s">
        <v>16</v>
      </c>
      <c r="DP155" s="54" t="s">
        <v>16</v>
      </c>
      <c r="DQ155" s="54" t="s">
        <v>16</v>
      </c>
      <c r="DR155" s="64" t="s">
        <v>16</v>
      </c>
    </row>
    <row r="156" spans="1:122">
      <c r="A156" s="56" t="s">
        <v>192</v>
      </c>
      <c r="B156" s="56"/>
      <c r="C156" s="53" t="s">
        <v>15</v>
      </c>
      <c r="D156" s="53" t="s">
        <v>16</v>
      </c>
      <c r="E156" s="53" t="s">
        <v>16</v>
      </c>
      <c r="F156" s="53" t="s">
        <v>16</v>
      </c>
      <c r="G156" s="53" t="s">
        <v>17</v>
      </c>
      <c r="H156" s="72">
        <v>515</v>
      </c>
      <c r="I156" s="53">
        <v>205</v>
      </c>
      <c r="J156" s="53" t="s">
        <v>18</v>
      </c>
      <c r="K156" s="63" t="s">
        <v>16</v>
      </c>
      <c r="L156" s="34">
        <v>138</v>
      </c>
      <c r="M156" s="34" t="s">
        <v>16</v>
      </c>
      <c r="N156" s="34">
        <v>138</v>
      </c>
      <c r="O156" s="34">
        <v>137</v>
      </c>
      <c r="P156" s="34">
        <v>134</v>
      </c>
      <c r="Q156" s="34">
        <v>130</v>
      </c>
      <c r="R156" s="34" t="s">
        <v>16</v>
      </c>
      <c r="S156" s="34">
        <v>126</v>
      </c>
      <c r="T156" s="34" t="s">
        <v>16</v>
      </c>
      <c r="U156" s="34">
        <v>122</v>
      </c>
      <c r="V156" s="34" t="s">
        <v>16</v>
      </c>
      <c r="W156" s="34">
        <v>116</v>
      </c>
      <c r="X156" s="34">
        <v>114</v>
      </c>
      <c r="Y156" s="34">
        <v>111</v>
      </c>
      <c r="Z156" s="34">
        <v>109</v>
      </c>
      <c r="AA156" s="34">
        <v>107</v>
      </c>
      <c r="AB156" s="34">
        <v>105</v>
      </c>
      <c r="AC156" s="34">
        <v>103</v>
      </c>
      <c r="AD156" s="34">
        <v>101</v>
      </c>
      <c r="AE156" s="34">
        <v>99.3</v>
      </c>
      <c r="AF156" s="34">
        <v>98</v>
      </c>
      <c r="AG156" s="34">
        <v>93.3</v>
      </c>
      <c r="AH156" s="34">
        <v>79.599999999999994</v>
      </c>
      <c r="AI156" s="34">
        <v>65.400000000000006</v>
      </c>
      <c r="AJ156" s="34">
        <v>51.4</v>
      </c>
      <c r="AK156" s="34">
        <v>41.7</v>
      </c>
      <c r="AL156" s="34">
        <v>32.9</v>
      </c>
      <c r="AM156" s="34">
        <v>26.5</v>
      </c>
      <c r="AN156" s="34">
        <v>21.2</v>
      </c>
      <c r="AO156" s="34">
        <v>17.2</v>
      </c>
      <c r="AP156" s="34">
        <v>13.9</v>
      </c>
      <c r="AQ156" s="34">
        <v>11.1</v>
      </c>
      <c r="AR156" s="34">
        <v>8.73</v>
      </c>
      <c r="AS156" s="34" t="s">
        <v>16</v>
      </c>
      <c r="AT156" s="34" t="s">
        <v>16</v>
      </c>
      <c r="AU156" s="55" t="s">
        <v>16</v>
      </c>
      <c r="AV156" s="57" t="s">
        <v>16</v>
      </c>
      <c r="AW156" s="63" t="s">
        <v>16</v>
      </c>
      <c r="AX156" s="34" t="s">
        <v>16</v>
      </c>
      <c r="AY156" s="34" t="s">
        <v>16</v>
      </c>
      <c r="AZ156" s="34" t="s">
        <v>16</v>
      </c>
      <c r="BA156" s="34" t="s">
        <v>16</v>
      </c>
      <c r="BB156" s="34" t="s">
        <v>16</v>
      </c>
      <c r="BC156" s="34" t="s">
        <v>16</v>
      </c>
      <c r="BD156" s="34" t="s">
        <v>16</v>
      </c>
      <c r="BE156" s="34" t="s">
        <v>16</v>
      </c>
      <c r="BF156" s="34" t="s">
        <v>16</v>
      </c>
      <c r="BG156" s="34" t="s">
        <v>16</v>
      </c>
      <c r="BH156" s="34" t="s">
        <v>16</v>
      </c>
      <c r="BI156" s="34" t="s">
        <v>16</v>
      </c>
      <c r="BJ156" s="34" t="s">
        <v>16</v>
      </c>
      <c r="BK156" s="34" t="s">
        <v>16</v>
      </c>
      <c r="BL156" s="34" t="s">
        <v>16</v>
      </c>
      <c r="BM156" s="34" t="s">
        <v>16</v>
      </c>
      <c r="BN156" s="34" t="s">
        <v>16</v>
      </c>
      <c r="BO156" s="34" t="s">
        <v>16</v>
      </c>
      <c r="BP156" s="34" t="s">
        <v>16</v>
      </c>
      <c r="BQ156" s="34" t="s">
        <v>16</v>
      </c>
      <c r="BR156" s="34" t="s">
        <v>16</v>
      </c>
      <c r="BS156" s="34" t="s">
        <v>16</v>
      </c>
      <c r="BT156" s="34" t="s">
        <v>16</v>
      </c>
      <c r="BU156" s="34" t="s">
        <v>16</v>
      </c>
      <c r="BV156" s="34" t="s">
        <v>16</v>
      </c>
      <c r="BW156" s="34" t="s">
        <v>16</v>
      </c>
      <c r="BX156" s="34" t="s">
        <v>16</v>
      </c>
      <c r="BY156" s="34" t="s">
        <v>16</v>
      </c>
      <c r="BZ156" s="34" t="s">
        <v>16</v>
      </c>
      <c r="CA156" s="34" t="s">
        <v>16</v>
      </c>
      <c r="CB156" s="34" t="s">
        <v>16</v>
      </c>
      <c r="CC156" s="34" t="s">
        <v>16</v>
      </c>
      <c r="CD156" s="34" t="s">
        <v>16</v>
      </c>
      <c r="CE156" s="34" t="s">
        <v>16</v>
      </c>
      <c r="CF156" s="34" t="s">
        <v>16</v>
      </c>
      <c r="CG156" s="44" t="s">
        <v>16</v>
      </c>
      <c r="CH156" s="63" t="s">
        <v>16</v>
      </c>
      <c r="CI156" s="34" t="s">
        <v>16</v>
      </c>
      <c r="CJ156" s="34" t="s">
        <v>16</v>
      </c>
      <c r="CK156" s="34" t="s">
        <v>16</v>
      </c>
      <c r="CL156" s="34" t="s">
        <v>16</v>
      </c>
      <c r="CM156" s="34" t="s">
        <v>16</v>
      </c>
      <c r="CN156" s="34" t="s">
        <v>16</v>
      </c>
      <c r="CO156" s="34" t="s">
        <v>16</v>
      </c>
      <c r="CP156" s="34" t="s">
        <v>16</v>
      </c>
      <c r="CQ156" s="34" t="s">
        <v>16</v>
      </c>
      <c r="CR156" s="34" t="s">
        <v>16</v>
      </c>
      <c r="CS156" s="34" t="s">
        <v>16</v>
      </c>
      <c r="CT156" s="34" t="s">
        <v>16</v>
      </c>
      <c r="CU156" s="34" t="s">
        <v>16</v>
      </c>
      <c r="CV156" s="34" t="s">
        <v>16</v>
      </c>
      <c r="CW156" s="34" t="s">
        <v>16</v>
      </c>
      <c r="CX156" s="34" t="s">
        <v>16</v>
      </c>
      <c r="CY156" s="34" t="s">
        <v>16</v>
      </c>
      <c r="CZ156" s="34" t="s">
        <v>16</v>
      </c>
      <c r="DA156" s="34" t="s">
        <v>16</v>
      </c>
      <c r="DB156" s="34" t="s">
        <v>16</v>
      </c>
      <c r="DC156" s="34" t="s">
        <v>16</v>
      </c>
      <c r="DD156" s="34" t="s">
        <v>16</v>
      </c>
      <c r="DE156" s="34" t="s">
        <v>16</v>
      </c>
      <c r="DF156" s="34" t="s">
        <v>16</v>
      </c>
      <c r="DG156" s="34" t="s">
        <v>16</v>
      </c>
      <c r="DH156" s="34" t="s">
        <v>16</v>
      </c>
      <c r="DI156" s="34" t="s">
        <v>16</v>
      </c>
      <c r="DJ156" s="34" t="s">
        <v>16</v>
      </c>
      <c r="DK156" s="34" t="s">
        <v>16</v>
      </c>
      <c r="DL156" s="34" t="s">
        <v>16</v>
      </c>
      <c r="DM156" s="34" t="s">
        <v>16</v>
      </c>
      <c r="DN156" s="34" t="s">
        <v>16</v>
      </c>
      <c r="DO156" s="34" t="s">
        <v>16</v>
      </c>
      <c r="DP156" s="34" t="s">
        <v>16</v>
      </c>
      <c r="DQ156" s="34" t="s">
        <v>16</v>
      </c>
      <c r="DR156" s="55" t="s">
        <v>16</v>
      </c>
    </row>
    <row r="157" spans="1:122">
      <c r="A157" s="98" t="s">
        <v>193</v>
      </c>
      <c r="B157" s="98"/>
      <c r="C157" s="53" t="s">
        <v>94</v>
      </c>
      <c r="D157" s="53" t="s">
        <v>16</v>
      </c>
      <c r="E157" s="53" t="s">
        <v>16</v>
      </c>
      <c r="F157" s="53" t="s">
        <v>16</v>
      </c>
      <c r="G157" s="53" t="s">
        <v>16</v>
      </c>
      <c r="H157" s="72" t="s">
        <v>16</v>
      </c>
      <c r="I157" s="53" t="s">
        <v>16</v>
      </c>
      <c r="J157" s="53" t="s">
        <v>16</v>
      </c>
      <c r="K157" s="63" t="s">
        <v>16</v>
      </c>
      <c r="L157" s="34" t="s">
        <v>16</v>
      </c>
      <c r="M157" s="34" t="s">
        <v>16</v>
      </c>
      <c r="N157" s="34" t="s">
        <v>16</v>
      </c>
      <c r="O157" s="34" t="s">
        <v>16</v>
      </c>
      <c r="P157" s="34" t="s">
        <v>16</v>
      </c>
      <c r="Q157" s="34" t="s">
        <v>16</v>
      </c>
      <c r="R157" s="34" t="s">
        <v>16</v>
      </c>
      <c r="S157" s="34" t="s">
        <v>16</v>
      </c>
      <c r="T157" s="34" t="s">
        <v>16</v>
      </c>
      <c r="U157" s="34" t="s">
        <v>16</v>
      </c>
      <c r="V157" s="34" t="s">
        <v>16</v>
      </c>
      <c r="W157" s="34" t="s">
        <v>16</v>
      </c>
      <c r="X157" s="34" t="s">
        <v>16</v>
      </c>
      <c r="Y157" s="34" t="s">
        <v>16</v>
      </c>
      <c r="Z157" s="34" t="s">
        <v>16</v>
      </c>
      <c r="AA157" s="34" t="s">
        <v>16</v>
      </c>
      <c r="AB157" s="34" t="s">
        <v>16</v>
      </c>
      <c r="AC157" s="34" t="s">
        <v>16</v>
      </c>
      <c r="AD157" s="34" t="s">
        <v>16</v>
      </c>
      <c r="AE157" s="34" t="s">
        <v>16</v>
      </c>
      <c r="AF157" s="34" t="s">
        <v>16</v>
      </c>
      <c r="AG157" s="34" t="s">
        <v>16</v>
      </c>
      <c r="AH157" s="34" t="s">
        <v>16</v>
      </c>
      <c r="AI157" s="34" t="s">
        <v>16</v>
      </c>
      <c r="AJ157" s="34" t="s">
        <v>16</v>
      </c>
      <c r="AK157" s="34" t="s">
        <v>16</v>
      </c>
      <c r="AL157" s="34" t="s">
        <v>16</v>
      </c>
      <c r="AM157" s="34" t="s">
        <v>16</v>
      </c>
      <c r="AN157" s="34" t="s">
        <v>16</v>
      </c>
      <c r="AO157" s="34" t="s">
        <v>16</v>
      </c>
      <c r="AP157" s="34" t="s">
        <v>16</v>
      </c>
      <c r="AQ157" s="34" t="s">
        <v>16</v>
      </c>
      <c r="AR157" s="34" t="s">
        <v>16</v>
      </c>
      <c r="AS157" s="34" t="s">
        <v>16</v>
      </c>
      <c r="AT157" s="34" t="s">
        <v>16</v>
      </c>
      <c r="AU157" s="55" t="s">
        <v>16</v>
      </c>
      <c r="AV157" s="57" t="s">
        <v>16</v>
      </c>
      <c r="AW157" s="63" t="s">
        <v>16</v>
      </c>
      <c r="AX157" s="34" t="s">
        <v>16</v>
      </c>
      <c r="AY157" s="34" t="s">
        <v>16</v>
      </c>
      <c r="AZ157" s="34" t="s">
        <v>16</v>
      </c>
      <c r="BA157" s="34" t="s">
        <v>16</v>
      </c>
      <c r="BB157" s="34" t="s">
        <v>16</v>
      </c>
      <c r="BC157" s="34" t="s">
        <v>16</v>
      </c>
      <c r="BD157" s="34" t="s">
        <v>16</v>
      </c>
      <c r="BE157" s="34" t="s">
        <v>16</v>
      </c>
      <c r="BF157" s="34" t="s">
        <v>16</v>
      </c>
      <c r="BG157" s="34" t="s">
        <v>16</v>
      </c>
      <c r="BH157" s="34" t="s">
        <v>16</v>
      </c>
      <c r="BI157" s="34" t="s">
        <v>16</v>
      </c>
      <c r="BJ157" s="34" t="s">
        <v>16</v>
      </c>
      <c r="BK157" s="34" t="s">
        <v>16</v>
      </c>
      <c r="BL157" s="34" t="s">
        <v>16</v>
      </c>
      <c r="BM157" s="34" t="s">
        <v>16</v>
      </c>
      <c r="BN157" s="34" t="s">
        <v>16</v>
      </c>
      <c r="BO157" s="34" t="s">
        <v>16</v>
      </c>
      <c r="BP157" s="34" t="s">
        <v>16</v>
      </c>
      <c r="BQ157" s="34" t="s">
        <v>16</v>
      </c>
      <c r="BR157" s="34" t="s">
        <v>16</v>
      </c>
      <c r="BS157" s="34" t="s">
        <v>16</v>
      </c>
      <c r="BT157" s="34" t="s">
        <v>16</v>
      </c>
      <c r="BU157" s="34" t="s">
        <v>16</v>
      </c>
      <c r="BV157" s="34" t="s">
        <v>16</v>
      </c>
      <c r="BW157" s="34" t="s">
        <v>16</v>
      </c>
      <c r="BX157" s="34" t="s">
        <v>16</v>
      </c>
      <c r="BY157" s="34" t="s">
        <v>16</v>
      </c>
      <c r="BZ157" s="34" t="s">
        <v>16</v>
      </c>
      <c r="CA157" s="34" t="s">
        <v>16</v>
      </c>
      <c r="CB157" s="34" t="s">
        <v>16</v>
      </c>
      <c r="CC157" s="34" t="s">
        <v>16</v>
      </c>
      <c r="CD157" s="34" t="s">
        <v>16</v>
      </c>
      <c r="CE157" s="34" t="s">
        <v>16</v>
      </c>
      <c r="CF157" s="34" t="s">
        <v>16</v>
      </c>
      <c r="CG157" s="44" t="s">
        <v>16</v>
      </c>
      <c r="CH157" s="63" t="s">
        <v>16</v>
      </c>
      <c r="CI157" s="34" t="s">
        <v>16</v>
      </c>
      <c r="CJ157" s="34" t="s">
        <v>16</v>
      </c>
      <c r="CK157" s="34" t="s">
        <v>16</v>
      </c>
      <c r="CL157" s="34" t="s">
        <v>16</v>
      </c>
      <c r="CM157" s="34" t="s">
        <v>16</v>
      </c>
      <c r="CN157" s="34" t="s">
        <v>16</v>
      </c>
      <c r="CO157" s="34" t="s">
        <v>16</v>
      </c>
      <c r="CP157" s="34" t="s">
        <v>16</v>
      </c>
      <c r="CQ157" s="34" t="s">
        <v>16</v>
      </c>
      <c r="CR157" s="34" t="s">
        <v>16</v>
      </c>
      <c r="CS157" s="34" t="s">
        <v>16</v>
      </c>
      <c r="CT157" s="34" t="s">
        <v>16</v>
      </c>
      <c r="CU157" s="34" t="s">
        <v>16</v>
      </c>
      <c r="CV157" s="34" t="s">
        <v>16</v>
      </c>
      <c r="CW157" s="34" t="s">
        <v>16</v>
      </c>
      <c r="CX157" s="34" t="s">
        <v>16</v>
      </c>
      <c r="CY157" s="34" t="s">
        <v>16</v>
      </c>
      <c r="CZ157" s="34" t="s">
        <v>16</v>
      </c>
      <c r="DA157" s="34" t="s">
        <v>16</v>
      </c>
      <c r="DB157" s="34" t="s">
        <v>16</v>
      </c>
      <c r="DC157" s="34" t="s">
        <v>16</v>
      </c>
      <c r="DD157" s="34" t="s">
        <v>16</v>
      </c>
      <c r="DE157" s="34" t="s">
        <v>16</v>
      </c>
      <c r="DF157" s="34" t="s">
        <v>16</v>
      </c>
      <c r="DG157" s="34" t="s">
        <v>16</v>
      </c>
      <c r="DH157" s="34" t="s">
        <v>16</v>
      </c>
      <c r="DI157" s="34" t="s">
        <v>16</v>
      </c>
      <c r="DJ157" s="34" t="s">
        <v>16</v>
      </c>
      <c r="DK157" s="34" t="s">
        <v>16</v>
      </c>
      <c r="DL157" s="34" t="s">
        <v>16</v>
      </c>
      <c r="DM157" s="34" t="s">
        <v>16</v>
      </c>
      <c r="DN157" s="34" t="s">
        <v>16</v>
      </c>
      <c r="DO157" s="34" t="s">
        <v>16</v>
      </c>
      <c r="DP157" s="34" t="s">
        <v>16</v>
      </c>
      <c r="DQ157" s="34" t="s">
        <v>16</v>
      </c>
      <c r="DR157" s="55" t="s">
        <v>16</v>
      </c>
    </row>
    <row r="158" spans="1:122">
      <c r="A158" s="56" t="s">
        <v>194</v>
      </c>
      <c r="B158" s="56"/>
      <c r="C158" s="53" t="s">
        <v>94</v>
      </c>
      <c r="D158" s="53" t="s">
        <v>16</v>
      </c>
      <c r="E158" s="53" t="s">
        <v>16</v>
      </c>
      <c r="F158" s="53" t="s">
        <v>16</v>
      </c>
      <c r="G158" s="53" t="s">
        <v>105</v>
      </c>
      <c r="H158" s="72">
        <v>520</v>
      </c>
      <c r="I158" s="53">
        <v>420</v>
      </c>
      <c r="J158" s="53" t="s">
        <v>16</v>
      </c>
      <c r="K158" s="63" t="s">
        <v>16</v>
      </c>
      <c r="L158" s="34" t="s">
        <v>16</v>
      </c>
      <c r="M158" s="34" t="s">
        <v>16</v>
      </c>
      <c r="N158" s="34" t="s">
        <v>16</v>
      </c>
      <c r="O158" s="34" t="s">
        <v>16</v>
      </c>
      <c r="P158" s="34" t="s">
        <v>16</v>
      </c>
      <c r="Q158" s="34" t="s">
        <v>16</v>
      </c>
      <c r="R158" s="34" t="s">
        <v>16</v>
      </c>
      <c r="S158" s="34" t="s">
        <v>16</v>
      </c>
      <c r="T158" s="34" t="s">
        <v>16</v>
      </c>
      <c r="U158" s="34" t="s">
        <v>16</v>
      </c>
      <c r="V158" s="34" t="s">
        <v>16</v>
      </c>
      <c r="W158" s="34" t="s">
        <v>16</v>
      </c>
      <c r="X158" s="34" t="s">
        <v>16</v>
      </c>
      <c r="Y158" s="34" t="s">
        <v>16</v>
      </c>
      <c r="Z158" s="34" t="s">
        <v>16</v>
      </c>
      <c r="AA158" s="34" t="s">
        <v>16</v>
      </c>
      <c r="AB158" s="34" t="s">
        <v>16</v>
      </c>
      <c r="AC158" s="34" t="s">
        <v>16</v>
      </c>
      <c r="AD158" s="34" t="s">
        <v>16</v>
      </c>
      <c r="AE158" s="34" t="s">
        <v>16</v>
      </c>
      <c r="AF158" s="34" t="s">
        <v>16</v>
      </c>
      <c r="AG158" s="34" t="s">
        <v>16</v>
      </c>
      <c r="AH158" s="34" t="s">
        <v>16</v>
      </c>
      <c r="AI158" s="34" t="s">
        <v>16</v>
      </c>
      <c r="AJ158" s="34" t="s">
        <v>16</v>
      </c>
      <c r="AK158" s="34" t="s">
        <v>16</v>
      </c>
      <c r="AL158" s="34" t="s">
        <v>16</v>
      </c>
      <c r="AM158" s="34" t="s">
        <v>16</v>
      </c>
      <c r="AN158" s="34" t="s">
        <v>16</v>
      </c>
      <c r="AO158" s="34" t="s">
        <v>16</v>
      </c>
      <c r="AP158" s="34" t="s">
        <v>16</v>
      </c>
      <c r="AQ158" s="34" t="s">
        <v>16</v>
      </c>
      <c r="AR158" s="34" t="s">
        <v>16</v>
      </c>
      <c r="AS158" s="34" t="s">
        <v>16</v>
      </c>
      <c r="AT158" s="34" t="s">
        <v>16</v>
      </c>
      <c r="AU158" s="55" t="s">
        <v>16</v>
      </c>
      <c r="AV158" s="57" t="s">
        <v>16</v>
      </c>
      <c r="AW158" s="63" t="s">
        <v>16</v>
      </c>
      <c r="AX158" s="34" t="s">
        <v>16</v>
      </c>
      <c r="AY158" s="34" t="s">
        <v>16</v>
      </c>
      <c r="AZ158" s="34" t="s">
        <v>16</v>
      </c>
      <c r="BA158" s="34" t="s">
        <v>16</v>
      </c>
      <c r="BB158" s="34" t="s">
        <v>16</v>
      </c>
      <c r="BC158" s="34" t="s">
        <v>16</v>
      </c>
      <c r="BD158" s="34" t="s">
        <v>16</v>
      </c>
      <c r="BE158" s="34" t="s">
        <v>16</v>
      </c>
      <c r="BF158" s="34" t="s">
        <v>16</v>
      </c>
      <c r="BG158" s="34" t="s">
        <v>16</v>
      </c>
      <c r="BH158" s="34" t="s">
        <v>16</v>
      </c>
      <c r="BI158" s="34" t="s">
        <v>16</v>
      </c>
      <c r="BJ158" s="34" t="s">
        <v>16</v>
      </c>
      <c r="BK158" s="34" t="s">
        <v>16</v>
      </c>
      <c r="BL158" s="34" t="s">
        <v>16</v>
      </c>
      <c r="BM158" s="34" t="s">
        <v>16</v>
      </c>
      <c r="BN158" s="34" t="s">
        <v>16</v>
      </c>
      <c r="BO158" s="34" t="s">
        <v>16</v>
      </c>
      <c r="BP158" s="34" t="s">
        <v>16</v>
      </c>
      <c r="BQ158" s="34" t="s">
        <v>16</v>
      </c>
      <c r="BR158" s="34" t="s">
        <v>16</v>
      </c>
      <c r="BS158" s="34" t="s">
        <v>16</v>
      </c>
      <c r="BT158" s="34" t="s">
        <v>16</v>
      </c>
      <c r="BU158" s="34" t="s">
        <v>16</v>
      </c>
      <c r="BV158" s="34" t="s">
        <v>16</v>
      </c>
      <c r="BW158" s="34" t="s">
        <v>16</v>
      </c>
      <c r="BX158" s="34" t="s">
        <v>16</v>
      </c>
      <c r="BY158" s="34" t="s">
        <v>16</v>
      </c>
      <c r="BZ158" s="34" t="s">
        <v>16</v>
      </c>
      <c r="CA158" s="34" t="s">
        <v>16</v>
      </c>
      <c r="CB158" s="34" t="s">
        <v>16</v>
      </c>
      <c r="CC158" s="34" t="s">
        <v>16</v>
      </c>
      <c r="CD158" s="34" t="s">
        <v>16</v>
      </c>
      <c r="CE158" s="34" t="s">
        <v>16</v>
      </c>
      <c r="CF158" s="34" t="s">
        <v>16</v>
      </c>
      <c r="CG158" s="44" t="s">
        <v>16</v>
      </c>
      <c r="CH158" s="63" t="s">
        <v>16</v>
      </c>
      <c r="CI158" s="34" t="s">
        <v>16</v>
      </c>
      <c r="CJ158" s="34" t="s">
        <v>16</v>
      </c>
      <c r="CK158" s="34" t="s">
        <v>16</v>
      </c>
      <c r="CL158" s="34" t="s">
        <v>16</v>
      </c>
      <c r="CM158" s="34" t="s">
        <v>16</v>
      </c>
      <c r="CN158" s="34" t="s">
        <v>16</v>
      </c>
      <c r="CO158" s="34" t="s">
        <v>16</v>
      </c>
      <c r="CP158" s="34" t="s">
        <v>16</v>
      </c>
      <c r="CQ158" s="34" t="s">
        <v>16</v>
      </c>
      <c r="CR158" s="34" t="s">
        <v>16</v>
      </c>
      <c r="CS158" s="34" t="s">
        <v>16</v>
      </c>
      <c r="CT158" s="34" t="s">
        <v>16</v>
      </c>
      <c r="CU158" s="34" t="s">
        <v>16</v>
      </c>
      <c r="CV158" s="34" t="s">
        <v>16</v>
      </c>
      <c r="CW158" s="34" t="s">
        <v>16</v>
      </c>
      <c r="CX158" s="34" t="s">
        <v>16</v>
      </c>
      <c r="CY158" s="34" t="s">
        <v>16</v>
      </c>
      <c r="CZ158" s="34" t="s">
        <v>16</v>
      </c>
      <c r="DA158" s="34" t="s">
        <v>16</v>
      </c>
      <c r="DB158" s="34" t="s">
        <v>16</v>
      </c>
      <c r="DC158" s="34" t="s">
        <v>16</v>
      </c>
      <c r="DD158" s="34" t="s">
        <v>16</v>
      </c>
      <c r="DE158" s="34" t="s">
        <v>16</v>
      </c>
      <c r="DF158" s="34" t="s">
        <v>16</v>
      </c>
      <c r="DG158" s="34" t="s">
        <v>16</v>
      </c>
      <c r="DH158" s="34" t="s">
        <v>16</v>
      </c>
      <c r="DI158" s="34" t="s">
        <v>16</v>
      </c>
      <c r="DJ158" s="34" t="s">
        <v>16</v>
      </c>
      <c r="DK158" s="34" t="s">
        <v>16</v>
      </c>
      <c r="DL158" s="34" t="s">
        <v>16</v>
      </c>
      <c r="DM158" s="34" t="s">
        <v>16</v>
      </c>
      <c r="DN158" s="34" t="s">
        <v>16</v>
      </c>
      <c r="DO158" s="34" t="s">
        <v>16</v>
      </c>
      <c r="DP158" s="34" t="s">
        <v>16</v>
      </c>
      <c r="DQ158" s="34" t="s">
        <v>16</v>
      </c>
      <c r="DR158" s="55" t="s">
        <v>16</v>
      </c>
    </row>
    <row r="159" spans="1:122">
      <c r="A159" s="56" t="s">
        <v>195</v>
      </c>
      <c r="B159" s="56"/>
      <c r="C159" s="53" t="s">
        <v>94</v>
      </c>
      <c r="D159" s="53">
        <v>16</v>
      </c>
      <c r="E159" s="53" t="s">
        <v>16</v>
      </c>
      <c r="F159" s="53" t="s">
        <v>16</v>
      </c>
      <c r="G159" s="53" t="s">
        <v>105</v>
      </c>
      <c r="H159" s="72">
        <v>800</v>
      </c>
      <c r="I159" s="53">
        <v>640</v>
      </c>
      <c r="J159" s="53" t="s">
        <v>16</v>
      </c>
      <c r="K159" s="63" t="s">
        <v>16</v>
      </c>
      <c r="L159" s="34" t="s">
        <v>16</v>
      </c>
      <c r="M159" s="34" t="s">
        <v>16</v>
      </c>
      <c r="N159" s="34" t="s">
        <v>16</v>
      </c>
      <c r="O159" s="34" t="s">
        <v>16</v>
      </c>
      <c r="P159" s="34" t="s">
        <v>16</v>
      </c>
      <c r="Q159" s="34" t="s">
        <v>16</v>
      </c>
      <c r="R159" s="34" t="s">
        <v>16</v>
      </c>
      <c r="S159" s="34" t="s">
        <v>16</v>
      </c>
      <c r="T159" s="34" t="s">
        <v>16</v>
      </c>
      <c r="U159" s="34" t="s">
        <v>16</v>
      </c>
      <c r="V159" s="34" t="s">
        <v>16</v>
      </c>
      <c r="W159" s="34" t="s">
        <v>16</v>
      </c>
      <c r="X159" s="34" t="s">
        <v>16</v>
      </c>
      <c r="Y159" s="34" t="s">
        <v>16</v>
      </c>
      <c r="Z159" s="34" t="s">
        <v>16</v>
      </c>
      <c r="AA159" s="34" t="s">
        <v>16</v>
      </c>
      <c r="AB159" s="34" t="s">
        <v>16</v>
      </c>
      <c r="AC159" s="34" t="s">
        <v>16</v>
      </c>
      <c r="AD159" s="34" t="s">
        <v>16</v>
      </c>
      <c r="AE159" s="34" t="s">
        <v>16</v>
      </c>
      <c r="AF159" s="34" t="s">
        <v>16</v>
      </c>
      <c r="AG159" s="34" t="s">
        <v>16</v>
      </c>
      <c r="AH159" s="34" t="s">
        <v>16</v>
      </c>
      <c r="AI159" s="34" t="s">
        <v>16</v>
      </c>
      <c r="AJ159" s="34" t="s">
        <v>16</v>
      </c>
      <c r="AK159" s="34" t="s">
        <v>16</v>
      </c>
      <c r="AL159" s="34" t="s">
        <v>16</v>
      </c>
      <c r="AM159" s="34" t="s">
        <v>16</v>
      </c>
      <c r="AN159" s="34" t="s">
        <v>16</v>
      </c>
      <c r="AO159" s="34" t="s">
        <v>16</v>
      </c>
      <c r="AP159" s="34" t="s">
        <v>16</v>
      </c>
      <c r="AQ159" s="34" t="s">
        <v>16</v>
      </c>
      <c r="AR159" s="34" t="s">
        <v>16</v>
      </c>
      <c r="AS159" s="34" t="s">
        <v>16</v>
      </c>
      <c r="AT159" s="34" t="s">
        <v>16</v>
      </c>
      <c r="AU159" s="55" t="s">
        <v>16</v>
      </c>
      <c r="AV159" s="57" t="s">
        <v>105</v>
      </c>
      <c r="AW159" s="63" t="s">
        <v>16</v>
      </c>
      <c r="AX159" s="34" t="s">
        <v>16</v>
      </c>
      <c r="AY159" s="34" t="s">
        <v>16</v>
      </c>
      <c r="AZ159" s="34" t="s">
        <v>16</v>
      </c>
      <c r="BA159" s="34" t="s">
        <v>16</v>
      </c>
      <c r="BB159" s="34" t="s">
        <v>16</v>
      </c>
      <c r="BC159" s="34" t="s">
        <v>16</v>
      </c>
      <c r="BD159" s="34" t="s">
        <v>16</v>
      </c>
      <c r="BE159" s="34" t="s">
        <v>16</v>
      </c>
      <c r="BF159" s="34" t="s">
        <v>16</v>
      </c>
      <c r="BG159" s="34" t="s">
        <v>16</v>
      </c>
      <c r="BH159" s="34" t="s">
        <v>16</v>
      </c>
      <c r="BI159" s="34" t="s">
        <v>16</v>
      </c>
      <c r="BJ159" s="34" t="s">
        <v>16</v>
      </c>
      <c r="BK159" s="34" t="s">
        <v>16</v>
      </c>
      <c r="BL159" s="34" t="s">
        <v>16</v>
      </c>
      <c r="BM159" s="34" t="s">
        <v>16</v>
      </c>
      <c r="BN159" s="34" t="s">
        <v>16</v>
      </c>
      <c r="BO159" s="34" t="s">
        <v>16</v>
      </c>
      <c r="BP159" s="34" t="s">
        <v>16</v>
      </c>
      <c r="BQ159" s="34" t="s">
        <v>16</v>
      </c>
      <c r="BR159" s="34" t="s">
        <v>16</v>
      </c>
      <c r="BS159" s="34" t="s">
        <v>16</v>
      </c>
      <c r="BT159" s="34" t="s">
        <v>16</v>
      </c>
      <c r="BU159" s="34" t="s">
        <v>16</v>
      </c>
      <c r="BV159" s="34" t="s">
        <v>16</v>
      </c>
      <c r="BW159" s="34" t="s">
        <v>16</v>
      </c>
      <c r="BX159" s="34" t="s">
        <v>16</v>
      </c>
      <c r="BY159" s="34" t="s">
        <v>16</v>
      </c>
      <c r="BZ159" s="34" t="s">
        <v>16</v>
      </c>
      <c r="CA159" s="34" t="s">
        <v>16</v>
      </c>
      <c r="CB159" s="34" t="s">
        <v>16</v>
      </c>
      <c r="CC159" s="34" t="s">
        <v>16</v>
      </c>
      <c r="CD159" s="34" t="s">
        <v>16</v>
      </c>
      <c r="CE159" s="34" t="s">
        <v>16</v>
      </c>
      <c r="CF159" s="34" t="s">
        <v>16</v>
      </c>
      <c r="CG159" s="44" t="s">
        <v>16</v>
      </c>
      <c r="CH159" s="63">
        <v>590</v>
      </c>
      <c r="CI159" s="34">
        <v>590</v>
      </c>
      <c r="CJ159" s="34">
        <v>590</v>
      </c>
      <c r="CK159" s="34">
        <v>590</v>
      </c>
      <c r="CL159" s="34">
        <v>590</v>
      </c>
      <c r="CM159" s="34">
        <v>540</v>
      </c>
      <c r="CN159" s="34">
        <v>540</v>
      </c>
      <c r="CO159" s="34">
        <v>540</v>
      </c>
      <c r="CP159" s="34">
        <v>540</v>
      </c>
      <c r="CQ159" s="34">
        <v>510</v>
      </c>
      <c r="CR159" s="34">
        <v>510</v>
      </c>
      <c r="CS159" s="34">
        <v>480</v>
      </c>
      <c r="CT159" s="34">
        <v>480</v>
      </c>
      <c r="CU159" s="34" t="s">
        <v>16</v>
      </c>
      <c r="CV159" s="34" t="s">
        <v>16</v>
      </c>
      <c r="CW159" s="34" t="s">
        <v>16</v>
      </c>
      <c r="CX159" s="34" t="s">
        <v>16</v>
      </c>
      <c r="CY159" s="34" t="s">
        <v>16</v>
      </c>
      <c r="CZ159" s="34" t="s">
        <v>16</v>
      </c>
      <c r="DA159" s="34" t="s">
        <v>16</v>
      </c>
      <c r="DB159" s="34" t="s">
        <v>16</v>
      </c>
      <c r="DC159" s="34" t="s">
        <v>16</v>
      </c>
      <c r="DD159" s="34" t="s">
        <v>16</v>
      </c>
      <c r="DE159" s="34" t="s">
        <v>16</v>
      </c>
      <c r="DF159" s="34" t="s">
        <v>16</v>
      </c>
      <c r="DG159" s="34" t="s">
        <v>16</v>
      </c>
      <c r="DH159" s="34" t="s">
        <v>16</v>
      </c>
      <c r="DI159" s="34" t="s">
        <v>16</v>
      </c>
      <c r="DJ159" s="34" t="s">
        <v>16</v>
      </c>
      <c r="DK159" s="34" t="s">
        <v>16</v>
      </c>
      <c r="DL159" s="34" t="s">
        <v>16</v>
      </c>
      <c r="DM159" s="34" t="s">
        <v>16</v>
      </c>
      <c r="DN159" s="34" t="s">
        <v>16</v>
      </c>
      <c r="DO159" s="34" t="s">
        <v>16</v>
      </c>
      <c r="DP159" s="34" t="s">
        <v>16</v>
      </c>
      <c r="DQ159" s="34" t="s">
        <v>16</v>
      </c>
      <c r="DR159" s="55" t="s">
        <v>16</v>
      </c>
    </row>
    <row r="160" spans="1:122">
      <c r="A160" s="56" t="s">
        <v>195</v>
      </c>
      <c r="B160" s="56"/>
      <c r="C160" s="53" t="str">
        <f>C159</f>
        <v>bolting</v>
      </c>
      <c r="D160" s="53" t="s">
        <v>16</v>
      </c>
      <c r="E160" s="53">
        <v>16</v>
      </c>
      <c r="F160" s="53" t="s">
        <v>16</v>
      </c>
      <c r="G160" s="53" t="str">
        <f>G159</f>
        <v>UNI</v>
      </c>
      <c r="H160" s="72">
        <v>830</v>
      </c>
      <c r="I160" s="53">
        <v>660</v>
      </c>
      <c r="J160" s="53" t="str">
        <f>J159</f>
        <v>-</v>
      </c>
      <c r="K160" s="63" t="s">
        <v>16</v>
      </c>
      <c r="L160" s="34" t="s">
        <v>16</v>
      </c>
      <c r="M160" s="34" t="s">
        <v>16</v>
      </c>
      <c r="N160" s="34" t="s">
        <v>16</v>
      </c>
      <c r="O160" s="34" t="s">
        <v>16</v>
      </c>
      <c r="P160" s="34" t="s">
        <v>16</v>
      </c>
      <c r="Q160" s="34" t="s">
        <v>16</v>
      </c>
      <c r="R160" s="34" t="s">
        <v>16</v>
      </c>
      <c r="S160" s="34" t="s">
        <v>16</v>
      </c>
      <c r="T160" s="34" t="s">
        <v>16</v>
      </c>
      <c r="U160" s="34" t="s">
        <v>16</v>
      </c>
      <c r="V160" s="34" t="s">
        <v>16</v>
      </c>
      <c r="W160" s="34" t="s">
        <v>16</v>
      </c>
      <c r="X160" s="34" t="s">
        <v>16</v>
      </c>
      <c r="Y160" s="34" t="s">
        <v>16</v>
      </c>
      <c r="Z160" s="34" t="s">
        <v>16</v>
      </c>
      <c r="AA160" s="34" t="s">
        <v>16</v>
      </c>
      <c r="AB160" s="34" t="s">
        <v>16</v>
      </c>
      <c r="AC160" s="34" t="s">
        <v>16</v>
      </c>
      <c r="AD160" s="34" t="s">
        <v>16</v>
      </c>
      <c r="AE160" s="34" t="s">
        <v>16</v>
      </c>
      <c r="AF160" s="34" t="s">
        <v>16</v>
      </c>
      <c r="AG160" s="34" t="s">
        <v>16</v>
      </c>
      <c r="AH160" s="34" t="s">
        <v>16</v>
      </c>
      <c r="AI160" s="34" t="s">
        <v>16</v>
      </c>
      <c r="AJ160" s="34" t="s">
        <v>16</v>
      </c>
      <c r="AK160" s="34" t="s">
        <v>16</v>
      </c>
      <c r="AL160" s="34" t="s">
        <v>16</v>
      </c>
      <c r="AM160" s="34" t="s">
        <v>16</v>
      </c>
      <c r="AN160" s="34" t="s">
        <v>16</v>
      </c>
      <c r="AO160" s="34" t="s">
        <v>16</v>
      </c>
      <c r="AP160" s="34" t="s">
        <v>16</v>
      </c>
      <c r="AQ160" s="34" t="s">
        <v>16</v>
      </c>
      <c r="AR160" s="34" t="s">
        <v>16</v>
      </c>
      <c r="AS160" s="34" t="s">
        <v>16</v>
      </c>
      <c r="AT160" s="34" t="s">
        <v>16</v>
      </c>
      <c r="AU160" s="55" t="s">
        <v>16</v>
      </c>
      <c r="AV160" s="57" t="s">
        <v>105</v>
      </c>
      <c r="AW160" s="63" t="s">
        <v>16</v>
      </c>
      <c r="AX160" s="34" t="s">
        <v>16</v>
      </c>
      <c r="AY160" s="34" t="s">
        <v>16</v>
      </c>
      <c r="AZ160" s="34" t="s">
        <v>16</v>
      </c>
      <c r="BA160" s="34" t="s">
        <v>16</v>
      </c>
      <c r="BB160" s="34" t="s">
        <v>16</v>
      </c>
      <c r="BC160" s="34" t="s">
        <v>16</v>
      </c>
      <c r="BD160" s="34" t="s">
        <v>16</v>
      </c>
      <c r="BE160" s="34" t="s">
        <v>16</v>
      </c>
      <c r="BF160" s="34" t="s">
        <v>16</v>
      </c>
      <c r="BG160" s="34" t="s">
        <v>16</v>
      </c>
      <c r="BH160" s="34" t="s">
        <v>16</v>
      </c>
      <c r="BI160" s="34" t="s">
        <v>16</v>
      </c>
      <c r="BJ160" s="34" t="s">
        <v>16</v>
      </c>
      <c r="BK160" s="34" t="s">
        <v>16</v>
      </c>
      <c r="BL160" s="34" t="s">
        <v>16</v>
      </c>
      <c r="BM160" s="34" t="s">
        <v>16</v>
      </c>
      <c r="BN160" s="34" t="s">
        <v>16</v>
      </c>
      <c r="BO160" s="34" t="s">
        <v>16</v>
      </c>
      <c r="BP160" s="34" t="s">
        <v>16</v>
      </c>
      <c r="BQ160" s="34" t="s">
        <v>16</v>
      </c>
      <c r="BR160" s="34" t="s">
        <v>16</v>
      </c>
      <c r="BS160" s="34" t="s">
        <v>16</v>
      </c>
      <c r="BT160" s="34" t="s">
        <v>16</v>
      </c>
      <c r="BU160" s="34" t="s">
        <v>16</v>
      </c>
      <c r="BV160" s="34" t="s">
        <v>16</v>
      </c>
      <c r="BW160" s="34" t="s">
        <v>16</v>
      </c>
      <c r="BX160" s="34" t="s">
        <v>16</v>
      </c>
      <c r="BY160" s="34" t="s">
        <v>16</v>
      </c>
      <c r="BZ160" s="34" t="s">
        <v>16</v>
      </c>
      <c r="CA160" s="34" t="s">
        <v>16</v>
      </c>
      <c r="CB160" s="34" t="s">
        <v>16</v>
      </c>
      <c r="CC160" s="34" t="s">
        <v>16</v>
      </c>
      <c r="CD160" s="34" t="s">
        <v>16</v>
      </c>
      <c r="CE160" s="34" t="s">
        <v>16</v>
      </c>
      <c r="CF160" s="34" t="s">
        <v>16</v>
      </c>
      <c r="CG160" s="44" t="s">
        <v>16</v>
      </c>
      <c r="CH160" s="63">
        <f>CH159</f>
        <v>590</v>
      </c>
      <c r="CI160" s="34">
        <f>CI159</f>
        <v>590</v>
      </c>
      <c r="CJ160" s="34">
        <f t="shared" ref="CJ160:DQ160" si="217">CJ159</f>
        <v>590</v>
      </c>
      <c r="CK160" s="34">
        <f t="shared" si="217"/>
        <v>590</v>
      </c>
      <c r="CL160" s="34">
        <f t="shared" si="217"/>
        <v>590</v>
      </c>
      <c r="CM160" s="34">
        <f t="shared" si="217"/>
        <v>540</v>
      </c>
      <c r="CN160" s="34">
        <f t="shared" si="217"/>
        <v>540</v>
      </c>
      <c r="CO160" s="34">
        <f t="shared" si="217"/>
        <v>540</v>
      </c>
      <c r="CP160" s="34">
        <f t="shared" si="217"/>
        <v>540</v>
      </c>
      <c r="CQ160" s="34">
        <f t="shared" si="217"/>
        <v>510</v>
      </c>
      <c r="CR160" s="34">
        <f t="shared" si="217"/>
        <v>510</v>
      </c>
      <c r="CS160" s="34">
        <f t="shared" si="217"/>
        <v>480</v>
      </c>
      <c r="CT160" s="34">
        <f t="shared" si="217"/>
        <v>480</v>
      </c>
      <c r="CU160" s="34" t="str">
        <f t="shared" si="217"/>
        <v>-</v>
      </c>
      <c r="CV160" s="34" t="str">
        <f t="shared" si="217"/>
        <v>-</v>
      </c>
      <c r="CW160" s="34" t="str">
        <f t="shared" si="217"/>
        <v>-</v>
      </c>
      <c r="CX160" s="34" t="str">
        <f t="shared" si="217"/>
        <v>-</v>
      </c>
      <c r="CY160" s="34" t="str">
        <f t="shared" si="217"/>
        <v>-</v>
      </c>
      <c r="CZ160" s="34" t="str">
        <f t="shared" si="217"/>
        <v>-</v>
      </c>
      <c r="DA160" s="34" t="str">
        <f t="shared" si="217"/>
        <v>-</v>
      </c>
      <c r="DB160" s="34" t="str">
        <f t="shared" si="217"/>
        <v>-</v>
      </c>
      <c r="DC160" s="34" t="str">
        <f t="shared" si="217"/>
        <v>-</v>
      </c>
      <c r="DD160" s="34" t="str">
        <f t="shared" si="217"/>
        <v>-</v>
      </c>
      <c r="DE160" s="34" t="str">
        <f t="shared" si="217"/>
        <v>-</v>
      </c>
      <c r="DF160" s="34" t="str">
        <f t="shared" si="217"/>
        <v>-</v>
      </c>
      <c r="DG160" s="34" t="str">
        <f t="shared" si="217"/>
        <v>-</v>
      </c>
      <c r="DH160" s="34" t="str">
        <f t="shared" si="217"/>
        <v>-</v>
      </c>
      <c r="DI160" s="34" t="str">
        <f t="shared" si="217"/>
        <v>-</v>
      </c>
      <c r="DJ160" s="34" t="str">
        <f t="shared" si="217"/>
        <v>-</v>
      </c>
      <c r="DK160" s="34" t="str">
        <f t="shared" si="217"/>
        <v>-</v>
      </c>
      <c r="DL160" s="34" t="str">
        <f t="shared" si="217"/>
        <v>-</v>
      </c>
      <c r="DM160" s="34" t="str">
        <f t="shared" si="217"/>
        <v>-</v>
      </c>
      <c r="DN160" s="34" t="str">
        <f t="shared" si="217"/>
        <v>-</v>
      </c>
      <c r="DO160" s="34" t="str">
        <f t="shared" si="217"/>
        <v>-</v>
      </c>
      <c r="DP160" s="34" t="str">
        <f t="shared" si="217"/>
        <v>-</v>
      </c>
      <c r="DQ160" s="34" t="str">
        <f t="shared" si="217"/>
        <v>-</v>
      </c>
      <c r="DR160" s="55" t="str">
        <f>DR159</f>
        <v>-</v>
      </c>
    </row>
    <row r="161" spans="1:122">
      <c r="A161" s="56" t="s">
        <v>196</v>
      </c>
      <c r="B161" s="56"/>
      <c r="C161" s="53" t="s">
        <v>94</v>
      </c>
      <c r="D161" s="62" t="s">
        <v>16</v>
      </c>
      <c r="E161" s="72" t="s">
        <v>16</v>
      </c>
      <c r="F161" s="53" t="s">
        <v>16</v>
      </c>
      <c r="G161" s="53" t="s">
        <v>105</v>
      </c>
      <c r="H161" s="72">
        <v>1220</v>
      </c>
      <c r="I161" s="53">
        <v>1100</v>
      </c>
      <c r="J161" s="53" t="s">
        <v>16</v>
      </c>
      <c r="K161" s="63" t="s">
        <v>16</v>
      </c>
      <c r="L161" s="34" t="s">
        <v>16</v>
      </c>
      <c r="M161" s="34" t="s">
        <v>16</v>
      </c>
      <c r="N161" s="34" t="s">
        <v>16</v>
      </c>
      <c r="O161" s="34" t="s">
        <v>16</v>
      </c>
      <c r="P161" s="34" t="s">
        <v>16</v>
      </c>
      <c r="Q161" s="34" t="s">
        <v>16</v>
      </c>
      <c r="R161" s="34" t="s">
        <v>16</v>
      </c>
      <c r="S161" s="34" t="s">
        <v>16</v>
      </c>
      <c r="T161" s="34" t="s">
        <v>16</v>
      </c>
      <c r="U161" s="34" t="s">
        <v>16</v>
      </c>
      <c r="V161" s="34" t="s">
        <v>16</v>
      </c>
      <c r="W161" s="34" t="s">
        <v>16</v>
      </c>
      <c r="X161" s="34" t="s">
        <v>16</v>
      </c>
      <c r="Y161" s="34" t="s">
        <v>16</v>
      </c>
      <c r="Z161" s="34" t="s">
        <v>16</v>
      </c>
      <c r="AA161" s="34" t="s">
        <v>16</v>
      </c>
      <c r="AB161" s="34" t="s">
        <v>16</v>
      </c>
      <c r="AC161" s="34" t="s">
        <v>16</v>
      </c>
      <c r="AD161" s="34" t="s">
        <v>16</v>
      </c>
      <c r="AE161" s="34" t="s">
        <v>16</v>
      </c>
      <c r="AF161" s="34" t="s">
        <v>16</v>
      </c>
      <c r="AG161" s="34" t="s">
        <v>16</v>
      </c>
      <c r="AH161" s="34" t="s">
        <v>16</v>
      </c>
      <c r="AI161" s="34" t="s">
        <v>16</v>
      </c>
      <c r="AJ161" s="34" t="s">
        <v>16</v>
      </c>
      <c r="AK161" s="34" t="s">
        <v>16</v>
      </c>
      <c r="AL161" s="34" t="s">
        <v>16</v>
      </c>
      <c r="AM161" s="34" t="s">
        <v>16</v>
      </c>
      <c r="AN161" s="34" t="s">
        <v>16</v>
      </c>
      <c r="AO161" s="34" t="s">
        <v>16</v>
      </c>
      <c r="AP161" s="34" t="s">
        <v>16</v>
      </c>
      <c r="AQ161" s="34" t="s">
        <v>16</v>
      </c>
      <c r="AR161" s="34" t="s">
        <v>16</v>
      </c>
      <c r="AS161" s="34" t="s">
        <v>16</v>
      </c>
      <c r="AT161" s="34" t="s">
        <v>16</v>
      </c>
      <c r="AU161" s="55" t="s">
        <v>16</v>
      </c>
      <c r="AV161" s="57" t="s">
        <v>105</v>
      </c>
      <c r="AW161" s="63" t="s">
        <v>16</v>
      </c>
      <c r="AX161" s="34" t="s">
        <v>16</v>
      </c>
      <c r="AY161" s="34" t="s">
        <v>16</v>
      </c>
      <c r="AZ161" s="34" t="s">
        <v>16</v>
      </c>
      <c r="BA161" s="34" t="s">
        <v>16</v>
      </c>
      <c r="BB161" s="34" t="s">
        <v>16</v>
      </c>
      <c r="BC161" s="34" t="s">
        <v>16</v>
      </c>
      <c r="BD161" s="34" t="s">
        <v>16</v>
      </c>
      <c r="BE161" s="34" t="s">
        <v>16</v>
      </c>
      <c r="BF161" s="34" t="s">
        <v>16</v>
      </c>
      <c r="BG161" s="34" t="s">
        <v>16</v>
      </c>
      <c r="BH161" s="34" t="s">
        <v>16</v>
      </c>
      <c r="BI161" s="34" t="s">
        <v>16</v>
      </c>
      <c r="BJ161" s="34" t="s">
        <v>16</v>
      </c>
      <c r="BK161" s="34" t="s">
        <v>16</v>
      </c>
      <c r="BL161" s="34" t="s">
        <v>16</v>
      </c>
      <c r="BM161" s="34" t="s">
        <v>16</v>
      </c>
      <c r="BN161" s="34" t="s">
        <v>16</v>
      </c>
      <c r="BO161" s="34" t="s">
        <v>16</v>
      </c>
      <c r="BP161" s="34" t="s">
        <v>16</v>
      </c>
      <c r="BQ161" s="34" t="s">
        <v>16</v>
      </c>
      <c r="BR161" s="34" t="s">
        <v>16</v>
      </c>
      <c r="BS161" s="34" t="s">
        <v>16</v>
      </c>
      <c r="BT161" s="34" t="s">
        <v>16</v>
      </c>
      <c r="BU161" s="34" t="s">
        <v>16</v>
      </c>
      <c r="BV161" s="34" t="s">
        <v>16</v>
      </c>
      <c r="BW161" s="34" t="s">
        <v>16</v>
      </c>
      <c r="BX161" s="34" t="s">
        <v>16</v>
      </c>
      <c r="BY161" s="34" t="s">
        <v>16</v>
      </c>
      <c r="BZ161" s="34" t="s">
        <v>16</v>
      </c>
      <c r="CA161" s="34" t="s">
        <v>16</v>
      </c>
      <c r="CB161" s="34" t="s">
        <v>16</v>
      </c>
      <c r="CC161" s="34" t="s">
        <v>16</v>
      </c>
      <c r="CD161" s="34" t="s">
        <v>16</v>
      </c>
      <c r="CE161" s="34" t="s">
        <v>16</v>
      </c>
      <c r="CF161" s="34" t="s">
        <v>16</v>
      </c>
      <c r="CG161" s="44" t="s">
        <v>16</v>
      </c>
      <c r="CH161" s="63">
        <v>1020</v>
      </c>
      <c r="CI161" s="34"/>
      <c r="CJ161" s="34"/>
      <c r="CK161" s="34">
        <v>1020</v>
      </c>
      <c r="CL161" s="34">
        <v>1020</v>
      </c>
      <c r="CM161" s="34">
        <v>925</v>
      </c>
      <c r="CN161" s="34">
        <v>925</v>
      </c>
      <c r="CO161" s="34">
        <v>925</v>
      </c>
      <c r="CP161" s="34">
        <v>925</v>
      </c>
      <c r="CQ161" s="34">
        <v>875</v>
      </c>
      <c r="CR161" s="34">
        <v>875</v>
      </c>
      <c r="CS161" s="34">
        <v>825</v>
      </c>
      <c r="CT161" s="34">
        <v>825</v>
      </c>
      <c r="CU161" s="34" t="s">
        <v>16</v>
      </c>
      <c r="CV161" s="34" t="s">
        <v>16</v>
      </c>
      <c r="CW161" s="34" t="s">
        <v>16</v>
      </c>
      <c r="CX161" s="34" t="s">
        <v>16</v>
      </c>
      <c r="CY161" s="34" t="s">
        <v>16</v>
      </c>
      <c r="CZ161" s="34" t="s">
        <v>16</v>
      </c>
      <c r="DA161" s="34" t="s">
        <v>16</v>
      </c>
      <c r="DB161" s="34" t="s">
        <v>16</v>
      </c>
      <c r="DC161" s="34" t="s">
        <v>16</v>
      </c>
      <c r="DD161" s="34" t="s">
        <v>16</v>
      </c>
      <c r="DE161" s="34" t="s">
        <v>16</v>
      </c>
      <c r="DF161" s="34" t="s">
        <v>16</v>
      </c>
      <c r="DG161" s="34" t="s">
        <v>16</v>
      </c>
      <c r="DH161" s="34" t="s">
        <v>16</v>
      </c>
      <c r="DI161" s="34" t="s">
        <v>16</v>
      </c>
      <c r="DJ161" s="34" t="s">
        <v>16</v>
      </c>
      <c r="DK161" s="34" t="s">
        <v>16</v>
      </c>
      <c r="DL161" s="34" t="s">
        <v>16</v>
      </c>
      <c r="DM161" s="34" t="s">
        <v>16</v>
      </c>
      <c r="DN161" s="34" t="s">
        <v>16</v>
      </c>
      <c r="DO161" s="34" t="s">
        <v>16</v>
      </c>
      <c r="DP161" s="34" t="s">
        <v>16</v>
      </c>
      <c r="DQ161" s="34" t="s">
        <v>16</v>
      </c>
      <c r="DR161" s="55" t="s">
        <v>16</v>
      </c>
    </row>
    <row r="162" spans="1:122">
      <c r="A162" s="83" t="s">
        <v>197</v>
      </c>
      <c r="B162" s="83"/>
      <c r="C162" s="53" t="s">
        <v>94</v>
      </c>
      <c r="D162" s="72">
        <v>100</v>
      </c>
      <c r="E162" s="72">
        <v>150</v>
      </c>
      <c r="F162" s="53" t="s">
        <v>16</v>
      </c>
      <c r="G162" s="53" t="s">
        <v>105</v>
      </c>
      <c r="H162" s="72">
        <v>485</v>
      </c>
      <c r="I162" s="53">
        <v>280</v>
      </c>
      <c r="J162" s="82" t="s">
        <v>17</v>
      </c>
      <c r="K162" s="63">
        <v>128</v>
      </c>
      <c r="L162" s="34">
        <v>128</v>
      </c>
      <c r="M162" s="34">
        <v>128</v>
      </c>
      <c r="N162" s="34">
        <v>128</v>
      </c>
      <c r="O162" s="34">
        <v>128</v>
      </c>
      <c r="P162" s="34">
        <v>128</v>
      </c>
      <c r="Q162" s="34">
        <v>128</v>
      </c>
      <c r="R162" s="34">
        <v>128</v>
      </c>
      <c r="S162" s="34">
        <v>128</v>
      </c>
      <c r="T162" s="34">
        <v>128</v>
      </c>
      <c r="U162" s="34">
        <v>128</v>
      </c>
      <c r="V162" s="34">
        <v>128</v>
      </c>
      <c r="W162" s="34">
        <v>128</v>
      </c>
      <c r="X162" s="34">
        <v>128</v>
      </c>
      <c r="Y162" s="34">
        <v>128</v>
      </c>
      <c r="Z162" s="34" t="s">
        <v>16</v>
      </c>
      <c r="AA162" s="34" t="s">
        <v>16</v>
      </c>
      <c r="AB162" s="34" t="s">
        <v>16</v>
      </c>
      <c r="AC162" s="34" t="s">
        <v>16</v>
      </c>
      <c r="AD162" s="34" t="s">
        <v>16</v>
      </c>
      <c r="AE162" s="34" t="s">
        <v>16</v>
      </c>
      <c r="AF162" s="34" t="s">
        <v>16</v>
      </c>
      <c r="AG162" s="34" t="s">
        <v>16</v>
      </c>
      <c r="AH162" s="34" t="s">
        <v>16</v>
      </c>
      <c r="AI162" s="34" t="s">
        <v>16</v>
      </c>
      <c r="AJ162" s="34" t="s">
        <v>16</v>
      </c>
      <c r="AK162" s="34" t="s">
        <v>16</v>
      </c>
      <c r="AL162" s="34" t="s">
        <v>16</v>
      </c>
      <c r="AM162" s="34" t="s">
        <v>16</v>
      </c>
      <c r="AN162" s="34" t="s">
        <v>16</v>
      </c>
      <c r="AO162" s="34" t="s">
        <v>16</v>
      </c>
      <c r="AP162" s="34" t="s">
        <v>16</v>
      </c>
      <c r="AQ162" s="34" t="s">
        <v>16</v>
      </c>
      <c r="AR162" s="34" t="s">
        <v>16</v>
      </c>
      <c r="AS162" s="34" t="s">
        <v>16</v>
      </c>
      <c r="AT162" s="34" t="s">
        <v>16</v>
      </c>
      <c r="AU162" s="55" t="s">
        <v>16</v>
      </c>
      <c r="AV162" s="140" t="s">
        <v>64</v>
      </c>
      <c r="AW162" s="63" t="s">
        <v>16</v>
      </c>
      <c r="AX162" s="34" t="s">
        <v>16</v>
      </c>
      <c r="AY162" s="34" t="s">
        <v>16</v>
      </c>
      <c r="AZ162" s="34" t="s">
        <v>16</v>
      </c>
      <c r="BA162" s="34" t="s">
        <v>16</v>
      </c>
      <c r="BB162" s="34" t="s">
        <v>16</v>
      </c>
      <c r="BC162" s="34" t="s">
        <v>16</v>
      </c>
      <c r="BD162" s="34" t="s">
        <v>16</v>
      </c>
      <c r="BE162" s="34" t="s">
        <v>16</v>
      </c>
      <c r="BF162" s="34" t="s">
        <v>16</v>
      </c>
      <c r="BG162" s="34" t="s">
        <v>16</v>
      </c>
      <c r="BH162" s="34" t="s">
        <v>16</v>
      </c>
      <c r="BI162" s="34" t="s">
        <v>16</v>
      </c>
      <c r="BJ162" s="34" t="s">
        <v>16</v>
      </c>
      <c r="BK162" s="34" t="s">
        <v>16</v>
      </c>
      <c r="BL162" s="34" t="s">
        <v>16</v>
      </c>
      <c r="BM162" s="34" t="s">
        <v>16</v>
      </c>
      <c r="BN162" s="34" t="s">
        <v>16</v>
      </c>
      <c r="BO162" s="34" t="s">
        <v>16</v>
      </c>
      <c r="BP162" s="34" t="s">
        <v>16</v>
      </c>
      <c r="BQ162" s="34" t="s">
        <v>16</v>
      </c>
      <c r="BR162" s="34" t="s">
        <v>16</v>
      </c>
      <c r="BS162" s="34" t="s">
        <v>16</v>
      </c>
      <c r="BT162" s="34" t="s">
        <v>16</v>
      </c>
      <c r="BU162" s="34" t="s">
        <v>16</v>
      </c>
      <c r="BV162" s="34" t="s">
        <v>16</v>
      </c>
      <c r="BW162" s="34" t="s">
        <v>16</v>
      </c>
      <c r="BX162" s="34" t="s">
        <v>16</v>
      </c>
      <c r="BY162" s="34" t="s">
        <v>16</v>
      </c>
      <c r="BZ162" s="34" t="s">
        <v>16</v>
      </c>
      <c r="CA162" s="34" t="s">
        <v>16</v>
      </c>
      <c r="CB162" s="34" t="s">
        <v>16</v>
      </c>
      <c r="CC162" s="34" t="s">
        <v>16</v>
      </c>
      <c r="CD162" s="34" t="s">
        <v>16</v>
      </c>
      <c r="CE162" s="34" t="s">
        <v>16</v>
      </c>
      <c r="CF162" s="34" t="s">
        <v>16</v>
      </c>
      <c r="CG162" s="44" t="s">
        <v>16</v>
      </c>
      <c r="CH162" s="63" t="s">
        <v>16</v>
      </c>
      <c r="CI162" s="34" t="s">
        <v>16</v>
      </c>
      <c r="CJ162" s="34" t="s">
        <v>16</v>
      </c>
      <c r="CK162" s="34" t="s">
        <v>16</v>
      </c>
      <c r="CL162" s="34">
        <v>194</v>
      </c>
      <c r="CM162" s="34" t="s">
        <v>16</v>
      </c>
      <c r="CN162" s="34" t="s">
        <v>16</v>
      </c>
      <c r="CO162" s="34" t="s">
        <v>16</v>
      </c>
      <c r="CP162" s="34">
        <v>166</v>
      </c>
      <c r="CQ162" s="34" t="s">
        <v>16</v>
      </c>
      <c r="CR162" s="34">
        <v>146</v>
      </c>
      <c r="CS162" s="34" t="s">
        <v>16</v>
      </c>
      <c r="CT162" s="34">
        <v>126</v>
      </c>
      <c r="CU162" s="34" t="s">
        <v>16</v>
      </c>
      <c r="CV162" s="34" t="s">
        <v>16</v>
      </c>
      <c r="CW162" s="34" t="s">
        <v>16</v>
      </c>
      <c r="CX162" s="34" t="s">
        <v>16</v>
      </c>
      <c r="CY162" s="34" t="s">
        <v>16</v>
      </c>
      <c r="CZ162" s="34" t="s">
        <v>16</v>
      </c>
      <c r="DA162" s="34" t="s">
        <v>16</v>
      </c>
      <c r="DB162" s="34" t="s">
        <v>16</v>
      </c>
      <c r="DC162" s="34" t="s">
        <v>16</v>
      </c>
      <c r="DD162" s="34" t="s">
        <v>16</v>
      </c>
      <c r="DE162" s="34" t="s">
        <v>16</v>
      </c>
      <c r="DF162" s="34" t="s">
        <v>16</v>
      </c>
      <c r="DG162" s="34" t="s">
        <v>16</v>
      </c>
      <c r="DH162" s="34" t="s">
        <v>16</v>
      </c>
      <c r="DI162" s="34" t="s">
        <v>16</v>
      </c>
      <c r="DJ162" s="34" t="s">
        <v>16</v>
      </c>
      <c r="DK162" s="34" t="s">
        <v>16</v>
      </c>
      <c r="DL162" s="34" t="s">
        <v>16</v>
      </c>
      <c r="DM162" s="34" t="s">
        <v>16</v>
      </c>
      <c r="DN162" s="34" t="s">
        <v>16</v>
      </c>
      <c r="DO162" s="34" t="s">
        <v>16</v>
      </c>
      <c r="DP162" s="34" t="s">
        <v>16</v>
      </c>
      <c r="DQ162" s="34" t="s">
        <v>16</v>
      </c>
      <c r="DR162" s="55" t="s">
        <v>16</v>
      </c>
    </row>
    <row r="163" spans="1:122">
      <c r="A163" s="83" t="str">
        <f t="shared" ref="A163:C167" si="218">A162</f>
        <v>Fe 490 UNI7070</v>
      </c>
      <c r="B163" s="83"/>
      <c r="C163" s="83" t="str">
        <f t="shared" si="218"/>
        <v>bolting</v>
      </c>
      <c r="D163" s="72">
        <v>80</v>
      </c>
      <c r="E163" s="72">
        <v>100</v>
      </c>
      <c r="F163" s="53" t="str">
        <f t="shared" ref="F163:G167" si="219">F162</f>
        <v>-</v>
      </c>
      <c r="G163" s="53" t="str">
        <f t="shared" si="219"/>
        <v>UNI</v>
      </c>
      <c r="H163" s="53">
        <f t="shared" ref="H163:AV167" si="220">H162</f>
        <v>485</v>
      </c>
      <c r="I163" s="53">
        <f t="shared" si="220"/>
        <v>280</v>
      </c>
      <c r="J163" s="53" t="str">
        <f t="shared" si="220"/>
        <v>ASTM</v>
      </c>
      <c r="K163" s="48">
        <f t="shared" si="220"/>
        <v>128</v>
      </c>
      <c r="L163" s="54">
        <f t="shared" si="220"/>
        <v>128</v>
      </c>
      <c r="M163" s="54">
        <f t="shared" si="220"/>
        <v>128</v>
      </c>
      <c r="N163" s="54">
        <f t="shared" si="220"/>
        <v>128</v>
      </c>
      <c r="O163" s="54">
        <f t="shared" si="220"/>
        <v>128</v>
      </c>
      <c r="P163" s="54">
        <f t="shared" si="220"/>
        <v>128</v>
      </c>
      <c r="Q163" s="54">
        <f t="shared" si="220"/>
        <v>128</v>
      </c>
      <c r="R163" s="54">
        <f t="shared" si="220"/>
        <v>128</v>
      </c>
      <c r="S163" s="54">
        <f t="shared" si="220"/>
        <v>128</v>
      </c>
      <c r="T163" s="54">
        <f t="shared" si="220"/>
        <v>128</v>
      </c>
      <c r="U163" s="54">
        <f t="shared" si="220"/>
        <v>128</v>
      </c>
      <c r="V163" s="54">
        <f t="shared" si="220"/>
        <v>128</v>
      </c>
      <c r="W163" s="54">
        <f t="shared" si="220"/>
        <v>128</v>
      </c>
      <c r="X163" s="54">
        <f t="shared" si="220"/>
        <v>128</v>
      </c>
      <c r="Y163" s="54">
        <f t="shared" si="220"/>
        <v>128</v>
      </c>
      <c r="Z163" s="54" t="str">
        <f t="shared" si="220"/>
        <v>-</v>
      </c>
      <c r="AA163" s="54" t="str">
        <f t="shared" si="220"/>
        <v>-</v>
      </c>
      <c r="AB163" s="54" t="str">
        <f t="shared" si="220"/>
        <v>-</v>
      </c>
      <c r="AC163" s="54" t="str">
        <f t="shared" si="220"/>
        <v>-</v>
      </c>
      <c r="AD163" s="54" t="str">
        <f t="shared" si="220"/>
        <v>-</v>
      </c>
      <c r="AE163" s="54" t="str">
        <f t="shared" si="220"/>
        <v>-</v>
      </c>
      <c r="AF163" s="54" t="str">
        <f t="shared" si="220"/>
        <v>-</v>
      </c>
      <c r="AG163" s="54" t="str">
        <f t="shared" si="220"/>
        <v>-</v>
      </c>
      <c r="AH163" s="54" t="str">
        <f t="shared" si="220"/>
        <v>-</v>
      </c>
      <c r="AI163" s="54" t="str">
        <f t="shared" si="220"/>
        <v>-</v>
      </c>
      <c r="AJ163" s="54" t="str">
        <f t="shared" si="220"/>
        <v>-</v>
      </c>
      <c r="AK163" s="54" t="str">
        <f t="shared" si="220"/>
        <v>-</v>
      </c>
      <c r="AL163" s="54" t="str">
        <f t="shared" si="220"/>
        <v>-</v>
      </c>
      <c r="AM163" s="54" t="str">
        <f t="shared" si="220"/>
        <v>-</v>
      </c>
      <c r="AN163" s="54" t="str">
        <f t="shared" si="220"/>
        <v>-</v>
      </c>
      <c r="AO163" s="54" t="str">
        <f t="shared" si="220"/>
        <v>-</v>
      </c>
      <c r="AP163" s="54" t="str">
        <f t="shared" si="220"/>
        <v>-</v>
      </c>
      <c r="AQ163" s="54" t="str">
        <f t="shared" si="220"/>
        <v>-</v>
      </c>
      <c r="AR163" s="54" t="str">
        <f t="shared" si="220"/>
        <v>-</v>
      </c>
      <c r="AS163" s="54" t="str">
        <f t="shared" si="220"/>
        <v>-</v>
      </c>
      <c r="AT163" s="54" t="str">
        <f t="shared" si="220"/>
        <v>-</v>
      </c>
      <c r="AU163" s="72" t="str">
        <f t="shared" si="220"/>
        <v>-</v>
      </c>
      <c r="AV163" s="141" t="str">
        <f t="shared" si="220"/>
        <v>EN</v>
      </c>
      <c r="AW163" s="63" t="str">
        <f t="shared" ref="AW163:AX167" si="221">AW162</f>
        <v>-</v>
      </c>
      <c r="AX163" s="34" t="str">
        <f t="shared" si="221"/>
        <v>-</v>
      </c>
      <c r="AY163" s="34" t="str">
        <f t="shared" ref="AY163:CG167" si="222">AY162</f>
        <v>-</v>
      </c>
      <c r="AZ163" s="34" t="str">
        <f t="shared" si="222"/>
        <v>-</v>
      </c>
      <c r="BA163" s="34" t="str">
        <f t="shared" si="222"/>
        <v>-</v>
      </c>
      <c r="BB163" s="34" t="str">
        <f t="shared" si="222"/>
        <v>-</v>
      </c>
      <c r="BC163" s="34" t="str">
        <f t="shared" si="222"/>
        <v>-</v>
      </c>
      <c r="BD163" s="34" t="str">
        <f t="shared" si="222"/>
        <v>-</v>
      </c>
      <c r="BE163" s="34" t="str">
        <f t="shared" si="222"/>
        <v>-</v>
      </c>
      <c r="BF163" s="34" t="str">
        <f t="shared" si="222"/>
        <v>-</v>
      </c>
      <c r="BG163" s="34" t="str">
        <f t="shared" si="222"/>
        <v>-</v>
      </c>
      <c r="BH163" s="34" t="str">
        <f t="shared" si="222"/>
        <v>-</v>
      </c>
      <c r="BI163" s="34" t="str">
        <f t="shared" si="222"/>
        <v>-</v>
      </c>
      <c r="BJ163" s="34" t="str">
        <f t="shared" si="222"/>
        <v>-</v>
      </c>
      <c r="BK163" s="34" t="str">
        <f t="shared" si="222"/>
        <v>-</v>
      </c>
      <c r="BL163" s="34" t="str">
        <f t="shared" si="222"/>
        <v>-</v>
      </c>
      <c r="BM163" s="34" t="str">
        <f t="shared" si="222"/>
        <v>-</v>
      </c>
      <c r="BN163" s="34" t="str">
        <f t="shared" si="222"/>
        <v>-</v>
      </c>
      <c r="BO163" s="34" t="str">
        <f t="shared" si="222"/>
        <v>-</v>
      </c>
      <c r="BP163" s="34" t="str">
        <f t="shared" si="222"/>
        <v>-</v>
      </c>
      <c r="BQ163" s="34" t="str">
        <f t="shared" si="222"/>
        <v>-</v>
      </c>
      <c r="BR163" s="34" t="str">
        <f t="shared" si="222"/>
        <v>-</v>
      </c>
      <c r="BS163" s="34" t="str">
        <f t="shared" si="222"/>
        <v>-</v>
      </c>
      <c r="BT163" s="34" t="str">
        <f t="shared" si="222"/>
        <v>-</v>
      </c>
      <c r="BU163" s="34" t="str">
        <f t="shared" si="222"/>
        <v>-</v>
      </c>
      <c r="BV163" s="34" t="str">
        <f t="shared" si="222"/>
        <v>-</v>
      </c>
      <c r="BW163" s="34" t="str">
        <f t="shared" si="222"/>
        <v>-</v>
      </c>
      <c r="BX163" s="34" t="str">
        <f t="shared" si="222"/>
        <v>-</v>
      </c>
      <c r="BY163" s="34" t="str">
        <f t="shared" si="222"/>
        <v>-</v>
      </c>
      <c r="BZ163" s="34" t="str">
        <f t="shared" si="222"/>
        <v>-</v>
      </c>
      <c r="CA163" s="34" t="str">
        <f t="shared" si="222"/>
        <v>-</v>
      </c>
      <c r="CB163" s="34" t="str">
        <f t="shared" si="222"/>
        <v>-</v>
      </c>
      <c r="CC163" s="34" t="str">
        <f t="shared" si="222"/>
        <v>-</v>
      </c>
      <c r="CD163" s="34" t="str">
        <f t="shared" si="222"/>
        <v>-</v>
      </c>
      <c r="CE163" s="34" t="str">
        <f t="shared" si="222"/>
        <v>-</v>
      </c>
      <c r="CF163" s="34" t="str">
        <f t="shared" si="222"/>
        <v>-</v>
      </c>
      <c r="CG163" s="44" t="str">
        <f t="shared" si="222"/>
        <v>-</v>
      </c>
      <c r="CH163" s="63" t="s">
        <v>16</v>
      </c>
      <c r="CI163" s="34" t="s">
        <v>16</v>
      </c>
      <c r="CJ163" s="34" t="s">
        <v>16</v>
      </c>
      <c r="CK163" s="34" t="s">
        <v>16</v>
      </c>
      <c r="CL163" s="34">
        <v>214</v>
      </c>
      <c r="CM163" s="34" t="s">
        <v>16</v>
      </c>
      <c r="CN163" s="34" t="s">
        <v>16</v>
      </c>
      <c r="CO163" s="34" t="s">
        <v>16</v>
      </c>
      <c r="CP163" s="34">
        <v>186</v>
      </c>
      <c r="CQ163" s="34" t="s">
        <v>16</v>
      </c>
      <c r="CR163" s="34">
        <v>166</v>
      </c>
      <c r="CS163" s="34" t="s">
        <v>16</v>
      </c>
      <c r="CT163" s="34">
        <v>146</v>
      </c>
      <c r="CU163" s="34" t="s">
        <v>16</v>
      </c>
      <c r="CV163" s="34" t="s">
        <v>16</v>
      </c>
      <c r="CW163" s="34" t="s">
        <v>16</v>
      </c>
      <c r="CX163" s="34" t="s">
        <v>16</v>
      </c>
      <c r="CY163" s="34" t="s">
        <v>16</v>
      </c>
      <c r="CZ163" s="34" t="s">
        <v>16</v>
      </c>
      <c r="DA163" s="34" t="s">
        <v>16</v>
      </c>
      <c r="DB163" s="34" t="s">
        <v>16</v>
      </c>
      <c r="DC163" s="34" t="s">
        <v>16</v>
      </c>
      <c r="DD163" s="34" t="s">
        <v>16</v>
      </c>
      <c r="DE163" s="34" t="s">
        <v>16</v>
      </c>
      <c r="DF163" s="34" t="s">
        <v>16</v>
      </c>
      <c r="DG163" s="34" t="s">
        <v>16</v>
      </c>
      <c r="DH163" s="34" t="s">
        <v>16</v>
      </c>
      <c r="DI163" s="34" t="s">
        <v>16</v>
      </c>
      <c r="DJ163" s="34" t="s">
        <v>16</v>
      </c>
      <c r="DK163" s="34" t="s">
        <v>16</v>
      </c>
      <c r="DL163" s="34" t="s">
        <v>16</v>
      </c>
      <c r="DM163" s="34" t="s">
        <v>16</v>
      </c>
      <c r="DN163" s="34" t="s">
        <v>16</v>
      </c>
      <c r="DO163" s="34" t="s">
        <v>16</v>
      </c>
      <c r="DP163" s="34" t="s">
        <v>16</v>
      </c>
      <c r="DQ163" s="34" t="s">
        <v>16</v>
      </c>
      <c r="DR163" s="55" t="s">
        <v>16</v>
      </c>
    </row>
    <row r="164" spans="1:122">
      <c r="A164" s="83" t="str">
        <f t="shared" si="218"/>
        <v>Fe 490 UNI7070</v>
      </c>
      <c r="B164" s="83"/>
      <c r="C164" s="83" t="str">
        <f t="shared" si="218"/>
        <v>bolting</v>
      </c>
      <c r="D164" s="72">
        <v>63</v>
      </c>
      <c r="E164" s="72">
        <v>80</v>
      </c>
      <c r="F164" s="53" t="str">
        <f t="shared" si="219"/>
        <v>-</v>
      </c>
      <c r="G164" s="53" t="str">
        <f t="shared" si="219"/>
        <v>UNI</v>
      </c>
      <c r="H164" s="53">
        <f t="shared" si="220"/>
        <v>485</v>
      </c>
      <c r="I164" s="53">
        <f t="shared" si="220"/>
        <v>280</v>
      </c>
      <c r="J164" s="53" t="str">
        <f t="shared" si="220"/>
        <v>ASTM</v>
      </c>
      <c r="K164" s="48">
        <f t="shared" si="220"/>
        <v>128</v>
      </c>
      <c r="L164" s="54">
        <f t="shared" si="220"/>
        <v>128</v>
      </c>
      <c r="M164" s="54">
        <f t="shared" si="220"/>
        <v>128</v>
      </c>
      <c r="N164" s="54">
        <f t="shared" si="220"/>
        <v>128</v>
      </c>
      <c r="O164" s="54">
        <f t="shared" si="220"/>
        <v>128</v>
      </c>
      <c r="P164" s="54">
        <f t="shared" si="220"/>
        <v>128</v>
      </c>
      <c r="Q164" s="54">
        <f t="shared" si="220"/>
        <v>128</v>
      </c>
      <c r="R164" s="54">
        <f t="shared" si="220"/>
        <v>128</v>
      </c>
      <c r="S164" s="54">
        <f t="shared" si="220"/>
        <v>128</v>
      </c>
      <c r="T164" s="54">
        <f t="shared" si="220"/>
        <v>128</v>
      </c>
      <c r="U164" s="54">
        <f t="shared" si="220"/>
        <v>128</v>
      </c>
      <c r="V164" s="54">
        <f t="shared" si="220"/>
        <v>128</v>
      </c>
      <c r="W164" s="54">
        <f t="shared" si="220"/>
        <v>128</v>
      </c>
      <c r="X164" s="54">
        <f t="shared" si="220"/>
        <v>128</v>
      </c>
      <c r="Y164" s="54">
        <f t="shared" si="220"/>
        <v>128</v>
      </c>
      <c r="Z164" s="54" t="str">
        <f t="shared" si="220"/>
        <v>-</v>
      </c>
      <c r="AA164" s="54" t="str">
        <f t="shared" si="220"/>
        <v>-</v>
      </c>
      <c r="AB164" s="54" t="str">
        <f t="shared" si="220"/>
        <v>-</v>
      </c>
      <c r="AC164" s="54" t="str">
        <f t="shared" si="220"/>
        <v>-</v>
      </c>
      <c r="AD164" s="54" t="str">
        <f t="shared" si="220"/>
        <v>-</v>
      </c>
      <c r="AE164" s="54" t="str">
        <f t="shared" si="220"/>
        <v>-</v>
      </c>
      <c r="AF164" s="54" t="str">
        <f t="shared" si="220"/>
        <v>-</v>
      </c>
      <c r="AG164" s="54" t="str">
        <f t="shared" si="220"/>
        <v>-</v>
      </c>
      <c r="AH164" s="54" t="str">
        <f t="shared" si="220"/>
        <v>-</v>
      </c>
      <c r="AI164" s="54" t="str">
        <f t="shared" si="220"/>
        <v>-</v>
      </c>
      <c r="AJ164" s="54" t="str">
        <f t="shared" si="220"/>
        <v>-</v>
      </c>
      <c r="AK164" s="54" t="str">
        <f t="shared" si="220"/>
        <v>-</v>
      </c>
      <c r="AL164" s="54" t="str">
        <f t="shared" si="220"/>
        <v>-</v>
      </c>
      <c r="AM164" s="54" t="str">
        <f t="shared" si="220"/>
        <v>-</v>
      </c>
      <c r="AN164" s="54" t="str">
        <f t="shared" si="220"/>
        <v>-</v>
      </c>
      <c r="AO164" s="54" t="str">
        <f t="shared" si="220"/>
        <v>-</v>
      </c>
      <c r="AP164" s="54" t="str">
        <f t="shared" si="220"/>
        <v>-</v>
      </c>
      <c r="AQ164" s="54" t="str">
        <f t="shared" si="220"/>
        <v>-</v>
      </c>
      <c r="AR164" s="54" t="str">
        <f t="shared" si="220"/>
        <v>-</v>
      </c>
      <c r="AS164" s="54" t="str">
        <f t="shared" si="220"/>
        <v>-</v>
      </c>
      <c r="AT164" s="54" t="str">
        <f t="shared" si="220"/>
        <v>-</v>
      </c>
      <c r="AU164" s="72" t="str">
        <f t="shared" si="220"/>
        <v>-</v>
      </c>
      <c r="AV164" s="141" t="str">
        <f t="shared" si="220"/>
        <v>EN</v>
      </c>
      <c r="AW164" s="63" t="str">
        <f t="shared" si="221"/>
        <v>-</v>
      </c>
      <c r="AX164" s="34" t="str">
        <f t="shared" si="221"/>
        <v>-</v>
      </c>
      <c r="AY164" s="34" t="str">
        <f t="shared" si="222"/>
        <v>-</v>
      </c>
      <c r="AZ164" s="34" t="str">
        <f t="shared" si="222"/>
        <v>-</v>
      </c>
      <c r="BA164" s="34" t="str">
        <f t="shared" si="222"/>
        <v>-</v>
      </c>
      <c r="BB164" s="34" t="str">
        <f t="shared" si="222"/>
        <v>-</v>
      </c>
      <c r="BC164" s="34" t="str">
        <f t="shared" si="222"/>
        <v>-</v>
      </c>
      <c r="BD164" s="34" t="str">
        <f t="shared" si="222"/>
        <v>-</v>
      </c>
      <c r="BE164" s="34" t="str">
        <f t="shared" si="222"/>
        <v>-</v>
      </c>
      <c r="BF164" s="34" t="str">
        <f t="shared" si="222"/>
        <v>-</v>
      </c>
      <c r="BG164" s="34" t="str">
        <f t="shared" si="222"/>
        <v>-</v>
      </c>
      <c r="BH164" s="34" t="str">
        <f t="shared" si="222"/>
        <v>-</v>
      </c>
      <c r="BI164" s="34" t="str">
        <f t="shared" si="222"/>
        <v>-</v>
      </c>
      <c r="BJ164" s="34" t="str">
        <f t="shared" si="222"/>
        <v>-</v>
      </c>
      <c r="BK164" s="34" t="str">
        <f t="shared" si="222"/>
        <v>-</v>
      </c>
      <c r="BL164" s="34" t="str">
        <f t="shared" si="222"/>
        <v>-</v>
      </c>
      <c r="BM164" s="34" t="str">
        <f t="shared" si="222"/>
        <v>-</v>
      </c>
      <c r="BN164" s="34" t="str">
        <f t="shared" si="222"/>
        <v>-</v>
      </c>
      <c r="BO164" s="34" t="str">
        <f t="shared" si="222"/>
        <v>-</v>
      </c>
      <c r="BP164" s="34" t="str">
        <f t="shared" si="222"/>
        <v>-</v>
      </c>
      <c r="BQ164" s="34" t="str">
        <f t="shared" si="222"/>
        <v>-</v>
      </c>
      <c r="BR164" s="34" t="str">
        <f t="shared" si="222"/>
        <v>-</v>
      </c>
      <c r="BS164" s="34" t="str">
        <f t="shared" si="222"/>
        <v>-</v>
      </c>
      <c r="BT164" s="34" t="str">
        <f t="shared" si="222"/>
        <v>-</v>
      </c>
      <c r="BU164" s="34" t="str">
        <f t="shared" si="222"/>
        <v>-</v>
      </c>
      <c r="BV164" s="34" t="str">
        <f t="shared" si="222"/>
        <v>-</v>
      </c>
      <c r="BW164" s="34" t="str">
        <f t="shared" si="222"/>
        <v>-</v>
      </c>
      <c r="BX164" s="34" t="str">
        <f t="shared" si="222"/>
        <v>-</v>
      </c>
      <c r="BY164" s="34" t="str">
        <f t="shared" si="222"/>
        <v>-</v>
      </c>
      <c r="BZ164" s="34" t="str">
        <f t="shared" si="222"/>
        <v>-</v>
      </c>
      <c r="CA164" s="34" t="str">
        <f t="shared" si="222"/>
        <v>-</v>
      </c>
      <c r="CB164" s="34" t="str">
        <f t="shared" si="222"/>
        <v>-</v>
      </c>
      <c r="CC164" s="34" t="str">
        <f t="shared" si="222"/>
        <v>-</v>
      </c>
      <c r="CD164" s="34" t="str">
        <f t="shared" si="222"/>
        <v>-</v>
      </c>
      <c r="CE164" s="34" t="str">
        <f t="shared" si="222"/>
        <v>-</v>
      </c>
      <c r="CF164" s="34" t="str">
        <f t="shared" si="222"/>
        <v>-</v>
      </c>
      <c r="CG164" s="44" t="str">
        <f t="shared" si="222"/>
        <v>-</v>
      </c>
      <c r="CH164" s="63" t="s">
        <v>16</v>
      </c>
      <c r="CI164" s="34" t="s">
        <v>16</v>
      </c>
      <c r="CJ164" s="34" t="s">
        <v>16</v>
      </c>
      <c r="CK164" s="34" t="s">
        <v>16</v>
      </c>
      <c r="CL164" s="34">
        <v>224</v>
      </c>
      <c r="CM164" s="34" t="s">
        <v>16</v>
      </c>
      <c r="CN164" s="34" t="s">
        <v>16</v>
      </c>
      <c r="CO164" s="34" t="s">
        <v>16</v>
      </c>
      <c r="CP164" s="34">
        <v>196</v>
      </c>
      <c r="CQ164" s="34" t="s">
        <v>16</v>
      </c>
      <c r="CR164" s="34">
        <v>176</v>
      </c>
      <c r="CS164" s="34" t="s">
        <v>16</v>
      </c>
      <c r="CT164" s="34">
        <v>156</v>
      </c>
      <c r="CU164" s="34" t="s">
        <v>16</v>
      </c>
      <c r="CV164" s="34" t="s">
        <v>16</v>
      </c>
      <c r="CW164" s="34" t="s">
        <v>16</v>
      </c>
      <c r="CX164" s="34" t="s">
        <v>16</v>
      </c>
      <c r="CY164" s="34" t="s">
        <v>16</v>
      </c>
      <c r="CZ164" s="34" t="s">
        <v>16</v>
      </c>
      <c r="DA164" s="34" t="s">
        <v>16</v>
      </c>
      <c r="DB164" s="34" t="s">
        <v>16</v>
      </c>
      <c r="DC164" s="34" t="s">
        <v>16</v>
      </c>
      <c r="DD164" s="34" t="s">
        <v>16</v>
      </c>
      <c r="DE164" s="34" t="s">
        <v>16</v>
      </c>
      <c r="DF164" s="34" t="s">
        <v>16</v>
      </c>
      <c r="DG164" s="34" t="s">
        <v>16</v>
      </c>
      <c r="DH164" s="34" t="s">
        <v>16</v>
      </c>
      <c r="DI164" s="34" t="s">
        <v>16</v>
      </c>
      <c r="DJ164" s="34" t="s">
        <v>16</v>
      </c>
      <c r="DK164" s="34" t="s">
        <v>16</v>
      </c>
      <c r="DL164" s="34" t="s">
        <v>16</v>
      </c>
      <c r="DM164" s="34" t="s">
        <v>16</v>
      </c>
      <c r="DN164" s="34" t="s">
        <v>16</v>
      </c>
      <c r="DO164" s="34" t="s">
        <v>16</v>
      </c>
      <c r="DP164" s="34" t="s">
        <v>16</v>
      </c>
      <c r="DQ164" s="34" t="s">
        <v>16</v>
      </c>
      <c r="DR164" s="55" t="s">
        <v>16</v>
      </c>
    </row>
    <row r="165" spans="1:122">
      <c r="A165" s="83" t="str">
        <f t="shared" si="218"/>
        <v>Fe 490 UNI7070</v>
      </c>
      <c r="B165" s="83"/>
      <c r="C165" s="83" t="str">
        <f t="shared" si="218"/>
        <v>bolting</v>
      </c>
      <c r="D165" s="72">
        <v>40</v>
      </c>
      <c r="E165" s="72">
        <v>63</v>
      </c>
      <c r="F165" s="53" t="str">
        <f t="shared" si="219"/>
        <v>-</v>
      </c>
      <c r="G165" s="53" t="str">
        <f t="shared" si="219"/>
        <v>UNI</v>
      </c>
      <c r="H165" s="53">
        <f t="shared" si="220"/>
        <v>485</v>
      </c>
      <c r="I165" s="53">
        <f t="shared" si="220"/>
        <v>280</v>
      </c>
      <c r="J165" s="53" t="str">
        <f t="shared" si="220"/>
        <v>ASTM</v>
      </c>
      <c r="K165" s="48">
        <f t="shared" si="220"/>
        <v>128</v>
      </c>
      <c r="L165" s="54">
        <f t="shared" si="220"/>
        <v>128</v>
      </c>
      <c r="M165" s="54">
        <f t="shared" si="220"/>
        <v>128</v>
      </c>
      <c r="N165" s="54">
        <f t="shared" si="220"/>
        <v>128</v>
      </c>
      <c r="O165" s="54">
        <f t="shared" si="220"/>
        <v>128</v>
      </c>
      <c r="P165" s="54">
        <f t="shared" si="220"/>
        <v>128</v>
      </c>
      <c r="Q165" s="54">
        <f t="shared" si="220"/>
        <v>128</v>
      </c>
      <c r="R165" s="54">
        <f t="shared" si="220"/>
        <v>128</v>
      </c>
      <c r="S165" s="54">
        <f t="shared" si="220"/>
        <v>128</v>
      </c>
      <c r="T165" s="54">
        <f t="shared" si="220"/>
        <v>128</v>
      </c>
      <c r="U165" s="54">
        <f t="shared" si="220"/>
        <v>128</v>
      </c>
      <c r="V165" s="54">
        <f t="shared" si="220"/>
        <v>128</v>
      </c>
      <c r="W165" s="54">
        <f t="shared" si="220"/>
        <v>128</v>
      </c>
      <c r="X165" s="54">
        <f t="shared" si="220"/>
        <v>128</v>
      </c>
      <c r="Y165" s="54">
        <f t="shared" si="220"/>
        <v>128</v>
      </c>
      <c r="Z165" s="54" t="str">
        <f t="shared" si="220"/>
        <v>-</v>
      </c>
      <c r="AA165" s="54" t="str">
        <f t="shared" si="220"/>
        <v>-</v>
      </c>
      <c r="AB165" s="54" t="str">
        <f t="shared" si="220"/>
        <v>-</v>
      </c>
      <c r="AC165" s="54" t="str">
        <f t="shared" si="220"/>
        <v>-</v>
      </c>
      <c r="AD165" s="54" t="str">
        <f t="shared" si="220"/>
        <v>-</v>
      </c>
      <c r="AE165" s="54" t="str">
        <f t="shared" si="220"/>
        <v>-</v>
      </c>
      <c r="AF165" s="54" t="str">
        <f t="shared" si="220"/>
        <v>-</v>
      </c>
      <c r="AG165" s="54" t="str">
        <f t="shared" si="220"/>
        <v>-</v>
      </c>
      <c r="AH165" s="54" t="str">
        <f t="shared" si="220"/>
        <v>-</v>
      </c>
      <c r="AI165" s="54" t="str">
        <f t="shared" si="220"/>
        <v>-</v>
      </c>
      <c r="AJ165" s="54" t="str">
        <f t="shared" si="220"/>
        <v>-</v>
      </c>
      <c r="AK165" s="54" t="str">
        <f t="shared" si="220"/>
        <v>-</v>
      </c>
      <c r="AL165" s="54" t="str">
        <f t="shared" si="220"/>
        <v>-</v>
      </c>
      <c r="AM165" s="54" t="str">
        <f t="shared" si="220"/>
        <v>-</v>
      </c>
      <c r="AN165" s="54" t="str">
        <f t="shared" si="220"/>
        <v>-</v>
      </c>
      <c r="AO165" s="54" t="str">
        <f t="shared" si="220"/>
        <v>-</v>
      </c>
      <c r="AP165" s="54" t="str">
        <f t="shared" si="220"/>
        <v>-</v>
      </c>
      <c r="AQ165" s="54" t="str">
        <f t="shared" si="220"/>
        <v>-</v>
      </c>
      <c r="AR165" s="54" t="str">
        <f t="shared" si="220"/>
        <v>-</v>
      </c>
      <c r="AS165" s="54" t="str">
        <f t="shared" si="220"/>
        <v>-</v>
      </c>
      <c r="AT165" s="54" t="str">
        <f t="shared" si="220"/>
        <v>-</v>
      </c>
      <c r="AU165" s="72" t="str">
        <f t="shared" si="220"/>
        <v>-</v>
      </c>
      <c r="AV165" s="141" t="str">
        <f t="shared" si="220"/>
        <v>EN</v>
      </c>
      <c r="AW165" s="63" t="str">
        <f t="shared" si="221"/>
        <v>-</v>
      </c>
      <c r="AX165" s="34" t="str">
        <f t="shared" si="221"/>
        <v>-</v>
      </c>
      <c r="AY165" s="34" t="str">
        <f t="shared" si="222"/>
        <v>-</v>
      </c>
      <c r="AZ165" s="34" t="str">
        <f t="shared" si="222"/>
        <v>-</v>
      </c>
      <c r="BA165" s="34" t="str">
        <f t="shared" si="222"/>
        <v>-</v>
      </c>
      <c r="BB165" s="34" t="str">
        <f t="shared" si="222"/>
        <v>-</v>
      </c>
      <c r="BC165" s="34" t="str">
        <f t="shared" si="222"/>
        <v>-</v>
      </c>
      <c r="BD165" s="34" t="str">
        <f t="shared" si="222"/>
        <v>-</v>
      </c>
      <c r="BE165" s="34" t="str">
        <f t="shared" si="222"/>
        <v>-</v>
      </c>
      <c r="BF165" s="34" t="str">
        <f t="shared" si="222"/>
        <v>-</v>
      </c>
      <c r="BG165" s="34" t="str">
        <f t="shared" si="222"/>
        <v>-</v>
      </c>
      <c r="BH165" s="34" t="str">
        <f t="shared" si="222"/>
        <v>-</v>
      </c>
      <c r="BI165" s="34" t="str">
        <f t="shared" si="222"/>
        <v>-</v>
      </c>
      <c r="BJ165" s="34" t="str">
        <f t="shared" si="222"/>
        <v>-</v>
      </c>
      <c r="BK165" s="34" t="str">
        <f t="shared" si="222"/>
        <v>-</v>
      </c>
      <c r="BL165" s="34" t="str">
        <f t="shared" si="222"/>
        <v>-</v>
      </c>
      <c r="BM165" s="34" t="str">
        <f t="shared" si="222"/>
        <v>-</v>
      </c>
      <c r="BN165" s="34" t="str">
        <f t="shared" si="222"/>
        <v>-</v>
      </c>
      <c r="BO165" s="34" t="str">
        <f t="shared" si="222"/>
        <v>-</v>
      </c>
      <c r="BP165" s="34" t="str">
        <f t="shared" si="222"/>
        <v>-</v>
      </c>
      <c r="BQ165" s="34" t="str">
        <f t="shared" si="222"/>
        <v>-</v>
      </c>
      <c r="BR165" s="34" t="str">
        <f t="shared" si="222"/>
        <v>-</v>
      </c>
      <c r="BS165" s="34" t="str">
        <f t="shared" si="222"/>
        <v>-</v>
      </c>
      <c r="BT165" s="34" t="str">
        <f t="shared" si="222"/>
        <v>-</v>
      </c>
      <c r="BU165" s="34" t="str">
        <f t="shared" si="222"/>
        <v>-</v>
      </c>
      <c r="BV165" s="34" t="str">
        <f t="shared" si="222"/>
        <v>-</v>
      </c>
      <c r="BW165" s="34" t="str">
        <f t="shared" si="222"/>
        <v>-</v>
      </c>
      <c r="BX165" s="34" t="str">
        <f t="shared" si="222"/>
        <v>-</v>
      </c>
      <c r="BY165" s="34" t="str">
        <f t="shared" si="222"/>
        <v>-</v>
      </c>
      <c r="BZ165" s="34" t="str">
        <f t="shared" si="222"/>
        <v>-</v>
      </c>
      <c r="CA165" s="34" t="str">
        <f t="shared" si="222"/>
        <v>-</v>
      </c>
      <c r="CB165" s="34" t="str">
        <f t="shared" si="222"/>
        <v>-</v>
      </c>
      <c r="CC165" s="34" t="str">
        <f t="shared" si="222"/>
        <v>-</v>
      </c>
      <c r="CD165" s="34" t="str">
        <f t="shared" si="222"/>
        <v>-</v>
      </c>
      <c r="CE165" s="34" t="str">
        <f t="shared" si="222"/>
        <v>-</v>
      </c>
      <c r="CF165" s="34" t="str">
        <f t="shared" si="222"/>
        <v>-</v>
      </c>
      <c r="CG165" s="44" t="str">
        <f t="shared" si="222"/>
        <v>-</v>
      </c>
      <c r="CH165" s="63" t="s">
        <v>16</v>
      </c>
      <c r="CI165" s="34" t="s">
        <v>16</v>
      </c>
      <c r="CJ165" s="34" t="s">
        <v>16</v>
      </c>
      <c r="CK165" s="34" t="s">
        <v>16</v>
      </c>
      <c r="CL165" s="34">
        <v>234</v>
      </c>
      <c r="CM165" s="34" t="s">
        <v>16</v>
      </c>
      <c r="CN165" s="34" t="s">
        <v>16</v>
      </c>
      <c r="CO165" s="34" t="s">
        <v>16</v>
      </c>
      <c r="CP165" s="34">
        <v>206</v>
      </c>
      <c r="CQ165" s="34" t="s">
        <v>16</v>
      </c>
      <c r="CR165" s="34">
        <v>186</v>
      </c>
      <c r="CS165" s="34" t="s">
        <v>16</v>
      </c>
      <c r="CT165" s="34">
        <v>166</v>
      </c>
      <c r="CU165" s="34" t="s">
        <v>16</v>
      </c>
      <c r="CV165" s="34" t="s">
        <v>16</v>
      </c>
      <c r="CW165" s="34" t="s">
        <v>16</v>
      </c>
      <c r="CX165" s="34" t="s">
        <v>16</v>
      </c>
      <c r="CY165" s="34" t="s">
        <v>16</v>
      </c>
      <c r="CZ165" s="34" t="s">
        <v>16</v>
      </c>
      <c r="DA165" s="34" t="s">
        <v>16</v>
      </c>
      <c r="DB165" s="34" t="s">
        <v>16</v>
      </c>
      <c r="DC165" s="34" t="s">
        <v>16</v>
      </c>
      <c r="DD165" s="34" t="s">
        <v>16</v>
      </c>
      <c r="DE165" s="34" t="s">
        <v>16</v>
      </c>
      <c r="DF165" s="34" t="s">
        <v>16</v>
      </c>
      <c r="DG165" s="34" t="s">
        <v>16</v>
      </c>
      <c r="DH165" s="34" t="s">
        <v>16</v>
      </c>
      <c r="DI165" s="34" t="s">
        <v>16</v>
      </c>
      <c r="DJ165" s="34" t="s">
        <v>16</v>
      </c>
      <c r="DK165" s="34" t="s">
        <v>16</v>
      </c>
      <c r="DL165" s="34" t="s">
        <v>16</v>
      </c>
      <c r="DM165" s="34" t="s">
        <v>16</v>
      </c>
      <c r="DN165" s="34" t="s">
        <v>16</v>
      </c>
      <c r="DO165" s="34" t="s">
        <v>16</v>
      </c>
      <c r="DP165" s="34" t="s">
        <v>16</v>
      </c>
      <c r="DQ165" s="34" t="s">
        <v>16</v>
      </c>
      <c r="DR165" s="55" t="s">
        <v>16</v>
      </c>
    </row>
    <row r="166" spans="1:122">
      <c r="A166" s="83" t="str">
        <f t="shared" si="218"/>
        <v>Fe 490 UNI7070</v>
      </c>
      <c r="B166" s="83"/>
      <c r="C166" s="83" t="str">
        <f t="shared" si="218"/>
        <v>bolting</v>
      </c>
      <c r="D166" s="72">
        <v>16</v>
      </c>
      <c r="E166" s="72">
        <v>40</v>
      </c>
      <c r="F166" s="53" t="str">
        <f t="shared" si="219"/>
        <v>-</v>
      </c>
      <c r="G166" s="53" t="str">
        <f t="shared" si="219"/>
        <v>UNI</v>
      </c>
      <c r="H166" s="53">
        <f t="shared" si="220"/>
        <v>485</v>
      </c>
      <c r="I166" s="53">
        <f t="shared" si="220"/>
        <v>280</v>
      </c>
      <c r="J166" s="53" t="str">
        <f t="shared" si="220"/>
        <v>ASTM</v>
      </c>
      <c r="K166" s="48">
        <f t="shared" si="220"/>
        <v>128</v>
      </c>
      <c r="L166" s="54">
        <f t="shared" si="220"/>
        <v>128</v>
      </c>
      <c r="M166" s="54">
        <f t="shared" si="220"/>
        <v>128</v>
      </c>
      <c r="N166" s="54">
        <f t="shared" si="220"/>
        <v>128</v>
      </c>
      <c r="O166" s="54">
        <f t="shared" si="220"/>
        <v>128</v>
      </c>
      <c r="P166" s="54">
        <f t="shared" si="220"/>
        <v>128</v>
      </c>
      <c r="Q166" s="54">
        <f t="shared" si="220"/>
        <v>128</v>
      </c>
      <c r="R166" s="54">
        <f t="shared" si="220"/>
        <v>128</v>
      </c>
      <c r="S166" s="54">
        <f t="shared" si="220"/>
        <v>128</v>
      </c>
      <c r="T166" s="54">
        <f t="shared" si="220"/>
        <v>128</v>
      </c>
      <c r="U166" s="54">
        <f t="shared" si="220"/>
        <v>128</v>
      </c>
      <c r="V166" s="54">
        <f t="shared" si="220"/>
        <v>128</v>
      </c>
      <c r="W166" s="54">
        <f t="shared" si="220"/>
        <v>128</v>
      </c>
      <c r="X166" s="54">
        <f t="shared" si="220"/>
        <v>128</v>
      </c>
      <c r="Y166" s="54">
        <f t="shared" si="220"/>
        <v>128</v>
      </c>
      <c r="Z166" s="54" t="str">
        <f t="shared" si="220"/>
        <v>-</v>
      </c>
      <c r="AA166" s="54" t="str">
        <f t="shared" si="220"/>
        <v>-</v>
      </c>
      <c r="AB166" s="54" t="str">
        <f t="shared" si="220"/>
        <v>-</v>
      </c>
      <c r="AC166" s="54" t="str">
        <f t="shared" si="220"/>
        <v>-</v>
      </c>
      <c r="AD166" s="54" t="str">
        <f t="shared" si="220"/>
        <v>-</v>
      </c>
      <c r="AE166" s="54" t="str">
        <f t="shared" si="220"/>
        <v>-</v>
      </c>
      <c r="AF166" s="54" t="str">
        <f t="shared" si="220"/>
        <v>-</v>
      </c>
      <c r="AG166" s="54" t="str">
        <f t="shared" si="220"/>
        <v>-</v>
      </c>
      <c r="AH166" s="54" t="str">
        <f t="shared" si="220"/>
        <v>-</v>
      </c>
      <c r="AI166" s="54" t="str">
        <f t="shared" si="220"/>
        <v>-</v>
      </c>
      <c r="AJ166" s="54" t="str">
        <f t="shared" si="220"/>
        <v>-</v>
      </c>
      <c r="AK166" s="54" t="str">
        <f t="shared" si="220"/>
        <v>-</v>
      </c>
      <c r="AL166" s="54" t="str">
        <f t="shared" si="220"/>
        <v>-</v>
      </c>
      <c r="AM166" s="54" t="str">
        <f t="shared" si="220"/>
        <v>-</v>
      </c>
      <c r="AN166" s="54" t="str">
        <f t="shared" si="220"/>
        <v>-</v>
      </c>
      <c r="AO166" s="54" t="str">
        <f t="shared" si="220"/>
        <v>-</v>
      </c>
      <c r="AP166" s="54" t="str">
        <f t="shared" si="220"/>
        <v>-</v>
      </c>
      <c r="AQ166" s="54" t="str">
        <f t="shared" si="220"/>
        <v>-</v>
      </c>
      <c r="AR166" s="54" t="str">
        <f t="shared" si="220"/>
        <v>-</v>
      </c>
      <c r="AS166" s="54" t="str">
        <f t="shared" si="220"/>
        <v>-</v>
      </c>
      <c r="AT166" s="54" t="str">
        <f t="shared" si="220"/>
        <v>-</v>
      </c>
      <c r="AU166" s="72" t="str">
        <f t="shared" si="220"/>
        <v>-</v>
      </c>
      <c r="AV166" s="141" t="str">
        <f t="shared" si="220"/>
        <v>EN</v>
      </c>
      <c r="AW166" s="63" t="str">
        <f t="shared" si="221"/>
        <v>-</v>
      </c>
      <c r="AX166" s="34" t="str">
        <f t="shared" si="221"/>
        <v>-</v>
      </c>
      <c r="AY166" s="34" t="str">
        <f t="shared" si="222"/>
        <v>-</v>
      </c>
      <c r="AZ166" s="34" t="str">
        <f t="shared" si="222"/>
        <v>-</v>
      </c>
      <c r="BA166" s="34" t="str">
        <f t="shared" si="222"/>
        <v>-</v>
      </c>
      <c r="BB166" s="34" t="str">
        <f t="shared" si="222"/>
        <v>-</v>
      </c>
      <c r="BC166" s="34" t="str">
        <f t="shared" si="222"/>
        <v>-</v>
      </c>
      <c r="BD166" s="34" t="str">
        <f t="shared" si="222"/>
        <v>-</v>
      </c>
      <c r="BE166" s="34" t="str">
        <f t="shared" si="222"/>
        <v>-</v>
      </c>
      <c r="BF166" s="34" t="str">
        <f t="shared" si="222"/>
        <v>-</v>
      </c>
      <c r="BG166" s="34" t="str">
        <f t="shared" si="222"/>
        <v>-</v>
      </c>
      <c r="BH166" s="34" t="str">
        <f t="shared" si="222"/>
        <v>-</v>
      </c>
      <c r="BI166" s="34" t="str">
        <f t="shared" si="222"/>
        <v>-</v>
      </c>
      <c r="BJ166" s="34" t="str">
        <f t="shared" si="222"/>
        <v>-</v>
      </c>
      <c r="BK166" s="34" t="str">
        <f t="shared" si="222"/>
        <v>-</v>
      </c>
      <c r="BL166" s="34" t="str">
        <f t="shared" si="222"/>
        <v>-</v>
      </c>
      <c r="BM166" s="34" t="str">
        <f t="shared" si="222"/>
        <v>-</v>
      </c>
      <c r="BN166" s="34" t="str">
        <f t="shared" si="222"/>
        <v>-</v>
      </c>
      <c r="BO166" s="34" t="str">
        <f t="shared" si="222"/>
        <v>-</v>
      </c>
      <c r="BP166" s="34" t="str">
        <f t="shared" si="222"/>
        <v>-</v>
      </c>
      <c r="BQ166" s="34" t="str">
        <f t="shared" si="222"/>
        <v>-</v>
      </c>
      <c r="BR166" s="34" t="str">
        <f t="shared" si="222"/>
        <v>-</v>
      </c>
      <c r="BS166" s="34" t="str">
        <f t="shared" si="222"/>
        <v>-</v>
      </c>
      <c r="BT166" s="34" t="str">
        <f t="shared" si="222"/>
        <v>-</v>
      </c>
      <c r="BU166" s="34" t="str">
        <f t="shared" si="222"/>
        <v>-</v>
      </c>
      <c r="BV166" s="34" t="str">
        <f t="shared" si="222"/>
        <v>-</v>
      </c>
      <c r="BW166" s="34" t="str">
        <f t="shared" si="222"/>
        <v>-</v>
      </c>
      <c r="BX166" s="34" t="str">
        <f t="shared" si="222"/>
        <v>-</v>
      </c>
      <c r="BY166" s="34" t="str">
        <f t="shared" si="222"/>
        <v>-</v>
      </c>
      <c r="BZ166" s="34" t="str">
        <f t="shared" si="222"/>
        <v>-</v>
      </c>
      <c r="CA166" s="34" t="str">
        <f t="shared" si="222"/>
        <v>-</v>
      </c>
      <c r="CB166" s="34" t="str">
        <f t="shared" si="222"/>
        <v>-</v>
      </c>
      <c r="CC166" s="34" t="str">
        <f t="shared" si="222"/>
        <v>-</v>
      </c>
      <c r="CD166" s="34" t="str">
        <f t="shared" si="222"/>
        <v>-</v>
      </c>
      <c r="CE166" s="34" t="str">
        <f t="shared" si="222"/>
        <v>-</v>
      </c>
      <c r="CF166" s="34" t="str">
        <f t="shared" si="222"/>
        <v>-</v>
      </c>
      <c r="CG166" s="44" t="str">
        <f t="shared" si="222"/>
        <v>-</v>
      </c>
      <c r="CH166" s="63" t="s">
        <v>16</v>
      </c>
      <c r="CI166" s="34" t="s">
        <v>16</v>
      </c>
      <c r="CJ166" s="34" t="s">
        <v>16</v>
      </c>
      <c r="CK166" s="34" t="s">
        <v>16</v>
      </c>
      <c r="CL166" s="34">
        <v>249</v>
      </c>
      <c r="CM166" s="34" t="s">
        <v>16</v>
      </c>
      <c r="CN166" s="34" t="s">
        <v>16</v>
      </c>
      <c r="CO166" s="34" t="s">
        <v>16</v>
      </c>
      <c r="CP166" s="34">
        <v>221</v>
      </c>
      <c r="CQ166" s="34" t="s">
        <v>16</v>
      </c>
      <c r="CR166" s="34">
        <v>202</v>
      </c>
      <c r="CS166" s="34" t="s">
        <v>16</v>
      </c>
      <c r="CT166" s="34">
        <v>181</v>
      </c>
      <c r="CU166" s="34" t="s">
        <v>16</v>
      </c>
      <c r="CV166" s="34" t="s">
        <v>16</v>
      </c>
      <c r="CW166" s="34" t="s">
        <v>16</v>
      </c>
      <c r="CX166" s="34" t="s">
        <v>16</v>
      </c>
      <c r="CY166" s="34" t="s">
        <v>16</v>
      </c>
      <c r="CZ166" s="34" t="s">
        <v>16</v>
      </c>
      <c r="DA166" s="34" t="s">
        <v>16</v>
      </c>
      <c r="DB166" s="34" t="s">
        <v>16</v>
      </c>
      <c r="DC166" s="34" t="s">
        <v>16</v>
      </c>
      <c r="DD166" s="34" t="s">
        <v>16</v>
      </c>
      <c r="DE166" s="34" t="s">
        <v>16</v>
      </c>
      <c r="DF166" s="34" t="s">
        <v>16</v>
      </c>
      <c r="DG166" s="34" t="s">
        <v>16</v>
      </c>
      <c r="DH166" s="34" t="s">
        <v>16</v>
      </c>
      <c r="DI166" s="34" t="s">
        <v>16</v>
      </c>
      <c r="DJ166" s="34" t="s">
        <v>16</v>
      </c>
      <c r="DK166" s="34" t="s">
        <v>16</v>
      </c>
      <c r="DL166" s="34" t="s">
        <v>16</v>
      </c>
      <c r="DM166" s="34" t="s">
        <v>16</v>
      </c>
      <c r="DN166" s="34" t="s">
        <v>16</v>
      </c>
      <c r="DO166" s="34" t="s">
        <v>16</v>
      </c>
      <c r="DP166" s="34" t="s">
        <v>16</v>
      </c>
      <c r="DQ166" s="34" t="s">
        <v>16</v>
      </c>
      <c r="DR166" s="55" t="s">
        <v>16</v>
      </c>
    </row>
    <row r="167" spans="1:122">
      <c r="A167" s="83" t="str">
        <f t="shared" si="218"/>
        <v>Fe 490 UNI7070</v>
      </c>
      <c r="B167" s="83"/>
      <c r="C167" s="83" t="str">
        <f t="shared" si="218"/>
        <v>bolting</v>
      </c>
      <c r="D167" s="53" t="s">
        <v>16</v>
      </c>
      <c r="E167" s="72">
        <v>16</v>
      </c>
      <c r="F167" s="53" t="str">
        <f t="shared" si="219"/>
        <v>-</v>
      </c>
      <c r="G167" s="53" t="str">
        <f t="shared" si="219"/>
        <v>UNI</v>
      </c>
      <c r="H167" s="53">
        <f t="shared" si="220"/>
        <v>485</v>
      </c>
      <c r="I167" s="53">
        <f t="shared" si="220"/>
        <v>280</v>
      </c>
      <c r="J167" s="53" t="str">
        <f t="shared" si="220"/>
        <v>ASTM</v>
      </c>
      <c r="K167" s="48">
        <f t="shared" si="220"/>
        <v>128</v>
      </c>
      <c r="L167" s="54">
        <f t="shared" si="220"/>
        <v>128</v>
      </c>
      <c r="M167" s="54">
        <f t="shared" si="220"/>
        <v>128</v>
      </c>
      <c r="N167" s="54">
        <f t="shared" si="220"/>
        <v>128</v>
      </c>
      <c r="O167" s="54">
        <f t="shared" si="220"/>
        <v>128</v>
      </c>
      <c r="P167" s="54">
        <f t="shared" si="220"/>
        <v>128</v>
      </c>
      <c r="Q167" s="54">
        <f t="shared" si="220"/>
        <v>128</v>
      </c>
      <c r="R167" s="54">
        <f t="shared" si="220"/>
        <v>128</v>
      </c>
      <c r="S167" s="54">
        <f t="shared" si="220"/>
        <v>128</v>
      </c>
      <c r="T167" s="54">
        <f t="shared" si="220"/>
        <v>128</v>
      </c>
      <c r="U167" s="54">
        <f t="shared" si="220"/>
        <v>128</v>
      </c>
      <c r="V167" s="54">
        <f t="shared" si="220"/>
        <v>128</v>
      </c>
      <c r="W167" s="54">
        <f t="shared" si="220"/>
        <v>128</v>
      </c>
      <c r="X167" s="54">
        <f t="shared" si="220"/>
        <v>128</v>
      </c>
      <c r="Y167" s="54">
        <f t="shared" si="220"/>
        <v>128</v>
      </c>
      <c r="Z167" s="54" t="str">
        <f t="shared" si="220"/>
        <v>-</v>
      </c>
      <c r="AA167" s="54" t="str">
        <f t="shared" si="220"/>
        <v>-</v>
      </c>
      <c r="AB167" s="54" t="str">
        <f t="shared" si="220"/>
        <v>-</v>
      </c>
      <c r="AC167" s="54" t="str">
        <f t="shared" si="220"/>
        <v>-</v>
      </c>
      <c r="AD167" s="54" t="str">
        <f t="shared" si="220"/>
        <v>-</v>
      </c>
      <c r="AE167" s="54" t="str">
        <f t="shared" si="220"/>
        <v>-</v>
      </c>
      <c r="AF167" s="54" t="str">
        <f t="shared" si="220"/>
        <v>-</v>
      </c>
      <c r="AG167" s="54" t="str">
        <f t="shared" si="220"/>
        <v>-</v>
      </c>
      <c r="AH167" s="54" t="str">
        <f t="shared" si="220"/>
        <v>-</v>
      </c>
      <c r="AI167" s="54" t="str">
        <f t="shared" si="220"/>
        <v>-</v>
      </c>
      <c r="AJ167" s="54" t="str">
        <f t="shared" si="220"/>
        <v>-</v>
      </c>
      <c r="AK167" s="54" t="str">
        <f t="shared" si="220"/>
        <v>-</v>
      </c>
      <c r="AL167" s="54" t="str">
        <f t="shared" si="220"/>
        <v>-</v>
      </c>
      <c r="AM167" s="54" t="str">
        <f t="shared" si="220"/>
        <v>-</v>
      </c>
      <c r="AN167" s="54" t="str">
        <f t="shared" si="220"/>
        <v>-</v>
      </c>
      <c r="AO167" s="54" t="str">
        <f t="shared" si="220"/>
        <v>-</v>
      </c>
      <c r="AP167" s="54" t="str">
        <f t="shared" si="220"/>
        <v>-</v>
      </c>
      <c r="AQ167" s="54" t="str">
        <f t="shared" si="220"/>
        <v>-</v>
      </c>
      <c r="AR167" s="54" t="str">
        <f t="shared" si="220"/>
        <v>-</v>
      </c>
      <c r="AS167" s="54" t="str">
        <f t="shared" si="220"/>
        <v>-</v>
      </c>
      <c r="AT167" s="54" t="str">
        <f t="shared" si="220"/>
        <v>-</v>
      </c>
      <c r="AU167" s="72" t="str">
        <f t="shared" si="220"/>
        <v>-</v>
      </c>
      <c r="AV167" s="141" t="str">
        <f t="shared" si="220"/>
        <v>EN</v>
      </c>
      <c r="AW167" s="63" t="str">
        <f t="shared" si="221"/>
        <v>-</v>
      </c>
      <c r="AX167" s="34" t="str">
        <f t="shared" si="221"/>
        <v>-</v>
      </c>
      <c r="AY167" s="34" t="str">
        <f t="shared" si="222"/>
        <v>-</v>
      </c>
      <c r="AZ167" s="34" t="str">
        <f t="shared" si="222"/>
        <v>-</v>
      </c>
      <c r="BA167" s="34" t="str">
        <f t="shared" si="222"/>
        <v>-</v>
      </c>
      <c r="BB167" s="34" t="str">
        <f t="shared" si="222"/>
        <v>-</v>
      </c>
      <c r="BC167" s="34" t="str">
        <f t="shared" si="222"/>
        <v>-</v>
      </c>
      <c r="BD167" s="34" t="str">
        <f t="shared" si="222"/>
        <v>-</v>
      </c>
      <c r="BE167" s="34" t="str">
        <f t="shared" si="222"/>
        <v>-</v>
      </c>
      <c r="BF167" s="34" t="str">
        <f t="shared" si="222"/>
        <v>-</v>
      </c>
      <c r="BG167" s="34" t="str">
        <f t="shared" si="222"/>
        <v>-</v>
      </c>
      <c r="BH167" s="34" t="str">
        <f t="shared" si="222"/>
        <v>-</v>
      </c>
      <c r="BI167" s="34" t="str">
        <f t="shared" si="222"/>
        <v>-</v>
      </c>
      <c r="BJ167" s="34" t="str">
        <f t="shared" si="222"/>
        <v>-</v>
      </c>
      <c r="BK167" s="34" t="str">
        <f t="shared" si="222"/>
        <v>-</v>
      </c>
      <c r="BL167" s="34" t="str">
        <f t="shared" si="222"/>
        <v>-</v>
      </c>
      <c r="BM167" s="34" t="str">
        <f t="shared" si="222"/>
        <v>-</v>
      </c>
      <c r="BN167" s="34" t="str">
        <f t="shared" si="222"/>
        <v>-</v>
      </c>
      <c r="BO167" s="34" t="str">
        <f t="shared" si="222"/>
        <v>-</v>
      </c>
      <c r="BP167" s="34" t="str">
        <f t="shared" si="222"/>
        <v>-</v>
      </c>
      <c r="BQ167" s="34" t="str">
        <f t="shared" si="222"/>
        <v>-</v>
      </c>
      <c r="BR167" s="34" t="str">
        <f t="shared" si="222"/>
        <v>-</v>
      </c>
      <c r="BS167" s="34" t="str">
        <f t="shared" si="222"/>
        <v>-</v>
      </c>
      <c r="BT167" s="34" t="str">
        <f t="shared" si="222"/>
        <v>-</v>
      </c>
      <c r="BU167" s="34" t="str">
        <f t="shared" si="222"/>
        <v>-</v>
      </c>
      <c r="BV167" s="34" t="str">
        <f t="shared" si="222"/>
        <v>-</v>
      </c>
      <c r="BW167" s="34" t="str">
        <f t="shared" si="222"/>
        <v>-</v>
      </c>
      <c r="BX167" s="34" t="str">
        <f t="shared" si="222"/>
        <v>-</v>
      </c>
      <c r="BY167" s="34" t="str">
        <f t="shared" si="222"/>
        <v>-</v>
      </c>
      <c r="BZ167" s="34" t="str">
        <f t="shared" si="222"/>
        <v>-</v>
      </c>
      <c r="CA167" s="34" t="str">
        <f t="shared" si="222"/>
        <v>-</v>
      </c>
      <c r="CB167" s="34" t="str">
        <f t="shared" si="222"/>
        <v>-</v>
      </c>
      <c r="CC167" s="34" t="str">
        <f t="shared" si="222"/>
        <v>-</v>
      </c>
      <c r="CD167" s="34" t="str">
        <f t="shared" si="222"/>
        <v>-</v>
      </c>
      <c r="CE167" s="34" t="str">
        <f t="shared" si="222"/>
        <v>-</v>
      </c>
      <c r="CF167" s="34" t="str">
        <f t="shared" si="222"/>
        <v>-</v>
      </c>
      <c r="CG167" s="44" t="str">
        <f t="shared" si="222"/>
        <v>-</v>
      </c>
      <c r="CH167" s="63" t="s">
        <v>16</v>
      </c>
      <c r="CI167" s="34" t="s">
        <v>16</v>
      </c>
      <c r="CJ167" s="34" t="s">
        <v>16</v>
      </c>
      <c r="CK167" s="34" t="s">
        <v>16</v>
      </c>
      <c r="CL167" s="34">
        <v>254</v>
      </c>
      <c r="CM167" s="34" t="s">
        <v>16</v>
      </c>
      <c r="CN167" s="34" t="s">
        <v>16</v>
      </c>
      <c r="CO167" s="34" t="s">
        <v>16</v>
      </c>
      <c r="CP167" s="34">
        <v>226</v>
      </c>
      <c r="CQ167" s="34" t="s">
        <v>16</v>
      </c>
      <c r="CR167" s="34">
        <v>206</v>
      </c>
      <c r="CS167" s="34" t="s">
        <v>16</v>
      </c>
      <c r="CT167" s="34">
        <v>186</v>
      </c>
      <c r="CU167" s="34" t="s">
        <v>16</v>
      </c>
      <c r="CV167" s="34" t="s">
        <v>16</v>
      </c>
      <c r="CW167" s="34" t="s">
        <v>16</v>
      </c>
      <c r="CX167" s="34" t="s">
        <v>16</v>
      </c>
      <c r="CY167" s="34" t="s">
        <v>16</v>
      </c>
      <c r="CZ167" s="34" t="s">
        <v>16</v>
      </c>
      <c r="DA167" s="34" t="s">
        <v>16</v>
      </c>
      <c r="DB167" s="34" t="s">
        <v>16</v>
      </c>
      <c r="DC167" s="34" t="s">
        <v>16</v>
      </c>
      <c r="DD167" s="34" t="s">
        <v>16</v>
      </c>
      <c r="DE167" s="34" t="s">
        <v>16</v>
      </c>
      <c r="DF167" s="34" t="s">
        <v>16</v>
      </c>
      <c r="DG167" s="34" t="s">
        <v>16</v>
      </c>
      <c r="DH167" s="34" t="s">
        <v>16</v>
      </c>
      <c r="DI167" s="34" t="s">
        <v>16</v>
      </c>
      <c r="DJ167" s="34" t="s">
        <v>16</v>
      </c>
      <c r="DK167" s="34" t="s">
        <v>16</v>
      </c>
      <c r="DL167" s="34" t="s">
        <v>16</v>
      </c>
      <c r="DM167" s="34" t="s">
        <v>16</v>
      </c>
      <c r="DN167" s="34" t="s">
        <v>16</v>
      </c>
      <c r="DO167" s="34" t="s">
        <v>16</v>
      </c>
      <c r="DP167" s="34" t="s">
        <v>16</v>
      </c>
      <c r="DQ167" s="34" t="s">
        <v>16</v>
      </c>
      <c r="DR167" s="55" t="s">
        <v>16</v>
      </c>
    </row>
    <row r="168" spans="1:122">
      <c r="A168" s="56" t="s">
        <v>198</v>
      </c>
      <c r="B168" s="56"/>
      <c r="C168" s="56" t="s">
        <v>15</v>
      </c>
      <c r="D168" s="56">
        <v>16</v>
      </c>
      <c r="E168" s="85">
        <v>40</v>
      </c>
      <c r="F168" s="56" t="s">
        <v>16</v>
      </c>
      <c r="G168" s="56" t="s">
        <v>105</v>
      </c>
      <c r="H168" s="85">
        <v>740</v>
      </c>
      <c r="I168" s="56">
        <v>440</v>
      </c>
      <c r="J168" s="97" t="s">
        <v>63</v>
      </c>
      <c r="K168" s="63">
        <v>55.2</v>
      </c>
      <c r="L168" s="34">
        <v>55.2</v>
      </c>
      <c r="M168" s="34">
        <v>55.2</v>
      </c>
      <c r="N168" s="34">
        <v>55.2</v>
      </c>
      <c r="O168" s="34">
        <v>55.2</v>
      </c>
      <c r="P168" s="34">
        <v>55.2</v>
      </c>
      <c r="Q168" s="34">
        <v>55.2</v>
      </c>
      <c r="R168" s="34">
        <v>55.2</v>
      </c>
      <c r="S168" s="34">
        <v>55.2</v>
      </c>
      <c r="T168" s="34">
        <v>55.2</v>
      </c>
      <c r="U168" s="34">
        <v>55.2</v>
      </c>
      <c r="V168" s="34">
        <v>55.2</v>
      </c>
      <c r="W168" s="34">
        <v>55.2</v>
      </c>
      <c r="X168" s="34">
        <v>55.2</v>
      </c>
      <c r="Y168" s="34">
        <v>55.2</v>
      </c>
      <c r="Z168" s="34">
        <v>53.1</v>
      </c>
      <c r="AA168" s="34">
        <v>49.6</v>
      </c>
      <c r="AB168" s="34">
        <v>42.7</v>
      </c>
      <c r="AC168" s="34">
        <v>35.200000000000003</v>
      </c>
      <c r="AD168" s="34" t="s">
        <v>16</v>
      </c>
      <c r="AE168" s="34" t="s">
        <v>16</v>
      </c>
      <c r="AF168" s="34" t="s">
        <v>16</v>
      </c>
      <c r="AG168" s="34" t="s">
        <v>16</v>
      </c>
      <c r="AH168" s="34" t="s">
        <v>16</v>
      </c>
      <c r="AI168" s="34" t="s">
        <v>16</v>
      </c>
      <c r="AJ168" s="34" t="s">
        <v>16</v>
      </c>
      <c r="AK168" s="34" t="s">
        <v>16</v>
      </c>
      <c r="AL168" s="34" t="s">
        <v>16</v>
      </c>
      <c r="AM168" s="34" t="s">
        <v>16</v>
      </c>
      <c r="AN168" s="34" t="s">
        <v>16</v>
      </c>
      <c r="AO168" s="34" t="s">
        <v>16</v>
      </c>
      <c r="AP168" s="34" t="s">
        <v>16</v>
      </c>
      <c r="AQ168" s="34" t="s">
        <v>16</v>
      </c>
      <c r="AR168" s="34" t="s">
        <v>16</v>
      </c>
      <c r="AS168" s="34" t="s">
        <v>16</v>
      </c>
      <c r="AT168" s="34" t="s">
        <v>16</v>
      </c>
      <c r="AU168" s="55" t="s">
        <v>16</v>
      </c>
      <c r="AV168" s="142" t="s">
        <v>45</v>
      </c>
      <c r="AW168" s="63" t="s">
        <v>16</v>
      </c>
      <c r="AX168" s="34" t="s">
        <v>16</v>
      </c>
      <c r="AY168" s="34" t="s">
        <v>16</v>
      </c>
      <c r="AZ168" s="34" t="s">
        <v>16</v>
      </c>
      <c r="BA168" s="34" t="s">
        <v>16</v>
      </c>
      <c r="BB168" s="34" t="s">
        <v>16</v>
      </c>
      <c r="BC168" s="34" t="s">
        <v>16</v>
      </c>
      <c r="BD168" s="34" t="s">
        <v>16</v>
      </c>
      <c r="BE168" s="34" t="s">
        <v>16</v>
      </c>
      <c r="BF168" s="34" t="s">
        <v>16</v>
      </c>
      <c r="BG168" s="34" t="s">
        <v>16</v>
      </c>
      <c r="BH168" s="34" t="s">
        <v>16</v>
      </c>
      <c r="BI168" s="34" t="s">
        <v>16</v>
      </c>
      <c r="BJ168" s="34" t="s">
        <v>16</v>
      </c>
      <c r="BK168" s="34" t="s">
        <v>16</v>
      </c>
      <c r="BL168" s="34" t="s">
        <v>16</v>
      </c>
      <c r="BM168" s="34" t="s">
        <v>16</v>
      </c>
      <c r="BN168" s="34" t="s">
        <v>16</v>
      </c>
      <c r="BO168" s="34" t="s">
        <v>16</v>
      </c>
      <c r="BP168" s="34" t="s">
        <v>16</v>
      </c>
      <c r="BQ168" s="34" t="s">
        <v>16</v>
      </c>
      <c r="BR168" s="34" t="s">
        <v>16</v>
      </c>
      <c r="BS168" s="34" t="s">
        <v>16</v>
      </c>
      <c r="BT168" s="34" t="s">
        <v>16</v>
      </c>
      <c r="BU168" s="34" t="s">
        <v>16</v>
      </c>
      <c r="BV168" s="34" t="s">
        <v>16</v>
      </c>
      <c r="BW168" s="34" t="s">
        <v>16</v>
      </c>
      <c r="BX168" s="34" t="s">
        <v>16</v>
      </c>
      <c r="BY168" s="34" t="s">
        <v>16</v>
      </c>
      <c r="BZ168" s="34" t="s">
        <v>16</v>
      </c>
      <c r="CA168" s="34" t="s">
        <v>16</v>
      </c>
      <c r="CB168" s="34" t="s">
        <v>16</v>
      </c>
      <c r="CC168" s="34" t="s">
        <v>16</v>
      </c>
      <c r="CD168" s="34" t="s">
        <v>16</v>
      </c>
      <c r="CE168" s="34" t="s">
        <v>16</v>
      </c>
      <c r="CF168" s="34" t="s">
        <v>16</v>
      </c>
      <c r="CG168" s="44" t="s">
        <v>16</v>
      </c>
      <c r="CH168" s="63" t="s">
        <v>16</v>
      </c>
      <c r="CI168" s="34" t="s">
        <v>16</v>
      </c>
      <c r="CJ168" s="34">
        <v>225</v>
      </c>
      <c r="CK168" s="34" t="s">
        <v>16</v>
      </c>
      <c r="CL168" s="34" t="s">
        <v>16</v>
      </c>
      <c r="CM168" s="34" t="s">
        <v>16</v>
      </c>
      <c r="CN168" s="34" t="s">
        <v>16</v>
      </c>
      <c r="CO168" s="34" t="s">
        <v>16</v>
      </c>
      <c r="CP168" s="34">
        <v>175</v>
      </c>
      <c r="CQ168" s="34" t="s">
        <v>16</v>
      </c>
      <c r="CR168" s="34">
        <v>155</v>
      </c>
      <c r="CS168" s="34" t="s">
        <v>16</v>
      </c>
      <c r="CT168" s="34">
        <v>135</v>
      </c>
      <c r="CU168" s="34" t="s">
        <v>16</v>
      </c>
      <c r="CV168" s="34" t="s">
        <v>16</v>
      </c>
      <c r="CW168" s="34" t="s">
        <v>16</v>
      </c>
      <c r="CX168" s="34" t="s">
        <v>16</v>
      </c>
      <c r="CY168" s="34" t="s">
        <v>16</v>
      </c>
      <c r="CZ168" s="34" t="s">
        <v>16</v>
      </c>
      <c r="DA168" s="34" t="s">
        <v>16</v>
      </c>
      <c r="DB168" s="34" t="s">
        <v>16</v>
      </c>
      <c r="DC168" s="34" t="s">
        <v>16</v>
      </c>
      <c r="DD168" s="34" t="s">
        <v>16</v>
      </c>
      <c r="DE168" s="34" t="s">
        <v>16</v>
      </c>
      <c r="DF168" s="34" t="s">
        <v>16</v>
      </c>
      <c r="DG168" s="34" t="s">
        <v>16</v>
      </c>
      <c r="DH168" s="34" t="s">
        <v>16</v>
      </c>
      <c r="DI168" s="34" t="s">
        <v>16</v>
      </c>
      <c r="DJ168" s="34" t="s">
        <v>16</v>
      </c>
      <c r="DK168" s="34" t="s">
        <v>16</v>
      </c>
      <c r="DL168" s="34" t="s">
        <v>16</v>
      </c>
      <c r="DM168" s="34" t="s">
        <v>16</v>
      </c>
      <c r="DN168" s="34" t="s">
        <v>16</v>
      </c>
      <c r="DO168" s="34" t="s">
        <v>16</v>
      </c>
      <c r="DP168" s="34" t="s">
        <v>16</v>
      </c>
      <c r="DQ168" s="34" t="s">
        <v>16</v>
      </c>
      <c r="DR168" s="55" t="s">
        <v>16</v>
      </c>
    </row>
    <row r="169" spans="1:122">
      <c r="A169" s="56" t="str">
        <f>A168</f>
        <v>C15 UNI 7846</v>
      </c>
      <c r="B169" s="56"/>
      <c r="C169" s="56" t="str">
        <f>C168</f>
        <v>bar</v>
      </c>
      <c r="D169" s="56" t="s">
        <v>16</v>
      </c>
      <c r="E169" s="85">
        <v>16</v>
      </c>
      <c r="F169" s="56" t="str">
        <f>F168</f>
        <v>-</v>
      </c>
      <c r="G169" s="56" t="str">
        <f t="shared" ref="G169:BQ169" si="223">G168</f>
        <v>UNI</v>
      </c>
      <c r="H169" s="56">
        <f t="shared" si="223"/>
        <v>740</v>
      </c>
      <c r="I169" s="56">
        <f t="shared" si="223"/>
        <v>440</v>
      </c>
      <c r="J169" s="56" t="str">
        <f t="shared" si="223"/>
        <v>JIS</v>
      </c>
      <c r="K169" s="57">
        <f t="shared" si="223"/>
        <v>55.2</v>
      </c>
      <c r="L169" s="34">
        <f t="shared" si="223"/>
        <v>55.2</v>
      </c>
      <c r="M169" s="34">
        <f t="shared" si="223"/>
        <v>55.2</v>
      </c>
      <c r="N169" s="34">
        <f t="shared" si="223"/>
        <v>55.2</v>
      </c>
      <c r="O169" s="34">
        <f t="shared" si="223"/>
        <v>55.2</v>
      </c>
      <c r="P169" s="34">
        <f t="shared" si="223"/>
        <v>55.2</v>
      </c>
      <c r="Q169" s="34">
        <f t="shared" si="223"/>
        <v>55.2</v>
      </c>
      <c r="R169" s="34">
        <f t="shared" si="223"/>
        <v>55.2</v>
      </c>
      <c r="S169" s="34">
        <f t="shared" si="223"/>
        <v>55.2</v>
      </c>
      <c r="T169" s="34">
        <f t="shared" si="223"/>
        <v>55.2</v>
      </c>
      <c r="U169" s="34">
        <f t="shared" si="223"/>
        <v>55.2</v>
      </c>
      <c r="V169" s="34">
        <f t="shared" si="223"/>
        <v>55.2</v>
      </c>
      <c r="W169" s="34">
        <f t="shared" si="223"/>
        <v>55.2</v>
      </c>
      <c r="X169" s="34">
        <f t="shared" si="223"/>
        <v>55.2</v>
      </c>
      <c r="Y169" s="34">
        <f t="shared" si="223"/>
        <v>55.2</v>
      </c>
      <c r="Z169" s="34">
        <f t="shared" si="223"/>
        <v>53.1</v>
      </c>
      <c r="AA169" s="34">
        <f t="shared" si="223"/>
        <v>49.6</v>
      </c>
      <c r="AB169" s="34">
        <f t="shared" si="223"/>
        <v>42.7</v>
      </c>
      <c r="AC169" s="34">
        <f t="shared" si="223"/>
        <v>35.200000000000003</v>
      </c>
      <c r="AD169" s="34" t="str">
        <f t="shared" si="223"/>
        <v>-</v>
      </c>
      <c r="AE169" s="34" t="str">
        <f t="shared" si="223"/>
        <v>-</v>
      </c>
      <c r="AF169" s="34" t="str">
        <f t="shared" si="223"/>
        <v>-</v>
      </c>
      <c r="AG169" s="34" t="str">
        <f t="shared" si="223"/>
        <v>-</v>
      </c>
      <c r="AH169" s="34" t="str">
        <f t="shared" si="223"/>
        <v>-</v>
      </c>
      <c r="AI169" s="34" t="str">
        <f t="shared" si="223"/>
        <v>-</v>
      </c>
      <c r="AJ169" s="34" t="str">
        <f t="shared" si="223"/>
        <v>-</v>
      </c>
      <c r="AK169" s="34" t="str">
        <f t="shared" si="223"/>
        <v>-</v>
      </c>
      <c r="AL169" s="34" t="str">
        <f t="shared" si="223"/>
        <v>-</v>
      </c>
      <c r="AM169" s="34" t="str">
        <f t="shared" si="223"/>
        <v>-</v>
      </c>
      <c r="AN169" s="34" t="str">
        <f t="shared" si="223"/>
        <v>-</v>
      </c>
      <c r="AO169" s="34" t="str">
        <f t="shared" si="223"/>
        <v>-</v>
      </c>
      <c r="AP169" s="34" t="str">
        <f t="shared" si="223"/>
        <v>-</v>
      </c>
      <c r="AQ169" s="34" t="str">
        <f t="shared" si="223"/>
        <v>-</v>
      </c>
      <c r="AR169" s="34" t="str">
        <f t="shared" si="223"/>
        <v>-</v>
      </c>
      <c r="AS169" s="136" t="str">
        <f t="shared" si="223"/>
        <v>-</v>
      </c>
      <c r="AT169" s="34" t="str">
        <f t="shared" si="223"/>
        <v>-</v>
      </c>
      <c r="AU169" s="85" t="str">
        <f t="shared" si="223"/>
        <v>-</v>
      </c>
      <c r="AV169" s="142" t="str">
        <f t="shared" si="223"/>
        <v>DIN</v>
      </c>
      <c r="AW169" s="63" t="str">
        <f t="shared" si="223"/>
        <v>-</v>
      </c>
      <c r="AX169" s="34" t="str">
        <f t="shared" si="223"/>
        <v>-</v>
      </c>
      <c r="AY169" s="34" t="str">
        <f t="shared" si="223"/>
        <v>-</v>
      </c>
      <c r="AZ169" s="34" t="str">
        <f t="shared" si="223"/>
        <v>-</v>
      </c>
      <c r="BA169" s="34" t="str">
        <f t="shared" si="223"/>
        <v>-</v>
      </c>
      <c r="BB169" s="34" t="str">
        <f t="shared" si="223"/>
        <v>-</v>
      </c>
      <c r="BC169" s="34" t="str">
        <f t="shared" si="223"/>
        <v>-</v>
      </c>
      <c r="BD169" s="34" t="str">
        <f t="shared" si="223"/>
        <v>-</v>
      </c>
      <c r="BE169" s="34" t="str">
        <f t="shared" si="223"/>
        <v>-</v>
      </c>
      <c r="BF169" s="34" t="str">
        <f t="shared" si="223"/>
        <v>-</v>
      </c>
      <c r="BG169" s="34" t="str">
        <f t="shared" si="223"/>
        <v>-</v>
      </c>
      <c r="BH169" s="34" t="str">
        <f t="shared" si="223"/>
        <v>-</v>
      </c>
      <c r="BI169" s="34" t="str">
        <f t="shared" si="223"/>
        <v>-</v>
      </c>
      <c r="BJ169" s="34" t="str">
        <f t="shared" si="223"/>
        <v>-</v>
      </c>
      <c r="BK169" s="34" t="str">
        <f t="shared" si="223"/>
        <v>-</v>
      </c>
      <c r="BL169" s="34" t="str">
        <f t="shared" si="223"/>
        <v>-</v>
      </c>
      <c r="BM169" s="34" t="str">
        <f t="shared" si="223"/>
        <v>-</v>
      </c>
      <c r="BN169" s="34" t="str">
        <f t="shared" si="223"/>
        <v>-</v>
      </c>
      <c r="BO169" s="34" t="str">
        <f t="shared" si="223"/>
        <v>-</v>
      </c>
      <c r="BP169" s="34" t="str">
        <f t="shared" si="223"/>
        <v>-</v>
      </c>
      <c r="BQ169" s="34" t="str">
        <f t="shared" si="223"/>
        <v>-</v>
      </c>
      <c r="BR169" s="34" t="str">
        <f t="shared" ref="BR169:CG169" si="224">BR168</f>
        <v>-</v>
      </c>
      <c r="BS169" s="34" t="str">
        <f t="shared" si="224"/>
        <v>-</v>
      </c>
      <c r="BT169" s="34" t="str">
        <f t="shared" si="224"/>
        <v>-</v>
      </c>
      <c r="BU169" s="34" t="str">
        <f t="shared" si="224"/>
        <v>-</v>
      </c>
      <c r="BV169" s="34" t="str">
        <f t="shared" si="224"/>
        <v>-</v>
      </c>
      <c r="BW169" s="34" t="str">
        <f t="shared" si="224"/>
        <v>-</v>
      </c>
      <c r="BX169" s="34" t="str">
        <f t="shared" si="224"/>
        <v>-</v>
      </c>
      <c r="BY169" s="34" t="str">
        <f t="shared" si="224"/>
        <v>-</v>
      </c>
      <c r="BZ169" s="34" t="str">
        <f t="shared" si="224"/>
        <v>-</v>
      </c>
      <c r="CA169" s="34" t="str">
        <f t="shared" si="224"/>
        <v>-</v>
      </c>
      <c r="CB169" s="34" t="str">
        <f t="shared" si="224"/>
        <v>-</v>
      </c>
      <c r="CC169" s="34" t="str">
        <f t="shared" si="224"/>
        <v>-</v>
      </c>
      <c r="CD169" s="34" t="str">
        <f t="shared" si="224"/>
        <v>-</v>
      </c>
      <c r="CE169" s="34" t="str">
        <f t="shared" si="224"/>
        <v>-</v>
      </c>
      <c r="CF169" s="34" t="str">
        <f t="shared" si="224"/>
        <v>-</v>
      </c>
      <c r="CG169" s="44" t="str">
        <f t="shared" si="224"/>
        <v>-</v>
      </c>
      <c r="CH169" s="63" t="s">
        <v>16</v>
      </c>
      <c r="CI169" s="34" t="s">
        <v>16</v>
      </c>
      <c r="CJ169" s="34">
        <v>235</v>
      </c>
      <c r="CK169" s="34" t="s">
        <v>16</v>
      </c>
      <c r="CL169" s="34" t="s">
        <v>16</v>
      </c>
      <c r="CM169" s="34" t="s">
        <v>16</v>
      </c>
      <c r="CN169" s="34" t="s">
        <v>16</v>
      </c>
      <c r="CO169" s="34" t="s">
        <v>16</v>
      </c>
      <c r="CP169" s="34">
        <v>185</v>
      </c>
      <c r="CQ169" s="34" t="s">
        <v>16</v>
      </c>
      <c r="CR169" s="34">
        <v>165</v>
      </c>
      <c r="CS169" s="34" t="s">
        <v>16</v>
      </c>
      <c r="CT169" s="34">
        <v>140</v>
      </c>
      <c r="CU169" s="34" t="s">
        <v>16</v>
      </c>
      <c r="CV169" s="34" t="s">
        <v>16</v>
      </c>
      <c r="CW169" s="34" t="s">
        <v>16</v>
      </c>
      <c r="CX169" s="34" t="s">
        <v>16</v>
      </c>
      <c r="CY169" s="34" t="s">
        <v>16</v>
      </c>
      <c r="CZ169" s="34" t="s">
        <v>16</v>
      </c>
      <c r="DA169" s="34" t="s">
        <v>16</v>
      </c>
      <c r="DB169" s="34" t="s">
        <v>16</v>
      </c>
      <c r="DC169" s="34" t="s">
        <v>16</v>
      </c>
      <c r="DD169" s="34" t="s">
        <v>16</v>
      </c>
      <c r="DE169" s="34" t="s">
        <v>16</v>
      </c>
      <c r="DF169" s="34" t="s">
        <v>16</v>
      </c>
      <c r="DG169" s="34" t="s">
        <v>16</v>
      </c>
      <c r="DH169" s="34" t="s">
        <v>16</v>
      </c>
      <c r="DI169" s="34" t="s">
        <v>16</v>
      </c>
      <c r="DJ169" s="34" t="s">
        <v>16</v>
      </c>
      <c r="DK169" s="34" t="s">
        <v>16</v>
      </c>
      <c r="DL169" s="34" t="s">
        <v>16</v>
      </c>
      <c r="DM169" s="34" t="s">
        <v>16</v>
      </c>
      <c r="DN169" s="34" t="s">
        <v>16</v>
      </c>
      <c r="DO169" s="34" t="s">
        <v>16</v>
      </c>
      <c r="DP169" s="34" t="s">
        <v>16</v>
      </c>
      <c r="DQ169" s="34" t="s">
        <v>16</v>
      </c>
      <c r="DR169" s="55" t="s">
        <v>16</v>
      </c>
    </row>
    <row r="170" spans="1:122">
      <c r="A170" s="56" t="s">
        <v>199</v>
      </c>
      <c r="B170" s="56"/>
      <c r="C170" s="56" t="s">
        <v>15</v>
      </c>
      <c r="D170" s="56">
        <v>160</v>
      </c>
      <c r="E170" s="85">
        <v>250</v>
      </c>
      <c r="F170" s="56" t="s">
        <v>16</v>
      </c>
      <c r="G170" s="56" t="s">
        <v>105</v>
      </c>
      <c r="H170" s="85">
        <v>740</v>
      </c>
      <c r="I170" s="56">
        <v>510</v>
      </c>
      <c r="J170" s="56" t="s">
        <v>200</v>
      </c>
      <c r="K170" s="63" t="s">
        <v>16</v>
      </c>
      <c r="L170" s="34" t="s">
        <v>16</v>
      </c>
      <c r="M170" s="34">
        <v>168</v>
      </c>
      <c r="N170" s="34" t="s">
        <v>16</v>
      </c>
      <c r="O170" s="34">
        <v>160</v>
      </c>
      <c r="P170" s="34" t="s">
        <v>16</v>
      </c>
      <c r="Q170" s="34">
        <v>154</v>
      </c>
      <c r="R170" s="34" t="s">
        <v>16</v>
      </c>
      <c r="S170" s="34">
        <v>150</v>
      </c>
      <c r="T170" s="34" t="s">
        <v>16</v>
      </c>
      <c r="U170" s="34">
        <v>146</v>
      </c>
      <c r="V170" s="34" t="s">
        <v>16</v>
      </c>
      <c r="W170" s="34">
        <v>142</v>
      </c>
      <c r="X170" s="34" t="s">
        <v>16</v>
      </c>
      <c r="Y170" s="34">
        <v>136</v>
      </c>
      <c r="Z170" s="34" t="s">
        <v>16</v>
      </c>
      <c r="AA170" s="34" t="s">
        <v>16</v>
      </c>
      <c r="AB170" s="34" t="s">
        <v>16</v>
      </c>
      <c r="AC170" s="34" t="s">
        <v>16</v>
      </c>
      <c r="AD170" s="34" t="s">
        <v>16</v>
      </c>
      <c r="AE170" s="34" t="s">
        <v>16</v>
      </c>
      <c r="AF170" s="34" t="s">
        <v>16</v>
      </c>
      <c r="AG170" s="34" t="s">
        <v>16</v>
      </c>
      <c r="AH170" s="34" t="s">
        <v>16</v>
      </c>
      <c r="AI170" s="34" t="s">
        <v>16</v>
      </c>
      <c r="AJ170" s="34" t="s">
        <v>16</v>
      </c>
      <c r="AK170" s="34" t="s">
        <v>16</v>
      </c>
      <c r="AL170" s="34" t="s">
        <v>16</v>
      </c>
      <c r="AM170" s="34" t="s">
        <v>16</v>
      </c>
      <c r="AN170" s="34" t="s">
        <v>16</v>
      </c>
      <c r="AO170" s="34" t="s">
        <v>16</v>
      </c>
      <c r="AP170" s="34" t="s">
        <v>16</v>
      </c>
      <c r="AQ170" s="34" t="s">
        <v>16</v>
      </c>
      <c r="AR170" s="34" t="s">
        <v>16</v>
      </c>
      <c r="AS170" s="34" t="s">
        <v>16</v>
      </c>
      <c r="AT170" s="34" t="s">
        <v>16</v>
      </c>
      <c r="AU170" s="55" t="s">
        <v>16</v>
      </c>
      <c r="AV170" s="57" t="s">
        <v>105</v>
      </c>
      <c r="AW170" s="63" t="s">
        <v>16</v>
      </c>
      <c r="AX170" s="34" t="s">
        <v>16</v>
      </c>
      <c r="AY170" s="34" t="s">
        <v>16</v>
      </c>
      <c r="AZ170" s="34" t="s">
        <v>16</v>
      </c>
      <c r="BA170" s="34" t="s">
        <v>16</v>
      </c>
      <c r="BB170" s="34" t="s">
        <v>16</v>
      </c>
      <c r="BC170" s="34" t="s">
        <v>16</v>
      </c>
      <c r="BD170" s="34" t="s">
        <v>16</v>
      </c>
      <c r="BE170" s="34" t="s">
        <v>16</v>
      </c>
      <c r="BF170" s="34" t="s">
        <v>16</v>
      </c>
      <c r="BG170" s="34" t="s">
        <v>16</v>
      </c>
      <c r="BH170" s="34" t="s">
        <v>16</v>
      </c>
      <c r="BI170" s="34" t="s">
        <v>16</v>
      </c>
      <c r="BJ170" s="34" t="s">
        <v>16</v>
      </c>
      <c r="BK170" s="34" t="s">
        <v>16</v>
      </c>
      <c r="BL170" s="34" t="s">
        <v>16</v>
      </c>
      <c r="BM170" s="34" t="s">
        <v>16</v>
      </c>
      <c r="BN170" s="34" t="s">
        <v>16</v>
      </c>
      <c r="BO170" s="34" t="s">
        <v>16</v>
      </c>
      <c r="BP170" s="34" t="s">
        <v>16</v>
      </c>
      <c r="BQ170" s="34" t="s">
        <v>16</v>
      </c>
      <c r="BR170" s="34" t="s">
        <v>16</v>
      </c>
      <c r="BS170" s="34" t="s">
        <v>16</v>
      </c>
      <c r="BT170" s="34" t="s">
        <v>16</v>
      </c>
      <c r="BU170" s="34" t="s">
        <v>16</v>
      </c>
      <c r="BV170" s="34" t="s">
        <v>16</v>
      </c>
      <c r="BW170" s="34" t="s">
        <v>16</v>
      </c>
      <c r="BX170" s="34" t="s">
        <v>16</v>
      </c>
      <c r="BY170" s="34" t="s">
        <v>16</v>
      </c>
      <c r="BZ170" s="34" t="s">
        <v>16</v>
      </c>
      <c r="CA170" s="34" t="s">
        <v>16</v>
      </c>
      <c r="CB170" s="34" t="s">
        <v>16</v>
      </c>
      <c r="CC170" s="34" t="s">
        <v>16</v>
      </c>
      <c r="CD170" s="34" t="s">
        <v>16</v>
      </c>
      <c r="CE170" s="34" t="s">
        <v>16</v>
      </c>
      <c r="CF170" s="34" t="s">
        <v>16</v>
      </c>
      <c r="CG170" s="44" t="s">
        <v>16</v>
      </c>
      <c r="CH170" s="63" t="s">
        <v>16</v>
      </c>
      <c r="CI170" s="34" t="s">
        <v>16</v>
      </c>
      <c r="CJ170" s="34" t="s">
        <v>16</v>
      </c>
      <c r="CK170" s="34" t="s">
        <v>16</v>
      </c>
      <c r="CL170" s="34" t="s">
        <v>16</v>
      </c>
      <c r="CM170" s="34" t="s">
        <v>16</v>
      </c>
      <c r="CN170" s="34" t="s">
        <v>16</v>
      </c>
      <c r="CO170" s="34" t="s">
        <v>16</v>
      </c>
      <c r="CP170" s="34" t="s">
        <v>16</v>
      </c>
      <c r="CQ170" s="34" t="s">
        <v>16</v>
      </c>
      <c r="CR170" s="34" t="s">
        <v>16</v>
      </c>
      <c r="CS170" s="34" t="s">
        <v>16</v>
      </c>
      <c r="CT170" s="34" t="s">
        <v>16</v>
      </c>
      <c r="CU170" s="34" t="s">
        <v>16</v>
      </c>
      <c r="CV170" s="34" t="s">
        <v>16</v>
      </c>
      <c r="CW170" s="34" t="s">
        <v>16</v>
      </c>
      <c r="CX170" s="34" t="s">
        <v>16</v>
      </c>
      <c r="CY170" s="34" t="s">
        <v>16</v>
      </c>
      <c r="CZ170" s="34" t="s">
        <v>16</v>
      </c>
      <c r="DA170" s="34" t="s">
        <v>16</v>
      </c>
      <c r="DB170" s="34" t="s">
        <v>16</v>
      </c>
      <c r="DC170" s="34" t="s">
        <v>16</v>
      </c>
      <c r="DD170" s="34" t="s">
        <v>16</v>
      </c>
      <c r="DE170" s="34" t="s">
        <v>16</v>
      </c>
      <c r="DF170" s="34" t="s">
        <v>16</v>
      </c>
      <c r="DG170" s="34" t="s">
        <v>16</v>
      </c>
      <c r="DH170" s="34" t="s">
        <v>16</v>
      </c>
      <c r="DI170" s="34" t="s">
        <v>16</v>
      </c>
      <c r="DJ170" s="34" t="s">
        <v>16</v>
      </c>
      <c r="DK170" s="34" t="s">
        <v>16</v>
      </c>
      <c r="DL170" s="34" t="s">
        <v>16</v>
      </c>
      <c r="DM170" s="34" t="s">
        <v>16</v>
      </c>
      <c r="DN170" s="34" t="s">
        <v>16</v>
      </c>
      <c r="DO170" s="34" t="s">
        <v>16</v>
      </c>
      <c r="DP170" s="34" t="s">
        <v>16</v>
      </c>
      <c r="DQ170" s="34" t="s">
        <v>16</v>
      </c>
      <c r="DR170" s="55" t="s">
        <v>16</v>
      </c>
    </row>
    <row r="171" spans="1:122">
      <c r="A171" s="56" t="s">
        <v>199</v>
      </c>
      <c r="B171" s="56"/>
      <c r="C171" s="56" t="str">
        <f>C170</f>
        <v>bar</v>
      </c>
      <c r="D171" s="56">
        <v>100</v>
      </c>
      <c r="E171" s="85">
        <v>160</v>
      </c>
      <c r="F171" s="56" t="s">
        <v>16</v>
      </c>
      <c r="G171" s="56" t="s">
        <v>105</v>
      </c>
      <c r="H171" s="85">
        <v>780</v>
      </c>
      <c r="I171" s="56">
        <v>560</v>
      </c>
      <c r="J171" s="56" t="s">
        <v>200</v>
      </c>
      <c r="K171" s="63" t="str">
        <f>K170</f>
        <v>-</v>
      </c>
      <c r="L171" s="34" t="s">
        <v>16</v>
      </c>
      <c r="M171" s="34">
        <f>M170</f>
        <v>168</v>
      </c>
      <c r="N171" s="34" t="s">
        <v>16</v>
      </c>
      <c r="O171" s="34">
        <f>O170</f>
        <v>160</v>
      </c>
      <c r="P171" s="34" t="s">
        <v>16</v>
      </c>
      <c r="Q171" s="34">
        <f>Q170</f>
        <v>154</v>
      </c>
      <c r="R171" s="34" t="s">
        <v>16</v>
      </c>
      <c r="S171" s="34">
        <f>S170</f>
        <v>150</v>
      </c>
      <c r="T171" s="34" t="s">
        <v>16</v>
      </c>
      <c r="U171" s="34">
        <f>U170</f>
        <v>146</v>
      </c>
      <c r="V171" s="34" t="s">
        <v>16</v>
      </c>
      <c r="W171" s="34">
        <f>W170</f>
        <v>142</v>
      </c>
      <c r="X171" s="34" t="s">
        <v>16</v>
      </c>
      <c r="Y171" s="34">
        <f>Y170</f>
        <v>136</v>
      </c>
      <c r="Z171" s="34" t="s">
        <v>16</v>
      </c>
      <c r="AA171" s="34" t="s">
        <v>16</v>
      </c>
      <c r="AB171" s="34" t="s">
        <v>16</v>
      </c>
      <c r="AC171" s="34" t="s">
        <v>16</v>
      </c>
      <c r="AD171" s="34" t="s">
        <v>16</v>
      </c>
      <c r="AE171" s="34" t="s">
        <v>16</v>
      </c>
      <c r="AF171" s="34" t="s">
        <v>16</v>
      </c>
      <c r="AG171" s="34" t="s">
        <v>16</v>
      </c>
      <c r="AH171" s="34" t="s">
        <v>16</v>
      </c>
      <c r="AI171" s="34" t="s">
        <v>16</v>
      </c>
      <c r="AJ171" s="34" t="s">
        <v>16</v>
      </c>
      <c r="AK171" s="34" t="s">
        <v>16</v>
      </c>
      <c r="AL171" s="34" t="s">
        <v>16</v>
      </c>
      <c r="AM171" s="34" t="s">
        <v>16</v>
      </c>
      <c r="AN171" s="34" t="s">
        <v>16</v>
      </c>
      <c r="AO171" s="34" t="s">
        <v>16</v>
      </c>
      <c r="AP171" s="34" t="s">
        <v>16</v>
      </c>
      <c r="AQ171" s="34" t="s">
        <v>16</v>
      </c>
      <c r="AR171" s="34" t="s">
        <v>16</v>
      </c>
      <c r="AS171" s="34" t="s">
        <v>16</v>
      </c>
      <c r="AT171" s="34" t="s">
        <v>16</v>
      </c>
      <c r="AU171" s="34" t="s">
        <v>16</v>
      </c>
      <c r="AV171" s="57" t="str">
        <f>AV170</f>
        <v>UNI</v>
      </c>
      <c r="AW171" s="63" t="s">
        <v>16</v>
      </c>
      <c r="AX171" s="34" t="s">
        <v>16</v>
      </c>
      <c r="AY171" s="34" t="s">
        <v>16</v>
      </c>
      <c r="AZ171" s="34" t="s">
        <v>16</v>
      </c>
      <c r="BA171" s="34" t="s">
        <v>16</v>
      </c>
      <c r="BB171" s="34" t="s">
        <v>16</v>
      </c>
      <c r="BC171" s="34" t="s">
        <v>16</v>
      </c>
      <c r="BD171" s="34" t="s">
        <v>16</v>
      </c>
      <c r="BE171" s="34" t="s">
        <v>16</v>
      </c>
      <c r="BF171" s="34" t="s">
        <v>16</v>
      </c>
      <c r="BG171" s="34" t="s">
        <v>16</v>
      </c>
      <c r="BH171" s="34" t="s">
        <v>16</v>
      </c>
      <c r="BI171" s="34" t="s">
        <v>16</v>
      </c>
      <c r="BJ171" s="34" t="s">
        <v>16</v>
      </c>
      <c r="BK171" s="34" t="s">
        <v>16</v>
      </c>
      <c r="BL171" s="34" t="s">
        <v>16</v>
      </c>
      <c r="BM171" s="34" t="s">
        <v>16</v>
      </c>
      <c r="BN171" s="34" t="s">
        <v>16</v>
      </c>
      <c r="BO171" s="34" t="s">
        <v>16</v>
      </c>
      <c r="BP171" s="34" t="s">
        <v>16</v>
      </c>
      <c r="BQ171" s="34" t="s">
        <v>16</v>
      </c>
      <c r="BR171" s="34" t="s">
        <v>16</v>
      </c>
      <c r="BS171" s="34" t="s">
        <v>16</v>
      </c>
      <c r="BT171" s="34" t="s">
        <v>16</v>
      </c>
      <c r="BU171" s="34" t="s">
        <v>16</v>
      </c>
      <c r="BV171" s="34" t="s">
        <v>16</v>
      </c>
      <c r="BW171" s="34" t="s">
        <v>16</v>
      </c>
      <c r="BX171" s="34" t="s">
        <v>16</v>
      </c>
      <c r="BY171" s="34" t="s">
        <v>16</v>
      </c>
      <c r="BZ171" s="34" t="s">
        <v>16</v>
      </c>
      <c r="CA171" s="34" t="s">
        <v>16</v>
      </c>
      <c r="CB171" s="34" t="s">
        <v>16</v>
      </c>
      <c r="CC171" s="34" t="s">
        <v>16</v>
      </c>
      <c r="CD171" s="34" t="s">
        <v>16</v>
      </c>
      <c r="CE171" s="34" t="s">
        <v>16</v>
      </c>
      <c r="CF171" s="34" t="s">
        <v>16</v>
      </c>
      <c r="CG171" s="44" t="s">
        <v>16</v>
      </c>
      <c r="CH171" s="63" t="s">
        <v>16</v>
      </c>
      <c r="CI171" s="34" t="s">
        <v>16</v>
      </c>
      <c r="CJ171" s="34" t="s">
        <v>16</v>
      </c>
      <c r="CK171" s="34" t="s">
        <v>16</v>
      </c>
      <c r="CL171" s="34" t="s">
        <v>16</v>
      </c>
      <c r="CM171" s="34" t="s">
        <v>16</v>
      </c>
      <c r="CN171" s="34" t="s">
        <v>16</v>
      </c>
      <c r="CO171" s="34" t="s">
        <v>16</v>
      </c>
      <c r="CP171" s="34" t="s">
        <v>16</v>
      </c>
      <c r="CQ171" s="34" t="s">
        <v>16</v>
      </c>
      <c r="CR171" s="34" t="s">
        <v>16</v>
      </c>
      <c r="CS171" s="34" t="s">
        <v>16</v>
      </c>
      <c r="CT171" s="34" t="s">
        <v>16</v>
      </c>
      <c r="CU171" s="34" t="s">
        <v>16</v>
      </c>
      <c r="CV171" s="34" t="s">
        <v>16</v>
      </c>
      <c r="CW171" s="34" t="s">
        <v>16</v>
      </c>
      <c r="CX171" s="34" t="s">
        <v>16</v>
      </c>
      <c r="CY171" s="34" t="s">
        <v>16</v>
      </c>
      <c r="CZ171" s="34" t="s">
        <v>16</v>
      </c>
      <c r="DA171" s="34" t="s">
        <v>16</v>
      </c>
      <c r="DB171" s="34" t="s">
        <v>16</v>
      </c>
      <c r="DC171" s="34" t="s">
        <v>16</v>
      </c>
      <c r="DD171" s="34" t="s">
        <v>16</v>
      </c>
      <c r="DE171" s="34" t="s">
        <v>16</v>
      </c>
      <c r="DF171" s="34" t="s">
        <v>16</v>
      </c>
      <c r="DG171" s="34" t="s">
        <v>16</v>
      </c>
      <c r="DH171" s="34" t="s">
        <v>16</v>
      </c>
      <c r="DI171" s="34" t="s">
        <v>16</v>
      </c>
      <c r="DJ171" s="34" t="s">
        <v>16</v>
      </c>
      <c r="DK171" s="34" t="s">
        <v>16</v>
      </c>
      <c r="DL171" s="34" t="s">
        <v>16</v>
      </c>
      <c r="DM171" s="34" t="s">
        <v>16</v>
      </c>
      <c r="DN171" s="34" t="s">
        <v>16</v>
      </c>
      <c r="DO171" s="34" t="s">
        <v>16</v>
      </c>
      <c r="DP171" s="34" t="s">
        <v>16</v>
      </c>
      <c r="DQ171" s="34" t="s">
        <v>16</v>
      </c>
      <c r="DR171" s="55" t="s">
        <v>16</v>
      </c>
    </row>
    <row r="172" spans="1:122">
      <c r="A172" s="56" t="s">
        <v>199</v>
      </c>
      <c r="B172" s="56"/>
      <c r="C172" s="56" t="str">
        <f>C171</f>
        <v>bar</v>
      </c>
      <c r="D172" s="56">
        <v>60</v>
      </c>
      <c r="E172" s="85">
        <v>100</v>
      </c>
      <c r="F172" s="56" t="s">
        <v>16</v>
      </c>
      <c r="G172" s="56" t="s">
        <v>105</v>
      </c>
      <c r="H172" s="85">
        <v>830</v>
      </c>
      <c r="I172" s="56">
        <v>635</v>
      </c>
      <c r="J172" s="56" t="s">
        <v>200</v>
      </c>
      <c r="K172" s="63" t="str">
        <f>K171</f>
        <v>-</v>
      </c>
      <c r="L172" s="34" t="s">
        <v>16</v>
      </c>
      <c r="M172" s="34">
        <f>M171</f>
        <v>168</v>
      </c>
      <c r="N172" s="34" t="s">
        <v>16</v>
      </c>
      <c r="O172" s="34">
        <f>O171</f>
        <v>160</v>
      </c>
      <c r="P172" s="34" t="s">
        <v>16</v>
      </c>
      <c r="Q172" s="34">
        <f>Q171</f>
        <v>154</v>
      </c>
      <c r="R172" s="34" t="s">
        <v>16</v>
      </c>
      <c r="S172" s="34">
        <f>S171</f>
        <v>150</v>
      </c>
      <c r="T172" s="34" t="s">
        <v>16</v>
      </c>
      <c r="U172" s="34">
        <f>U171</f>
        <v>146</v>
      </c>
      <c r="V172" s="34" t="s">
        <v>16</v>
      </c>
      <c r="W172" s="34">
        <f>W171</f>
        <v>142</v>
      </c>
      <c r="X172" s="34" t="s">
        <v>16</v>
      </c>
      <c r="Y172" s="34">
        <f>Y171</f>
        <v>136</v>
      </c>
      <c r="Z172" s="34" t="s">
        <v>16</v>
      </c>
      <c r="AA172" s="34" t="s">
        <v>16</v>
      </c>
      <c r="AB172" s="34" t="s">
        <v>16</v>
      </c>
      <c r="AC172" s="34" t="s">
        <v>16</v>
      </c>
      <c r="AD172" s="34" t="s">
        <v>16</v>
      </c>
      <c r="AE172" s="34" t="s">
        <v>16</v>
      </c>
      <c r="AF172" s="34" t="s">
        <v>16</v>
      </c>
      <c r="AG172" s="34" t="s">
        <v>16</v>
      </c>
      <c r="AH172" s="34" t="s">
        <v>16</v>
      </c>
      <c r="AI172" s="34" t="s">
        <v>16</v>
      </c>
      <c r="AJ172" s="34" t="s">
        <v>16</v>
      </c>
      <c r="AK172" s="34" t="s">
        <v>16</v>
      </c>
      <c r="AL172" s="34" t="s">
        <v>16</v>
      </c>
      <c r="AM172" s="34" t="s">
        <v>16</v>
      </c>
      <c r="AN172" s="34" t="s">
        <v>16</v>
      </c>
      <c r="AO172" s="34" t="s">
        <v>16</v>
      </c>
      <c r="AP172" s="34" t="s">
        <v>16</v>
      </c>
      <c r="AQ172" s="34" t="s">
        <v>16</v>
      </c>
      <c r="AR172" s="34" t="s">
        <v>16</v>
      </c>
      <c r="AS172" s="34" t="s">
        <v>16</v>
      </c>
      <c r="AT172" s="34" t="s">
        <v>16</v>
      </c>
      <c r="AU172" s="34" t="s">
        <v>16</v>
      </c>
      <c r="AV172" s="57" t="str">
        <f>AV171</f>
        <v>UNI</v>
      </c>
      <c r="AW172" s="63" t="s">
        <v>16</v>
      </c>
      <c r="AX172" s="34" t="s">
        <v>16</v>
      </c>
      <c r="AY172" s="34" t="s">
        <v>16</v>
      </c>
      <c r="AZ172" s="34" t="s">
        <v>16</v>
      </c>
      <c r="BA172" s="34" t="s">
        <v>16</v>
      </c>
      <c r="BB172" s="34" t="s">
        <v>16</v>
      </c>
      <c r="BC172" s="34" t="s">
        <v>16</v>
      </c>
      <c r="BD172" s="34" t="s">
        <v>16</v>
      </c>
      <c r="BE172" s="34" t="s">
        <v>16</v>
      </c>
      <c r="BF172" s="34" t="s">
        <v>16</v>
      </c>
      <c r="BG172" s="34" t="s">
        <v>16</v>
      </c>
      <c r="BH172" s="34" t="s">
        <v>16</v>
      </c>
      <c r="BI172" s="34" t="s">
        <v>16</v>
      </c>
      <c r="BJ172" s="34" t="s">
        <v>16</v>
      </c>
      <c r="BK172" s="34" t="s">
        <v>16</v>
      </c>
      <c r="BL172" s="34" t="s">
        <v>16</v>
      </c>
      <c r="BM172" s="34" t="s">
        <v>16</v>
      </c>
      <c r="BN172" s="34" t="s">
        <v>16</v>
      </c>
      <c r="BO172" s="34" t="s">
        <v>16</v>
      </c>
      <c r="BP172" s="34" t="s">
        <v>16</v>
      </c>
      <c r="BQ172" s="34" t="s">
        <v>16</v>
      </c>
      <c r="BR172" s="34" t="s">
        <v>16</v>
      </c>
      <c r="BS172" s="34" t="s">
        <v>16</v>
      </c>
      <c r="BT172" s="34" t="s">
        <v>16</v>
      </c>
      <c r="BU172" s="34" t="s">
        <v>16</v>
      </c>
      <c r="BV172" s="34" t="s">
        <v>16</v>
      </c>
      <c r="BW172" s="34" t="s">
        <v>16</v>
      </c>
      <c r="BX172" s="34" t="s">
        <v>16</v>
      </c>
      <c r="BY172" s="34" t="s">
        <v>16</v>
      </c>
      <c r="BZ172" s="34" t="s">
        <v>16</v>
      </c>
      <c r="CA172" s="34" t="s">
        <v>16</v>
      </c>
      <c r="CB172" s="34" t="s">
        <v>16</v>
      </c>
      <c r="CC172" s="34" t="s">
        <v>16</v>
      </c>
      <c r="CD172" s="34" t="s">
        <v>16</v>
      </c>
      <c r="CE172" s="34" t="s">
        <v>16</v>
      </c>
      <c r="CF172" s="34" t="s">
        <v>16</v>
      </c>
      <c r="CG172" s="44" t="s">
        <v>16</v>
      </c>
      <c r="CH172" s="63" t="s">
        <v>16</v>
      </c>
      <c r="CI172" s="34" t="s">
        <v>16</v>
      </c>
      <c r="CJ172" s="34" t="s">
        <v>16</v>
      </c>
      <c r="CK172" s="34" t="s">
        <v>16</v>
      </c>
      <c r="CL172" s="34" t="s">
        <v>16</v>
      </c>
      <c r="CM172" s="34" t="s">
        <v>16</v>
      </c>
      <c r="CN172" s="34" t="s">
        <v>16</v>
      </c>
      <c r="CO172" s="34" t="s">
        <v>16</v>
      </c>
      <c r="CP172" s="34" t="s">
        <v>16</v>
      </c>
      <c r="CQ172" s="34" t="s">
        <v>16</v>
      </c>
      <c r="CR172" s="34" t="s">
        <v>16</v>
      </c>
      <c r="CS172" s="34" t="s">
        <v>16</v>
      </c>
      <c r="CT172" s="34" t="s">
        <v>16</v>
      </c>
      <c r="CU172" s="34" t="s">
        <v>16</v>
      </c>
      <c r="CV172" s="34" t="s">
        <v>16</v>
      </c>
      <c r="CW172" s="34" t="s">
        <v>16</v>
      </c>
      <c r="CX172" s="34" t="s">
        <v>16</v>
      </c>
      <c r="CY172" s="34" t="s">
        <v>16</v>
      </c>
      <c r="CZ172" s="34" t="s">
        <v>16</v>
      </c>
      <c r="DA172" s="34" t="s">
        <v>16</v>
      </c>
      <c r="DB172" s="34" t="s">
        <v>16</v>
      </c>
      <c r="DC172" s="34" t="s">
        <v>16</v>
      </c>
      <c r="DD172" s="34" t="s">
        <v>16</v>
      </c>
      <c r="DE172" s="34" t="s">
        <v>16</v>
      </c>
      <c r="DF172" s="34" t="s">
        <v>16</v>
      </c>
      <c r="DG172" s="34" t="s">
        <v>16</v>
      </c>
      <c r="DH172" s="34" t="s">
        <v>16</v>
      </c>
      <c r="DI172" s="34" t="s">
        <v>16</v>
      </c>
      <c r="DJ172" s="34" t="s">
        <v>16</v>
      </c>
      <c r="DK172" s="34" t="s">
        <v>16</v>
      </c>
      <c r="DL172" s="34" t="s">
        <v>16</v>
      </c>
      <c r="DM172" s="34" t="s">
        <v>16</v>
      </c>
      <c r="DN172" s="34" t="s">
        <v>16</v>
      </c>
      <c r="DO172" s="34" t="s">
        <v>16</v>
      </c>
      <c r="DP172" s="34" t="s">
        <v>16</v>
      </c>
      <c r="DQ172" s="34" t="s">
        <v>16</v>
      </c>
      <c r="DR172" s="55" t="s">
        <v>16</v>
      </c>
    </row>
    <row r="173" spans="1:122">
      <c r="A173" s="56" t="s">
        <v>199</v>
      </c>
      <c r="B173" s="56"/>
      <c r="C173" s="56" t="str">
        <f>C172</f>
        <v>bar</v>
      </c>
      <c r="D173" s="56">
        <v>40</v>
      </c>
      <c r="E173" s="85">
        <v>60</v>
      </c>
      <c r="F173" s="56" t="str">
        <f>F172</f>
        <v>-</v>
      </c>
      <c r="G173" s="56" t="s">
        <v>105</v>
      </c>
      <c r="H173" s="56">
        <f>H172</f>
        <v>830</v>
      </c>
      <c r="I173" s="56">
        <f>I172</f>
        <v>635</v>
      </c>
      <c r="J173" s="56" t="s">
        <v>200</v>
      </c>
      <c r="K173" s="63" t="str">
        <f>K172</f>
        <v>-</v>
      </c>
      <c r="L173" s="34" t="s">
        <v>16</v>
      </c>
      <c r="M173" s="34">
        <f>M172</f>
        <v>168</v>
      </c>
      <c r="N173" s="34" t="s">
        <v>16</v>
      </c>
      <c r="O173" s="34">
        <f>O172</f>
        <v>160</v>
      </c>
      <c r="P173" s="34" t="s">
        <v>16</v>
      </c>
      <c r="Q173" s="34">
        <f>Q172</f>
        <v>154</v>
      </c>
      <c r="R173" s="34" t="s">
        <v>16</v>
      </c>
      <c r="S173" s="34">
        <f>S172</f>
        <v>150</v>
      </c>
      <c r="T173" s="34" t="s">
        <v>16</v>
      </c>
      <c r="U173" s="34">
        <f>U172</f>
        <v>146</v>
      </c>
      <c r="V173" s="34" t="s">
        <v>16</v>
      </c>
      <c r="W173" s="34">
        <f>W172</f>
        <v>142</v>
      </c>
      <c r="X173" s="34" t="s">
        <v>16</v>
      </c>
      <c r="Y173" s="34">
        <f>Y172</f>
        <v>136</v>
      </c>
      <c r="Z173" s="34" t="s">
        <v>16</v>
      </c>
      <c r="AA173" s="34" t="s">
        <v>16</v>
      </c>
      <c r="AB173" s="34" t="s">
        <v>16</v>
      </c>
      <c r="AC173" s="34" t="s">
        <v>16</v>
      </c>
      <c r="AD173" s="34" t="s">
        <v>16</v>
      </c>
      <c r="AE173" s="34" t="s">
        <v>16</v>
      </c>
      <c r="AF173" s="34" t="s">
        <v>16</v>
      </c>
      <c r="AG173" s="34" t="s">
        <v>16</v>
      </c>
      <c r="AH173" s="34" t="s">
        <v>16</v>
      </c>
      <c r="AI173" s="34" t="s">
        <v>16</v>
      </c>
      <c r="AJ173" s="34" t="s">
        <v>16</v>
      </c>
      <c r="AK173" s="34" t="s">
        <v>16</v>
      </c>
      <c r="AL173" s="34" t="s">
        <v>16</v>
      </c>
      <c r="AM173" s="34" t="s">
        <v>16</v>
      </c>
      <c r="AN173" s="34" t="s">
        <v>16</v>
      </c>
      <c r="AO173" s="34" t="s">
        <v>16</v>
      </c>
      <c r="AP173" s="34" t="s">
        <v>16</v>
      </c>
      <c r="AQ173" s="34" t="s">
        <v>16</v>
      </c>
      <c r="AR173" s="34" t="s">
        <v>16</v>
      </c>
      <c r="AS173" s="34" t="s">
        <v>16</v>
      </c>
      <c r="AT173" s="34" t="s">
        <v>16</v>
      </c>
      <c r="AU173" s="34" t="s">
        <v>16</v>
      </c>
      <c r="AV173" s="57" t="str">
        <f>AV172</f>
        <v>UNI</v>
      </c>
      <c r="AW173" s="63" t="s">
        <v>16</v>
      </c>
      <c r="AX173" s="34" t="s">
        <v>16</v>
      </c>
      <c r="AY173" s="34" t="s">
        <v>16</v>
      </c>
      <c r="AZ173" s="34" t="s">
        <v>16</v>
      </c>
      <c r="BA173" s="34" t="s">
        <v>16</v>
      </c>
      <c r="BB173" s="34" t="s">
        <v>16</v>
      </c>
      <c r="BC173" s="34" t="s">
        <v>16</v>
      </c>
      <c r="BD173" s="34" t="s">
        <v>16</v>
      </c>
      <c r="BE173" s="34" t="s">
        <v>16</v>
      </c>
      <c r="BF173" s="34" t="s">
        <v>16</v>
      </c>
      <c r="BG173" s="34" t="s">
        <v>16</v>
      </c>
      <c r="BH173" s="34" t="s">
        <v>16</v>
      </c>
      <c r="BI173" s="34" t="s">
        <v>16</v>
      </c>
      <c r="BJ173" s="34" t="s">
        <v>16</v>
      </c>
      <c r="BK173" s="34" t="s">
        <v>16</v>
      </c>
      <c r="BL173" s="34" t="s">
        <v>16</v>
      </c>
      <c r="BM173" s="34" t="s">
        <v>16</v>
      </c>
      <c r="BN173" s="34" t="s">
        <v>16</v>
      </c>
      <c r="BO173" s="34" t="s">
        <v>16</v>
      </c>
      <c r="BP173" s="34" t="s">
        <v>16</v>
      </c>
      <c r="BQ173" s="34" t="s">
        <v>16</v>
      </c>
      <c r="BR173" s="34" t="s">
        <v>16</v>
      </c>
      <c r="BS173" s="34" t="s">
        <v>16</v>
      </c>
      <c r="BT173" s="34" t="s">
        <v>16</v>
      </c>
      <c r="BU173" s="34" t="s">
        <v>16</v>
      </c>
      <c r="BV173" s="34" t="s">
        <v>16</v>
      </c>
      <c r="BW173" s="34" t="s">
        <v>16</v>
      </c>
      <c r="BX173" s="34" t="s">
        <v>16</v>
      </c>
      <c r="BY173" s="34" t="s">
        <v>16</v>
      </c>
      <c r="BZ173" s="34" t="s">
        <v>16</v>
      </c>
      <c r="CA173" s="34" t="s">
        <v>16</v>
      </c>
      <c r="CB173" s="34" t="s">
        <v>16</v>
      </c>
      <c r="CC173" s="34" t="s">
        <v>16</v>
      </c>
      <c r="CD173" s="34" t="s">
        <v>16</v>
      </c>
      <c r="CE173" s="34" t="s">
        <v>16</v>
      </c>
      <c r="CF173" s="34" t="s">
        <v>16</v>
      </c>
      <c r="CG173" s="44" t="s">
        <v>16</v>
      </c>
      <c r="CH173" s="63" t="s">
        <v>16</v>
      </c>
      <c r="CI173" s="34" t="s">
        <v>16</v>
      </c>
      <c r="CJ173" s="34">
        <v>720</v>
      </c>
      <c r="CK173" s="34" t="s">
        <v>16</v>
      </c>
      <c r="CL173" s="34">
        <v>702</v>
      </c>
      <c r="CM173" s="34" t="s">
        <v>16</v>
      </c>
      <c r="CN173" s="34">
        <v>677</v>
      </c>
      <c r="CO173" s="34" t="s">
        <v>16</v>
      </c>
      <c r="CP173" s="34">
        <v>640</v>
      </c>
      <c r="CQ173" s="34" t="s">
        <v>16</v>
      </c>
      <c r="CR173" s="34">
        <v>602</v>
      </c>
      <c r="CS173" s="34" t="s">
        <v>16</v>
      </c>
      <c r="CT173" s="34">
        <v>562</v>
      </c>
      <c r="CU173" s="34" t="s">
        <v>16</v>
      </c>
      <c r="CV173" s="34">
        <v>518</v>
      </c>
      <c r="CW173" s="34" t="s">
        <v>16</v>
      </c>
      <c r="CX173" s="34">
        <v>475</v>
      </c>
      <c r="CY173" s="34" t="s">
        <v>16</v>
      </c>
      <c r="CZ173" s="34">
        <v>420</v>
      </c>
      <c r="DA173" s="34" t="s">
        <v>16</v>
      </c>
      <c r="DB173" s="34">
        <v>375</v>
      </c>
      <c r="DC173" s="34" t="s">
        <v>16</v>
      </c>
      <c r="DD173" s="34" t="s">
        <v>16</v>
      </c>
      <c r="DE173" s="34" t="s">
        <v>16</v>
      </c>
      <c r="DF173" s="34" t="s">
        <v>16</v>
      </c>
      <c r="DG173" s="34" t="s">
        <v>16</v>
      </c>
      <c r="DH173" s="34" t="s">
        <v>16</v>
      </c>
      <c r="DI173" s="34" t="s">
        <v>16</v>
      </c>
      <c r="DJ173" s="34" t="s">
        <v>16</v>
      </c>
      <c r="DK173" s="34" t="s">
        <v>16</v>
      </c>
      <c r="DL173" s="34" t="s">
        <v>16</v>
      </c>
      <c r="DM173" s="34" t="s">
        <v>16</v>
      </c>
      <c r="DN173" s="34" t="s">
        <v>16</v>
      </c>
      <c r="DO173" s="34" t="s">
        <v>16</v>
      </c>
      <c r="DP173" s="34" t="s">
        <v>16</v>
      </c>
      <c r="DQ173" s="34" t="s">
        <v>16</v>
      </c>
      <c r="DR173" s="55" t="s">
        <v>16</v>
      </c>
    </row>
    <row r="174" spans="1:122">
      <c r="A174" s="56" t="s">
        <v>199</v>
      </c>
      <c r="B174" s="56"/>
      <c r="C174" s="56" t="str">
        <f>C173</f>
        <v>bar</v>
      </c>
      <c r="D174" s="56">
        <v>16</v>
      </c>
      <c r="E174" s="85">
        <v>40</v>
      </c>
      <c r="F174" s="56" t="s">
        <v>16</v>
      </c>
      <c r="G174" s="56" t="s">
        <v>105</v>
      </c>
      <c r="H174" s="85">
        <v>930</v>
      </c>
      <c r="I174" s="56">
        <v>735</v>
      </c>
      <c r="J174" s="56" t="s">
        <v>200</v>
      </c>
      <c r="K174" s="63" t="str">
        <f>K173</f>
        <v>-</v>
      </c>
      <c r="L174" s="34" t="s">
        <v>16</v>
      </c>
      <c r="M174" s="34">
        <f>M173</f>
        <v>168</v>
      </c>
      <c r="N174" s="34" t="s">
        <v>16</v>
      </c>
      <c r="O174" s="34">
        <f>O173</f>
        <v>160</v>
      </c>
      <c r="P174" s="34" t="s">
        <v>16</v>
      </c>
      <c r="Q174" s="34">
        <f>Q173</f>
        <v>154</v>
      </c>
      <c r="R174" s="34" t="s">
        <v>16</v>
      </c>
      <c r="S174" s="34">
        <f>S173</f>
        <v>150</v>
      </c>
      <c r="T174" s="34" t="s">
        <v>16</v>
      </c>
      <c r="U174" s="34">
        <f>U173</f>
        <v>146</v>
      </c>
      <c r="V174" s="34" t="s">
        <v>16</v>
      </c>
      <c r="W174" s="34">
        <f>W173</f>
        <v>142</v>
      </c>
      <c r="X174" s="34" t="s">
        <v>16</v>
      </c>
      <c r="Y174" s="34">
        <f>Y173</f>
        <v>136</v>
      </c>
      <c r="Z174" s="34" t="s">
        <v>16</v>
      </c>
      <c r="AA174" s="34" t="s">
        <v>16</v>
      </c>
      <c r="AB174" s="34" t="s">
        <v>16</v>
      </c>
      <c r="AC174" s="34" t="s">
        <v>16</v>
      </c>
      <c r="AD174" s="34" t="s">
        <v>16</v>
      </c>
      <c r="AE174" s="34" t="s">
        <v>16</v>
      </c>
      <c r="AF174" s="34" t="s">
        <v>16</v>
      </c>
      <c r="AG174" s="34" t="s">
        <v>16</v>
      </c>
      <c r="AH174" s="34" t="s">
        <v>16</v>
      </c>
      <c r="AI174" s="34" t="s">
        <v>16</v>
      </c>
      <c r="AJ174" s="34" t="s">
        <v>16</v>
      </c>
      <c r="AK174" s="34" t="s">
        <v>16</v>
      </c>
      <c r="AL174" s="34" t="s">
        <v>16</v>
      </c>
      <c r="AM174" s="34" t="s">
        <v>16</v>
      </c>
      <c r="AN174" s="34" t="s">
        <v>16</v>
      </c>
      <c r="AO174" s="34" t="s">
        <v>16</v>
      </c>
      <c r="AP174" s="34" t="s">
        <v>16</v>
      </c>
      <c r="AQ174" s="34" t="s">
        <v>16</v>
      </c>
      <c r="AR174" s="34" t="s">
        <v>16</v>
      </c>
      <c r="AS174" s="34" t="s">
        <v>16</v>
      </c>
      <c r="AT174" s="34" t="s">
        <v>16</v>
      </c>
      <c r="AU174" s="34" t="s">
        <v>16</v>
      </c>
      <c r="AV174" s="57" t="str">
        <f>AV173</f>
        <v>UNI</v>
      </c>
      <c r="AW174" s="63" t="s">
        <v>16</v>
      </c>
      <c r="AX174" s="34" t="s">
        <v>16</v>
      </c>
      <c r="AY174" s="34" t="s">
        <v>16</v>
      </c>
      <c r="AZ174" s="34" t="s">
        <v>16</v>
      </c>
      <c r="BA174" s="34" t="s">
        <v>16</v>
      </c>
      <c r="BB174" s="34" t="s">
        <v>16</v>
      </c>
      <c r="BC174" s="34" t="s">
        <v>16</v>
      </c>
      <c r="BD174" s="34" t="s">
        <v>16</v>
      </c>
      <c r="BE174" s="34" t="s">
        <v>16</v>
      </c>
      <c r="BF174" s="34" t="s">
        <v>16</v>
      </c>
      <c r="BG174" s="34" t="s">
        <v>16</v>
      </c>
      <c r="BH174" s="34" t="s">
        <v>16</v>
      </c>
      <c r="BI174" s="34" t="s">
        <v>16</v>
      </c>
      <c r="BJ174" s="34" t="s">
        <v>16</v>
      </c>
      <c r="BK174" s="34" t="s">
        <v>16</v>
      </c>
      <c r="BL174" s="34" t="s">
        <v>16</v>
      </c>
      <c r="BM174" s="34" t="s">
        <v>16</v>
      </c>
      <c r="BN174" s="34" t="s">
        <v>16</v>
      </c>
      <c r="BO174" s="34" t="s">
        <v>16</v>
      </c>
      <c r="BP174" s="34" t="s">
        <v>16</v>
      </c>
      <c r="BQ174" s="34" t="s">
        <v>16</v>
      </c>
      <c r="BR174" s="34" t="s">
        <v>16</v>
      </c>
      <c r="BS174" s="34" t="s">
        <v>16</v>
      </c>
      <c r="BT174" s="34" t="s">
        <v>16</v>
      </c>
      <c r="BU174" s="34" t="s">
        <v>16</v>
      </c>
      <c r="BV174" s="34" t="s">
        <v>16</v>
      </c>
      <c r="BW174" s="34" t="s">
        <v>16</v>
      </c>
      <c r="BX174" s="34" t="s">
        <v>16</v>
      </c>
      <c r="BY174" s="34" t="s">
        <v>16</v>
      </c>
      <c r="BZ174" s="34" t="s">
        <v>16</v>
      </c>
      <c r="CA174" s="34" t="s">
        <v>16</v>
      </c>
      <c r="CB174" s="34" t="s">
        <v>16</v>
      </c>
      <c r="CC174" s="34" t="s">
        <v>16</v>
      </c>
      <c r="CD174" s="34" t="s">
        <v>16</v>
      </c>
      <c r="CE174" s="34" t="s">
        <v>16</v>
      </c>
      <c r="CF174" s="34" t="s">
        <v>16</v>
      </c>
      <c r="CG174" s="44" t="s">
        <v>16</v>
      </c>
      <c r="CH174" s="63" t="str">
        <f>CH173</f>
        <v>-</v>
      </c>
      <c r="CI174" s="34" t="str">
        <f>CI173</f>
        <v>-</v>
      </c>
      <c r="CJ174" s="34">
        <f t="shared" ref="CJ174:DR175" si="225">CJ173</f>
        <v>720</v>
      </c>
      <c r="CK174" s="34" t="str">
        <f t="shared" si="225"/>
        <v>-</v>
      </c>
      <c r="CL174" s="34">
        <f t="shared" si="225"/>
        <v>702</v>
      </c>
      <c r="CM174" s="34" t="str">
        <f t="shared" si="225"/>
        <v>-</v>
      </c>
      <c r="CN174" s="34">
        <f t="shared" si="225"/>
        <v>677</v>
      </c>
      <c r="CO174" s="34" t="str">
        <f t="shared" si="225"/>
        <v>-</v>
      </c>
      <c r="CP174" s="34">
        <f t="shared" si="225"/>
        <v>640</v>
      </c>
      <c r="CQ174" s="34" t="str">
        <f t="shared" si="225"/>
        <v>-</v>
      </c>
      <c r="CR174" s="34">
        <f t="shared" si="225"/>
        <v>602</v>
      </c>
      <c r="CS174" s="34" t="str">
        <f t="shared" si="225"/>
        <v>-</v>
      </c>
      <c r="CT174" s="34">
        <f t="shared" si="225"/>
        <v>562</v>
      </c>
      <c r="CU174" s="34" t="str">
        <f t="shared" si="225"/>
        <v>-</v>
      </c>
      <c r="CV174" s="34">
        <f t="shared" si="225"/>
        <v>518</v>
      </c>
      <c r="CW174" s="34" t="str">
        <f t="shared" si="225"/>
        <v>-</v>
      </c>
      <c r="CX174" s="34">
        <f t="shared" si="225"/>
        <v>475</v>
      </c>
      <c r="CY174" s="34" t="str">
        <f t="shared" si="225"/>
        <v>-</v>
      </c>
      <c r="CZ174" s="34">
        <f t="shared" si="225"/>
        <v>420</v>
      </c>
      <c r="DA174" s="34" t="str">
        <f t="shared" si="225"/>
        <v>-</v>
      </c>
      <c r="DB174" s="34">
        <f t="shared" si="225"/>
        <v>375</v>
      </c>
      <c r="DC174" s="34" t="str">
        <f t="shared" si="225"/>
        <v>-</v>
      </c>
      <c r="DD174" s="34" t="str">
        <f t="shared" si="225"/>
        <v>-</v>
      </c>
      <c r="DE174" s="34" t="str">
        <f t="shared" si="225"/>
        <v>-</v>
      </c>
      <c r="DF174" s="34" t="str">
        <f t="shared" si="225"/>
        <v>-</v>
      </c>
      <c r="DG174" s="34" t="str">
        <f t="shared" si="225"/>
        <v>-</v>
      </c>
      <c r="DH174" s="34" t="str">
        <f t="shared" si="225"/>
        <v>-</v>
      </c>
      <c r="DI174" s="34" t="str">
        <f t="shared" si="225"/>
        <v>-</v>
      </c>
      <c r="DJ174" s="34" t="str">
        <f t="shared" si="225"/>
        <v>-</v>
      </c>
      <c r="DK174" s="34" t="str">
        <f t="shared" si="225"/>
        <v>-</v>
      </c>
      <c r="DL174" s="34" t="str">
        <f t="shared" si="225"/>
        <v>-</v>
      </c>
      <c r="DM174" s="34" t="str">
        <f t="shared" si="225"/>
        <v>-</v>
      </c>
      <c r="DN174" s="34" t="str">
        <f t="shared" si="225"/>
        <v>-</v>
      </c>
      <c r="DO174" s="34" t="str">
        <f t="shared" si="225"/>
        <v>-</v>
      </c>
      <c r="DP174" s="34" t="str">
        <f t="shared" si="225"/>
        <v>-</v>
      </c>
      <c r="DQ174" s="34" t="str">
        <f t="shared" si="225"/>
        <v>-</v>
      </c>
      <c r="DR174" s="55" t="str">
        <f t="shared" si="225"/>
        <v>-</v>
      </c>
    </row>
    <row r="175" spans="1:122">
      <c r="A175" s="56" t="s">
        <v>199</v>
      </c>
      <c r="B175" s="56"/>
      <c r="C175" s="56" t="str">
        <f>C174</f>
        <v>bar</v>
      </c>
      <c r="D175" s="56" t="s">
        <v>16</v>
      </c>
      <c r="E175" s="85">
        <v>16</v>
      </c>
      <c r="F175" s="56" t="s">
        <v>16</v>
      </c>
      <c r="G175" s="56" t="s">
        <v>105</v>
      </c>
      <c r="H175" s="85">
        <v>1030</v>
      </c>
      <c r="I175" s="56">
        <v>835</v>
      </c>
      <c r="J175" s="56" t="s">
        <v>200</v>
      </c>
      <c r="K175" s="63" t="str">
        <f>K174</f>
        <v>-</v>
      </c>
      <c r="L175" s="34" t="s">
        <v>16</v>
      </c>
      <c r="M175" s="34">
        <f>M174</f>
        <v>168</v>
      </c>
      <c r="N175" s="34" t="s">
        <v>16</v>
      </c>
      <c r="O175" s="34">
        <f>O174</f>
        <v>160</v>
      </c>
      <c r="P175" s="34" t="s">
        <v>16</v>
      </c>
      <c r="Q175" s="34">
        <f>Q174</f>
        <v>154</v>
      </c>
      <c r="R175" s="34" t="s">
        <v>16</v>
      </c>
      <c r="S175" s="34">
        <f>S174</f>
        <v>150</v>
      </c>
      <c r="T175" s="34" t="s">
        <v>16</v>
      </c>
      <c r="U175" s="34">
        <f>U174</f>
        <v>146</v>
      </c>
      <c r="V175" s="34" t="s">
        <v>16</v>
      </c>
      <c r="W175" s="34">
        <f>W174</f>
        <v>142</v>
      </c>
      <c r="X175" s="34" t="s">
        <v>16</v>
      </c>
      <c r="Y175" s="34">
        <f>Y174</f>
        <v>136</v>
      </c>
      <c r="Z175" s="34" t="s">
        <v>16</v>
      </c>
      <c r="AA175" s="34" t="s">
        <v>16</v>
      </c>
      <c r="AB175" s="34" t="s">
        <v>16</v>
      </c>
      <c r="AC175" s="34" t="s">
        <v>16</v>
      </c>
      <c r="AD175" s="34" t="s">
        <v>16</v>
      </c>
      <c r="AE175" s="34" t="s">
        <v>16</v>
      </c>
      <c r="AF175" s="34" t="s">
        <v>16</v>
      </c>
      <c r="AG175" s="34" t="s">
        <v>16</v>
      </c>
      <c r="AH175" s="34" t="s">
        <v>16</v>
      </c>
      <c r="AI175" s="34" t="s">
        <v>16</v>
      </c>
      <c r="AJ175" s="34" t="s">
        <v>16</v>
      </c>
      <c r="AK175" s="34" t="s">
        <v>16</v>
      </c>
      <c r="AL175" s="34" t="s">
        <v>16</v>
      </c>
      <c r="AM175" s="34" t="s">
        <v>16</v>
      </c>
      <c r="AN175" s="34" t="s">
        <v>16</v>
      </c>
      <c r="AO175" s="34" t="s">
        <v>16</v>
      </c>
      <c r="AP175" s="34" t="s">
        <v>16</v>
      </c>
      <c r="AQ175" s="34" t="s">
        <v>16</v>
      </c>
      <c r="AR175" s="34" t="s">
        <v>16</v>
      </c>
      <c r="AS175" s="34" t="s">
        <v>16</v>
      </c>
      <c r="AT175" s="34" t="s">
        <v>16</v>
      </c>
      <c r="AU175" s="34" t="s">
        <v>16</v>
      </c>
      <c r="AV175" s="57" t="str">
        <f>AV174</f>
        <v>UNI</v>
      </c>
      <c r="AW175" s="63" t="s">
        <v>16</v>
      </c>
      <c r="AX175" s="34" t="s">
        <v>16</v>
      </c>
      <c r="AY175" s="34" t="s">
        <v>16</v>
      </c>
      <c r="AZ175" s="34" t="s">
        <v>16</v>
      </c>
      <c r="BA175" s="34" t="s">
        <v>16</v>
      </c>
      <c r="BB175" s="34" t="s">
        <v>16</v>
      </c>
      <c r="BC175" s="34" t="s">
        <v>16</v>
      </c>
      <c r="BD175" s="34" t="s">
        <v>16</v>
      </c>
      <c r="BE175" s="34" t="s">
        <v>16</v>
      </c>
      <c r="BF175" s="34" t="s">
        <v>16</v>
      </c>
      <c r="BG175" s="34" t="s">
        <v>16</v>
      </c>
      <c r="BH175" s="34" t="s">
        <v>16</v>
      </c>
      <c r="BI175" s="34" t="s">
        <v>16</v>
      </c>
      <c r="BJ175" s="34" t="s">
        <v>16</v>
      </c>
      <c r="BK175" s="34" t="s">
        <v>16</v>
      </c>
      <c r="BL175" s="34" t="s">
        <v>16</v>
      </c>
      <c r="BM175" s="34" t="s">
        <v>16</v>
      </c>
      <c r="BN175" s="34" t="s">
        <v>16</v>
      </c>
      <c r="BO175" s="34" t="s">
        <v>16</v>
      </c>
      <c r="BP175" s="34" t="s">
        <v>16</v>
      </c>
      <c r="BQ175" s="34" t="s">
        <v>16</v>
      </c>
      <c r="BR175" s="34" t="s">
        <v>16</v>
      </c>
      <c r="BS175" s="34" t="s">
        <v>16</v>
      </c>
      <c r="BT175" s="34" t="s">
        <v>16</v>
      </c>
      <c r="BU175" s="34" t="s">
        <v>16</v>
      </c>
      <c r="BV175" s="34" t="s">
        <v>16</v>
      </c>
      <c r="BW175" s="34" t="s">
        <v>16</v>
      </c>
      <c r="BX175" s="34" t="s">
        <v>16</v>
      </c>
      <c r="BY175" s="34" t="s">
        <v>16</v>
      </c>
      <c r="BZ175" s="34" t="s">
        <v>16</v>
      </c>
      <c r="CA175" s="34" t="s">
        <v>16</v>
      </c>
      <c r="CB175" s="34" t="s">
        <v>16</v>
      </c>
      <c r="CC175" s="34" t="s">
        <v>16</v>
      </c>
      <c r="CD175" s="34" t="s">
        <v>16</v>
      </c>
      <c r="CE175" s="34" t="s">
        <v>16</v>
      </c>
      <c r="CF175" s="34" t="s">
        <v>16</v>
      </c>
      <c r="CG175" s="44" t="s">
        <v>16</v>
      </c>
      <c r="CH175" s="63" t="str">
        <f>CH174</f>
        <v>-</v>
      </c>
      <c r="CI175" s="34" t="str">
        <f>CI174</f>
        <v>-</v>
      </c>
      <c r="CJ175" s="34">
        <f t="shared" si="225"/>
        <v>720</v>
      </c>
      <c r="CK175" s="34" t="str">
        <f t="shared" si="225"/>
        <v>-</v>
      </c>
      <c r="CL175" s="34">
        <f t="shared" si="225"/>
        <v>702</v>
      </c>
      <c r="CM175" s="34" t="str">
        <f t="shared" si="225"/>
        <v>-</v>
      </c>
      <c r="CN175" s="34">
        <f t="shared" si="225"/>
        <v>677</v>
      </c>
      <c r="CO175" s="34" t="str">
        <f t="shared" si="225"/>
        <v>-</v>
      </c>
      <c r="CP175" s="34">
        <f t="shared" si="225"/>
        <v>640</v>
      </c>
      <c r="CQ175" s="34" t="str">
        <f t="shared" si="225"/>
        <v>-</v>
      </c>
      <c r="CR175" s="34">
        <f t="shared" si="225"/>
        <v>602</v>
      </c>
      <c r="CS175" s="34" t="str">
        <f t="shared" si="225"/>
        <v>-</v>
      </c>
      <c r="CT175" s="34">
        <f t="shared" si="225"/>
        <v>562</v>
      </c>
      <c r="CU175" s="34" t="str">
        <f t="shared" si="225"/>
        <v>-</v>
      </c>
      <c r="CV175" s="34">
        <f t="shared" si="225"/>
        <v>518</v>
      </c>
      <c r="CW175" s="34" t="str">
        <f t="shared" si="225"/>
        <v>-</v>
      </c>
      <c r="CX175" s="34">
        <f t="shared" si="225"/>
        <v>475</v>
      </c>
      <c r="CY175" s="34" t="str">
        <f t="shared" si="225"/>
        <v>-</v>
      </c>
      <c r="CZ175" s="34">
        <f t="shared" si="225"/>
        <v>420</v>
      </c>
      <c r="DA175" s="34" t="str">
        <f t="shared" si="225"/>
        <v>-</v>
      </c>
      <c r="DB175" s="34">
        <f t="shared" si="225"/>
        <v>375</v>
      </c>
      <c r="DC175" s="34" t="str">
        <f t="shared" si="225"/>
        <v>-</v>
      </c>
      <c r="DD175" s="34" t="str">
        <f t="shared" si="225"/>
        <v>-</v>
      </c>
      <c r="DE175" s="34" t="str">
        <f t="shared" si="225"/>
        <v>-</v>
      </c>
      <c r="DF175" s="34" t="str">
        <f t="shared" si="225"/>
        <v>-</v>
      </c>
      <c r="DG175" s="34" t="str">
        <f t="shared" si="225"/>
        <v>-</v>
      </c>
      <c r="DH175" s="34" t="str">
        <f t="shared" si="225"/>
        <v>-</v>
      </c>
      <c r="DI175" s="34" t="str">
        <f t="shared" si="225"/>
        <v>-</v>
      </c>
      <c r="DJ175" s="34" t="str">
        <f t="shared" si="225"/>
        <v>-</v>
      </c>
      <c r="DK175" s="34" t="str">
        <f t="shared" si="225"/>
        <v>-</v>
      </c>
      <c r="DL175" s="34" t="str">
        <f t="shared" si="225"/>
        <v>-</v>
      </c>
      <c r="DM175" s="34" t="str">
        <f t="shared" si="225"/>
        <v>-</v>
      </c>
      <c r="DN175" s="34" t="str">
        <f t="shared" si="225"/>
        <v>-</v>
      </c>
      <c r="DO175" s="34" t="str">
        <f t="shared" si="225"/>
        <v>-</v>
      </c>
      <c r="DP175" s="34" t="str">
        <f t="shared" si="225"/>
        <v>-</v>
      </c>
      <c r="DQ175" s="34" t="str">
        <f t="shared" si="225"/>
        <v>-</v>
      </c>
      <c r="DR175" s="55" t="str">
        <f t="shared" si="225"/>
        <v>-</v>
      </c>
    </row>
    <row r="176" spans="1:122">
      <c r="A176" s="56" t="s">
        <v>201</v>
      </c>
      <c r="B176" s="56"/>
      <c r="C176" s="56" t="str">
        <f>C7</f>
        <v>bar</v>
      </c>
      <c r="D176" s="56" t="str">
        <f t="shared" ref="D176:AU176" si="226">D7</f>
        <v>-</v>
      </c>
      <c r="E176" s="85" t="str">
        <f t="shared" si="226"/>
        <v>-</v>
      </c>
      <c r="F176" s="56" t="str">
        <f t="shared" si="226"/>
        <v>A83</v>
      </c>
      <c r="G176" s="56" t="str">
        <f t="shared" si="226"/>
        <v>ASTM</v>
      </c>
      <c r="H176" s="85">
        <f t="shared" si="226"/>
        <v>485</v>
      </c>
      <c r="I176" s="56">
        <f t="shared" si="226"/>
        <v>170</v>
      </c>
      <c r="J176" s="56" t="str">
        <f t="shared" si="226"/>
        <v>ASME</v>
      </c>
      <c r="K176" s="63" t="str">
        <f t="shared" si="226"/>
        <v>-</v>
      </c>
      <c r="L176" s="34">
        <f t="shared" si="226"/>
        <v>115</v>
      </c>
      <c r="M176" s="34" t="str">
        <f t="shared" si="226"/>
        <v>-</v>
      </c>
      <c r="N176" s="34">
        <f t="shared" si="226"/>
        <v>115</v>
      </c>
      <c r="O176" s="34">
        <f t="shared" si="226"/>
        <v>115</v>
      </c>
      <c r="P176" s="34">
        <f t="shared" si="226"/>
        <v>115</v>
      </c>
      <c r="Q176" s="34">
        <f t="shared" si="226"/>
        <v>115</v>
      </c>
      <c r="R176" s="34" t="str">
        <f t="shared" si="226"/>
        <v>-</v>
      </c>
      <c r="S176" s="34">
        <f t="shared" si="226"/>
        <v>109</v>
      </c>
      <c r="T176" s="34" t="str">
        <f t="shared" si="226"/>
        <v>-</v>
      </c>
      <c r="U176" s="34">
        <f t="shared" si="226"/>
        <v>103</v>
      </c>
      <c r="V176" s="34" t="str">
        <f t="shared" si="226"/>
        <v>-</v>
      </c>
      <c r="W176" s="34">
        <f t="shared" si="226"/>
        <v>98</v>
      </c>
      <c r="X176" s="34">
        <f t="shared" si="226"/>
        <v>95.7</v>
      </c>
      <c r="Y176" s="34">
        <f t="shared" si="226"/>
        <v>94.1</v>
      </c>
      <c r="Z176" s="34">
        <f t="shared" si="226"/>
        <v>92.8</v>
      </c>
      <c r="AA176" s="34">
        <f t="shared" si="226"/>
        <v>90.9</v>
      </c>
      <c r="AB176" s="34">
        <f t="shared" si="226"/>
        <v>89</v>
      </c>
      <c r="AC176" s="34">
        <f t="shared" si="226"/>
        <v>87.8</v>
      </c>
      <c r="AD176" s="34">
        <f t="shared" si="226"/>
        <v>86.6</v>
      </c>
      <c r="AE176" s="34" t="str">
        <f t="shared" si="226"/>
        <v>-</v>
      </c>
      <c r="AF176" s="34" t="str">
        <f t="shared" si="226"/>
        <v>-</v>
      </c>
      <c r="AG176" s="34" t="str">
        <f t="shared" si="226"/>
        <v>-</v>
      </c>
      <c r="AH176" s="34" t="str">
        <f t="shared" si="226"/>
        <v>-</v>
      </c>
      <c r="AI176" s="34" t="str">
        <f t="shared" si="226"/>
        <v>-</v>
      </c>
      <c r="AJ176" s="34" t="str">
        <f t="shared" si="226"/>
        <v>-</v>
      </c>
      <c r="AK176" s="34" t="str">
        <f t="shared" si="226"/>
        <v>-</v>
      </c>
      <c r="AL176" s="34" t="str">
        <f t="shared" si="226"/>
        <v>-</v>
      </c>
      <c r="AM176" s="34" t="str">
        <f t="shared" si="226"/>
        <v>-</v>
      </c>
      <c r="AN176" s="34" t="str">
        <f t="shared" si="226"/>
        <v>-</v>
      </c>
      <c r="AO176" s="34" t="str">
        <f t="shared" si="226"/>
        <v>-</v>
      </c>
      <c r="AP176" s="34" t="str">
        <f t="shared" si="226"/>
        <v>-</v>
      </c>
      <c r="AQ176" s="34" t="str">
        <f t="shared" si="226"/>
        <v>-</v>
      </c>
      <c r="AR176" s="34" t="str">
        <f t="shared" si="226"/>
        <v>-</v>
      </c>
      <c r="AS176" s="34" t="str">
        <f t="shared" si="226"/>
        <v>-</v>
      </c>
      <c r="AT176" s="34" t="str">
        <f t="shared" si="226"/>
        <v>-</v>
      </c>
      <c r="AU176" s="55" t="str">
        <f t="shared" si="226"/>
        <v>-</v>
      </c>
      <c r="AV176" s="57" t="str">
        <f>AV7</f>
        <v>ASME</v>
      </c>
      <c r="AW176" s="63" t="str">
        <f t="shared" ref="AW176:DH176" si="227">AW7</f>
        <v>-</v>
      </c>
      <c r="AX176" s="34">
        <f t="shared" si="227"/>
        <v>483</v>
      </c>
      <c r="AY176" s="34" t="str">
        <f t="shared" si="227"/>
        <v>-</v>
      </c>
      <c r="AZ176" s="34" t="str">
        <f t="shared" si="227"/>
        <v>-</v>
      </c>
      <c r="BA176" s="34">
        <f t="shared" si="227"/>
        <v>467</v>
      </c>
      <c r="BB176" s="34" t="str">
        <f t="shared" si="227"/>
        <v>-</v>
      </c>
      <c r="BC176" s="34">
        <f t="shared" si="227"/>
        <v>441</v>
      </c>
      <c r="BD176" s="34" t="str">
        <f t="shared" si="227"/>
        <v>-</v>
      </c>
      <c r="BE176" s="34">
        <f t="shared" si="227"/>
        <v>429</v>
      </c>
      <c r="BF176" s="34" t="str">
        <f t="shared" si="227"/>
        <v>-</v>
      </c>
      <c r="BG176" s="34">
        <f t="shared" si="227"/>
        <v>426</v>
      </c>
      <c r="BH176" s="34" t="str">
        <f t="shared" si="227"/>
        <v>-</v>
      </c>
      <c r="BI176" s="34">
        <f t="shared" si="227"/>
        <v>426</v>
      </c>
      <c r="BJ176" s="34">
        <f t="shared" si="227"/>
        <v>425</v>
      </c>
      <c r="BK176" s="34">
        <f t="shared" si="227"/>
        <v>425</v>
      </c>
      <c r="BL176" s="34">
        <f t="shared" si="227"/>
        <v>424</v>
      </c>
      <c r="BM176" s="34">
        <f t="shared" si="227"/>
        <v>421</v>
      </c>
      <c r="BN176" s="34">
        <f t="shared" si="227"/>
        <v>417</v>
      </c>
      <c r="BO176" s="34">
        <f t="shared" si="227"/>
        <v>413</v>
      </c>
      <c r="BP176" s="34">
        <f t="shared" si="227"/>
        <v>406</v>
      </c>
      <c r="BQ176" s="34">
        <f t="shared" si="227"/>
        <v>398</v>
      </c>
      <c r="BR176" s="34">
        <f t="shared" si="227"/>
        <v>387</v>
      </c>
      <c r="BS176" s="34" t="str">
        <f t="shared" si="227"/>
        <v>-</v>
      </c>
      <c r="BT176" s="34" t="str">
        <f t="shared" si="227"/>
        <v>-</v>
      </c>
      <c r="BU176" s="34" t="str">
        <f t="shared" si="227"/>
        <v>-</v>
      </c>
      <c r="BV176" s="34" t="str">
        <f t="shared" si="227"/>
        <v>-</v>
      </c>
      <c r="BW176" s="34" t="str">
        <f t="shared" si="227"/>
        <v>-</v>
      </c>
      <c r="BX176" s="34" t="str">
        <f t="shared" si="227"/>
        <v>-</v>
      </c>
      <c r="BY176" s="34" t="str">
        <f t="shared" si="227"/>
        <v>-</v>
      </c>
      <c r="BZ176" s="34" t="str">
        <f t="shared" si="227"/>
        <v>-</v>
      </c>
      <c r="CA176" s="34" t="str">
        <f t="shared" si="227"/>
        <v>-</v>
      </c>
      <c r="CB176" s="34" t="str">
        <f t="shared" si="227"/>
        <v>-</v>
      </c>
      <c r="CC176" s="34" t="str">
        <f t="shared" si="227"/>
        <v>-</v>
      </c>
      <c r="CD176" s="34" t="str">
        <f t="shared" si="227"/>
        <v>-</v>
      </c>
      <c r="CE176" s="34" t="str">
        <f t="shared" si="227"/>
        <v>-</v>
      </c>
      <c r="CF176" s="34" t="str">
        <f t="shared" si="227"/>
        <v>-</v>
      </c>
      <c r="CG176" s="44" t="str">
        <f t="shared" si="227"/>
        <v>-</v>
      </c>
      <c r="CH176" s="63" t="str">
        <f t="shared" si="227"/>
        <v>-</v>
      </c>
      <c r="CI176" s="34">
        <f t="shared" si="227"/>
        <v>483</v>
      </c>
      <c r="CJ176" s="34" t="str">
        <f t="shared" si="227"/>
        <v>-</v>
      </c>
      <c r="CK176" s="34" t="str">
        <f t="shared" si="227"/>
        <v>-</v>
      </c>
      <c r="CL176" s="34">
        <f t="shared" si="227"/>
        <v>467</v>
      </c>
      <c r="CM176" s="34" t="str">
        <f t="shared" si="227"/>
        <v>-</v>
      </c>
      <c r="CN176" s="34">
        <f t="shared" si="227"/>
        <v>441</v>
      </c>
      <c r="CO176" s="34" t="str">
        <f t="shared" si="227"/>
        <v>-</v>
      </c>
      <c r="CP176" s="34">
        <f t="shared" si="227"/>
        <v>429</v>
      </c>
      <c r="CQ176" s="34" t="str">
        <f t="shared" si="227"/>
        <v>-</v>
      </c>
      <c r="CR176" s="34">
        <f t="shared" si="227"/>
        <v>426</v>
      </c>
      <c r="CS176" s="34" t="str">
        <f t="shared" si="227"/>
        <v>-</v>
      </c>
      <c r="CT176" s="34">
        <f t="shared" si="227"/>
        <v>426</v>
      </c>
      <c r="CU176" s="34">
        <f t="shared" si="227"/>
        <v>425</v>
      </c>
      <c r="CV176" s="34">
        <f t="shared" si="227"/>
        <v>425</v>
      </c>
      <c r="CW176" s="34">
        <f t="shared" si="227"/>
        <v>424</v>
      </c>
      <c r="CX176" s="34">
        <f t="shared" si="227"/>
        <v>421</v>
      </c>
      <c r="CY176" s="34">
        <f t="shared" si="227"/>
        <v>417</v>
      </c>
      <c r="CZ176" s="34">
        <f t="shared" si="227"/>
        <v>413</v>
      </c>
      <c r="DA176" s="34">
        <f t="shared" si="227"/>
        <v>406</v>
      </c>
      <c r="DB176" s="34">
        <f t="shared" si="227"/>
        <v>398</v>
      </c>
      <c r="DC176" s="34">
        <f t="shared" si="227"/>
        <v>387</v>
      </c>
      <c r="DD176" s="34" t="str">
        <f t="shared" si="227"/>
        <v>-</v>
      </c>
      <c r="DE176" s="34" t="str">
        <f t="shared" si="227"/>
        <v>-</v>
      </c>
      <c r="DF176" s="34" t="str">
        <f t="shared" si="227"/>
        <v>-</v>
      </c>
      <c r="DG176" s="34" t="str">
        <f t="shared" si="227"/>
        <v>-</v>
      </c>
      <c r="DH176" s="34" t="str">
        <f t="shared" si="227"/>
        <v>-</v>
      </c>
      <c r="DI176" s="34" t="str">
        <f t="shared" ref="DI176:DR176" si="228">DI7</f>
        <v>-</v>
      </c>
      <c r="DJ176" s="34" t="str">
        <f t="shared" si="228"/>
        <v>-</v>
      </c>
      <c r="DK176" s="34" t="str">
        <f t="shared" si="228"/>
        <v>-</v>
      </c>
      <c r="DL176" s="34" t="str">
        <f t="shared" si="228"/>
        <v>-</v>
      </c>
      <c r="DM176" s="34" t="str">
        <f t="shared" si="228"/>
        <v>-</v>
      </c>
      <c r="DN176" s="34" t="str">
        <f t="shared" si="228"/>
        <v>-</v>
      </c>
      <c r="DO176" s="34" t="str">
        <f t="shared" si="228"/>
        <v>-</v>
      </c>
      <c r="DP176" s="34" t="str">
        <f t="shared" si="228"/>
        <v>-</v>
      </c>
      <c r="DQ176" s="34" t="str">
        <f t="shared" si="228"/>
        <v>-</v>
      </c>
      <c r="DR176" s="55" t="str">
        <f t="shared" si="228"/>
        <v>-</v>
      </c>
    </row>
    <row r="177" spans="1:122">
      <c r="A177" s="78" t="s">
        <v>202</v>
      </c>
      <c r="B177" s="78"/>
      <c r="C177" s="62" t="s">
        <v>94</v>
      </c>
      <c r="D177" s="62">
        <v>100</v>
      </c>
      <c r="E177" s="107">
        <v>175</v>
      </c>
      <c r="F177" s="62" t="s">
        <v>16</v>
      </c>
      <c r="G177" s="62" t="s">
        <v>17</v>
      </c>
      <c r="H177" s="105">
        <v>690</v>
      </c>
      <c r="I177" s="105">
        <v>585</v>
      </c>
      <c r="J177" s="62" t="s">
        <v>18</v>
      </c>
      <c r="K177" s="100" t="s">
        <v>16</v>
      </c>
      <c r="L177" s="102">
        <v>138</v>
      </c>
      <c r="M177" s="102" t="s">
        <v>16</v>
      </c>
      <c r="N177" s="102">
        <v>138</v>
      </c>
      <c r="O177" s="102">
        <v>138</v>
      </c>
      <c r="P177" s="102">
        <v>138</v>
      </c>
      <c r="Q177" s="102">
        <v>138</v>
      </c>
      <c r="R177" s="101">
        <v>138</v>
      </c>
      <c r="S177" s="102">
        <v>138</v>
      </c>
      <c r="T177" s="101">
        <v>138</v>
      </c>
      <c r="U177" s="102">
        <v>138</v>
      </c>
      <c r="V177" s="101">
        <v>138</v>
      </c>
      <c r="W177" s="102">
        <v>138</v>
      </c>
      <c r="X177" s="102">
        <v>138</v>
      </c>
      <c r="Y177" s="102">
        <v>138</v>
      </c>
      <c r="Z177" s="102">
        <v>138</v>
      </c>
      <c r="AA177" s="101">
        <v>138</v>
      </c>
      <c r="AB177" s="101">
        <v>138</v>
      </c>
      <c r="AC177" s="101">
        <v>132</v>
      </c>
      <c r="AD177" s="101">
        <v>119</v>
      </c>
      <c r="AE177" s="102">
        <v>105</v>
      </c>
      <c r="AF177" s="102">
        <v>87.7</v>
      </c>
      <c r="AG177" s="102">
        <v>61.7</v>
      </c>
      <c r="AH177" s="102">
        <v>34.299999999999997</v>
      </c>
      <c r="AI177" s="102">
        <v>13.8</v>
      </c>
      <c r="AJ177" s="102" t="s">
        <v>16</v>
      </c>
      <c r="AK177" s="102" t="s">
        <v>16</v>
      </c>
      <c r="AL177" s="102" t="s">
        <v>16</v>
      </c>
      <c r="AM177" s="102" t="s">
        <v>16</v>
      </c>
      <c r="AN177" s="102" t="s">
        <v>16</v>
      </c>
      <c r="AO177" s="102" t="s">
        <v>16</v>
      </c>
      <c r="AP177" s="102" t="s">
        <v>16</v>
      </c>
      <c r="AQ177" s="102" t="s">
        <v>16</v>
      </c>
      <c r="AR177" s="102" t="s">
        <v>16</v>
      </c>
      <c r="AS177" s="102" t="s">
        <v>16</v>
      </c>
      <c r="AT177" s="102" t="s">
        <v>16</v>
      </c>
      <c r="AU177" s="103" t="s">
        <v>16</v>
      </c>
      <c r="AV177" s="78" t="s">
        <v>18</v>
      </c>
      <c r="AW177" s="63" t="s">
        <v>16</v>
      </c>
      <c r="AX177" s="34">
        <v>689</v>
      </c>
      <c r="AY177" s="34" t="s">
        <v>16</v>
      </c>
      <c r="AZ177" s="34" t="s">
        <v>16</v>
      </c>
      <c r="BA177" s="34">
        <v>689</v>
      </c>
      <c r="BB177" s="34" t="s">
        <v>16</v>
      </c>
      <c r="BC177" s="34">
        <v>689</v>
      </c>
      <c r="BD177" s="34" t="s">
        <v>16</v>
      </c>
      <c r="BE177" s="34">
        <v>689</v>
      </c>
      <c r="BF177" s="34" t="s">
        <v>16</v>
      </c>
      <c r="BG177" s="34">
        <v>689</v>
      </c>
      <c r="BH177" s="34" t="s">
        <v>16</v>
      </c>
      <c r="BI177" s="34">
        <v>689</v>
      </c>
      <c r="BJ177" s="34">
        <v>688</v>
      </c>
      <c r="BK177" s="34">
        <v>676</v>
      </c>
      <c r="BL177" s="34">
        <v>657</v>
      </c>
      <c r="BM177" s="34">
        <v>637</v>
      </c>
      <c r="BN177" s="34">
        <v>614</v>
      </c>
      <c r="BO177" s="34">
        <v>589</v>
      </c>
      <c r="BP177" s="34">
        <v>561</v>
      </c>
      <c r="BQ177" s="34">
        <v>532</v>
      </c>
      <c r="BR177" s="34">
        <v>502</v>
      </c>
      <c r="BS177" s="34" t="s">
        <v>16</v>
      </c>
      <c r="BT177" s="34" t="s">
        <v>16</v>
      </c>
      <c r="BU177" s="34" t="s">
        <v>16</v>
      </c>
      <c r="BV177" s="34" t="s">
        <v>16</v>
      </c>
      <c r="BW177" s="34" t="s">
        <v>16</v>
      </c>
      <c r="BX177" s="34" t="s">
        <v>16</v>
      </c>
      <c r="BY177" s="34" t="s">
        <v>16</v>
      </c>
      <c r="BZ177" s="34" t="s">
        <v>16</v>
      </c>
      <c r="CA177" s="34" t="s">
        <v>16</v>
      </c>
      <c r="CB177" s="34" t="s">
        <v>16</v>
      </c>
      <c r="CC177" s="34" t="s">
        <v>16</v>
      </c>
      <c r="CD177" s="34" t="s">
        <v>16</v>
      </c>
      <c r="CE177" s="34" t="s">
        <v>16</v>
      </c>
      <c r="CF177" s="34" t="s">
        <v>16</v>
      </c>
      <c r="CG177" s="44" t="s">
        <v>16</v>
      </c>
      <c r="CH177" s="63" t="s">
        <v>16</v>
      </c>
      <c r="CI177" s="34">
        <v>586</v>
      </c>
      <c r="CJ177" s="34" t="s">
        <v>16</v>
      </c>
      <c r="CK177" s="34">
        <v>575</v>
      </c>
      <c r="CL177" s="34">
        <v>563</v>
      </c>
      <c r="CM177" s="34">
        <v>557</v>
      </c>
      <c r="CN177" s="34">
        <v>551</v>
      </c>
      <c r="CO177" s="34">
        <v>544</v>
      </c>
      <c r="CP177" s="34">
        <v>538</v>
      </c>
      <c r="CQ177" s="34">
        <v>531</v>
      </c>
      <c r="CR177" s="34">
        <v>525</v>
      </c>
      <c r="CS177" s="34">
        <v>518</v>
      </c>
      <c r="CT177" s="34">
        <v>511</v>
      </c>
      <c r="CU177" s="34">
        <v>504</v>
      </c>
      <c r="CV177" s="34">
        <v>496</v>
      </c>
      <c r="CW177" s="34">
        <v>488</v>
      </c>
      <c r="CX177" s="34">
        <v>479</v>
      </c>
      <c r="CY177" s="34">
        <v>469</v>
      </c>
      <c r="CZ177" s="34">
        <v>457</v>
      </c>
      <c r="DA177" s="34">
        <v>443</v>
      </c>
      <c r="DB177" s="34">
        <v>427</v>
      </c>
      <c r="DC177" s="34">
        <v>407</v>
      </c>
      <c r="DD177" s="34" t="s">
        <v>16</v>
      </c>
      <c r="DE177" s="34" t="s">
        <v>16</v>
      </c>
      <c r="DF177" s="34" t="s">
        <v>16</v>
      </c>
      <c r="DG177" s="34" t="s">
        <v>16</v>
      </c>
      <c r="DH177" s="34" t="s">
        <v>16</v>
      </c>
      <c r="DI177" s="34" t="s">
        <v>16</v>
      </c>
      <c r="DJ177" s="34" t="s">
        <v>16</v>
      </c>
      <c r="DK177" s="34" t="s">
        <v>16</v>
      </c>
      <c r="DL177" s="34" t="s">
        <v>16</v>
      </c>
      <c r="DM177" s="34" t="s">
        <v>16</v>
      </c>
      <c r="DN177" s="34" t="s">
        <v>16</v>
      </c>
      <c r="DO177" s="34" t="s">
        <v>16</v>
      </c>
      <c r="DP177" s="34" t="s">
        <v>16</v>
      </c>
      <c r="DQ177" s="34" t="s">
        <v>16</v>
      </c>
      <c r="DR177" s="55" t="s">
        <v>16</v>
      </c>
    </row>
    <row r="178" spans="1:122">
      <c r="A178" s="57" t="s">
        <v>202</v>
      </c>
      <c r="B178" s="57"/>
      <c r="C178" s="53" t="s">
        <v>94</v>
      </c>
      <c r="D178" s="53">
        <v>64</v>
      </c>
      <c r="E178" s="107">
        <v>100</v>
      </c>
      <c r="F178" s="53" t="s">
        <v>16</v>
      </c>
      <c r="G178" s="53" t="str">
        <f>G177</f>
        <v>ASTM</v>
      </c>
      <c r="H178" s="72">
        <v>760</v>
      </c>
      <c r="I178" s="72">
        <v>655</v>
      </c>
      <c r="J178" s="53" t="str">
        <f>J177</f>
        <v>ASME</v>
      </c>
      <c r="K178" s="59" t="s">
        <v>16</v>
      </c>
      <c r="L178" s="34">
        <v>152</v>
      </c>
      <c r="M178" s="34" t="s">
        <v>16</v>
      </c>
      <c r="N178" s="34">
        <v>152</v>
      </c>
      <c r="O178" s="34">
        <v>152</v>
      </c>
      <c r="P178" s="34">
        <v>152</v>
      </c>
      <c r="Q178" s="34">
        <v>152</v>
      </c>
      <c r="R178" s="34">
        <v>152</v>
      </c>
      <c r="S178" s="34">
        <v>152</v>
      </c>
      <c r="T178" s="34">
        <v>152</v>
      </c>
      <c r="U178" s="34">
        <v>152</v>
      </c>
      <c r="V178" s="34">
        <v>152</v>
      </c>
      <c r="W178" s="34">
        <v>152</v>
      </c>
      <c r="X178" s="34">
        <v>152</v>
      </c>
      <c r="Y178" s="34">
        <v>152</v>
      </c>
      <c r="Z178" s="34">
        <v>152</v>
      </c>
      <c r="AA178" s="34">
        <v>152</v>
      </c>
      <c r="AB178" s="34">
        <v>152</v>
      </c>
      <c r="AC178" s="54">
        <v>147</v>
      </c>
      <c r="AD178" s="54">
        <v>133</v>
      </c>
      <c r="AE178" s="34">
        <v>114</v>
      </c>
      <c r="AF178" s="34">
        <v>90.4</v>
      </c>
      <c r="AG178" s="34">
        <v>61.1</v>
      </c>
      <c r="AH178" s="34">
        <v>34.5</v>
      </c>
      <c r="AI178" s="34">
        <v>13.7</v>
      </c>
      <c r="AJ178" s="34" t="s">
        <v>16</v>
      </c>
      <c r="AK178" s="34" t="s">
        <v>16</v>
      </c>
      <c r="AL178" s="34" t="s">
        <v>16</v>
      </c>
      <c r="AM178" s="34" t="s">
        <v>16</v>
      </c>
      <c r="AN178" s="34" t="s">
        <v>16</v>
      </c>
      <c r="AO178" s="34" t="s">
        <v>16</v>
      </c>
      <c r="AP178" s="34" t="s">
        <v>16</v>
      </c>
      <c r="AQ178" s="34" t="s">
        <v>16</v>
      </c>
      <c r="AR178" s="34" t="s">
        <v>16</v>
      </c>
      <c r="AS178" s="34" t="s">
        <v>16</v>
      </c>
      <c r="AT178" s="34" t="s">
        <v>16</v>
      </c>
      <c r="AU178" s="55" t="s">
        <v>16</v>
      </c>
      <c r="AV178" s="78" t="s">
        <v>18</v>
      </c>
      <c r="AW178" s="63" t="s">
        <v>16</v>
      </c>
      <c r="AX178" s="34">
        <v>758</v>
      </c>
      <c r="AY178" s="34" t="s">
        <v>16</v>
      </c>
      <c r="AZ178" s="34" t="s">
        <v>16</v>
      </c>
      <c r="BA178" s="34">
        <v>758</v>
      </c>
      <c r="BB178" s="34" t="s">
        <v>16</v>
      </c>
      <c r="BC178" s="34">
        <v>758</v>
      </c>
      <c r="BD178" s="34" t="s">
        <v>16</v>
      </c>
      <c r="BE178" s="34">
        <v>758</v>
      </c>
      <c r="BF178" s="34" t="s">
        <v>16</v>
      </c>
      <c r="BG178" s="34">
        <v>758</v>
      </c>
      <c r="BH178" s="34" t="s">
        <v>16</v>
      </c>
      <c r="BI178" s="34">
        <v>758</v>
      </c>
      <c r="BJ178" s="34">
        <v>756</v>
      </c>
      <c r="BK178" s="34">
        <v>744</v>
      </c>
      <c r="BL178" s="34">
        <v>723</v>
      </c>
      <c r="BM178" s="34">
        <v>701</v>
      </c>
      <c r="BN178" s="34">
        <v>675</v>
      </c>
      <c r="BO178" s="34">
        <v>647</v>
      </c>
      <c r="BP178" s="34">
        <v>617</v>
      </c>
      <c r="BQ178" s="34">
        <v>586</v>
      </c>
      <c r="BR178" s="34">
        <v>552</v>
      </c>
      <c r="BS178" s="34" t="s">
        <v>16</v>
      </c>
      <c r="BT178" s="34" t="s">
        <v>16</v>
      </c>
      <c r="BU178" s="34" t="s">
        <v>16</v>
      </c>
      <c r="BV178" s="34" t="s">
        <v>16</v>
      </c>
      <c r="BW178" s="34" t="s">
        <v>16</v>
      </c>
      <c r="BX178" s="34" t="s">
        <v>16</v>
      </c>
      <c r="BY178" s="34" t="s">
        <v>16</v>
      </c>
      <c r="BZ178" s="34" t="s">
        <v>16</v>
      </c>
      <c r="CA178" s="34" t="s">
        <v>16</v>
      </c>
      <c r="CB178" s="34" t="s">
        <v>16</v>
      </c>
      <c r="CC178" s="34" t="s">
        <v>16</v>
      </c>
      <c r="CD178" s="34" t="s">
        <v>16</v>
      </c>
      <c r="CE178" s="34" t="s">
        <v>16</v>
      </c>
      <c r="CF178" s="34" t="s">
        <v>16</v>
      </c>
      <c r="CG178" s="44" t="s">
        <v>16</v>
      </c>
      <c r="CH178" s="63" t="s">
        <v>16</v>
      </c>
      <c r="CI178" s="34">
        <v>655</v>
      </c>
      <c r="CJ178" s="34" t="s">
        <v>16</v>
      </c>
      <c r="CK178" s="34">
        <v>643</v>
      </c>
      <c r="CL178" s="34">
        <v>630</v>
      </c>
      <c r="CM178" s="34">
        <v>622</v>
      </c>
      <c r="CN178" s="34">
        <v>615</v>
      </c>
      <c r="CO178" s="34">
        <v>608</v>
      </c>
      <c r="CP178" s="34">
        <v>600</v>
      </c>
      <c r="CQ178" s="34">
        <v>593</v>
      </c>
      <c r="CR178" s="34">
        <v>586</v>
      </c>
      <c r="CS178" s="34">
        <v>579</v>
      </c>
      <c r="CT178" s="34">
        <v>571</v>
      </c>
      <c r="CU178" s="34">
        <v>563</v>
      </c>
      <c r="CV178" s="34">
        <v>555</v>
      </c>
      <c r="CW178" s="34">
        <v>546</v>
      </c>
      <c r="CX178" s="34">
        <v>535</v>
      </c>
      <c r="CY178" s="34">
        <v>524</v>
      </c>
      <c r="CZ178" s="34">
        <v>511</v>
      </c>
      <c r="DA178" s="34">
        <v>495</v>
      </c>
      <c r="DB178" s="34">
        <v>477</v>
      </c>
      <c r="DC178" s="34">
        <v>455</v>
      </c>
      <c r="DD178" s="34" t="s">
        <v>16</v>
      </c>
      <c r="DE178" s="34" t="s">
        <v>16</v>
      </c>
      <c r="DF178" s="34" t="s">
        <v>16</v>
      </c>
      <c r="DG178" s="34" t="s">
        <v>16</v>
      </c>
      <c r="DH178" s="34" t="s">
        <v>16</v>
      </c>
      <c r="DI178" s="34" t="s">
        <v>16</v>
      </c>
      <c r="DJ178" s="34" t="s">
        <v>16</v>
      </c>
      <c r="DK178" s="34" t="s">
        <v>16</v>
      </c>
      <c r="DL178" s="34" t="s">
        <v>16</v>
      </c>
      <c r="DM178" s="34" t="s">
        <v>16</v>
      </c>
      <c r="DN178" s="34" t="s">
        <v>16</v>
      </c>
      <c r="DO178" s="34" t="s">
        <v>16</v>
      </c>
      <c r="DP178" s="34" t="s">
        <v>16</v>
      </c>
      <c r="DQ178" s="34" t="s">
        <v>16</v>
      </c>
      <c r="DR178" s="55" t="s">
        <v>16</v>
      </c>
    </row>
    <row r="179" spans="1:122">
      <c r="A179" s="57" t="s">
        <v>202</v>
      </c>
      <c r="B179" s="57"/>
      <c r="C179" s="53" t="s">
        <v>94</v>
      </c>
      <c r="D179" s="53" t="s">
        <v>16</v>
      </c>
      <c r="E179" s="89">
        <v>64</v>
      </c>
      <c r="F179" s="53" t="s">
        <v>16</v>
      </c>
      <c r="G179" s="53" t="str">
        <f>G178</f>
        <v>ASTM</v>
      </c>
      <c r="H179" s="72">
        <v>860</v>
      </c>
      <c r="I179" s="72">
        <v>725</v>
      </c>
      <c r="J179" s="53" t="str">
        <f>J178</f>
        <v>ASME</v>
      </c>
      <c r="K179" s="59" t="s">
        <v>16</v>
      </c>
      <c r="L179" s="34">
        <v>172</v>
      </c>
      <c r="M179" s="34" t="s">
        <v>16</v>
      </c>
      <c r="N179" s="34">
        <v>172</v>
      </c>
      <c r="O179" s="34">
        <v>172</v>
      </c>
      <c r="P179" s="34">
        <v>172</v>
      </c>
      <c r="Q179" s="34">
        <v>172</v>
      </c>
      <c r="R179" s="34">
        <v>172</v>
      </c>
      <c r="S179" s="34">
        <v>172</v>
      </c>
      <c r="T179" s="34">
        <v>172</v>
      </c>
      <c r="U179" s="34">
        <v>172</v>
      </c>
      <c r="V179" s="34">
        <v>172</v>
      </c>
      <c r="W179" s="34">
        <v>172</v>
      </c>
      <c r="X179" s="34">
        <v>172</v>
      </c>
      <c r="Y179" s="34">
        <v>172</v>
      </c>
      <c r="Z179" s="34">
        <v>172</v>
      </c>
      <c r="AA179" s="34">
        <v>172</v>
      </c>
      <c r="AB179" s="34">
        <v>172</v>
      </c>
      <c r="AC179" s="54">
        <v>164</v>
      </c>
      <c r="AD179" s="54">
        <v>148</v>
      </c>
      <c r="AE179" s="34">
        <v>122</v>
      </c>
      <c r="AF179" s="34">
        <v>91.8</v>
      </c>
      <c r="AG179" s="34">
        <v>60.8</v>
      </c>
      <c r="AH179" s="34">
        <v>34.6</v>
      </c>
      <c r="AI179" s="34">
        <v>13.7</v>
      </c>
      <c r="AJ179" s="34" t="s">
        <v>16</v>
      </c>
      <c r="AK179" s="34" t="s">
        <v>16</v>
      </c>
      <c r="AL179" s="34" t="s">
        <v>16</v>
      </c>
      <c r="AM179" s="34" t="s">
        <v>16</v>
      </c>
      <c r="AN179" s="34" t="s">
        <v>16</v>
      </c>
      <c r="AO179" s="34" t="s">
        <v>16</v>
      </c>
      <c r="AP179" s="34" t="s">
        <v>16</v>
      </c>
      <c r="AQ179" s="34" t="s">
        <v>16</v>
      </c>
      <c r="AR179" s="34" t="s">
        <v>16</v>
      </c>
      <c r="AS179" s="34" t="s">
        <v>16</v>
      </c>
      <c r="AT179" s="34" t="s">
        <v>16</v>
      </c>
      <c r="AU179" s="55" t="s">
        <v>16</v>
      </c>
      <c r="AV179" s="78" t="s">
        <v>18</v>
      </c>
      <c r="AW179" s="63" t="s">
        <v>16</v>
      </c>
      <c r="AX179" s="34">
        <v>862</v>
      </c>
      <c r="AY179" s="34" t="s">
        <v>16</v>
      </c>
      <c r="AZ179" s="34" t="s">
        <v>16</v>
      </c>
      <c r="BA179" s="34">
        <v>862</v>
      </c>
      <c r="BB179" s="34" t="s">
        <v>16</v>
      </c>
      <c r="BC179" s="34">
        <v>862</v>
      </c>
      <c r="BD179" s="34" t="s">
        <v>16</v>
      </c>
      <c r="BE179" s="34">
        <v>862</v>
      </c>
      <c r="BF179" s="34" t="s">
        <v>16</v>
      </c>
      <c r="BG179" s="34">
        <v>862</v>
      </c>
      <c r="BH179" s="34" t="s">
        <v>16</v>
      </c>
      <c r="BI179" s="34">
        <v>862</v>
      </c>
      <c r="BJ179" s="34">
        <v>862</v>
      </c>
      <c r="BK179" s="34">
        <v>862</v>
      </c>
      <c r="BL179" s="34">
        <v>862</v>
      </c>
      <c r="BM179" s="34">
        <v>862</v>
      </c>
      <c r="BN179" s="34">
        <v>862</v>
      </c>
      <c r="BO179" s="34">
        <v>862</v>
      </c>
      <c r="BP179" s="34">
        <v>726</v>
      </c>
      <c r="BQ179" s="34">
        <v>665</v>
      </c>
      <c r="BR179" s="34">
        <v>631</v>
      </c>
      <c r="BS179" s="34" t="s">
        <v>16</v>
      </c>
      <c r="BT179" s="34" t="s">
        <v>16</v>
      </c>
      <c r="BU179" s="34" t="s">
        <v>16</v>
      </c>
      <c r="BV179" s="34" t="s">
        <v>16</v>
      </c>
      <c r="BW179" s="34" t="s">
        <v>16</v>
      </c>
      <c r="BX179" s="34" t="s">
        <v>16</v>
      </c>
      <c r="BY179" s="34" t="s">
        <v>16</v>
      </c>
      <c r="BZ179" s="34" t="s">
        <v>16</v>
      </c>
      <c r="CA179" s="34" t="s">
        <v>16</v>
      </c>
      <c r="CB179" s="34" t="s">
        <v>16</v>
      </c>
      <c r="CC179" s="34" t="s">
        <v>16</v>
      </c>
      <c r="CD179" s="34" t="s">
        <v>16</v>
      </c>
      <c r="CE179" s="34" t="s">
        <v>16</v>
      </c>
      <c r="CF179" s="34" t="s">
        <v>16</v>
      </c>
      <c r="CG179" s="44" t="s">
        <v>16</v>
      </c>
      <c r="CH179" s="63" t="s">
        <v>16</v>
      </c>
      <c r="CI179" s="34">
        <v>724</v>
      </c>
      <c r="CJ179" s="34" t="s">
        <v>16</v>
      </c>
      <c r="CK179" s="34">
        <v>711</v>
      </c>
      <c r="CL179" s="34">
        <v>696</v>
      </c>
      <c r="CM179" s="34">
        <v>688</v>
      </c>
      <c r="CN179" s="34">
        <v>680</v>
      </c>
      <c r="CO179" s="34">
        <v>672</v>
      </c>
      <c r="CP179" s="34">
        <v>664</v>
      </c>
      <c r="CQ179" s="34">
        <v>656</v>
      </c>
      <c r="CR179" s="34">
        <v>648</v>
      </c>
      <c r="CS179" s="34">
        <v>640</v>
      </c>
      <c r="CT179" s="34">
        <v>631</v>
      </c>
      <c r="CU179" s="34">
        <v>623</v>
      </c>
      <c r="CV179" s="34">
        <v>613</v>
      </c>
      <c r="CW179" s="34">
        <v>603</v>
      </c>
      <c r="CX179" s="34">
        <v>592</v>
      </c>
      <c r="CY179" s="34">
        <v>579</v>
      </c>
      <c r="CZ179" s="34">
        <v>565</v>
      </c>
      <c r="DA179" s="34">
        <v>547</v>
      </c>
      <c r="DB179" s="34">
        <v>528</v>
      </c>
      <c r="DC179" s="34">
        <v>503</v>
      </c>
      <c r="DD179" s="34" t="s">
        <v>16</v>
      </c>
      <c r="DE179" s="34" t="s">
        <v>16</v>
      </c>
      <c r="DF179" s="34" t="s">
        <v>16</v>
      </c>
      <c r="DG179" s="34" t="s">
        <v>16</v>
      </c>
      <c r="DH179" s="34" t="s">
        <v>16</v>
      </c>
      <c r="DI179" s="34" t="s">
        <v>16</v>
      </c>
      <c r="DJ179" s="34" t="s">
        <v>16</v>
      </c>
      <c r="DK179" s="34" t="s">
        <v>16</v>
      </c>
      <c r="DL179" s="34" t="s">
        <v>16</v>
      </c>
      <c r="DM179" s="34" t="s">
        <v>16</v>
      </c>
      <c r="DN179" s="34" t="s">
        <v>16</v>
      </c>
      <c r="DO179" s="34" t="s">
        <v>16</v>
      </c>
      <c r="DP179" s="34" t="s">
        <v>16</v>
      </c>
      <c r="DQ179" s="34" t="s">
        <v>16</v>
      </c>
      <c r="DR179" s="55" t="s">
        <v>16</v>
      </c>
    </row>
    <row r="180" spans="1:122">
      <c r="A180" s="57" t="s">
        <v>203</v>
      </c>
      <c r="B180" s="57"/>
      <c r="C180" s="53" t="s">
        <v>94</v>
      </c>
      <c r="D180" s="53" t="s">
        <v>16</v>
      </c>
      <c r="E180" s="89" t="s">
        <v>16</v>
      </c>
      <c r="F180" s="53" t="s">
        <v>16</v>
      </c>
      <c r="G180" s="53" t="s">
        <v>17</v>
      </c>
      <c r="H180" s="72">
        <v>600</v>
      </c>
      <c r="I180" s="72">
        <v>550</v>
      </c>
      <c r="J180" s="53" t="s">
        <v>18</v>
      </c>
      <c r="K180" s="59" t="s">
        <v>16</v>
      </c>
      <c r="L180" s="34">
        <v>138</v>
      </c>
      <c r="M180" s="34" t="s">
        <v>16</v>
      </c>
      <c r="N180" s="34">
        <v>138</v>
      </c>
      <c r="O180" s="34">
        <v>138</v>
      </c>
      <c r="P180" s="34">
        <v>138</v>
      </c>
      <c r="Q180" s="34">
        <v>138</v>
      </c>
      <c r="R180" s="34">
        <v>138</v>
      </c>
      <c r="S180" s="34">
        <v>138</v>
      </c>
      <c r="T180" s="34">
        <v>138</v>
      </c>
      <c r="U180" s="34">
        <v>138</v>
      </c>
      <c r="V180" s="34">
        <v>138</v>
      </c>
      <c r="W180" s="34">
        <v>138</v>
      </c>
      <c r="X180" s="34">
        <v>138</v>
      </c>
      <c r="Y180" s="34">
        <v>138</v>
      </c>
      <c r="Z180" s="34">
        <v>138</v>
      </c>
      <c r="AA180" s="34">
        <v>128</v>
      </c>
      <c r="AB180" s="34">
        <v>115</v>
      </c>
      <c r="AC180" s="34">
        <v>93.6</v>
      </c>
      <c r="AD180" s="34">
        <v>68.400000000000006</v>
      </c>
      <c r="AE180" s="34">
        <v>43.7</v>
      </c>
      <c r="AF180" s="34">
        <v>18.899999999999999</v>
      </c>
      <c r="AG180" s="34" t="s">
        <v>16</v>
      </c>
      <c r="AH180" s="34" t="s">
        <v>16</v>
      </c>
      <c r="AI180" s="34" t="s">
        <v>16</v>
      </c>
      <c r="AJ180" s="34" t="s">
        <v>16</v>
      </c>
      <c r="AK180" s="34" t="s">
        <v>16</v>
      </c>
      <c r="AL180" s="34" t="s">
        <v>16</v>
      </c>
      <c r="AM180" s="34" t="s">
        <v>16</v>
      </c>
      <c r="AN180" s="34" t="s">
        <v>16</v>
      </c>
      <c r="AO180" s="34" t="s">
        <v>16</v>
      </c>
      <c r="AP180" s="34" t="s">
        <v>16</v>
      </c>
      <c r="AQ180" s="34" t="s">
        <v>16</v>
      </c>
      <c r="AR180" s="34" t="s">
        <v>16</v>
      </c>
      <c r="AS180" s="34" t="s">
        <v>16</v>
      </c>
      <c r="AT180" s="34" t="s">
        <v>16</v>
      </c>
      <c r="AU180" s="55" t="s">
        <v>16</v>
      </c>
      <c r="AV180" s="78" t="s">
        <v>18</v>
      </c>
      <c r="AW180" s="63" t="s">
        <v>16</v>
      </c>
      <c r="AX180" s="34">
        <v>689</v>
      </c>
      <c r="AY180" s="34" t="s">
        <v>16</v>
      </c>
      <c r="AZ180" s="34" t="s">
        <v>16</v>
      </c>
      <c r="BA180" s="34">
        <v>689</v>
      </c>
      <c r="BB180" s="34" t="s">
        <v>16</v>
      </c>
      <c r="BC180" s="34">
        <v>689</v>
      </c>
      <c r="BD180" s="34" t="s">
        <v>16</v>
      </c>
      <c r="BE180" s="34">
        <v>689</v>
      </c>
      <c r="BF180" s="34" t="s">
        <v>16</v>
      </c>
      <c r="BG180" s="34">
        <v>689</v>
      </c>
      <c r="BH180" s="34" t="s">
        <v>16</v>
      </c>
      <c r="BI180" s="34">
        <v>689</v>
      </c>
      <c r="BJ180" s="34">
        <v>689</v>
      </c>
      <c r="BK180" s="34">
        <v>685</v>
      </c>
      <c r="BL180" s="34">
        <v>655</v>
      </c>
      <c r="BM180" s="34">
        <v>629</v>
      </c>
      <c r="BN180" s="34">
        <v>600</v>
      </c>
      <c r="BO180" s="34">
        <v>567</v>
      </c>
      <c r="BP180" s="34">
        <v>532</v>
      </c>
      <c r="BQ180" s="34">
        <v>495</v>
      </c>
      <c r="BR180" s="34">
        <v>454</v>
      </c>
      <c r="BS180" s="34" t="s">
        <v>16</v>
      </c>
      <c r="BT180" s="34" t="s">
        <v>16</v>
      </c>
      <c r="BU180" s="34" t="s">
        <v>16</v>
      </c>
      <c r="BV180" s="34" t="s">
        <v>16</v>
      </c>
      <c r="BW180" s="34" t="s">
        <v>16</v>
      </c>
      <c r="BX180" s="34" t="s">
        <v>16</v>
      </c>
      <c r="BY180" s="34" t="s">
        <v>16</v>
      </c>
      <c r="BZ180" s="34" t="s">
        <v>16</v>
      </c>
      <c r="CA180" s="34" t="s">
        <v>16</v>
      </c>
      <c r="CB180" s="34" t="s">
        <v>16</v>
      </c>
      <c r="CC180" s="34" t="s">
        <v>16</v>
      </c>
      <c r="CD180" s="34" t="s">
        <v>16</v>
      </c>
      <c r="CE180" s="34" t="s">
        <v>16</v>
      </c>
      <c r="CF180" s="34" t="s">
        <v>16</v>
      </c>
      <c r="CG180" s="44" t="s">
        <v>16</v>
      </c>
      <c r="CH180" s="63" t="s">
        <v>16</v>
      </c>
      <c r="CI180" s="34">
        <v>552</v>
      </c>
      <c r="CJ180" s="34" t="s">
        <v>16</v>
      </c>
      <c r="CK180" s="34">
        <v>532</v>
      </c>
      <c r="CL180" s="34">
        <v>511</v>
      </c>
      <c r="CM180" s="34">
        <v>501</v>
      </c>
      <c r="CN180" s="34">
        <v>494</v>
      </c>
      <c r="CO180" s="34">
        <v>488</v>
      </c>
      <c r="CP180" s="34">
        <v>482</v>
      </c>
      <c r="CQ180" s="34">
        <v>475</v>
      </c>
      <c r="CR180" s="34">
        <v>467</v>
      </c>
      <c r="CS180" s="34">
        <v>461</v>
      </c>
      <c r="CT180" s="34">
        <v>454</v>
      </c>
      <c r="CU180" s="34">
        <v>444</v>
      </c>
      <c r="CV180" s="34">
        <v>433</v>
      </c>
      <c r="CW180" s="34">
        <v>421</v>
      </c>
      <c r="CX180" s="34">
        <v>407</v>
      </c>
      <c r="CY180" s="34">
        <v>389</v>
      </c>
      <c r="CZ180" s="34">
        <v>369</v>
      </c>
      <c r="DA180" s="34">
        <v>344</v>
      </c>
      <c r="DB180" s="34">
        <v>317</v>
      </c>
      <c r="DC180" s="34">
        <v>285</v>
      </c>
      <c r="DD180" s="34" t="s">
        <v>16</v>
      </c>
      <c r="DE180" s="34" t="s">
        <v>16</v>
      </c>
      <c r="DF180" s="34" t="s">
        <v>16</v>
      </c>
      <c r="DG180" s="34" t="s">
        <v>16</v>
      </c>
      <c r="DH180" s="34" t="s">
        <v>16</v>
      </c>
      <c r="DI180" s="34" t="s">
        <v>16</v>
      </c>
      <c r="DJ180" s="34" t="s">
        <v>16</v>
      </c>
      <c r="DK180" s="34" t="s">
        <v>16</v>
      </c>
      <c r="DL180" s="34" t="s">
        <v>16</v>
      </c>
      <c r="DM180" s="34" t="s">
        <v>16</v>
      </c>
      <c r="DN180" s="34" t="s">
        <v>16</v>
      </c>
      <c r="DO180" s="34" t="s">
        <v>16</v>
      </c>
      <c r="DP180" s="34" t="s">
        <v>16</v>
      </c>
      <c r="DQ180" s="34" t="s">
        <v>16</v>
      </c>
      <c r="DR180" s="55" t="s">
        <v>16</v>
      </c>
    </row>
    <row r="181" spans="1:122">
      <c r="A181" s="57" t="s">
        <v>204</v>
      </c>
      <c r="B181" s="57"/>
      <c r="C181" s="53" t="s">
        <v>15</v>
      </c>
      <c r="D181" s="53" t="s">
        <v>16</v>
      </c>
      <c r="E181" s="89" t="s">
        <v>16</v>
      </c>
      <c r="F181" s="53" t="s">
        <v>16</v>
      </c>
      <c r="G181" s="53" t="s">
        <v>17</v>
      </c>
      <c r="H181" s="72">
        <v>760</v>
      </c>
      <c r="I181" s="72">
        <v>515</v>
      </c>
      <c r="J181" s="82" t="s">
        <v>17</v>
      </c>
      <c r="K181" s="59" t="s">
        <v>16</v>
      </c>
      <c r="L181" s="34" t="s">
        <v>16</v>
      </c>
      <c r="M181" s="34">
        <v>228</v>
      </c>
      <c r="N181" s="34" t="s">
        <v>16</v>
      </c>
      <c r="O181" s="34">
        <v>227</v>
      </c>
      <c r="P181" s="34" t="s">
        <v>16</v>
      </c>
      <c r="Q181" s="34">
        <v>215</v>
      </c>
      <c r="R181" s="34" t="s">
        <v>16</v>
      </c>
      <c r="S181" s="34">
        <v>208</v>
      </c>
      <c r="T181" s="34" t="s">
        <v>16</v>
      </c>
      <c r="U181" s="34">
        <v>205</v>
      </c>
      <c r="V181" s="34" t="s">
        <v>16</v>
      </c>
      <c r="W181" s="34">
        <v>203</v>
      </c>
      <c r="X181" s="34" t="s">
        <v>16</v>
      </c>
      <c r="Y181" s="34" t="s">
        <v>16</v>
      </c>
      <c r="Z181" s="34" t="s">
        <v>16</v>
      </c>
      <c r="AA181" s="34" t="s">
        <v>16</v>
      </c>
      <c r="AB181" s="34" t="s">
        <v>16</v>
      </c>
      <c r="AC181" s="34" t="s">
        <v>16</v>
      </c>
      <c r="AD181" s="34" t="s">
        <v>16</v>
      </c>
      <c r="AE181" s="34" t="s">
        <v>16</v>
      </c>
      <c r="AF181" s="34" t="s">
        <v>16</v>
      </c>
      <c r="AG181" s="34" t="s">
        <v>16</v>
      </c>
      <c r="AH181" s="34" t="s">
        <v>16</v>
      </c>
      <c r="AI181" s="34" t="s">
        <v>16</v>
      </c>
      <c r="AJ181" s="34" t="s">
        <v>16</v>
      </c>
      <c r="AK181" s="34" t="s">
        <v>16</v>
      </c>
      <c r="AL181" s="34" t="s">
        <v>16</v>
      </c>
      <c r="AM181" s="34" t="s">
        <v>16</v>
      </c>
      <c r="AN181" s="34" t="s">
        <v>16</v>
      </c>
      <c r="AO181" s="34" t="s">
        <v>16</v>
      </c>
      <c r="AP181" s="34" t="s">
        <v>16</v>
      </c>
      <c r="AQ181" s="34" t="s">
        <v>16</v>
      </c>
      <c r="AR181" s="34" t="s">
        <v>16</v>
      </c>
      <c r="AS181" s="34" t="s">
        <v>16</v>
      </c>
      <c r="AT181" s="34" t="s">
        <v>16</v>
      </c>
      <c r="AU181" s="55" t="s">
        <v>16</v>
      </c>
      <c r="AV181" s="57" t="s">
        <v>16</v>
      </c>
      <c r="AW181" s="59" t="s">
        <v>16</v>
      </c>
      <c r="AX181" s="34" t="s">
        <v>16</v>
      </c>
      <c r="AY181" s="34" t="s">
        <v>16</v>
      </c>
      <c r="AZ181" s="34" t="s">
        <v>16</v>
      </c>
      <c r="BA181" s="34" t="s">
        <v>16</v>
      </c>
      <c r="BB181" s="34" t="s">
        <v>16</v>
      </c>
      <c r="BC181" s="34" t="s">
        <v>16</v>
      </c>
      <c r="BD181" s="34" t="s">
        <v>16</v>
      </c>
      <c r="BE181" s="34" t="s">
        <v>16</v>
      </c>
      <c r="BF181" s="34" t="s">
        <v>16</v>
      </c>
      <c r="BG181" s="34" t="s">
        <v>16</v>
      </c>
      <c r="BH181" s="34" t="s">
        <v>16</v>
      </c>
      <c r="BI181" s="34" t="s">
        <v>16</v>
      </c>
      <c r="BJ181" s="34" t="s">
        <v>16</v>
      </c>
      <c r="BK181" s="34" t="s">
        <v>16</v>
      </c>
      <c r="BL181" s="34" t="s">
        <v>16</v>
      </c>
      <c r="BM181" s="34" t="s">
        <v>16</v>
      </c>
      <c r="BN181" s="34" t="s">
        <v>16</v>
      </c>
      <c r="BO181" s="34" t="s">
        <v>16</v>
      </c>
      <c r="BP181" s="34" t="s">
        <v>16</v>
      </c>
      <c r="BQ181" s="34" t="s">
        <v>16</v>
      </c>
      <c r="BR181" s="34" t="s">
        <v>16</v>
      </c>
      <c r="BS181" s="34" t="s">
        <v>16</v>
      </c>
      <c r="BT181" s="34" t="s">
        <v>16</v>
      </c>
      <c r="BU181" s="34" t="s">
        <v>16</v>
      </c>
      <c r="BV181" s="34" t="s">
        <v>16</v>
      </c>
      <c r="BW181" s="34" t="s">
        <v>16</v>
      </c>
      <c r="BX181" s="34" t="s">
        <v>16</v>
      </c>
      <c r="BY181" s="34" t="s">
        <v>16</v>
      </c>
      <c r="BZ181" s="34" t="s">
        <v>16</v>
      </c>
      <c r="CA181" s="34" t="s">
        <v>16</v>
      </c>
      <c r="CB181" s="34" t="s">
        <v>16</v>
      </c>
      <c r="CC181" s="34" t="s">
        <v>16</v>
      </c>
      <c r="CD181" s="34" t="s">
        <v>16</v>
      </c>
      <c r="CE181" s="34" t="s">
        <v>16</v>
      </c>
      <c r="CF181" s="34" t="s">
        <v>16</v>
      </c>
      <c r="CG181" s="44" t="s">
        <v>16</v>
      </c>
      <c r="CH181" s="63" t="s">
        <v>16</v>
      </c>
      <c r="CI181" s="34" t="s">
        <v>16</v>
      </c>
      <c r="CJ181" s="34" t="s">
        <v>16</v>
      </c>
      <c r="CK181" s="34" t="s">
        <v>16</v>
      </c>
      <c r="CL181" s="34" t="s">
        <v>16</v>
      </c>
      <c r="CM181" s="34" t="s">
        <v>16</v>
      </c>
      <c r="CN181" s="34" t="s">
        <v>16</v>
      </c>
      <c r="CO181" s="34" t="s">
        <v>16</v>
      </c>
      <c r="CP181" s="34" t="s">
        <v>16</v>
      </c>
      <c r="CQ181" s="34" t="s">
        <v>16</v>
      </c>
      <c r="CR181" s="34" t="s">
        <v>16</v>
      </c>
      <c r="CS181" s="34" t="s">
        <v>16</v>
      </c>
      <c r="CT181" s="34" t="s">
        <v>16</v>
      </c>
      <c r="CU181" s="34" t="s">
        <v>16</v>
      </c>
      <c r="CV181" s="34" t="s">
        <v>16</v>
      </c>
      <c r="CW181" s="34" t="s">
        <v>16</v>
      </c>
      <c r="CX181" s="34" t="s">
        <v>16</v>
      </c>
      <c r="CY181" s="34" t="s">
        <v>16</v>
      </c>
      <c r="CZ181" s="34" t="s">
        <v>16</v>
      </c>
      <c r="DA181" s="34" t="s">
        <v>16</v>
      </c>
      <c r="DB181" s="34" t="s">
        <v>16</v>
      </c>
      <c r="DC181" s="34" t="s">
        <v>16</v>
      </c>
      <c r="DD181" s="34" t="s">
        <v>16</v>
      </c>
      <c r="DE181" s="34" t="s">
        <v>16</v>
      </c>
      <c r="DF181" s="34" t="s">
        <v>16</v>
      </c>
      <c r="DG181" s="34" t="s">
        <v>16</v>
      </c>
      <c r="DH181" s="34" t="s">
        <v>16</v>
      </c>
      <c r="DI181" s="34" t="s">
        <v>16</v>
      </c>
      <c r="DJ181" s="34" t="s">
        <v>16</v>
      </c>
      <c r="DK181" s="34" t="s">
        <v>16</v>
      </c>
      <c r="DL181" s="34" t="s">
        <v>16</v>
      </c>
      <c r="DM181" s="34" t="s">
        <v>16</v>
      </c>
      <c r="DN181" s="34" t="s">
        <v>16</v>
      </c>
      <c r="DO181" s="34" t="s">
        <v>16</v>
      </c>
      <c r="DP181" s="34" t="s">
        <v>16</v>
      </c>
      <c r="DQ181" s="34" t="s">
        <v>16</v>
      </c>
      <c r="DR181" s="55" t="s">
        <v>16</v>
      </c>
    </row>
    <row r="182" spans="1:122">
      <c r="A182" s="57" t="s">
        <v>205</v>
      </c>
      <c r="B182" s="57"/>
      <c r="C182" s="53" t="s">
        <v>94</v>
      </c>
      <c r="D182" s="53" t="s">
        <v>16</v>
      </c>
      <c r="E182" s="89" t="s">
        <v>16</v>
      </c>
      <c r="F182" s="53" t="s">
        <v>16</v>
      </c>
      <c r="G182" s="53" t="s">
        <v>105</v>
      </c>
      <c r="H182" s="72">
        <v>1040</v>
      </c>
      <c r="I182" s="72">
        <v>940</v>
      </c>
      <c r="J182" s="53" t="s">
        <v>16</v>
      </c>
      <c r="K182" s="59" t="s">
        <v>16</v>
      </c>
      <c r="L182" s="54" t="s">
        <v>16</v>
      </c>
      <c r="M182" s="54" t="s">
        <v>16</v>
      </c>
      <c r="N182" s="54" t="s">
        <v>16</v>
      </c>
      <c r="O182" s="54" t="s">
        <v>16</v>
      </c>
      <c r="P182" s="54" t="s">
        <v>16</v>
      </c>
      <c r="Q182" s="54" t="s">
        <v>16</v>
      </c>
      <c r="R182" s="54" t="s">
        <v>16</v>
      </c>
      <c r="S182" s="54" t="s">
        <v>16</v>
      </c>
      <c r="T182" s="54" t="s">
        <v>16</v>
      </c>
      <c r="U182" s="54" t="s">
        <v>16</v>
      </c>
      <c r="V182" s="54" t="s">
        <v>16</v>
      </c>
      <c r="W182" s="54" t="s">
        <v>16</v>
      </c>
      <c r="X182" s="54" t="s">
        <v>16</v>
      </c>
      <c r="Y182" s="54" t="s">
        <v>16</v>
      </c>
      <c r="Z182" s="54" t="s">
        <v>16</v>
      </c>
      <c r="AA182" s="54" t="s">
        <v>16</v>
      </c>
      <c r="AB182" s="54" t="s">
        <v>16</v>
      </c>
      <c r="AC182" s="54" t="s">
        <v>16</v>
      </c>
      <c r="AD182" s="54" t="s">
        <v>16</v>
      </c>
      <c r="AE182" s="54" t="s">
        <v>16</v>
      </c>
      <c r="AF182" s="54" t="s">
        <v>16</v>
      </c>
      <c r="AG182" s="54" t="s">
        <v>16</v>
      </c>
      <c r="AH182" s="54" t="s">
        <v>16</v>
      </c>
      <c r="AI182" s="54" t="s">
        <v>16</v>
      </c>
      <c r="AJ182" s="54" t="s">
        <v>16</v>
      </c>
      <c r="AK182" s="54" t="s">
        <v>16</v>
      </c>
      <c r="AL182" s="54" t="s">
        <v>16</v>
      </c>
      <c r="AM182" s="54" t="s">
        <v>16</v>
      </c>
      <c r="AN182" s="54" t="s">
        <v>16</v>
      </c>
      <c r="AO182" s="54" t="s">
        <v>16</v>
      </c>
      <c r="AP182" s="54" t="s">
        <v>16</v>
      </c>
      <c r="AQ182" s="54" t="s">
        <v>16</v>
      </c>
      <c r="AR182" s="54" t="s">
        <v>16</v>
      </c>
      <c r="AS182" s="54" t="s">
        <v>16</v>
      </c>
      <c r="AT182" s="54" t="s">
        <v>16</v>
      </c>
      <c r="AU182" s="64" t="s">
        <v>16</v>
      </c>
      <c r="AV182" s="48" t="s">
        <v>105</v>
      </c>
      <c r="AW182" s="59" t="s">
        <v>16</v>
      </c>
      <c r="AX182" s="54" t="s">
        <v>16</v>
      </c>
      <c r="AY182" s="54" t="s">
        <v>16</v>
      </c>
      <c r="AZ182" s="54" t="s">
        <v>16</v>
      </c>
      <c r="BA182" s="54" t="s">
        <v>16</v>
      </c>
      <c r="BB182" s="54" t="s">
        <v>16</v>
      </c>
      <c r="BC182" s="54" t="s">
        <v>16</v>
      </c>
      <c r="BD182" s="54" t="s">
        <v>16</v>
      </c>
      <c r="BE182" s="54" t="s">
        <v>16</v>
      </c>
      <c r="BF182" s="54" t="s">
        <v>16</v>
      </c>
      <c r="BG182" s="54" t="s">
        <v>16</v>
      </c>
      <c r="BH182" s="54" t="s">
        <v>16</v>
      </c>
      <c r="BI182" s="54" t="s">
        <v>16</v>
      </c>
      <c r="BJ182" s="54" t="s">
        <v>16</v>
      </c>
      <c r="BK182" s="54" t="s">
        <v>16</v>
      </c>
      <c r="BL182" s="54" t="s">
        <v>16</v>
      </c>
      <c r="BM182" s="54" t="s">
        <v>16</v>
      </c>
      <c r="BN182" s="54" t="s">
        <v>16</v>
      </c>
      <c r="BO182" s="54" t="s">
        <v>16</v>
      </c>
      <c r="BP182" s="54" t="s">
        <v>16</v>
      </c>
      <c r="BQ182" s="54" t="s">
        <v>16</v>
      </c>
      <c r="BR182" s="54" t="s">
        <v>16</v>
      </c>
      <c r="BS182" s="54" t="s">
        <v>16</v>
      </c>
      <c r="BT182" s="54" t="s">
        <v>16</v>
      </c>
      <c r="BU182" s="54" t="s">
        <v>16</v>
      </c>
      <c r="BV182" s="54" t="s">
        <v>16</v>
      </c>
      <c r="BW182" s="54" t="s">
        <v>16</v>
      </c>
      <c r="BX182" s="54" t="s">
        <v>16</v>
      </c>
      <c r="BY182" s="54" t="s">
        <v>16</v>
      </c>
      <c r="BZ182" s="54" t="s">
        <v>16</v>
      </c>
      <c r="CA182" s="54" t="s">
        <v>16</v>
      </c>
      <c r="CB182" s="54" t="s">
        <v>16</v>
      </c>
      <c r="CC182" s="54" t="s">
        <v>16</v>
      </c>
      <c r="CD182" s="54" t="s">
        <v>16</v>
      </c>
      <c r="CE182" s="54" t="s">
        <v>16</v>
      </c>
      <c r="CF182" s="54" t="s">
        <v>16</v>
      </c>
      <c r="CG182" s="139" t="s">
        <v>16</v>
      </c>
      <c r="CH182" s="59">
        <v>875</v>
      </c>
      <c r="CI182" s="54">
        <v>875</v>
      </c>
      <c r="CJ182" s="54">
        <v>875</v>
      </c>
      <c r="CK182" s="54">
        <v>875</v>
      </c>
      <c r="CL182" s="54">
        <v>875</v>
      </c>
      <c r="CM182" s="54">
        <v>790</v>
      </c>
      <c r="CN182" s="54">
        <v>790</v>
      </c>
      <c r="CO182" s="54">
        <v>790</v>
      </c>
      <c r="CP182" s="54">
        <v>790</v>
      </c>
      <c r="CQ182" s="54">
        <v>745</v>
      </c>
      <c r="CR182" s="54">
        <v>745</v>
      </c>
      <c r="CS182" s="54">
        <v>705</v>
      </c>
      <c r="CT182" s="54">
        <v>705</v>
      </c>
      <c r="CU182" s="54" t="s">
        <v>16</v>
      </c>
      <c r="CV182" s="54" t="s">
        <v>16</v>
      </c>
      <c r="CW182" s="54" t="s">
        <v>16</v>
      </c>
      <c r="CX182" s="54" t="s">
        <v>16</v>
      </c>
      <c r="CY182" s="54" t="s">
        <v>16</v>
      </c>
      <c r="CZ182" s="54" t="s">
        <v>16</v>
      </c>
      <c r="DA182" s="54" t="s">
        <v>16</v>
      </c>
      <c r="DB182" s="54" t="s">
        <v>16</v>
      </c>
      <c r="DC182" s="54" t="s">
        <v>16</v>
      </c>
      <c r="DD182" s="54" t="s">
        <v>16</v>
      </c>
      <c r="DE182" s="54" t="s">
        <v>16</v>
      </c>
      <c r="DF182" s="54" t="s">
        <v>16</v>
      </c>
      <c r="DG182" s="54" t="s">
        <v>16</v>
      </c>
      <c r="DH182" s="54" t="s">
        <v>16</v>
      </c>
      <c r="DI182" s="54" t="s">
        <v>16</v>
      </c>
      <c r="DJ182" s="54" t="s">
        <v>16</v>
      </c>
      <c r="DK182" s="54" t="s">
        <v>16</v>
      </c>
      <c r="DL182" s="54" t="s">
        <v>16</v>
      </c>
      <c r="DM182" s="54" t="s">
        <v>16</v>
      </c>
      <c r="DN182" s="54" t="s">
        <v>16</v>
      </c>
      <c r="DO182" s="54" t="s">
        <v>16</v>
      </c>
      <c r="DP182" s="54" t="s">
        <v>16</v>
      </c>
      <c r="DQ182" s="54" t="s">
        <v>16</v>
      </c>
      <c r="DR182" s="64" t="s">
        <v>16</v>
      </c>
    </row>
    <row r="183" spans="1:122">
      <c r="A183" s="147" t="s">
        <v>206</v>
      </c>
      <c r="B183" s="147"/>
      <c r="C183" s="53" t="s">
        <v>15</v>
      </c>
      <c r="D183" s="53" t="s">
        <v>16</v>
      </c>
      <c r="E183" s="89" t="s">
        <v>16</v>
      </c>
      <c r="F183" s="53" t="s">
        <v>16</v>
      </c>
      <c r="G183" s="53" t="s">
        <v>105</v>
      </c>
      <c r="H183" s="72">
        <v>353</v>
      </c>
      <c r="I183" s="72">
        <v>147</v>
      </c>
      <c r="J183" s="82" t="s">
        <v>63</v>
      </c>
      <c r="K183" s="59">
        <v>78.400000000000006</v>
      </c>
      <c r="L183" s="34">
        <v>78.400000000000006</v>
      </c>
      <c r="M183" s="34">
        <v>78.400000000000006</v>
      </c>
      <c r="N183" s="34">
        <v>78.400000000000006</v>
      </c>
      <c r="O183" s="34">
        <v>78.400000000000006</v>
      </c>
      <c r="P183" s="34">
        <v>78.400000000000006</v>
      </c>
      <c r="Q183" s="34">
        <v>78.400000000000006</v>
      </c>
      <c r="R183" s="34">
        <v>78.400000000000006</v>
      </c>
      <c r="S183" s="34">
        <v>36.26</v>
      </c>
      <c r="T183" s="34" t="s">
        <v>16</v>
      </c>
      <c r="U183" s="34" t="s">
        <v>16</v>
      </c>
      <c r="V183" s="34" t="s">
        <v>16</v>
      </c>
      <c r="W183" s="34" t="s">
        <v>16</v>
      </c>
      <c r="X183" s="34" t="s">
        <v>16</v>
      </c>
      <c r="Y183" s="34" t="s">
        <v>16</v>
      </c>
      <c r="Z183" s="34" t="s">
        <v>16</v>
      </c>
      <c r="AA183" s="34" t="s">
        <v>16</v>
      </c>
      <c r="AB183" s="34" t="s">
        <v>16</v>
      </c>
      <c r="AC183" s="34" t="s">
        <v>16</v>
      </c>
      <c r="AD183" s="34" t="s">
        <v>16</v>
      </c>
      <c r="AE183" s="34" t="s">
        <v>16</v>
      </c>
      <c r="AF183" s="34" t="s">
        <v>16</v>
      </c>
      <c r="AG183" s="34" t="s">
        <v>16</v>
      </c>
      <c r="AH183" s="34" t="s">
        <v>16</v>
      </c>
      <c r="AI183" s="34" t="s">
        <v>16</v>
      </c>
      <c r="AJ183" s="34" t="s">
        <v>16</v>
      </c>
      <c r="AK183" s="34" t="s">
        <v>16</v>
      </c>
      <c r="AL183" s="34" t="s">
        <v>16</v>
      </c>
      <c r="AM183" s="34" t="s">
        <v>16</v>
      </c>
      <c r="AN183" s="34" t="s">
        <v>16</v>
      </c>
      <c r="AO183" s="34" t="s">
        <v>16</v>
      </c>
      <c r="AP183" s="34" t="s">
        <v>16</v>
      </c>
      <c r="AQ183" s="34" t="s">
        <v>16</v>
      </c>
      <c r="AR183" s="34" t="s">
        <v>16</v>
      </c>
      <c r="AS183" s="34" t="s">
        <v>16</v>
      </c>
      <c r="AT183" s="34" t="s">
        <v>16</v>
      </c>
      <c r="AU183" s="55" t="s">
        <v>16</v>
      </c>
      <c r="AV183" s="57"/>
      <c r="AW183" s="59"/>
      <c r="AX183" s="34"/>
      <c r="AY183" s="34"/>
      <c r="AZ183" s="34"/>
      <c r="BA183" s="34"/>
      <c r="BB183" s="34"/>
      <c r="BC183" s="34"/>
      <c r="BD183" s="34"/>
      <c r="BE183" s="34"/>
      <c r="BF183" s="34"/>
      <c r="BG183" s="34"/>
      <c r="BH183" s="34"/>
      <c r="BI183" s="34"/>
      <c r="BJ183" s="34"/>
      <c r="BK183" s="34"/>
      <c r="BL183" s="34"/>
      <c r="BM183" s="34"/>
      <c r="BN183" s="34"/>
      <c r="BO183" s="34"/>
      <c r="BP183" s="34"/>
      <c r="BQ183" s="34"/>
      <c r="BR183" s="34"/>
      <c r="BS183" s="34"/>
      <c r="BT183" s="34"/>
      <c r="BU183" s="34"/>
      <c r="BV183" s="34"/>
      <c r="BW183" s="34"/>
      <c r="BX183" s="34"/>
      <c r="BY183" s="34"/>
      <c r="BZ183" s="34"/>
      <c r="CA183" s="34"/>
      <c r="CB183" s="34"/>
      <c r="CC183" s="34"/>
      <c r="CD183" s="34"/>
      <c r="CE183" s="34"/>
      <c r="CF183" s="34"/>
      <c r="CG183" s="44"/>
      <c r="CH183" s="59"/>
      <c r="CI183" s="34"/>
      <c r="CJ183" s="34"/>
      <c r="CK183" s="34"/>
      <c r="CL183" s="34"/>
      <c r="CM183" s="34"/>
      <c r="CN183" s="34"/>
      <c r="CO183" s="34"/>
      <c r="CP183" s="34"/>
      <c r="CQ183" s="34"/>
      <c r="CR183" s="34"/>
      <c r="CS183" s="34"/>
      <c r="CT183" s="34"/>
      <c r="CU183" s="34"/>
      <c r="CV183" s="34"/>
      <c r="CW183" s="34"/>
      <c r="CX183" s="34"/>
      <c r="CY183" s="34"/>
      <c r="CZ183" s="34"/>
      <c r="DA183" s="34"/>
      <c r="DB183" s="34"/>
      <c r="DC183" s="34"/>
      <c r="DD183" s="34"/>
      <c r="DE183" s="34"/>
      <c r="DF183" s="34"/>
      <c r="DG183" s="34"/>
      <c r="DH183" s="34"/>
      <c r="DI183" s="34"/>
      <c r="DJ183" s="34"/>
      <c r="DK183" s="34"/>
      <c r="DL183" s="34"/>
      <c r="DM183" s="34"/>
      <c r="DN183" s="34"/>
      <c r="DO183" s="34"/>
      <c r="DP183" s="34"/>
      <c r="DQ183" s="34"/>
      <c r="DR183" s="55"/>
    </row>
    <row r="184" spans="1:122">
      <c r="A184" s="57" t="s">
        <v>207</v>
      </c>
      <c r="B184" s="57"/>
      <c r="C184" s="53" t="s">
        <v>94</v>
      </c>
      <c r="D184" s="53">
        <v>100</v>
      </c>
      <c r="E184" s="89">
        <v>160</v>
      </c>
      <c r="F184" s="53" t="s">
        <v>16</v>
      </c>
      <c r="G184" s="53" t="s">
        <v>45</v>
      </c>
      <c r="H184" s="72">
        <v>600</v>
      </c>
      <c r="I184" s="72">
        <v>420</v>
      </c>
      <c r="J184" s="53" t="s">
        <v>16</v>
      </c>
      <c r="K184" s="59" t="s">
        <v>16</v>
      </c>
      <c r="L184" s="34" t="s">
        <v>16</v>
      </c>
      <c r="M184" s="34" t="s">
        <v>16</v>
      </c>
      <c r="N184" s="34" t="s">
        <v>16</v>
      </c>
      <c r="O184" s="34" t="s">
        <v>16</v>
      </c>
      <c r="P184" s="34" t="s">
        <v>16</v>
      </c>
      <c r="Q184" s="34" t="s">
        <v>16</v>
      </c>
      <c r="R184" s="34" t="s">
        <v>16</v>
      </c>
      <c r="S184" s="34" t="s">
        <v>16</v>
      </c>
      <c r="T184" s="34" t="s">
        <v>16</v>
      </c>
      <c r="U184" s="34" t="s">
        <v>16</v>
      </c>
      <c r="V184" s="34" t="s">
        <v>16</v>
      </c>
      <c r="W184" s="34" t="s">
        <v>16</v>
      </c>
      <c r="X184" s="34" t="s">
        <v>16</v>
      </c>
      <c r="Y184" s="34" t="s">
        <v>16</v>
      </c>
      <c r="Z184" s="34" t="s">
        <v>16</v>
      </c>
      <c r="AA184" s="34" t="s">
        <v>16</v>
      </c>
      <c r="AB184" s="34" t="s">
        <v>16</v>
      </c>
      <c r="AC184" s="34" t="s">
        <v>16</v>
      </c>
      <c r="AD184" s="34" t="s">
        <v>16</v>
      </c>
      <c r="AE184" s="34" t="s">
        <v>16</v>
      </c>
      <c r="AF184" s="34" t="s">
        <v>16</v>
      </c>
      <c r="AG184" s="34" t="s">
        <v>16</v>
      </c>
      <c r="AH184" s="34" t="s">
        <v>16</v>
      </c>
      <c r="AI184" s="34" t="s">
        <v>16</v>
      </c>
      <c r="AJ184" s="34" t="s">
        <v>16</v>
      </c>
      <c r="AK184" s="34" t="s">
        <v>16</v>
      </c>
      <c r="AL184" s="34" t="s">
        <v>16</v>
      </c>
      <c r="AM184" s="34" t="s">
        <v>16</v>
      </c>
      <c r="AN184" s="34" t="s">
        <v>16</v>
      </c>
      <c r="AO184" s="34" t="s">
        <v>16</v>
      </c>
      <c r="AP184" s="34" t="s">
        <v>16</v>
      </c>
      <c r="AQ184" s="34" t="s">
        <v>16</v>
      </c>
      <c r="AR184" s="34" t="s">
        <v>16</v>
      </c>
      <c r="AS184" s="34" t="s">
        <v>16</v>
      </c>
      <c r="AT184" s="34" t="s">
        <v>16</v>
      </c>
      <c r="AU184" s="55" t="s">
        <v>16</v>
      </c>
      <c r="AV184" s="57" t="s">
        <v>16</v>
      </c>
      <c r="AW184" s="59" t="s">
        <v>16</v>
      </c>
      <c r="AX184" s="34" t="s">
        <v>16</v>
      </c>
      <c r="AY184" s="34" t="s">
        <v>16</v>
      </c>
      <c r="AZ184" s="34" t="s">
        <v>16</v>
      </c>
      <c r="BA184" s="34" t="s">
        <v>16</v>
      </c>
      <c r="BB184" s="34" t="s">
        <v>16</v>
      </c>
      <c r="BC184" s="34" t="s">
        <v>16</v>
      </c>
      <c r="BD184" s="34" t="s">
        <v>16</v>
      </c>
      <c r="BE184" s="34" t="s">
        <v>16</v>
      </c>
      <c r="BF184" s="34" t="s">
        <v>16</v>
      </c>
      <c r="BG184" s="34" t="s">
        <v>16</v>
      </c>
      <c r="BH184" s="34" t="s">
        <v>16</v>
      </c>
      <c r="BI184" s="34" t="s">
        <v>16</v>
      </c>
      <c r="BJ184" s="34" t="s">
        <v>16</v>
      </c>
      <c r="BK184" s="34" t="s">
        <v>16</v>
      </c>
      <c r="BL184" s="34" t="s">
        <v>16</v>
      </c>
      <c r="BM184" s="34" t="s">
        <v>16</v>
      </c>
      <c r="BN184" s="34" t="s">
        <v>16</v>
      </c>
      <c r="BO184" s="34" t="s">
        <v>16</v>
      </c>
      <c r="BP184" s="34" t="s">
        <v>16</v>
      </c>
      <c r="BQ184" s="34" t="s">
        <v>16</v>
      </c>
      <c r="BR184" s="34" t="s">
        <v>16</v>
      </c>
      <c r="BS184" s="34" t="s">
        <v>16</v>
      </c>
      <c r="BT184" s="34" t="s">
        <v>16</v>
      </c>
      <c r="BU184" s="34" t="s">
        <v>16</v>
      </c>
      <c r="BV184" s="34" t="s">
        <v>16</v>
      </c>
      <c r="BW184" s="34" t="s">
        <v>16</v>
      </c>
      <c r="BX184" s="34" t="s">
        <v>16</v>
      </c>
      <c r="BY184" s="34" t="s">
        <v>16</v>
      </c>
      <c r="BZ184" s="34" t="s">
        <v>16</v>
      </c>
      <c r="CA184" s="34" t="s">
        <v>16</v>
      </c>
      <c r="CB184" s="34" t="s">
        <v>16</v>
      </c>
      <c r="CC184" s="34" t="s">
        <v>16</v>
      </c>
      <c r="CD184" s="34" t="s">
        <v>16</v>
      </c>
      <c r="CE184" s="34" t="s">
        <v>16</v>
      </c>
      <c r="CF184" s="34" t="s">
        <v>16</v>
      </c>
      <c r="CG184" s="44" t="s">
        <v>16</v>
      </c>
      <c r="CH184" s="59" t="s">
        <v>16</v>
      </c>
      <c r="CI184" s="34" t="s">
        <v>16</v>
      </c>
      <c r="CJ184" s="34" t="s">
        <v>16</v>
      </c>
      <c r="CK184" s="34" t="s">
        <v>16</v>
      </c>
      <c r="CL184" s="34" t="s">
        <v>16</v>
      </c>
      <c r="CM184" s="34" t="s">
        <v>16</v>
      </c>
      <c r="CN184" s="34" t="s">
        <v>16</v>
      </c>
      <c r="CO184" s="34" t="s">
        <v>16</v>
      </c>
      <c r="CP184" s="34">
        <v>282</v>
      </c>
      <c r="CQ184" s="34" t="s">
        <v>16</v>
      </c>
      <c r="CR184" s="34" t="s">
        <v>16</v>
      </c>
      <c r="CS184" s="34" t="s">
        <v>16</v>
      </c>
      <c r="CT184" s="34">
        <v>372</v>
      </c>
      <c r="CU184" s="34" t="s">
        <v>16</v>
      </c>
      <c r="CV184" s="34">
        <v>344</v>
      </c>
      <c r="CW184" s="34" t="s">
        <v>16</v>
      </c>
      <c r="CX184" s="34">
        <v>324</v>
      </c>
      <c r="CY184" s="34" t="s">
        <v>16</v>
      </c>
      <c r="CZ184" s="34">
        <v>294</v>
      </c>
      <c r="DA184" s="34" t="s">
        <v>16</v>
      </c>
      <c r="DB184" s="34">
        <v>265</v>
      </c>
      <c r="DC184" s="34" t="s">
        <v>16</v>
      </c>
      <c r="DD184" s="34">
        <v>226</v>
      </c>
      <c r="DE184" s="34" t="s">
        <v>16</v>
      </c>
      <c r="DF184" s="34" t="s">
        <v>16</v>
      </c>
      <c r="DG184" s="34" t="s">
        <v>16</v>
      </c>
      <c r="DH184" s="34" t="s">
        <v>16</v>
      </c>
      <c r="DI184" s="34" t="s">
        <v>16</v>
      </c>
      <c r="DJ184" s="34" t="s">
        <v>16</v>
      </c>
      <c r="DK184" s="34" t="s">
        <v>16</v>
      </c>
      <c r="DL184" s="34" t="s">
        <v>16</v>
      </c>
      <c r="DM184" s="34" t="s">
        <v>16</v>
      </c>
      <c r="DN184" s="34" t="s">
        <v>16</v>
      </c>
      <c r="DO184" s="34" t="s">
        <v>16</v>
      </c>
      <c r="DP184" s="34" t="s">
        <v>16</v>
      </c>
      <c r="DQ184" s="34" t="s">
        <v>16</v>
      </c>
      <c r="DR184" s="55" t="s">
        <v>16</v>
      </c>
    </row>
    <row r="185" spans="1:122">
      <c r="A185" s="57" t="s">
        <v>207</v>
      </c>
      <c r="B185" s="57"/>
      <c r="C185" s="53" t="str">
        <f>C184</f>
        <v>bolting</v>
      </c>
      <c r="D185" s="53" t="s">
        <v>16</v>
      </c>
      <c r="E185" s="89">
        <v>100</v>
      </c>
      <c r="F185" s="53" t="str">
        <f>F184</f>
        <v>-</v>
      </c>
      <c r="G185" s="53" t="str">
        <f>G184</f>
        <v>DIN</v>
      </c>
      <c r="H185" s="72">
        <v>600</v>
      </c>
      <c r="I185" s="72">
        <v>440</v>
      </c>
      <c r="J185" s="53" t="str">
        <f>J184</f>
        <v>-</v>
      </c>
      <c r="K185" s="59" t="s">
        <v>16</v>
      </c>
      <c r="L185" s="34" t="s">
        <v>16</v>
      </c>
      <c r="M185" s="34" t="s">
        <v>16</v>
      </c>
      <c r="N185" s="34" t="s">
        <v>16</v>
      </c>
      <c r="O185" s="34" t="s">
        <v>16</v>
      </c>
      <c r="P185" s="34" t="s">
        <v>16</v>
      </c>
      <c r="Q185" s="34" t="s">
        <v>16</v>
      </c>
      <c r="R185" s="34" t="s">
        <v>16</v>
      </c>
      <c r="S185" s="34" t="s">
        <v>16</v>
      </c>
      <c r="T185" s="34" t="s">
        <v>16</v>
      </c>
      <c r="U185" s="34" t="s">
        <v>16</v>
      </c>
      <c r="V185" s="34" t="s">
        <v>16</v>
      </c>
      <c r="W185" s="34" t="s">
        <v>16</v>
      </c>
      <c r="X185" s="34" t="s">
        <v>16</v>
      </c>
      <c r="Y185" s="34" t="s">
        <v>16</v>
      </c>
      <c r="Z185" s="34" t="s">
        <v>16</v>
      </c>
      <c r="AA185" s="34" t="s">
        <v>16</v>
      </c>
      <c r="AB185" s="34" t="s">
        <v>16</v>
      </c>
      <c r="AC185" s="34" t="s">
        <v>16</v>
      </c>
      <c r="AD185" s="34" t="s">
        <v>16</v>
      </c>
      <c r="AE185" s="34" t="s">
        <v>16</v>
      </c>
      <c r="AF185" s="34" t="s">
        <v>16</v>
      </c>
      <c r="AG185" s="34" t="s">
        <v>16</v>
      </c>
      <c r="AH185" s="34" t="s">
        <v>16</v>
      </c>
      <c r="AI185" s="34" t="s">
        <v>16</v>
      </c>
      <c r="AJ185" s="34" t="s">
        <v>16</v>
      </c>
      <c r="AK185" s="34" t="s">
        <v>16</v>
      </c>
      <c r="AL185" s="34" t="s">
        <v>16</v>
      </c>
      <c r="AM185" s="34" t="s">
        <v>16</v>
      </c>
      <c r="AN185" s="34" t="s">
        <v>16</v>
      </c>
      <c r="AO185" s="34" t="s">
        <v>16</v>
      </c>
      <c r="AP185" s="34" t="s">
        <v>16</v>
      </c>
      <c r="AQ185" s="34" t="s">
        <v>16</v>
      </c>
      <c r="AR185" s="34" t="s">
        <v>16</v>
      </c>
      <c r="AS185" s="34" t="s">
        <v>16</v>
      </c>
      <c r="AT185" s="34" t="s">
        <v>16</v>
      </c>
      <c r="AU185" s="55" t="s">
        <v>16</v>
      </c>
      <c r="AV185" s="57" t="s">
        <v>16</v>
      </c>
      <c r="AW185" s="59" t="s">
        <v>16</v>
      </c>
      <c r="AX185" s="34" t="s">
        <v>16</v>
      </c>
      <c r="AY185" s="34" t="s">
        <v>16</v>
      </c>
      <c r="AZ185" s="34" t="s">
        <v>16</v>
      </c>
      <c r="BA185" s="34" t="s">
        <v>16</v>
      </c>
      <c r="BB185" s="34" t="s">
        <v>16</v>
      </c>
      <c r="BC185" s="34" t="s">
        <v>16</v>
      </c>
      <c r="BD185" s="34" t="s">
        <v>16</v>
      </c>
      <c r="BE185" s="34" t="s">
        <v>16</v>
      </c>
      <c r="BF185" s="34" t="s">
        <v>16</v>
      </c>
      <c r="BG185" s="34" t="s">
        <v>16</v>
      </c>
      <c r="BH185" s="34" t="s">
        <v>16</v>
      </c>
      <c r="BI185" s="34" t="s">
        <v>16</v>
      </c>
      <c r="BJ185" s="34" t="s">
        <v>16</v>
      </c>
      <c r="BK185" s="34" t="s">
        <v>16</v>
      </c>
      <c r="BL185" s="34" t="s">
        <v>16</v>
      </c>
      <c r="BM185" s="34" t="s">
        <v>16</v>
      </c>
      <c r="BN185" s="34" t="s">
        <v>16</v>
      </c>
      <c r="BO185" s="34" t="s">
        <v>16</v>
      </c>
      <c r="BP185" s="34" t="s">
        <v>16</v>
      </c>
      <c r="BQ185" s="34" t="s">
        <v>16</v>
      </c>
      <c r="BR185" s="34" t="s">
        <v>16</v>
      </c>
      <c r="BS185" s="34" t="s">
        <v>16</v>
      </c>
      <c r="BT185" s="34" t="s">
        <v>16</v>
      </c>
      <c r="BU185" s="34" t="s">
        <v>16</v>
      </c>
      <c r="BV185" s="34" t="s">
        <v>16</v>
      </c>
      <c r="BW185" s="34" t="s">
        <v>16</v>
      </c>
      <c r="BX185" s="34" t="s">
        <v>16</v>
      </c>
      <c r="BY185" s="34" t="s">
        <v>16</v>
      </c>
      <c r="BZ185" s="34" t="s">
        <v>16</v>
      </c>
      <c r="CA185" s="34" t="s">
        <v>16</v>
      </c>
      <c r="CB185" s="34" t="s">
        <v>16</v>
      </c>
      <c r="CC185" s="34" t="s">
        <v>16</v>
      </c>
      <c r="CD185" s="34" t="s">
        <v>16</v>
      </c>
      <c r="CE185" s="34" t="s">
        <v>16</v>
      </c>
      <c r="CF185" s="34" t="s">
        <v>16</v>
      </c>
      <c r="CG185" s="44" t="s">
        <v>16</v>
      </c>
      <c r="CH185" s="59" t="s">
        <v>16</v>
      </c>
      <c r="CI185" s="34" t="s">
        <v>16</v>
      </c>
      <c r="CJ185" s="34" t="s">
        <v>16</v>
      </c>
      <c r="CK185" s="34" t="s">
        <v>16</v>
      </c>
      <c r="CL185" s="34" t="s">
        <v>16</v>
      </c>
      <c r="CM185" s="34" t="s">
        <v>16</v>
      </c>
      <c r="CN185" s="34" t="s">
        <v>16</v>
      </c>
      <c r="CO185" s="34" t="s">
        <v>16</v>
      </c>
      <c r="CP185" s="34">
        <v>412</v>
      </c>
      <c r="CQ185" s="34" t="s">
        <v>16</v>
      </c>
      <c r="CR185" s="34" t="s">
        <v>16</v>
      </c>
      <c r="CS185" s="34" t="s">
        <v>16</v>
      </c>
      <c r="CT185" s="34">
        <v>392</v>
      </c>
      <c r="CU185" s="34" t="s">
        <v>16</v>
      </c>
      <c r="CV185" s="34">
        <v>363</v>
      </c>
      <c r="CW185" s="34" t="s">
        <v>16</v>
      </c>
      <c r="CX185" s="34">
        <v>333</v>
      </c>
      <c r="CY185" s="34" t="s">
        <v>16</v>
      </c>
      <c r="CZ185" s="34">
        <v>304</v>
      </c>
      <c r="DA185" s="34" t="s">
        <v>16</v>
      </c>
      <c r="DB185" s="34">
        <v>275</v>
      </c>
      <c r="DC185" s="34" t="s">
        <v>16</v>
      </c>
      <c r="DD185" s="34">
        <v>235</v>
      </c>
      <c r="DE185" s="34" t="s">
        <v>16</v>
      </c>
      <c r="DF185" s="34" t="s">
        <v>16</v>
      </c>
      <c r="DG185" s="34" t="s">
        <v>16</v>
      </c>
      <c r="DH185" s="34" t="s">
        <v>16</v>
      </c>
      <c r="DI185" s="34" t="s">
        <v>16</v>
      </c>
      <c r="DJ185" s="34" t="s">
        <v>16</v>
      </c>
      <c r="DK185" s="34" t="s">
        <v>16</v>
      </c>
      <c r="DL185" s="34" t="s">
        <v>16</v>
      </c>
      <c r="DM185" s="34" t="s">
        <v>16</v>
      </c>
      <c r="DN185" s="34" t="s">
        <v>16</v>
      </c>
      <c r="DO185" s="34" t="s">
        <v>16</v>
      </c>
      <c r="DP185" s="34" t="s">
        <v>16</v>
      </c>
      <c r="DQ185" s="34" t="s">
        <v>16</v>
      </c>
      <c r="DR185" s="55" t="s">
        <v>16</v>
      </c>
    </row>
    <row r="186" spans="1:122" ht="30">
      <c r="A186" s="48" t="s">
        <v>208</v>
      </c>
      <c r="B186" s="48"/>
      <c r="C186" s="53" t="s">
        <v>16</v>
      </c>
      <c r="D186" s="53" t="s">
        <v>16</v>
      </c>
      <c r="E186" s="91" t="s">
        <v>209</v>
      </c>
      <c r="F186" s="53" t="s">
        <v>16</v>
      </c>
      <c r="G186" s="53" t="s">
        <v>16</v>
      </c>
      <c r="H186" s="72">
        <v>685</v>
      </c>
      <c r="I186" s="72">
        <v>271</v>
      </c>
      <c r="J186" s="53" t="s">
        <v>16</v>
      </c>
      <c r="K186" s="59" t="s">
        <v>16</v>
      </c>
      <c r="L186" s="54" t="s">
        <v>16</v>
      </c>
      <c r="M186" s="54" t="s">
        <v>16</v>
      </c>
      <c r="N186" s="54" t="s">
        <v>16</v>
      </c>
      <c r="O186" s="54" t="s">
        <v>16</v>
      </c>
      <c r="P186" s="54" t="s">
        <v>16</v>
      </c>
      <c r="Q186" s="54" t="s">
        <v>16</v>
      </c>
      <c r="R186" s="54" t="s">
        <v>16</v>
      </c>
      <c r="S186" s="54" t="s">
        <v>16</v>
      </c>
      <c r="T186" s="54" t="s">
        <v>16</v>
      </c>
      <c r="U186" s="54" t="s">
        <v>16</v>
      </c>
      <c r="V186" s="54" t="s">
        <v>16</v>
      </c>
      <c r="W186" s="54" t="s">
        <v>16</v>
      </c>
      <c r="X186" s="54" t="s">
        <v>16</v>
      </c>
      <c r="Y186" s="54" t="s">
        <v>16</v>
      </c>
      <c r="Z186" s="54" t="s">
        <v>16</v>
      </c>
      <c r="AA186" s="54" t="s">
        <v>16</v>
      </c>
      <c r="AB186" s="54" t="s">
        <v>16</v>
      </c>
      <c r="AC186" s="54" t="s">
        <v>16</v>
      </c>
      <c r="AD186" s="54" t="s">
        <v>16</v>
      </c>
      <c r="AE186" s="54" t="s">
        <v>16</v>
      </c>
      <c r="AF186" s="54" t="s">
        <v>16</v>
      </c>
      <c r="AG186" s="54" t="s">
        <v>16</v>
      </c>
      <c r="AH186" s="54" t="s">
        <v>16</v>
      </c>
      <c r="AI186" s="54" t="s">
        <v>16</v>
      </c>
      <c r="AJ186" s="54" t="s">
        <v>16</v>
      </c>
      <c r="AK186" s="54" t="s">
        <v>16</v>
      </c>
      <c r="AL186" s="54" t="s">
        <v>16</v>
      </c>
      <c r="AM186" s="54" t="s">
        <v>16</v>
      </c>
      <c r="AN186" s="54" t="s">
        <v>16</v>
      </c>
      <c r="AO186" s="54" t="s">
        <v>16</v>
      </c>
      <c r="AP186" s="54" t="s">
        <v>16</v>
      </c>
      <c r="AQ186" s="54" t="s">
        <v>16</v>
      </c>
      <c r="AR186" s="54" t="s">
        <v>16</v>
      </c>
      <c r="AS186" s="54" t="s">
        <v>16</v>
      </c>
      <c r="AT186" s="54" t="s">
        <v>16</v>
      </c>
      <c r="AU186" s="64" t="s">
        <v>16</v>
      </c>
      <c r="AV186" s="48" t="s">
        <v>16</v>
      </c>
      <c r="AW186" s="59" t="s">
        <v>16</v>
      </c>
      <c r="AX186" s="54" t="s">
        <v>16</v>
      </c>
      <c r="AY186" s="54" t="s">
        <v>16</v>
      </c>
      <c r="AZ186" s="54" t="s">
        <v>16</v>
      </c>
      <c r="BA186" s="54" t="s">
        <v>16</v>
      </c>
      <c r="BB186" s="54" t="s">
        <v>16</v>
      </c>
      <c r="BC186" s="54" t="s">
        <v>16</v>
      </c>
      <c r="BD186" s="54" t="s">
        <v>16</v>
      </c>
      <c r="BE186" s="54" t="s">
        <v>16</v>
      </c>
      <c r="BF186" s="54" t="s">
        <v>16</v>
      </c>
      <c r="BG186" s="54" t="s">
        <v>16</v>
      </c>
      <c r="BH186" s="54" t="s">
        <v>16</v>
      </c>
      <c r="BI186" s="54" t="s">
        <v>16</v>
      </c>
      <c r="BJ186" s="54" t="s">
        <v>16</v>
      </c>
      <c r="BK186" s="54" t="s">
        <v>16</v>
      </c>
      <c r="BL186" s="54" t="s">
        <v>16</v>
      </c>
      <c r="BM186" s="54" t="s">
        <v>16</v>
      </c>
      <c r="BN186" s="54" t="s">
        <v>16</v>
      </c>
      <c r="BO186" s="54" t="s">
        <v>16</v>
      </c>
      <c r="BP186" s="54" t="s">
        <v>16</v>
      </c>
      <c r="BQ186" s="54" t="s">
        <v>16</v>
      </c>
      <c r="BR186" s="54" t="s">
        <v>16</v>
      </c>
      <c r="BS186" s="54" t="s">
        <v>16</v>
      </c>
      <c r="BT186" s="54" t="s">
        <v>16</v>
      </c>
      <c r="BU186" s="54" t="s">
        <v>16</v>
      </c>
      <c r="BV186" s="54" t="s">
        <v>16</v>
      </c>
      <c r="BW186" s="54" t="s">
        <v>16</v>
      </c>
      <c r="BX186" s="54" t="s">
        <v>16</v>
      </c>
      <c r="BY186" s="54" t="s">
        <v>16</v>
      </c>
      <c r="BZ186" s="54" t="s">
        <v>16</v>
      </c>
      <c r="CA186" s="54" t="s">
        <v>16</v>
      </c>
      <c r="CB186" s="54" t="s">
        <v>16</v>
      </c>
      <c r="CC186" s="54" t="s">
        <v>16</v>
      </c>
      <c r="CD186" s="54" t="s">
        <v>16</v>
      </c>
      <c r="CE186" s="54" t="s">
        <v>16</v>
      </c>
      <c r="CF186" s="54" t="s">
        <v>16</v>
      </c>
      <c r="CG186" s="139" t="s">
        <v>16</v>
      </c>
      <c r="CH186" s="59" t="s">
        <v>16</v>
      </c>
      <c r="CI186" s="54" t="s">
        <v>16</v>
      </c>
      <c r="CJ186" s="54" t="s">
        <v>16</v>
      </c>
      <c r="CK186" s="54" t="s">
        <v>16</v>
      </c>
      <c r="CL186" s="54" t="s">
        <v>16</v>
      </c>
      <c r="CM186" s="54" t="s">
        <v>16</v>
      </c>
      <c r="CN186" s="54" t="s">
        <v>16</v>
      </c>
      <c r="CO186" s="54" t="s">
        <v>16</v>
      </c>
      <c r="CP186" s="54" t="s">
        <v>16</v>
      </c>
      <c r="CQ186" s="54" t="s">
        <v>16</v>
      </c>
      <c r="CR186" s="54" t="s">
        <v>16</v>
      </c>
      <c r="CS186" s="54" t="s">
        <v>16</v>
      </c>
      <c r="CT186" s="54" t="s">
        <v>16</v>
      </c>
      <c r="CU186" s="54" t="s">
        <v>16</v>
      </c>
      <c r="CV186" s="54" t="s">
        <v>16</v>
      </c>
      <c r="CW186" s="54" t="s">
        <v>16</v>
      </c>
      <c r="CX186" s="54" t="s">
        <v>16</v>
      </c>
      <c r="CY186" s="54" t="s">
        <v>16</v>
      </c>
      <c r="CZ186" s="54" t="s">
        <v>16</v>
      </c>
      <c r="DA186" s="54" t="s">
        <v>16</v>
      </c>
      <c r="DB186" s="54" t="s">
        <v>16</v>
      </c>
      <c r="DC186" s="54" t="s">
        <v>16</v>
      </c>
      <c r="DD186" s="54" t="s">
        <v>16</v>
      </c>
      <c r="DE186" s="54" t="s">
        <v>16</v>
      </c>
      <c r="DF186" s="54" t="s">
        <v>16</v>
      </c>
      <c r="DG186" s="54" t="s">
        <v>16</v>
      </c>
      <c r="DH186" s="54" t="s">
        <v>16</v>
      </c>
      <c r="DI186" s="54" t="s">
        <v>16</v>
      </c>
      <c r="DJ186" s="54" t="s">
        <v>16</v>
      </c>
      <c r="DK186" s="54" t="s">
        <v>16</v>
      </c>
      <c r="DL186" s="54" t="s">
        <v>16</v>
      </c>
      <c r="DM186" s="54" t="s">
        <v>16</v>
      </c>
      <c r="DN186" s="54" t="s">
        <v>16</v>
      </c>
      <c r="DO186" s="54" t="s">
        <v>16</v>
      </c>
      <c r="DP186" s="54" t="s">
        <v>16</v>
      </c>
      <c r="DQ186" s="54" t="s">
        <v>16</v>
      </c>
      <c r="DR186" s="64" t="s">
        <v>16</v>
      </c>
    </row>
    <row r="187" spans="1:122" ht="30.75" thickBot="1">
      <c r="A187" s="74" t="s">
        <v>208</v>
      </c>
      <c r="B187" s="74"/>
      <c r="C187" s="61" t="s">
        <v>16</v>
      </c>
      <c r="D187" s="61" t="s">
        <v>16</v>
      </c>
      <c r="E187" s="92" t="s">
        <v>210</v>
      </c>
      <c r="F187" s="61" t="s">
        <v>16</v>
      </c>
      <c r="G187" s="61" t="s">
        <v>16</v>
      </c>
      <c r="H187" s="90">
        <v>965</v>
      </c>
      <c r="I187" s="90">
        <v>724</v>
      </c>
      <c r="J187" s="61" t="s">
        <v>16</v>
      </c>
      <c r="K187" s="81" t="s">
        <v>16</v>
      </c>
      <c r="L187" s="93" t="s">
        <v>16</v>
      </c>
      <c r="M187" s="93" t="s">
        <v>16</v>
      </c>
      <c r="N187" s="93" t="s">
        <v>16</v>
      </c>
      <c r="O187" s="93" t="s">
        <v>16</v>
      </c>
      <c r="P187" s="93" t="s">
        <v>16</v>
      </c>
      <c r="Q187" s="93" t="s">
        <v>16</v>
      </c>
      <c r="R187" s="93" t="s">
        <v>16</v>
      </c>
      <c r="S187" s="93" t="s">
        <v>16</v>
      </c>
      <c r="T187" s="93" t="s">
        <v>16</v>
      </c>
      <c r="U187" s="93" t="s">
        <v>16</v>
      </c>
      <c r="V187" s="93" t="s">
        <v>16</v>
      </c>
      <c r="W187" s="93" t="s">
        <v>16</v>
      </c>
      <c r="X187" s="93" t="s">
        <v>16</v>
      </c>
      <c r="Y187" s="93" t="s">
        <v>16</v>
      </c>
      <c r="Z187" s="93" t="s">
        <v>16</v>
      </c>
      <c r="AA187" s="93" t="s">
        <v>16</v>
      </c>
      <c r="AB187" s="93" t="s">
        <v>16</v>
      </c>
      <c r="AC187" s="93" t="s">
        <v>16</v>
      </c>
      <c r="AD187" s="93" t="s">
        <v>16</v>
      </c>
      <c r="AE187" s="93" t="s">
        <v>16</v>
      </c>
      <c r="AF187" s="93" t="s">
        <v>16</v>
      </c>
      <c r="AG187" s="93" t="s">
        <v>16</v>
      </c>
      <c r="AH187" s="93" t="s">
        <v>16</v>
      </c>
      <c r="AI187" s="93" t="s">
        <v>16</v>
      </c>
      <c r="AJ187" s="93" t="s">
        <v>16</v>
      </c>
      <c r="AK187" s="93" t="s">
        <v>16</v>
      </c>
      <c r="AL187" s="93" t="s">
        <v>16</v>
      </c>
      <c r="AM187" s="93" t="s">
        <v>16</v>
      </c>
      <c r="AN187" s="93" t="s">
        <v>16</v>
      </c>
      <c r="AO187" s="93" t="s">
        <v>16</v>
      </c>
      <c r="AP187" s="93" t="s">
        <v>16</v>
      </c>
      <c r="AQ187" s="93" t="s">
        <v>16</v>
      </c>
      <c r="AR187" s="93" t="s">
        <v>16</v>
      </c>
      <c r="AS187" s="93" t="s">
        <v>16</v>
      </c>
      <c r="AT187" s="93" t="s">
        <v>16</v>
      </c>
      <c r="AU187" s="88" t="s">
        <v>16</v>
      </c>
      <c r="AV187" s="74" t="s">
        <v>16</v>
      </c>
      <c r="AW187" s="81" t="s">
        <v>16</v>
      </c>
      <c r="AX187" s="93" t="s">
        <v>16</v>
      </c>
      <c r="AY187" s="93">
        <v>1172.5</v>
      </c>
      <c r="AZ187" s="93" t="s">
        <v>16</v>
      </c>
      <c r="BA187" s="93">
        <v>1106.8</v>
      </c>
      <c r="BB187" s="93" t="s">
        <v>16</v>
      </c>
      <c r="BC187" s="93" t="s">
        <v>16</v>
      </c>
      <c r="BD187" s="93" t="s">
        <v>16</v>
      </c>
      <c r="BE187" s="93">
        <v>1060.5999999999999</v>
      </c>
      <c r="BF187" s="93" t="s">
        <v>16</v>
      </c>
      <c r="BG187" s="93" t="s">
        <v>16</v>
      </c>
      <c r="BH187" s="93" t="s">
        <v>16</v>
      </c>
      <c r="BI187" s="93">
        <v>1035.9000000000001</v>
      </c>
      <c r="BJ187" s="93" t="s">
        <v>16</v>
      </c>
      <c r="BK187" s="93" t="s">
        <v>16</v>
      </c>
      <c r="BL187" s="93" t="s">
        <v>16</v>
      </c>
      <c r="BM187" s="93">
        <v>1012</v>
      </c>
      <c r="BN187" s="93" t="s">
        <v>16</v>
      </c>
      <c r="BO187" s="93" t="s">
        <v>16</v>
      </c>
      <c r="BP187" s="93" t="s">
        <v>16</v>
      </c>
      <c r="BQ187" s="93">
        <v>988.3</v>
      </c>
      <c r="BR187" s="93" t="s">
        <v>16</v>
      </c>
      <c r="BS187" s="93" t="s">
        <v>16</v>
      </c>
      <c r="BT187" s="93" t="s">
        <v>16</v>
      </c>
      <c r="BU187" s="93">
        <v>961.3</v>
      </c>
      <c r="BV187" s="93" t="s">
        <v>16</v>
      </c>
      <c r="BW187" s="93">
        <v>935.5</v>
      </c>
      <c r="BX187" s="93" t="s">
        <v>16</v>
      </c>
      <c r="BY187" s="93" t="s">
        <v>16</v>
      </c>
      <c r="BZ187" s="93" t="s">
        <v>16</v>
      </c>
      <c r="CA187" s="93" t="s">
        <v>16</v>
      </c>
      <c r="CB187" s="93" t="s">
        <v>16</v>
      </c>
      <c r="CC187" s="93" t="s">
        <v>16</v>
      </c>
      <c r="CD187" s="93" t="s">
        <v>16</v>
      </c>
      <c r="CE187" s="93" t="s">
        <v>16</v>
      </c>
      <c r="CF187" s="93" t="s">
        <v>16</v>
      </c>
      <c r="CG187" s="144" t="s">
        <v>16</v>
      </c>
      <c r="CH187" s="81" t="s">
        <v>16</v>
      </c>
      <c r="CI187" s="93" t="s">
        <v>16</v>
      </c>
      <c r="CJ187" s="93">
        <v>796.2</v>
      </c>
      <c r="CK187" s="93" t="s">
        <v>16</v>
      </c>
      <c r="CL187" s="93">
        <v>751.7</v>
      </c>
      <c r="CM187" s="93" t="s">
        <v>16</v>
      </c>
      <c r="CN187" s="93" t="s">
        <v>16</v>
      </c>
      <c r="CO187" s="93" t="s">
        <v>16</v>
      </c>
      <c r="CP187" s="93">
        <v>719.6</v>
      </c>
      <c r="CQ187" s="93" t="s">
        <v>16</v>
      </c>
      <c r="CR187" s="93" t="s">
        <v>16</v>
      </c>
      <c r="CS187" s="93" t="s">
        <v>16</v>
      </c>
      <c r="CT187" s="93">
        <v>702.8</v>
      </c>
      <c r="CU187" s="93" t="s">
        <v>16</v>
      </c>
      <c r="CV187" s="93" t="s">
        <v>16</v>
      </c>
      <c r="CW187" s="93" t="s">
        <v>16</v>
      </c>
      <c r="CX187" s="93">
        <v>700.7</v>
      </c>
      <c r="CY187" s="93" t="s">
        <v>16</v>
      </c>
      <c r="CZ187" s="93" t="s">
        <v>16</v>
      </c>
      <c r="DA187" s="93" t="s">
        <v>16</v>
      </c>
      <c r="DB187" s="93">
        <v>699.4</v>
      </c>
      <c r="DC187" s="93" t="s">
        <v>16</v>
      </c>
      <c r="DD187" s="93" t="s">
        <v>16</v>
      </c>
      <c r="DE187" s="93" t="s">
        <v>16</v>
      </c>
      <c r="DF187" s="93">
        <v>697.1</v>
      </c>
      <c r="DG187" s="93" t="s">
        <v>16</v>
      </c>
      <c r="DH187" s="93" t="s">
        <v>16</v>
      </c>
      <c r="DI187" s="93" t="s">
        <v>16</v>
      </c>
      <c r="DJ187" s="93">
        <v>690.1</v>
      </c>
      <c r="DK187" s="93" t="s">
        <v>16</v>
      </c>
      <c r="DL187" s="93" t="s">
        <v>16</v>
      </c>
      <c r="DM187" s="93" t="s">
        <v>16</v>
      </c>
      <c r="DN187" s="93" t="s">
        <v>16</v>
      </c>
      <c r="DO187" s="93" t="s">
        <v>16</v>
      </c>
      <c r="DP187" s="93" t="s">
        <v>16</v>
      </c>
      <c r="DQ187" s="93" t="s">
        <v>16</v>
      </c>
      <c r="DR187" s="88" t="s">
        <v>16</v>
      </c>
    </row>
    <row r="188" spans="1:122" ht="15.75" thickBot="1">
      <c r="A188" s="74" t="s">
        <v>211</v>
      </c>
      <c r="B188" s="74"/>
      <c r="C188" s="61" t="s">
        <v>113</v>
      </c>
      <c r="D188" s="61"/>
      <c r="E188" s="92"/>
      <c r="F188" s="61" t="s">
        <v>212</v>
      </c>
      <c r="G188" s="61" t="s">
        <v>17</v>
      </c>
      <c r="H188" s="90">
        <v>690</v>
      </c>
      <c r="I188" s="90">
        <v>485</v>
      </c>
      <c r="J188" s="61" t="s">
        <v>18</v>
      </c>
      <c r="K188" s="81"/>
      <c r="L188" s="93">
        <v>197</v>
      </c>
      <c r="M188" s="93">
        <v>197</v>
      </c>
      <c r="N188" s="93">
        <v>197</v>
      </c>
      <c r="O188" s="93">
        <v>197</v>
      </c>
      <c r="P188" s="93">
        <v>197</v>
      </c>
      <c r="Q188" s="93">
        <v>192</v>
      </c>
      <c r="R188" s="93">
        <v>192</v>
      </c>
      <c r="S188" s="93">
        <v>192</v>
      </c>
      <c r="T188" s="93">
        <v>192</v>
      </c>
      <c r="U188" s="93">
        <v>190</v>
      </c>
      <c r="V188" s="93">
        <v>189</v>
      </c>
      <c r="W188" s="93">
        <v>189</v>
      </c>
      <c r="X188" s="93">
        <v>189</v>
      </c>
      <c r="Y188" s="93" t="s">
        <v>16</v>
      </c>
      <c r="Z188" s="93" t="s">
        <v>16</v>
      </c>
      <c r="AA188" s="93" t="s">
        <v>16</v>
      </c>
      <c r="AB188" s="93" t="s">
        <v>16</v>
      </c>
      <c r="AC188" s="93" t="s">
        <v>16</v>
      </c>
      <c r="AD188" s="93" t="s">
        <v>16</v>
      </c>
      <c r="AE188" s="93" t="s">
        <v>16</v>
      </c>
      <c r="AF188" s="93" t="s">
        <v>16</v>
      </c>
      <c r="AG188" s="93" t="s">
        <v>16</v>
      </c>
      <c r="AH188" s="93" t="s">
        <v>16</v>
      </c>
      <c r="AI188" s="93" t="s">
        <v>16</v>
      </c>
      <c r="AJ188" s="93" t="s">
        <v>16</v>
      </c>
      <c r="AK188" s="93" t="s">
        <v>16</v>
      </c>
      <c r="AL188" s="93" t="s">
        <v>16</v>
      </c>
      <c r="AM188" s="93" t="s">
        <v>16</v>
      </c>
      <c r="AN188" s="93" t="s">
        <v>16</v>
      </c>
      <c r="AO188" s="93" t="s">
        <v>16</v>
      </c>
      <c r="AP188" s="93" t="s">
        <v>16</v>
      </c>
      <c r="AQ188" s="93" t="s">
        <v>16</v>
      </c>
      <c r="AR188" s="93" t="s">
        <v>16</v>
      </c>
      <c r="AS188" s="93" t="s">
        <v>16</v>
      </c>
      <c r="AT188" s="93" t="s">
        <v>16</v>
      </c>
      <c r="AU188" s="88" t="s">
        <v>16</v>
      </c>
      <c r="AV188" s="78" t="s">
        <v>18</v>
      </c>
      <c r="AW188" s="81">
        <v>690</v>
      </c>
      <c r="AX188" s="93">
        <v>689</v>
      </c>
      <c r="AY188" s="93"/>
      <c r="AZ188" s="93"/>
      <c r="BA188" s="93"/>
      <c r="BB188" s="93"/>
      <c r="BC188" s="93"/>
      <c r="BD188" s="93"/>
      <c r="BE188" s="93"/>
      <c r="BF188" s="93"/>
      <c r="BG188" s="93"/>
      <c r="BH188" s="93"/>
      <c r="BI188" s="93"/>
      <c r="BJ188" s="93"/>
      <c r="BK188" s="93"/>
      <c r="BL188" s="93"/>
      <c r="BM188" s="93"/>
      <c r="BN188" s="93"/>
      <c r="BO188" s="93"/>
      <c r="BP188" s="93"/>
      <c r="BQ188" s="93"/>
      <c r="BR188" s="93"/>
      <c r="BS188" s="93"/>
      <c r="BT188" s="93"/>
      <c r="BU188" s="93"/>
      <c r="BV188" s="93"/>
      <c r="BW188" s="93"/>
      <c r="BX188" s="93"/>
      <c r="BY188" s="93"/>
      <c r="BZ188" s="93"/>
      <c r="CA188" s="93"/>
      <c r="CB188" s="93"/>
      <c r="CC188" s="93"/>
      <c r="CD188" s="93"/>
      <c r="CE188" s="93"/>
      <c r="CF188" s="93"/>
      <c r="CG188" s="144"/>
      <c r="CH188" s="81">
        <v>485</v>
      </c>
      <c r="CI188" s="93">
        <v>483</v>
      </c>
      <c r="CJ188" s="93"/>
      <c r="CK188" s="93"/>
      <c r="CL188" s="93"/>
      <c r="CM188" s="93"/>
      <c r="CN188" s="93"/>
      <c r="CO188" s="93"/>
      <c r="CP188" s="93"/>
      <c r="CQ188" s="93"/>
      <c r="CR188" s="93"/>
      <c r="CS188" s="93"/>
      <c r="CT188" s="93"/>
      <c r="CU188" s="93"/>
      <c r="CV188" s="93"/>
      <c r="CW188" s="93"/>
      <c r="CX188" s="93"/>
      <c r="CY188" s="93"/>
      <c r="CZ188" s="93"/>
      <c r="DA188" s="93"/>
      <c r="DB188" s="93"/>
      <c r="DC188" s="93"/>
      <c r="DD188" s="93"/>
      <c r="DE188" s="93"/>
      <c r="DF188" s="93"/>
      <c r="DG188" s="93"/>
      <c r="DH188" s="93"/>
      <c r="DI188" s="93"/>
      <c r="DJ188" s="93"/>
      <c r="DK188" s="93"/>
      <c r="DL188" s="93"/>
      <c r="DM188" s="93"/>
      <c r="DN188" s="93"/>
      <c r="DO188" s="93"/>
      <c r="DP188" s="93"/>
      <c r="DQ188" s="93"/>
      <c r="DR188" s="88"/>
    </row>
    <row r="189" spans="1:122" ht="15.75" thickBot="1">
      <c r="C189" s="61"/>
    </row>
  </sheetData>
  <sheetProtection algorithmName="SHA-512" hashValue="dKZzU+FqcLl1vXKNo1wE7rFu1oq9CQ5RKk4USkq8e9lona7bFBFFt0qJa250L/jEL0BMdvHJfmWK/SVoPDk9eg==" saltValue="Oc+wgCPkSfZxr+LRqtd0xw==" spinCount="100000" sheet="1" objects="1" scenarios="1" autoFilter="0"/>
  <autoFilter ref="A2:DR187" xr:uid="{00000000-0009-0000-0000-000000000000}"/>
  <mergeCells count="4">
    <mergeCell ref="K1:AU1"/>
    <mergeCell ref="AW1:CG1"/>
    <mergeCell ref="CH1:DR1"/>
    <mergeCell ref="D1:E1"/>
  </mergeCells>
  <conditionalFormatting sqref="H1:H187 H190:H1048576">
    <cfRule type="expression" dxfId="7" priority="12">
      <formula>IF(ROW(H1)&gt;2,IF(H1&lt;&gt;"",LEN(H1)&gt;0,""),"")</formula>
    </cfRule>
  </conditionalFormatting>
  <conditionalFormatting sqref="I1:I187 I190:I1048576">
    <cfRule type="expression" dxfId="6" priority="11">
      <formula>IF(ROW(I1)&gt;2,IF(I1&lt;&gt;"",LEN(I1)&gt;0,""),"")</formula>
    </cfRule>
  </conditionalFormatting>
  <conditionalFormatting sqref="A2:DR187 DS4">
    <cfRule type="expression" dxfId="5" priority="9">
      <formula>$EA$4=ROW()</formula>
    </cfRule>
  </conditionalFormatting>
  <conditionalFormatting sqref="C189">
    <cfRule type="expression" dxfId="4" priority="6">
      <formula>$EA$4=ROW()</formula>
    </cfRule>
  </conditionalFormatting>
  <conditionalFormatting sqref="H188">
    <cfRule type="expression" dxfId="3" priority="4">
      <formula>IF(ROW(H188)&gt;2,IF(H188&lt;&gt;"",LEN(H188)&gt;0,""),"")</formula>
    </cfRule>
  </conditionalFormatting>
  <conditionalFormatting sqref="I188">
    <cfRule type="expression" dxfId="2" priority="3">
      <formula>IF(ROW(I188)&gt;2,IF(I188&lt;&gt;"",LEN(I188)&gt;0,""),"")</formula>
    </cfRule>
  </conditionalFormatting>
  <conditionalFormatting sqref="A188:AU188 AW188:DR188">
    <cfRule type="expression" dxfId="1" priority="2">
      <formula>$EA$4=ROW()</formula>
    </cfRule>
  </conditionalFormatting>
  <conditionalFormatting sqref="AV188">
    <cfRule type="expression" dxfId="0" priority="1">
      <formula>$EA$4=ROW()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H51"/>
  <sheetViews>
    <sheetView workbookViewId="0">
      <selection activeCell="H9" sqref="H9"/>
    </sheetView>
  </sheetViews>
  <sheetFormatPr defaultRowHeight="15"/>
  <cols>
    <col min="1" max="1" width="16.85546875" customWidth="1"/>
    <col min="2" max="2" width="12.85546875" customWidth="1"/>
    <col min="3" max="3" width="14" customWidth="1"/>
    <col min="4" max="4" width="6.140625" bestFit="1" customWidth="1"/>
    <col min="5" max="5" width="4.42578125" bestFit="1" customWidth="1"/>
    <col min="6" max="7" width="14.42578125" bestFit="1" customWidth="1"/>
  </cols>
  <sheetData>
    <row r="1" spans="1:8">
      <c r="A1" s="165" t="s">
        <v>213</v>
      </c>
      <c r="B1" s="165"/>
      <c r="C1" s="165"/>
      <c r="D1" s="165"/>
      <c r="E1" s="165"/>
      <c r="F1" s="165"/>
      <c r="G1" s="165"/>
    </row>
    <row r="2" spans="1:8">
      <c r="A2" s="153" t="s">
        <v>214</v>
      </c>
      <c r="B2" s="66" t="s">
        <v>215</v>
      </c>
      <c r="C2" s="66" t="s">
        <v>216</v>
      </c>
      <c r="D2" s="66" t="s">
        <v>217</v>
      </c>
      <c r="E2" s="66" t="s">
        <v>218</v>
      </c>
      <c r="F2" s="66" t="s">
        <v>219</v>
      </c>
      <c r="G2" s="66" t="s">
        <v>220</v>
      </c>
      <c r="H2" s="152"/>
    </row>
    <row r="3" spans="1:8">
      <c r="A3" s="161">
        <v>44285.516203703701</v>
      </c>
      <c r="B3" t="s">
        <v>221</v>
      </c>
      <c r="C3" t="s">
        <v>222</v>
      </c>
      <c r="D3" t="s">
        <v>223</v>
      </c>
      <c r="E3" t="s">
        <v>224</v>
      </c>
      <c r="F3" t="s">
        <v>225</v>
      </c>
      <c r="G3" t="s">
        <v>77</v>
      </c>
    </row>
    <row r="4" spans="1:8">
      <c r="A4" s="161">
        <v>44285.516238425924</v>
      </c>
      <c r="B4" t="s">
        <v>221</v>
      </c>
      <c r="C4" t="s">
        <v>222</v>
      </c>
      <c r="D4" t="s">
        <v>223</v>
      </c>
      <c r="E4" t="s">
        <v>226</v>
      </c>
      <c r="F4" t="s">
        <v>225</v>
      </c>
      <c r="G4" t="s">
        <v>77</v>
      </c>
    </row>
    <row r="5" spans="1:8">
      <c r="A5" s="161">
        <v>44285.517372685186</v>
      </c>
      <c r="B5" t="s">
        <v>221</v>
      </c>
      <c r="C5" t="s">
        <v>222</v>
      </c>
      <c r="D5" t="s">
        <v>223</v>
      </c>
      <c r="E5" t="s">
        <v>227</v>
      </c>
      <c r="F5" t="s">
        <v>228</v>
      </c>
      <c r="G5" t="s">
        <v>109</v>
      </c>
    </row>
    <row r="6" spans="1:8">
      <c r="A6" s="161">
        <v>44285.52002314815</v>
      </c>
      <c r="B6" t="s">
        <v>221</v>
      </c>
      <c r="C6" t="s">
        <v>222</v>
      </c>
      <c r="D6" t="s">
        <v>223</v>
      </c>
      <c r="E6" t="s">
        <v>229</v>
      </c>
      <c r="G6" t="s">
        <v>230</v>
      </c>
    </row>
    <row r="7" spans="1:8">
      <c r="A7" s="161">
        <v>44285.520150462966</v>
      </c>
      <c r="B7" t="s">
        <v>221</v>
      </c>
      <c r="C7" t="s">
        <v>222</v>
      </c>
      <c r="D7" t="s">
        <v>223</v>
      </c>
      <c r="E7" t="s">
        <v>231</v>
      </c>
      <c r="G7" t="s">
        <v>230</v>
      </c>
    </row>
    <row r="8" spans="1:8">
      <c r="A8" s="161">
        <v>44285.520185185182</v>
      </c>
      <c r="B8" t="s">
        <v>221</v>
      </c>
      <c r="C8" t="s">
        <v>222</v>
      </c>
      <c r="D8" t="s">
        <v>223</v>
      </c>
      <c r="E8" t="s">
        <v>232</v>
      </c>
      <c r="G8" t="s">
        <v>230</v>
      </c>
    </row>
    <row r="9" spans="1:8">
      <c r="A9" s="161">
        <v>44285.520231481481</v>
      </c>
      <c r="B9" t="s">
        <v>221</v>
      </c>
      <c r="C9" t="s">
        <v>222</v>
      </c>
      <c r="D9" t="s">
        <v>223</v>
      </c>
      <c r="E9" t="s">
        <v>233</v>
      </c>
      <c r="G9" t="s">
        <v>234</v>
      </c>
    </row>
    <row r="10" spans="1:8">
      <c r="A10" s="161">
        <v>44285.520254629628</v>
      </c>
      <c r="B10" t="s">
        <v>221</v>
      </c>
      <c r="C10" t="s">
        <v>222</v>
      </c>
      <c r="D10" t="s">
        <v>223</v>
      </c>
      <c r="E10" t="s">
        <v>235</v>
      </c>
      <c r="G10" t="s">
        <v>234</v>
      </c>
    </row>
    <row r="11" spans="1:8">
      <c r="A11" s="161">
        <v>44285.520312499997</v>
      </c>
      <c r="B11" t="s">
        <v>221</v>
      </c>
      <c r="C11" t="s">
        <v>222</v>
      </c>
      <c r="D11" t="s">
        <v>223</v>
      </c>
      <c r="E11" t="s">
        <v>236</v>
      </c>
    </row>
    <row r="12" spans="1:8">
      <c r="A12" s="161">
        <v>44285.520416666666</v>
      </c>
      <c r="B12" t="s">
        <v>221</v>
      </c>
      <c r="C12" t="s">
        <v>222</v>
      </c>
      <c r="D12" t="s">
        <v>223</v>
      </c>
      <c r="E12" t="s">
        <v>229</v>
      </c>
      <c r="F12" t="s">
        <v>230</v>
      </c>
      <c r="G12" t="s">
        <v>14</v>
      </c>
    </row>
    <row r="13" spans="1:8">
      <c r="A13" s="161">
        <v>44285.520439814813</v>
      </c>
      <c r="B13" t="s">
        <v>221</v>
      </c>
      <c r="C13" t="s">
        <v>222</v>
      </c>
      <c r="D13" t="s">
        <v>223</v>
      </c>
      <c r="E13" t="s">
        <v>231</v>
      </c>
      <c r="F13" t="s">
        <v>230</v>
      </c>
      <c r="G13" t="s">
        <v>14</v>
      </c>
    </row>
    <row r="14" spans="1:8">
      <c r="A14" s="161">
        <v>44285.520474537036</v>
      </c>
      <c r="B14" t="s">
        <v>221</v>
      </c>
      <c r="C14" t="s">
        <v>222</v>
      </c>
      <c r="D14" t="s">
        <v>223</v>
      </c>
      <c r="E14" t="s">
        <v>232</v>
      </c>
      <c r="F14" t="s">
        <v>230</v>
      </c>
      <c r="G14" t="s">
        <v>14</v>
      </c>
    </row>
    <row r="15" spans="1:8">
      <c r="A15" s="161">
        <v>44285.520509259259</v>
      </c>
      <c r="B15" t="s">
        <v>221</v>
      </c>
      <c r="C15" t="s">
        <v>222</v>
      </c>
      <c r="D15" t="s">
        <v>223</v>
      </c>
      <c r="E15" t="s">
        <v>233</v>
      </c>
      <c r="F15" t="s">
        <v>230</v>
      </c>
      <c r="G15" t="s">
        <v>28</v>
      </c>
    </row>
    <row r="16" spans="1:8">
      <c r="A16" s="161">
        <v>44285.520520833335</v>
      </c>
      <c r="B16" t="s">
        <v>221</v>
      </c>
      <c r="C16" t="s">
        <v>222</v>
      </c>
      <c r="D16" t="s">
        <v>223</v>
      </c>
      <c r="E16" t="s">
        <v>235</v>
      </c>
      <c r="F16" t="s">
        <v>230</v>
      </c>
      <c r="G16" t="s">
        <v>28</v>
      </c>
    </row>
    <row r="17" spans="1:7">
      <c r="A17" s="161">
        <v>44285.520601851851</v>
      </c>
      <c r="B17" t="s">
        <v>221</v>
      </c>
      <c r="C17" t="s">
        <v>222</v>
      </c>
      <c r="D17" t="s">
        <v>223</v>
      </c>
      <c r="E17" t="s">
        <v>236</v>
      </c>
      <c r="G17" t="s">
        <v>28</v>
      </c>
    </row>
    <row r="18" spans="1:7">
      <c r="A18" s="161">
        <v>44285.520636574074</v>
      </c>
      <c r="B18" t="s">
        <v>221</v>
      </c>
      <c r="C18" t="s">
        <v>222</v>
      </c>
      <c r="D18" t="s">
        <v>223</v>
      </c>
      <c r="E18" t="s">
        <v>237</v>
      </c>
      <c r="G18" t="s">
        <v>28</v>
      </c>
    </row>
    <row r="19" spans="1:7">
      <c r="A19" s="161">
        <v>44285.520648148151</v>
      </c>
      <c r="B19" t="s">
        <v>221</v>
      </c>
      <c r="C19" t="s">
        <v>222</v>
      </c>
      <c r="D19" t="s">
        <v>223</v>
      </c>
      <c r="E19" t="s">
        <v>238</v>
      </c>
      <c r="G19" t="s">
        <v>28</v>
      </c>
    </row>
    <row r="20" spans="1:7">
      <c r="A20" s="161">
        <v>44285.520682870374</v>
      </c>
      <c r="B20" t="s">
        <v>221</v>
      </c>
      <c r="C20" t="s">
        <v>222</v>
      </c>
      <c r="D20" t="s">
        <v>223</v>
      </c>
      <c r="E20" t="s">
        <v>239</v>
      </c>
      <c r="G20" t="s">
        <v>28</v>
      </c>
    </row>
    <row r="21" spans="1:7">
      <c r="A21" s="161">
        <v>44285.520694444444</v>
      </c>
      <c r="B21" t="s">
        <v>221</v>
      </c>
      <c r="C21" t="s">
        <v>222</v>
      </c>
      <c r="D21" t="s">
        <v>223</v>
      </c>
      <c r="E21" t="s">
        <v>240</v>
      </c>
      <c r="G21" t="s">
        <v>28</v>
      </c>
    </row>
    <row r="22" spans="1:7">
      <c r="A22" s="161">
        <v>44285.52070601852</v>
      </c>
      <c r="B22" t="s">
        <v>221</v>
      </c>
      <c r="C22" t="s">
        <v>222</v>
      </c>
      <c r="D22" t="s">
        <v>223</v>
      </c>
      <c r="E22" t="s">
        <v>241</v>
      </c>
      <c r="G22" t="s">
        <v>28</v>
      </c>
    </row>
    <row r="23" spans="1:7">
      <c r="A23" s="161">
        <v>44285.520775462966</v>
      </c>
      <c r="B23" t="s">
        <v>221</v>
      </c>
      <c r="C23" t="s">
        <v>222</v>
      </c>
      <c r="D23" t="s">
        <v>223</v>
      </c>
      <c r="E23" t="s">
        <v>242</v>
      </c>
      <c r="G23" t="s">
        <v>28</v>
      </c>
    </row>
    <row r="24" spans="1:7">
      <c r="A24" s="161">
        <v>44285.520798611113</v>
      </c>
      <c r="B24" t="s">
        <v>221</v>
      </c>
      <c r="C24" t="s">
        <v>222</v>
      </c>
      <c r="D24" t="s">
        <v>223</v>
      </c>
      <c r="E24" t="s">
        <v>243</v>
      </c>
      <c r="G24" t="s">
        <v>28</v>
      </c>
    </row>
    <row r="25" spans="1:7">
      <c r="A25" s="161">
        <v>44285.520821759259</v>
      </c>
      <c r="B25" t="s">
        <v>221</v>
      </c>
      <c r="C25" t="s">
        <v>222</v>
      </c>
      <c r="D25" t="s">
        <v>223</v>
      </c>
      <c r="E25" t="s">
        <v>244</v>
      </c>
      <c r="G25" t="s">
        <v>28</v>
      </c>
    </row>
    <row r="26" spans="1:7">
      <c r="A26" s="161">
        <v>44285.520844907405</v>
      </c>
      <c r="B26" t="s">
        <v>221</v>
      </c>
      <c r="C26" t="s">
        <v>222</v>
      </c>
      <c r="D26" t="s">
        <v>223</v>
      </c>
      <c r="E26" t="s">
        <v>245</v>
      </c>
      <c r="G26" t="s">
        <v>28</v>
      </c>
    </row>
    <row r="27" spans="1:7">
      <c r="A27" s="161">
        <v>44285.521539351852</v>
      </c>
      <c r="B27" t="s">
        <v>221</v>
      </c>
      <c r="C27" t="s">
        <v>222</v>
      </c>
      <c r="D27" t="s">
        <v>223</v>
      </c>
      <c r="E27" t="s">
        <v>246</v>
      </c>
      <c r="G27" t="s">
        <v>5</v>
      </c>
    </row>
    <row r="28" spans="1:7">
      <c r="A28" s="161">
        <v>44371.668495370373</v>
      </c>
      <c r="B28" t="s">
        <v>247</v>
      </c>
      <c r="C28" t="s">
        <v>222</v>
      </c>
      <c r="D28" t="s">
        <v>223</v>
      </c>
      <c r="E28" t="s">
        <v>248</v>
      </c>
      <c r="F28" t="s">
        <v>17</v>
      </c>
      <c r="G28" t="s">
        <v>211</v>
      </c>
    </row>
    <row r="29" spans="1:7">
      <c r="A29" s="161">
        <v>44371.668541666666</v>
      </c>
      <c r="B29" t="s">
        <v>247</v>
      </c>
      <c r="C29" t="s">
        <v>222</v>
      </c>
      <c r="D29" t="s">
        <v>223</v>
      </c>
      <c r="E29" t="s">
        <v>249</v>
      </c>
      <c r="G29" t="s">
        <v>113</v>
      </c>
    </row>
    <row r="30" spans="1:7">
      <c r="A30" s="161">
        <v>44371.668865740743</v>
      </c>
      <c r="B30" t="s">
        <v>247</v>
      </c>
      <c r="C30" t="s">
        <v>222</v>
      </c>
      <c r="D30" t="s">
        <v>223</v>
      </c>
      <c r="E30" t="s">
        <v>250</v>
      </c>
      <c r="G30" t="s">
        <v>17</v>
      </c>
    </row>
    <row r="31" spans="1:7">
      <c r="A31" s="161">
        <v>44371.668969907405</v>
      </c>
      <c r="B31" t="s">
        <v>247</v>
      </c>
      <c r="C31" t="s">
        <v>222</v>
      </c>
      <c r="D31" t="s">
        <v>223</v>
      </c>
      <c r="E31" t="s">
        <v>251</v>
      </c>
      <c r="G31" t="s">
        <v>212</v>
      </c>
    </row>
    <row r="32" spans="1:7">
      <c r="A32" s="161">
        <v>44371.669050925928</v>
      </c>
      <c r="B32" t="s">
        <v>247</v>
      </c>
      <c r="C32" t="s">
        <v>222</v>
      </c>
      <c r="D32" t="s">
        <v>223</v>
      </c>
      <c r="E32" t="s">
        <v>248</v>
      </c>
      <c r="F32" t="s">
        <v>208</v>
      </c>
      <c r="G32" t="s">
        <v>211</v>
      </c>
    </row>
    <row r="33" spans="1:7">
      <c r="A33" s="161">
        <v>44371.669108796297</v>
      </c>
      <c r="B33" t="s">
        <v>247</v>
      </c>
      <c r="C33" t="s">
        <v>222</v>
      </c>
      <c r="D33" t="s">
        <v>223</v>
      </c>
      <c r="E33" t="s">
        <v>252</v>
      </c>
    </row>
    <row r="34" spans="1:7">
      <c r="A34" s="161">
        <v>44371.669212962966</v>
      </c>
      <c r="B34" t="s">
        <v>247</v>
      </c>
      <c r="C34" t="s">
        <v>222</v>
      </c>
      <c r="D34" t="s">
        <v>223</v>
      </c>
      <c r="E34" t="s">
        <v>249</v>
      </c>
      <c r="F34" t="s">
        <v>16</v>
      </c>
      <c r="G34" t="s">
        <v>113</v>
      </c>
    </row>
    <row r="35" spans="1:7">
      <c r="A35" s="161">
        <v>44371.669409722221</v>
      </c>
      <c r="B35" t="s">
        <v>247</v>
      </c>
      <c r="C35" t="s">
        <v>222</v>
      </c>
      <c r="D35" t="s">
        <v>223</v>
      </c>
      <c r="E35" t="s">
        <v>253</v>
      </c>
      <c r="G35">
        <v>690</v>
      </c>
    </row>
    <row r="36" spans="1:7">
      <c r="A36" s="161">
        <v>44371.669618055559</v>
      </c>
      <c r="B36" t="s">
        <v>247</v>
      </c>
      <c r="C36" t="s">
        <v>222</v>
      </c>
      <c r="D36" t="s">
        <v>223</v>
      </c>
      <c r="E36" t="s">
        <v>254</v>
      </c>
      <c r="G36">
        <v>485</v>
      </c>
    </row>
    <row r="37" spans="1:7">
      <c r="A37" s="161">
        <v>44371.669722222221</v>
      </c>
      <c r="B37" t="s">
        <v>247</v>
      </c>
      <c r="C37" t="s">
        <v>222</v>
      </c>
      <c r="D37" t="s">
        <v>223</v>
      </c>
      <c r="E37" t="s">
        <v>255</v>
      </c>
      <c r="G37" t="s">
        <v>18</v>
      </c>
    </row>
    <row r="38" spans="1:7">
      <c r="A38" s="161">
        <v>44371.675173611111</v>
      </c>
      <c r="B38" t="s">
        <v>247</v>
      </c>
      <c r="C38" t="s">
        <v>222</v>
      </c>
      <c r="D38" t="s">
        <v>223</v>
      </c>
      <c r="E38" t="s">
        <v>256</v>
      </c>
      <c r="G38">
        <v>197</v>
      </c>
    </row>
    <row r="39" spans="1:7">
      <c r="A39" s="161">
        <v>44371.677048611113</v>
      </c>
      <c r="B39" t="s">
        <v>247</v>
      </c>
      <c r="C39" t="s">
        <v>222</v>
      </c>
      <c r="D39" t="s">
        <v>223</v>
      </c>
      <c r="E39" t="s">
        <v>257</v>
      </c>
      <c r="G39">
        <v>197</v>
      </c>
    </row>
    <row r="40" spans="1:7">
      <c r="A40" s="161">
        <v>44371.677071759259</v>
      </c>
      <c r="B40" t="s">
        <v>247</v>
      </c>
      <c r="C40" t="s">
        <v>222</v>
      </c>
      <c r="D40" t="s">
        <v>223</v>
      </c>
      <c r="E40" t="s">
        <v>258</v>
      </c>
      <c r="G40">
        <v>197</v>
      </c>
    </row>
    <row r="41" spans="1:7">
      <c r="A41" s="161">
        <v>44371.67732638889</v>
      </c>
      <c r="B41" t="s">
        <v>247</v>
      </c>
      <c r="C41" t="s">
        <v>222</v>
      </c>
      <c r="D41" t="s">
        <v>223</v>
      </c>
      <c r="E41" t="s">
        <v>259</v>
      </c>
      <c r="G41">
        <v>192</v>
      </c>
    </row>
    <row r="42" spans="1:7">
      <c r="A42" s="161">
        <v>44371.677361111113</v>
      </c>
      <c r="B42" t="s">
        <v>247</v>
      </c>
      <c r="C42" t="s">
        <v>222</v>
      </c>
      <c r="D42" t="s">
        <v>223</v>
      </c>
      <c r="E42" t="s">
        <v>260</v>
      </c>
      <c r="G42">
        <v>197</v>
      </c>
    </row>
    <row r="43" spans="1:7">
      <c r="A43" s="161">
        <v>44371.677384259259</v>
      </c>
      <c r="B43" t="s">
        <v>247</v>
      </c>
      <c r="C43" t="s">
        <v>222</v>
      </c>
      <c r="D43" t="s">
        <v>223</v>
      </c>
      <c r="E43" t="s">
        <v>261</v>
      </c>
      <c r="G43">
        <v>197</v>
      </c>
    </row>
    <row r="44" spans="1:7">
      <c r="A44" s="161">
        <v>44371.677476851852</v>
      </c>
      <c r="B44" t="s">
        <v>247</v>
      </c>
      <c r="C44" t="s">
        <v>222</v>
      </c>
      <c r="D44" t="s">
        <v>223</v>
      </c>
      <c r="E44" t="s">
        <v>262</v>
      </c>
      <c r="G44">
        <v>190</v>
      </c>
    </row>
    <row r="45" spans="1:7">
      <c r="A45" s="161">
        <v>44371.677511574075</v>
      </c>
      <c r="B45" t="s">
        <v>247</v>
      </c>
      <c r="C45" t="s">
        <v>222</v>
      </c>
      <c r="D45" t="s">
        <v>223</v>
      </c>
      <c r="E45" t="s">
        <v>263</v>
      </c>
      <c r="G45">
        <v>192</v>
      </c>
    </row>
    <row r="46" spans="1:7">
      <c r="A46" s="161">
        <v>44371.677523148152</v>
      </c>
      <c r="B46" t="s">
        <v>247</v>
      </c>
      <c r="C46" t="s">
        <v>222</v>
      </c>
      <c r="D46" t="s">
        <v>223</v>
      </c>
      <c r="E46" t="s">
        <v>264</v>
      </c>
      <c r="G46">
        <v>192</v>
      </c>
    </row>
    <row r="47" spans="1:7">
      <c r="A47" s="161">
        <v>44371.677546296298</v>
      </c>
      <c r="B47" t="s">
        <v>247</v>
      </c>
      <c r="C47" t="s">
        <v>222</v>
      </c>
      <c r="D47" t="s">
        <v>223</v>
      </c>
      <c r="E47" t="s">
        <v>265</v>
      </c>
      <c r="G47">
        <v>192</v>
      </c>
    </row>
    <row r="48" spans="1:7">
      <c r="A48" s="161">
        <v>44371.677766203706</v>
      </c>
      <c r="B48" t="s">
        <v>247</v>
      </c>
      <c r="C48" t="s">
        <v>222</v>
      </c>
      <c r="D48" t="s">
        <v>223</v>
      </c>
      <c r="E48" t="s">
        <v>266</v>
      </c>
      <c r="G48">
        <v>189</v>
      </c>
    </row>
    <row r="49" spans="1:7">
      <c r="A49" s="161">
        <v>44371.677789351852</v>
      </c>
      <c r="B49" t="s">
        <v>247</v>
      </c>
      <c r="C49" t="s">
        <v>222</v>
      </c>
      <c r="D49" t="s">
        <v>223</v>
      </c>
      <c r="E49" t="s">
        <v>267</v>
      </c>
      <c r="G49">
        <v>189</v>
      </c>
    </row>
    <row r="50" spans="1:7">
      <c r="A50" s="161">
        <v>44371.677916666667</v>
      </c>
      <c r="B50" t="s">
        <v>247</v>
      </c>
      <c r="C50" t="s">
        <v>222</v>
      </c>
      <c r="D50" t="s">
        <v>223</v>
      </c>
      <c r="E50" t="s">
        <v>268</v>
      </c>
      <c r="G50">
        <v>189</v>
      </c>
    </row>
    <row r="51" spans="1:7">
      <c r="A51" s="161">
        <v>44371.678136574075</v>
      </c>
      <c r="B51" t="s">
        <v>247</v>
      </c>
      <c r="C51" t="s">
        <v>222</v>
      </c>
      <c r="D51" t="s">
        <v>223</v>
      </c>
      <c r="E51" t="s">
        <v>20</v>
      </c>
      <c r="G51" t="s">
        <v>16</v>
      </c>
    </row>
  </sheetData>
  <mergeCells count="1">
    <mergeCell ref="A1:G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8"/>
  <dimension ref="A1:G6"/>
  <sheetViews>
    <sheetView workbookViewId="0">
      <selection activeCell="G9" sqref="G9"/>
    </sheetView>
  </sheetViews>
  <sheetFormatPr defaultRowHeight="15"/>
  <cols>
    <col min="1" max="1" width="17.7109375" bestFit="1" customWidth="1"/>
    <col min="2" max="2" width="13" customWidth="1"/>
    <col min="6" max="6" width="11" customWidth="1"/>
    <col min="7" max="7" width="9.140625" customWidth="1"/>
  </cols>
  <sheetData>
    <row r="1" spans="1:7">
      <c r="A1" t="s">
        <v>269</v>
      </c>
      <c r="B1" t="s">
        <v>270</v>
      </c>
      <c r="C1" t="s">
        <v>5</v>
      </c>
      <c r="F1" t="s">
        <v>215</v>
      </c>
    </row>
    <row r="2" spans="1:7">
      <c r="A2" t="s">
        <v>271</v>
      </c>
      <c r="B2" t="s">
        <v>221</v>
      </c>
      <c r="C2" t="s">
        <v>272</v>
      </c>
      <c r="F2" t="s">
        <v>273</v>
      </c>
      <c r="G2" t="str">
        <f>IFERROR(INDEX(Autorizations[[#All],[User Name]],MATCH($F$2,Autorizations[[#All],[User Name]],0))=$F$2,"FALSO")</f>
        <v>FALSO</v>
      </c>
    </row>
    <row r="3" spans="1:7">
      <c r="A3" t="s">
        <v>274</v>
      </c>
      <c r="B3" t="s">
        <v>275</v>
      </c>
      <c r="C3" t="s">
        <v>272</v>
      </c>
    </row>
    <row r="4" spans="1:7">
      <c r="A4" t="s">
        <v>276</v>
      </c>
      <c r="B4" t="s">
        <v>277</v>
      </c>
      <c r="C4" t="s">
        <v>272</v>
      </c>
    </row>
    <row r="5" spans="1:7">
      <c r="A5" t="s">
        <v>278</v>
      </c>
      <c r="B5" t="s">
        <v>279</v>
      </c>
      <c r="C5" t="s">
        <v>272</v>
      </c>
    </row>
    <row r="6" spans="1:7">
      <c r="A6" t="s">
        <v>280</v>
      </c>
      <c r="B6" t="s">
        <v>247</v>
      </c>
      <c r="C6" t="s">
        <v>272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3"/>
  <dimension ref="A1:B4"/>
  <sheetViews>
    <sheetView workbookViewId="0">
      <selection activeCell="N10" sqref="N10"/>
    </sheetView>
  </sheetViews>
  <sheetFormatPr defaultRowHeight="15"/>
  <sheetData>
    <row r="1" spans="1:2" ht="15.75" thickBot="1">
      <c r="A1" s="108"/>
      <c r="B1" t="s">
        <v>281</v>
      </c>
    </row>
    <row r="2" spans="1:2" ht="15.75" thickBot="1">
      <c r="A2" s="109"/>
      <c r="B2" t="s">
        <v>282</v>
      </c>
    </row>
    <row r="3" spans="1:2" ht="15.75" thickBot="1">
      <c r="A3" s="110"/>
      <c r="B3" t="s">
        <v>283</v>
      </c>
    </row>
    <row r="4" spans="1:2" ht="15.75" thickBot="1">
      <c r="A4" s="148"/>
      <c r="B4" t="s">
        <v>284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4"/>
  <dimension ref="A1:L99"/>
  <sheetViews>
    <sheetView topLeftCell="B1" zoomScale="70" zoomScaleNormal="70" workbookViewId="0">
      <selection activeCell="D43" sqref="D43"/>
    </sheetView>
  </sheetViews>
  <sheetFormatPr defaultRowHeight="15"/>
  <cols>
    <col min="1" max="1" width="50.7109375" bestFit="1" customWidth="1"/>
    <col min="2" max="2" width="49.7109375" bestFit="1" customWidth="1"/>
    <col min="3" max="3" width="43.85546875" bestFit="1" customWidth="1"/>
    <col min="5" max="5" width="38.140625" bestFit="1" customWidth="1"/>
    <col min="6" max="6" width="50.7109375" bestFit="1" customWidth="1"/>
    <col min="7" max="7" width="43.42578125" bestFit="1" customWidth="1"/>
    <col min="8" max="8" width="26.28515625" bestFit="1" customWidth="1"/>
    <col min="9" max="9" width="43.85546875" bestFit="1" customWidth="1"/>
    <col min="10" max="10" width="30.5703125" bestFit="1" customWidth="1"/>
  </cols>
  <sheetData>
    <row r="1" spans="1:12" ht="15.75" thickBot="1">
      <c r="A1" s="1" t="s">
        <v>285</v>
      </c>
      <c r="B1" s="1" t="s">
        <v>286</v>
      </c>
      <c r="C1" s="1" t="s">
        <v>287</v>
      </c>
      <c r="F1" s="1" t="s">
        <v>285</v>
      </c>
      <c r="G1" s="162" t="s">
        <v>286</v>
      </c>
      <c r="H1" s="164"/>
      <c r="I1" s="162" t="s">
        <v>287</v>
      </c>
      <c r="J1" s="164"/>
    </row>
    <row r="2" spans="1:12">
      <c r="A2" s="2" t="s">
        <v>288</v>
      </c>
      <c r="B2" s="3" t="s">
        <v>289</v>
      </c>
      <c r="C2" s="2" t="s">
        <v>107</v>
      </c>
      <c r="F2" s="4" t="s">
        <v>288</v>
      </c>
      <c r="G2" s="3"/>
      <c r="H2" s="5"/>
      <c r="I2" s="3"/>
      <c r="J2" s="5"/>
      <c r="L2" s="31"/>
    </row>
    <row r="3" spans="1:12">
      <c r="A3" s="6" t="s">
        <v>30</v>
      </c>
      <c r="B3" s="7" t="s">
        <v>50</v>
      </c>
      <c r="C3" s="6" t="s">
        <v>111</v>
      </c>
      <c r="F3" s="8" t="s">
        <v>30</v>
      </c>
      <c r="G3" s="7"/>
      <c r="H3" s="9"/>
      <c r="I3" s="7" t="s">
        <v>290</v>
      </c>
      <c r="J3" s="9"/>
    </row>
    <row r="4" spans="1:12">
      <c r="A4" s="6" t="s">
        <v>43</v>
      </c>
      <c r="B4" s="7" t="s">
        <v>110</v>
      </c>
      <c r="C4" s="6" t="s">
        <v>289</v>
      </c>
      <c r="F4" s="8" t="s">
        <v>32</v>
      </c>
      <c r="G4" s="7"/>
      <c r="H4" s="9"/>
      <c r="I4" s="7"/>
      <c r="J4" s="9"/>
    </row>
    <row r="5" spans="1:12">
      <c r="A5" s="6" t="s">
        <v>32</v>
      </c>
      <c r="B5" s="7" t="s">
        <v>111</v>
      </c>
      <c r="C5" s="6" t="s">
        <v>290</v>
      </c>
      <c r="F5" s="10" t="s">
        <v>291</v>
      </c>
      <c r="G5" s="7"/>
      <c r="H5" s="9"/>
      <c r="I5" s="7"/>
      <c r="J5" s="9"/>
    </row>
    <row r="6" spans="1:12">
      <c r="A6" s="6" t="s">
        <v>46</v>
      </c>
      <c r="B6" s="7" t="s">
        <v>292</v>
      </c>
      <c r="C6" s="6" t="s">
        <v>292</v>
      </c>
      <c r="F6" s="6" t="s">
        <v>65</v>
      </c>
      <c r="G6" s="7" t="s">
        <v>65</v>
      </c>
      <c r="H6" s="9"/>
      <c r="I6" s="7"/>
      <c r="J6" s="9"/>
    </row>
    <row r="7" spans="1:12">
      <c r="A7" s="6" t="s">
        <v>291</v>
      </c>
      <c r="B7" s="7" t="s">
        <v>67</v>
      </c>
      <c r="C7" s="6" t="s">
        <v>24</v>
      </c>
      <c r="F7" s="11" t="s">
        <v>293</v>
      </c>
      <c r="G7" s="7"/>
      <c r="H7" s="9"/>
      <c r="I7" s="7"/>
      <c r="J7" s="9"/>
    </row>
    <row r="8" spans="1:12">
      <c r="A8" s="6" t="s">
        <v>50</v>
      </c>
      <c r="B8" s="7" t="s">
        <v>294</v>
      </c>
      <c r="C8" s="6" t="s">
        <v>295</v>
      </c>
      <c r="F8" s="10" t="s">
        <v>13</v>
      </c>
      <c r="G8" s="7"/>
      <c r="H8" s="9"/>
      <c r="I8" s="7"/>
      <c r="J8" s="9"/>
    </row>
    <row r="9" spans="1:12" ht="15.75" thickBot="1">
      <c r="A9" s="6" t="s">
        <v>296</v>
      </c>
      <c r="B9" s="7" t="s">
        <v>297</v>
      </c>
      <c r="C9" s="6" t="s">
        <v>298</v>
      </c>
      <c r="F9" s="12" t="s">
        <v>299</v>
      </c>
      <c r="G9" s="13" t="s">
        <v>300</v>
      </c>
      <c r="H9" s="14"/>
      <c r="I9" s="13"/>
      <c r="J9" s="14"/>
    </row>
    <row r="10" spans="1:12" ht="15.75" thickBot="1">
      <c r="A10" s="6" t="s">
        <v>55</v>
      </c>
      <c r="B10" s="7" t="s">
        <v>301</v>
      </c>
      <c r="C10" s="6" t="s">
        <v>302</v>
      </c>
      <c r="F10" s="15" t="s">
        <v>43</v>
      </c>
      <c r="G10" s="16" t="s">
        <v>289</v>
      </c>
      <c r="H10" s="17"/>
      <c r="I10" s="16" t="s">
        <v>289</v>
      </c>
      <c r="J10" s="17"/>
    </row>
    <row r="11" spans="1:12" ht="15.75" thickBot="1">
      <c r="A11" s="6" t="s">
        <v>303</v>
      </c>
      <c r="B11" s="7" t="s">
        <v>65</v>
      </c>
      <c r="C11" s="6" t="s">
        <v>71</v>
      </c>
      <c r="F11" s="15" t="s">
        <v>46</v>
      </c>
      <c r="G11" s="16"/>
      <c r="H11" s="17"/>
      <c r="I11" s="16"/>
      <c r="J11" s="17"/>
    </row>
    <row r="12" spans="1:12">
      <c r="A12" s="6" t="s">
        <v>62</v>
      </c>
      <c r="B12" s="7" t="s">
        <v>304</v>
      </c>
      <c r="C12" s="6" t="s">
        <v>305</v>
      </c>
      <c r="F12" s="18" t="s">
        <v>24</v>
      </c>
      <c r="G12" s="3"/>
      <c r="H12" s="5"/>
      <c r="I12" s="19" t="s">
        <v>24</v>
      </c>
      <c r="J12" s="5"/>
    </row>
    <row r="13" spans="1:12">
      <c r="A13" s="6" t="s">
        <v>65</v>
      </c>
      <c r="B13" s="7" t="s">
        <v>306</v>
      </c>
      <c r="C13" s="6" t="s">
        <v>307</v>
      </c>
      <c r="F13" s="6" t="s">
        <v>50</v>
      </c>
      <c r="G13" s="20" t="s">
        <v>50</v>
      </c>
      <c r="H13" s="21" t="s">
        <v>306</v>
      </c>
      <c r="I13" s="20" t="s">
        <v>298</v>
      </c>
      <c r="J13" s="21" t="s">
        <v>305</v>
      </c>
    </row>
    <row r="14" spans="1:12">
      <c r="A14" s="6" t="s">
        <v>308</v>
      </c>
      <c r="B14" s="7" t="s">
        <v>300</v>
      </c>
      <c r="C14" s="6" t="s">
        <v>309</v>
      </c>
      <c r="F14" s="22" t="s">
        <v>296</v>
      </c>
      <c r="G14" s="7"/>
      <c r="H14" s="9"/>
      <c r="I14" s="7"/>
      <c r="J14" s="9"/>
    </row>
    <row r="15" spans="1:12" ht="15.75" thickBot="1">
      <c r="A15" s="6" t="s">
        <v>67</v>
      </c>
      <c r="B15" s="13" t="s">
        <v>310</v>
      </c>
      <c r="C15" s="6" t="s">
        <v>311</v>
      </c>
      <c r="F15" s="6" t="s">
        <v>55</v>
      </c>
      <c r="G15" s="7"/>
      <c r="H15" s="9"/>
      <c r="I15" s="7" t="s">
        <v>311</v>
      </c>
      <c r="J15" s="9"/>
    </row>
    <row r="16" spans="1:12">
      <c r="A16" s="6" t="s">
        <v>71</v>
      </c>
      <c r="C16" s="6" t="s">
        <v>310</v>
      </c>
      <c r="F16" s="22" t="s">
        <v>308</v>
      </c>
      <c r="G16" s="7" t="s">
        <v>292</v>
      </c>
      <c r="H16" s="9"/>
      <c r="I16" s="7" t="s">
        <v>292</v>
      </c>
      <c r="J16" s="9"/>
    </row>
    <row r="17" spans="1:10" ht="15.75" thickBot="1">
      <c r="A17" s="6" t="s">
        <v>312</v>
      </c>
      <c r="C17" s="23" t="s">
        <v>313</v>
      </c>
      <c r="F17" s="11" t="s">
        <v>67</v>
      </c>
      <c r="G17" s="7" t="s">
        <v>67</v>
      </c>
      <c r="H17" s="9"/>
      <c r="I17" s="7" t="s">
        <v>295</v>
      </c>
      <c r="J17" s="9"/>
    </row>
    <row r="18" spans="1:10">
      <c r="A18" s="6" t="s">
        <v>293</v>
      </c>
      <c r="F18" s="8" t="s">
        <v>21</v>
      </c>
      <c r="G18" s="7" t="s">
        <v>297</v>
      </c>
      <c r="H18" s="9"/>
      <c r="I18" s="24" t="s">
        <v>302</v>
      </c>
      <c r="J18" s="9"/>
    </row>
    <row r="19" spans="1:10" ht="15.75" thickBot="1">
      <c r="A19" s="6" t="s">
        <v>21</v>
      </c>
      <c r="F19" s="12" t="s">
        <v>314</v>
      </c>
      <c r="G19" s="13"/>
      <c r="H19" s="14"/>
      <c r="I19" s="13"/>
      <c r="J19" s="14"/>
    </row>
    <row r="20" spans="1:10">
      <c r="A20" s="6" t="s">
        <v>74</v>
      </c>
      <c r="F20" s="2" t="s">
        <v>303</v>
      </c>
      <c r="G20" s="3"/>
      <c r="H20" s="5"/>
      <c r="I20" s="3"/>
      <c r="J20" s="5"/>
    </row>
    <row r="21" spans="1:10">
      <c r="A21" s="6" t="s">
        <v>76</v>
      </c>
      <c r="F21" s="6" t="s">
        <v>76</v>
      </c>
      <c r="G21" s="7"/>
      <c r="H21" s="9"/>
      <c r="I21" s="7"/>
      <c r="J21" s="9"/>
    </row>
    <row r="22" spans="1:10">
      <c r="A22" s="6" t="s">
        <v>13</v>
      </c>
      <c r="F22" s="6" t="s">
        <v>315</v>
      </c>
      <c r="G22" s="7"/>
      <c r="H22" s="9"/>
      <c r="I22" s="7"/>
      <c r="J22" s="9"/>
    </row>
    <row r="23" spans="1:10">
      <c r="A23" s="6" t="s">
        <v>79</v>
      </c>
      <c r="F23" s="6" t="s">
        <v>316</v>
      </c>
      <c r="G23" s="7"/>
      <c r="H23" s="9"/>
      <c r="I23" s="7"/>
      <c r="J23" s="9"/>
    </row>
    <row r="24" spans="1:10" ht="15.75" thickBot="1">
      <c r="A24" s="6" t="s">
        <v>104</v>
      </c>
      <c r="F24" s="23" t="s">
        <v>79</v>
      </c>
      <c r="G24" s="13"/>
      <c r="H24" s="14"/>
      <c r="I24" s="13"/>
      <c r="J24" s="14"/>
    </row>
    <row r="25" spans="1:10" ht="15.75" thickBot="1">
      <c r="A25" s="6" t="s">
        <v>81</v>
      </c>
      <c r="F25" s="15" t="s">
        <v>62</v>
      </c>
      <c r="G25" s="16"/>
      <c r="H25" s="17"/>
      <c r="J25" s="17"/>
    </row>
    <row r="26" spans="1:10" ht="15.75" thickBot="1">
      <c r="A26" s="6" t="s">
        <v>24</v>
      </c>
      <c r="F26" s="15" t="s">
        <v>71</v>
      </c>
      <c r="G26" s="16"/>
      <c r="H26" s="17"/>
      <c r="I26" s="16" t="s">
        <v>71</v>
      </c>
      <c r="J26" s="17"/>
    </row>
    <row r="27" spans="1:10">
      <c r="A27" s="6" t="s">
        <v>83</v>
      </c>
      <c r="F27" s="25" t="s">
        <v>312</v>
      </c>
      <c r="G27" s="3"/>
      <c r="H27" s="5"/>
      <c r="I27" s="3"/>
      <c r="J27" s="5"/>
    </row>
    <row r="28" spans="1:10" ht="15.75" thickBot="1">
      <c r="A28" s="6" t="s">
        <v>88</v>
      </c>
      <c r="F28" s="26" t="s">
        <v>74</v>
      </c>
      <c r="G28" s="13"/>
      <c r="H28" s="14"/>
      <c r="I28" s="13"/>
      <c r="J28" s="14"/>
    </row>
    <row r="29" spans="1:10" ht="15.75" thickBot="1">
      <c r="A29" s="6" t="s">
        <v>299</v>
      </c>
      <c r="F29" s="15" t="s">
        <v>104</v>
      </c>
      <c r="G29" s="16" t="s">
        <v>301</v>
      </c>
      <c r="H29" s="17"/>
      <c r="I29" s="16"/>
      <c r="J29" s="17"/>
    </row>
    <row r="30" spans="1:10">
      <c r="A30" s="6" t="s">
        <v>316</v>
      </c>
      <c r="F30" s="27" t="s">
        <v>81</v>
      </c>
      <c r="G30" s="3"/>
      <c r="H30" s="5"/>
      <c r="I30" s="3"/>
      <c r="J30" s="5"/>
    </row>
    <row r="31" spans="1:10">
      <c r="A31" s="6" t="s">
        <v>314</v>
      </c>
      <c r="F31" s="28" t="s">
        <v>88</v>
      </c>
      <c r="G31" s="7"/>
      <c r="H31" s="9"/>
      <c r="I31" s="7"/>
      <c r="J31" s="9"/>
    </row>
    <row r="32" spans="1:10">
      <c r="A32" s="6" t="s">
        <v>317</v>
      </c>
      <c r="F32" s="29" t="s">
        <v>317</v>
      </c>
      <c r="G32" s="7"/>
      <c r="H32" s="9"/>
      <c r="I32" s="7"/>
      <c r="J32" s="9"/>
    </row>
    <row r="33" spans="1:10">
      <c r="A33" s="6" t="s">
        <v>91</v>
      </c>
      <c r="F33" s="6" t="s">
        <v>91</v>
      </c>
      <c r="G33" s="7"/>
      <c r="H33" s="9"/>
      <c r="I33" s="7"/>
      <c r="J33" s="9"/>
    </row>
    <row r="34" spans="1:10" ht="15.75" thickBot="1">
      <c r="A34" s="6" t="s">
        <v>318</v>
      </c>
      <c r="F34" s="30" t="s">
        <v>318</v>
      </c>
      <c r="G34" s="13"/>
      <c r="H34" s="14"/>
      <c r="I34" s="13"/>
      <c r="J34" s="14"/>
    </row>
    <row r="35" spans="1:10" ht="15.75" thickBot="1">
      <c r="A35" s="6" t="s">
        <v>319</v>
      </c>
      <c r="F35" s="15" t="s">
        <v>83</v>
      </c>
      <c r="G35" s="16"/>
      <c r="H35" s="17"/>
      <c r="I35" s="16"/>
      <c r="J35" s="17"/>
    </row>
    <row r="36" spans="1:10" ht="15.75" thickBot="1">
      <c r="A36" s="23" t="s">
        <v>315</v>
      </c>
      <c r="F36" s="15" t="s">
        <v>319</v>
      </c>
      <c r="G36" s="16" t="s">
        <v>310</v>
      </c>
      <c r="H36" s="17"/>
      <c r="I36" s="16" t="s">
        <v>310</v>
      </c>
      <c r="J36" s="17"/>
    </row>
    <row r="38" spans="1:10" ht="15.75" thickBot="1"/>
    <row r="39" spans="1:10">
      <c r="G39" s="3" t="s">
        <v>110</v>
      </c>
      <c r="H39" s="5"/>
      <c r="I39" s="3" t="s">
        <v>107</v>
      </c>
      <c r="J39" s="5"/>
    </row>
    <row r="40" spans="1:10">
      <c r="G40" s="7" t="s">
        <v>111</v>
      </c>
      <c r="H40" s="9"/>
      <c r="I40" s="7" t="s">
        <v>111</v>
      </c>
      <c r="J40" s="9"/>
    </row>
    <row r="41" spans="1:10">
      <c r="G41" s="7" t="s">
        <v>294</v>
      </c>
      <c r="H41" s="9"/>
      <c r="I41" s="7" t="s">
        <v>307</v>
      </c>
      <c r="J41" s="9" t="s">
        <v>309</v>
      </c>
    </row>
    <row r="42" spans="1:10" ht="15.75" thickBot="1">
      <c r="G42" s="13" t="s">
        <v>304</v>
      </c>
      <c r="H42" s="14"/>
      <c r="I42" s="13" t="s">
        <v>313</v>
      </c>
      <c r="J42" s="14"/>
    </row>
    <row r="45" spans="1:10">
      <c r="F45" t="str">
        <f>IF(LEFT(F3,4)="ASTM",+RIGHT(F3,LEN(F3)-10),F3)</f>
        <v>Tp.316L</v>
      </c>
      <c r="G45" t="str">
        <f>IF(LEFT(G16,4)="ASTM",+RIGHT(G16,LEN(G16)-10),G16)</f>
        <v>Tp316L (HRC&lt;22)</v>
      </c>
      <c r="I45" t="str">
        <f>IF(LEFT(I16,4)="ASTM",+RIGHT(I16,LEN(I16)-10),I16)</f>
        <v>Tp316L (HRC&lt;22)</v>
      </c>
    </row>
    <row r="46" spans="1:10">
      <c r="F46" t="str">
        <f>IF(LEFT(F7,4)="ASTM",+RIGHT(F7,LEN(F7)-10),F7)</f>
        <v>Tp.XM19 (HRC&lt;22)</v>
      </c>
      <c r="G46" t="str">
        <f>IF(LEFT(G9,4)="ASTM",+RIGHT(G9,LEN(G9)-10),G9)</f>
        <v>Tp XM19 (HRC&lt;22, RP0,2%&gt;4,5 MPa)</v>
      </c>
    </row>
    <row r="47" spans="1:10">
      <c r="F47" t="str">
        <f>IF(LEFT(F10,4)="ASTM",+RIGHT(F10,LEN(F10)-10),F10)</f>
        <v>EN10250-3 36CrNiMo4</v>
      </c>
      <c r="G47" t="str">
        <f>IF(LEFT(G10,4)="ASTM",+RIGHT(G10,LEN(G10)-10),G10)</f>
        <v>EN 10250-3 36CrNiMo4</v>
      </c>
      <c r="I47" t="str">
        <f>IF(LEFT(I10,4)="ASTM",+RIGHT(I10,LEN(I10)-10),I10)</f>
        <v>EN 10250-3 36CrNiMo4</v>
      </c>
    </row>
    <row r="48" spans="1:10">
      <c r="F48" t="str">
        <f>IF(LEFT(F11,4)="ASTM",+RIGHT(F11,LEN(F11)-10),F11)</f>
        <v>Tp.420</v>
      </c>
      <c r="G48" t="str">
        <f>IF(LEFT(G13,4)="ASTM",+RIGHT(G13,LEN(G13)-10),G13)</f>
        <v>Tp.420</v>
      </c>
      <c r="H48" t="str">
        <f>IF(LEFT(H13,4)="ASTM",+RIGHT(H13,LEN(H13)-10),H13)</f>
        <v>Tp. 420 (HRC&lt;22)</v>
      </c>
      <c r="I48" t="str">
        <f>IF(LEFT(I13,4)="ASTM",+RIGHT(I13,LEN(I13)-10),I13)</f>
        <v>Tp420</v>
      </c>
      <c r="J48" t="str">
        <f>IF(LEFT(J13,4)="ASTM",+RIGHT(J13,LEN(J13)-10),J13)</f>
        <v>Tp420 (HRC&lt;22)</v>
      </c>
    </row>
    <row r="49" spans="6:9">
      <c r="F49" t="str">
        <f>IF(LEFT(F15,4)="ASTM",+RIGHT(F15,LEN(F15)-10),F15)</f>
        <v>Tp.410</v>
      </c>
      <c r="I49" t="str">
        <f>IF(LEFT(I15,4)="ASTM",+RIGHT(I15,LEN(I15)-10),I15)</f>
        <v>Tp. 410</v>
      </c>
    </row>
    <row r="50" spans="6:9">
      <c r="F50" t="str">
        <f>IF(LEFT(F17,4)="ASTM",+RIGHT(F17,LEN(F17)-10),F17)</f>
        <v>UNS S32760</v>
      </c>
      <c r="G50" t="str">
        <f>IF(LEFT(G17,4)="ASTM",+RIGHT(G17,LEN(G17)-10),G17)</f>
        <v>UNS S32760</v>
      </c>
    </row>
    <row r="51" spans="6:9">
      <c r="F51" t="str">
        <f>IF(LEFT(F18,4)="ASTM",+RIGHT(F18,LEN(F18)-10),F18)</f>
        <v>UNS S31803</v>
      </c>
      <c r="G51" t="str">
        <f>IF(LEFT(G18,4)="ASTM",+RIGHT(G18,LEN(G18)-10),G18)</f>
        <v>UNS 31803</v>
      </c>
      <c r="I51" t="str">
        <f>IF(LEFT(I12,4)="ASTM",+RIGHT(I12,LEN(I12)-10),I12)</f>
        <v>UNS S31803 (HRC&lt;25)</v>
      </c>
    </row>
    <row r="52" spans="6:9">
      <c r="F52" t="str">
        <f>IF(LEFT(F20,4)="ASTM",+RIGHT(F20,LEN(F20)-10),F20)</f>
        <v>F6NM (HRC&lt;23)</v>
      </c>
    </row>
    <row r="53" spans="6:9">
      <c r="F53" t="str">
        <f>IF(LEFT(F21,4)="ASTM",+RIGHT(F21,LEN(F21)-10),F21)</f>
        <v>F55</v>
      </c>
    </row>
    <row r="54" spans="6:9">
      <c r="F54" t="str">
        <f>IF(LEFT(F24,4)="ASTM",+RIGHT(F24,LEN(F24)-10),F24)</f>
        <v>Tp. F51</v>
      </c>
    </row>
    <row r="55" spans="6:9">
      <c r="F55" t="str">
        <f>IF(LEFT(F25,4)="ASTM",+RIGHT(F25,LEN(F25)-10),F25)</f>
        <v>AISI 4140</v>
      </c>
    </row>
    <row r="56" spans="6:9">
      <c r="F56" t="str">
        <f>IF(LEFT(F26,4)="ASTM",+RIGHT(F26,LEN(F26)-10),F26)</f>
        <v>Gr.1045</v>
      </c>
      <c r="I56" t="str">
        <f>IF(LEFT(I26,4)="ASTM",+RIGHT(I26,LEN(I26)-10),I26)</f>
        <v>Gr.1045</v>
      </c>
    </row>
    <row r="57" spans="6:9">
      <c r="F57" t="str">
        <f>IF(LEFT(F28,4)="ASTM",+RIGHT(F28,LEN(F28)-10),F28)</f>
        <v>UNS N08825</v>
      </c>
      <c r="G57" t="str">
        <f>IF(LEFT(G41,4)="ASTM",+RIGHT(G41,LEN(G41)-10),G41)</f>
        <v>UNS N08825 (HRC&lt;35)</v>
      </c>
    </row>
    <row r="58" spans="6:9">
      <c r="F58" t="str">
        <f>IF(LEFT(F29,4)="ASTM",+RIGHT(F29,LEN(F29)-10),F29)</f>
        <v>C45 UNI 7845</v>
      </c>
      <c r="G58" t="str">
        <f>IF(LEFT(G29,4)="ASTM",+RIGHT(G29,LEN(G29)-10),G29)</f>
        <v>C45</v>
      </c>
    </row>
    <row r="59" spans="6:9">
      <c r="F59" t="str">
        <f>IF(LEFT(F30,4)="ASTM",+RIGHT(F30,LEN(F30)-10),F30)</f>
        <v>Cl.BC</v>
      </c>
    </row>
    <row r="60" spans="6:9">
      <c r="F60" t="str">
        <f>IF(LEFT(F31,4)="ASTM",+RIGHT(F31,LEN(F31)-10),F31)</f>
        <v>Cl.BB</v>
      </c>
    </row>
    <row r="61" spans="6:9">
      <c r="F61" t="str">
        <f>IF(LEFT(F33,4)="ASTM",+RIGHT(F33,LEN(F33)-10),F33)</f>
        <v>cl. BB/BC</v>
      </c>
    </row>
    <row r="62" spans="6:9">
      <c r="F62" t="str">
        <f>IF(LEFT(F35,4)="ASTM",+RIGHT(F35,LEN(F35)-10),F35)</f>
        <v>Gr.1B</v>
      </c>
    </row>
    <row r="63" spans="6:9">
      <c r="F63" t="str">
        <f>IF(LEFT(F36,4)="ASTM",+RIGHT(F36,LEN(F36)-10),F36)</f>
        <v>UNS N05500 (HRC&lt;29, Rp0.2% &gt;=590 MPa)</v>
      </c>
      <c r="G63" t="str">
        <f>IF(LEFT(G36,4)="ASTM",+RIGHT(G36,LEN(G36)-10),G36)</f>
        <v>UNS N05500 (HRC&lt;29,Rp0.2% &gt;=590 MPa)</v>
      </c>
      <c r="I63" t="str">
        <f>IF(LEFT(I36,4)="ASTM",+RIGHT(I36,LEN(I36)-10),I36)</f>
        <v>UNS N05500 (HRC&lt;29,Rp0.2% &gt;=590 MPa)</v>
      </c>
    </row>
    <row r="65" spans="5:10">
      <c r="G65" t="str">
        <f>IF(LEFT(G39,4)="ASTM",+RIGHT(G39,LEN(G39)-10),G39)</f>
        <v>X30 Cr13 UNI 6900 (AISI 420)</v>
      </c>
      <c r="I65" t="str">
        <f>IF(LEFT(I39,4)="ASTM",+RIGHT(I39,LEN(I39)-10),I39)</f>
        <v>Fe 60 UNI 7230</v>
      </c>
    </row>
    <row r="66" spans="5:10">
      <c r="G66" t="str">
        <f>IF(LEFT(G40,4)="ASTM",+RIGHT(G40,LEN(G40)-10),G40)</f>
        <v>X10 Cr Ni 1809 UNI 6900</v>
      </c>
      <c r="I66" t="str">
        <f>IF(LEFT(I40,4)="ASTM",+RIGHT(I40,LEN(I40)-10),I40)</f>
        <v>X10 Cr Ni 1809 UNI 6900</v>
      </c>
    </row>
    <row r="67" spans="5:10">
      <c r="G67" t="str">
        <f>IF(LEFT(G42,4)="ASTM",+RIGHT(G42,LEN(G42)-10),G42)</f>
        <v>Fe 430b UNI 7070</v>
      </c>
      <c r="I67" t="str">
        <f>IF(LEFT(I41,4)="ASTM",+RIGHT(I41,LEN(I41)-10),I41)</f>
        <v>Gr. 4140</v>
      </c>
      <c r="J67" t="str">
        <f>IF(LEFT(J41,4)="ASTM",+RIGHT(J41,LEN(J41)-10),J41)</f>
        <v>Gr.4140 (HRC&lt;22)</v>
      </c>
    </row>
    <row r="68" spans="5:10">
      <c r="I68" t="str">
        <f>IF(LEFT(I42,4)="ASTM",+RIGHT(I42,LEN(I42)-10),I42)</f>
        <v>UNS S32750 (PREN&gt;40)</v>
      </c>
    </row>
    <row r="69" spans="5:10">
      <c r="I69" t="str">
        <f>IF(LEFT(I17,4)="ASTM",+RIGHT(I17,LEN(I17)-10),I17)</f>
        <v>S32760</v>
      </c>
    </row>
    <row r="70" spans="5:10">
      <c r="I70" t="str">
        <f>IF(LEFT(I18,4)="ASTM",+RIGHT(I18,LEN(I18)-10),I18)</f>
        <v>S31803</v>
      </c>
    </row>
    <row r="74" spans="5:10">
      <c r="E74" t="s">
        <v>320</v>
      </c>
      <c r="F74" t="s">
        <v>321</v>
      </c>
    </row>
    <row r="75" spans="5:10">
      <c r="E75" t="s">
        <v>320</v>
      </c>
      <c r="F75" t="s">
        <v>322</v>
      </c>
    </row>
    <row r="76" spans="5:10">
      <c r="E76" t="s">
        <v>320</v>
      </c>
      <c r="F76" t="s">
        <v>323</v>
      </c>
    </row>
    <row r="77" spans="5:10">
      <c r="E77" t="s">
        <v>324</v>
      </c>
      <c r="F77" t="s">
        <v>325</v>
      </c>
    </row>
    <row r="78" spans="5:10">
      <c r="E78" t="s">
        <v>324</v>
      </c>
      <c r="F78" t="s">
        <v>43</v>
      </c>
    </row>
    <row r="79" spans="5:10">
      <c r="E79" t="s">
        <v>324</v>
      </c>
      <c r="F79" t="s">
        <v>326</v>
      </c>
    </row>
    <row r="80" spans="5:10">
      <c r="E80" t="s">
        <v>320</v>
      </c>
      <c r="F80" t="s">
        <v>327</v>
      </c>
    </row>
    <row r="81" spans="5:6">
      <c r="E81" t="s">
        <v>320</v>
      </c>
      <c r="F81" t="s">
        <v>328</v>
      </c>
    </row>
    <row r="82" spans="5:6">
      <c r="E82" t="s">
        <v>320</v>
      </c>
      <c r="F82" t="s">
        <v>329</v>
      </c>
    </row>
    <row r="83" spans="5:6">
      <c r="E83" t="s">
        <v>320</v>
      </c>
      <c r="F83" t="s">
        <v>330</v>
      </c>
    </row>
    <row r="84" spans="5:6">
      <c r="E84" s="40" t="s">
        <v>331</v>
      </c>
      <c r="F84" t="s">
        <v>62</v>
      </c>
    </row>
    <row r="85" spans="5:6">
      <c r="E85" s="40" t="s">
        <v>331</v>
      </c>
      <c r="F85" t="s">
        <v>332</v>
      </c>
    </row>
    <row r="86" spans="5:6">
      <c r="E86" t="s">
        <v>320</v>
      </c>
      <c r="F86" t="s">
        <v>333</v>
      </c>
    </row>
    <row r="87" spans="5:6">
      <c r="E87" t="s">
        <v>331</v>
      </c>
      <c r="F87" t="s">
        <v>104</v>
      </c>
    </row>
    <row r="88" spans="5:6">
      <c r="E88" t="s">
        <v>320</v>
      </c>
      <c r="F88" t="s">
        <v>334</v>
      </c>
    </row>
    <row r="89" spans="5:6">
      <c r="E89" t="s">
        <v>324</v>
      </c>
      <c r="F89" t="s">
        <v>335</v>
      </c>
    </row>
    <row r="90" spans="5:6">
      <c r="E90" t="s">
        <v>324</v>
      </c>
      <c r="F90" t="s">
        <v>336</v>
      </c>
    </row>
    <row r="91" spans="5:6">
      <c r="E91" t="s">
        <v>320</v>
      </c>
      <c r="F91" t="s">
        <v>337</v>
      </c>
    </row>
    <row r="92" spans="5:6">
      <c r="E92" t="s">
        <v>320</v>
      </c>
      <c r="F92" t="s">
        <v>319</v>
      </c>
    </row>
    <row r="93" spans="5:6">
      <c r="E93" t="s">
        <v>331</v>
      </c>
      <c r="F93" t="s">
        <v>110</v>
      </c>
    </row>
    <row r="94" spans="5:6">
      <c r="E94" t="s">
        <v>331</v>
      </c>
      <c r="F94" t="s">
        <v>111</v>
      </c>
    </row>
    <row r="95" spans="5:6">
      <c r="E95" t="s">
        <v>331</v>
      </c>
      <c r="F95" t="s">
        <v>304</v>
      </c>
    </row>
    <row r="96" spans="5:6">
      <c r="E96" t="s">
        <v>338</v>
      </c>
      <c r="F96" s="32" t="s">
        <v>339</v>
      </c>
    </row>
    <row r="97" spans="5:6">
      <c r="E97" t="s">
        <v>331</v>
      </c>
      <c r="F97" t="s">
        <v>107</v>
      </c>
    </row>
    <row r="98" spans="5:6">
      <c r="E98" t="s">
        <v>324</v>
      </c>
      <c r="F98" t="s">
        <v>340</v>
      </c>
    </row>
    <row r="99" spans="5:6">
      <c r="E99" t="s">
        <v>331</v>
      </c>
      <c r="F99" t="s">
        <v>341</v>
      </c>
    </row>
  </sheetData>
  <mergeCells count="2">
    <mergeCell ref="G1:H1"/>
    <mergeCell ref="I1:J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5"/>
  <dimension ref="A1:H641"/>
  <sheetViews>
    <sheetView zoomScale="55" zoomScaleNormal="55" workbookViewId="0">
      <selection activeCell="D43" sqref="D43"/>
    </sheetView>
  </sheetViews>
  <sheetFormatPr defaultRowHeight="15"/>
  <cols>
    <col min="1" max="1" width="9.7109375" bestFit="1" customWidth="1"/>
    <col min="2" max="3" width="61.7109375" bestFit="1" customWidth="1"/>
    <col min="4" max="4" width="44.28515625" bestFit="1" customWidth="1"/>
    <col min="5" max="5" width="45.28515625" bestFit="1" customWidth="1"/>
    <col min="6" max="6" width="29.5703125" bestFit="1" customWidth="1"/>
    <col min="7" max="7" width="37.5703125" bestFit="1" customWidth="1"/>
    <col min="8" max="8" width="35" bestFit="1" customWidth="1"/>
  </cols>
  <sheetData>
    <row r="1" spans="1:8">
      <c r="A1" t="s">
        <v>342</v>
      </c>
      <c r="B1" t="s">
        <v>343</v>
      </c>
      <c r="C1" t="str">
        <f t="shared" ref="C1:C64" si="0">IF(LEFT(B1,4)="ASTM",+RIGHT(B1,LEN(B1)-10),B1)</f>
        <v xml:space="preserve"> UNS K03504</v>
      </c>
      <c r="D1" s="34" t="s">
        <v>321</v>
      </c>
      <c r="E1" s="35"/>
      <c r="F1" s="34" t="s">
        <v>344</v>
      </c>
      <c r="G1" s="38"/>
      <c r="H1" t="s">
        <v>345</v>
      </c>
    </row>
    <row r="2" spans="1:8">
      <c r="A2" t="s">
        <v>342</v>
      </c>
      <c r="B2" t="s">
        <v>346</v>
      </c>
      <c r="C2" t="str">
        <f t="shared" si="0"/>
        <v xml:space="preserve"> (ASME B31.3)</v>
      </c>
      <c r="D2" s="34" t="s">
        <v>322</v>
      </c>
      <c r="E2" s="38"/>
      <c r="F2" s="34"/>
      <c r="G2" s="34"/>
      <c r="H2" t="s">
        <v>347</v>
      </c>
    </row>
    <row r="3" spans="1:8">
      <c r="A3" t="s">
        <v>342</v>
      </c>
      <c r="B3" t="s">
        <v>348</v>
      </c>
      <c r="C3" t="str">
        <f t="shared" si="0"/>
        <v xml:space="preserve"> gr. B UNS K03006</v>
      </c>
      <c r="D3" s="34" t="s">
        <v>323</v>
      </c>
      <c r="E3" s="36"/>
      <c r="F3" s="34"/>
      <c r="G3" s="34"/>
      <c r="H3" t="s">
        <v>349</v>
      </c>
    </row>
    <row r="4" spans="1:8">
      <c r="A4" t="s">
        <v>342</v>
      </c>
      <c r="B4" t="s">
        <v>350</v>
      </c>
      <c r="C4" t="str">
        <f t="shared" si="0"/>
        <v xml:space="preserve"> F22 cl 3 UNS K21590</v>
      </c>
      <c r="D4" s="34" t="s">
        <v>325</v>
      </c>
      <c r="E4" s="38"/>
      <c r="F4" s="34"/>
      <c r="G4" s="38"/>
      <c r="H4" t="s">
        <v>351</v>
      </c>
    </row>
    <row r="5" spans="1:8">
      <c r="A5" t="s">
        <v>342</v>
      </c>
      <c r="B5" t="s">
        <v>352</v>
      </c>
      <c r="C5" t="str">
        <f t="shared" si="0"/>
        <v xml:space="preserve"> F304 UNS S30400 s &gt; 125 mm (Note G5)</v>
      </c>
      <c r="D5" s="34" t="s">
        <v>43</v>
      </c>
      <c r="E5" s="37"/>
      <c r="F5" s="34"/>
      <c r="G5" s="34"/>
      <c r="H5" t="s">
        <v>353</v>
      </c>
    </row>
    <row r="6" spans="1:8">
      <c r="A6" t="s">
        <v>342</v>
      </c>
      <c r="B6" t="s">
        <v>354</v>
      </c>
      <c r="C6" t="str">
        <f t="shared" si="0"/>
        <v xml:space="preserve"> F304 UNS S30400 s &gt; 125 mm</v>
      </c>
      <c r="D6" s="34" t="s">
        <v>326</v>
      </c>
      <c r="E6" s="37"/>
      <c r="F6" s="34"/>
      <c r="G6" s="34"/>
      <c r="H6" t="s">
        <v>355</v>
      </c>
    </row>
    <row r="7" spans="1:8">
      <c r="A7" t="s">
        <v>342</v>
      </c>
      <c r="B7" t="s">
        <v>356</v>
      </c>
      <c r="C7" t="str">
        <f t="shared" si="0"/>
        <v xml:space="preserve"> F304 UNS S30400 s &lt;= 125 mm</v>
      </c>
      <c r="D7" s="34" t="s">
        <v>327</v>
      </c>
      <c r="E7" s="37"/>
      <c r="F7" s="34"/>
      <c r="G7" s="38"/>
      <c r="H7" t="s">
        <v>357</v>
      </c>
    </row>
    <row r="8" spans="1:8">
      <c r="A8" t="s">
        <v>342</v>
      </c>
      <c r="B8" t="s">
        <v>358</v>
      </c>
      <c r="C8" t="str">
        <f t="shared" si="0"/>
        <v xml:space="preserve"> F304 UNS S30400 s &lt;= 125 mm (Note G5)</v>
      </c>
      <c r="D8" s="34" t="s">
        <v>328</v>
      </c>
      <c r="E8" s="37"/>
      <c r="F8" s="34"/>
      <c r="G8" s="38"/>
      <c r="H8" t="s">
        <v>359</v>
      </c>
    </row>
    <row r="9" spans="1:8">
      <c r="A9" t="s">
        <v>342</v>
      </c>
      <c r="B9" t="s">
        <v>360</v>
      </c>
      <c r="C9" t="str">
        <f t="shared" si="0"/>
        <v xml:space="preserve"> F304L UNS S30403 s &gt; 125 mm (Note G5)</v>
      </c>
      <c r="D9" s="34" t="s">
        <v>329</v>
      </c>
      <c r="E9" s="37"/>
      <c r="F9" s="34"/>
      <c r="G9" s="38"/>
      <c r="H9" t="s">
        <v>361</v>
      </c>
    </row>
    <row r="10" spans="1:8">
      <c r="A10" t="s">
        <v>342</v>
      </c>
      <c r="B10" t="s">
        <v>362</v>
      </c>
      <c r="C10" t="str">
        <f t="shared" si="0"/>
        <v xml:space="preserve"> F304L UNS S30403 s &gt; 125 mm</v>
      </c>
      <c r="D10" s="34" t="s">
        <v>330</v>
      </c>
      <c r="E10" s="37"/>
      <c r="F10" s="34"/>
      <c r="G10" s="38"/>
      <c r="H10" t="s">
        <v>363</v>
      </c>
    </row>
    <row r="11" spans="1:8">
      <c r="A11" t="s">
        <v>342</v>
      </c>
      <c r="B11" t="s">
        <v>364</v>
      </c>
      <c r="C11" t="str">
        <f t="shared" si="0"/>
        <v xml:space="preserve"> F304L UNS S30403 s &lt;= 125 mm (Note G5)</v>
      </c>
      <c r="D11" s="34" t="s">
        <v>62</v>
      </c>
      <c r="E11" s="37"/>
      <c r="F11" s="34"/>
      <c r="G11" s="34"/>
      <c r="H11" t="s">
        <v>365</v>
      </c>
    </row>
    <row r="12" spans="1:8">
      <c r="A12" t="s">
        <v>342</v>
      </c>
      <c r="B12" t="s">
        <v>366</v>
      </c>
      <c r="C12" t="str">
        <f t="shared" si="0"/>
        <v xml:space="preserve"> F304L UNS S30403 s &lt;= 125 mm</v>
      </c>
      <c r="D12" s="34" t="s">
        <v>332</v>
      </c>
      <c r="E12" s="37"/>
      <c r="F12" s="34"/>
      <c r="G12" s="34"/>
      <c r="H12" t="s">
        <v>367</v>
      </c>
    </row>
    <row r="13" spans="1:8">
      <c r="A13" t="s">
        <v>342</v>
      </c>
      <c r="B13" t="s">
        <v>368</v>
      </c>
      <c r="C13" t="str">
        <f t="shared" si="0"/>
        <v xml:space="preserve"> F316 (ASME B31.3)</v>
      </c>
      <c r="D13" s="34" t="s">
        <v>333</v>
      </c>
      <c r="E13" s="38"/>
      <c r="F13" s="34"/>
      <c r="G13" s="34"/>
      <c r="H13" t="s">
        <v>369</v>
      </c>
    </row>
    <row r="14" spans="1:8">
      <c r="A14" t="s">
        <v>342</v>
      </c>
      <c r="B14" t="s">
        <v>370</v>
      </c>
      <c r="C14" t="str">
        <f t="shared" si="0"/>
        <v xml:space="preserve"> F316 UNS S31600 s &gt; 125 mm (Note G5)</v>
      </c>
      <c r="D14" s="34" t="s">
        <v>104</v>
      </c>
      <c r="E14" s="37"/>
      <c r="F14" s="34"/>
      <c r="G14" s="34"/>
      <c r="H14" t="s">
        <v>371</v>
      </c>
    </row>
    <row r="15" spans="1:8">
      <c r="A15" t="s">
        <v>342</v>
      </c>
      <c r="B15" t="s">
        <v>372</v>
      </c>
      <c r="C15" t="str">
        <f t="shared" si="0"/>
        <v xml:space="preserve"> F316 UNS S31600 s &gt; 125 mm</v>
      </c>
      <c r="D15" s="34" t="s">
        <v>334</v>
      </c>
      <c r="E15" s="37"/>
      <c r="F15" s="34"/>
      <c r="G15" s="38"/>
      <c r="H15" t="s">
        <v>373</v>
      </c>
    </row>
    <row r="16" spans="1:8">
      <c r="A16" t="s">
        <v>342</v>
      </c>
      <c r="B16" t="s">
        <v>374</v>
      </c>
      <c r="C16" t="str">
        <f t="shared" si="0"/>
        <v xml:space="preserve"> F316 UNS S31600 s &lt;= 125 mm (Note G5)</v>
      </c>
      <c r="D16" s="34" t="s">
        <v>335</v>
      </c>
      <c r="E16" s="37"/>
      <c r="F16" s="34"/>
      <c r="G16" s="34"/>
      <c r="H16" t="s">
        <v>375</v>
      </c>
    </row>
    <row r="17" spans="1:8">
      <c r="A17" t="s">
        <v>342</v>
      </c>
      <c r="B17" t="s">
        <v>376</v>
      </c>
      <c r="C17" t="str">
        <f t="shared" si="0"/>
        <v xml:space="preserve"> F316 UNS S31600 s &lt;= 125 mm</v>
      </c>
      <c r="D17" s="34" t="s">
        <v>336</v>
      </c>
      <c r="E17" s="37"/>
      <c r="F17" s="34"/>
      <c r="G17" s="34"/>
      <c r="H17" t="s">
        <v>377</v>
      </c>
    </row>
    <row r="18" spans="1:8">
      <c r="A18" t="s">
        <v>342</v>
      </c>
      <c r="B18" t="s">
        <v>378</v>
      </c>
      <c r="C18" t="str">
        <f t="shared" si="0"/>
        <v xml:space="preserve"> F316H UNS S31609 s &gt; 125 mm (Note G5)</v>
      </c>
      <c r="D18" s="34" t="s">
        <v>337</v>
      </c>
      <c r="E18" s="37"/>
      <c r="F18" s="34"/>
      <c r="G18" s="34"/>
      <c r="H18" t="s">
        <v>379</v>
      </c>
    </row>
    <row r="19" spans="1:8">
      <c r="A19" t="s">
        <v>342</v>
      </c>
      <c r="B19" t="s">
        <v>380</v>
      </c>
      <c r="C19" t="str">
        <f t="shared" si="0"/>
        <v xml:space="preserve"> F316H UNS S31609 s &gt; 125 mm</v>
      </c>
      <c r="D19" s="34" t="s">
        <v>319</v>
      </c>
      <c r="E19" s="38"/>
      <c r="F19" s="34"/>
      <c r="G19" s="34"/>
      <c r="H19" t="s">
        <v>381</v>
      </c>
    </row>
    <row r="20" spans="1:8">
      <c r="A20" t="s">
        <v>342</v>
      </c>
      <c r="B20" t="s">
        <v>382</v>
      </c>
      <c r="C20" t="str">
        <f t="shared" si="0"/>
        <v xml:space="preserve"> F316H UNS S31609 s &lt;= 125 mm (Note G5)</v>
      </c>
      <c r="D20" s="34" t="s">
        <v>110</v>
      </c>
      <c r="E20" s="37"/>
      <c r="F20" s="34"/>
      <c r="G20" s="34"/>
      <c r="H20" t="s">
        <v>383</v>
      </c>
    </row>
    <row r="21" spans="1:8">
      <c r="A21" t="s">
        <v>342</v>
      </c>
      <c r="B21" t="s">
        <v>384</v>
      </c>
      <c r="C21" t="str">
        <f t="shared" si="0"/>
        <v xml:space="preserve"> F316H UNS S31609 s &lt;= 125 mm</v>
      </c>
      <c r="D21" s="34" t="s">
        <v>111</v>
      </c>
      <c r="E21" s="37"/>
      <c r="F21" s="34"/>
      <c r="G21" s="34"/>
      <c r="H21" t="s">
        <v>385</v>
      </c>
    </row>
    <row r="22" spans="1:8">
      <c r="A22" t="s">
        <v>342</v>
      </c>
      <c r="B22" t="s">
        <v>386</v>
      </c>
      <c r="C22" t="str">
        <f t="shared" si="0"/>
        <v xml:space="preserve"> F316L UNS S31603 s &gt; 125 mm (Note G5)</v>
      </c>
      <c r="D22" s="34" t="s">
        <v>304</v>
      </c>
      <c r="E22" s="35"/>
      <c r="F22" s="34" t="s">
        <v>387</v>
      </c>
      <c r="G22" s="34"/>
      <c r="H22" t="s">
        <v>388</v>
      </c>
    </row>
    <row r="23" spans="1:8">
      <c r="A23" t="s">
        <v>342</v>
      </c>
      <c r="B23" t="s">
        <v>389</v>
      </c>
      <c r="C23" t="str">
        <f t="shared" si="0"/>
        <v xml:space="preserve"> F316L UNS S31603 s &gt; 125 mm</v>
      </c>
      <c r="D23" s="39" t="s">
        <v>390</v>
      </c>
      <c r="E23" s="37"/>
      <c r="F23" s="34"/>
      <c r="G23" s="34"/>
      <c r="H23" t="s">
        <v>391</v>
      </c>
    </row>
    <row r="24" spans="1:8">
      <c r="A24" t="s">
        <v>342</v>
      </c>
      <c r="B24" t="s">
        <v>392</v>
      </c>
      <c r="C24" t="str">
        <f t="shared" si="0"/>
        <v xml:space="preserve"> F316L UNS S31603 s &lt;= 125 mm (Note G5)</v>
      </c>
      <c r="D24" s="39" t="s">
        <v>393</v>
      </c>
      <c r="E24" s="35"/>
      <c r="F24" s="34" t="s">
        <v>394</v>
      </c>
      <c r="G24" s="34"/>
      <c r="H24" t="s">
        <v>395</v>
      </c>
    </row>
    <row r="25" spans="1:8">
      <c r="A25" t="s">
        <v>342</v>
      </c>
      <c r="B25" t="s">
        <v>396</v>
      </c>
      <c r="C25" t="str">
        <f t="shared" si="0"/>
        <v xml:space="preserve"> F316L UNS S31603 s &lt;= 125 mm</v>
      </c>
      <c r="D25" s="39" t="s">
        <v>339</v>
      </c>
      <c r="E25" s="35"/>
      <c r="F25" s="34" t="s">
        <v>397</v>
      </c>
      <c r="G25" s="34"/>
      <c r="H25" t="s">
        <v>398</v>
      </c>
    </row>
    <row r="26" spans="1:8">
      <c r="A26" t="s">
        <v>342</v>
      </c>
      <c r="B26" t="s">
        <v>399</v>
      </c>
      <c r="C26" t="str">
        <f t="shared" si="0"/>
        <v xml:space="preserve"> F321H UNS S32109 s &lt;= 125 mm  (Note G5)</v>
      </c>
      <c r="D26" s="34" t="s">
        <v>107</v>
      </c>
      <c r="E26" s="37"/>
      <c r="F26" s="34"/>
      <c r="G26" s="34"/>
      <c r="H26" t="s">
        <v>400</v>
      </c>
    </row>
    <row r="27" spans="1:8">
      <c r="A27" t="s">
        <v>342</v>
      </c>
      <c r="B27" t="s">
        <v>401</v>
      </c>
      <c r="C27" t="str">
        <f t="shared" si="0"/>
        <v xml:space="preserve"> F321H UNS S32109 s &lt;= 125 mm</v>
      </c>
      <c r="D27" s="34" t="s">
        <v>340</v>
      </c>
      <c r="E27" s="37"/>
      <c r="F27" s="34"/>
      <c r="G27" s="34"/>
      <c r="H27" t="s">
        <v>402</v>
      </c>
    </row>
    <row r="28" spans="1:8">
      <c r="A28" t="s">
        <v>342</v>
      </c>
      <c r="B28" t="s">
        <v>403</v>
      </c>
      <c r="C28" t="str">
        <f t="shared" si="0"/>
        <v xml:space="preserve"> F321H UNS S32109 s &gt; 125 mm  (Note G5)</v>
      </c>
      <c r="D28" s="44" t="s">
        <v>341</v>
      </c>
      <c r="E28" s="39"/>
      <c r="F28" s="45"/>
      <c r="G28" s="34"/>
      <c r="H28" t="s">
        <v>404</v>
      </c>
    </row>
    <row r="29" spans="1:8">
      <c r="A29" t="s">
        <v>342</v>
      </c>
      <c r="B29" t="s">
        <v>405</v>
      </c>
      <c r="C29" t="str">
        <f t="shared" si="0"/>
        <v xml:space="preserve"> F321H UNS S32109 s &gt; 125 mm</v>
      </c>
      <c r="D29" t="s">
        <v>320</v>
      </c>
      <c r="E29" s="34" t="s">
        <v>321</v>
      </c>
      <c r="F29" s="38"/>
      <c r="H29" t="s">
        <v>406</v>
      </c>
    </row>
    <row r="30" spans="1:8">
      <c r="A30" t="s">
        <v>342</v>
      </c>
      <c r="B30" t="s">
        <v>407</v>
      </c>
      <c r="C30" t="str">
        <f t="shared" si="0"/>
        <v xml:space="preserve"> GR F6a cl3 UNS S41000</v>
      </c>
      <c r="D30" t="s">
        <v>320</v>
      </c>
      <c r="E30" s="34" t="s">
        <v>322</v>
      </c>
      <c r="F30" s="38"/>
      <c r="H30" t="s">
        <v>408</v>
      </c>
    </row>
    <row r="31" spans="1:8">
      <c r="A31" t="s">
        <v>409</v>
      </c>
      <c r="B31" t="s">
        <v>407</v>
      </c>
      <c r="C31" t="str">
        <f t="shared" si="0"/>
        <v xml:space="preserve"> GR F6a cl3 UNS S41000</v>
      </c>
      <c r="D31" t="s">
        <v>320</v>
      </c>
      <c r="E31" s="34" t="s">
        <v>323</v>
      </c>
      <c r="F31" s="38"/>
      <c r="H31" s="33" t="s">
        <v>410</v>
      </c>
    </row>
    <row r="32" spans="1:8">
      <c r="A32" t="s">
        <v>342</v>
      </c>
      <c r="B32" t="s">
        <v>411</v>
      </c>
      <c r="C32" t="str">
        <f t="shared" si="0"/>
        <v xml:space="preserve"> B7 UNS G41400 100mm &lt; t &lt;= 175mm</v>
      </c>
      <c r="D32" t="s">
        <v>324</v>
      </c>
      <c r="E32" s="34" t="s">
        <v>325</v>
      </c>
      <c r="F32" s="34"/>
      <c r="H32" t="s">
        <v>412</v>
      </c>
    </row>
    <row r="33" spans="1:8">
      <c r="A33" t="s">
        <v>342</v>
      </c>
      <c r="B33" t="s">
        <v>413</v>
      </c>
      <c r="C33" t="str">
        <f t="shared" si="0"/>
        <v xml:space="preserve"> B7 UNS G41400 64mm &lt; t &lt;= 100mm</v>
      </c>
      <c r="D33" t="s">
        <v>324</v>
      </c>
      <c r="E33" s="34" t="s">
        <v>43</v>
      </c>
      <c r="F33" s="34"/>
      <c r="H33" t="s">
        <v>414</v>
      </c>
    </row>
    <row r="34" spans="1:8">
      <c r="A34" t="s">
        <v>342</v>
      </c>
      <c r="B34" t="s">
        <v>415</v>
      </c>
      <c r="C34" t="str">
        <f t="shared" si="0"/>
        <v xml:space="preserve"> B7 UNS G41400 t &lt;= 64mm</v>
      </c>
      <c r="D34" t="s">
        <v>324</v>
      </c>
      <c r="E34" s="34" t="s">
        <v>326</v>
      </c>
      <c r="F34" s="34"/>
      <c r="H34" t="s">
        <v>416</v>
      </c>
    </row>
    <row r="35" spans="1:8">
      <c r="A35" t="s">
        <v>342</v>
      </c>
      <c r="B35" t="s">
        <v>417</v>
      </c>
      <c r="C35" t="str">
        <f t="shared" si="0"/>
        <v xml:space="preserve"> B7M UNS G41400 t &lt;= 64mm</v>
      </c>
      <c r="D35" t="s">
        <v>320</v>
      </c>
      <c r="E35" s="34" t="s">
        <v>327</v>
      </c>
      <c r="F35" s="38"/>
      <c r="H35" t="s">
        <v>418</v>
      </c>
    </row>
    <row r="36" spans="1:8">
      <c r="A36" t="s">
        <v>342</v>
      </c>
      <c r="B36" t="s">
        <v>419</v>
      </c>
      <c r="C36" t="str">
        <f t="shared" si="0"/>
        <v xml:space="preserve"> B8 UNS S30400 cl.1</v>
      </c>
      <c r="D36" t="s">
        <v>320</v>
      </c>
      <c r="E36" s="34" t="s">
        <v>328</v>
      </c>
      <c r="F36" s="38"/>
    </row>
    <row r="37" spans="1:8">
      <c r="A37" t="s">
        <v>342</v>
      </c>
      <c r="B37" t="s">
        <v>420</v>
      </c>
      <c r="C37" t="str">
        <f t="shared" si="0"/>
        <v xml:space="preserve"> B8 UNS S30400 cl.2 32mm &lt; t &lt;= 38mm</v>
      </c>
      <c r="D37" t="s">
        <v>320</v>
      </c>
      <c r="E37" s="34" t="s">
        <v>329</v>
      </c>
      <c r="F37" s="38"/>
    </row>
    <row r="38" spans="1:8">
      <c r="A38" t="s">
        <v>342</v>
      </c>
      <c r="B38" t="s">
        <v>421</v>
      </c>
      <c r="C38" t="str">
        <f t="shared" si="0"/>
        <v xml:space="preserve"> B8 UNS S30400 cl.2 25mm &lt; t &lt;= 32mm</v>
      </c>
      <c r="D38" t="s">
        <v>320</v>
      </c>
      <c r="E38" s="34" t="s">
        <v>330</v>
      </c>
      <c r="F38" s="38"/>
    </row>
    <row r="39" spans="1:8">
      <c r="A39" t="s">
        <v>342</v>
      </c>
      <c r="B39" t="s">
        <v>422</v>
      </c>
      <c r="C39" t="str">
        <f t="shared" si="0"/>
        <v xml:space="preserve"> B8 UNS S30400 cl.2 19mm &lt; t &lt;= 25mm</v>
      </c>
      <c r="D39" s="40" t="s">
        <v>331</v>
      </c>
      <c r="E39" s="34" t="s">
        <v>62</v>
      </c>
      <c r="F39" s="34"/>
    </row>
    <row r="40" spans="1:8">
      <c r="A40" t="s">
        <v>342</v>
      </c>
      <c r="B40" t="s">
        <v>423</v>
      </c>
      <c r="C40" t="str">
        <f t="shared" si="0"/>
        <v xml:space="preserve"> B8 UNS S30400 cl.2 t &lt;= 19mm</v>
      </c>
      <c r="D40" s="40" t="s">
        <v>331</v>
      </c>
      <c r="E40" s="34" t="s">
        <v>332</v>
      </c>
      <c r="F40" s="34"/>
    </row>
    <row r="41" spans="1:8">
      <c r="A41" t="s">
        <v>342</v>
      </c>
      <c r="B41" t="s">
        <v>424</v>
      </c>
      <c r="C41" t="str">
        <f t="shared" si="0"/>
        <v xml:space="preserve"> B8M UNS S31600 cl.1</v>
      </c>
      <c r="D41" t="s">
        <v>320</v>
      </c>
      <c r="E41" s="34" t="s">
        <v>333</v>
      </c>
      <c r="F41" s="38"/>
    </row>
    <row r="42" spans="1:8">
      <c r="A42" t="s">
        <v>342</v>
      </c>
      <c r="B42" t="s">
        <v>425</v>
      </c>
      <c r="C42" t="str">
        <f t="shared" si="0"/>
        <v xml:space="preserve"> B8M UNS S31600 cl.2 32mm &lt; t &lt;= 38mm</v>
      </c>
      <c r="D42" t="s">
        <v>331</v>
      </c>
      <c r="E42" s="34" t="s">
        <v>104</v>
      </c>
      <c r="F42" s="34"/>
    </row>
    <row r="43" spans="1:8">
      <c r="A43" t="s">
        <v>342</v>
      </c>
      <c r="B43" t="s">
        <v>426</v>
      </c>
      <c r="C43" t="str">
        <f t="shared" si="0"/>
        <v xml:space="preserve"> B8M UNS S31600 cl.2 25mm &lt; t &lt;= 32mm</v>
      </c>
      <c r="D43" t="s">
        <v>320</v>
      </c>
      <c r="E43" s="34" t="s">
        <v>334</v>
      </c>
      <c r="F43" s="38"/>
    </row>
    <row r="44" spans="1:8">
      <c r="A44" t="s">
        <v>342</v>
      </c>
      <c r="B44" t="s">
        <v>427</v>
      </c>
      <c r="C44" t="str">
        <f t="shared" si="0"/>
        <v xml:space="preserve"> B8M UNS S31600 cl.2 19mm &lt; t &lt;= 25mm</v>
      </c>
      <c r="D44" t="s">
        <v>324</v>
      </c>
      <c r="E44" s="34" t="s">
        <v>335</v>
      </c>
      <c r="F44" s="34"/>
    </row>
    <row r="45" spans="1:8">
      <c r="A45" t="s">
        <v>342</v>
      </c>
      <c r="B45" t="s">
        <v>428</v>
      </c>
      <c r="C45" t="str">
        <f t="shared" si="0"/>
        <v xml:space="preserve"> B8M UNS S31600 cl.2 t &lt;= 19mm</v>
      </c>
      <c r="D45" t="s">
        <v>324</v>
      </c>
      <c r="E45" s="34" t="s">
        <v>336</v>
      </c>
      <c r="F45" s="34"/>
    </row>
    <row r="46" spans="1:8">
      <c r="A46" t="s">
        <v>342</v>
      </c>
      <c r="B46" t="s">
        <v>429</v>
      </c>
      <c r="C46" t="str">
        <f t="shared" si="0"/>
        <v xml:space="preserve"> B8M2 UNS S31600 64mm&lt; t &lt;= 75mm</v>
      </c>
      <c r="D46" t="s">
        <v>320</v>
      </c>
      <c r="E46" s="34" t="s">
        <v>337</v>
      </c>
      <c r="F46" s="38"/>
    </row>
    <row r="47" spans="1:8">
      <c r="A47" t="s">
        <v>342</v>
      </c>
      <c r="B47" t="s">
        <v>430</v>
      </c>
      <c r="C47" t="str">
        <f t="shared" si="0"/>
        <v xml:space="preserve"> B8M2 UNS S31600 50mm&lt; t &lt;= 64mm</v>
      </c>
      <c r="D47" t="s">
        <v>320</v>
      </c>
      <c r="E47" s="34" t="s">
        <v>319</v>
      </c>
      <c r="F47" s="38"/>
    </row>
    <row r="48" spans="1:8">
      <c r="A48" t="s">
        <v>342</v>
      </c>
      <c r="B48" t="s">
        <v>431</v>
      </c>
      <c r="C48" t="str">
        <f t="shared" si="0"/>
        <v xml:space="preserve"> B8M2 UNS S31600  t &lt;= 50mm</v>
      </c>
      <c r="D48" t="s">
        <v>331</v>
      </c>
      <c r="E48" s="34" t="s">
        <v>110</v>
      </c>
      <c r="F48" s="34"/>
    </row>
    <row r="49" spans="1:8">
      <c r="A49" t="s">
        <v>342</v>
      </c>
      <c r="B49" t="s">
        <v>432</v>
      </c>
      <c r="C49" t="str">
        <f t="shared" si="0"/>
        <v xml:space="preserve"> B8T UNS S32100 cl.1</v>
      </c>
      <c r="D49" t="s">
        <v>331</v>
      </c>
      <c r="E49" s="34" t="s">
        <v>111</v>
      </c>
      <c r="F49" s="34"/>
    </row>
    <row r="50" spans="1:8">
      <c r="A50" t="s">
        <v>342</v>
      </c>
      <c r="B50" t="s">
        <v>433</v>
      </c>
      <c r="C50" t="str">
        <f t="shared" si="0"/>
        <v xml:space="preserve"> B8T UNS S32100 cl.2 32mm &lt; t &lt;= 38mm</v>
      </c>
      <c r="D50" t="s">
        <v>331</v>
      </c>
      <c r="E50" s="34" t="s">
        <v>304</v>
      </c>
      <c r="F50" s="34"/>
    </row>
    <row r="51" spans="1:8">
      <c r="A51" t="s">
        <v>342</v>
      </c>
      <c r="B51" t="s">
        <v>434</v>
      </c>
      <c r="C51" t="str">
        <f t="shared" si="0"/>
        <v xml:space="preserve"> B8T UNS S32100 cl.2 25mm &lt; t &lt;= 32mm</v>
      </c>
      <c r="D51" t="s">
        <v>338</v>
      </c>
      <c r="E51" s="46" t="s">
        <v>339</v>
      </c>
      <c r="F51" s="34"/>
    </row>
    <row r="52" spans="1:8">
      <c r="A52" t="s">
        <v>342</v>
      </c>
      <c r="B52" t="s">
        <v>435</v>
      </c>
      <c r="C52" t="str">
        <f t="shared" si="0"/>
        <v xml:space="preserve"> B8T UNS S32100 cl.2 19mm &lt; t &lt;= 25mm</v>
      </c>
      <c r="D52" t="s">
        <v>331</v>
      </c>
      <c r="E52" s="34" t="s">
        <v>107</v>
      </c>
      <c r="F52" s="34"/>
    </row>
    <row r="53" spans="1:8">
      <c r="A53" t="s">
        <v>342</v>
      </c>
      <c r="B53" t="s">
        <v>436</v>
      </c>
      <c r="C53" t="str">
        <f t="shared" si="0"/>
        <v xml:space="preserve"> B8T UNS S32100 cl.2 t &lt;= 19mm</v>
      </c>
      <c r="D53" t="s">
        <v>324</v>
      </c>
      <c r="E53" s="34" t="s">
        <v>340</v>
      </c>
      <c r="F53" s="43"/>
    </row>
    <row r="54" spans="1:8">
      <c r="A54" t="s">
        <v>342</v>
      </c>
      <c r="B54" t="s">
        <v>437</v>
      </c>
      <c r="C54" t="str">
        <f t="shared" si="0"/>
        <v xml:space="preserve"> B8S UNS 21800</v>
      </c>
      <c r="D54" t="s">
        <v>331</v>
      </c>
      <c r="E54" s="44" t="s">
        <v>341</v>
      </c>
      <c r="F54" s="34"/>
    </row>
    <row r="55" spans="1:8">
      <c r="A55" t="s">
        <v>342</v>
      </c>
      <c r="B55" t="s">
        <v>438</v>
      </c>
      <c r="C55" t="str">
        <f t="shared" si="0"/>
        <v xml:space="preserve"> B16 UNS K14072 100mm &lt; t &lt;= 175mm</v>
      </c>
    </row>
    <row r="56" spans="1:8">
      <c r="A56" t="s">
        <v>342</v>
      </c>
      <c r="B56" t="s">
        <v>439</v>
      </c>
      <c r="C56" t="str">
        <f t="shared" si="0"/>
        <v xml:space="preserve"> B16 UNS K14072 64mm &lt; t &lt;= 100mm</v>
      </c>
    </row>
    <row r="57" spans="1:8">
      <c r="A57" t="s">
        <v>342</v>
      </c>
      <c r="B57" t="s">
        <v>440</v>
      </c>
      <c r="C57" t="str">
        <f t="shared" si="0"/>
        <v xml:space="preserve"> B16 UNS K14072  t &lt;= 64mm</v>
      </c>
      <c r="E57" t="s">
        <v>441</v>
      </c>
      <c r="F57" t="s">
        <v>442</v>
      </c>
      <c r="G57" t="s">
        <v>443</v>
      </c>
      <c r="H57" t="s">
        <v>444</v>
      </c>
    </row>
    <row r="58" spans="1:8">
      <c r="A58" t="s">
        <v>342</v>
      </c>
      <c r="B58" t="s">
        <v>445</v>
      </c>
      <c r="C58" t="str">
        <f t="shared" si="0"/>
        <v xml:space="preserve"> XM19 UNS S20910</v>
      </c>
      <c r="D58" s="34" t="s">
        <v>321</v>
      </c>
      <c r="E58" s="35"/>
      <c r="F58" s="38"/>
      <c r="G58" s="38"/>
      <c r="H58" s="38"/>
    </row>
    <row r="59" spans="1:8">
      <c r="A59" t="s">
        <v>342</v>
      </c>
      <c r="B59" t="s">
        <v>446</v>
      </c>
      <c r="C59" t="str">
        <f t="shared" si="0"/>
        <v xml:space="preserve"> WCB UNS J03002</v>
      </c>
      <c r="D59" s="34" t="s">
        <v>322</v>
      </c>
      <c r="E59" s="38"/>
      <c r="F59" s="34"/>
      <c r="G59" s="38"/>
      <c r="H59" s="38"/>
    </row>
    <row r="60" spans="1:8">
      <c r="A60" t="s">
        <v>342</v>
      </c>
      <c r="B60" t="s">
        <v>447</v>
      </c>
      <c r="C60" t="str">
        <f t="shared" si="0"/>
        <v xml:space="preserve"> C5 UNS J42045</v>
      </c>
      <c r="D60" s="34" t="s">
        <v>323</v>
      </c>
      <c r="E60" s="47"/>
      <c r="F60" s="34"/>
      <c r="G60" s="38"/>
      <c r="H60" s="38"/>
    </row>
    <row r="61" spans="1:8">
      <c r="A61" t="s">
        <v>342</v>
      </c>
      <c r="B61" t="s">
        <v>448</v>
      </c>
      <c r="C61" t="str">
        <f t="shared" si="0"/>
        <v xml:space="preserve"> WC6 UNS J12072</v>
      </c>
      <c r="D61" s="34" t="s">
        <v>325</v>
      </c>
      <c r="E61" s="38"/>
      <c r="F61" s="38"/>
      <c r="G61" s="38"/>
      <c r="H61" s="38"/>
    </row>
    <row r="62" spans="1:8">
      <c r="A62" t="s">
        <v>342</v>
      </c>
      <c r="B62" t="s">
        <v>449</v>
      </c>
      <c r="C62" t="str">
        <f t="shared" si="0"/>
        <v xml:space="preserve"> WC9 UNS J21890</v>
      </c>
      <c r="D62" s="34" t="s">
        <v>43</v>
      </c>
      <c r="E62" s="34"/>
      <c r="F62" s="34"/>
      <c r="G62" s="34"/>
      <c r="H62" s="34"/>
    </row>
    <row r="63" spans="1:8">
      <c r="A63" t="s">
        <v>342</v>
      </c>
      <c r="B63" t="s">
        <v>450</v>
      </c>
      <c r="C63" t="str">
        <f t="shared" si="0"/>
        <v xml:space="preserve"> 304 UNS S30400</v>
      </c>
      <c r="D63" s="34" t="s">
        <v>326</v>
      </c>
      <c r="E63" s="34"/>
      <c r="F63" s="34"/>
      <c r="G63" s="34"/>
      <c r="H63" s="34"/>
    </row>
    <row r="64" spans="1:8">
      <c r="A64" t="s">
        <v>342</v>
      </c>
      <c r="B64" t="s">
        <v>451</v>
      </c>
      <c r="C64" t="str">
        <f t="shared" si="0"/>
        <v xml:space="preserve"> 304 UNS S30400 (Note G5)</v>
      </c>
      <c r="D64" s="34" t="s">
        <v>327</v>
      </c>
      <c r="E64" s="34"/>
      <c r="F64" s="38"/>
      <c r="G64" s="38"/>
      <c r="H64" s="38"/>
    </row>
    <row r="65" spans="1:8">
      <c r="A65" t="s">
        <v>342</v>
      </c>
      <c r="B65" t="s">
        <v>452</v>
      </c>
      <c r="C65" t="str">
        <f t="shared" ref="C65:C128" si="1">IF(LEFT(B65,4)="ASTM",+RIGHT(B65,LEN(B65)-10),B65)</f>
        <v xml:space="preserve"> 304L UNS S30403 (Note G5)</v>
      </c>
      <c r="D65" s="34" t="s">
        <v>328</v>
      </c>
      <c r="E65" s="34"/>
      <c r="F65" s="38"/>
      <c r="G65" s="38"/>
      <c r="H65" s="38"/>
    </row>
    <row r="66" spans="1:8">
      <c r="A66" t="s">
        <v>342</v>
      </c>
      <c r="B66" t="s">
        <v>453</v>
      </c>
      <c r="C66" t="str">
        <f t="shared" si="1"/>
        <v xml:space="preserve"> 304L UNS S30403</v>
      </c>
      <c r="D66" s="34" t="s">
        <v>329</v>
      </c>
      <c r="E66" s="34"/>
      <c r="F66" s="38"/>
      <c r="G66" s="38"/>
      <c r="H66" s="38"/>
    </row>
    <row r="67" spans="1:8">
      <c r="A67" t="s">
        <v>342</v>
      </c>
      <c r="B67" t="s">
        <v>454</v>
      </c>
      <c r="C67" t="str">
        <f t="shared" si="1"/>
        <v xml:space="preserve"> 316 UNS S31600 (Note G5)</v>
      </c>
      <c r="D67" s="34" t="s">
        <v>330</v>
      </c>
      <c r="E67" s="34"/>
      <c r="F67" s="38"/>
      <c r="G67" s="38"/>
      <c r="H67" s="38"/>
    </row>
    <row r="68" spans="1:8">
      <c r="A68" t="s">
        <v>342</v>
      </c>
      <c r="B68" t="s">
        <v>455</v>
      </c>
      <c r="C68" t="str">
        <f t="shared" si="1"/>
        <v xml:space="preserve"> 316 UNS S31600</v>
      </c>
      <c r="D68" s="34" t="s">
        <v>62</v>
      </c>
      <c r="E68" s="34"/>
      <c r="F68" s="34"/>
      <c r="G68" s="34"/>
      <c r="H68" s="34"/>
    </row>
    <row r="69" spans="1:8">
      <c r="A69" t="s">
        <v>342</v>
      </c>
      <c r="B69" t="s">
        <v>456</v>
      </c>
      <c r="C69" t="str">
        <f t="shared" si="1"/>
        <v xml:space="preserve"> UNS S31803</v>
      </c>
      <c r="D69" s="34" t="s">
        <v>332</v>
      </c>
      <c r="E69" s="34"/>
      <c r="F69" s="34"/>
      <c r="G69" s="34"/>
      <c r="H69" s="34"/>
    </row>
    <row r="70" spans="1:8">
      <c r="A70" t="s">
        <v>342</v>
      </c>
      <c r="B70" t="s">
        <v>457</v>
      </c>
      <c r="C70" t="str">
        <f t="shared" si="1"/>
        <v xml:space="preserve"> XM19 UNS S20910</v>
      </c>
      <c r="D70" s="34" t="s">
        <v>333</v>
      </c>
      <c r="E70" s="38"/>
      <c r="F70" s="34"/>
      <c r="G70" s="38"/>
      <c r="H70" s="38"/>
    </row>
    <row r="71" spans="1:8">
      <c r="A71" t="s">
        <v>342</v>
      </c>
      <c r="B71" t="s">
        <v>458</v>
      </c>
      <c r="C71" t="str">
        <f t="shared" si="1"/>
        <v xml:space="preserve"> 316L UNS S31603 (Note G5)</v>
      </c>
      <c r="D71" s="34" t="s">
        <v>104</v>
      </c>
      <c r="E71" s="34"/>
      <c r="F71" s="34"/>
      <c r="G71" s="34"/>
      <c r="H71" s="34"/>
    </row>
    <row r="72" spans="1:8">
      <c r="A72" t="s">
        <v>342</v>
      </c>
      <c r="B72" t="s">
        <v>459</v>
      </c>
      <c r="C72" t="str">
        <f t="shared" si="1"/>
        <v xml:space="preserve"> 316L UNS S31603</v>
      </c>
      <c r="D72" s="34" t="s">
        <v>334</v>
      </c>
      <c r="E72" s="34"/>
      <c r="F72" s="38"/>
      <c r="G72" s="34"/>
      <c r="H72" s="38"/>
    </row>
    <row r="73" spans="1:8">
      <c r="A73" t="s">
        <v>342</v>
      </c>
      <c r="B73" t="s">
        <v>460</v>
      </c>
      <c r="C73" t="str">
        <f t="shared" si="1"/>
        <v xml:space="preserve"> 347 UNS S34700</v>
      </c>
      <c r="D73" s="34" t="s">
        <v>335</v>
      </c>
      <c r="E73" s="34"/>
      <c r="F73" s="34"/>
      <c r="G73" s="34"/>
      <c r="H73" s="34"/>
    </row>
    <row r="74" spans="1:8">
      <c r="A74" t="s">
        <v>342</v>
      </c>
      <c r="B74" t="s">
        <v>461</v>
      </c>
      <c r="C74" t="str">
        <f t="shared" si="1"/>
        <v xml:space="preserve"> 347H UNS S34700</v>
      </c>
      <c r="D74" s="34" t="s">
        <v>336</v>
      </c>
      <c r="E74" s="34"/>
      <c r="F74" s="34"/>
      <c r="G74" s="34"/>
      <c r="H74" s="34"/>
    </row>
    <row r="75" spans="1:8">
      <c r="A75" t="s">
        <v>342</v>
      </c>
      <c r="B75" t="s">
        <v>462</v>
      </c>
      <c r="C75" t="str">
        <f t="shared" si="1"/>
        <v xml:space="preserve"> Type 316</v>
      </c>
      <c r="D75" s="34" t="s">
        <v>337</v>
      </c>
      <c r="E75" s="34"/>
      <c r="F75" s="34"/>
      <c r="G75" s="38"/>
      <c r="H75" s="38"/>
    </row>
    <row r="76" spans="1:8">
      <c r="A76" t="s">
        <v>342</v>
      </c>
      <c r="B76" t="s">
        <v>463</v>
      </c>
      <c r="C76" t="str">
        <f t="shared" si="1"/>
        <v/>
      </c>
      <c r="D76" s="34" t="s">
        <v>319</v>
      </c>
      <c r="E76" s="38"/>
      <c r="F76" s="34"/>
      <c r="G76" s="38"/>
      <c r="H76" s="38"/>
    </row>
    <row r="77" spans="1:8">
      <c r="A77" t="s">
        <v>342</v>
      </c>
      <c r="B77" t="s">
        <v>464</v>
      </c>
      <c r="C77" t="str">
        <f t="shared" si="1"/>
        <v xml:space="preserve"> B8 UNS 30400 cl.1</v>
      </c>
      <c r="D77" s="34" t="s">
        <v>110</v>
      </c>
      <c r="E77" s="34"/>
      <c r="F77" s="34"/>
      <c r="G77" s="34"/>
      <c r="H77" s="34"/>
    </row>
    <row r="78" spans="1:8">
      <c r="A78" t="s">
        <v>342</v>
      </c>
      <c r="B78" t="s">
        <v>465</v>
      </c>
      <c r="C78" t="str">
        <f t="shared" si="1"/>
        <v xml:space="preserve"> B8 UNS 30400 cl.2 32mm &lt; t &lt;= 38mm</v>
      </c>
      <c r="D78" s="34" t="s">
        <v>111</v>
      </c>
      <c r="E78" s="34"/>
      <c r="F78" s="34"/>
      <c r="G78" s="34"/>
      <c r="H78" s="34"/>
    </row>
    <row r="79" spans="1:8">
      <c r="A79" t="s">
        <v>342</v>
      </c>
      <c r="B79" t="s">
        <v>466</v>
      </c>
      <c r="C79" t="str">
        <f t="shared" si="1"/>
        <v xml:space="preserve"> B8 UNS 30400 cl.2 25mm &lt; t &lt;= 32mm</v>
      </c>
      <c r="D79" s="34" t="s">
        <v>304</v>
      </c>
      <c r="E79" s="35"/>
      <c r="F79" s="34"/>
      <c r="G79" s="34"/>
      <c r="H79" s="35"/>
    </row>
    <row r="80" spans="1:8">
      <c r="A80" t="s">
        <v>342</v>
      </c>
      <c r="B80" t="s">
        <v>467</v>
      </c>
      <c r="C80" t="str">
        <f t="shared" si="1"/>
        <v xml:space="preserve"> B8 UNS 30400 cl.2 19mm &lt; t &lt;= 25mm</v>
      </c>
      <c r="D80" s="46" t="s">
        <v>339</v>
      </c>
      <c r="E80" s="35"/>
      <c r="F80" s="34"/>
      <c r="G80" s="34"/>
      <c r="H80" s="35"/>
    </row>
    <row r="81" spans="1:8">
      <c r="A81" t="s">
        <v>342</v>
      </c>
      <c r="B81" t="s">
        <v>468</v>
      </c>
      <c r="C81" t="str">
        <f t="shared" si="1"/>
        <v xml:space="preserve"> B8 UNS 30400 cl.2  t &lt;= 19mm</v>
      </c>
      <c r="D81" s="34" t="s">
        <v>107</v>
      </c>
      <c r="E81" s="34"/>
      <c r="F81" s="34"/>
      <c r="G81" s="34"/>
      <c r="H81" s="34"/>
    </row>
    <row r="82" spans="1:8">
      <c r="A82" t="s">
        <v>342</v>
      </c>
      <c r="B82" t="s">
        <v>469</v>
      </c>
      <c r="C82" t="str">
        <f t="shared" si="1"/>
        <v xml:space="preserve"> B8M UNS 31600 cl.1</v>
      </c>
      <c r="D82" s="34" t="s">
        <v>340</v>
      </c>
      <c r="E82" s="34"/>
      <c r="F82" s="34"/>
      <c r="G82" s="43"/>
      <c r="H82" s="43"/>
    </row>
    <row r="83" spans="1:8">
      <c r="A83" t="s">
        <v>342</v>
      </c>
      <c r="B83" t="s">
        <v>470</v>
      </c>
      <c r="C83" t="str">
        <f t="shared" si="1"/>
        <v xml:space="preserve"> B8M UNS 31600 cl.2 32mm &lt; t &lt;= 38mm</v>
      </c>
      <c r="D83" s="44" t="s">
        <v>341</v>
      </c>
      <c r="E83" s="39"/>
      <c r="F83" s="34"/>
      <c r="G83" s="34"/>
      <c r="H83" s="35"/>
    </row>
    <row r="84" spans="1:8">
      <c r="A84" t="s">
        <v>342</v>
      </c>
      <c r="B84" t="s">
        <v>471</v>
      </c>
      <c r="C84" t="str">
        <f t="shared" si="1"/>
        <v xml:space="preserve"> B8M UNS 31600 cl.2 25mm &lt; t &lt;= 32mm</v>
      </c>
    </row>
    <row r="85" spans="1:8">
      <c r="A85" t="s">
        <v>342</v>
      </c>
      <c r="B85" t="s">
        <v>472</v>
      </c>
      <c r="C85" t="str">
        <f t="shared" si="1"/>
        <v xml:space="preserve"> B8M UNS 31600 cl.2 19mm &lt; t &lt;= 25mm</v>
      </c>
    </row>
    <row r="86" spans="1:8">
      <c r="A86" t="s">
        <v>342</v>
      </c>
      <c r="B86" t="s">
        <v>473</v>
      </c>
      <c r="C86" t="str">
        <f t="shared" si="1"/>
        <v xml:space="preserve"> B8M UNS 31600 cl.2 t &lt;= 19mm</v>
      </c>
    </row>
    <row r="87" spans="1:8">
      <c r="A87" t="s">
        <v>342</v>
      </c>
      <c r="B87" t="s">
        <v>474</v>
      </c>
      <c r="C87" t="str">
        <f t="shared" si="1"/>
        <v xml:space="preserve"> L7 UNS G41400 t &lt;= 64mm</v>
      </c>
    </row>
    <row r="88" spans="1:8">
      <c r="A88" t="s">
        <v>342</v>
      </c>
      <c r="B88" t="s">
        <v>475</v>
      </c>
      <c r="C88" t="str">
        <f t="shared" si="1"/>
        <v xml:space="preserve"> L7M UNS G41400 t &lt;= 64mm</v>
      </c>
    </row>
    <row r="89" spans="1:8">
      <c r="A89" t="s">
        <v>342</v>
      </c>
      <c r="B89" t="s">
        <v>476</v>
      </c>
      <c r="C89" t="str">
        <f t="shared" si="1"/>
        <v xml:space="preserve"> P11 UNS K11597</v>
      </c>
    </row>
    <row r="90" spans="1:8">
      <c r="A90" t="s">
        <v>342</v>
      </c>
      <c r="B90" t="s">
        <v>477</v>
      </c>
      <c r="C90" t="str">
        <f t="shared" si="1"/>
        <v xml:space="preserve"> LF2 cl 1 UNS K03011</v>
      </c>
    </row>
    <row r="91" spans="1:8">
      <c r="A91" t="s">
        <v>342</v>
      </c>
      <c r="B91" t="s">
        <v>478</v>
      </c>
      <c r="C91" t="str">
        <f t="shared" si="1"/>
        <v xml:space="preserve"> LF2 cl 2 UNS K03011</v>
      </c>
    </row>
    <row r="92" spans="1:8">
      <c r="A92" t="s">
        <v>342</v>
      </c>
      <c r="B92" t="s">
        <v>479</v>
      </c>
      <c r="C92" t="str">
        <f t="shared" si="1"/>
        <v xml:space="preserve"> LF3 cl 1 UNS K32025</v>
      </c>
    </row>
    <row r="93" spans="1:8">
      <c r="A93" t="s">
        <v>342</v>
      </c>
      <c r="B93" t="s">
        <v>480</v>
      </c>
      <c r="C93" t="str">
        <f t="shared" si="1"/>
        <v xml:space="preserve"> LF3 cl 2 UNS K32025</v>
      </c>
    </row>
    <row r="94" spans="1:8">
      <c r="A94" t="s">
        <v>342</v>
      </c>
      <c r="B94" t="s">
        <v>481</v>
      </c>
      <c r="C94" t="str">
        <f t="shared" si="1"/>
        <v xml:space="preserve"> LF5 cl 1 UNS K13050</v>
      </c>
    </row>
    <row r="95" spans="1:8">
      <c r="A95" t="s">
        <v>342</v>
      </c>
      <c r="B95" t="s">
        <v>482</v>
      </c>
      <c r="C95" t="str">
        <f t="shared" si="1"/>
        <v xml:space="preserve"> LF5 cl 2 UNS K13050</v>
      </c>
    </row>
    <row r="96" spans="1:8">
      <c r="A96" t="s">
        <v>342</v>
      </c>
      <c r="B96" t="s">
        <v>483</v>
      </c>
      <c r="C96" t="str">
        <f t="shared" si="1"/>
        <v xml:space="preserve"> CK3MCuN UNS J93254 (Note G5)</v>
      </c>
    </row>
    <row r="97" spans="1:3">
      <c r="A97" t="s">
        <v>342</v>
      </c>
      <c r="B97" t="s">
        <v>484</v>
      </c>
      <c r="C97" t="str">
        <f t="shared" si="1"/>
        <v xml:space="preserve"> CK3MCuN UNS J93254</v>
      </c>
    </row>
    <row r="98" spans="1:3">
      <c r="A98" t="s">
        <v>342</v>
      </c>
      <c r="B98" t="s">
        <v>485</v>
      </c>
      <c r="C98" t="str">
        <f t="shared" si="1"/>
        <v xml:space="preserve"> CF3 UNS J92500 (Note G5)</v>
      </c>
    </row>
    <row r="99" spans="1:3">
      <c r="A99" t="s">
        <v>342</v>
      </c>
      <c r="B99" t="s">
        <v>486</v>
      </c>
      <c r="C99" t="str">
        <f t="shared" si="1"/>
        <v xml:space="preserve"> CF3 UNS J92500</v>
      </c>
    </row>
    <row r="100" spans="1:3">
      <c r="A100" t="s">
        <v>342</v>
      </c>
      <c r="B100" t="s">
        <v>487</v>
      </c>
      <c r="C100" t="str">
        <f t="shared" si="1"/>
        <v xml:space="preserve"> CF3M UNS J92800 (Note G5)</v>
      </c>
    </row>
    <row r="101" spans="1:3">
      <c r="A101" t="s">
        <v>342</v>
      </c>
      <c r="B101" t="s">
        <v>488</v>
      </c>
      <c r="C101" t="str">
        <f t="shared" si="1"/>
        <v xml:space="preserve"> CF3M UNS J92800</v>
      </c>
    </row>
    <row r="102" spans="1:3">
      <c r="A102" t="s">
        <v>342</v>
      </c>
      <c r="B102" t="s">
        <v>489</v>
      </c>
      <c r="C102" t="str">
        <f t="shared" si="1"/>
        <v xml:space="preserve"> CF8 UNS J92600 (Note G5)</v>
      </c>
    </row>
    <row r="103" spans="1:3">
      <c r="A103" t="s">
        <v>342</v>
      </c>
      <c r="B103" t="s">
        <v>490</v>
      </c>
      <c r="C103" t="str">
        <f t="shared" si="1"/>
        <v xml:space="preserve"> CF8 UNS J92600</v>
      </c>
    </row>
    <row r="104" spans="1:3">
      <c r="A104" t="s">
        <v>342</v>
      </c>
      <c r="B104" t="s">
        <v>491</v>
      </c>
      <c r="C104" t="str">
        <f t="shared" si="1"/>
        <v xml:space="preserve"> CF8C (ASME B 31.3)</v>
      </c>
    </row>
    <row r="105" spans="1:3">
      <c r="A105" t="s">
        <v>342</v>
      </c>
      <c r="B105" t="s">
        <v>492</v>
      </c>
      <c r="C105" t="str">
        <f t="shared" si="1"/>
        <v xml:space="preserve"> CF8C UNS J92710 (Note G5)</v>
      </c>
    </row>
    <row r="106" spans="1:3">
      <c r="A106" t="s">
        <v>342</v>
      </c>
      <c r="B106" t="s">
        <v>493</v>
      </c>
      <c r="C106" t="str">
        <f t="shared" si="1"/>
        <v xml:space="preserve"> CF8C UNS J92710</v>
      </c>
    </row>
    <row r="107" spans="1:3">
      <c r="A107" t="s">
        <v>342</v>
      </c>
      <c r="B107" t="s">
        <v>494</v>
      </c>
      <c r="C107" t="str">
        <f t="shared" si="1"/>
        <v xml:space="preserve"> CF8M UNS J92900 (Note G5)</v>
      </c>
    </row>
    <row r="108" spans="1:3">
      <c r="A108" t="s">
        <v>342</v>
      </c>
      <c r="B108" t="s">
        <v>495</v>
      </c>
      <c r="C108" t="str">
        <f t="shared" si="1"/>
        <v xml:space="preserve"> CF8M UNS J92900</v>
      </c>
    </row>
    <row r="109" spans="1:3">
      <c r="A109" t="s">
        <v>342</v>
      </c>
      <c r="B109" t="s">
        <v>496</v>
      </c>
      <c r="C109" t="str">
        <f t="shared" si="1"/>
        <v xml:space="preserve"> CN7M UNS J95150 (Note G5)</v>
      </c>
    </row>
    <row r="110" spans="1:3">
      <c r="A110" t="s">
        <v>342</v>
      </c>
      <c r="B110" t="s">
        <v>497</v>
      </c>
      <c r="C110" t="str">
        <f t="shared" si="1"/>
        <v xml:space="preserve"> CN7M UNS J95150</v>
      </c>
    </row>
    <row r="111" spans="1:3">
      <c r="A111" t="s">
        <v>342</v>
      </c>
      <c r="B111" t="s">
        <v>498</v>
      </c>
      <c r="C111" t="str">
        <f t="shared" si="1"/>
        <v xml:space="preserve"> LCC UNS J02505</v>
      </c>
    </row>
    <row r="112" spans="1:3">
      <c r="A112" t="s">
        <v>342</v>
      </c>
      <c r="B112" t="s">
        <v>499</v>
      </c>
      <c r="C112" t="str">
        <f t="shared" si="1"/>
        <v xml:space="preserve"> LCB UNS J03003</v>
      </c>
    </row>
    <row r="113" spans="1:3">
      <c r="A113" t="s">
        <v>342</v>
      </c>
      <c r="B113" t="s">
        <v>500</v>
      </c>
      <c r="C113" t="str">
        <f t="shared" si="1"/>
        <v xml:space="preserve"> 316 UNS S31600</v>
      </c>
    </row>
    <row r="114" spans="1:3">
      <c r="A114" t="s">
        <v>342</v>
      </c>
      <c r="B114" t="s">
        <v>501</v>
      </c>
      <c r="C114" t="str">
        <f t="shared" si="1"/>
        <v xml:space="preserve"> D2-C  F43002 (Ni-Resist)</v>
      </c>
    </row>
    <row r="115" spans="1:3">
      <c r="A115" t="s">
        <v>342</v>
      </c>
      <c r="B115" t="s">
        <v>502</v>
      </c>
      <c r="C115" t="str">
        <f t="shared" si="1"/>
        <v xml:space="preserve"> gr. 660 A UNS S66286</v>
      </c>
    </row>
    <row r="116" spans="1:3">
      <c r="A116" t="s">
        <v>342</v>
      </c>
      <c r="B116" t="s">
        <v>503</v>
      </c>
      <c r="C116" t="str">
        <f t="shared" si="1"/>
        <v xml:space="preserve"> XM19 UNS S20910 Annealed</v>
      </c>
    </row>
    <row r="117" spans="1:3">
      <c r="A117" t="s">
        <v>342</v>
      </c>
      <c r="B117" t="s">
        <v>504</v>
      </c>
      <c r="C117" t="str">
        <f t="shared" si="1"/>
        <v xml:space="preserve"> XM19 UNS S20910  75&lt;t&lt;=200 Hot Rolled</v>
      </c>
    </row>
    <row r="118" spans="1:3">
      <c r="A118" t="s">
        <v>342</v>
      </c>
      <c r="B118" t="s">
        <v>505</v>
      </c>
      <c r="C118" t="str">
        <f t="shared" si="1"/>
        <v xml:space="preserve"> XM19 UNS S20910  50&lt;t&lt;=75 Hot Rolled</v>
      </c>
    </row>
    <row r="119" spans="1:3">
      <c r="A119" t="s">
        <v>342</v>
      </c>
      <c r="B119" t="s">
        <v>506</v>
      </c>
      <c r="C119" t="str">
        <f t="shared" si="1"/>
        <v xml:space="preserve"> XM19 UNS S20910  t&lt;=50 Hot Rolled</v>
      </c>
    </row>
    <row r="120" spans="1:3">
      <c r="A120" t="s">
        <v>342</v>
      </c>
      <c r="B120" t="s">
        <v>507</v>
      </c>
      <c r="C120" t="str">
        <f t="shared" si="1"/>
        <v xml:space="preserve"> XM19 UNS 20910 (Nitronic 50)</v>
      </c>
    </row>
    <row r="121" spans="1:3">
      <c r="A121" t="s">
        <v>508</v>
      </c>
      <c r="B121" t="s">
        <v>509</v>
      </c>
      <c r="C121" t="str">
        <f t="shared" si="1"/>
        <v xml:space="preserve"> XM 19 - UNS S20910 0&lt;=d&lt;=50 SIZING</v>
      </c>
    </row>
    <row r="122" spans="1:3">
      <c r="A122" t="s">
        <v>342</v>
      </c>
      <c r="B122" t="s">
        <v>510</v>
      </c>
      <c r="C122" t="str">
        <f t="shared" si="1"/>
        <v xml:space="preserve"> XM 19 - UNS S20910 0&lt;=d&lt;=50</v>
      </c>
    </row>
    <row r="123" spans="1:3">
      <c r="A123" t="s">
        <v>409</v>
      </c>
      <c r="B123" t="s">
        <v>510</v>
      </c>
      <c r="C123" t="str">
        <f t="shared" si="1"/>
        <v xml:space="preserve"> XM 19 - UNS S20910 0&lt;=d&lt;=50</v>
      </c>
    </row>
    <row r="124" spans="1:3">
      <c r="A124" t="s">
        <v>508</v>
      </c>
      <c r="B124" t="s">
        <v>511</v>
      </c>
      <c r="C124" t="str">
        <f t="shared" si="1"/>
        <v xml:space="preserve"> XM 19 - UNS S20910 50&lt;d&lt;=80 SIZING</v>
      </c>
    </row>
    <row r="125" spans="1:3">
      <c r="A125" t="s">
        <v>342</v>
      </c>
      <c r="B125" t="s">
        <v>512</v>
      </c>
      <c r="C125" t="str">
        <f t="shared" si="1"/>
        <v xml:space="preserve"> XM 19 - UNS S20910 50&lt;d&lt;=75</v>
      </c>
    </row>
    <row r="126" spans="1:3">
      <c r="A126" t="s">
        <v>409</v>
      </c>
      <c r="B126" t="s">
        <v>512</v>
      </c>
      <c r="C126" t="str">
        <f t="shared" si="1"/>
        <v xml:space="preserve"> XM 19 - UNS S20910 50&lt;d&lt;=75</v>
      </c>
    </row>
    <row r="127" spans="1:3">
      <c r="A127" t="s">
        <v>508</v>
      </c>
      <c r="B127" t="s">
        <v>513</v>
      </c>
      <c r="C127" t="str">
        <f t="shared" si="1"/>
        <v xml:space="preserve"> XM 19 - UNS S20910 80&lt;d&lt;=200 SIZING</v>
      </c>
    </row>
    <row r="128" spans="1:3">
      <c r="A128" t="s">
        <v>342</v>
      </c>
      <c r="B128" t="s">
        <v>514</v>
      </c>
      <c r="C128" t="str">
        <f t="shared" si="1"/>
        <v xml:space="preserve"> XM 19 - UNS S20910 75&lt;d&lt;=200</v>
      </c>
    </row>
    <row r="129" spans="1:3">
      <c r="A129" t="s">
        <v>409</v>
      </c>
      <c r="B129" t="s">
        <v>514</v>
      </c>
      <c r="C129" t="str">
        <f t="shared" ref="C129:C192" si="2">IF(LEFT(B129,4)="ASTM",+RIGHT(B129,LEN(B129)-10),B129)</f>
        <v xml:space="preserve"> XM 19 - UNS S20910 75&lt;d&lt;=200</v>
      </c>
    </row>
    <row r="130" spans="1:3">
      <c r="A130" t="s">
        <v>508</v>
      </c>
      <c r="B130" t="s">
        <v>515</v>
      </c>
      <c r="C130" t="str">
        <f t="shared" si="2"/>
        <v xml:space="preserve"> XM 19 - UNS S20910 200&lt;d&lt;=400 SIZING</v>
      </c>
    </row>
    <row r="131" spans="1:3">
      <c r="A131" t="s">
        <v>342</v>
      </c>
      <c r="B131" t="s">
        <v>516</v>
      </c>
      <c r="C131" t="str">
        <f t="shared" si="2"/>
        <v xml:space="preserve"> XM 19 - UNS S20910 200&lt;d&lt;=400</v>
      </c>
    </row>
    <row r="132" spans="1:3">
      <c r="A132" t="s">
        <v>409</v>
      </c>
      <c r="B132" t="s">
        <v>516</v>
      </c>
      <c r="C132" t="str">
        <f t="shared" si="2"/>
        <v xml:space="preserve"> XM 19 - UNS S20910 200&lt;d&lt;=400</v>
      </c>
    </row>
    <row r="133" spans="1:3">
      <c r="A133" t="s">
        <v>342</v>
      </c>
      <c r="B133" t="s">
        <v>517</v>
      </c>
      <c r="C133" t="str">
        <f t="shared" si="2"/>
        <v xml:space="preserve"> UNS S31600 - S30400</v>
      </c>
    </row>
    <row r="134" spans="1:3">
      <c r="A134" t="s">
        <v>409</v>
      </c>
      <c r="B134" t="s">
        <v>517</v>
      </c>
      <c r="C134" t="str">
        <f t="shared" si="2"/>
        <v xml:space="preserve"> UNS S31600 - S30400</v>
      </c>
    </row>
    <row r="135" spans="1:3">
      <c r="A135" t="s">
        <v>342</v>
      </c>
      <c r="B135" t="s">
        <v>518</v>
      </c>
      <c r="C135" t="str">
        <f t="shared" si="2"/>
        <v xml:space="preserve"> gr. 316L UNS S31603</v>
      </c>
    </row>
    <row r="136" spans="1:3">
      <c r="A136" t="s">
        <v>342</v>
      </c>
      <c r="B136" t="s">
        <v>519</v>
      </c>
      <c r="C136" t="str">
        <f t="shared" si="2"/>
        <v xml:space="preserve"> GR 410 - UNS S41000</v>
      </c>
    </row>
    <row r="137" spans="1:3">
      <c r="A137" t="s">
        <v>342</v>
      </c>
      <c r="B137" t="s">
        <v>520</v>
      </c>
      <c r="C137" t="str">
        <f t="shared" si="2"/>
        <v xml:space="preserve"> UNS S43100</v>
      </c>
    </row>
    <row r="138" spans="1:3">
      <c r="A138" t="s">
        <v>342</v>
      </c>
      <c r="B138" t="s">
        <v>521</v>
      </c>
      <c r="C138" t="str">
        <f t="shared" si="2"/>
        <v xml:space="preserve"> UNS S21800</v>
      </c>
    </row>
    <row r="139" spans="1:3">
      <c r="A139" t="s">
        <v>342</v>
      </c>
      <c r="B139" t="s">
        <v>522</v>
      </c>
      <c r="C139" t="str">
        <f t="shared" si="2"/>
        <v xml:space="preserve"> UNS S31254 (SMO)</v>
      </c>
    </row>
    <row r="140" spans="1:3">
      <c r="A140" t="s">
        <v>409</v>
      </c>
      <c r="B140" t="s">
        <v>522</v>
      </c>
      <c r="C140" t="str">
        <f t="shared" si="2"/>
        <v xml:space="preserve"> UNS S31254 (SMO)</v>
      </c>
    </row>
    <row r="141" spans="1:3">
      <c r="A141" t="s">
        <v>342</v>
      </c>
      <c r="B141" t="s">
        <v>523</v>
      </c>
      <c r="C141" t="str">
        <f t="shared" si="2"/>
        <v xml:space="preserve"> UNS S31803 (Duplex)</v>
      </c>
    </row>
    <row r="142" spans="1:3">
      <c r="A142" t="s">
        <v>409</v>
      </c>
      <c r="B142" t="s">
        <v>523</v>
      </c>
      <c r="C142" t="str">
        <f t="shared" si="2"/>
        <v xml:space="preserve"> UNS S31803 (Duplex)</v>
      </c>
    </row>
    <row r="143" spans="1:3">
      <c r="A143" t="s">
        <v>342</v>
      </c>
      <c r="B143" t="s">
        <v>524</v>
      </c>
      <c r="C143" t="str">
        <f t="shared" si="2"/>
        <v xml:space="preserve"> UNS S32750 (Super Duplex) d&lt;50mm</v>
      </c>
    </row>
    <row r="144" spans="1:3">
      <c r="A144" t="s">
        <v>409</v>
      </c>
      <c r="B144" t="s">
        <v>524</v>
      </c>
      <c r="C144" t="str">
        <f t="shared" si="2"/>
        <v xml:space="preserve"> UNS S32750 (Super Duplex) d&lt;50mm</v>
      </c>
    </row>
    <row r="145" spans="1:3">
      <c r="A145" t="s">
        <v>342</v>
      </c>
      <c r="B145" t="s">
        <v>525</v>
      </c>
      <c r="C145" t="str">
        <f t="shared" si="2"/>
        <v xml:space="preserve"> UNS S32750 (Super Duplex) d&gt;50mm</v>
      </c>
    </row>
    <row r="146" spans="1:3">
      <c r="A146" t="s">
        <v>409</v>
      </c>
      <c r="B146" t="s">
        <v>525</v>
      </c>
      <c r="C146" t="str">
        <f t="shared" si="2"/>
        <v xml:space="preserve"> UNS S32750 (Super Duplex) d&gt;50mm</v>
      </c>
    </row>
    <row r="147" spans="1:3">
      <c r="A147" t="s">
        <v>342</v>
      </c>
      <c r="B147" t="s">
        <v>526</v>
      </c>
      <c r="C147" t="str">
        <f t="shared" si="2"/>
        <v xml:space="preserve"> CA6NM UNS J91540 A</v>
      </c>
    </row>
    <row r="148" spans="1:3">
      <c r="A148" t="s">
        <v>342</v>
      </c>
      <c r="B148" t="s">
        <v>527</v>
      </c>
      <c r="C148" t="str">
        <f t="shared" si="2"/>
        <v xml:space="preserve"> CW-12MW</v>
      </c>
    </row>
    <row r="149" spans="1:3">
      <c r="A149" t="s">
        <v>409</v>
      </c>
      <c r="B149" t="s">
        <v>528</v>
      </c>
      <c r="C149" t="str">
        <f t="shared" si="2"/>
        <v xml:space="preserve"> gr. MT 316 </v>
      </c>
    </row>
    <row r="150" spans="1:3">
      <c r="A150" t="s">
        <v>342</v>
      </c>
      <c r="B150" t="s">
        <v>529</v>
      </c>
      <c r="C150" t="str">
        <f t="shared" si="2"/>
        <v xml:space="preserve"> gr.55 UNS K01800</v>
      </c>
    </row>
    <row r="151" spans="1:3">
      <c r="A151" t="s">
        <v>342</v>
      </c>
      <c r="B151" t="s">
        <v>530</v>
      </c>
      <c r="C151" t="str">
        <f t="shared" si="2"/>
        <v xml:space="preserve"> gr.60 UNS K02100</v>
      </c>
    </row>
    <row r="152" spans="1:3">
      <c r="A152" t="s">
        <v>342</v>
      </c>
      <c r="B152" t="s">
        <v>531</v>
      </c>
      <c r="C152" t="str">
        <f t="shared" si="2"/>
        <v xml:space="preserve"> gr.65 UNS K02403</v>
      </c>
    </row>
    <row r="153" spans="1:3">
      <c r="A153" t="s">
        <v>342</v>
      </c>
      <c r="B153" t="s">
        <v>532</v>
      </c>
      <c r="C153" t="str">
        <f t="shared" si="2"/>
        <v xml:space="preserve"> gr.70 UNS K02700</v>
      </c>
    </row>
    <row r="154" spans="1:3">
      <c r="A154" t="s">
        <v>342</v>
      </c>
      <c r="B154" t="s">
        <v>533</v>
      </c>
      <c r="C154" t="str">
        <f t="shared" si="2"/>
        <v xml:space="preserve"> gr 60-40-18 UNS F32800</v>
      </c>
    </row>
    <row r="155" spans="1:3">
      <c r="A155" t="s">
        <v>342</v>
      </c>
      <c r="B155" t="s">
        <v>534</v>
      </c>
      <c r="C155" t="str">
        <f t="shared" si="2"/>
        <v xml:space="preserve"> gr. 630 UNS S17400 H1150</v>
      </c>
    </row>
    <row r="156" spans="1:3">
      <c r="A156" t="s">
        <v>409</v>
      </c>
      <c r="B156" t="s">
        <v>534</v>
      </c>
      <c r="C156" t="str">
        <f t="shared" si="2"/>
        <v xml:space="preserve"> gr. 630 UNS S17400 H1150</v>
      </c>
    </row>
    <row r="157" spans="1:3">
      <c r="A157" t="s">
        <v>342</v>
      </c>
      <c r="B157" t="s">
        <v>535</v>
      </c>
      <c r="C157" t="str">
        <f t="shared" si="2"/>
        <v xml:space="preserve"> GR 615 - UNS S41800</v>
      </c>
    </row>
    <row r="158" spans="1:3">
      <c r="A158" t="s">
        <v>409</v>
      </c>
      <c r="B158" t="s">
        <v>535</v>
      </c>
      <c r="C158" t="str">
        <f t="shared" si="2"/>
        <v xml:space="preserve"> GR 615 - UNS S41800</v>
      </c>
    </row>
    <row r="159" spans="1:3">
      <c r="A159" t="s">
        <v>342</v>
      </c>
      <c r="B159" t="s">
        <v>536</v>
      </c>
      <c r="C159" t="str">
        <f t="shared" si="2"/>
        <v xml:space="preserve"> GR 616 - UNS S42200</v>
      </c>
    </row>
    <row r="160" spans="1:3">
      <c r="A160" t="s">
        <v>409</v>
      </c>
      <c r="B160" t="s">
        <v>536</v>
      </c>
      <c r="C160" t="str">
        <f t="shared" si="2"/>
        <v xml:space="preserve"> GR 616 - UNS S42200</v>
      </c>
    </row>
    <row r="161" spans="1:3">
      <c r="A161" t="s">
        <v>342</v>
      </c>
      <c r="B161" t="s">
        <v>537</v>
      </c>
      <c r="C161" t="str">
        <f t="shared" si="2"/>
        <v xml:space="preserve"> gr.50</v>
      </c>
    </row>
    <row r="162" spans="1:3">
      <c r="A162" t="s">
        <v>342</v>
      </c>
      <c r="B162" t="s">
        <v>538</v>
      </c>
      <c r="C162" t="str">
        <f t="shared" si="2"/>
        <v xml:space="preserve"> UNS N07080 (Alloy 80)</v>
      </c>
    </row>
    <row r="163" spans="1:3">
      <c r="A163" t="s">
        <v>342</v>
      </c>
      <c r="B163" t="s">
        <v>539</v>
      </c>
      <c r="C163" t="str">
        <f t="shared" si="2"/>
        <v xml:space="preserve"> gr 660 UNS S66286</v>
      </c>
    </row>
    <row r="164" spans="1:3">
      <c r="A164" t="s">
        <v>409</v>
      </c>
      <c r="B164" t="s">
        <v>539</v>
      </c>
      <c r="C164" t="str">
        <f t="shared" si="2"/>
        <v xml:space="preserve"> gr 660 UNS S66286</v>
      </c>
    </row>
    <row r="165" spans="1:3">
      <c r="A165" t="s">
        <v>342</v>
      </c>
      <c r="B165" t="s">
        <v>540</v>
      </c>
      <c r="C165" t="str">
        <f t="shared" si="2"/>
        <v xml:space="preserve"> 630 UNS S17400 H1075</v>
      </c>
    </row>
    <row r="166" spans="1:3">
      <c r="A166" t="s">
        <v>342</v>
      </c>
      <c r="B166" t="s">
        <v>541</v>
      </c>
      <c r="C166" t="str">
        <f t="shared" si="2"/>
        <v xml:space="preserve"> UNS S31803</v>
      </c>
    </row>
    <row r="167" spans="1:3">
      <c r="A167" t="s">
        <v>342</v>
      </c>
      <c r="B167" t="s">
        <v>542</v>
      </c>
      <c r="C167" t="str">
        <f t="shared" si="2"/>
        <v xml:space="preserve"> gr. 4 UNS J92205</v>
      </c>
    </row>
    <row r="168" spans="1:3">
      <c r="A168" t="s">
        <v>342</v>
      </c>
      <c r="B168" t="s">
        <v>543</v>
      </c>
      <c r="C168" t="str">
        <f t="shared" si="2"/>
        <v xml:space="preserve"> gr.5A UNS J93404</v>
      </c>
    </row>
    <row r="169" spans="1:3">
      <c r="A169" t="s">
        <v>342</v>
      </c>
      <c r="B169" t="s">
        <v>544</v>
      </c>
      <c r="C169" t="str">
        <f t="shared" si="2"/>
        <v xml:space="preserve"> gr. 5 UNS J93404</v>
      </c>
    </row>
    <row r="170" spans="1:3">
      <c r="A170" t="s">
        <v>342</v>
      </c>
      <c r="B170" t="s">
        <v>545</v>
      </c>
      <c r="C170" t="str">
        <f t="shared" si="2"/>
        <v xml:space="preserve"> C95800</v>
      </c>
    </row>
    <row r="171" spans="1:3">
      <c r="A171" t="s">
        <v>342</v>
      </c>
      <c r="B171" t="s">
        <v>546</v>
      </c>
      <c r="C171" t="str">
        <f t="shared" si="2"/>
        <v xml:space="preserve"> C95500 (Aluminium Bronze) B31.3</v>
      </c>
    </row>
    <row r="172" spans="1:3">
      <c r="A172" t="s">
        <v>342</v>
      </c>
      <c r="B172" t="s">
        <v>547</v>
      </c>
      <c r="C172" t="str">
        <f t="shared" si="2"/>
        <v xml:space="preserve"> M20 UNS C63000 50mm &lt; t &lt;= 100mm</v>
      </c>
    </row>
    <row r="173" spans="1:3">
      <c r="A173" t="s">
        <v>342</v>
      </c>
      <c r="B173" t="s">
        <v>548</v>
      </c>
      <c r="C173" t="str">
        <f t="shared" si="2"/>
        <v xml:space="preserve"> HR50 UNS C63000 50mm &lt; t &lt;= 100mm</v>
      </c>
    </row>
    <row r="174" spans="1:3">
      <c r="A174" t="s">
        <v>342</v>
      </c>
      <c r="B174" t="s">
        <v>549</v>
      </c>
      <c r="C174" t="str">
        <f t="shared" si="2"/>
        <v xml:space="preserve"> HR50 UNS C63000 25mm &lt; t &lt;= 50mm</v>
      </c>
    </row>
    <row r="175" spans="1:3">
      <c r="A175" t="s">
        <v>342</v>
      </c>
      <c r="B175" t="s">
        <v>550</v>
      </c>
      <c r="C175" t="str">
        <f t="shared" si="2"/>
        <v xml:space="preserve"> HR50 UNS C63000 13mm &lt; t &lt;= 25mm</v>
      </c>
    </row>
    <row r="176" spans="1:3">
      <c r="A176" t="s">
        <v>342</v>
      </c>
      <c r="B176" t="s">
        <v>551</v>
      </c>
      <c r="C176" t="str">
        <f t="shared" si="2"/>
        <v xml:space="preserve"> UNS C63000 (ASTM Bz Al)</v>
      </c>
    </row>
    <row r="177" spans="1:3">
      <c r="A177" t="s">
        <v>342</v>
      </c>
      <c r="B177" t="s">
        <v>552</v>
      </c>
      <c r="C177" t="str">
        <f t="shared" si="2"/>
        <v xml:space="preserve"> UNS N10665 (Note G5)</v>
      </c>
    </row>
    <row r="178" spans="1:3">
      <c r="A178" t="s">
        <v>342</v>
      </c>
      <c r="B178" t="s">
        <v>553</v>
      </c>
      <c r="C178" t="str">
        <f t="shared" si="2"/>
        <v xml:space="preserve"> UNS N10665</v>
      </c>
    </row>
    <row r="179" spans="1:3">
      <c r="A179" t="s">
        <v>342</v>
      </c>
      <c r="B179" t="s">
        <v>554</v>
      </c>
      <c r="C179" t="str">
        <f t="shared" si="2"/>
        <v xml:space="preserve"> UNS R52400 gr.7</v>
      </c>
    </row>
    <row r="180" spans="1:3">
      <c r="A180" t="s">
        <v>342</v>
      </c>
      <c r="B180" t="s">
        <v>555</v>
      </c>
      <c r="C180" t="str">
        <f t="shared" si="2"/>
        <v xml:space="preserve"> TITASTM ANIUM GR 5</v>
      </c>
    </row>
    <row r="181" spans="1:3">
      <c r="A181" t="s">
        <v>342</v>
      </c>
      <c r="B181" t="s">
        <v>556</v>
      </c>
      <c r="C181" t="str">
        <f t="shared" si="2"/>
        <v xml:space="preserve"> F2 UNS 50400</v>
      </c>
    </row>
    <row r="182" spans="1:3">
      <c r="A182" t="s">
        <v>342</v>
      </c>
      <c r="B182" t="s">
        <v>557</v>
      </c>
      <c r="C182" t="str">
        <f t="shared" si="2"/>
        <v xml:space="preserve"> UNS N08800 (Note G5)</v>
      </c>
    </row>
    <row r="183" spans="1:3">
      <c r="A183" t="s">
        <v>342</v>
      </c>
      <c r="B183" t="s">
        <v>558</v>
      </c>
      <c r="C183" t="str">
        <f t="shared" si="2"/>
        <v xml:space="preserve"> UNS N08800 (Alloy 800)</v>
      </c>
    </row>
    <row r="184" spans="1:3">
      <c r="A184" t="s">
        <v>342</v>
      </c>
      <c r="B184" t="s">
        <v>559</v>
      </c>
      <c r="C184" t="str">
        <f t="shared" si="2"/>
        <v xml:space="preserve"> UNS N08810 (Note G5)</v>
      </c>
    </row>
    <row r="185" spans="1:3">
      <c r="A185" t="s">
        <v>342</v>
      </c>
      <c r="B185" t="s">
        <v>560</v>
      </c>
      <c r="C185" t="str">
        <f t="shared" si="2"/>
        <v xml:space="preserve"> UNS N08810 (Alloy 800HT)</v>
      </c>
    </row>
    <row r="186" spans="1:3">
      <c r="A186" t="s">
        <v>342</v>
      </c>
      <c r="B186" t="s">
        <v>561</v>
      </c>
      <c r="C186" t="str">
        <f t="shared" si="2"/>
        <v xml:space="preserve"> UNS N08825 (Note G5)</v>
      </c>
    </row>
    <row r="187" spans="1:3">
      <c r="A187" t="s">
        <v>342</v>
      </c>
      <c r="B187" t="s">
        <v>562</v>
      </c>
      <c r="C187" t="str">
        <f t="shared" si="2"/>
        <v xml:space="preserve"> UNS N08825 (Alloy 825)</v>
      </c>
    </row>
    <row r="188" spans="1:3">
      <c r="A188" t="s">
        <v>342</v>
      </c>
      <c r="B188" t="s">
        <v>563</v>
      </c>
      <c r="C188" t="str">
        <f t="shared" si="2"/>
        <v xml:space="preserve"> UNS N06625 (Alloy 625 rupture life 10,000 h)</v>
      </c>
    </row>
    <row r="189" spans="1:3">
      <c r="A189" t="s">
        <v>409</v>
      </c>
      <c r="B189" t="s">
        <v>563</v>
      </c>
      <c r="C189" t="str">
        <f t="shared" si="2"/>
        <v xml:space="preserve"> UNS N06625 (Alloy 625 rupture life 10,000 h)</v>
      </c>
    </row>
    <row r="190" spans="1:3">
      <c r="A190" t="s">
        <v>342</v>
      </c>
      <c r="B190" t="s">
        <v>564</v>
      </c>
      <c r="C190" t="str">
        <f t="shared" si="2"/>
        <v xml:space="preserve"> N08020 (Alloy 20) Note G</v>
      </c>
    </row>
    <row r="191" spans="1:3">
      <c r="A191" t="s">
        <v>342</v>
      </c>
      <c r="B191" t="s">
        <v>565</v>
      </c>
      <c r="C191" t="str">
        <f t="shared" si="2"/>
        <v xml:space="preserve"> N08020 (Alloy 20)</v>
      </c>
    </row>
    <row r="192" spans="1:3">
      <c r="A192" t="s">
        <v>342</v>
      </c>
      <c r="B192" t="s">
        <v>566</v>
      </c>
      <c r="C192" t="str">
        <f t="shared" si="2"/>
        <v xml:space="preserve"> UNS N08020 (Alloy 20Cb3) Note G</v>
      </c>
    </row>
    <row r="193" spans="1:3">
      <c r="A193" t="s">
        <v>342</v>
      </c>
      <c r="B193" t="s">
        <v>567</v>
      </c>
      <c r="C193" t="str">
        <f t="shared" ref="C193:C256" si="3">IF(LEFT(B193,4)="ASTM",+RIGHT(B193,LEN(B193)-10),B193)</f>
        <v xml:space="preserve"> UNS N08020 (Alloy 20Cb3)</v>
      </c>
    </row>
    <row r="194" spans="1:3">
      <c r="A194" t="s">
        <v>342</v>
      </c>
      <c r="B194" t="s">
        <v>568</v>
      </c>
      <c r="C194" t="str">
        <f t="shared" si="3"/>
        <v xml:space="preserve">  UNS N04400 </v>
      </c>
    </row>
    <row r="195" spans="1:3">
      <c r="A195" t="s">
        <v>342</v>
      </c>
      <c r="B195" t="s">
        <v>569</v>
      </c>
      <c r="C195" t="str">
        <f t="shared" si="3"/>
        <v xml:space="preserve"> 45 UNS N08810 (B31.3)</v>
      </c>
    </row>
    <row r="196" spans="1:3">
      <c r="A196" t="s">
        <v>342</v>
      </c>
      <c r="B196" t="s">
        <v>570</v>
      </c>
      <c r="C196" t="str">
        <f t="shared" si="3"/>
        <v xml:space="preserve"> UNS N10276 (HASTELLOY C276)</v>
      </c>
    </row>
    <row r="197" spans="1:3">
      <c r="A197" t="s">
        <v>342</v>
      </c>
      <c r="B197" t="s">
        <v>571</v>
      </c>
      <c r="C197" t="str">
        <f t="shared" si="3"/>
        <v xml:space="preserve"> UNS N10276 (Alloy C-276)</v>
      </c>
    </row>
    <row r="198" spans="1:3">
      <c r="A198" t="s">
        <v>409</v>
      </c>
      <c r="B198" t="s">
        <v>571</v>
      </c>
      <c r="C198" t="str">
        <f t="shared" si="3"/>
        <v xml:space="preserve"> UNS N10276 (Alloy C-276)</v>
      </c>
    </row>
    <row r="199" spans="1:3">
      <c r="A199" t="s">
        <v>342</v>
      </c>
      <c r="B199" t="s">
        <v>572</v>
      </c>
      <c r="C199" t="str">
        <f t="shared" si="3"/>
        <v xml:space="preserve"> UNS N10276 (Note G)</v>
      </c>
    </row>
    <row r="200" spans="1:3">
      <c r="A200" t="s">
        <v>342</v>
      </c>
      <c r="B200" t="s">
        <v>573</v>
      </c>
      <c r="C200" t="str">
        <f t="shared" si="3"/>
        <v xml:space="preserve"> UNS N10276</v>
      </c>
    </row>
    <row r="201" spans="1:3">
      <c r="A201" t="s">
        <v>342</v>
      </c>
      <c r="B201" t="s">
        <v>574</v>
      </c>
      <c r="C201" t="str">
        <f t="shared" si="3"/>
        <v xml:space="preserve"> UNS N10276 (Bolting)</v>
      </c>
    </row>
    <row r="202" spans="1:3">
      <c r="A202" t="s">
        <v>342</v>
      </c>
      <c r="B202" t="s">
        <v>575</v>
      </c>
      <c r="C202" t="str">
        <f t="shared" si="3"/>
        <v xml:space="preserve"> UNS N10276 (Note G)</v>
      </c>
    </row>
    <row r="203" spans="1:3">
      <c r="A203" t="s">
        <v>342</v>
      </c>
      <c r="B203" t="s">
        <v>576</v>
      </c>
      <c r="C203" t="str">
        <f t="shared" si="3"/>
        <v xml:space="preserve"> UNS N10276</v>
      </c>
    </row>
    <row r="204" spans="1:3">
      <c r="A204" t="s">
        <v>342</v>
      </c>
      <c r="B204" t="s">
        <v>577</v>
      </c>
      <c r="C204" t="str">
        <f t="shared" si="3"/>
        <v xml:space="preserve"> UNS N07718 (Inconel Alloy 718)</v>
      </c>
    </row>
    <row r="205" spans="1:3">
      <c r="A205" t="s">
        <v>342</v>
      </c>
      <c r="B205" t="s">
        <v>578</v>
      </c>
      <c r="C205" t="str">
        <f t="shared" si="3"/>
        <v xml:space="preserve"> UNS N05500 (Alloy K 500) d &lt;= 25</v>
      </c>
    </row>
    <row r="206" spans="1:3">
      <c r="A206" t="s">
        <v>409</v>
      </c>
      <c r="B206" t="s">
        <v>578</v>
      </c>
      <c r="C206" t="str">
        <f t="shared" si="3"/>
        <v xml:space="preserve"> UNS N05500 (Alloy K 500) d &lt;= 25</v>
      </c>
    </row>
    <row r="207" spans="1:3">
      <c r="A207" t="s">
        <v>342</v>
      </c>
      <c r="B207" t="s">
        <v>579</v>
      </c>
      <c r="C207" t="str">
        <f t="shared" si="3"/>
        <v xml:space="preserve"> UNS N05500 (Alloy K 500) d &gt; 25</v>
      </c>
    </row>
    <row r="208" spans="1:3">
      <c r="A208" t="s">
        <v>409</v>
      </c>
      <c r="B208" t="s">
        <v>579</v>
      </c>
      <c r="C208" t="str">
        <f t="shared" si="3"/>
        <v xml:space="preserve"> UNS N05500 (Alloy K 500) d &gt; 25</v>
      </c>
    </row>
    <row r="209" spans="1:3">
      <c r="A209" t="s">
        <v>342</v>
      </c>
      <c r="B209" t="s">
        <v>580</v>
      </c>
      <c r="C209" t="str">
        <f t="shared" si="3"/>
        <v xml:space="preserve"> MT UNS N10276</v>
      </c>
    </row>
    <row r="210" spans="1:3">
      <c r="A210" t="s">
        <v>342</v>
      </c>
      <c r="B210" t="s">
        <v>581</v>
      </c>
      <c r="C210" t="str">
        <f t="shared" si="3"/>
        <v>Alloy 105</v>
      </c>
    </row>
    <row r="211" spans="1:3">
      <c r="A211" t="s">
        <v>342</v>
      </c>
      <c r="B211" t="s">
        <v>582</v>
      </c>
      <c r="C211" t="str">
        <f t="shared" si="3"/>
        <v xml:space="preserve">Alloy 925                      </v>
      </c>
    </row>
    <row r="212" spans="1:3">
      <c r="A212" t="s">
        <v>342</v>
      </c>
      <c r="B212" t="s">
        <v>583</v>
      </c>
      <c r="C212" t="str">
        <f t="shared" si="3"/>
        <v>AMS 5387 Stellite 6</v>
      </c>
    </row>
    <row r="213" spans="1:3">
      <c r="A213">
        <v>3</v>
      </c>
      <c r="B213" t="s">
        <v>584</v>
      </c>
      <c r="C213" t="str">
        <f t="shared" si="3"/>
        <v>C20 UNI 7874:1979</v>
      </c>
    </row>
    <row r="214" spans="1:3">
      <c r="A214">
        <v>3</v>
      </c>
      <c r="B214" t="s">
        <v>585</v>
      </c>
      <c r="C214" t="str">
        <f t="shared" si="3"/>
        <v>C40 1.0511 (AISI 1040) t&lt;16mm</v>
      </c>
    </row>
    <row r="215" spans="1:3">
      <c r="A215">
        <v>3</v>
      </c>
      <c r="B215" t="s">
        <v>586</v>
      </c>
      <c r="C215" t="str">
        <f t="shared" si="3"/>
        <v>C40 1.0511 (AISI 1040) 16&lt;t&lt;100 mm</v>
      </c>
    </row>
    <row r="216" spans="1:3">
      <c r="A216">
        <v>3</v>
      </c>
      <c r="B216" t="s">
        <v>587</v>
      </c>
      <c r="C216" t="str">
        <f t="shared" si="3"/>
        <v>C40 1.0511 (AISI 1040) 100&lt;t&lt;250 mm</v>
      </c>
    </row>
    <row r="217" spans="1:3">
      <c r="A217" t="s">
        <v>409</v>
      </c>
      <c r="B217" t="s">
        <v>588</v>
      </c>
      <c r="C217" t="str">
        <f t="shared" si="3"/>
        <v>A2 / A4 cl 70 &lt;= M24</v>
      </c>
    </row>
    <row r="218" spans="1:3">
      <c r="A218" t="s">
        <v>409</v>
      </c>
      <c r="B218" t="s">
        <v>589</v>
      </c>
      <c r="C218" t="str">
        <f t="shared" si="3"/>
        <v>A2 / A4 cl 50 &lt; M39</v>
      </c>
    </row>
    <row r="219" spans="1:3">
      <c r="A219">
        <v>3</v>
      </c>
      <c r="B219" t="s">
        <v>590</v>
      </c>
      <c r="C219" t="str">
        <f t="shared" si="3"/>
        <v>ISO 3.6</v>
      </c>
    </row>
    <row r="220" spans="1:3">
      <c r="A220">
        <v>3</v>
      </c>
      <c r="B220" t="s">
        <v>591</v>
      </c>
      <c r="C220" t="str">
        <f t="shared" si="3"/>
        <v>ISO 4.6</v>
      </c>
    </row>
    <row r="221" spans="1:3">
      <c r="A221">
        <v>3</v>
      </c>
      <c r="B221" t="s">
        <v>592</v>
      </c>
      <c r="C221" t="str">
        <f t="shared" si="3"/>
        <v>ISO 4.8</v>
      </c>
    </row>
    <row r="222" spans="1:3">
      <c r="A222">
        <v>3</v>
      </c>
      <c r="B222" t="s">
        <v>593</v>
      </c>
      <c r="C222" t="str">
        <f t="shared" si="3"/>
        <v>ISO 5.6</v>
      </c>
    </row>
    <row r="223" spans="1:3">
      <c r="A223">
        <v>3</v>
      </c>
      <c r="B223" t="s">
        <v>594</v>
      </c>
      <c r="C223" t="str">
        <f t="shared" si="3"/>
        <v>ISO 5.8</v>
      </c>
    </row>
    <row r="224" spans="1:3">
      <c r="A224">
        <v>3</v>
      </c>
      <c r="B224" t="s">
        <v>595</v>
      </c>
      <c r="C224" t="str">
        <f t="shared" si="3"/>
        <v>ISO 6.8</v>
      </c>
    </row>
    <row r="225" spans="1:3">
      <c r="A225">
        <v>3</v>
      </c>
      <c r="B225" t="s">
        <v>596</v>
      </c>
      <c r="C225" t="str">
        <f t="shared" si="3"/>
        <v>ISO 8.8 d&lt;16 mm</v>
      </c>
    </row>
    <row r="226" spans="1:3">
      <c r="A226">
        <v>3</v>
      </c>
      <c r="B226" t="s">
        <v>597</v>
      </c>
      <c r="C226" t="str">
        <f t="shared" si="3"/>
        <v>ISO 8.8 d&gt;16 mm</v>
      </c>
    </row>
    <row r="227" spans="1:3">
      <c r="A227">
        <v>3</v>
      </c>
      <c r="B227" t="s">
        <v>598</v>
      </c>
      <c r="C227" t="str">
        <f t="shared" si="3"/>
        <v>ISO 9.8</v>
      </c>
    </row>
    <row r="228" spans="1:3">
      <c r="A228">
        <v>3</v>
      </c>
      <c r="B228" t="s">
        <v>599</v>
      </c>
      <c r="C228" t="str">
        <f t="shared" si="3"/>
        <v>ISO 10.9</v>
      </c>
    </row>
    <row r="229" spans="1:3">
      <c r="A229">
        <v>3</v>
      </c>
      <c r="B229" t="s">
        <v>600</v>
      </c>
      <c r="C229" t="str">
        <f t="shared" si="3"/>
        <v>ISO 12.9</v>
      </c>
    </row>
    <row r="230" spans="1:3">
      <c r="A230" t="s">
        <v>409</v>
      </c>
      <c r="B230" t="s">
        <v>601</v>
      </c>
      <c r="C230" t="str">
        <f t="shared" si="3"/>
        <v>EN 10028-2 1.0425 P265GH t &lt;= 16mm</v>
      </c>
    </row>
    <row r="231" spans="1:3">
      <c r="A231" t="s">
        <v>409</v>
      </c>
      <c r="B231" t="s">
        <v>602</v>
      </c>
      <c r="C231" t="str">
        <f t="shared" si="3"/>
        <v>EN 10028-2 1.0425 P265GH  16mm &lt; t &lt;= 40mm</v>
      </c>
    </row>
    <row r="232" spans="1:3">
      <c r="A232" t="s">
        <v>409</v>
      </c>
      <c r="B232" t="s">
        <v>603</v>
      </c>
      <c r="C232" t="str">
        <f t="shared" si="3"/>
        <v>EN 10028-2 1.0425 P265GH  40mm &lt; t &lt;= 60mm</v>
      </c>
    </row>
    <row r="233" spans="1:3">
      <c r="A233" t="s">
        <v>409</v>
      </c>
      <c r="B233" t="s">
        <v>604</v>
      </c>
      <c r="C233" t="str">
        <f t="shared" si="3"/>
        <v>EN 10028-2 1.0425 P265GH  60mm &lt; t &lt;= 100mm</v>
      </c>
    </row>
    <row r="234" spans="1:3">
      <c r="A234" t="s">
        <v>409</v>
      </c>
      <c r="B234" t="s">
        <v>605</v>
      </c>
      <c r="C234" t="str">
        <f t="shared" si="3"/>
        <v>EN 10028-2 1.0425 P265GH  100mm &lt; t &lt;= 150mm</v>
      </c>
    </row>
    <row r="235" spans="1:3">
      <c r="A235" t="s">
        <v>409</v>
      </c>
      <c r="B235" t="s">
        <v>606</v>
      </c>
      <c r="C235" t="str">
        <f t="shared" si="3"/>
        <v>EN 10028-2 1.0425 P265GH  150mm &lt; t &lt;= 250mm</v>
      </c>
    </row>
    <row r="236" spans="1:3">
      <c r="A236" t="s">
        <v>409</v>
      </c>
      <c r="B236" t="s">
        <v>607</v>
      </c>
      <c r="C236" t="str">
        <f t="shared" si="3"/>
        <v>EN 10028-2 1.5415 16Mo3 t &lt;= 16mm</v>
      </c>
    </row>
    <row r="237" spans="1:3">
      <c r="A237" t="s">
        <v>409</v>
      </c>
      <c r="B237" t="s">
        <v>608</v>
      </c>
      <c r="C237" t="str">
        <f t="shared" si="3"/>
        <v>EN 10028-2 1.5415 16Mo3 16mm &lt; t &lt;= 40mm</v>
      </c>
    </row>
    <row r="238" spans="1:3">
      <c r="A238" t="s">
        <v>409</v>
      </c>
      <c r="B238" t="s">
        <v>609</v>
      </c>
      <c r="C238" t="str">
        <f t="shared" si="3"/>
        <v>EN 10028-2 1.5415 16Mo3 40mm &lt; t &lt;= 60mm</v>
      </c>
    </row>
    <row r="239" spans="1:3">
      <c r="A239" t="s">
        <v>409</v>
      </c>
      <c r="B239" t="s">
        <v>610</v>
      </c>
      <c r="C239" t="str">
        <f t="shared" si="3"/>
        <v>EN 10028-2 1.5415 16Mo3 60mm &lt; t &lt;= 100mm</v>
      </c>
    </row>
    <row r="240" spans="1:3">
      <c r="A240" t="s">
        <v>409</v>
      </c>
      <c r="B240" t="s">
        <v>611</v>
      </c>
      <c r="C240" t="str">
        <f t="shared" si="3"/>
        <v>EN 10028-2 1.5415 16Mo3 100mm &lt; t &lt;= 150mm</v>
      </c>
    </row>
    <row r="241" spans="1:3">
      <c r="A241" t="s">
        <v>409</v>
      </c>
      <c r="B241" t="s">
        <v>612</v>
      </c>
      <c r="C241" t="str">
        <f t="shared" si="3"/>
        <v>EN 10028-2 1.5415 16Mo3 150mm &lt; t &lt;= 250mm</v>
      </c>
    </row>
    <row r="242" spans="1:3">
      <c r="A242" t="s">
        <v>409</v>
      </c>
      <c r="B242" t="s">
        <v>613</v>
      </c>
      <c r="C242" t="str">
        <f t="shared" si="3"/>
        <v>EN 10028-2 1.7335 13CrMo4-5 tr&lt;=16mm</v>
      </c>
    </row>
    <row r="243" spans="1:3">
      <c r="A243" t="s">
        <v>409</v>
      </c>
      <c r="B243" t="s">
        <v>614</v>
      </c>
      <c r="C243" t="str">
        <f t="shared" si="3"/>
        <v>EN 10028-2 1.7335 13CrMo4-5 16mm&lt;tr&lt;=60mm</v>
      </c>
    </row>
    <row r="244" spans="1:3">
      <c r="A244" t="s">
        <v>409</v>
      </c>
      <c r="B244" t="s">
        <v>615</v>
      </c>
      <c r="C244" t="str">
        <f t="shared" si="3"/>
        <v>EN 10028-2 1.7335 13CrMo4-5 60mm&lt;tr&lt;=100mm</v>
      </c>
    </row>
    <row r="245" spans="1:3">
      <c r="A245" t="s">
        <v>409</v>
      </c>
      <c r="B245" t="s">
        <v>616</v>
      </c>
      <c r="C245" t="str">
        <f t="shared" si="3"/>
        <v>EN 10028-2 1.7335 13CrMo4-5 100mm&lt;tr&lt;=150mm</v>
      </c>
    </row>
    <row r="246" spans="1:3">
      <c r="A246" t="s">
        <v>409</v>
      </c>
      <c r="B246" t="s">
        <v>617</v>
      </c>
      <c r="C246" t="str">
        <f t="shared" si="3"/>
        <v>EN 10028-2 1.7335 13CrMo4-5 150mm&lt;tr&lt;=250mm</v>
      </c>
    </row>
    <row r="247" spans="1:3">
      <c r="A247" t="s">
        <v>409</v>
      </c>
      <c r="B247" t="s">
        <v>618</v>
      </c>
      <c r="C247" t="str">
        <f t="shared" si="3"/>
        <v>EN 10028-3 1.0565 P355NH  t &lt;= 16mm</v>
      </c>
    </row>
    <row r="248" spans="1:3">
      <c r="A248" t="s">
        <v>409</v>
      </c>
      <c r="B248" t="s">
        <v>619</v>
      </c>
      <c r="C248" t="str">
        <f t="shared" si="3"/>
        <v>EN 10028-3 1.0565 P355NH   16mm &lt;  t &lt;= 40mm</v>
      </c>
    </row>
    <row r="249" spans="1:3">
      <c r="A249" t="s">
        <v>409</v>
      </c>
      <c r="B249" t="s">
        <v>620</v>
      </c>
      <c r="C249" t="str">
        <f t="shared" si="3"/>
        <v>EN 10028-3 1.0565 P355NH   40mm &lt;  t &lt;= 60mm</v>
      </c>
    </row>
    <row r="250" spans="1:3">
      <c r="A250" t="s">
        <v>409</v>
      </c>
      <c r="B250" t="s">
        <v>621</v>
      </c>
      <c r="C250" t="str">
        <f t="shared" si="3"/>
        <v>EN 10028-3 1.0565 P355NH   60mm &lt;  t &lt;= 100mm</v>
      </c>
    </row>
    <row r="251" spans="1:3">
      <c r="A251" t="s">
        <v>409</v>
      </c>
      <c r="B251" t="s">
        <v>622</v>
      </c>
      <c r="C251" t="str">
        <f t="shared" si="3"/>
        <v>EN 10028-3 1.0565 P355NH   100mm &lt;  t &lt;= 160mm</v>
      </c>
    </row>
    <row r="252" spans="1:3">
      <c r="A252" t="s">
        <v>409</v>
      </c>
      <c r="B252" t="s">
        <v>623</v>
      </c>
      <c r="C252" t="str">
        <f t="shared" si="3"/>
        <v>EN 10028-3 1.0565 P355NH   160mm &lt;  t &lt;= 250mm</v>
      </c>
    </row>
    <row r="253" spans="1:3">
      <c r="A253" t="s">
        <v>409</v>
      </c>
      <c r="B253" t="s">
        <v>624</v>
      </c>
      <c r="C253" t="str">
        <f t="shared" si="3"/>
        <v>EN 10028-7 1.4301 X5CrNi18-10   t &lt;= 75mm</v>
      </c>
    </row>
    <row r="254" spans="1:3">
      <c r="A254" t="s">
        <v>409</v>
      </c>
      <c r="B254" t="s">
        <v>625</v>
      </c>
      <c r="C254" t="str">
        <f t="shared" si="3"/>
        <v>EN 10028-7 1.4307 X2CrNi18-9   t &lt;= 75mm</v>
      </c>
    </row>
    <row r="255" spans="1:3">
      <c r="A255" t="s">
        <v>409</v>
      </c>
      <c r="B255" t="s">
        <v>626</v>
      </c>
      <c r="C255" t="str">
        <f t="shared" si="3"/>
        <v>EN 10028-7 1.4401 X5CrNiMo17-12-2   t &lt;= 75mm</v>
      </c>
    </row>
    <row r="256" spans="1:3">
      <c r="A256" t="s">
        <v>409</v>
      </c>
      <c r="B256" t="s">
        <v>627</v>
      </c>
      <c r="C256" t="str">
        <f t="shared" si="3"/>
        <v>EN 10028-7 1.4571 X6CrNiMoTi17-12-2   t &lt;= 75mm</v>
      </c>
    </row>
    <row r="257" spans="1:3">
      <c r="A257" t="s">
        <v>409</v>
      </c>
      <c r="B257" t="s">
        <v>628</v>
      </c>
      <c r="C257" t="str">
        <f t="shared" ref="C257:C319" si="4">IF(LEFT(B257,4)="ASTM",+RIGHT(B257,LEN(B257)-10),B257)</f>
        <v>EN 10028-7 1.4910 X3CrNiMoBN17-13-3   t &lt;= 75mm</v>
      </c>
    </row>
    <row r="258" spans="1:3">
      <c r="A258" t="s">
        <v>409</v>
      </c>
      <c r="B258" t="s">
        <v>629</v>
      </c>
      <c r="C258" t="str">
        <f t="shared" si="4"/>
        <v>EN 10213-4 1.4309 GX2CrNi19-11 t&lt;=150mm</v>
      </c>
    </row>
    <row r="259" spans="1:3">
      <c r="A259" t="s">
        <v>409</v>
      </c>
      <c r="B259" t="s">
        <v>630</v>
      </c>
      <c r="C259" t="str">
        <f t="shared" si="4"/>
        <v>EN 10213-4 1.4408 GX5CrNiMo19-11-2</v>
      </c>
    </row>
    <row r="260" spans="1:3">
      <c r="A260" t="s">
        <v>409</v>
      </c>
      <c r="B260" t="s">
        <v>631</v>
      </c>
      <c r="C260" t="str">
        <f t="shared" si="4"/>
        <v>EN 10213-4 1.4552 GX5CrNiNb19-11</v>
      </c>
    </row>
    <row r="261" spans="1:3">
      <c r="A261" t="s">
        <v>409</v>
      </c>
      <c r="B261" t="s">
        <v>632</v>
      </c>
      <c r="C261" t="str">
        <f t="shared" si="4"/>
        <v>EN 10213-4 1.4581 GX5CrNiMoNb19-11-2</v>
      </c>
    </row>
    <row r="262" spans="1:3">
      <c r="A262" t="s">
        <v>409</v>
      </c>
      <c r="B262" t="s">
        <v>633</v>
      </c>
      <c r="C262" t="str">
        <f t="shared" si="4"/>
        <v>EN 10213-2  1.0619 GP240GH</v>
      </c>
    </row>
    <row r="263" spans="1:3">
      <c r="A263" t="s">
        <v>409</v>
      </c>
      <c r="B263" t="s">
        <v>634</v>
      </c>
      <c r="C263" t="str">
        <f t="shared" si="4"/>
        <v>EN 10213-2  1.5419 G20Mo5</v>
      </c>
    </row>
    <row r="264" spans="1:3">
      <c r="A264" t="s">
        <v>409</v>
      </c>
      <c r="B264" t="s">
        <v>635</v>
      </c>
      <c r="C264" t="str">
        <f t="shared" si="4"/>
        <v>EN 10213-2  1.7357 G17CrMo5-5</v>
      </c>
    </row>
    <row r="265" spans="1:3">
      <c r="A265" t="s">
        <v>409</v>
      </c>
      <c r="B265" t="s">
        <v>636</v>
      </c>
      <c r="C265" t="str">
        <f t="shared" si="4"/>
        <v>EN 10213-2  1.7379 G17CrMo9-10 (NO Creep Cond,)</v>
      </c>
    </row>
    <row r="266" spans="1:3">
      <c r="A266" t="s">
        <v>409</v>
      </c>
      <c r="B266" t="s">
        <v>637</v>
      </c>
      <c r="C266" t="str">
        <f t="shared" si="4"/>
        <v>EN 10213-2  1.7379 G17CrMo9-10 (Creep Condition)</v>
      </c>
    </row>
    <row r="267" spans="1:3">
      <c r="A267" t="s">
        <v>409</v>
      </c>
      <c r="B267" t="s">
        <v>638</v>
      </c>
      <c r="C267" t="str">
        <f t="shared" si="4"/>
        <v>EN 10217-7 1.4307 X2CrNi18-9  t&lt;=60 mm</v>
      </c>
    </row>
    <row r="268" spans="1:3">
      <c r="A268" t="s">
        <v>409</v>
      </c>
      <c r="B268" t="s">
        <v>639</v>
      </c>
      <c r="C268" t="str">
        <f t="shared" si="4"/>
        <v>EN 10222-2 1.0352 P245GH tr&lt;=35mm</v>
      </c>
    </row>
    <row r="269" spans="1:3">
      <c r="A269" t="s">
        <v>409</v>
      </c>
      <c r="B269" t="s">
        <v>640</v>
      </c>
      <c r="C269" t="str">
        <f t="shared" si="4"/>
        <v>EN 10222-2 1.0352 P245GH 35mm&lt; tr &lt;=50mm</v>
      </c>
    </row>
    <row r="270" spans="1:3">
      <c r="A270" t="s">
        <v>409</v>
      </c>
      <c r="B270" t="s">
        <v>641</v>
      </c>
      <c r="C270" t="str">
        <f t="shared" si="4"/>
        <v>EN 10222-2 1.0352 P245GH 50mm &lt; tr &lt;=160mm</v>
      </c>
    </row>
    <row r="271" spans="1:3">
      <c r="A271" t="s">
        <v>409</v>
      </c>
      <c r="B271" t="s">
        <v>642</v>
      </c>
      <c r="C271" t="str">
        <f t="shared" si="4"/>
        <v>EN 10222-2 1.0426 P280GH tr &lt;= 35 mm</v>
      </c>
    </row>
    <row r="272" spans="1:3">
      <c r="A272" t="s">
        <v>409</v>
      </c>
      <c r="B272" t="s">
        <v>643</v>
      </c>
      <c r="C272" t="str">
        <f t="shared" si="4"/>
        <v>EN 10222-2 1.0426 P280GH 35mm &lt; tr &lt;=50mm</v>
      </c>
    </row>
    <row r="273" spans="1:3">
      <c r="A273" t="s">
        <v>409</v>
      </c>
      <c r="B273" t="s">
        <v>644</v>
      </c>
      <c r="C273" t="str">
        <f t="shared" si="4"/>
        <v>EN 10222-2 1.0426 P280GH 50mm &lt; tr &lt;=160mm</v>
      </c>
    </row>
    <row r="274" spans="1:3">
      <c r="A274" t="s">
        <v>409</v>
      </c>
      <c r="B274" t="s">
        <v>645</v>
      </c>
      <c r="C274" t="str">
        <f t="shared" si="4"/>
        <v>EN 10222-2 1.6920 15MnCrMoNiV 5-3 tr &lt;=100mm (NO Creep Cond)</v>
      </c>
    </row>
    <row r="275" spans="1:3">
      <c r="A275" t="s">
        <v>409</v>
      </c>
      <c r="B275" t="s">
        <v>646</v>
      </c>
      <c r="C275" t="str">
        <f t="shared" si="4"/>
        <v>EN 10222-2 1.6920 15MnCrMoNiV 5-3 tr &lt;=100mm (Creep Condition)</v>
      </c>
    </row>
    <row r="276" spans="1:3">
      <c r="A276" t="s">
        <v>409</v>
      </c>
      <c r="B276" t="s">
        <v>647</v>
      </c>
      <c r="C276" t="str">
        <f t="shared" si="4"/>
        <v>EN 10222-2 1.7335 13CrMo4-5  tr&lt;=60mm</v>
      </c>
    </row>
    <row r="277" spans="1:3">
      <c r="A277" t="s">
        <v>409</v>
      </c>
      <c r="B277" t="s">
        <v>648</v>
      </c>
      <c r="C277" t="str">
        <f t="shared" si="4"/>
        <v>EN 10222-2 1.7335 13CrMo4-5 60mm&lt;tr&lt;=90mm</v>
      </c>
    </row>
    <row r="278" spans="1:3">
      <c r="A278" t="s">
        <v>409</v>
      </c>
      <c r="B278" t="s">
        <v>649</v>
      </c>
      <c r="C278" t="str">
        <f t="shared" si="4"/>
        <v>EN 10222-2 1.7335 13CrMo4-5 90mm&lt;tr&lt;=150mm</v>
      </c>
    </row>
    <row r="279" spans="1:3">
      <c r="A279" t="s">
        <v>409</v>
      </c>
      <c r="B279" t="s">
        <v>650</v>
      </c>
      <c r="C279" t="str">
        <f t="shared" si="4"/>
        <v>EN 10222-2 1.7335 13CrMo4-5 150mm&lt;tr&lt;=375mm</v>
      </c>
    </row>
    <row r="280" spans="1:3">
      <c r="A280" t="s">
        <v>409</v>
      </c>
      <c r="B280" t="s">
        <v>651</v>
      </c>
      <c r="C280" t="str">
        <f t="shared" si="4"/>
        <v>EN 10222-2 1.7335 13CrMo4-5 375mm&lt;tr&lt;=500mm</v>
      </c>
    </row>
    <row r="281" spans="1:3">
      <c r="A281" t="s">
        <v>409</v>
      </c>
      <c r="B281" t="s">
        <v>652</v>
      </c>
      <c r="C281" t="str">
        <f t="shared" si="4"/>
        <v>EN 10222-4 1.0565 P355NH  tr&lt;=50mm</v>
      </c>
    </row>
    <row r="282" spans="1:3">
      <c r="A282" t="s">
        <v>409</v>
      </c>
      <c r="B282" t="s">
        <v>653</v>
      </c>
      <c r="C282" t="str">
        <f t="shared" si="4"/>
        <v>EN 10222-4 1.0565 P355NH  50&lt; tr&lt;=100mm</v>
      </c>
    </row>
    <row r="283" spans="1:3">
      <c r="A283" t="s">
        <v>409</v>
      </c>
      <c r="B283" t="s">
        <v>654</v>
      </c>
      <c r="C283" t="str">
        <f t="shared" si="4"/>
        <v>EN 10222-4 1.0565 P355NH  100&lt; tr&lt;=150mm</v>
      </c>
    </row>
    <row r="284" spans="1:3">
      <c r="A284" t="s">
        <v>409</v>
      </c>
      <c r="B284" t="s">
        <v>655</v>
      </c>
      <c r="C284" t="str">
        <f t="shared" si="4"/>
        <v>EN 10222-4 1.0565 P355NH  150&lt; tr&lt;=375mm</v>
      </c>
    </row>
    <row r="285" spans="1:3">
      <c r="A285" t="s">
        <v>409</v>
      </c>
      <c r="B285" t="s">
        <v>656</v>
      </c>
      <c r="C285" t="str">
        <f t="shared" si="4"/>
        <v>EN 10222-4 1.0565 P355NH  tr&gt;375mm</v>
      </c>
    </row>
    <row r="286" spans="1:3">
      <c r="A286" t="s">
        <v>409</v>
      </c>
      <c r="B286" t="s">
        <v>657</v>
      </c>
      <c r="C286" t="str">
        <f t="shared" si="4"/>
        <v>EN 10222-5 1.4301 X5CrNi18-10   t &lt;= 250mm</v>
      </c>
    </row>
    <row r="287" spans="1:3">
      <c r="A287" t="s">
        <v>409</v>
      </c>
      <c r="B287" t="s">
        <v>658</v>
      </c>
      <c r="C287" t="str">
        <f t="shared" si="4"/>
        <v>EN 10222-5 1.4401 X5CrNiMo17-12-2   t &lt;= 250mm</v>
      </c>
    </row>
    <row r="288" spans="1:3">
      <c r="A288" t="s">
        <v>409</v>
      </c>
      <c r="B288" t="s">
        <v>659</v>
      </c>
      <c r="C288" t="str">
        <f t="shared" si="4"/>
        <v>EN 10222-5 1.4571 X6CrNiMoTi17-12-2   t &lt;= 450mm</v>
      </c>
    </row>
    <row r="289" spans="1:3">
      <c r="A289" t="s">
        <v>409</v>
      </c>
      <c r="B289" t="s">
        <v>660</v>
      </c>
      <c r="C289" t="str">
        <f t="shared" si="4"/>
        <v>EN 10222-5 1.4910 X3CrNiMoBN17-13-3   t &lt;= 75mm</v>
      </c>
    </row>
    <row r="290" spans="1:3">
      <c r="A290" t="s">
        <v>409</v>
      </c>
      <c r="B290" t="s">
        <v>661</v>
      </c>
      <c r="C290" t="str">
        <f t="shared" si="4"/>
        <v>EN 10269 1.4401 X5CrNiMo17-12-2 d&lt;160mm</v>
      </c>
    </row>
    <row r="291" spans="1:3">
      <c r="A291" t="s">
        <v>409</v>
      </c>
      <c r="B291" t="s">
        <v>662</v>
      </c>
      <c r="C291" t="str">
        <f t="shared" si="4"/>
        <v>EN 10269 1.7709 21CrMoV5-7 d&lt;160mm</v>
      </c>
    </row>
    <row r="292" spans="1:3">
      <c r="A292" t="s">
        <v>409</v>
      </c>
      <c r="B292" t="s">
        <v>663</v>
      </c>
      <c r="C292" t="str">
        <f t="shared" si="4"/>
        <v>EN 10272 1.4301 X5CrNi18-10    d&lt;=160 mm</v>
      </c>
    </row>
    <row r="293" spans="1:3">
      <c r="A293" t="s">
        <v>409</v>
      </c>
      <c r="B293" t="s">
        <v>664</v>
      </c>
      <c r="C293" t="str">
        <f t="shared" si="4"/>
        <v>EN 10272 1.4301 X5CrNi18-10  160&lt;d&lt;=200 mm</v>
      </c>
    </row>
    <row r="294" spans="1:3">
      <c r="A294" t="s">
        <v>409</v>
      </c>
      <c r="B294" t="s">
        <v>665</v>
      </c>
      <c r="C294" t="str">
        <f t="shared" si="4"/>
        <v>EN 10272 1.4401 X5CrNiMo17-12-2 d&lt;=160 mm</v>
      </c>
    </row>
    <row r="295" spans="1:3">
      <c r="A295" t="s">
        <v>409</v>
      </c>
      <c r="B295" t="s">
        <v>666</v>
      </c>
      <c r="C295" t="str">
        <f t="shared" si="4"/>
        <v>EN 10272 1.4401 X5CrNiMo17-12-2 160&lt;d&lt;=250 mm</v>
      </c>
    </row>
    <row r="296" spans="1:3">
      <c r="A296" t="s">
        <v>409</v>
      </c>
      <c r="B296" t="s">
        <v>667</v>
      </c>
      <c r="C296" t="str">
        <f t="shared" si="4"/>
        <v>EN 10272 1.4404 X5CrNiMo17-12-2 d&lt;=160 mm</v>
      </c>
    </row>
    <row r="297" spans="1:3">
      <c r="A297" t="s">
        <v>409</v>
      </c>
      <c r="B297" t="s">
        <v>668</v>
      </c>
      <c r="C297" t="str">
        <f t="shared" si="4"/>
        <v>EN 10272 1.4404 X5CrNiMo17-12-2 160&lt;d&lt;=200 mm</v>
      </c>
    </row>
    <row r="298" spans="1:3">
      <c r="A298" t="s">
        <v>409</v>
      </c>
      <c r="B298" t="s">
        <v>669</v>
      </c>
      <c r="C298" t="str">
        <f t="shared" si="4"/>
        <v>EN 10273 1.0425 GP265GH d &lt;= 16mm</v>
      </c>
    </row>
    <row r="299" spans="1:3">
      <c r="A299" t="s">
        <v>409</v>
      </c>
      <c r="B299" t="s">
        <v>670</v>
      </c>
      <c r="C299" t="str">
        <f t="shared" si="4"/>
        <v>EN 10273 1.0425 GP265GH 16mm&lt; d &lt;= 40mm</v>
      </c>
    </row>
    <row r="300" spans="1:3">
      <c r="A300" t="s">
        <v>409</v>
      </c>
      <c r="B300" t="s">
        <v>671</v>
      </c>
      <c r="C300" t="str">
        <f t="shared" si="4"/>
        <v>EN 10273 1.0425 GP265GH 40mm&lt; d &lt;= 60mm</v>
      </c>
    </row>
    <row r="301" spans="1:3">
      <c r="A301" t="s">
        <v>409</v>
      </c>
      <c r="B301" t="s">
        <v>672</v>
      </c>
      <c r="C301" t="str">
        <f t="shared" si="4"/>
        <v>EN 10273 1.0425 GP265GH 60mm&lt; d &lt;= 100mm</v>
      </c>
    </row>
    <row r="302" spans="1:3">
      <c r="A302" t="s">
        <v>409</v>
      </c>
      <c r="B302" t="s">
        <v>673</v>
      </c>
      <c r="C302" t="str">
        <f t="shared" si="4"/>
        <v>EN 10273 1.0425 GP265GH 100mm&lt; d &lt;= 150mm</v>
      </c>
    </row>
    <row r="303" spans="1:3">
      <c r="A303" t="s">
        <v>409</v>
      </c>
      <c r="B303" t="s">
        <v>674</v>
      </c>
      <c r="C303" t="str">
        <f t="shared" si="4"/>
        <v>Fe 430 B - EN 10025 1.0044 S275JR t&lt;16 mm</v>
      </c>
    </row>
    <row r="304" spans="1:3">
      <c r="A304" t="s">
        <v>409</v>
      </c>
      <c r="B304" t="s">
        <v>675</v>
      </c>
      <c r="C304" t="str">
        <f t="shared" si="4"/>
        <v>Fe 430 B - EN 10025 1.0044 S275JR 16&lt;t&lt;40 mm</v>
      </c>
    </row>
    <row r="305" spans="1:3">
      <c r="A305" t="s">
        <v>409</v>
      </c>
      <c r="B305" t="s">
        <v>676</v>
      </c>
      <c r="C305" t="str">
        <f t="shared" si="4"/>
        <v>Fe 430 B - EN 10025 1.0044 S275JR 40&lt;t&lt;63 mm</v>
      </c>
    </row>
    <row r="306" spans="1:3">
      <c r="A306" t="s">
        <v>409</v>
      </c>
      <c r="B306" t="s">
        <v>677</v>
      </c>
      <c r="C306" t="str">
        <f t="shared" si="4"/>
        <v>Fe 430 B - EN 10025 1.0044 S275JR 63&lt;t&lt;80 mm</v>
      </c>
    </row>
    <row r="307" spans="1:3">
      <c r="A307" t="s">
        <v>409</v>
      </c>
      <c r="B307" t="s">
        <v>678</v>
      </c>
      <c r="C307" t="str">
        <f t="shared" si="4"/>
        <v>Fe 430 B - EN 10025 1.0044 S275JR 80&lt;t&lt;100 mm</v>
      </c>
    </row>
    <row r="308" spans="1:3">
      <c r="A308" t="s">
        <v>409</v>
      </c>
      <c r="B308" t="s">
        <v>679</v>
      </c>
      <c r="C308" t="str">
        <f t="shared" si="4"/>
        <v>Fe 430 B - EN 10025 1.0044 S275JR 100&lt;t&lt;150 mm</v>
      </c>
    </row>
    <row r="309" spans="1:3">
      <c r="A309" t="s">
        <v>409</v>
      </c>
      <c r="B309" t="s">
        <v>680</v>
      </c>
      <c r="C309" t="str">
        <f t="shared" si="4"/>
        <v>Fe 430 B - EN 10025 1.0044 S275JR 150&lt;t&lt;200 mm</v>
      </c>
    </row>
    <row r="310" spans="1:3">
      <c r="A310" t="s">
        <v>409</v>
      </c>
      <c r="B310" t="s">
        <v>681</v>
      </c>
      <c r="C310" t="str">
        <f t="shared" si="4"/>
        <v>Fe 430 B - EN 10025 1.0044 S275JR 200&lt;t&lt;250 mm</v>
      </c>
    </row>
    <row r="311" spans="1:3">
      <c r="A311" t="s">
        <v>409</v>
      </c>
      <c r="B311" t="s">
        <v>682</v>
      </c>
      <c r="C311" t="str">
        <f t="shared" si="4"/>
        <v>Fe 360 B - EN 10025 1.0037 S235JR t&lt;16 mm</v>
      </c>
    </row>
    <row r="312" spans="1:3">
      <c r="A312" t="s">
        <v>409</v>
      </c>
      <c r="B312" t="s">
        <v>683</v>
      </c>
      <c r="C312" t="str">
        <f t="shared" si="4"/>
        <v>Fe 360 B - EN 10025 1.0037 S235JR 16&lt;t&lt;40 mm</v>
      </c>
    </row>
    <row r="313" spans="1:3">
      <c r="A313" t="s">
        <v>409</v>
      </c>
      <c r="B313" t="s">
        <v>684</v>
      </c>
      <c r="C313" t="str">
        <f t="shared" si="4"/>
        <v>1.4581 17445  G-X 5 CrNiMoNb 18 10</v>
      </c>
    </row>
    <row r="314" spans="1:3">
      <c r="A314" t="s">
        <v>409</v>
      </c>
      <c r="B314" t="s">
        <v>685</v>
      </c>
      <c r="C314" t="str">
        <f t="shared" si="4"/>
        <v>1.1131 17240  CK 35</v>
      </c>
    </row>
    <row r="315" spans="1:3">
      <c r="A315" t="s">
        <v>409</v>
      </c>
      <c r="B315" t="s">
        <v>686</v>
      </c>
      <c r="C315" t="str">
        <f t="shared" si="4"/>
        <v>1.4301 17440  A2 cl 50 DIN 267</v>
      </c>
    </row>
    <row r="316" spans="1:3">
      <c r="A316" t="s">
        <v>409</v>
      </c>
      <c r="B316" t="s">
        <v>687</v>
      </c>
      <c r="C316" t="str">
        <f t="shared" si="4"/>
        <v>1.4401 17440  A4 cl 50 DIN 267</v>
      </c>
    </row>
    <row r="317" spans="1:3">
      <c r="A317" t="s">
        <v>409</v>
      </c>
      <c r="B317" t="s">
        <v>688</v>
      </c>
      <c r="C317" t="str">
        <f t="shared" si="4"/>
        <v>1.7357 17240  Gs-17 CrMo 5 5</v>
      </c>
    </row>
    <row r="318" spans="1:3">
      <c r="A318" t="s">
        <v>409</v>
      </c>
      <c r="B318" t="s">
        <v>689</v>
      </c>
      <c r="C318" t="str">
        <f t="shared" si="4"/>
        <v>ISO 3506-1 A2 / A4 cl 70 &lt;= M20</v>
      </c>
    </row>
    <row r="319" spans="1:3">
      <c r="A319" t="s">
        <v>409</v>
      </c>
      <c r="B319" t="s">
        <v>690</v>
      </c>
      <c r="C319" t="str">
        <f t="shared" si="4"/>
        <v>ISO 3506-1 A2 / A4 cl 70 &gt; M20</v>
      </c>
    </row>
    <row r="323" spans="3:4">
      <c r="C323" t="s">
        <v>691</v>
      </c>
      <c r="D323" s="41" t="s">
        <v>321</v>
      </c>
    </row>
    <row r="324" spans="3:4">
      <c r="C324" t="s">
        <v>692</v>
      </c>
      <c r="D324" s="41" t="s">
        <v>322</v>
      </c>
    </row>
    <row r="325" spans="3:4">
      <c r="C325" t="s">
        <v>693</v>
      </c>
      <c r="D325" t="s">
        <v>323</v>
      </c>
    </row>
    <row r="326" spans="3:4">
      <c r="C326" t="s">
        <v>694</v>
      </c>
      <c r="D326" s="41" t="s">
        <v>325</v>
      </c>
    </row>
    <row r="327" spans="3:4">
      <c r="C327" t="s">
        <v>695</v>
      </c>
      <c r="D327" t="s">
        <v>43</v>
      </c>
    </row>
    <row r="328" spans="3:4">
      <c r="C328" t="s">
        <v>696</v>
      </c>
      <c r="D328" t="s">
        <v>326</v>
      </c>
    </row>
    <row r="329" spans="3:4">
      <c r="C329" t="s">
        <v>697</v>
      </c>
      <c r="D329" s="42" t="s">
        <v>327</v>
      </c>
    </row>
    <row r="330" spans="3:4">
      <c r="C330" t="s">
        <v>698</v>
      </c>
      <c r="D330" t="s">
        <v>328</v>
      </c>
    </row>
    <row r="331" spans="3:4">
      <c r="C331" t="s">
        <v>699</v>
      </c>
      <c r="D331" t="s">
        <v>329</v>
      </c>
    </row>
    <row r="332" spans="3:4">
      <c r="C332" t="s">
        <v>700</v>
      </c>
      <c r="D332" t="s">
        <v>330</v>
      </c>
    </row>
    <row r="333" spans="3:4">
      <c r="C333" t="s">
        <v>701</v>
      </c>
      <c r="D333" t="s">
        <v>62</v>
      </c>
    </row>
    <row r="334" spans="3:4">
      <c r="C334" t="s">
        <v>702</v>
      </c>
      <c r="D334" t="s">
        <v>332</v>
      </c>
    </row>
    <row r="335" spans="3:4">
      <c r="C335" t="s">
        <v>703</v>
      </c>
      <c r="D335" s="41" t="s">
        <v>333</v>
      </c>
    </row>
    <row r="336" spans="3:4">
      <c r="C336" t="s">
        <v>704</v>
      </c>
      <c r="D336" t="s">
        <v>104</v>
      </c>
    </row>
    <row r="337" spans="3:4">
      <c r="C337" t="s">
        <v>705</v>
      </c>
      <c r="D337" t="s">
        <v>334</v>
      </c>
    </row>
    <row r="338" spans="3:4">
      <c r="C338" t="s">
        <v>706</v>
      </c>
      <c r="D338" t="s">
        <v>335</v>
      </c>
    </row>
    <row r="339" spans="3:4">
      <c r="C339" t="s">
        <v>707</v>
      </c>
      <c r="D339" t="s">
        <v>336</v>
      </c>
    </row>
    <row r="340" spans="3:4">
      <c r="C340" t="s">
        <v>708</v>
      </c>
      <c r="D340" t="s">
        <v>337</v>
      </c>
    </row>
    <row r="341" spans="3:4">
      <c r="C341" t="s">
        <v>709</v>
      </c>
      <c r="D341" s="41" t="s">
        <v>319</v>
      </c>
    </row>
    <row r="342" spans="3:4">
      <c r="C342" t="s">
        <v>710</v>
      </c>
      <c r="D342" t="s">
        <v>110</v>
      </c>
    </row>
    <row r="343" spans="3:4">
      <c r="C343" t="s">
        <v>711</v>
      </c>
      <c r="D343" t="s">
        <v>111</v>
      </c>
    </row>
    <row r="344" spans="3:4">
      <c r="C344" t="s">
        <v>712</v>
      </c>
      <c r="D344" s="41" t="s">
        <v>304</v>
      </c>
    </row>
    <row r="345" spans="3:4">
      <c r="C345" t="s">
        <v>713</v>
      </c>
      <c r="D345" t="s">
        <v>390</v>
      </c>
    </row>
    <row r="346" spans="3:4">
      <c r="C346" t="s">
        <v>714</v>
      </c>
      <c r="D346" t="s">
        <v>393</v>
      </c>
    </row>
    <row r="347" spans="3:4">
      <c r="C347" t="s">
        <v>715</v>
      </c>
      <c r="D347" t="s">
        <v>339</v>
      </c>
    </row>
    <row r="348" spans="3:4">
      <c r="C348" t="s">
        <v>716</v>
      </c>
      <c r="D348" t="s">
        <v>107</v>
      </c>
    </row>
    <row r="349" spans="3:4">
      <c r="C349" t="s">
        <v>717</v>
      </c>
      <c r="D349" t="s">
        <v>340</v>
      </c>
    </row>
    <row r="350" spans="3:4">
      <c r="C350" t="s">
        <v>718</v>
      </c>
      <c r="D350" s="41" t="s">
        <v>341</v>
      </c>
    </row>
    <row r="351" spans="3:4">
      <c r="C351" t="s">
        <v>719</v>
      </c>
    </row>
    <row r="352" spans="3:4">
      <c r="C352" t="s">
        <v>720</v>
      </c>
    </row>
    <row r="353" spans="3:3">
      <c r="C353" t="s">
        <v>720</v>
      </c>
    </row>
    <row r="354" spans="3:3">
      <c r="C354" t="s">
        <v>721</v>
      </c>
    </row>
    <row r="355" spans="3:3">
      <c r="C355" t="s">
        <v>722</v>
      </c>
    </row>
    <row r="356" spans="3:3">
      <c r="C356" t="s">
        <v>723</v>
      </c>
    </row>
    <row r="357" spans="3:3">
      <c r="C357" t="s">
        <v>724</v>
      </c>
    </row>
    <row r="358" spans="3:3">
      <c r="C358" t="s">
        <v>725</v>
      </c>
    </row>
    <row r="359" spans="3:3">
      <c r="C359" t="s">
        <v>726</v>
      </c>
    </row>
    <row r="360" spans="3:3">
      <c r="C360" t="s">
        <v>727</v>
      </c>
    </row>
    <row r="361" spans="3:3">
      <c r="C361" t="s">
        <v>728</v>
      </c>
    </row>
    <row r="362" spans="3:3">
      <c r="C362" t="s">
        <v>729</v>
      </c>
    </row>
    <row r="363" spans="3:3">
      <c r="C363" t="s">
        <v>730</v>
      </c>
    </row>
    <row r="364" spans="3:3">
      <c r="C364" t="s">
        <v>731</v>
      </c>
    </row>
    <row r="365" spans="3:3">
      <c r="C365" t="s">
        <v>732</v>
      </c>
    </row>
    <row r="366" spans="3:3">
      <c r="C366" t="s">
        <v>733</v>
      </c>
    </row>
    <row r="367" spans="3:3">
      <c r="C367" t="s">
        <v>734</v>
      </c>
    </row>
    <row r="368" spans="3:3">
      <c r="C368" t="s">
        <v>735</v>
      </c>
    </row>
    <row r="369" spans="3:3">
      <c r="C369" t="s">
        <v>736</v>
      </c>
    </row>
    <row r="370" spans="3:3">
      <c r="C370" t="s">
        <v>737</v>
      </c>
    </row>
    <row r="371" spans="3:3">
      <c r="C371" t="s">
        <v>738</v>
      </c>
    </row>
    <row r="372" spans="3:3">
      <c r="C372" t="s">
        <v>739</v>
      </c>
    </row>
    <row r="373" spans="3:3">
      <c r="C373" t="s">
        <v>740</v>
      </c>
    </row>
    <row r="374" spans="3:3">
      <c r="C374" t="s">
        <v>741</v>
      </c>
    </row>
    <row r="375" spans="3:3">
      <c r="C375" t="s">
        <v>742</v>
      </c>
    </row>
    <row r="376" spans="3:3">
      <c r="C376" t="s">
        <v>743</v>
      </c>
    </row>
    <row r="377" spans="3:3">
      <c r="C377" t="s">
        <v>744</v>
      </c>
    </row>
    <row r="378" spans="3:3">
      <c r="C378" t="s">
        <v>745</v>
      </c>
    </row>
    <row r="379" spans="3:3">
      <c r="C379" t="s">
        <v>746</v>
      </c>
    </row>
    <row r="380" spans="3:3">
      <c r="C380" t="s">
        <v>747</v>
      </c>
    </row>
    <row r="381" spans="3:3">
      <c r="C381" t="s">
        <v>748</v>
      </c>
    </row>
    <row r="382" spans="3:3">
      <c r="C382" t="s">
        <v>749</v>
      </c>
    </row>
    <row r="383" spans="3:3">
      <c r="C383" t="s">
        <v>750</v>
      </c>
    </row>
    <row r="384" spans="3:3">
      <c r="C384" t="s">
        <v>751</v>
      </c>
    </row>
    <row r="385" spans="3:3">
      <c r="C385" t="s">
        <v>752</v>
      </c>
    </row>
    <row r="386" spans="3:3">
      <c r="C386" t="s">
        <v>753</v>
      </c>
    </row>
    <row r="387" spans="3:3">
      <c r="C387" t="s">
        <v>754</v>
      </c>
    </row>
    <row r="388" spans="3:3">
      <c r="C388" t="s">
        <v>755</v>
      </c>
    </row>
    <row r="389" spans="3:3">
      <c r="C389" t="s">
        <v>756</v>
      </c>
    </row>
    <row r="390" spans="3:3">
      <c r="C390" t="s">
        <v>757</v>
      </c>
    </row>
    <row r="391" spans="3:3">
      <c r="C391" t="s">
        <v>758</v>
      </c>
    </row>
    <row r="392" spans="3:3">
      <c r="C392" t="s">
        <v>747</v>
      </c>
    </row>
    <row r="393" spans="3:3">
      <c r="C393" t="s">
        <v>759</v>
      </c>
    </row>
    <row r="394" spans="3:3">
      <c r="C394" t="s">
        <v>760</v>
      </c>
    </row>
    <row r="395" spans="3:3">
      <c r="C395" t="s">
        <v>761</v>
      </c>
    </row>
    <row r="396" spans="3:3">
      <c r="C396" t="s">
        <v>762</v>
      </c>
    </row>
    <row r="397" spans="3:3">
      <c r="C397" t="s">
        <v>763</v>
      </c>
    </row>
    <row r="398" spans="3:3">
      <c r="C398" t="s">
        <v>764</v>
      </c>
    </row>
    <row r="399" spans="3:3">
      <c r="C399" t="s">
        <v>765</v>
      </c>
    </row>
    <row r="400" spans="3:3">
      <c r="C400" t="s">
        <v>766</v>
      </c>
    </row>
    <row r="401" spans="3:3">
      <c r="C401" t="s">
        <v>767</v>
      </c>
    </row>
    <row r="402" spans="3:3">
      <c r="C402" t="s">
        <v>768</v>
      </c>
    </row>
    <row r="403" spans="3:3">
      <c r="C403" t="s">
        <v>769</v>
      </c>
    </row>
    <row r="404" spans="3:3">
      <c r="C404" t="s">
        <v>770</v>
      </c>
    </row>
    <row r="405" spans="3:3">
      <c r="C405" t="s">
        <v>771</v>
      </c>
    </row>
    <row r="406" spans="3:3">
      <c r="C406" t="s">
        <v>772</v>
      </c>
    </row>
    <row r="407" spans="3:3">
      <c r="C407" t="s">
        <v>773</v>
      </c>
    </row>
    <row r="408" spans="3:3">
      <c r="C408" t="s">
        <v>774</v>
      </c>
    </row>
    <row r="409" spans="3:3">
      <c r="C409" t="s">
        <v>775</v>
      </c>
    </row>
    <row r="410" spans="3:3">
      <c r="C410" t="s">
        <v>776</v>
      </c>
    </row>
    <row r="411" spans="3:3">
      <c r="C411" t="s">
        <v>777</v>
      </c>
    </row>
    <row r="412" spans="3:3">
      <c r="C412" t="s">
        <v>778</v>
      </c>
    </row>
    <row r="413" spans="3:3">
      <c r="C413" t="s">
        <v>779</v>
      </c>
    </row>
    <row r="414" spans="3:3">
      <c r="C414" t="s">
        <v>780</v>
      </c>
    </row>
    <row r="415" spans="3:3">
      <c r="C415" t="s">
        <v>781</v>
      </c>
    </row>
    <row r="416" spans="3:3">
      <c r="C416" t="s">
        <v>782</v>
      </c>
    </row>
    <row r="417" spans="3:3">
      <c r="C417" t="s">
        <v>783</v>
      </c>
    </row>
    <row r="418" spans="3:3">
      <c r="C418" t="s">
        <v>784</v>
      </c>
    </row>
    <row r="419" spans="3:3">
      <c r="C419" t="s">
        <v>785</v>
      </c>
    </row>
    <row r="420" spans="3:3">
      <c r="C420" t="s">
        <v>786</v>
      </c>
    </row>
    <row r="421" spans="3:3">
      <c r="C421" t="s">
        <v>787</v>
      </c>
    </row>
    <row r="422" spans="3:3">
      <c r="C422" t="s">
        <v>788</v>
      </c>
    </row>
    <row r="423" spans="3:3">
      <c r="C423" t="s">
        <v>789</v>
      </c>
    </row>
    <row r="424" spans="3:3">
      <c r="C424" t="s">
        <v>790</v>
      </c>
    </row>
    <row r="425" spans="3:3">
      <c r="C425" t="s">
        <v>791</v>
      </c>
    </row>
    <row r="426" spans="3:3">
      <c r="C426" t="s">
        <v>792</v>
      </c>
    </row>
    <row r="427" spans="3:3">
      <c r="C427" t="s">
        <v>793</v>
      </c>
    </row>
    <row r="428" spans="3:3">
      <c r="C428" t="s">
        <v>794</v>
      </c>
    </row>
    <row r="429" spans="3:3">
      <c r="C429" t="s">
        <v>795</v>
      </c>
    </row>
    <row r="430" spans="3:3">
      <c r="C430" t="s">
        <v>796</v>
      </c>
    </row>
    <row r="431" spans="3:3">
      <c r="C431" t="s">
        <v>797</v>
      </c>
    </row>
    <row r="432" spans="3:3">
      <c r="C432" t="s">
        <v>798</v>
      </c>
    </row>
    <row r="433" spans="3:3">
      <c r="C433" t="s">
        <v>799</v>
      </c>
    </row>
    <row r="434" spans="3:3">
      <c r="C434" t="s">
        <v>800</v>
      </c>
    </row>
    <row r="435" spans="3:3">
      <c r="C435" t="s">
        <v>757</v>
      </c>
    </row>
    <row r="436" spans="3:3">
      <c r="C436" t="s">
        <v>801</v>
      </c>
    </row>
    <row r="437" spans="3:3">
      <c r="C437" t="s">
        <v>802</v>
      </c>
    </row>
    <row r="438" spans="3:3">
      <c r="C438" t="s">
        <v>803</v>
      </c>
    </row>
    <row r="439" spans="3:3">
      <c r="C439" t="s">
        <v>804</v>
      </c>
    </row>
    <row r="440" spans="3:3">
      <c r="C440" t="s">
        <v>805</v>
      </c>
    </row>
    <row r="441" spans="3:3">
      <c r="C441" t="s">
        <v>806</v>
      </c>
    </row>
    <row r="442" spans="3:3">
      <c r="C442" t="s">
        <v>807</v>
      </c>
    </row>
    <row r="443" spans="3:3">
      <c r="C443" t="s">
        <v>808</v>
      </c>
    </row>
    <row r="444" spans="3:3">
      <c r="C444" t="s">
        <v>809</v>
      </c>
    </row>
    <row r="445" spans="3:3">
      <c r="C445" t="s">
        <v>809</v>
      </c>
    </row>
    <row r="446" spans="3:3">
      <c r="C446" t="s">
        <v>810</v>
      </c>
    </row>
    <row r="447" spans="3:3">
      <c r="C447" t="s">
        <v>811</v>
      </c>
    </row>
    <row r="448" spans="3:3">
      <c r="C448" t="s">
        <v>811</v>
      </c>
    </row>
    <row r="449" spans="3:3">
      <c r="C449" t="s">
        <v>812</v>
      </c>
    </row>
    <row r="450" spans="3:3">
      <c r="C450" t="s">
        <v>813</v>
      </c>
    </row>
    <row r="451" spans="3:3">
      <c r="C451" t="s">
        <v>813</v>
      </c>
    </row>
    <row r="452" spans="3:3">
      <c r="C452" t="s">
        <v>814</v>
      </c>
    </row>
    <row r="453" spans="3:3">
      <c r="C453" t="s">
        <v>815</v>
      </c>
    </row>
    <row r="454" spans="3:3">
      <c r="C454" t="s">
        <v>815</v>
      </c>
    </row>
    <row r="455" spans="3:3">
      <c r="C455" t="s">
        <v>816</v>
      </c>
    </row>
    <row r="456" spans="3:3">
      <c r="C456" t="s">
        <v>816</v>
      </c>
    </row>
    <row r="457" spans="3:3">
      <c r="C457" t="s">
        <v>817</v>
      </c>
    </row>
    <row r="458" spans="3:3">
      <c r="C458" t="s">
        <v>818</v>
      </c>
    </row>
    <row r="459" spans="3:3">
      <c r="C459" t="s">
        <v>819</v>
      </c>
    </row>
    <row r="460" spans="3:3">
      <c r="C460" t="s">
        <v>820</v>
      </c>
    </row>
    <row r="461" spans="3:3">
      <c r="C461" t="s">
        <v>821</v>
      </c>
    </row>
    <row r="462" spans="3:3">
      <c r="C462" t="s">
        <v>821</v>
      </c>
    </row>
    <row r="463" spans="3:3">
      <c r="C463" t="s">
        <v>822</v>
      </c>
    </row>
    <row r="464" spans="3:3">
      <c r="C464" t="s">
        <v>822</v>
      </c>
    </row>
    <row r="465" spans="3:3">
      <c r="C465" t="s">
        <v>823</v>
      </c>
    </row>
    <row r="466" spans="3:3">
      <c r="C466" t="s">
        <v>823</v>
      </c>
    </row>
    <row r="467" spans="3:3">
      <c r="C467" t="s">
        <v>824</v>
      </c>
    </row>
    <row r="468" spans="3:3">
      <c r="C468" t="s">
        <v>824</v>
      </c>
    </row>
    <row r="469" spans="3:3">
      <c r="C469" t="s">
        <v>825</v>
      </c>
    </row>
    <row r="470" spans="3:3">
      <c r="C470" t="s">
        <v>826</v>
      </c>
    </row>
    <row r="471" spans="3:3">
      <c r="C471" t="s">
        <v>827</v>
      </c>
    </row>
    <row r="472" spans="3:3">
      <c r="C472" t="s">
        <v>828</v>
      </c>
    </row>
    <row r="473" spans="3:3">
      <c r="C473" t="s">
        <v>829</v>
      </c>
    </row>
    <row r="474" spans="3:3">
      <c r="C474" t="s">
        <v>830</v>
      </c>
    </row>
    <row r="475" spans="3:3">
      <c r="C475" t="s">
        <v>831</v>
      </c>
    </row>
    <row r="476" spans="3:3">
      <c r="C476" t="s">
        <v>832</v>
      </c>
    </row>
    <row r="477" spans="3:3">
      <c r="C477" t="s">
        <v>833</v>
      </c>
    </row>
    <row r="478" spans="3:3">
      <c r="C478" t="s">
        <v>833</v>
      </c>
    </row>
    <row r="479" spans="3:3">
      <c r="C479" t="s">
        <v>834</v>
      </c>
    </row>
    <row r="480" spans="3:3">
      <c r="C480" t="s">
        <v>834</v>
      </c>
    </row>
    <row r="481" spans="3:3">
      <c r="C481" t="s">
        <v>835</v>
      </c>
    </row>
    <row r="482" spans="3:3">
      <c r="C482" t="s">
        <v>835</v>
      </c>
    </row>
    <row r="483" spans="3:3">
      <c r="C483" t="s">
        <v>836</v>
      </c>
    </row>
    <row r="484" spans="3:3">
      <c r="C484" t="s">
        <v>837</v>
      </c>
    </row>
    <row r="485" spans="3:3">
      <c r="C485" t="s">
        <v>838</v>
      </c>
    </row>
    <row r="486" spans="3:3">
      <c r="C486" t="s">
        <v>838</v>
      </c>
    </row>
    <row r="487" spans="3:3">
      <c r="C487" t="s">
        <v>839</v>
      </c>
    </row>
    <row r="488" spans="3:3">
      <c r="C488" t="s">
        <v>758</v>
      </c>
    </row>
    <row r="489" spans="3:3">
      <c r="C489" t="s">
        <v>840</v>
      </c>
    </row>
    <row r="490" spans="3:3">
      <c r="C490" t="s">
        <v>841</v>
      </c>
    </row>
    <row r="491" spans="3:3">
      <c r="C491" t="s">
        <v>842</v>
      </c>
    </row>
    <row r="492" spans="3:3">
      <c r="C492" t="s">
        <v>843</v>
      </c>
    </row>
    <row r="493" spans="3:3">
      <c r="C493" t="s">
        <v>844</v>
      </c>
    </row>
    <row r="494" spans="3:3">
      <c r="C494" t="s">
        <v>845</v>
      </c>
    </row>
    <row r="495" spans="3:3">
      <c r="C495" t="s">
        <v>846</v>
      </c>
    </row>
    <row r="496" spans="3:3">
      <c r="C496" t="s">
        <v>847</v>
      </c>
    </row>
    <row r="497" spans="3:3">
      <c r="C497" t="s">
        <v>848</v>
      </c>
    </row>
    <row r="498" spans="3:3">
      <c r="C498" t="s">
        <v>849</v>
      </c>
    </row>
    <row r="499" spans="3:3">
      <c r="C499" t="s">
        <v>850</v>
      </c>
    </row>
    <row r="500" spans="3:3">
      <c r="C500" t="s">
        <v>851</v>
      </c>
    </row>
    <row r="501" spans="3:3">
      <c r="C501" t="s">
        <v>852</v>
      </c>
    </row>
    <row r="502" spans="3:3">
      <c r="C502" t="s">
        <v>853</v>
      </c>
    </row>
    <row r="503" spans="3:3">
      <c r="C503" t="s">
        <v>854</v>
      </c>
    </row>
    <row r="504" spans="3:3">
      <c r="C504" t="s">
        <v>855</v>
      </c>
    </row>
    <row r="505" spans="3:3">
      <c r="C505" t="s">
        <v>856</v>
      </c>
    </row>
    <row r="506" spans="3:3">
      <c r="C506" t="s">
        <v>857</v>
      </c>
    </row>
    <row r="507" spans="3:3">
      <c r="C507" t="s">
        <v>858</v>
      </c>
    </row>
    <row r="508" spans="3:3">
      <c r="C508" t="s">
        <v>859</v>
      </c>
    </row>
    <row r="509" spans="3:3">
      <c r="C509" t="s">
        <v>860</v>
      </c>
    </row>
    <row r="510" spans="3:3">
      <c r="C510" t="s">
        <v>861</v>
      </c>
    </row>
    <row r="511" spans="3:3">
      <c r="C511" t="s">
        <v>861</v>
      </c>
    </row>
    <row r="512" spans="3:3">
      <c r="C512" t="s">
        <v>862</v>
      </c>
    </row>
    <row r="513" spans="3:3">
      <c r="C513" t="s">
        <v>863</v>
      </c>
    </row>
    <row r="514" spans="3:3">
      <c r="C514" t="s">
        <v>864</v>
      </c>
    </row>
    <row r="515" spans="3:3">
      <c r="C515" t="s">
        <v>865</v>
      </c>
    </row>
    <row r="516" spans="3:3">
      <c r="C516" t="s">
        <v>866</v>
      </c>
    </row>
    <row r="517" spans="3:3">
      <c r="C517" t="s">
        <v>867</v>
      </c>
    </row>
    <row r="518" spans="3:3">
      <c r="C518" t="s">
        <v>868</v>
      </c>
    </row>
    <row r="519" spans="3:3">
      <c r="C519" t="s">
        <v>869</v>
      </c>
    </row>
    <row r="520" spans="3:3">
      <c r="C520" t="s">
        <v>869</v>
      </c>
    </row>
    <row r="521" spans="3:3">
      <c r="C521" t="s">
        <v>870</v>
      </c>
    </row>
    <row r="522" spans="3:3">
      <c r="C522" t="s">
        <v>871</v>
      </c>
    </row>
    <row r="523" spans="3:3">
      <c r="C523" t="s">
        <v>872</v>
      </c>
    </row>
    <row r="524" spans="3:3">
      <c r="C524" t="s">
        <v>870</v>
      </c>
    </row>
    <row r="525" spans="3:3">
      <c r="C525" t="s">
        <v>871</v>
      </c>
    </row>
    <row r="526" spans="3:3">
      <c r="C526" t="s">
        <v>873</v>
      </c>
    </row>
    <row r="527" spans="3:3">
      <c r="C527" t="s">
        <v>874</v>
      </c>
    </row>
    <row r="528" spans="3:3">
      <c r="C528" t="s">
        <v>874</v>
      </c>
    </row>
    <row r="529" spans="3:3">
      <c r="C529" t="s">
        <v>875</v>
      </c>
    </row>
    <row r="530" spans="3:3">
      <c r="C530" t="s">
        <v>875</v>
      </c>
    </row>
    <row r="531" spans="3:3">
      <c r="C531" t="s">
        <v>876</v>
      </c>
    </row>
    <row r="532" spans="3:3">
      <c r="C532" t="s">
        <v>581</v>
      </c>
    </row>
    <row r="533" spans="3:3">
      <c r="C533" t="s">
        <v>582</v>
      </c>
    </row>
    <row r="534" spans="3:3">
      <c r="C534" t="s">
        <v>583</v>
      </c>
    </row>
    <row r="535" spans="3:3">
      <c r="C535" t="s">
        <v>584</v>
      </c>
    </row>
    <row r="536" spans="3:3">
      <c r="C536" t="s">
        <v>585</v>
      </c>
    </row>
    <row r="537" spans="3:3">
      <c r="C537" t="s">
        <v>586</v>
      </c>
    </row>
    <row r="538" spans="3:3">
      <c r="C538" t="s">
        <v>587</v>
      </c>
    </row>
    <row r="539" spans="3:3">
      <c r="C539" t="s">
        <v>588</v>
      </c>
    </row>
    <row r="540" spans="3:3">
      <c r="C540" t="s">
        <v>589</v>
      </c>
    </row>
    <row r="541" spans="3:3">
      <c r="C541" t="s">
        <v>590</v>
      </c>
    </row>
    <row r="542" spans="3:3">
      <c r="C542" t="s">
        <v>591</v>
      </c>
    </row>
    <row r="543" spans="3:3">
      <c r="C543" t="s">
        <v>592</v>
      </c>
    </row>
    <row r="544" spans="3:3">
      <c r="C544" t="s">
        <v>593</v>
      </c>
    </row>
    <row r="545" spans="3:3">
      <c r="C545" t="s">
        <v>594</v>
      </c>
    </row>
    <row r="546" spans="3:3">
      <c r="C546" t="s">
        <v>595</v>
      </c>
    </row>
    <row r="547" spans="3:3">
      <c r="C547" t="s">
        <v>596</v>
      </c>
    </row>
    <row r="548" spans="3:3">
      <c r="C548" t="s">
        <v>597</v>
      </c>
    </row>
    <row r="549" spans="3:3">
      <c r="C549" t="s">
        <v>598</v>
      </c>
    </row>
    <row r="550" spans="3:3">
      <c r="C550" t="s">
        <v>599</v>
      </c>
    </row>
    <row r="551" spans="3:3">
      <c r="C551" t="s">
        <v>600</v>
      </c>
    </row>
    <row r="552" spans="3:3">
      <c r="C552" t="s">
        <v>601</v>
      </c>
    </row>
    <row r="553" spans="3:3">
      <c r="C553" t="s">
        <v>602</v>
      </c>
    </row>
    <row r="554" spans="3:3">
      <c r="C554" t="s">
        <v>603</v>
      </c>
    </row>
    <row r="555" spans="3:3">
      <c r="C555" t="s">
        <v>604</v>
      </c>
    </row>
    <row r="556" spans="3:3">
      <c r="C556" t="s">
        <v>605</v>
      </c>
    </row>
    <row r="557" spans="3:3">
      <c r="C557" t="s">
        <v>606</v>
      </c>
    </row>
    <row r="558" spans="3:3">
      <c r="C558" t="s">
        <v>607</v>
      </c>
    </row>
    <row r="559" spans="3:3">
      <c r="C559" t="s">
        <v>608</v>
      </c>
    </row>
    <row r="560" spans="3:3">
      <c r="C560" t="s">
        <v>609</v>
      </c>
    </row>
    <row r="561" spans="3:3">
      <c r="C561" t="s">
        <v>610</v>
      </c>
    </row>
    <row r="562" spans="3:3">
      <c r="C562" t="s">
        <v>611</v>
      </c>
    </row>
    <row r="563" spans="3:3">
      <c r="C563" t="s">
        <v>612</v>
      </c>
    </row>
    <row r="564" spans="3:3">
      <c r="C564" t="s">
        <v>613</v>
      </c>
    </row>
    <row r="565" spans="3:3">
      <c r="C565" t="s">
        <v>614</v>
      </c>
    </row>
    <row r="566" spans="3:3">
      <c r="C566" t="s">
        <v>615</v>
      </c>
    </row>
    <row r="567" spans="3:3">
      <c r="C567" t="s">
        <v>616</v>
      </c>
    </row>
    <row r="568" spans="3:3">
      <c r="C568" t="s">
        <v>617</v>
      </c>
    </row>
    <row r="569" spans="3:3">
      <c r="C569" t="s">
        <v>618</v>
      </c>
    </row>
    <row r="570" spans="3:3">
      <c r="C570" t="s">
        <v>619</v>
      </c>
    </row>
    <row r="571" spans="3:3">
      <c r="C571" t="s">
        <v>620</v>
      </c>
    </row>
    <row r="572" spans="3:3">
      <c r="C572" t="s">
        <v>621</v>
      </c>
    </row>
    <row r="573" spans="3:3">
      <c r="C573" t="s">
        <v>622</v>
      </c>
    </row>
    <row r="574" spans="3:3">
      <c r="C574" t="s">
        <v>623</v>
      </c>
    </row>
    <row r="575" spans="3:3">
      <c r="C575" t="s">
        <v>624</v>
      </c>
    </row>
    <row r="576" spans="3:3">
      <c r="C576" t="s">
        <v>625</v>
      </c>
    </row>
    <row r="577" spans="3:3">
      <c r="C577" t="s">
        <v>626</v>
      </c>
    </row>
    <row r="578" spans="3:3">
      <c r="C578" t="s">
        <v>627</v>
      </c>
    </row>
    <row r="579" spans="3:3">
      <c r="C579" t="s">
        <v>628</v>
      </c>
    </row>
    <row r="580" spans="3:3">
      <c r="C580" t="s">
        <v>629</v>
      </c>
    </row>
    <row r="581" spans="3:3">
      <c r="C581" t="s">
        <v>630</v>
      </c>
    </row>
    <row r="582" spans="3:3">
      <c r="C582" t="s">
        <v>631</v>
      </c>
    </row>
    <row r="583" spans="3:3">
      <c r="C583" t="s">
        <v>632</v>
      </c>
    </row>
    <row r="584" spans="3:3">
      <c r="C584" t="s">
        <v>633</v>
      </c>
    </row>
    <row r="585" spans="3:3">
      <c r="C585" t="s">
        <v>634</v>
      </c>
    </row>
    <row r="586" spans="3:3">
      <c r="C586" t="s">
        <v>635</v>
      </c>
    </row>
    <row r="587" spans="3:3">
      <c r="C587" t="s">
        <v>636</v>
      </c>
    </row>
    <row r="588" spans="3:3">
      <c r="C588" t="s">
        <v>637</v>
      </c>
    </row>
    <row r="589" spans="3:3">
      <c r="C589" t="s">
        <v>638</v>
      </c>
    </row>
    <row r="590" spans="3:3">
      <c r="C590" t="s">
        <v>639</v>
      </c>
    </row>
    <row r="591" spans="3:3">
      <c r="C591" t="s">
        <v>640</v>
      </c>
    </row>
    <row r="592" spans="3:3">
      <c r="C592" t="s">
        <v>641</v>
      </c>
    </row>
    <row r="593" spans="3:3">
      <c r="C593" t="s">
        <v>642</v>
      </c>
    </row>
    <row r="594" spans="3:3">
      <c r="C594" t="s">
        <v>643</v>
      </c>
    </row>
    <row r="595" spans="3:3">
      <c r="C595" t="s">
        <v>644</v>
      </c>
    </row>
    <row r="596" spans="3:3">
      <c r="C596" t="s">
        <v>645</v>
      </c>
    </row>
    <row r="597" spans="3:3">
      <c r="C597" t="s">
        <v>646</v>
      </c>
    </row>
    <row r="598" spans="3:3">
      <c r="C598" t="s">
        <v>647</v>
      </c>
    </row>
    <row r="599" spans="3:3">
      <c r="C599" t="s">
        <v>648</v>
      </c>
    </row>
    <row r="600" spans="3:3">
      <c r="C600" t="s">
        <v>649</v>
      </c>
    </row>
    <row r="601" spans="3:3">
      <c r="C601" t="s">
        <v>650</v>
      </c>
    </row>
    <row r="602" spans="3:3">
      <c r="C602" t="s">
        <v>651</v>
      </c>
    </row>
    <row r="603" spans="3:3">
      <c r="C603" t="s">
        <v>652</v>
      </c>
    </row>
    <row r="604" spans="3:3">
      <c r="C604" t="s">
        <v>653</v>
      </c>
    </row>
    <row r="605" spans="3:3">
      <c r="C605" t="s">
        <v>654</v>
      </c>
    </row>
    <row r="606" spans="3:3">
      <c r="C606" t="s">
        <v>655</v>
      </c>
    </row>
    <row r="607" spans="3:3">
      <c r="C607" t="s">
        <v>656</v>
      </c>
    </row>
    <row r="608" spans="3:3">
      <c r="C608" t="s">
        <v>657</v>
      </c>
    </row>
    <row r="609" spans="3:3">
      <c r="C609" t="s">
        <v>658</v>
      </c>
    </row>
    <row r="610" spans="3:3">
      <c r="C610" t="s">
        <v>659</v>
      </c>
    </row>
    <row r="611" spans="3:3">
      <c r="C611" t="s">
        <v>660</v>
      </c>
    </row>
    <row r="612" spans="3:3">
      <c r="C612" t="s">
        <v>661</v>
      </c>
    </row>
    <row r="613" spans="3:3">
      <c r="C613" t="s">
        <v>662</v>
      </c>
    </row>
    <row r="614" spans="3:3">
      <c r="C614" t="s">
        <v>663</v>
      </c>
    </row>
    <row r="615" spans="3:3">
      <c r="C615" t="s">
        <v>664</v>
      </c>
    </row>
    <row r="616" spans="3:3">
      <c r="C616" t="s">
        <v>665</v>
      </c>
    </row>
    <row r="617" spans="3:3">
      <c r="C617" t="s">
        <v>666</v>
      </c>
    </row>
    <row r="618" spans="3:3">
      <c r="C618" t="s">
        <v>667</v>
      </c>
    </row>
    <row r="619" spans="3:3">
      <c r="C619" t="s">
        <v>668</v>
      </c>
    </row>
    <row r="620" spans="3:3">
      <c r="C620" t="s">
        <v>669</v>
      </c>
    </row>
    <row r="621" spans="3:3">
      <c r="C621" t="s">
        <v>670</v>
      </c>
    </row>
    <row r="622" spans="3:3">
      <c r="C622" t="s">
        <v>671</v>
      </c>
    </row>
    <row r="623" spans="3:3">
      <c r="C623" t="s">
        <v>672</v>
      </c>
    </row>
    <row r="624" spans="3:3">
      <c r="C624" t="s">
        <v>673</v>
      </c>
    </row>
    <row r="625" spans="3:3">
      <c r="C625" t="s">
        <v>674</v>
      </c>
    </row>
    <row r="626" spans="3:3">
      <c r="C626" t="s">
        <v>675</v>
      </c>
    </row>
    <row r="627" spans="3:3">
      <c r="C627" t="s">
        <v>676</v>
      </c>
    </row>
    <row r="628" spans="3:3">
      <c r="C628" t="s">
        <v>677</v>
      </c>
    </row>
    <row r="629" spans="3:3">
      <c r="C629" t="s">
        <v>678</v>
      </c>
    </row>
    <row r="630" spans="3:3">
      <c r="C630" t="s">
        <v>679</v>
      </c>
    </row>
    <row r="631" spans="3:3">
      <c r="C631" t="s">
        <v>680</v>
      </c>
    </row>
    <row r="632" spans="3:3">
      <c r="C632" t="s">
        <v>681</v>
      </c>
    </row>
    <row r="633" spans="3:3">
      <c r="C633" t="s">
        <v>682</v>
      </c>
    </row>
    <row r="634" spans="3:3">
      <c r="C634" t="s">
        <v>683</v>
      </c>
    </row>
    <row r="635" spans="3:3">
      <c r="C635" t="s">
        <v>684</v>
      </c>
    </row>
    <row r="636" spans="3:3">
      <c r="C636" t="s">
        <v>685</v>
      </c>
    </row>
    <row r="637" spans="3:3">
      <c r="C637" t="s">
        <v>686</v>
      </c>
    </row>
    <row r="638" spans="3:3">
      <c r="C638" t="s">
        <v>687</v>
      </c>
    </row>
    <row r="639" spans="3:3">
      <c r="C639" t="s">
        <v>688</v>
      </c>
    </row>
    <row r="640" spans="3:3">
      <c r="C640" t="s">
        <v>689</v>
      </c>
    </row>
    <row r="641" spans="3:3">
      <c r="C641" t="s">
        <v>690</v>
      </c>
    </row>
  </sheetData>
  <autoFilter ref="C323:C641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6"/>
  <dimension ref="A1:R146"/>
  <sheetViews>
    <sheetView topLeftCell="E1" zoomScale="70" zoomScaleNormal="70" workbookViewId="0">
      <selection activeCell="D43" sqref="D43"/>
    </sheetView>
  </sheetViews>
  <sheetFormatPr defaultRowHeight="15"/>
  <cols>
    <col min="1" max="1" width="31.7109375" bestFit="1" customWidth="1"/>
    <col min="2" max="2" width="29.140625" bestFit="1" customWidth="1"/>
    <col min="3" max="3" width="38.140625" bestFit="1" customWidth="1"/>
    <col min="4" max="4" width="32" bestFit="1" customWidth="1"/>
    <col min="7" max="7" width="31.5703125" bestFit="1" customWidth="1"/>
    <col min="8" max="8" width="31.7109375" bestFit="1" customWidth="1"/>
    <col min="9" max="9" width="32" bestFit="1" customWidth="1"/>
    <col min="11" max="11" width="32.42578125" bestFit="1" customWidth="1"/>
    <col min="12" max="12" width="7" customWidth="1"/>
    <col min="13" max="14" width="30.7109375" bestFit="1" customWidth="1"/>
    <col min="15" max="15" width="32.42578125" bestFit="1" customWidth="1"/>
    <col min="16" max="16" width="17" bestFit="1" customWidth="1"/>
    <col min="17" max="18" width="30.7109375" bestFit="1" customWidth="1"/>
    <col min="19" max="19" width="22" bestFit="1" customWidth="1"/>
    <col min="20" max="20" width="19.28515625" bestFit="1" customWidth="1"/>
    <col min="21" max="21" width="24.28515625" bestFit="1" customWidth="1"/>
  </cols>
  <sheetData>
    <row r="1" spans="1:18" ht="15.75" thickBot="1">
      <c r="A1" t="s">
        <v>4</v>
      </c>
      <c r="B1" t="s">
        <v>112</v>
      </c>
      <c r="C1" t="s">
        <v>4</v>
      </c>
      <c r="D1" t="s">
        <v>4</v>
      </c>
      <c r="G1" t="s">
        <v>4</v>
      </c>
      <c r="H1" t="s">
        <v>4</v>
      </c>
      <c r="I1" t="s">
        <v>877</v>
      </c>
      <c r="J1" t="s">
        <v>878</v>
      </c>
      <c r="M1" s="66"/>
      <c r="Q1" t="s">
        <v>879</v>
      </c>
      <c r="R1" t="s">
        <v>78</v>
      </c>
    </row>
    <row r="2" spans="1:18">
      <c r="A2" t="s">
        <v>112</v>
      </c>
      <c r="B2" t="s">
        <v>114</v>
      </c>
      <c r="C2" t="s">
        <v>181</v>
      </c>
      <c r="D2" t="s">
        <v>880</v>
      </c>
      <c r="G2" t="s">
        <v>322</v>
      </c>
      <c r="H2" t="s">
        <v>881</v>
      </c>
      <c r="I2" t="s">
        <v>882</v>
      </c>
      <c r="J2" t="s">
        <v>883</v>
      </c>
      <c r="M2" s="67"/>
      <c r="N2" s="2" t="s">
        <v>201</v>
      </c>
      <c r="Q2" t="s">
        <v>884</v>
      </c>
      <c r="R2" t="s">
        <v>80</v>
      </c>
    </row>
    <row r="3" spans="1:18">
      <c r="A3" t="s">
        <v>114</v>
      </c>
      <c r="B3" t="s">
        <v>118</v>
      </c>
      <c r="C3" t="s">
        <v>322</v>
      </c>
      <c r="D3" t="s">
        <v>21</v>
      </c>
      <c r="G3" t="s">
        <v>195</v>
      </c>
      <c r="H3" t="s">
        <v>885</v>
      </c>
      <c r="I3" t="s">
        <v>886</v>
      </c>
      <c r="J3" t="s">
        <v>887</v>
      </c>
      <c r="N3" s="6" t="s">
        <v>62</v>
      </c>
      <c r="Q3" t="s">
        <v>888</v>
      </c>
      <c r="R3" t="s">
        <v>61</v>
      </c>
    </row>
    <row r="4" spans="1:18">
      <c r="A4" t="s">
        <v>120</v>
      </c>
      <c r="B4" t="s">
        <v>889</v>
      </c>
      <c r="C4" t="s">
        <v>191</v>
      </c>
      <c r="D4" t="s">
        <v>170</v>
      </c>
      <c r="G4" t="s">
        <v>890</v>
      </c>
      <c r="H4" t="s">
        <v>891</v>
      </c>
      <c r="I4" t="s">
        <v>892</v>
      </c>
      <c r="J4" t="s">
        <v>893</v>
      </c>
      <c r="N4" s="6" t="s">
        <v>110</v>
      </c>
      <c r="Q4" t="s">
        <v>894</v>
      </c>
      <c r="R4" t="s">
        <v>178</v>
      </c>
    </row>
    <row r="5" spans="1:18">
      <c r="A5" t="s">
        <v>118</v>
      </c>
      <c r="B5" t="s">
        <v>895</v>
      </c>
      <c r="C5" t="s">
        <v>171</v>
      </c>
      <c r="D5" t="s">
        <v>50</v>
      </c>
      <c r="G5" t="s">
        <v>896</v>
      </c>
      <c r="H5" t="s">
        <v>897</v>
      </c>
      <c r="I5" t="s">
        <v>898</v>
      </c>
      <c r="J5" t="s">
        <v>899</v>
      </c>
      <c r="N5" s="6" t="s">
        <v>192</v>
      </c>
      <c r="Q5" t="s">
        <v>900</v>
      </c>
      <c r="R5" t="s">
        <v>172</v>
      </c>
    </row>
    <row r="6" spans="1:18">
      <c r="A6" t="s">
        <v>895</v>
      </c>
      <c r="B6" t="s">
        <v>122</v>
      </c>
      <c r="C6" t="s">
        <v>192</v>
      </c>
      <c r="D6" t="s">
        <v>171</v>
      </c>
      <c r="G6" t="s">
        <v>191</v>
      </c>
      <c r="H6" t="s">
        <v>901</v>
      </c>
      <c r="I6" t="s">
        <v>902</v>
      </c>
      <c r="J6" t="s">
        <v>903</v>
      </c>
      <c r="N6" s="6" t="s">
        <v>191</v>
      </c>
      <c r="Q6" t="s">
        <v>904</v>
      </c>
      <c r="R6" t="s">
        <v>180</v>
      </c>
    </row>
    <row r="7" spans="1:18">
      <c r="A7" t="s">
        <v>889</v>
      </c>
      <c r="B7" t="s">
        <v>905</v>
      </c>
      <c r="C7" t="s">
        <v>24</v>
      </c>
      <c r="D7" t="s">
        <v>173</v>
      </c>
      <c r="G7" t="s">
        <v>323</v>
      </c>
      <c r="H7" t="s">
        <v>202</v>
      </c>
      <c r="I7" t="s">
        <v>906</v>
      </c>
      <c r="J7" t="s">
        <v>141</v>
      </c>
      <c r="N7" s="6" t="s">
        <v>104</v>
      </c>
      <c r="Q7" t="s">
        <v>907</v>
      </c>
      <c r="R7" t="s">
        <v>908</v>
      </c>
    </row>
    <row r="8" spans="1:18">
      <c r="A8" t="s">
        <v>122</v>
      </c>
      <c r="B8" t="s">
        <v>125</v>
      </c>
      <c r="C8" t="s">
        <v>195</v>
      </c>
      <c r="D8" t="s">
        <v>174</v>
      </c>
      <c r="G8" t="s">
        <v>909</v>
      </c>
      <c r="H8" t="s">
        <v>175</v>
      </c>
      <c r="I8" t="s">
        <v>910</v>
      </c>
      <c r="J8" t="s">
        <v>143</v>
      </c>
      <c r="N8" s="6" t="s">
        <v>198</v>
      </c>
      <c r="Q8" t="s">
        <v>906</v>
      </c>
      <c r="R8" t="s">
        <v>141</v>
      </c>
    </row>
    <row r="9" spans="1:18">
      <c r="A9" t="s">
        <v>905</v>
      </c>
      <c r="B9" t="s">
        <v>127</v>
      </c>
      <c r="C9" t="s">
        <v>173</v>
      </c>
      <c r="D9" t="s">
        <v>175</v>
      </c>
      <c r="G9" t="s">
        <v>192</v>
      </c>
      <c r="H9" t="s">
        <v>177</v>
      </c>
      <c r="I9" t="s">
        <v>911</v>
      </c>
      <c r="J9" t="s">
        <v>133</v>
      </c>
      <c r="N9" s="6" t="s">
        <v>107</v>
      </c>
      <c r="Q9" t="s">
        <v>910</v>
      </c>
      <c r="R9" t="s">
        <v>143</v>
      </c>
    </row>
    <row r="10" spans="1:18">
      <c r="A10" t="s">
        <v>125</v>
      </c>
      <c r="B10" t="s">
        <v>128</v>
      </c>
      <c r="C10" t="s">
        <v>174</v>
      </c>
      <c r="D10" t="s">
        <v>176</v>
      </c>
      <c r="G10" t="s">
        <v>901</v>
      </c>
      <c r="H10" t="s">
        <v>190</v>
      </c>
      <c r="I10" t="s">
        <v>912</v>
      </c>
      <c r="J10" t="s">
        <v>135</v>
      </c>
      <c r="N10" s="6" t="s">
        <v>304</v>
      </c>
      <c r="Q10" t="s">
        <v>913</v>
      </c>
      <c r="R10" t="s">
        <v>70</v>
      </c>
    </row>
    <row r="11" spans="1:18">
      <c r="A11" t="s">
        <v>127</v>
      </c>
      <c r="B11" t="s">
        <v>132</v>
      </c>
      <c r="C11" t="s">
        <v>50</v>
      </c>
      <c r="D11" t="s">
        <v>177</v>
      </c>
      <c r="G11" t="s">
        <v>194</v>
      </c>
      <c r="H11" t="s">
        <v>312</v>
      </c>
      <c r="I11" t="s">
        <v>914</v>
      </c>
      <c r="J11" t="s">
        <v>168</v>
      </c>
      <c r="N11" s="6" t="s">
        <v>197</v>
      </c>
      <c r="Q11" t="s">
        <v>915</v>
      </c>
      <c r="R11" t="s">
        <v>68</v>
      </c>
    </row>
    <row r="12" spans="1:18">
      <c r="A12" t="s">
        <v>86</v>
      </c>
      <c r="B12" t="s">
        <v>136</v>
      </c>
      <c r="C12" t="s">
        <v>175</v>
      </c>
      <c r="D12" t="s">
        <v>179</v>
      </c>
      <c r="G12" t="s">
        <v>24</v>
      </c>
      <c r="H12" t="s">
        <v>182</v>
      </c>
      <c r="I12" t="s">
        <v>916</v>
      </c>
      <c r="J12" t="s">
        <v>917</v>
      </c>
      <c r="N12" s="6" t="s">
        <v>127</v>
      </c>
      <c r="Q12" t="s">
        <v>918</v>
      </c>
      <c r="R12" t="s">
        <v>57</v>
      </c>
    </row>
    <row r="13" spans="1:18">
      <c r="A13" t="s">
        <v>128</v>
      </c>
      <c r="B13" t="s">
        <v>140</v>
      </c>
      <c r="C13" t="s">
        <v>182</v>
      </c>
      <c r="D13" t="s">
        <v>181</v>
      </c>
      <c r="G13" t="s">
        <v>885</v>
      </c>
      <c r="H13" t="s">
        <v>203</v>
      </c>
      <c r="I13" t="s">
        <v>919</v>
      </c>
      <c r="J13" t="s">
        <v>920</v>
      </c>
      <c r="N13" s="6" t="s">
        <v>169</v>
      </c>
      <c r="Q13" t="s">
        <v>921</v>
      </c>
      <c r="R13" t="s">
        <v>51</v>
      </c>
    </row>
    <row r="14" spans="1:18">
      <c r="A14" t="s">
        <v>922</v>
      </c>
      <c r="B14" t="s">
        <v>144</v>
      </c>
      <c r="C14" t="s">
        <v>176</v>
      </c>
      <c r="D14" t="s">
        <v>182</v>
      </c>
      <c r="G14" t="s">
        <v>182</v>
      </c>
      <c r="H14" t="s">
        <v>184</v>
      </c>
      <c r="I14" t="s">
        <v>923</v>
      </c>
      <c r="J14" t="s">
        <v>924</v>
      </c>
      <c r="N14" s="6" t="s">
        <v>111</v>
      </c>
      <c r="Q14" t="s">
        <v>925</v>
      </c>
      <c r="R14" t="s">
        <v>54</v>
      </c>
    </row>
    <row r="15" spans="1:18">
      <c r="A15" t="s">
        <v>132</v>
      </c>
      <c r="B15" t="s">
        <v>926</v>
      </c>
      <c r="C15" t="s">
        <v>177</v>
      </c>
      <c r="D15" t="s">
        <v>184</v>
      </c>
      <c r="G15" t="s">
        <v>891</v>
      </c>
      <c r="H15" t="s">
        <v>204</v>
      </c>
      <c r="I15" t="s">
        <v>927</v>
      </c>
      <c r="J15" t="s">
        <v>72</v>
      </c>
      <c r="N15" s="6" t="s">
        <v>896</v>
      </c>
      <c r="Q15" t="s">
        <v>928</v>
      </c>
      <c r="R15" t="s">
        <v>37</v>
      </c>
    </row>
    <row r="16" spans="1:18">
      <c r="A16" t="s">
        <v>136</v>
      </c>
      <c r="B16" t="s">
        <v>83</v>
      </c>
      <c r="C16" t="s">
        <v>929</v>
      </c>
      <c r="D16" t="s">
        <v>185</v>
      </c>
      <c r="G16" t="s">
        <v>930</v>
      </c>
      <c r="H16" t="s">
        <v>302</v>
      </c>
      <c r="I16" t="s">
        <v>900</v>
      </c>
      <c r="J16" t="s">
        <v>172</v>
      </c>
      <c r="N16" s="6" t="s">
        <v>194</v>
      </c>
      <c r="Q16" t="s">
        <v>931</v>
      </c>
      <c r="R16" t="s">
        <v>41</v>
      </c>
    </row>
    <row r="17" spans="1:18">
      <c r="A17" t="s">
        <v>140</v>
      </c>
      <c r="B17" t="s">
        <v>148</v>
      </c>
      <c r="C17" t="s">
        <v>201</v>
      </c>
      <c r="D17" t="s">
        <v>186</v>
      </c>
      <c r="G17" t="s">
        <v>881</v>
      </c>
      <c r="H17" t="s">
        <v>67</v>
      </c>
      <c r="I17" t="s">
        <v>904</v>
      </c>
      <c r="J17" t="s">
        <v>180</v>
      </c>
      <c r="N17" s="6" t="s">
        <v>195</v>
      </c>
      <c r="Q17" t="s">
        <v>932</v>
      </c>
      <c r="R17" t="s">
        <v>22</v>
      </c>
    </row>
    <row r="18" spans="1:18">
      <c r="A18" t="s">
        <v>144</v>
      </c>
      <c r="B18" t="s">
        <v>149</v>
      </c>
      <c r="C18" t="s">
        <v>933</v>
      </c>
      <c r="D18" t="s">
        <v>189</v>
      </c>
      <c r="G18" t="s">
        <v>934</v>
      </c>
      <c r="H18" t="s">
        <v>935</v>
      </c>
      <c r="I18" t="s">
        <v>936</v>
      </c>
      <c r="J18" t="s">
        <v>183</v>
      </c>
      <c r="N18" s="6" t="s">
        <v>205</v>
      </c>
      <c r="Q18" t="s">
        <v>937</v>
      </c>
      <c r="R18" t="s">
        <v>25</v>
      </c>
    </row>
    <row r="19" spans="1:18">
      <c r="A19" t="s">
        <v>926</v>
      </c>
      <c r="B19" t="s">
        <v>151</v>
      </c>
      <c r="C19" t="s">
        <v>938</v>
      </c>
      <c r="D19" t="s">
        <v>190</v>
      </c>
      <c r="G19" t="s">
        <v>897</v>
      </c>
      <c r="H19" t="s">
        <v>191</v>
      </c>
      <c r="I19" t="s">
        <v>939</v>
      </c>
      <c r="J19" t="s">
        <v>940</v>
      </c>
      <c r="N19" s="6" t="s">
        <v>196</v>
      </c>
      <c r="Q19" t="s">
        <v>936</v>
      </c>
      <c r="R19" t="s">
        <v>183</v>
      </c>
    </row>
    <row r="20" spans="1:18">
      <c r="A20" t="s">
        <v>83</v>
      </c>
      <c r="B20" t="s">
        <v>153</v>
      </c>
      <c r="C20" t="s">
        <v>941</v>
      </c>
      <c r="D20" t="s">
        <v>93</v>
      </c>
      <c r="G20" t="s">
        <v>171</v>
      </c>
      <c r="H20" t="s">
        <v>192</v>
      </c>
      <c r="I20" t="s">
        <v>942</v>
      </c>
      <c r="J20" t="s">
        <v>943</v>
      </c>
      <c r="N20" s="6" t="s">
        <v>199</v>
      </c>
      <c r="Q20" t="s">
        <v>944</v>
      </c>
      <c r="R20" t="s">
        <v>160</v>
      </c>
    </row>
    <row r="21" spans="1:18">
      <c r="A21" t="s">
        <v>148</v>
      </c>
      <c r="B21" t="s">
        <v>157</v>
      </c>
      <c r="C21" t="s">
        <v>189</v>
      </c>
      <c r="D21" t="s">
        <v>191</v>
      </c>
      <c r="G21" t="s">
        <v>945</v>
      </c>
      <c r="H21" t="s">
        <v>196</v>
      </c>
      <c r="I21" t="s">
        <v>946</v>
      </c>
      <c r="J21" t="s">
        <v>947</v>
      </c>
      <c r="N21" s="69" t="s">
        <v>43</v>
      </c>
      <c r="Q21" t="s">
        <v>948</v>
      </c>
      <c r="R21" t="s">
        <v>129</v>
      </c>
    </row>
    <row r="22" spans="1:18">
      <c r="A22" t="s">
        <v>949</v>
      </c>
      <c r="B22" t="s">
        <v>158</v>
      </c>
      <c r="C22" t="s">
        <v>186</v>
      </c>
      <c r="D22" t="s">
        <v>192</v>
      </c>
      <c r="G22" t="s">
        <v>302</v>
      </c>
      <c r="H22" t="s">
        <v>205</v>
      </c>
      <c r="I22" t="s">
        <v>950</v>
      </c>
      <c r="J22" t="s">
        <v>951</v>
      </c>
      <c r="N22" s="6" t="s">
        <v>933</v>
      </c>
      <c r="Q22" t="s">
        <v>952</v>
      </c>
      <c r="R22" t="s">
        <v>162</v>
      </c>
    </row>
    <row r="23" spans="1:18">
      <c r="A23" t="s">
        <v>149</v>
      </c>
      <c r="B23" t="s">
        <v>159</v>
      </c>
      <c r="C23" t="s">
        <v>323</v>
      </c>
      <c r="D23" t="s">
        <v>193</v>
      </c>
      <c r="G23" t="s">
        <v>175</v>
      </c>
      <c r="H23" t="s">
        <v>195</v>
      </c>
      <c r="I23" t="s">
        <v>953</v>
      </c>
      <c r="J23" t="s">
        <v>954</v>
      </c>
      <c r="N23" s="6" t="s">
        <v>206</v>
      </c>
      <c r="Q23" t="s">
        <v>955</v>
      </c>
      <c r="R23" t="s">
        <v>131</v>
      </c>
    </row>
    <row r="24" spans="1:18">
      <c r="A24" t="s">
        <v>151</v>
      </c>
      <c r="B24" t="s">
        <v>163</v>
      </c>
      <c r="C24" t="s">
        <v>170</v>
      </c>
      <c r="D24" t="s">
        <v>194</v>
      </c>
      <c r="G24" t="s">
        <v>956</v>
      </c>
      <c r="H24" t="s">
        <v>896</v>
      </c>
      <c r="I24" t="s">
        <v>957</v>
      </c>
      <c r="J24" t="s">
        <v>903</v>
      </c>
      <c r="N24" s="6" t="s">
        <v>207</v>
      </c>
      <c r="Q24" t="s">
        <v>911</v>
      </c>
      <c r="R24" t="s">
        <v>133</v>
      </c>
    </row>
    <row r="25" spans="1:18" ht="15.75" thickBot="1">
      <c r="A25" t="s">
        <v>153</v>
      </c>
      <c r="B25" t="s">
        <v>164</v>
      </c>
      <c r="C25" t="s">
        <v>958</v>
      </c>
      <c r="D25" t="s">
        <v>195</v>
      </c>
      <c r="G25" t="s">
        <v>938</v>
      </c>
      <c r="H25" t="s">
        <v>194</v>
      </c>
      <c r="I25" t="s">
        <v>959</v>
      </c>
      <c r="J25" t="s">
        <v>960</v>
      </c>
      <c r="N25" s="23" t="s">
        <v>208</v>
      </c>
      <c r="Q25" t="s">
        <v>912</v>
      </c>
      <c r="R25" t="s">
        <v>135</v>
      </c>
    </row>
    <row r="26" spans="1:18" ht="15.75" thickBot="1">
      <c r="A26" t="s">
        <v>138</v>
      </c>
      <c r="B26" t="s">
        <v>298</v>
      </c>
      <c r="C26" t="s">
        <v>961</v>
      </c>
      <c r="D26" t="s">
        <v>938</v>
      </c>
      <c r="G26" t="s">
        <v>173</v>
      </c>
      <c r="H26" t="s">
        <v>938</v>
      </c>
      <c r="I26" t="s">
        <v>957</v>
      </c>
      <c r="J26" t="s">
        <v>962</v>
      </c>
      <c r="N26" s="15" t="s">
        <v>185</v>
      </c>
      <c r="Q26" t="s">
        <v>914</v>
      </c>
      <c r="R26" t="s">
        <v>168</v>
      </c>
    </row>
    <row r="27" spans="1:18">
      <c r="A27" t="s">
        <v>963</v>
      </c>
      <c r="B27" t="s">
        <v>964</v>
      </c>
      <c r="C27" t="s">
        <v>179</v>
      </c>
      <c r="D27" t="s">
        <v>196</v>
      </c>
      <c r="G27" t="s">
        <v>206</v>
      </c>
      <c r="H27" t="s">
        <v>206</v>
      </c>
      <c r="I27" t="s">
        <v>965</v>
      </c>
      <c r="J27" t="s">
        <v>966</v>
      </c>
      <c r="N27" s="68" t="s">
        <v>59</v>
      </c>
      <c r="Q27" t="s">
        <v>967</v>
      </c>
      <c r="R27" t="s">
        <v>92</v>
      </c>
    </row>
    <row r="28" spans="1:18">
      <c r="A28" t="s">
        <v>157</v>
      </c>
      <c r="B28" t="s">
        <v>166</v>
      </c>
      <c r="C28" t="s">
        <v>194</v>
      </c>
      <c r="D28" t="s">
        <v>197</v>
      </c>
      <c r="G28" t="s">
        <v>207</v>
      </c>
      <c r="H28" t="s">
        <v>207</v>
      </c>
      <c r="I28" t="s">
        <v>968</v>
      </c>
      <c r="J28" t="s">
        <v>969</v>
      </c>
      <c r="N28" s="69" t="s">
        <v>76</v>
      </c>
      <c r="Q28" t="s">
        <v>970</v>
      </c>
      <c r="R28" t="s">
        <v>82</v>
      </c>
    </row>
    <row r="29" spans="1:18" ht="15.75" thickBot="1">
      <c r="A29" t="s">
        <v>158</v>
      </c>
      <c r="B29" t="s">
        <v>167</v>
      </c>
      <c r="C29" t="s">
        <v>193</v>
      </c>
      <c r="D29" t="s">
        <v>198</v>
      </c>
      <c r="G29" t="s">
        <v>177</v>
      </c>
      <c r="H29" t="s">
        <v>208</v>
      </c>
      <c r="I29" t="s">
        <v>971</v>
      </c>
      <c r="J29" t="s">
        <v>972</v>
      </c>
      <c r="N29" s="70" t="s">
        <v>79</v>
      </c>
      <c r="Q29" t="s">
        <v>973</v>
      </c>
      <c r="R29" t="s">
        <v>90</v>
      </c>
    </row>
    <row r="30" spans="1:18">
      <c r="A30" t="s">
        <v>159</v>
      </c>
      <c r="B30" t="s">
        <v>169</v>
      </c>
      <c r="C30" t="s">
        <v>190</v>
      </c>
      <c r="D30" t="s">
        <v>199</v>
      </c>
      <c r="G30" t="s">
        <v>184</v>
      </c>
      <c r="I30" t="s">
        <v>974</v>
      </c>
      <c r="J30" t="s">
        <v>975</v>
      </c>
      <c r="N30" s="2" t="s">
        <v>177</v>
      </c>
      <c r="Q30" t="s">
        <v>976</v>
      </c>
      <c r="R30" t="s">
        <v>48</v>
      </c>
    </row>
    <row r="31" spans="1:18">
      <c r="A31" t="s">
        <v>116</v>
      </c>
      <c r="B31" t="s">
        <v>977</v>
      </c>
      <c r="C31" t="s">
        <v>196</v>
      </c>
      <c r="D31" t="s">
        <v>201</v>
      </c>
      <c r="G31" t="s">
        <v>935</v>
      </c>
      <c r="I31" t="s">
        <v>978</v>
      </c>
      <c r="J31" t="s">
        <v>979</v>
      </c>
      <c r="N31" s="6" t="s">
        <v>171</v>
      </c>
      <c r="Q31" t="s">
        <v>980</v>
      </c>
      <c r="R31" t="s">
        <v>31</v>
      </c>
    </row>
    <row r="32" spans="1:18">
      <c r="A32" t="s">
        <v>161</v>
      </c>
      <c r="C32" t="s">
        <v>880</v>
      </c>
      <c r="D32" t="s">
        <v>933</v>
      </c>
      <c r="G32" t="s">
        <v>208</v>
      </c>
      <c r="I32" t="s">
        <v>981</v>
      </c>
      <c r="J32" t="s">
        <v>982</v>
      </c>
      <c r="N32" s="6" t="s">
        <v>179</v>
      </c>
      <c r="Q32" t="s">
        <v>983</v>
      </c>
      <c r="R32" t="s">
        <v>33</v>
      </c>
    </row>
    <row r="33" spans="1:18">
      <c r="A33" t="s">
        <v>134</v>
      </c>
      <c r="C33" t="s">
        <v>197</v>
      </c>
      <c r="G33" t="s">
        <v>67</v>
      </c>
      <c r="I33" t="s">
        <v>984</v>
      </c>
      <c r="J33" t="s">
        <v>985</v>
      </c>
      <c r="N33" s="6" t="s">
        <v>176</v>
      </c>
      <c r="Q33" t="s">
        <v>986</v>
      </c>
      <c r="R33" t="s">
        <v>66</v>
      </c>
    </row>
    <row r="34" spans="1:18">
      <c r="A34" t="s">
        <v>163</v>
      </c>
      <c r="C34" t="s">
        <v>184</v>
      </c>
      <c r="G34" t="s">
        <v>987</v>
      </c>
      <c r="I34" t="s">
        <v>988</v>
      </c>
      <c r="J34" t="s">
        <v>989</v>
      </c>
      <c r="N34" s="6" t="s">
        <v>173</v>
      </c>
      <c r="Q34" t="s">
        <v>990</v>
      </c>
      <c r="R34" t="s">
        <v>145</v>
      </c>
    </row>
    <row r="35" spans="1:18">
      <c r="A35" t="s">
        <v>991</v>
      </c>
      <c r="C35" t="s">
        <v>21</v>
      </c>
      <c r="G35" t="s">
        <v>205</v>
      </c>
      <c r="I35" t="s">
        <v>992</v>
      </c>
      <c r="J35" t="s">
        <v>993</v>
      </c>
      <c r="N35" s="6" t="s">
        <v>174</v>
      </c>
      <c r="Q35" t="s">
        <v>994</v>
      </c>
      <c r="R35" t="s">
        <v>147</v>
      </c>
    </row>
    <row r="36" spans="1:18">
      <c r="A36" t="s">
        <v>298</v>
      </c>
      <c r="C36" t="s">
        <v>198</v>
      </c>
      <c r="G36" t="s">
        <v>995</v>
      </c>
      <c r="I36" t="s">
        <v>996</v>
      </c>
      <c r="J36" t="s">
        <v>997</v>
      </c>
      <c r="N36" s="6" t="s">
        <v>175</v>
      </c>
      <c r="Q36" t="s">
        <v>927</v>
      </c>
      <c r="R36" t="s">
        <v>72</v>
      </c>
    </row>
    <row r="37" spans="1:18" ht="15.75" thickBot="1">
      <c r="A37" t="s">
        <v>142</v>
      </c>
      <c r="C37" t="s">
        <v>185</v>
      </c>
      <c r="G37" t="s">
        <v>312</v>
      </c>
      <c r="I37" t="s">
        <v>998</v>
      </c>
      <c r="J37" t="s">
        <v>999</v>
      </c>
      <c r="N37" s="23" t="s">
        <v>202</v>
      </c>
      <c r="Q37" t="s">
        <v>1000</v>
      </c>
      <c r="R37" t="s">
        <v>115</v>
      </c>
    </row>
    <row r="38" spans="1:18" ht="15.75" thickBot="1">
      <c r="A38" t="s">
        <v>164</v>
      </c>
      <c r="C38" t="s">
        <v>199</v>
      </c>
      <c r="G38" t="s">
        <v>196</v>
      </c>
      <c r="I38" t="s">
        <v>1001</v>
      </c>
      <c r="J38" t="s">
        <v>1002</v>
      </c>
      <c r="N38" s="15" t="s">
        <v>140</v>
      </c>
      <c r="Q38" t="s">
        <v>1003</v>
      </c>
      <c r="R38" t="s">
        <v>117</v>
      </c>
    </row>
    <row r="39" spans="1:18">
      <c r="A39" t="s">
        <v>964</v>
      </c>
      <c r="C39" t="s">
        <v>310</v>
      </c>
      <c r="G39" t="s">
        <v>1004</v>
      </c>
      <c r="I39" t="s">
        <v>1005</v>
      </c>
      <c r="J39" t="s">
        <v>1006</v>
      </c>
      <c r="N39" s="68" t="s">
        <v>21</v>
      </c>
      <c r="Q39" t="s">
        <v>1007</v>
      </c>
      <c r="R39" t="s">
        <v>119</v>
      </c>
    </row>
    <row r="40" spans="1:18">
      <c r="A40" t="s">
        <v>166</v>
      </c>
      <c r="C40" t="s">
        <v>319</v>
      </c>
      <c r="G40" t="s">
        <v>190</v>
      </c>
      <c r="I40" t="s">
        <v>967</v>
      </c>
      <c r="J40" t="s">
        <v>92</v>
      </c>
      <c r="N40" s="6" t="s">
        <v>204</v>
      </c>
      <c r="Q40" t="s">
        <v>1008</v>
      </c>
      <c r="R40" t="s">
        <v>154</v>
      </c>
    </row>
    <row r="41" spans="1:18">
      <c r="A41" t="s">
        <v>167</v>
      </c>
      <c r="C41" t="s">
        <v>93</v>
      </c>
      <c r="G41" t="s">
        <v>203</v>
      </c>
      <c r="I41" t="s">
        <v>970</v>
      </c>
      <c r="J41" t="s">
        <v>82</v>
      </c>
      <c r="N41" s="69" t="s">
        <v>67</v>
      </c>
      <c r="Q41" t="s">
        <v>1009</v>
      </c>
      <c r="R41" t="s">
        <v>121</v>
      </c>
    </row>
    <row r="42" spans="1:18">
      <c r="A42" t="s">
        <v>169</v>
      </c>
      <c r="G42" t="s">
        <v>202</v>
      </c>
      <c r="I42" t="s">
        <v>973</v>
      </c>
      <c r="J42" t="s">
        <v>90</v>
      </c>
      <c r="N42" s="69" t="s">
        <v>55</v>
      </c>
      <c r="Q42" t="s">
        <v>1010</v>
      </c>
      <c r="R42" t="s">
        <v>156</v>
      </c>
    </row>
    <row r="43" spans="1:18">
      <c r="A43" t="s">
        <v>977</v>
      </c>
      <c r="G43" t="s">
        <v>313</v>
      </c>
      <c r="I43" t="s">
        <v>1011</v>
      </c>
      <c r="J43" t="s">
        <v>1012</v>
      </c>
      <c r="N43" s="69" t="s">
        <v>50</v>
      </c>
      <c r="Q43" t="s">
        <v>1013</v>
      </c>
      <c r="R43" t="s">
        <v>85</v>
      </c>
    </row>
    <row r="44" spans="1:18">
      <c r="G44" t="s">
        <v>204</v>
      </c>
      <c r="I44" t="s">
        <v>990</v>
      </c>
      <c r="J44" t="s">
        <v>145</v>
      </c>
      <c r="N44" s="6" t="s">
        <v>935</v>
      </c>
      <c r="Q44" t="s">
        <v>1014</v>
      </c>
      <c r="R44" t="s">
        <v>87</v>
      </c>
    </row>
    <row r="45" spans="1:18" ht="15.75" thickBot="1">
      <c r="I45" t="s">
        <v>1015</v>
      </c>
      <c r="J45" t="s">
        <v>1016</v>
      </c>
      <c r="N45" s="23" t="s">
        <v>170</v>
      </c>
      <c r="Q45" t="s">
        <v>1017</v>
      </c>
      <c r="R45" t="s">
        <v>1018</v>
      </c>
    </row>
    <row r="46" spans="1:18">
      <c r="I46" t="s">
        <v>1019</v>
      </c>
      <c r="J46" t="s">
        <v>1020</v>
      </c>
      <c r="N46" s="2" t="s">
        <v>184</v>
      </c>
      <c r="Q46" t="s">
        <v>1021</v>
      </c>
      <c r="R46" t="s">
        <v>165</v>
      </c>
    </row>
    <row r="47" spans="1:18">
      <c r="I47" t="s">
        <v>1000</v>
      </c>
      <c r="J47" t="s">
        <v>115</v>
      </c>
      <c r="N47" s="6" t="s">
        <v>182</v>
      </c>
      <c r="Q47" t="s">
        <v>1022</v>
      </c>
      <c r="R47" t="s">
        <v>126</v>
      </c>
    </row>
    <row r="48" spans="1:18" ht="15.75" thickBot="1">
      <c r="I48" t="s">
        <v>1003</v>
      </c>
      <c r="J48" t="s">
        <v>117</v>
      </c>
      <c r="N48" s="23" t="s">
        <v>203</v>
      </c>
      <c r="Q48" t="s">
        <v>1023</v>
      </c>
      <c r="R48" t="s">
        <v>150</v>
      </c>
    </row>
    <row r="49" spans="9:18" ht="15.75" thickBot="1">
      <c r="I49" t="s">
        <v>1024</v>
      </c>
      <c r="J49" t="s">
        <v>1025</v>
      </c>
      <c r="N49" s="71" t="s">
        <v>307</v>
      </c>
      <c r="Q49" t="s">
        <v>1026</v>
      </c>
      <c r="R49" t="s">
        <v>123</v>
      </c>
    </row>
    <row r="50" spans="9:18" ht="15.75" thickBot="1">
      <c r="I50" t="s">
        <v>888</v>
      </c>
      <c r="J50" t="s">
        <v>61</v>
      </c>
      <c r="N50" s="15" t="s">
        <v>181</v>
      </c>
      <c r="Q50" t="s">
        <v>1027</v>
      </c>
      <c r="R50" t="s">
        <v>152</v>
      </c>
    </row>
    <row r="51" spans="9:18">
      <c r="I51" t="s">
        <v>1028</v>
      </c>
      <c r="J51" t="s">
        <v>1029</v>
      </c>
      <c r="N51" s="2" t="s">
        <v>159</v>
      </c>
      <c r="Q51" t="s">
        <v>1030</v>
      </c>
      <c r="R51" t="s">
        <v>137</v>
      </c>
    </row>
    <row r="52" spans="9:18" ht="15.75" thickBot="1">
      <c r="I52" t="s">
        <v>1031</v>
      </c>
      <c r="J52" t="s">
        <v>1032</v>
      </c>
      <c r="N52" s="23" t="s">
        <v>128</v>
      </c>
      <c r="Q52" t="s">
        <v>1033</v>
      </c>
      <c r="R52" t="s">
        <v>139</v>
      </c>
    </row>
    <row r="53" spans="9:18">
      <c r="I53" t="s">
        <v>918</v>
      </c>
      <c r="J53" t="s">
        <v>57</v>
      </c>
      <c r="N53" s="2" t="s">
        <v>124</v>
      </c>
    </row>
    <row r="54" spans="9:18">
      <c r="I54" t="s">
        <v>921</v>
      </c>
      <c r="J54" t="s">
        <v>51</v>
      </c>
      <c r="N54" s="6" t="s">
        <v>167</v>
      </c>
    </row>
    <row r="55" spans="9:18">
      <c r="I55" t="s">
        <v>925</v>
      </c>
      <c r="J55" t="s">
        <v>54</v>
      </c>
      <c r="N55" s="6" t="s">
        <v>132</v>
      </c>
      <c r="Q55" s="67"/>
    </row>
    <row r="56" spans="9:18" ht="15.75" thickBot="1">
      <c r="I56" t="s">
        <v>1034</v>
      </c>
      <c r="J56" t="s">
        <v>1035</v>
      </c>
      <c r="N56" s="23" t="s">
        <v>112</v>
      </c>
      <c r="Q56" s="67"/>
    </row>
    <row r="57" spans="9:18">
      <c r="I57" t="s">
        <v>1036</v>
      </c>
      <c r="J57" t="s">
        <v>1037</v>
      </c>
      <c r="N57" s="2" t="s">
        <v>88</v>
      </c>
    </row>
    <row r="58" spans="9:18">
      <c r="I58" t="s">
        <v>976</v>
      </c>
      <c r="J58" t="s">
        <v>48</v>
      </c>
      <c r="N58" s="6" t="s">
        <v>81</v>
      </c>
    </row>
    <row r="59" spans="9:18" ht="15.75" thickBot="1">
      <c r="I59" t="s">
        <v>894</v>
      </c>
      <c r="J59" t="s">
        <v>178</v>
      </c>
      <c r="N59" s="23" t="s">
        <v>91</v>
      </c>
    </row>
    <row r="60" spans="9:18" ht="15.75" thickBot="1">
      <c r="I60" t="s">
        <v>1038</v>
      </c>
      <c r="J60" t="s">
        <v>1039</v>
      </c>
      <c r="N60" s="71" t="s">
        <v>46</v>
      </c>
    </row>
    <row r="61" spans="9:18">
      <c r="I61" t="s">
        <v>1040</v>
      </c>
      <c r="J61" t="s">
        <v>1041</v>
      </c>
      <c r="N61" s="68" t="s">
        <v>13</v>
      </c>
    </row>
    <row r="62" spans="9:18">
      <c r="I62" t="s">
        <v>994</v>
      </c>
      <c r="J62" t="s">
        <v>147</v>
      </c>
      <c r="N62" s="69" t="s">
        <v>65</v>
      </c>
    </row>
    <row r="63" spans="9:18">
      <c r="I63" t="s">
        <v>1042</v>
      </c>
      <c r="J63" t="s">
        <v>1043</v>
      </c>
      <c r="N63" s="69" t="s">
        <v>30</v>
      </c>
    </row>
    <row r="64" spans="9:18" ht="15.75" thickBot="1">
      <c r="I64" t="s">
        <v>1044</v>
      </c>
      <c r="J64" t="s">
        <v>1045</v>
      </c>
      <c r="N64" s="70" t="s">
        <v>1046</v>
      </c>
    </row>
    <row r="65" spans="9:14" ht="15.75" thickBot="1">
      <c r="I65" t="s">
        <v>944</v>
      </c>
      <c r="J65" t="s">
        <v>160</v>
      </c>
      <c r="N65" s="15" t="s">
        <v>144</v>
      </c>
    </row>
    <row r="66" spans="9:14">
      <c r="I66" t="s">
        <v>948</v>
      </c>
      <c r="J66" t="s">
        <v>129</v>
      </c>
      <c r="N66" s="2" t="s">
        <v>148</v>
      </c>
    </row>
    <row r="67" spans="9:14" ht="15.75" thickBot="1">
      <c r="I67" t="s">
        <v>952</v>
      </c>
      <c r="J67" t="s">
        <v>162</v>
      </c>
      <c r="N67" s="23" t="s">
        <v>157</v>
      </c>
    </row>
    <row r="68" spans="9:14" ht="15.75" thickBot="1">
      <c r="I68" t="s">
        <v>955</v>
      </c>
      <c r="J68" t="s">
        <v>131</v>
      </c>
      <c r="N68" s="15" t="s">
        <v>163</v>
      </c>
    </row>
    <row r="69" spans="9:14" ht="15.75" thickBot="1">
      <c r="I69" t="s">
        <v>1047</v>
      </c>
      <c r="J69" t="s">
        <v>1048</v>
      </c>
      <c r="N69" s="71" t="s">
        <v>71</v>
      </c>
    </row>
    <row r="70" spans="9:14">
      <c r="I70" t="s">
        <v>1007</v>
      </c>
      <c r="J70" t="s">
        <v>119</v>
      </c>
      <c r="N70" s="2" t="s">
        <v>114</v>
      </c>
    </row>
    <row r="71" spans="9:14">
      <c r="I71" t="s">
        <v>1008</v>
      </c>
      <c r="J71" t="s">
        <v>154</v>
      </c>
      <c r="N71" s="6" t="s">
        <v>118</v>
      </c>
    </row>
    <row r="72" spans="9:14" ht="15.75" thickBot="1">
      <c r="I72" t="s">
        <v>1009</v>
      </c>
      <c r="J72" t="s">
        <v>121</v>
      </c>
      <c r="N72" s="23" t="s">
        <v>153</v>
      </c>
    </row>
    <row r="73" spans="9:14">
      <c r="I73" t="s">
        <v>1010</v>
      </c>
      <c r="J73" t="s">
        <v>156</v>
      </c>
      <c r="N73" s="68" t="s">
        <v>83</v>
      </c>
    </row>
    <row r="74" spans="9:14">
      <c r="I74" t="s">
        <v>1049</v>
      </c>
      <c r="J74" t="s">
        <v>1050</v>
      </c>
      <c r="N74" s="6" t="s">
        <v>964</v>
      </c>
    </row>
    <row r="75" spans="9:14">
      <c r="I75" t="s">
        <v>1051</v>
      </c>
      <c r="J75" t="s">
        <v>1052</v>
      </c>
      <c r="N75" s="6" t="s">
        <v>164</v>
      </c>
    </row>
    <row r="76" spans="9:14">
      <c r="I76" t="s">
        <v>1053</v>
      </c>
      <c r="J76" t="s">
        <v>1054</v>
      </c>
      <c r="N76" s="6" t="s">
        <v>125</v>
      </c>
    </row>
    <row r="77" spans="9:14" ht="15.75" thickBot="1">
      <c r="I77" t="s">
        <v>1055</v>
      </c>
      <c r="J77" t="s">
        <v>1056</v>
      </c>
      <c r="N77" s="23" t="s">
        <v>149</v>
      </c>
    </row>
    <row r="78" spans="9:14">
      <c r="I78" t="s">
        <v>1057</v>
      </c>
      <c r="J78" t="s">
        <v>1058</v>
      </c>
      <c r="N78" s="2" t="s">
        <v>136</v>
      </c>
    </row>
    <row r="79" spans="9:14">
      <c r="I79" t="s">
        <v>1059</v>
      </c>
      <c r="J79" t="s">
        <v>188</v>
      </c>
      <c r="N79" s="6" t="s">
        <v>122</v>
      </c>
    </row>
    <row r="80" spans="9:14" ht="15.75" thickBot="1">
      <c r="I80" t="s">
        <v>980</v>
      </c>
      <c r="J80" t="s">
        <v>31</v>
      </c>
      <c r="N80" s="23" t="s">
        <v>151</v>
      </c>
    </row>
    <row r="81" spans="9:14">
      <c r="I81" t="s">
        <v>928</v>
      </c>
      <c r="J81" t="s">
        <v>37</v>
      </c>
      <c r="N81" s="2" t="s">
        <v>158</v>
      </c>
    </row>
    <row r="82" spans="9:14" ht="15.75" thickBot="1">
      <c r="I82" t="s">
        <v>983</v>
      </c>
      <c r="J82" t="s">
        <v>33</v>
      </c>
      <c r="N82" s="23" t="s">
        <v>166</v>
      </c>
    </row>
    <row r="83" spans="9:14" ht="15.75" thickBot="1">
      <c r="I83" t="s">
        <v>931</v>
      </c>
      <c r="J83" t="s">
        <v>41</v>
      </c>
      <c r="N83" s="71" t="s">
        <v>95</v>
      </c>
    </row>
    <row r="84" spans="9:14" ht="15.75" thickBot="1">
      <c r="I84" t="s">
        <v>1060</v>
      </c>
      <c r="J84" t="s">
        <v>1061</v>
      </c>
      <c r="N84" s="68" t="s">
        <v>74</v>
      </c>
    </row>
    <row r="85" spans="9:14" ht="15.75" thickBot="1">
      <c r="I85" t="s">
        <v>1062</v>
      </c>
      <c r="J85" t="s">
        <v>1063</v>
      </c>
      <c r="N85" s="15" t="s">
        <v>190</v>
      </c>
    </row>
    <row r="86" spans="9:14" ht="15.75" thickBot="1">
      <c r="I86" t="s">
        <v>1064</v>
      </c>
      <c r="J86" t="s">
        <v>1065</v>
      </c>
      <c r="N86" s="15" t="s">
        <v>93</v>
      </c>
    </row>
    <row r="87" spans="9:14">
      <c r="I87" t="s">
        <v>1066</v>
      </c>
      <c r="J87" t="s">
        <v>1067</v>
      </c>
    </row>
    <row r="88" spans="9:14">
      <c r="I88" t="s">
        <v>1068</v>
      </c>
      <c r="J88" t="s">
        <v>1069</v>
      </c>
    </row>
    <row r="89" spans="9:14">
      <c r="I89" t="s">
        <v>1070</v>
      </c>
      <c r="J89" t="s">
        <v>1071</v>
      </c>
    </row>
    <row r="90" spans="9:14">
      <c r="I90" t="s">
        <v>1072</v>
      </c>
      <c r="J90" t="s">
        <v>1073</v>
      </c>
    </row>
    <row r="91" spans="9:14">
      <c r="I91" t="s">
        <v>907</v>
      </c>
      <c r="J91" t="s">
        <v>908</v>
      </c>
      <c r="K91" t="s">
        <v>888</v>
      </c>
      <c r="L91" t="s">
        <v>61</v>
      </c>
    </row>
    <row r="92" spans="9:14">
      <c r="I92" t="s">
        <v>1074</v>
      </c>
      <c r="J92" t="s">
        <v>1075</v>
      </c>
      <c r="K92" t="s">
        <v>884</v>
      </c>
      <c r="L92" t="s">
        <v>80</v>
      </c>
    </row>
    <row r="93" spans="9:14">
      <c r="I93" t="s">
        <v>1076</v>
      </c>
      <c r="J93" t="s">
        <v>1077</v>
      </c>
      <c r="K93" t="s">
        <v>879</v>
      </c>
      <c r="L93" t="s">
        <v>78</v>
      </c>
    </row>
    <row r="94" spans="9:14">
      <c r="I94" t="s">
        <v>1013</v>
      </c>
      <c r="J94" t="s">
        <v>85</v>
      </c>
      <c r="K94" t="s">
        <v>894</v>
      </c>
      <c r="L94" t="s">
        <v>178</v>
      </c>
    </row>
    <row r="95" spans="9:14">
      <c r="I95" t="s">
        <v>1014</v>
      </c>
      <c r="J95" t="s">
        <v>87</v>
      </c>
      <c r="K95" t="s">
        <v>900</v>
      </c>
      <c r="L95" t="s">
        <v>172</v>
      </c>
    </row>
    <row r="96" spans="9:14">
      <c r="I96" t="s">
        <v>1017</v>
      </c>
      <c r="J96" t="s">
        <v>1018</v>
      </c>
      <c r="K96" t="s">
        <v>904</v>
      </c>
      <c r="L96" t="s">
        <v>180</v>
      </c>
    </row>
    <row r="97" spans="9:12">
      <c r="I97" t="s">
        <v>1021</v>
      </c>
      <c r="J97" t="s">
        <v>165</v>
      </c>
      <c r="K97" t="s">
        <v>907</v>
      </c>
      <c r="L97" t="s">
        <v>908</v>
      </c>
    </row>
    <row r="98" spans="9:12">
      <c r="I98" t="s">
        <v>1078</v>
      </c>
      <c r="J98" t="s">
        <v>212</v>
      </c>
      <c r="K98" t="s">
        <v>906</v>
      </c>
      <c r="L98" t="s">
        <v>141</v>
      </c>
    </row>
    <row r="99" spans="9:12">
      <c r="I99" t="s">
        <v>1079</v>
      </c>
      <c r="J99" t="s">
        <v>1080</v>
      </c>
      <c r="K99" t="s">
        <v>910</v>
      </c>
      <c r="L99" t="s">
        <v>143</v>
      </c>
    </row>
    <row r="100" spans="9:12">
      <c r="I100" t="s">
        <v>1030</v>
      </c>
      <c r="J100" t="s">
        <v>137</v>
      </c>
      <c r="K100" t="s">
        <v>918</v>
      </c>
      <c r="L100" t="s">
        <v>57</v>
      </c>
    </row>
    <row r="101" spans="9:12">
      <c r="I101" t="s">
        <v>884</v>
      </c>
      <c r="J101" t="s">
        <v>80</v>
      </c>
      <c r="K101" t="s">
        <v>921</v>
      </c>
      <c r="L101" t="s">
        <v>51</v>
      </c>
    </row>
    <row r="102" spans="9:12">
      <c r="I102" t="s">
        <v>1081</v>
      </c>
      <c r="J102" t="s">
        <v>1082</v>
      </c>
      <c r="K102" t="s">
        <v>925</v>
      </c>
      <c r="L102" t="s">
        <v>54</v>
      </c>
    </row>
    <row r="103" spans="9:12">
      <c r="I103" t="s">
        <v>932</v>
      </c>
      <c r="J103" t="s">
        <v>22</v>
      </c>
      <c r="K103" t="s">
        <v>928</v>
      </c>
      <c r="L103" t="s">
        <v>37</v>
      </c>
    </row>
    <row r="104" spans="9:12">
      <c r="I104" t="s">
        <v>937</v>
      </c>
      <c r="J104" t="s">
        <v>25</v>
      </c>
      <c r="K104" t="s">
        <v>931</v>
      </c>
      <c r="L104" t="s">
        <v>41</v>
      </c>
    </row>
    <row r="105" spans="9:12">
      <c r="I105" t="s">
        <v>1083</v>
      </c>
      <c r="J105" t="s">
        <v>1084</v>
      </c>
      <c r="K105" t="s">
        <v>932</v>
      </c>
      <c r="L105" t="s">
        <v>22</v>
      </c>
    </row>
    <row r="106" spans="9:12">
      <c r="I106" t="s">
        <v>1085</v>
      </c>
      <c r="J106" t="s">
        <v>1086</v>
      </c>
      <c r="K106" t="s">
        <v>937</v>
      </c>
      <c r="L106" t="s">
        <v>25</v>
      </c>
    </row>
    <row r="107" spans="9:12">
      <c r="I107" t="s">
        <v>1033</v>
      </c>
      <c r="J107" t="s">
        <v>139</v>
      </c>
      <c r="K107" t="s">
        <v>913</v>
      </c>
      <c r="L107" t="s">
        <v>70</v>
      </c>
    </row>
    <row r="108" spans="9:12">
      <c r="I108" t="s">
        <v>1087</v>
      </c>
      <c r="J108" t="s">
        <v>1088</v>
      </c>
      <c r="K108" t="s">
        <v>915</v>
      </c>
      <c r="L108" t="s">
        <v>68</v>
      </c>
    </row>
    <row r="109" spans="9:12">
      <c r="I109" t="s">
        <v>1089</v>
      </c>
      <c r="J109" t="s">
        <v>1090</v>
      </c>
      <c r="K109" t="s">
        <v>936</v>
      </c>
      <c r="L109" t="s">
        <v>183</v>
      </c>
    </row>
    <row r="110" spans="9:12">
      <c r="I110" t="s">
        <v>1091</v>
      </c>
      <c r="J110" t="s">
        <v>80</v>
      </c>
      <c r="K110" t="s">
        <v>944</v>
      </c>
      <c r="L110" t="s">
        <v>160</v>
      </c>
    </row>
    <row r="111" spans="9:12">
      <c r="I111" t="s">
        <v>1092</v>
      </c>
      <c r="J111" t="s">
        <v>1093</v>
      </c>
      <c r="K111" t="s">
        <v>948</v>
      </c>
      <c r="L111" t="s">
        <v>129</v>
      </c>
    </row>
    <row r="112" spans="9:12">
      <c r="I112" t="s">
        <v>1022</v>
      </c>
      <c r="J112" t="s">
        <v>126</v>
      </c>
      <c r="K112" t="s">
        <v>952</v>
      </c>
      <c r="L112" t="s">
        <v>162</v>
      </c>
    </row>
    <row r="113" spans="9:12">
      <c r="I113" t="s">
        <v>1023</v>
      </c>
      <c r="J113" t="s">
        <v>150</v>
      </c>
      <c r="K113" t="s">
        <v>955</v>
      </c>
      <c r="L113" t="s">
        <v>131</v>
      </c>
    </row>
    <row r="114" spans="9:12">
      <c r="I114" t="s">
        <v>1026</v>
      </c>
      <c r="J114" t="s">
        <v>123</v>
      </c>
      <c r="K114" t="s">
        <v>911</v>
      </c>
      <c r="L114" t="s">
        <v>133</v>
      </c>
    </row>
    <row r="115" spans="9:12">
      <c r="I115" t="s">
        <v>1027</v>
      </c>
      <c r="J115" t="s">
        <v>152</v>
      </c>
      <c r="K115" t="s">
        <v>912</v>
      </c>
      <c r="L115" t="s">
        <v>135</v>
      </c>
    </row>
    <row r="116" spans="9:12">
      <c r="I116" t="s">
        <v>1094</v>
      </c>
      <c r="J116" t="s">
        <v>1095</v>
      </c>
      <c r="K116" t="s">
        <v>914</v>
      </c>
      <c r="L116" t="s">
        <v>168</v>
      </c>
    </row>
    <row r="117" spans="9:12">
      <c r="I117" t="s">
        <v>913</v>
      </c>
      <c r="J117" t="s">
        <v>70</v>
      </c>
      <c r="K117" t="s">
        <v>967</v>
      </c>
      <c r="L117" t="s">
        <v>92</v>
      </c>
    </row>
    <row r="118" spans="9:12">
      <c r="I118" t="s">
        <v>915</v>
      </c>
      <c r="J118" t="s">
        <v>68</v>
      </c>
      <c r="K118" t="s">
        <v>970</v>
      </c>
      <c r="L118" t="s">
        <v>82</v>
      </c>
    </row>
    <row r="119" spans="9:12">
      <c r="I119" t="s">
        <v>986</v>
      </c>
      <c r="J119" t="s">
        <v>66</v>
      </c>
      <c r="K119" t="s">
        <v>973</v>
      </c>
      <c r="L119" t="s">
        <v>90</v>
      </c>
    </row>
    <row r="120" spans="9:12">
      <c r="I120" t="s">
        <v>1096</v>
      </c>
      <c r="J120" t="s">
        <v>1097</v>
      </c>
      <c r="K120" t="s">
        <v>1034</v>
      </c>
      <c r="L120" t="s">
        <v>1035</v>
      </c>
    </row>
    <row r="121" spans="9:12">
      <c r="I121" t="s">
        <v>1098</v>
      </c>
      <c r="J121" t="s">
        <v>1099</v>
      </c>
      <c r="K121" t="s">
        <v>976</v>
      </c>
      <c r="L121" t="s">
        <v>48</v>
      </c>
    </row>
    <row r="122" spans="9:12">
      <c r="I122" t="s">
        <v>1100</v>
      </c>
      <c r="J122" t="s">
        <v>1101</v>
      </c>
      <c r="K122" t="s">
        <v>1059</v>
      </c>
      <c r="L122" t="s">
        <v>188</v>
      </c>
    </row>
    <row r="123" spans="9:12">
      <c r="I123" t="s">
        <v>1102</v>
      </c>
      <c r="J123" t="s">
        <v>1103</v>
      </c>
      <c r="K123" t="s">
        <v>980</v>
      </c>
      <c r="L123" t="s">
        <v>31</v>
      </c>
    </row>
    <row r="124" spans="9:12">
      <c r="I124" t="s">
        <v>1104</v>
      </c>
      <c r="J124" t="s">
        <v>1105</v>
      </c>
      <c r="K124" t="s">
        <v>983</v>
      </c>
      <c r="L124" t="s">
        <v>33</v>
      </c>
    </row>
    <row r="125" spans="9:12">
      <c r="I125" t="s">
        <v>879</v>
      </c>
      <c r="J125" t="s">
        <v>78</v>
      </c>
      <c r="K125" t="s">
        <v>1031</v>
      </c>
      <c r="L125" t="s">
        <v>1032</v>
      </c>
    </row>
    <row r="126" spans="9:12">
      <c r="K126" t="s">
        <v>1057</v>
      </c>
      <c r="L126" t="s">
        <v>1058</v>
      </c>
    </row>
    <row r="127" spans="9:12">
      <c r="K127" t="s">
        <v>986</v>
      </c>
      <c r="L127" t="s">
        <v>66</v>
      </c>
    </row>
    <row r="128" spans="9:12">
      <c r="K128" t="s">
        <v>990</v>
      </c>
      <c r="L128" t="s">
        <v>145</v>
      </c>
    </row>
    <row r="129" spans="11:12">
      <c r="K129" t="s">
        <v>994</v>
      </c>
      <c r="L129" t="s">
        <v>147</v>
      </c>
    </row>
    <row r="130" spans="11:12">
      <c r="K130" t="s">
        <v>927</v>
      </c>
      <c r="L130" t="s">
        <v>72</v>
      </c>
    </row>
    <row r="131" spans="11:12">
      <c r="K131" t="s">
        <v>1000</v>
      </c>
      <c r="L131" t="s">
        <v>115</v>
      </c>
    </row>
    <row r="132" spans="11:12">
      <c r="K132" t="s">
        <v>1003</v>
      </c>
      <c r="L132" t="s">
        <v>117</v>
      </c>
    </row>
    <row r="133" spans="11:12">
      <c r="K133" t="s">
        <v>1007</v>
      </c>
      <c r="L133" t="s">
        <v>119</v>
      </c>
    </row>
    <row r="134" spans="11:12">
      <c r="K134" t="s">
        <v>1008</v>
      </c>
      <c r="L134" t="s">
        <v>154</v>
      </c>
    </row>
    <row r="135" spans="11:12">
      <c r="K135" t="s">
        <v>1009</v>
      </c>
      <c r="L135" t="s">
        <v>121</v>
      </c>
    </row>
    <row r="136" spans="11:12">
      <c r="K136" t="s">
        <v>1010</v>
      </c>
      <c r="L136" t="s">
        <v>156</v>
      </c>
    </row>
    <row r="137" spans="11:12">
      <c r="K137" t="s">
        <v>1013</v>
      </c>
      <c r="L137" t="s">
        <v>85</v>
      </c>
    </row>
    <row r="138" spans="11:12">
      <c r="K138" t="s">
        <v>1014</v>
      </c>
      <c r="L138" t="s">
        <v>87</v>
      </c>
    </row>
    <row r="139" spans="11:12">
      <c r="K139" t="s">
        <v>1017</v>
      </c>
      <c r="L139" t="s">
        <v>1018</v>
      </c>
    </row>
    <row r="140" spans="11:12">
      <c r="K140" t="s">
        <v>1021</v>
      </c>
      <c r="L140" t="s">
        <v>165</v>
      </c>
    </row>
    <row r="141" spans="11:12">
      <c r="K141" t="s">
        <v>1022</v>
      </c>
      <c r="L141" t="s">
        <v>126</v>
      </c>
    </row>
    <row r="142" spans="11:12">
      <c r="K142" t="s">
        <v>1023</v>
      </c>
      <c r="L142" t="s">
        <v>150</v>
      </c>
    </row>
    <row r="143" spans="11:12">
      <c r="K143" t="s">
        <v>1030</v>
      </c>
      <c r="L143" t="s">
        <v>137</v>
      </c>
    </row>
    <row r="144" spans="11:12">
      <c r="K144" t="s">
        <v>1033</v>
      </c>
      <c r="L144" t="s">
        <v>139</v>
      </c>
    </row>
    <row r="145" spans="11:12">
      <c r="K145" t="s">
        <v>1026</v>
      </c>
      <c r="L145" t="s">
        <v>123</v>
      </c>
    </row>
    <row r="146" spans="11:12">
      <c r="K146" t="s">
        <v>1027</v>
      </c>
      <c r="L146" t="s">
        <v>152</v>
      </c>
    </row>
  </sheetData>
  <autoFilter ref="I1:I144" xr:uid="{00000000-0009-0000-0000-000006000000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7"/>
  <dimension ref="A1:D179"/>
  <sheetViews>
    <sheetView topLeftCell="A67" workbookViewId="0">
      <selection activeCell="D43" sqref="D43"/>
    </sheetView>
  </sheetViews>
  <sheetFormatPr defaultRowHeight="15"/>
  <cols>
    <col min="1" max="1" width="40.85546875" bestFit="1" customWidth="1"/>
    <col min="2" max="3" width="5.42578125" customWidth="1"/>
    <col min="4" max="4" width="17.28515625" bestFit="1" customWidth="1"/>
  </cols>
  <sheetData>
    <row r="1" spans="1:4" ht="15.75" thickBot="1">
      <c r="A1" t="s">
        <v>1106</v>
      </c>
      <c r="B1">
        <f>FIND("pippo",A1,1)</f>
        <v>6</v>
      </c>
      <c r="C1">
        <f>IFERROR(1/B1,"ciao")</f>
        <v>0.16666666666666666</v>
      </c>
    </row>
    <row r="2" spans="1:4" ht="15.75" thickBot="1">
      <c r="A2" s="77" t="s">
        <v>1107</v>
      </c>
      <c r="B2" s="121" t="s">
        <v>1108</v>
      </c>
      <c r="C2" s="120" t="s">
        <v>1109</v>
      </c>
      <c r="D2" s="122" t="s">
        <v>1110</v>
      </c>
    </row>
    <row r="3" spans="1:4">
      <c r="A3" s="58" t="s">
        <v>13</v>
      </c>
      <c r="B3" s="129"/>
      <c r="C3" s="135"/>
      <c r="D3" s="124" t="s">
        <v>18</v>
      </c>
    </row>
    <row r="4" spans="1:4">
      <c r="A4" s="48" t="s">
        <v>21</v>
      </c>
      <c r="B4" s="131"/>
      <c r="C4" s="132"/>
      <c r="D4" s="125" t="s">
        <v>17</v>
      </c>
    </row>
    <row r="5" spans="1:4">
      <c r="A5" s="48" t="s">
        <v>24</v>
      </c>
      <c r="B5" s="131"/>
      <c r="C5" s="132"/>
      <c r="D5" s="125" t="str">
        <f>D4</f>
        <v>ASTM</v>
      </c>
    </row>
    <row r="6" spans="1:4">
      <c r="A6" s="48" t="s">
        <v>27</v>
      </c>
      <c r="B6" s="130"/>
      <c r="C6" s="132"/>
      <c r="D6" s="72" t="s">
        <v>18</v>
      </c>
    </row>
    <row r="7" spans="1:4">
      <c r="A7" s="48" t="s">
        <v>30</v>
      </c>
      <c r="B7" s="130"/>
      <c r="C7" s="132"/>
      <c r="D7" s="72" t="s">
        <v>18</v>
      </c>
    </row>
    <row r="8" spans="1:4">
      <c r="A8" s="48" t="s">
        <v>32</v>
      </c>
      <c r="B8" s="130"/>
      <c r="C8" s="132"/>
      <c r="D8" s="72" t="str">
        <f>D7</f>
        <v>ASME</v>
      </c>
    </row>
    <row r="9" spans="1:4">
      <c r="A9" s="114" t="s">
        <v>34</v>
      </c>
      <c r="B9" s="57"/>
      <c r="C9" s="132"/>
      <c r="D9" s="72" t="s">
        <v>16</v>
      </c>
    </row>
    <row r="10" spans="1:4">
      <c r="A10" s="114" t="s">
        <v>35</v>
      </c>
      <c r="B10" s="57"/>
      <c r="C10" s="132"/>
      <c r="D10" s="72" t="str">
        <f>D9</f>
        <v>-</v>
      </c>
    </row>
    <row r="11" spans="1:4">
      <c r="A11" s="114" t="s">
        <v>35</v>
      </c>
      <c r="B11" s="57"/>
      <c r="C11" s="132"/>
      <c r="D11" s="72" t="str">
        <f>D10</f>
        <v>-</v>
      </c>
    </row>
    <row r="12" spans="1:4">
      <c r="A12" s="114" t="s">
        <v>36</v>
      </c>
      <c r="B12" s="57"/>
      <c r="C12" s="132"/>
      <c r="D12" s="72" t="s">
        <v>16</v>
      </c>
    </row>
    <row r="13" spans="1:4">
      <c r="A13" s="114" t="s">
        <v>39</v>
      </c>
      <c r="B13" s="57"/>
      <c r="C13" s="132"/>
      <c r="D13" s="72" t="str">
        <f>D12</f>
        <v>-</v>
      </c>
    </row>
    <row r="14" spans="1:4">
      <c r="A14" s="114" t="s">
        <v>39</v>
      </c>
      <c r="B14" s="57"/>
      <c r="C14" s="132"/>
      <c r="D14" s="72" t="str">
        <f>D13</f>
        <v>-</v>
      </c>
    </row>
    <row r="15" spans="1:4">
      <c r="A15" s="114" t="s">
        <v>40</v>
      </c>
      <c r="B15" s="57"/>
      <c r="C15" s="132"/>
      <c r="D15" s="72" t="s">
        <v>16</v>
      </c>
    </row>
    <row r="16" spans="1:4">
      <c r="A16" s="114" t="s">
        <v>42</v>
      </c>
      <c r="B16" s="57"/>
      <c r="C16" s="132"/>
      <c r="D16" s="72" t="str">
        <f>D15</f>
        <v>-</v>
      </c>
    </row>
    <row r="17" spans="1:4">
      <c r="A17" s="114" t="s">
        <v>42</v>
      </c>
      <c r="B17" s="57"/>
      <c r="C17" s="132"/>
      <c r="D17" s="72" t="str">
        <f>D16</f>
        <v>-</v>
      </c>
    </row>
    <row r="18" spans="1:4">
      <c r="A18" s="115" t="s">
        <v>43</v>
      </c>
      <c r="B18" s="57"/>
      <c r="C18" s="56"/>
      <c r="D18" s="72" t="s">
        <v>16</v>
      </c>
    </row>
    <row r="19" spans="1:4">
      <c r="A19" s="48" t="s">
        <v>46</v>
      </c>
      <c r="B19" s="131"/>
      <c r="C19" s="132"/>
      <c r="D19" s="125" t="s">
        <v>49</v>
      </c>
    </row>
    <row r="20" spans="1:4">
      <c r="A20" s="48" t="s">
        <v>50</v>
      </c>
      <c r="B20" s="131"/>
      <c r="C20" s="132"/>
      <c r="D20" s="125" t="s">
        <v>52</v>
      </c>
    </row>
    <row r="21" spans="1:4">
      <c r="A21" s="48" t="s">
        <v>53</v>
      </c>
      <c r="B21" s="131"/>
      <c r="C21" s="132"/>
      <c r="D21" s="125" t="str">
        <f>D20</f>
        <v>GOST</v>
      </c>
    </row>
    <row r="22" spans="1:4">
      <c r="A22" s="48" t="s">
        <v>55</v>
      </c>
      <c r="B22" s="57"/>
      <c r="C22" s="98"/>
      <c r="D22" s="72" t="s">
        <v>16</v>
      </c>
    </row>
    <row r="23" spans="1:4">
      <c r="A23" s="48" t="s">
        <v>59</v>
      </c>
      <c r="B23" s="130"/>
      <c r="C23" s="56"/>
      <c r="D23" s="126" t="s">
        <v>18</v>
      </c>
    </row>
    <row r="24" spans="1:4">
      <c r="A24" s="57" t="s">
        <v>62</v>
      </c>
      <c r="B24" s="131"/>
      <c r="C24" s="132"/>
      <c r="D24" s="125" t="s">
        <v>63</v>
      </c>
    </row>
    <row r="25" spans="1:4">
      <c r="A25" s="48" t="s">
        <v>65</v>
      </c>
      <c r="B25" s="130"/>
      <c r="C25" s="56"/>
      <c r="D25" s="72" t="s">
        <v>18</v>
      </c>
    </row>
    <row r="26" spans="1:4">
      <c r="A26" s="48" t="s">
        <v>67</v>
      </c>
      <c r="B26" s="130"/>
      <c r="C26" s="56"/>
      <c r="D26" s="125" t="s">
        <v>18</v>
      </c>
    </row>
    <row r="27" spans="1:4">
      <c r="A27" s="48" t="s">
        <v>69</v>
      </c>
      <c r="B27" s="130"/>
      <c r="C27" s="56"/>
      <c r="D27" s="125" t="str">
        <f>D26</f>
        <v>ASME</v>
      </c>
    </row>
    <row r="28" spans="1:4">
      <c r="A28" s="48" t="s">
        <v>71</v>
      </c>
      <c r="B28" s="131"/>
      <c r="C28" s="132"/>
      <c r="D28" s="125" t="s">
        <v>73</v>
      </c>
    </row>
    <row r="29" spans="1:4">
      <c r="A29" s="48" t="str">
        <f>A28</f>
        <v>ASTM A576 Gr.1045</v>
      </c>
      <c r="B29" s="131"/>
      <c r="C29" s="132"/>
      <c r="D29" s="125" t="str">
        <f>D28</f>
        <v>UNS</v>
      </c>
    </row>
    <row r="30" spans="1:4">
      <c r="A30" s="48" t="str">
        <f>A29</f>
        <v>ASTM A576 Gr.1045</v>
      </c>
      <c r="B30" s="131"/>
      <c r="C30" s="132"/>
      <c r="D30" s="125" t="str">
        <f>D29</f>
        <v>UNS</v>
      </c>
    </row>
    <row r="31" spans="1:4">
      <c r="A31" s="48" t="str">
        <f>A30</f>
        <v>ASTM A576 Gr.1045</v>
      </c>
      <c r="B31" s="131"/>
      <c r="C31" s="132"/>
      <c r="D31" s="125" t="str">
        <f>D30</f>
        <v>UNS</v>
      </c>
    </row>
    <row r="32" spans="1:4">
      <c r="A32" s="48" t="s">
        <v>74</v>
      </c>
      <c r="B32" s="130"/>
      <c r="C32" s="56"/>
      <c r="D32" s="72" t="s">
        <v>18</v>
      </c>
    </row>
    <row r="33" spans="1:4">
      <c r="A33" s="48" t="s">
        <v>1046</v>
      </c>
      <c r="B33" s="130"/>
      <c r="C33" s="56"/>
      <c r="D33" s="72" t="s">
        <v>18</v>
      </c>
    </row>
    <row r="34" spans="1:4">
      <c r="A34" s="48" t="s">
        <v>76</v>
      </c>
      <c r="B34" s="130"/>
      <c r="C34" s="56"/>
      <c r="D34" s="72" t="s">
        <v>18</v>
      </c>
    </row>
    <row r="35" spans="1:4">
      <c r="A35" s="48" t="s">
        <v>79</v>
      </c>
      <c r="B35" s="130"/>
      <c r="C35" s="56"/>
      <c r="D35" s="72" t="s">
        <v>18</v>
      </c>
    </row>
    <row r="36" spans="1:4">
      <c r="A36" s="116" t="s">
        <v>81</v>
      </c>
      <c r="B36" s="57"/>
      <c r="C36" s="56"/>
      <c r="D36" s="72" t="s">
        <v>16</v>
      </c>
    </row>
    <row r="37" spans="1:4">
      <c r="A37" s="116" t="s">
        <v>81</v>
      </c>
      <c r="B37" s="57"/>
      <c r="C37" s="56"/>
      <c r="D37" s="72" t="s">
        <v>16</v>
      </c>
    </row>
    <row r="38" spans="1:4">
      <c r="A38" s="116" t="s">
        <v>81</v>
      </c>
      <c r="B38" s="57"/>
      <c r="C38" s="56"/>
      <c r="D38" s="72" t="s">
        <v>16</v>
      </c>
    </row>
    <row r="39" spans="1:4">
      <c r="A39" s="116" t="s">
        <v>81</v>
      </c>
      <c r="B39" s="130"/>
      <c r="C39" s="56"/>
      <c r="D39" s="72" t="s">
        <v>18</v>
      </c>
    </row>
    <row r="40" spans="1:4">
      <c r="A40" s="116" t="s">
        <v>81</v>
      </c>
      <c r="B40" s="57"/>
      <c r="C40" s="56"/>
      <c r="D40" s="72" t="s">
        <v>16</v>
      </c>
    </row>
    <row r="41" spans="1:4">
      <c r="A41" s="48" t="s">
        <v>83</v>
      </c>
      <c r="B41" s="130"/>
      <c r="C41" s="56"/>
      <c r="D41" s="125" t="s">
        <v>18</v>
      </c>
    </row>
    <row r="42" spans="1:4">
      <c r="A42" s="48" t="s">
        <v>86</v>
      </c>
      <c r="B42" s="130"/>
      <c r="C42" s="56"/>
      <c r="D42" s="125" t="str">
        <f>D41</f>
        <v>ASME</v>
      </c>
    </row>
    <row r="43" spans="1:4">
      <c r="A43" s="116" t="s">
        <v>88</v>
      </c>
      <c r="B43" s="57"/>
      <c r="C43" s="132"/>
      <c r="D43" s="72" t="s">
        <v>16</v>
      </c>
    </row>
    <row r="44" spans="1:4">
      <c r="A44" s="116" t="s">
        <v>88</v>
      </c>
      <c r="B44" s="57"/>
      <c r="C44" s="132"/>
      <c r="D44" s="72" t="s">
        <v>16</v>
      </c>
    </row>
    <row r="45" spans="1:4">
      <c r="A45" s="116" t="s">
        <v>88</v>
      </c>
      <c r="B45" s="57"/>
      <c r="C45" s="132"/>
      <c r="D45" s="72" t="s">
        <v>16</v>
      </c>
    </row>
    <row r="46" spans="1:4">
      <c r="A46" s="116" t="s">
        <v>88</v>
      </c>
      <c r="B46" s="57"/>
      <c r="C46" s="132"/>
      <c r="D46" s="72" t="s">
        <v>16</v>
      </c>
    </row>
    <row r="47" spans="1:4">
      <c r="A47" s="116" t="s">
        <v>88</v>
      </c>
      <c r="B47" s="57"/>
      <c r="C47" s="132"/>
      <c r="D47" s="72" t="s">
        <v>16</v>
      </c>
    </row>
    <row r="48" spans="1:4">
      <c r="A48" s="116" t="s">
        <v>89</v>
      </c>
      <c r="B48" s="57"/>
      <c r="C48" s="132"/>
      <c r="D48" s="72" t="s">
        <v>16</v>
      </c>
    </row>
    <row r="49" spans="1:4">
      <c r="A49" s="116" t="s">
        <v>89</v>
      </c>
      <c r="B49" s="57"/>
      <c r="C49" s="132"/>
      <c r="D49" s="72" t="str">
        <f>D48</f>
        <v>-</v>
      </c>
    </row>
    <row r="50" spans="1:4">
      <c r="A50" s="116" t="s">
        <v>89</v>
      </c>
      <c r="B50" s="57"/>
      <c r="C50" s="132"/>
      <c r="D50" s="72" t="str">
        <f>D49</f>
        <v>-</v>
      </c>
    </row>
    <row r="51" spans="1:4">
      <c r="A51" s="116" t="s">
        <v>89</v>
      </c>
      <c r="B51" s="57"/>
      <c r="C51" s="132"/>
      <c r="D51" s="72" t="str">
        <f>D50</f>
        <v>-</v>
      </c>
    </row>
    <row r="52" spans="1:4">
      <c r="A52" s="116" t="s">
        <v>89</v>
      </c>
      <c r="B52" s="57"/>
      <c r="C52" s="132"/>
      <c r="D52" s="72" t="str">
        <f>D51</f>
        <v>-</v>
      </c>
    </row>
    <row r="53" spans="1:4">
      <c r="A53" s="116" t="s">
        <v>91</v>
      </c>
      <c r="B53" s="57"/>
      <c r="C53" s="56"/>
      <c r="D53" s="72" t="s">
        <v>16</v>
      </c>
    </row>
    <row r="54" spans="1:4">
      <c r="A54" s="116" t="s">
        <v>91</v>
      </c>
      <c r="B54" s="57"/>
      <c r="C54" s="56"/>
      <c r="D54" s="72" t="s">
        <v>16</v>
      </c>
    </row>
    <row r="55" spans="1:4">
      <c r="A55" s="116" t="s">
        <v>91</v>
      </c>
      <c r="B55" s="57"/>
      <c r="C55" s="56"/>
      <c r="D55" s="72" t="s">
        <v>16</v>
      </c>
    </row>
    <row r="56" spans="1:4">
      <c r="A56" s="116" t="s">
        <v>91</v>
      </c>
      <c r="B56" s="57"/>
      <c r="C56" s="56"/>
      <c r="D56" s="72" t="s">
        <v>16</v>
      </c>
    </row>
    <row r="57" spans="1:4">
      <c r="A57" s="116" t="s">
        <v>91</v>
      </c>
      <c r="B57" s="57"/>
      <c r="C57" s="56"/>
      <c r="D57" s="72" t="s">
        <v>16</v>
      </c>
    </row>
    <row r="58" spans="1:4">
      <c r="A58" s="57" t="s">
        <v>93</v>
      </c>
      <c r="B58" s="130"/>
      <c r="C58" s="56"/>
      <c r="D58" s="72" t="s">
        <v>18</v>
      </c>
    </row>
    <row r="59" spans="1:4">
      <c r="A59" s="57" t="s">
        <v>93</v>
      </c>
      <c r="B59" s="130"/>
      <c r="C59" s="56"/>
      <c r="D59" s="72" t="str">
        <f>D58</f>
        <v>ASME</v>
      </c>
    </row>
    <row r="60" spans="1:4">
      <c r="A60" s="48" t="s">
        <v>95</v>
      </c>
      <c r="B60" s="130"/>
      <c r="C60" s="56"/>
      <c r="D60" s="72" t="s">
        <v>18</v>
      </c>
    </row>
    <row r="61" spans="1:4">
      <c r="A61" s="48" t="s">
        <v>96</v>
      </c>
      <c r="B61" s="57"/>
      <c r="C61" s="132"/>
      <c r="D61" s="72" t="s">
        <v>16</v>
      </c>
    </row>
    <row r="62" spans="1:4">
      <c r="A62" s="48" t="s">
        <v>97</v>
      </c>
      <c r="B62" s="57"/>
      <c r="C62" s="132"/>
      <c r="D62" s="72" t="s">
        <v>16</v>
      </c>
    </row>
    <row r="63" spans="1:4">
      <c r="A63" s="48" t="s">
        <v>98</v>
      </c>
      <c r="B63" s="57"/>
      <c r="C63" s="132"/>
      <c r="D63" s="72" t="s">
        <v>16</v>
      </c>
    </row>
    <row r="64" spans="1:4">
      <c r="A64" s="48" t="s">
        <v>99</v>
      </c>
      <c r="B64" s="57"/>
      <c r="C64" s="132"/>
      <c r="D64" s="72" t="s">
        <v>16</v>
      </c>
    </row>
    <row r="65" spans="1:4">
      <c r="A65" s="48" t="s">
        <v>100</v>
      </c>
      <c r="B65" s="57"/>
      <c r="C65" s="132"/>
      <c r="D65" s="72" t="s">
        <v>16</v>
      </c>
    </row>
    <row r="66" spans="1:4">
      <c r="A66" s="48" t="s">
        <v>101</v>
      </c>
      <c r="B66" s="57"/>
      <c r="C66" s="132"/>
      <c r="D66" s="72" t="s">
        <v>16</v>
      </c>
    </row>
    <row r="67" spans="1:4">
      <c r="A67" s="48" t="s">
        <v>102</v>
      </c>
      <c r="B67" s="57"/>
      <c r="C67" s="132"/>
      <c r="D67" s="72" t="s">
        <v>16</v>
      </c>
    </row>
    <row r="68" spans="1:4">
      <c r="A68" s="48" t="s">
        <v>103</v>
      </c>
      <c r="B68" s="57"/>
      <c r="C68" s="132"/>
      <c r="D68" s="72" t="s">
        <v>16</v>
      </c>
    </row>
    <row r="69" spans="1:4">
      <c r="A69" s="57" t="s">
        <v>104</v>
      </c>
      <c r="B69" s="131"/>
      <c r="C69" s="132"/>
      <c r="D69" s="125" t="s">
        <v>106</v>
      </c>
    </row>
    <row r="70" spans="1:4">
      <c r="A70" s="57" t="s">
        <v>107</v>
      </c>
      <c r="B70" s="57"/>
      <c r="C70" s="56"/>
      <c r="D70" s="72" t="s">
        <v>16</v>
      </c>
    </row>
    <row r="71" spans="1:4">
      <c r="A71" s="57" t="s">
        <v>107</v>
      </c>
      <c r="B71" s="57"/>
      <c r="C71" s="56"/>
      <c r="D71" s="72" t="str">
        <f>D70</f>
        <v>-</v>
      </c>
    </row>
    <row r="72" spans="1:4">
      <c r="A72" s="57" t="s">
        <v>107</v>
      </c>
      <c r="B72" s="57"/>
      <c r="C72" s="56"/>
      <c r="D72" s="72" t="str">
        <f>D70</f>
        <v>-</v>
      </c>
    </row>
    <row r="73" spans="1:4">
      <c r="A73" s="57" t="s">
        <v>108</v>
      </c>
      <c r="B73" s="57"/>
      <c r="C73" s="132"/>
      <c r="D73" s="72"/>
    </row>
    <row r="74" spans="1:4">
      <c r="A74" s="57" t="s">
        <v>108</v>
      </c>
      <c r="B74" s="57"/>
      <c r="C74" s="132"/>
      <c r="D74" s="72"/>
    </row>
    <row r="75" spans="1:4">
      <c r="A75" s="57" t="s">
        <v>108</v>
      </c>
      <c r="B75" s="57"/>
      <c r="C75" s="132"/>
      <c r="D75" s="72"/>
    </row>
    <row r="76" spans="1:4">
      <c r="A76" s="57" t="s">
        <v>108</v>
      </c>
      <c r="B76" s="57"/>
      <c r="C76" s="132"/>
      <c r="D76" s="72"/>
    </row>
    <row r="77" spans="1:4">
      <c r="A77" s="57" t="s">
        <v>108</v>
      </c>
      <c r="B77" s="57"/>
      <c r="C77" s="132"/>
      <c r="D77" s="72"/>
    </row>
    <row r="78" spans="1:4">
      <c r="A78" s="57" t="s">
        <v>110</v>
      </c>
      <c r="B78" s="131"/>
      <c r="C78" s="132"/>
      <c r="D78" s="125" t="s">
        <v>52</v>
      </c>
    </row>
    <row r="79" spans="1:4">
      <c r="A79" s="57" t="s">
        <v>110</v>
      </c>
      <c r="B79" s="131"/>
      <c r="C79" s="132"/>
      <c r="D79" s="125" t="str">
        <f>D78</f>
        <v>GOST</v>
      </c>
    </row>
    <row r="80" spans="1:4">
      <c r="A80" s="57" t="s">
        <v>110</v>
      </c>
      <c r="B80" s="131"/>
      <c r="C80" s="132"/>
      <c r="D80" s="125" t="str">
        <f>D79</f>
        <v>GOST</v>
      </c>
    </row>
    <row r="81" spans="1:4">
      <c r="A81" s="57" t="s">
        <v>110</v>
      </c>
      <c r="B81" s="131"/>
      <c r="C81" s="132"/>
      <c r="D81" s="125" t="str">
        <f>D80</f>
        <v>GOST</v>
      </c>
    </row>
    <row r="82" spans="1:4">
      <c r="A82" s="57" t="s">
        <v>111</v>
      </c>
      <c r="B82" s="131"/>
      <c r="C82" s="132"/>
      <c r="D82" s="125" t="s">
        <v>63</v>
      </c>
    </row>
    <row r="83" spans="1:4">
      <c r="A83" s="57" t="s">
        <v>111</v>
      </c>
      <c r="B83" s="131"/>
      <c r="C83" s="132"/>
      <c r="D83" s="125" t="s">
        <v>63</v>
      </c>
    </row>
    <row r="84" spans="1:4">
      <c r="A84" s="57" t="s">
        <v>111</v>
      </c>
      <c r="B84" s="131"/>
      <c r="C84" s="132"/>
      <c r="D84" s="125" t="s">
        <v>63</v>
      </c>
    </row>
    <row r="85" spans="1:4">
      <c r="A85" s="57" t="s">
        <v>111</v>
      </c>
      <c r="B85" s="131"/>
      <c r="C85" s="132"/>
      <c r="D85" s="125" t="s">
        <v>63</v>
      </c>
    </row>
    <row r="86" spans="1:4">
      <c r="A86" s="57" t="s">
        <v>112</v>
      </c>
      <c r="B86" s="130"/>
      <c r="C86" s="56"/>
      <c r="D86" s="72" t="s">
        <v>18</v>
      </c>
    </row>
    <row r="87" spans="1:4">
      <c r="A87" s="57" t="s">
        <v>114</v>
      </c>
      <c r="B87" s="131"/>
      <c r="C87" s="56"/>
      <c r="D87" s="125" t="s">
        <v>63</v>
      </c>
    </row>
    <row r="88" spans="1:4">
      <c r="A88" s="57" t="s">
        <v>116</v>
      </c>
      <c r="B88" s="131"/>
      <c r="C88" s="56"/>
      <c r="D88" s="125" t="str">
        <f>D87</f>
        <v>JIS</v>
      </c>
    </row>
    <row r="89" spans="1:4">
      <c r="A89" s="57" t="s">
        <v>118</v>
      </c>
      <c r="B89" s="131"/>
      <c r="C89" s="56"/>
      <c r="D89" s="125" t="s">
        <v>63</v>
      </c>
    </row>
    <row r="90" spans="1:4">
      <c r="A90" s="57" t="s">
        <v>120</v>
      </c>
      <c r="B90" s="131"/>
      <c r="C90" s="56"/>
      <c r="D90" s="125" t="str">
        <f>D89</f>
        <v>JIS</v>
      </c>
    </row>
    <row r="91" spans="1:4">
      <c r="A91" s="117" t="s">
        <v>122</v>
      </c>
      <c r="B91" s="57"/>
      <c r="C91" s="56"/>
      <c r="D91" s="72" t="s">
        <v>16</v>
      </c>
    </row>
    <row r="92" spans="1:4">
      <c r="A92" s="57" t="s">
        <v>124</v>
      </c>
      <c r="B92" s="130"/>
      <c r="C92" s="56"/>
      <c r="D92" s="72" t="s">
        <v>18</v>
      </c>
    </row>
    <row r="93" spans="1:4">
      <c r="A93" s="117" t="s">
        <v>125</v>
      </c>
      <c r="B93" s="57"/>
      <c r="C93" s="56"/>
      <c r="D93" s="72" t="s">
        <v>16</v>
      </c>
    </row>
    <row r="94" spans="1:4">
      <c r="A94" s="57" t="s">
        <v>127</v>
      </c>
      <c r="B94" s="57"/>
      <c r="C94" s="132"/>
      <c r="D94" s="126" t="s">
        <v>16</v>
      </c>
    </row>
    <row r="95" spans="1:4">
      <c r="A95" s="57" t="s">
        <v>128</v>
      </c>
      <c r="B95" s="130"/>
      <c r="C95" s="56"/>
      <c r="D95" s="72" t="s">
        <v>18</v>
      </c>
    </row>
    <row r="96" spans="1:4">
      <c r="A96" s="57" t="s">
        <v>130</v>
      </c>
      <c r="B96" s="130"/>
      <c r="C96" s="56"/>
      <c r="D96" s="72" t="str">
        <f>D95</f>
        <v>ASME</v>
      </c>
    </row>
    <row r="97" spans="1:4">
      <c r="A97" s="57" t="s">
        <v>132</v>
      </c>
      <c r="B97" s="130"/>
      <c r="C97" s="56"/>
      <c r="D97" s="72" t="s">
        <v>18</v>
      </c>
    </row>
    <row r="98" spans="1:4">
      <c r="A98" s="57" t="s">
        <v>134</v>
      </c>
      <c r="B98" s="130"/>
      <c r="C98" s="98"/>
      <c r="D98" s="72" t="str">
        <f>D97</f>
        <v>ASME</v>
      </c>
    </row>
    <row r="99" spans="1:4">
      <c r="A99" s="57" t="s">
        <v>136</v>
      </c>
      <c r="B99" s="131"/>
      <c r="C99" s="56"/>
      <c r="D99" s="125" t="s">
        <v>18</v>
      </c>
    </row>
    <row r="100" spans="1:4">
      <c r="A100" s="57" t="s">
        <v>138</v>
      </c>
      <c r="B100" s="131"/>
      <c r="C100" s="56"/>
      <c r="D100" s="125" t="str">
        <f>D99</f>
        <v>ASME</v>
      </c>
    </row>
    <row r="101" spans="1:4">
      <c r="A101" s="57" t="s">
        <v>140</v>
      </c>
      <c r="B101" s="130"/>
      <c r="C101" s="56"/>
      <c r="D101" s="72" t="s">
        <v>18</v>
      </c>
    </row>
    <row r="102" spans="1:4">
      <c r="A102" s="57" t="s">
        <v>142</v>
      </c>
      <c r="B102" s="130"/>
      <c r="C102" s="56"/>
      <c r="D102" s="72" t="str">
        <f>D101</f>
        <v>ASME</v>
      </c>
    </row>
    <row r="103" spans="1:4">
      <c r="A103" s="117" t="s">
        <v>144</v>
      </c>
      <c r="B103" s="57"/>
      <c r="C103" s="56"/>
      <c r="D103" s="72" t="s">
        <v>16</v>
      </c>
    </row>
    <row r="104" spans="1:4">
      <c r="A104" s="117" t="s">
        <v>146</v>
      </c>
      <c r="B104" s="57"/>
      <c r="C104" s="56"/>
      <c r="D104" s="72" t="str">
        <f>D103</f>
        <v>-</v>
      </c>
    </row>
    <row r="105" spans="1:4">
      <c r="A105" s="117" t="s">
        <v>148</v>
      </c>
      <c r="B105" s="57"/>
      <c r="C105" s="56"/>
      <c r="D105" s="72" t="s">
        <v>16</v>
      </c>
    </row>
    <row r="106" spans="1:4">
      <c r="A106" s="57" t="s">
        <v>149</v>
      </c>
      <c r="B106" s="131"/>
      <c r="C106" s="56"/>
      <c r="D106" s="125" t="s">
        <v>17</v>
      </c>
    </row>
    <row r="107" spans="1:4">
      <c r="A107" s="57" t="s">
        <v>151</v>
      </c>
      <c r="B107" s="131"/>
      <c r="C107" s="56"/>
      <c r="D107" s="125" t="s">
        <v>17</v>
      </c>
    </row>
    <row r="108" spans="1:4">
      <c r="A108" s="57" t="s">
        <v>153</v>
      </c>
      <c r="B108" s="131"/>
      <c r="C108" s="56"/>
      <c r="D108" s="125" t="s">
        <v>17</v>
      </c>
    </row>
    <row r="109" spans="1:4">
      <c r="A109" s="57" t="s">
        <v>155</v>
      </c>
      <c r="B109" s="131"/>
      <c r="C109" s="56"/>
      <c r="D109" s="125" t="str">
        <f>D108</f>
        <v>ASTM</v>
      </c>
    </row>
    <row r="110" spans="1:4">
      <c r="A110" s="57" t="s">
        <v>157</v>
      </c>
      <c r="B110" s="57"/>
      <c r="C110" s="56"/>
      <c r="D110" s="72" t="s">
        <v>16</v>
      </c>
    </row>
    <row r="111" spans="1:4">
      <c r="A111" s="57" t="s">
        <v>158</v>
      </c>
      <c r="B111" s="57"/>
      <c r="C111" s="56"/>
      <c r="D111" s="72" t="s">
        <v>16</v>
      </c>
    </row>
    <row r="112" spans="1:4">
      <c r="A112" s="57" t="s">
        <v>159</v>
      </c>
      <c r="B112" s="130"/>
      <c r="C112" s="56"/>
      <c r="D112" s="72" t="s">
        <v>18</v>
      </c>
    </row>
    <row r="113" spans="1:4">
      <c r="A113" s="57" t="s">
        <v>161</v>
      </c>
      <c r="B113" s="130"/>
      <c r="C113" s="56"/>
      <c r="D113" s="72" t="str">
        <f>D112</f>
        <v>ASME</v>
      </c>
    </row>
    <row r="114" spans="1:4">
      <c r="A114" s="57" t="s">
        <v>163</v>
      </c>
      <c r="B114" s="131"/>
      <c r="C114" s="56"/>
      <c r="D114" s="125" t="s">
        <v>17</v>
      </c>
    </row>
    <row r="115" spans="1:4">
      <c r="A115" s="57" t="s">
        <v>164</v>
      </c>
      <c r="B115" s="131"/>
      <c r="C115" s="56"/>
      <c r="D115" s="125" t="s">
        <v>18</v>
      </c>
    </row>
    <row r="116" spans="1:4">
      <c r="A116" s="57" t="s">
        <v>166</v>
      </c>
      <c r="B116" s="131"/>
      <c r="C116" s="56"/>
      <c r="D116" s="125" t="s">
        <v>18</v>
      </c>
    </row>
    <row r="117" spans="1:4">
      <c r="A117" s="57" t="s">
        <v>167</v>
      </c>
      <c r="B117" s="130"/>
      <c r="C117" s="56"/>
      <c r="D117" s="72" t="s">
        <v>18</v>
      </c>
    </row>
    <row r="118" spans="1:4">
      <c r="A118" s="57" t="s">
        <v>169</v>
      </c>
      <c r="B118" s="131"/>
      <c r="C118" s="132"/>
      <c r="D118" s="127" t="s">
        <v>63</v>
      </c>
    </row>
    <row r="119" spans="1:4">
      <c r="A119" s="116" t="s">
        <v>170</v>
      </c>
      <c r="B119" s="57"/>
      <c r="C119" s="56"/>
      <c r="D119" s="72" t="str">
        <f>D15</f>
        <v>-</v>
      </c>
    </row>
    <row r="120" spans="1:4">
      <c r="A120" s="116" t="s">
        <v>170</v>
      </c>
      <c r="B120" s="57"/>
      <c r="C120" s="56"/>
      <c r="D120" s="72" t="str">
        <f>D16</f>
        <v>-</v>
      </c>
    </row>
    <row r="121" spans="1:4">
      <c r="A121" s="116" t="s">
        <v>170</v>
      </c>
      <c r="B121" s="57"/>
      <c r="C121" s="56"/>
      <c r="D121" s="72" t="str">
        <f>D17</f>
        <v>-</v>
      </c>
    </row>
    <row r="122" spans="1:4">
      <c r="A122" s="57" t="s">
        <v>171</v>
      </c>
      <c r="B122" s="130"/>
      <c r="C122" s="56"/>
      <c r="D122" s="72" t="s">
        <v>18</v>
      </c>
    </row>
    <row r="123" spans="1:4">
      <c r="A123" s="57" t="s">
        <v>171</v>
      </c>
      <c r="B123" s="130"/>
      <c r="C123" s="56"/>
      <c r="D123" s="72" t="str">
        <f>D122</f>
        <v>ASME</v>
      </c>
    </row>
    <row r="124" spans="1:4">
      <c r="A124" s="57" t="s">
        <v>171</v>
      </c>
      <c r="B124" s="130"/>
      <c r="C124" s="56"/>
      <c r="D124" s="72" t="str">
        <f>D123</f>
        <v>ASME</v>
      </c>
    </row>
    <row r="125" spans="1:4">
      <c r="A125" s="57" t="s">
        <v>173</v>
      </c>
      <c r="B125" s="130"/>
      <c r="C125" s="56"/>
      <c r="D125" s="72" t="s">
        <v>18</v>
      </c>
    </row>
    <row r="126" spans="1:4">
      <c r="A126" s="57" t="s">
        <v>174</v>
      </c>
      <c r="B126" s="131"/>
      <c r="C126" s="56"/>
      <c r="D126" s="128" t="s">
        <v>17</v>
      </c>
    </row>
    <row r="127" spans="1:4">
      <c r="A127" s="57" t="s">
        <v>175</v>
      </c>
      <c r="B127" s="130"/>
      <c r="C127" s="56"/>
      <c r="D127" s="72" t="s">
        <v>18</v>
      </c>
    </row>
    <row r="128" spans="1:4">
      <c r="A128" s="57" t="s">
        <v>175</v>
      </c>
      <c r="B128" s="130"/>
      <c r="C128" s="56"/>
      <c r="D128" s="72" t="str">
        <f>D127</f>
        <v>ASME</v>
      </c>
    </row>
    <row r="129" spans="1:4">
      <c r="A129" s="57" t="s">
        <v>175</v>
      </c>
      <c r="B129" s="130"/>
      <c r="C129" s="56"/>
      <c r="D129" s="72" t="str">
        <f>D128</f>
        <v>ASME</v>
      </c>
    </row>
    <row r="130" spans="1:4">
      <c r="A130" s="57" t="s">
        <v>175</v>
      </c>
      <c r="B130" s="130"/>
      <c r="C130" s="56"/>
      <c r="D130" s="72" t="str">
        <f>D129</f>
        <v>ASME</v>
      </c>
    </row>
    <row r="131" spans="1:4">
      <c r="A131" s="57" t="s">
        <v>176</v>
      </c>
      <c r="B131" s="130"/>
      <c r="C131" s="56"/>
      <c r="D131" s="72" t="s">
        <v>18</v>
      </c>
    </row>
    <row r="132" spans="1:4">
      <c r="A132" s="57" t="s">
        <v>176</v>
      </c>
      <c r="B132" s="130"/>
      <c r="C132" s="56"/>
      <c r="D132" s="72" t="str">
        <f>D131</f>
        <v>ASME</v>
      </c>
    </row>
    <row r="133" spans="1:4">
      <c r="A133" s="57" t="s">
        <v>176</v>
      </c>
      <c r="B133" s="130"/>
      <c r="C133" s="56"/>
      <c r="D133" s="72" t="str">
        <f>D132</f>
        <v>ASME</v>
      </c>
    </row>
    <row r="134" spans="1:4">
      <c r="A134" s="57" t="s">
        <v>176</v>
      </c>
      <c r="B134" s="130"/>
      <c r="C134" s="56"/>
      <c r="D134" s="72" t="str">
        <f>D133</f>
        <v>ASME</v>
      </c>
    </row>
    <row r="135" spans="1:4">
      <c r="A135" s="57" t="s">
        <v>177</v>
      </c>
      <c r="B135" s="130"/>
      <c r="C135" s="56"/>
      <c r="D135" s="72" t="s">
        <v>18</v>
      </c>
    </row>
    <row r="136" spans="1:4">
      <c r="A136" s="57" t="s">
        <v>179</v>
      </c>
      <c r="B136" s="130"/>
      <c r="C136" s="56"/>
      <c r="D136" s="72" t="s">
        <v>18</v>
      </c>
    </row>
    <row r="137" spans="1:4">
      <c r="A137" s="57" t="s">
        <v>181</v>
      </c>
      <c r="B137" s="130"/>
      <c r="C137" s="56"/>
      <c r="D137" s="72" t="s">
        <v>18</v>
      </c>
    </row>
    <row r="138" spans="1:4">
      <c r="A138" s="57" t="s">
        <v>181</v>
      </c>
      <c r="B138" s="130"/>
      <c r="C138" s="56"/>
      <c r="D138" s="72" t="str">
        <f>D137</f>
        <v>ASME</v>
      </c>
    </row>
    <row r="139" spans="1:4">
      <c r="A139" s="57" t="s">
        <v>182</v>
      </c>
      <c r="B139" s="130"/>
      <c r="C139" s="56"/>
      <c r="D139" s="72" t="s">
        <v>18</v>
      </c>
    </row>
    <row r="140" spans="1:4">
      <c r="A140" s="57" t="s">
        <v>184</v>
      </c>
      <c r="B140" s="130"/>
      <c r="C140" s="56"/>
      <c r="D140" s="72" t="s">
        <v>18</v>
      </c>
    </row>
    <row r="141" spans="1:4">
      <c r="A141" s="57" t="s">
        <v>184</v>
      </c>
      <c r="B141" s="130"/>
      <c r="C141" s="56"/>
      <c r="D141" s="72" t="str">
        <f>D140</f>
        <v>ASME</v>
      </c>
    </row>
    <row r="142" spans="1:4">
      <c r="A142" s="57" t="s">
        <v>184</v>
      </c>
      <c r="B142" s="130"/>
      <c r="C142" s="56"/>
      <c r="D142" s="72" t="str">
        <f>D141</f>
        <v>ASME</v>
      </c>
    </row>
    <row r="143" spans="1:4">
      <c r="A143" s="57" t="s">
        <v>184</v>
      </c>
      <c r="B143" s="130"/>
      <c r="C143" s="56"/>
      <c r="D143" s="72" t="str">
        <f>D142</f>
        <v>ASME</v>
      </c>
    </row>
    <row r="144" spans="1:4">
      <c r="A144" s="57" t="s">
        <v>185</v>
      </c>
      <c r="B144" s="130"/>
      <c r="C144" s="56"/>
      <c r="D144" s="72" t="s">
        <v>18</v>
      </c>
    </row>
    <row r="145" spans="1:4">
      <c r="A145" s="57" t="s">
        <v>186</v>
      </c>
      <c r="B145" s="130"/>
      <c r="C145" s="56"/>
      <c r="D145" s="72" t="s">
        <v>18</v>
      </c>
    </row>
    <row r="146" spans="1:4">
      <c r="A146" s="57" t="s">
        <v>189</v>
      </c>
      <c r="B146" s="130"/>
      <c r="C146" s="56"/>
      <c r="D146" s="72" t="s">
        <v>18</v>
      </c>
    </row>
    <row r="147" spans="1:4">
      <c r="A147" s="57" t="s">
        <v>189</v>
      </c>
      <c r="B147" s="130"/>
      <c r="C147" s="56"/>
      <c r="D147" s="72" t="str">
        <f>D146</f>
        <v>ASME</v>
      </c>
    </row>
    <row r="148" spans="1:4">
      <c r="A148" s="57" t="s">
        <v>189</v>
      </c>
      <c r="B148" s="130"/>
      <c r="C148" s="56"/>
      <c r="D148" s="72" t="str">
        <f>D147</f>
        <v>ASME</v>
      </c>
    </row>
    <row r="149" spans="1:4">
      <c r="A149" s="57" t="s">
        <v>189</v>
      </c>
      <c r="B149" s="130"/>
      <c r="C149" s="56"/>
      <c r="D149" s="72" t="str">
        <f>D148</f>
        <v>ASME</v>
      </c>
    </row>
    <row r="150" spans="1:4">
      <c r="A150" s="57" t="s">
        <v>190</v>
      </c>
      <c r="B150" s="57"/>
      <c r="C150" s="56"/>
      <c r="D150" s="72" t="s">
        <v>16</v>
      </c>
    </row>
    <row r="151" spans="1:4">
      <c r="A151" s="57" t="s">
        <v>93</v>
      </c>
      <c r="B151" s="130"/>
      <c r="C151" s="56"/>
      <c r="D151" s="72" t="s">
        <v>18</v>
      </c>
    </row>
    <row r="152" spans="1:4">
      <c r="A152" s="57" t="s">
        <v>93</v>
      </c>
      <c r="B152" s="130"/>
      <c r="C152" s="56"/>
      <c r="D152" s="72" t="str">
        <f>D151</f>
        <v>ASME</v>
      </c>
    </row>
    <row r="153" spans="1:4">
      <c r="A153" s="57" t="s">
        <v>191</v>
      </c>
      <c r="B153" s="130"/>
      <c r="C153" s="56"/>
      <c r="D153" s="72" t="str">
        <f>D6</f>
        <v>ASME</v>
      </c>
    </row>
    <row r="154" spans="1:4">
      <c r="A154" s="57" t="s">
        <v>192</v>
      </c>
      <c r="B154" s="130"/>
      <c r="C154" s="56"/>
      <c r="D154" s="72" t="s">
        <v>18</v>
      </c>
    </row>
    <row r="155" spans="1:4">
      <c r="A155" s="118" t="s">
        <v>193</v>
      </c>
      <c r="B155" s="57"/>
      <c r="C155" s="56"/>
      <c r="D155" s="72" t="s">
        <v>16</v>
      </c>
    </row>
    <row r="156" spans="1:4">
      <c r="A156" s="57" t="s">
        <v>194</v>
      </c>
      <c r="B156" s="57"/>
      <c r="C156" s="56"/>
      <c r="D156" s="72" t="s">
        <v>16</v>
      </c>
    </row>
    <row r="157" spans="1:4">
      <c r="A157" s="57" t="s">
        <v>195</v>
      </c>
      <c r="B157" s="57"/>
      <c r="C157" s="132"/>
      <c r="D157" s="72" t="s">
        <v>16</v>
      </c>
    </row>
    <row r="158" spans="1:4">
      <c r="A158" s="57" t="s">
        <v>195</v>
      </c>
      <c r="B158" s="57"/>
      <c r="C158" s="132"/>
      <c r="D158" s="72" t="str">
        <f>D157</f>
        <v>-</v>
      </c>
    </row>
    <row r="159" spans="1:4">
      <c r="A159" s="57" t="s">
        <v>196</v>
      </c>
      <c r="B159" s="57"/>
      <c r="C159" s="132"/>
      <c r="D159" s="72" t="s">
        <v>16</v>
      </c>
    </row>
    <row r="160" spans="1:4">
      <c r="A160" s="119" t="s">
        <v>197</v>
      </c>
      <c r="B160" s="131"/>
      <c r="C160" s="132"/>
      <c r="D160" s="125" t="s">
        <v>17</v>
      </c>
    </row>
    <row r="161" spans="1:4">
      <c r="A161" s="57" t="s">
        <v>198</v>
      </c>
      <c r="B161" s="131"/>
      <c r="C161" s="132"/>
      <c r="D161" s="127" t="s">
        <v>63</v>
      </c>
    </row>
    <row r="162" spans="1:4">
      <c r="A162" s="57" t="s">
        <v>199</v>
      </c>
      <c r="B162" s="130"/>
      <c r="C162" s="132"/>
      <c r="D162" s="85" t="s">
        <v>200</v>
      </c>
    </row>
    <row r="163" spans="1:4">
      <c r="A163" s="57" t="s">
        <v>199</v>
      </c>
      <c r="B163" s="130"/>
      <c r="C163" s="132"/>
      <c r="D163" s="85" t="str">
        <f>D162</f>
        <v>AFCEN</v>
      </c>
    </row>
    <row r="164" spans="1:4">
      <c r="A164" s="57" t="s">
        <v>199</v>
      </c>
      <c r="B164" s="130"/>
      <c r="C164" s="132"/>
      <c r="D164" s="85" t="str">
        <f>D163</f>
        <v>AFCEN</v>
      </c>
    </row>
    <row r="165" spans="1:4">
      <c r="A165" s="57" t="s">
        <v>199</v>
      </c>
      <c r="B165" s="130"/>
      <c r="C165" s="132"/>
      <c r="D165" s="85" t="str">
        <f>D164</f>
        <v>AFCEN</v>
      </c>
    </row>
    <row r="166" spans="1:4">
      <c r="A166" s="57" t="s">
        <v>199</v>
      </c>
      <c r="B166" s="130"/>
      <c r="C166" s="132"/>
      <c r="D166" s="85" t="str">
        <f>D165</f>
        <v>AFCEN</v>
      </c>
    </row>
    <row r="167" spans="1:4">
      <c r="A167" s="57" t="s">
        <v>201</v>
      </c>
      <c r="B167" s="130"/>
      <c r="C167" s="56"/>
      <c r="D167" s="85" t="str">
        <f>D7</f>
        <v>ASME</v>
      </c>
    </row>
    <row r="168" spans="1:4">
      <c r="A168" s="57" t="s">
        <v>202</v>
      </c>
      <c r="B168" s="130"/>
      <c r="C168" s="56"/>
      <c r="D168" s="72" t="s">
        <v>18</v>
      </c>
    </row>
    <row r="169" spans="1:4">
      <c r="A169" s="57" t="s">
        <v>202</v>
      </c>
      <c r="B169" s="130"/>
      <c r="C169" s="56"/>
      <c r="D169" s="72" t="str">
        <f>D168</f>
        <v>ASME</v>
      </c>
    </row>
    <row r="170" spans="1:4">
      <c r="A170" s="57" t="s">
        <v>202</v>
      </c>
      <c r="B170" s="130"/>
      <c r="C170" s="56"/>
      <c r="D170" s="72" t="str">
        <f>D169</f>
        <v>ASME</v>
      </c>
    </row>
    <row r="171" spans="1:4">
      <c r="A171" s="57" t="s">
        <v>186</v>
      </c>
      <c r="B171" s="130"/>
      <c r="C171" s="56"/>
      <c r="D171" s="72" t="s">
        <v>18</v>
      </c>
    </row>
    <row r="172" spans="1:4">
      <c r="A172" s="57" t="s">
        <v>203</v>
      </c>
      <c r="B172" s="130"/>
      <c r="C172" s="56"/>
      <c r="D172" s="72" t="s">
        <v>18</v>
      </c>
    </row>
    <row r="173" spans="1:4">
      <c r="A173" s="57" t="s">
        <v>204</v>
      </c>
      <c r="B173" s="131"/>
      <c r="C173" s="56"/>
      <c r="D173" s="125" t="s">
        <v>17</v>
      </c>
    </row>
    <row r="174" spans="1:4">
      <c r="A174" s="57" t="s">
        <v>205</v>
      </c>
      <c r="B174" s="57"/>
      <c r="C174" s="132"/>
      <c r="D174" s="72" t="s">
        <v>16</v>
      </c>
    </row>
    <row r="175" spans="1:4">
      <c r="A175" s="57" t="s">
        <v>206</v>
      </c>
      <c r="B175" s="131"/>
      <c r="C175" s="132"/>
      <c r="D175" s="125" t="s">
        <v>63</v>
      </c>
    </row>
    <row r="176" spans="1:4">
      <c r="A176" s="57" t="s">
        <v>207</v>
      </c>
      <c r="B176" s="57"/>
      <c r="C176" s="132"/>
      <c r="D176" s="72" t="s">
        <v>16</v>
      </c>
    </row>
    <row r="177" spans="1:4">
      <c r="A177" s="57" t="s">
        <v>207</v>
      </c>
      <c r="B177" s="57"/>
      <c r="C177" s="132"/>
      <c r="D177" s="72" t="str">
        <f>D176</f>
        <v>-</v>
      </c>
    </row>
    <row r="178" spans="1:4">
      <c r="A178" s="48" t="s">
        <v>208</v>
      </c>
      <c r="B178" s="57"/>
      <c r="C178" s="132"/>
      <c r="D178" s="72" t="s">
        <v>16</v>
      </c>
    </row>
    <row r="179" spans="1:4" ht="15.75" thickBot="1">
      <c r="A179" s="74" t="s">
        <v>208</v>
      </c>
      <c r="B179" s="134"/>
      <c r="C179" s="133"/>
      <c r="D179" s="90" t="s">
        <v>16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FF5BB9810E8454BA2B38D00B6D18848" ma:contentTypeVersion="6" ma:contentTypeDescription="Creare un nuovo documento." ma:contentTypeScope="" ma:versionID="5959e6fb93a771ea9910863eada1ef6d">
  <xsd:schema xmlns:xsd="http://www.w3.org/2001/XMLSchema" xmlns:xs="http://www.w3.org/2001/XMLSchema" xmlns:p="http://schemas.microsoft.com/office/2006/metadata/properties" xmlns:ns2="427a1db5-2437-44f3-a84b-464aead4a71a" targetNamespace="http://schemas.microsoft.com/office/2006/metadata/properties" ma:root="true" ma:fieldsID="bc4b2af789365d70eea7d3ed71c96420" ns2:_="">
    <xsd:import namespace="427a1db5-2437-44f3-a84b-464aead4a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7a1db5-2437-44f3-a84b-464aead4a7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79A797C-007D-4290-8F79-F3FB4F99C957}"/>
</file>

<file path=customXml/itemProps2.xml><?xml version="1.0" encoding="utf-8"?>
<ds:datastoreItem xmlns:ds="http://schemas.openxmlformats.org/officeDocument/2006/customXml" ds:itemID="{FEC0251F-2B51-418E-B997-C28995F88DB1}"/>
</file>

<file path=customXml/itemProps3.xml><?xml version="1.0" encoding="utf-8"?>
<ds:datastoreItem xmlns:ds="http://schemas.openxmlformats.org/officeDocument/2006/customXml" ds:itemID="{B213C5D3-98AF-427C-8691-6351B6B9187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2006-09-16T00:00:00Z</dcterms:created>
  <dcterms:modified xsi:type="dcterms:W3CDTF">2026-02-19T12:54:06Z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0x0101003FF5BB9810E8454BA2B38D00B6D18848</vt:lpwstr>
  </property>
</Properties>
</file>