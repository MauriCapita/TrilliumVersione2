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uriziocapitanio/trillium/AI-doc/"/>
    </mc:Choice>
  </mc:AlternateContent>
  <xr:revisionPtr revIDLastSave="0" documentId="13_ncr:1_{9BB7A156-91CF-554D-B04C-39985E1CB1C8}" xr6:coauthVersionLast="47" xr6:coauthVersionMax="47" xr10:uidLastSave="{00000000-0000-0000-0000-000000000000}"/>
  <bookViews>
    <workbookView xWindow="0" yWindow="740" windowWidth="30240" windowHeight="18900" tabRatio="577" activeTab="1" xr2:uid="{00000000-000D-0000-FFFF-FFFF00000000}"/>
  </bookViews>
  <sheets>
    <sheet name="Cover" sheetId="7" r:id="rId1"/>
    <sheet name="Input_Output" sheetId="5" r:id="rId2"/>
    <sheet name="Metric_Conversion" sheetId="13" r:id="rId3"/>
    <sheet name="Gulich-Fig.10.6" sheetId="9" r:id="rId4"/>
    <sheet name="setup" sheetId="6" r:id="rId5"/>
  </sheets>
  <functionGroups builtInGroupCount="19"/>
  <externalReferences>
    <externalReference r:id="rId6"/>
    <externalReference r:id="rId7"/>
    <externalReference r:id="rId8"/>
    <externalReference r:id="rId9"/>
    <externalReference r:id="rId10"/>
  </externalReferences>
  <definedNames>
    <definedName name="_bga2">#REF!</definedName>
    <definedName name="_xleta.AND" hidden="1" xlm="1">#NAME?</definedName>
    <definedName name="_xleta.EXP" hidden="1" xlm="1">#NAME?</definedName>
    <definedName name="_xleta.IF" hidden="1" xlm="1">#NAME?</definedName>
    <definedName name="_xleta.LOG" hidden="1" xlm="1">#NAME?</definedName>
    <definedName name="a">#REF!</definedName>
    <definedName name="Ac">#REF!</definedName>
    <definedName name="adsv">#REF!</definedName>
    <definedName name="_xlnm.Print_Area" localSheetId="0">Cover!$A$1:$AD$48</definedName>
    <definedName name="_xlnm.Print_Area" localSheetId="1">Input_Output!$B$3:$M$63</definedName>
    <definedName name="_xlnm.Print_Area" localSheetId="2">Metric_Conversion!$B$3:$M$66</definedName>
    <definedName name="asdfg">[1]DAF!$F$17:$F$20</definedName>
    <definedName name="bga">#REF!</definedName>
    <definedName name="bp">#REF!</definedName>
    <definedName name="CK">#REF!</definedName>
    <definedName name="d">#REF!</definedName>
    <definedName name="das">#REF!</definedName>
    <definedName name="ddd">'[2]From RPI'!$AB$90</definedName>
    <definedName name="Doc_type">#REF!</definedName>
    <definedName name="DOCID">[3]listes!$C$2:$C$150</definedName>
    <definedName name="dpt_code">#REF!</definedName>
    <definedName name="EQPT_LIST_UNIT_31">#REF!</definedName>
    <definedName name="FACTORS">#REF!</definedName>
    <definedName name="fm">#REF!</definedName>
    <definedName name="Impeller_Eye_Area" localSheetId="0">#REF!</definedName>
    <definedName name="Impeller_Eye_Area" localSheetId="1">Input_Output!#REF!</definedName>
    <definedName name="Impeller_Eye_Area" localSheetId="2">Metric_Conversion!#REF!</definedName>
    <definedName name="Impeller_Eye_Area">#REF!</definedName>
    <definedName name="Impeller_Eye_Diameter" localSheetId="0">#REF!</definedName>
    <definedName name="Impeller_Eye_Diameter" localSheetId="1">Input_Output!#REF!</definedName>
    <definedName name="Impeller_Eye_Diameter" localSheetId="2">Metric_Conversion!#REF!</definedName>
    <definedName name="Impeller_Eye_Diameter">#REF!</definedName>
    <definedName name="Impeller_Hub_Diameter" localSheetId="0">#REF!</definedName>
    <definedName name="Impeller_Hub_Diameter" localSheetId="1">Input_Output!#REF!</definedName>
    <definedName name="Impeller_Hub_Diameter" localSheetId="2">Metric_Conversion!#REF!</definedName>
    <definedName name="Impeller_Hub_Diameter">#REF!</definedName>
    <definedName name="Impeller_Inlet_Diameter" localSheetId="0">#REF!</definedName>
    <definedName name="Impeller_Inlet_Diameter" localSheetId="1">Input_Output!#REF!</definedName>
    <definedName name="Impeller_Inlet_Diameter" localSheetId="2">Metric_Conversion!#REF!</definedName>
    <definedName name="Impeller_Inlet_Diameter">#REF!</definedName>
    <definedName name="INT_DIAM">#REF!</definedName>
    <definedName name="kl">#REF!</definedName>
    <definedName name="KR">#REF!</definedName>
    <definedName name="Language">#REF!</definedName>
    <definedName name="Larghezza">#REF!</definedName>
    <definedName name="LENGHTS">#REF!</definedName>
    <definedName name="LINE_LIST_UNIT_31">#REF!</definedName>
    <definedName name="Number">#REF!</definedName>
    <definedName name="pipesize">#REF!</definedName>
    <definedName name="Portata">#REF!</definedName>
    <definedName name="portatacalcolo">'[4]Basi di progetto'!$D$16</definedName>
    <definedName name="portataminima">'[4]Basi di progetto'!$D$10</definedName>
    <definedName name="portatanera">'[4]Basi di progetto'!$D$14</definedName>
    <definedName name="portcalcolo">#REF!</definedName>
    <definedName name="portnera">#REF!</definedName>
    <definedName name="Print_Area_MI">#REF!</definedName>
    <definedName name="prtpioggia">'[4]Basi di progetto'!$D$12</definedName>
    <definedName name="pump">#REF!</definedName>
    <definedName name="PUMPCALC">'[5]PUMP CALCULATION'!$J$4</definedName>
    <definedName name="PUMPDATA">'[5]PUMP CALCULATION'!$J$12</definedName>
    <definedName name="q">#REF!</definedName>
    <definedName name="references">#REF!</definedName>
    <definedName name="rev">#REF!</definedName>
    <definedName name="RevTable">#REF!</definedName>
    <definedName name="Rgas">#REF!</definedName>
    <definedName name="rhokl">#REF!</definedName>
    <definedName name="ROUGHNESS">#REF!</definedName>
    <definedName name="s">'[2]From RPI'!$AB$88</definedName>
    <definedName name="solub">#REF!</definedName>
    <definedName name="Suction_Diameter" localSheetId="0">#REF!</definedName>
    <definedName name="Suction_Diameter" localSheetId="1">Input_Output!$O$16</definedName>
    <definedName name="Suction_Diameter" localSheetId="2">Metric_Conversion!$O$16</definedName>
    <definedName name="Suction_Diameter">#REF!</definedName>
    <definedName name="Sup">#REF!</definedName>
    <definedName name="title">#REF!</definedName>
    <definedName name="uh">#REF!</definedName>
    <definedName name="UNIT">[3]listes!$D$2:$D$150</definedName>
    <definedName name="Unit_number">#REF!</definedName>
    <definedName name="units">#REF!</definedName>
    <definedName name="velocita_di_progetto">#REF!</definedName>
    <definedName name="velocità_di_progetto">#REF!</definedName>
    <definedName name="velocitamassima">#REF!</definedName>
    <definedName name="velocitaminima">#REF!</definedName>
    <definedName name="VH">#REF!</definedName>
    <definedName name="vt">#REF!</definedName>
    <definedName name="WC">[3]listes!$A$2:$A$25</definedName>
    <definedName name="work_cent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9" i="9" l="1"/>
  <c r="E11" i="13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71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47" i="9"/>
  <c r="M41" i="5"/>
  <c r="I46" i="5"/>
  <c r="L48" i="5"/>
  <c r="K48" i="5"/>
  <c r="J48" i="5"/>
  <c r="I48" i="5"/>
  <c r="I47" i="5"/>
  <c r="J47" i="5"/>
  <c r="K47" i="5"/>
  <c r="L47" i="5"/>
  <c r="B61" i="5"/>
  <c r="B6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G42" i="5"/>
  <c r="F42" i="5"/>
  <c r="E42" i="5"/>
  <c r="D42" i="5"/>
  <c r="C42" i="5"/>
  <c r="K41" i="5"/>
  <c r="C41" i="5"/>
  <c r="D41" i="5"/>
  <c r="E41" i="5"/>
  <c r="F41" i="5"/>
  <c r="G41" i="5"/>
  <c r="B41" i="5"/>
  <c r="E17" i="13"/>
  <c r="E16" i="13"/>
  <c r="C72" i="9"/>
  <c r="D72" i="9"/>
  <c r="E72" i="9"/>
  <c r="F72" i="9"/>
  <c r="I72" i="9"/>
  <c r="C73" i="9"/>
  <c r="D73" i="9"/>
  <c r="E73" i="9"/>
  <c r="F73" i="9"/>
  <c r="I73" i="9"/>
  <c r="C74" i="9"/>
  <c r="D74" i="9"/>
  <c r="E74" i="9"/>
  <c r="F74" i="9"/>
  <c r="I74" i="9"/>
  <c r="C75" i="9"/>
  <c r="D75" i="9"/>
  <c r="E75" i="9"/>
  <c r="F75" i="9"/>
  <c r="I75" i="9"/>
  <c r="C76" i="9"/>
  <c r="D76" i="9"/>
  <c r="E76" i="9"/>
  <c r="F76" i="9"/>
  <c r="I76" i="9"/>
  <c r="C77" i="9"/>
  <c r="D77" i="9"/>
  <c r="E77" i="9"/>
  <c r="F77" i="9"/>
  <c r="I77" i="9"/>
  <c r="C78" i="9"/>
  <c r="D78" i="9"/>
  <c r="E78" i="9"/>
  <c r="F78" i="9"/>
  <c r="I78" i="9"/>
  <c r="C79" i="9"/>
  <c r="D79" i="9"/>
  <c r="E79" i="9"/>
  <c r="F79" i="9"/>
  <c r="I79" i="9"/>
  <c r="C80" i="9"/>
  <c r="D80" i="9"/>
  <c r="E80" i="9"/>
  <c r="F80" i="9"/>
  <c r="I80" i="9"/>
  <c r="C81" i="9"/>
  <c r="D81" i="9"/>
  <c r="E81" i="9"/>
  <c r="F81" i="9"/>
  <c r="I81" i="9"/>
  <c r="C82" i="9"/>
  <c r="D82" i="9"/>
  <c r="E82" i="9"/>
  <c r="F82" i="9"/>
  <c r="I82" i="9"/>
  <c r="C83" i="9"/>
  <c r="D83" i="9"/>
  <c r="E83" i="9"/>
  <c r="F83" i="9"/>
  <c r="I83" i="9"/>
  <c r="C84" i="9"/>
  <c r="D84" i="9"/>
  <c r="E84" i="9"/>
  <c r="F84" i="9"/>
  <c r="I84" i="9"/>
  <c r="C85" i="9"/>
  <c r="D85" i="9"/>
  <c r="E85" i="9"/>
  <c r="F85" i="9"/>
  <c r="I85" i="9"/>
  <c r="C86" i="9"/>
  <c r="D86" i="9"/>
  <c r="E86" i="9"/>
  <c r="F86" i="9"/>
  <c r="I86" i="9"/>
  <c r="C87" i="9"/>
  <c r="D87" i="9"/>
  <c r="E87" i="9"/>
  <c r="F87" i="9"/>
  <c r="I87" i="9"/>
  <c r="C88" i="9"/>
  <c r="D88" i="9"/>
  <c r="E88" i="9"/>
  <c r="F88" i="9"/>
  <c r="I88" i="9"/>
  <c r="C89" i="9"/>
  <c r="D89" i="9"/>
  <c r="E89" i="9"/>
  <c r="F89" i="9"/>
  <c r="I89" i="9"/>
  <c r="C90" i="9"/>
  <c r="D90" i="9"/>
  <c r="E90" i="9"/>
  <c r="F90" i="9"/>
  <c r="I90" i="9"/>
  <c r="C71" i="9"/>
  <c r="D71" i="9"/>
  <c r="I71" i="9"/>
  <c r="F71" i="9"/>
  <c r="E71" i="9"/>
  <c r="C48" i="9"/>
  <c r="D48" i="9"/>
  <c r="E48" i="9"/>
  <c r="F48" i="9"/>
  <c r="G48" i="9"/>
  <c r="H48" i="9"/>
  <c r="I48" i="9"/>
  <c r="C49" i="9"/>
  <c r="E49" i="9"/>
  <c r="F49" i="9"/>
  <c r="G49" i="9"/>
  <c r="H49" i="9"/>
  <c r="I49" i="9"/>
  <c r="C50" i="9"/>
  <c r="D50" i="9"/>
  <c r="E50" i="9"/>
  <c r="F50" i="9"/>
  <c r="G50" i="9"/>
  <c r="H50" i="9"/>
  <c r="I50" i="9"/>
  <c r="C51" i="9"/>
  <c r="D51" i="9"/>
  <c r="E51" i="9"/>
  <c r="F51" i="9"/>
  <c r="G51" i="9"/>
  <c r="H51" i="9"/>
  <c r="I51" i="9"/>
  <c r="C52" i="9"/>
  <c r="D52" i="9"/>
  <c r="E52" i="9"/>
  <c r="F52" i="9"/>
  <c r="G52" i="9"/>
  <c r="H52" i="9"/>
  <c r="I52" i="9"/>
  <c r="C53" i="9"/>
  <c r="D53" i="9"/>
  <c r="E53" i="9"/>
  <c r="F53" i="9"/>
  <c r="G53" i="9"/>
  <c r="H53" i="9"/>
  <c r="I53" i="9"/>
  <c r="C54" i="9"/>
  <c r="D54" i="9"/>
  <c r="E54" i="9"/>
  <c r="F54" i="9"/>
  <c r="G54" i="9"/>
  <c r="H54" i="9"/>
  <c r="I54" i="9"/>
  <c r="C55" i="9"/>
  <c r="D55" i="9"/>
  <c r="E55" i="9"/>
  <c r="F55" i="9"/>
  <c r="G55" i="9"/>
  <c r="H55" i="9"/>
  <c r="I55" i="9"/>
  <c r="C56" i="9"/>
  <c r="D56" i="9"/>
  <c r="E56" i="9"/>
  <c r="F56" i="9"/>
  <c r="G56" i="9"/>
  <c r="H56" i="9"/>
  <c r="I56" i="9"/>
  <c r="C57" i="9"/>
  <c r="D57" i="9"/>
  <c r="E57" i="9"/>
  <c r="F57" i="9"/>
  <c r="G57" i="9"/>
  <c r="H57" i="9"/>
  <c r="I57" i="9"/>
  <c r="C58" i="9"/>
  <c r="D58" i="9"/>
  <c r="E58" i="9"/>
  <c r="F58" i="9"/>
  <c r="G58" i="9"/>
  <c r="H58" i="9"/>
  <c r="I58" i="9"/>
  <c r="C59" i="9"/>
  <c r="D59" i="9"/>
  <c r="E59" i="9"/>
  <c r="F59" i="9"/>
  <c r="G59" i="9"/>
  <c r="H59" i="9"/>
  <c r="I59" i="9"/>
  <c r="C60" i="9"/>
  <c r="D60" i="9"/>
  <c r="E60" i="9"/>
  <c r="F60" i="9"/>
  <c r="G60" i="9"/>
  <c r="H60" i="9"/>
  <c r="I60" i="9"/>
  <c r="C61" i="9"/>
  <c r="D61" i="9"/>
  <c r="E61" i="9"/>
  <c r="F61" i="9"/>
  <c r="G61" i="9"/>
  <c r="H61" i="9"/>
  <c r="I61" i="9"/>
  <c r="C62" i="9"/>
  <c r="D62" i="9"/>
  <c r="E62" i="9"/>
  <c r="F62" i="9"/>
  <c r="G62" i="9"/>
  <c r="H62" i="9"/>
  <c r="I62" i="9"/>
  <c r="C63" i="9"/>
  <c r="D63" i="9"/>
  <c r="E63" i="9"/>
  <c r="F63" i="9"/>
  <c r="G63" i="9"/>
  <c r="H63" i="9"/>
  <c r="I63" i="9"/>
  <c r="C64" i="9"/>
  <c r="D64" i="9"/>
  <c r="E64" i="9"/>
  <c r="F64" i="9"/>
  <c r="G64" i="9"/>
  <c r="H64" i="9"/>
  <c r="I64" i="9"/>
  <c r="C65" i="9"/>
  <c r="D65" i="9"/>
  <c r="E65" i="9"/>
  <c r="F65" i="9"/>
  <c r="G65" i="9"/>
  <c r="H65" i="9"/>
  <c r="I65" i="9"/>
  <c r="C66" i="9"/>
  <c r="D66" i="9"/>
  <c r="E66" i="9"/>
  <c r="F66" i="9"/>
  <c r="G66" i="9"/>
  <c r="H66" i="9"/>
  <c r="I66" i="9"/>
  <c r="I47" i="9"/>
  <c r="H47" i="9"/>
  <c r="G47" i="9"/>
  <c r="F47" i="9"/>
  <c r="E47" i="9"/>
  <c r="D47" i="9"/>
  <c r="C47" i="9"/>
  <c r="E15" i="13" l="1"/>
  <c r="E14" i="13"/>
  <c r="E21" i="13"/>
  <c r="E18" i="13"/>
  <c r="L41" i="13" s="1"/>
  <c r="L41" i="5" s="1"/>
  <c r="E19" i="13"/>
  <c r="G21" i="13"/>
  <c r="R139" i="9"/>
  <c r="R140" i="9"/>
  <c r="R141" i="9"/>
  <c r="R138" i="9"/>
  <c r="R137" i="9"/>
  <c r="R136" i="9"/>
  <c r="R135" i="9"/>
  <c r="R134" i="9"/>
  <c r="R133" i="9"/>
  <c r="R132" i="9"/>
  <c r="R131" i="9"/>
  <c r="R130" i="9"/>
  <c r="T38" i="9"/>
  <c r="T37" i="9"/>
  <c r="T36" i="9"/>
  <c r="T35" i="9"/>
  <c r="T34" i="9"/>
  <c r="T33" i="9"/>
  <c r="T32" i="9"/>
  <c r="T31" i="9"/>
  <c r="T30" i="9"/>
  <c r="F15" i="5"/>
  <c r="D43" i="9" l="1"/>
  <c r="E43" i="9"/>
  <c r="R13" i="9"/>
  <c r="R12" i="9"/>
  <c r="R11" i="9"/>
  <c r="R10" i="9"/>
  <c r="R9" i="9"/>
  <c r="R8" i="9"/>
  <c r="R7" i="9"/>
  <c r="R6" i="9"/>
  <c r="R5" i="9"/>
  <c r="T68" i="9"/>
  <c r="R68" i="9"/>
  <c r="T67" i="9"/>
  <c r="R67" i="9"/>
  <c r="T66" i="9"/>
  <c r="R66" i="9"/>
  <c r="T65" i="9"/>
  <c r="R65" i="9"/>
  <c r="T64" i="9"/>
  <c r="R64" i="9"/>
  <c r="T63" i="9"/>
  <c r="R63" i="9"/>
  <c r="T62" i="9"/>
  <c r="R62" i="9"/>
  <c r="T61" i="9"/>
  <c r="R61" i="9"/>
  <c r="T60" i="9"/>
  <c r="R60" i="9"/>
  <c r="T59" i="9"/>
  <c r="R59" i="9"/>
  <c r="T58" i="9"/>
  <c r="R58" i="9"/>
  <c r="T57" i="9"/>
  <c r="R57" i="9"/>
  <c r="T56" i="9"/>
  <c r="R56" i="9"/>
  <c r="T55" i="9"/>
  <c r="R55" i="9"/>
  <c r="T118" i="9"/>
  <c r="R118" i="9"/>
  <c r="T117" i="9"/>
  <c r="R117" i="9"/>
  <c r="T116" i="9"/>
  <c r="R116" i="9"/>
  <c r="T115" i="9"/>
  <c r="R115" i="9"/>
  <c r="T114" i="9"/>
  <c r="R114" i="9"/>
  <c r="T113" i="9"/>
  <c r="R113" i="9"/>
  <c r="T112" i="9"/>
  <c r="R112" i="9"/>
  <c r="T111" i="9"/>
  <c r="R111" i="9"/>
  <c r="T110" i="9"/>
  <c r="R110" i="9"/>
  <c r="T109" i="9"/>
  <c r="R109" i="9"/>
  <c r="T108" i="9"/>
  <c r="R108" i="9"/>
  <c r="T107" i="9"/>
  <c r="R107" i="9"/>
  <c r="T106" i="9"/>
  <c r="R106" i="9"/>
  <c r="T105" i="9"/>
  <c r="R105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B11" i="13"/>
  <c r="B18" i="13"/>
  <c r="B19" i="13"/>
  <c r="B20" i="13"/>
  <c r="B21" i="13"/>
  <c r="B10" i="13"/>
  <c r="F12" i="5"/>
  <c r="F13" i="5"/>
  <c r="B91" i="9" l="1"/>
  <c r="B67" i="9"/>
  <c r="G46" i="13"/>
  <c r="G46" i="5" s="1"/>
  <c r="G60" i="13"/>
  <c r="G60" i="5" s="1"/>
  <c r="G47" i="13"/>
  <c r="G47" i="5" s="1"/>
  <c r="G61" i="13"/>
  <c r="G61" i="5" s="1"/>
  <c r="G48" i="13"/>
  <c r="G48" i="5" s="1"/>
  <c r="G62" i="13"/>
  <c r="G62" i="5" s="1"/>
  <c r="G43" i="13"/>
  <c r="G43" i="5" s="1"/>
  <c r="G49" i="13"/>
  <c r="G49" i="5" s="1"/>
  <c r="G50" i="13"/>
  <c r="G50" i="5" s="1"/>
  <c r="G52" i="13"/>
  <c r="G52" i="5" s="1"/>
  <c r="G53" i="13"/>
  <c r="G53" i="5" s="1"/>
  <c r="G55" i="13"/>
  <c r="G55" i="5" s="1"/>
  <c r="G57" i="13"/>
  <c r="G57" i="5" s="1"/>
  <c r="G45" i="13"/>
  <c r="G45" i="5" s="1"/>
  <c r="G51" i="13"/>
  <c r="G51" i="5" s="1"/>
  <c r="G44" i="13"/>
  <c r="G44" i="5" s="1"/>
  <c r="G58" i="13"/>
  <c r="G58" i="5" s="1"/>
  <c r="G54" i="13"/>
  <c r="G54" i="5" s="1"/>
  <c r="G56" i="13"/>
  <c r="G56" i="5" s="1"/>
  <c r="G59" i="13"/>
  <c r="G59" i="5" s="1"/>
  <c r="L75" i="9"/>
  <c r="K49" i="9"/>
  <c r="C45" i="13" s="1"/>
  <c r="C45" i="5" s="1"/>
  <c r="K85" i="9"/>
  <c r="K50" i="9"/>
  <c r="C46" i="13" s="1"/>
  <c r="C46" i="5" s="1"/>
  <c r="K76" i="9"/>
  <c r="L85" i="9"/>
  <c r="K51" i="9"/>
  <c r="C47" i="13" s="1"/>
  <c r="C47" i="5" s="1"/>
  <c r="L76" i="9"/>
  <c r="K52" i="9"/>
  <c r="C48" i="13" s="1"/>
  <c r="C48" i="5" s="1"/>
  <c r="K86" i="9"/>
  <c r="K53" i="9"/>
  <c r="C49" i="13" s="1"/>
  <c r="C49" i="5" s="1"/>
  <c r="K77" i="9"/>
  <c r="K54" i="9"/>
  <c r="C50" i="13" s="1"/>
  <c r="C50" i="5" s="1"/>
  <c r="L77" i="9"/>
  <c r="K55" i="9"/>
  <c r="C51" i="13" s="1"/>
  <c r="C51" i="5" s="1"/>
  <c r="K87" i="9"/>
  <c r="L48" i="9"/>
  <c r="D44" i="13" s="1"/>
  <c r="D44" i="5" s="1"/>
  <c r="K56" i="9"/>
  <c r="C52" i="13" s="1"/>
  <c r="C52" i="5" s="1"/>
  <c r="K78" i="9"/>
  <c r="L87" i="9"/>
  <c r="L49" i="9"/>
  <c r="D45" i="13" s="1"/>
  <c r="D45" i="5" s="1"/>
  <c r="K57" i="9"/>
  <c r="C53" i="13" s="1"/>
  <c r="C53" i="5" s="1"/>
  <c r="K89" i="9"/>
  <c r="K80" i="9"/>
  <c r="L55" i="9"/>
  <c r="D51" i="13" s="1"/>
  <c r="D51" i="5" s="1"/>
  <c r="K63" i="9"/>
  <c r="C59" i="13" s="1"/>
  <c r="C59" i="5" s="1"/>
  <c r="L57" i="9"/>
  <c r="D53" i="13" s="1"/>
  <c r="D53" i="5" s="1"/>
  <c r="L58" i="9"/>
  <c r="D54" i="13" s="1"/>
  <c r="D54" i="5" s="1"/>
  <c r="L86" i="9"/>
  <c r="L63" i="9"/>
  <c r="D59" i="13" s="1"/>
  <c r="D59" i="5" s="1"/>
  <c r="L71" i="9"/>
  <c r="L78" i="9"/>
  <c r="L50" i="9"/>
  <c r="D46" i="13" s="1"/>
  <c r="D46" i="5" s="1"/>
  <c r="K58" i="9"/>
  <c r="C54" i="13" s="1"/>
  <c r="C54" i="5" s="1"/>
  <c r="K79" i="9"/>
  <c r="L52" i="9"/>
  <c r="D48" i="13" s="1"/>
  <c r="D48" i="5" s="1"/>
  <c r="K60" i="9"/>
  <c r="C56" i="13" s="1"/>
  <c r="C56" i="5" s="1"/>
  <c r="L53" i="9"/>
  <c r="D49" i="13" s="1"/>
  <c r="D49" i="5" s="1"/>
  <c r="L89" i="9"/>
  <c r="K65" i="9"/>
  <c r="C61" i="13" s="1"/>
  <c r="C61" i="5" s="1"/>
  <c r="L90" i="9"/>
  <c r="L81" i="9"/>
  <c r="K47" i="9"/>
  <c r="C43" i="13" s="1"/>
  <c r="K82" i="9"/>
  <c r="L82" i="9"/>
  <c r="K71" i="9"/>
  <c r="K83" i="9"/>
  <c r="L74" i="9"/>
  <c r="K84" i="9"/>
  <c r="K88" i="9"/>
  <c r="L51" i="9"/>
  <c r="D47" i="13" s="1"/>
  <c r="D47" i="5" s="1"/>
  <c r="K59" i="9"/>
  <c r="C55" i="13" s="1"/>
  <c r="C55" i="5" s="1"/>
  <c r="L88" i="9"/>
  <c r="L79" i="9"/>
  <c r="K61" i="9"/>
  <c r="C57" i="13" s="1"/>
  <c r="C57" i="5" s="1"/>
  <c r="L54" i="9"/>
  <c r="D50" i="13" s="1"/>
  <c r="D50" i="5" s="1"/>
  <c r="K62" i="9"/>
  <c r="C58" i="13" s="1"/>
  <c r="C58" i="5" s="1"/>
  <c r="K81" i="9"/>
  <c r="K73" i="9"/>
  <c r="L61" i="9"/>
  <c r="D57" i="13" s="1"/>
  <c r="D57" i="5" s="1"/>
  <c r="L62" i="9"/>
  <c r="D58" i="13" s="1"/>
  <c r="D58" i="5" s="1"/>
  <c r="L64" i="9"/>
  <c r="D60" i="13" s="1"/>
  <c r="D60" i="5" s="1"/>
  <c r="L65" i="9"/>
  <c r="D61" i="13" s="1"/>
  <c r="D61" i="5" s="1"/>
  <c r="K72" i="9"/>
  <c r="L80" i="9"/>
  <c r="L56" i="9"/>
  <c r="D52" i="13" s="1"/>
  <c r="D52" i="5" s="1"/>
  <c r="K64" i="9"/>
  <c r="C60" i="13" s="1"/>
  <c r="C60" i="5" s="1"/>
  <c r="L72" i="9"/>
  <c r="K90" i="9"/>
  <c r="K66" i="9"/>
  <c r="C62" i="13" s="1"/>
  <c r="C62" i="5" s="1"/>
  <c r="L59" i="9"/>
  <c r="D55" i="13" s="1"/>
  <c r="D55" i="5" s="1"/>
  <c r="L60" i="9"/>
  <c r="D56" i="13" s="1"/>
  <c r="D56" i="5" s="1"/>
  <c r="L73" i="9"/>
  <c r="K74" i="9"/>
  <c r="L83" i="9"/>
  <c r="L66" i="9"/>
  <c r="D62" i="13" s="1"/>
  <c r="D62" i="5" s="1"/>
  <c r="K48" i="9"/>
  <c r="C44" i="13" s="1"/>
  <c r="C44" i="5" s="1"/>
  <c r="K75" i="9"/>
  <c r="L84" i="9"/>
  <c r="L47" i="9"/>
  <c r="D43" i="13" s="1"/>
  <c r="J10" i="5"/>
  <c r="M41" i="13"/>
  <c r="E20" i="13"/>
  <c r="E41" i="9" s="1"/>
  <c r="E13" i="13"/>
  <c r="E12" i="13"/>
  <c r="M62" i="9" l="1"/>
  <c r="E58" i="13" s="1"/>
  <c r="E58" i="5" s="1"/>
  <c r="M64" i="9"/>
  <c r="E60" i="13" s="1"/>
  <c r="E60" i="5" s="1"/>
  <c r="M65" i="9"/>
  <c r="E61" i="13" s="1"/>
  <c r="E61" i="5" s="1"/>
  <c r="M66" i="9"/>
  <c r="E62" i="13" s="1"/>
  <c r="E62" i="5" s="1"/>
  <c r="M47" i="9"/>
  <c r="E43" i="13" s="1"/>
  <c r="E43" i="5" s="1"/>
  <c r="M49" i="9"/>
  <c r="E45" i="13" s="1"/>
  <c r="E45" i="5" s="1"/>
  <c r="M51" i="9"/>
  <c r="E47" i="13" s="1"/>
  <c r="E47" i="5" s="1"/>
  <c r="M52" i="9"/>
  <c r="E48" i="13" s="1"/>
  <c r="E48" i="5" s="1"/>
  <c r="M53" i="9"/>
  <c r="E49" i="13" s="1"/>
  <c r="E49" i="5" s="1"/>
  <c r="M56" i="9"/>
  <c r="E52" i="13" s="1"/>
  <c r="E52" i="5" s="1"/>
  <c r="M57" i="9"/>
  <c r="E53" i="13" s="1"/>
  <c r="E53" i="5" s="1"/>
  <c r="M58" i="9"/>
  <c r="E54" i="13" s="1"/>
  <c r="E54" i="5" s="1"/>
  <c r="M59" i="9"/>
  <c r="E55" i="13" s="1"/>
  <c r="E55" i="5" s="1"/>
  <c r="M61" i="9"/>
  <c r="E57" i="13" s="1"/>
  <c r="E57" i="5" s="1"/>
  <c r="M63" i="9"/>
  <c r="E59" i="13" s="1"/>
  <c r="E59" i="5" s="1"/>
  <c r="M48" i="9"/>
  <c r="E44" i="13" s="1"/>
  <c r="E44" i="5" s="1"/>
  <c r="M50" i="9"/>
  <c r="E46" i="13" s="1"/>
  <c r="E46" i="5" s="1"/>
  <c r="M54" i="9"/>
  <c r="E50" i="13" s="1"/>
  <c r="E50" i="5" s="1"/>
  <c r="M55" i="9"/>
  <c r="E51" i="13" s="1"/>
  <c r="E51" i="5" s="1"/>
  <c r="M60" i="9"/>
  <c r="E56" i="13" s="1"/>
  <c r="E56" i="5" s="1"/>
  <c r="I49" i="13"/>
  <c r="I49" i="5" s="1"/>
  <c r="H67" i="9"/>
  <c r="M67" i="9" s="1"/>
  <c r="I67" i="9"/>
  <c r="G67" i="9"/>
  <c r="I91" i="9"/>
  <c r="N91" i="9" s="1"/>
  <c r="C69" i="9"/>
  <c r="V96" i="9" s="1"/>
  <c r="N67" i="9" l="1"/>
  <c r="L49" i="13" s="1"/>
  <c r="L49" i="5" s="1"/>
  <c r="J49" i="13"/>
  <c r="J49" i="5" s="1"/>
  <c r="V121" i="9"/>
  <c r="V125" i="9" s="1"/>
  <c r="V100" i="9"/>
  <c r="V98" i="9"/>
  <c r="V97" i="9"/>
  <c r="V99" i="9"/>
  <c r="H21" i="13"/>
  <c r="G91" i="9" l="1"/>
  <c r="V123" i="9"/>
  <c r="V122" i="9"/>
  <c r="V124" i="9"/>
  <c r="G77" i="9"/>
  <c r="G71" i="9"/>
  <c r="G88" i="9"/>
  <c r="G72" i="9"/>
  <c r="G80" i="9"/>
  <c r="G75" i="9"/>
  <c r="G83" i="9"/>
  <c r="G86" i="9"/>
  <c r="G89" i="9"/>
  <c r="G81" i="9"/>
  <c r="G73" i="9"/>
  <c r="G78" i="9"/>
  <c r="G76" i="9"/>
  <c r="G85" i="9"/>
  <c r="G90" i="9"/>
  <c r="G74" i="9"/>
  <c r="G82" i="9"/>
  <c r="G87" i="9"/>
  <c r="G79" i="9"/>
  <c r="G84" i="9"/>
  <c r="K10" i="5"/>
  <c r="H91" i="9" l="1"/>
  <c r="M91" i="9" s="1"/>
  <c r="K49" i="13" s="1"/>
  <c r="K49" i="5" s="1"/>
  <c r="H85" i="9"/>
  <c r="M85" i="9" s="1"/>
  <c r="F57" i="13" s="1"/>
  <c r="F57" i="5" s="1"/>
  <c r="H86" i="9"/>
  <c r="M86" i="9" s="1"/>
  <c r="F58" i="13" s="1"/>
  <c r="F58" i="5" s="1"/>
  <c r="H83" i="9"/>
  <c r="M83" i="9" s="1"/>
  <c r="F55" i="13" s="1"/>
  <c r="F55" i="5" s="1"/>
  <c r="H80" i="9"/>
  <c r="M80" i="9" s="1"/>
  <c r="F52" i="13" s="1"/>
  <c r="F52" i="5" s="1"/>
  <c r="H84" i="9"/>
  <c r="M84" i="9" s="1"/>
  <c r="F56" i="13" s="1"/>
  <c r="F56" i="5" s="1"/>
  <c r="H74" i="9"/>
  <c r="M74" i="9" s="1"/>
  <c r="F46" i="13" s="1"/>
  <c r="F46" i="5" s="1"/>
  <c r="H73" i="9"/>
  <c r="M73" i="9" s="1"/>
  <c r="F45" i="13" s="1"/>
  <c r="F45" i="5" s="1"/>
  <c r="H77" i="9"/>
  <c r="M77" i="9" s="1"/>
  <c r="F49" i="13" s="1"/>
  <c r="F49" i="5" s="1"/>
  <c r="H79" i="9"/>
  <c r="M79" i="9" s="1"/>
  <c r="F51" i="13" s="1"/>
  <c r="F51" i="5" s="1"/>
  <c r="H82" i="9"/>
  <c r="M82" i="9" s="1"/>
  <c r="F54" i="13" s="1"/>
  <c r="F54" i="5" s="1"/>
  <c r="H76" i="9"/>
  <c r="M76" i="9" s="1"/>
  <c r="F48" i="13" s="1"/>
  <c r="F48" i="5" s="1"/>
  <c r="H81" i="9"/>
  <c r="M81" i="9" s="1"/>
  <c r="F53" i="13" s="1"/>
  <c r="F53" i="5" s="1"/>
  <c r="H88" i="9"/>
  <c r="M88" i="9" s="1"/>
  <c r="F60" i="13" s="1"/>
  <c r="F60" i="5" s="1"/>
  <c r="H71" i="9"/>
  <c r="M71" i="9" s="1"/>
  <c r="F43" i="13" s="1"/>
  <c r="F43" i="5" s="1"/>
  <c r="H87" i="9"/>
  <c r="M87" i="9" s="1"/>
  <c r="F59" i="13" s="1"/>
  <c r="F59" i="5" s="1"/>
  <c r="H90" i="9"/>
  <c r="M90" i="9" s="1"/>
  <c r="F62" i="13" s="1"/>
  <c r="F62" i="5" s="1"/>
  <c r="H89" i="9"/>
  <c r="M89" i="9" s="1"/>
  <c r="F61" i="13" s="1"/>
  <c r="F61" i="5" s="1"/>
  <c r="H78" i="9"/>
  <c r="M78" i="9" s="1"/>
  <c r="F50" i="13" s="1"/>
  <c r="F50" i="5" s="1"/>
  <c r="H75" i="9"/>
  <c r="M75" i="9" s="1"/>
  <c r="F47" i="13" s="1"/>
  <c r="F47" i="5" s="1"/>
  <c r="H72" i="9"/>
  <c r="M72" i="9" s="1"/>
  <c r="F44" i="13" s="1"/>
  <c r="F44" i="5" s="1"/>
</calcChain>
</file>

<file path=xl/sharedStrings.xml><?xml version="1.0" encoding="utf-8"?>
<sst xmlns="http://schemas.openxmlformats.org/spreadsheetml/2006/main" count="183" uniqueCount="97">
  <si>
    <t>First issue</t>
  </si>
  <si>
    <t>Rev.</t>
  </si>
  <si>
    <t>Date</t>
  </si>
  <si>
    <t>Description</t>
  </si>
  <si>
    <t>Prepared</t>
  </si>
  <si>
    <t>Checked</t>
  </si>
  <si>
    <t>Approved</t>
  </si>
  <si>
    <t>Pressure Pulsation Calculation</t>
  </si>
  <si>
    <t>PUMP MODEL</t>
  </si>
  <si>
    <t>PUMP SIZE</t>
  </si>
  <si>
    <t>DRAWING NUMBER</t>
  </si>
  <si>
    <t>INPUT DATA</t>
  </si>
  <si>
    <t>Q</t>
  </si>
  <si>
    <t>H stage</t>
  </si>
  <si>
    <t>unit system</t>
  </si>
  <si>
    <t>SI</t>
  </si>
  <si>
    <t>Pump speed</t>
  </si>
  <si>
    <t>RPM</t>
  </si>
  <si>
    <t>BEP</t>
  </si>
  <si>
    <t>D2</t>
  </si>
  <si>
    <t>RTD</t>
  </si>
  <si>
    <t>D3</t>
  </si>
  <si>
    <t>volute or diffuser</t>
  </si>
  <si>
    <t>diffuser</t>
  </si>
  <si>
    <t>D vaneless zone</t>
  </si>
  <si>
    <t>OUTPUT DATA</t>
  </si>
  <si>
    <t>%</t>
  </si>
  <si>
    <t>NPSHR Safety Margin Calculation</t>
  </si>
  <si>
    <t>QRTD</t>
  </si>
  <si>
    <t>m3/h</t>
  </si>
  <si>
    <t>HRTD</t>
  </si>
  <si>
    <t>m</t>
  </si>
  <si>
    <t>QBEP</t>
  </si>
  <si>
    <t>HBEP</t>
  </si>
  <si>
    <t>HIMPrtd</t>
  </si>
  <si>
    <t>HIMPbep</t>
  </si>
  <si>
    <t>mm</t>
  </si>
  <si>
    <t>(D-D2)/D2</t>
  </si>
  <si>
    <t>C2.local</t>
  </si>
  <si>
    <t>C2.ave</t>
  </si>
  <si>
    <t>dP.BEP</t>
  </si>
  <si>
    <t>dP.RTD</t>
  </si>
  <si>
    <t>alternating stress on LE</t>
  </si>
  <si>
    <t>u2</t>
  </si>
  <si>
    <t>m/s</t>
  </si>
  <si>
    <t>bar</t>
  </si>
  <si>
    <t>Mpa</t>
  </si>
  <si>
    <t>CHECK</t>
  </si>
  <si>
    <t>(D3-D2)/D2</t>
  </si>
  <si>
    <t>Dsigma.LE</t>
  </si>
  <si>
    <t>Limitations:</t>
  </si>
  <si>
    <t>CURVE 1</t>
  </si>
  <si>
    <t>local</t>
  </si>
  <si>
    <t>log10(y)</t>
  </si>
  <si>
    <t>Q/Qbep</t>
  </si>
  <si>
    <t>C0</t>
  </si>
  <si>
    <t>C1</t>
  </si>
  <si>
    <t>C2</t>
  </si>
  <si>
    <t>C3</t>
  </si>
  <si>
    <t>CURVE 2</t>
  </si>
  <si>
    <t>average</t>
  </si>
  <si>
    <t>log10(y60)</t>
  </si>
  <si>
    <t>pump type</t>
  </si>
  <si>
    <t>Dvaneless</t>
  </si>
  <si>
    <t>Dcw</t>
  </si>
  <si>
    <t>D-D2/D2</t>
  </si>
  <si>
    <t>D/D2</t>
  </si>
  <si>
    <t>c2local imp</t>
  </si>
  <si>
    <t>c2 ave imp</t>
  </si>
  <si>
    <t>clocal.vanel</t>
  </si>
  <si>
    <t>cave.vanel</t>
  </si>
  <si>
    <t>volute</t>
  </si>
  <si>
    <t>unsteady stress on LE</t>
  </si>
  <si>
    <t>c2.local</t>
  </si>
  <si>
    <t>c2.ave</t>
  </si>
  <si>
    <t>dP*</t>
  </si>
  <si>
    <t>sigmaLE*</t>
  </si>
  <si>
    <t>CURVE 3-4</t>
  </si>
  <si>
    <t>low flow</t>
  </si>
  <si>
    <t>high flow</t>
  </si>
  <si>
    <t>ave</t>
  </si>
  <si>
    <t>CURVE 5-6</t>
  </si>
  <si>
    <t>Y 100Qbep</t>
  </si>
  <si>
    <t>Y60Qbep</t>
  </si>
  <si>
    <t>QRTD/BEP</t>
  </si>
  <si>
    <t>CURVE 7-8</t>
  </si>
  <si>
    <t>Y50Qbep</t>
  </si>
  <si>
    <t>log10(y50)</t>
  </si>
  <si>
    <t>CURVE9</t>
  </si>
  <si>
    <t>setup for selection</t>
  </si>
  <si>
    <t>casing type</t>
  </si>
  <si>
    <t>US</t>
  </si>
  <si>
    <t>Pressure Pulsation calculation
(linked to SOP-559)</t>
  </si>
  <si>
    <t>Mod.541-0</t>
  </si>
  <si>
    <t>R&amp;D &amp; Prod. Eng. Manager - M.Borghetti</t>
  </si>
  <si>
    <t>EHSS/ QA - T.Morelli Stefani/ N.Legato</t>
  </si>
  <si>
    <t>Fluid Dynamic Manager - L. DeFranco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</si>
</sst>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General_)"/>
    <numFmt numFmtId="166" formatCode="&quot;$&quot;#,##0.00;[Red]\-&quot;$&quot;#,##0.00"/>
    <numFmt numFmtId="167" formatCode="0.000"/>
    <numFmt numFmtId="168" formatCode="0.0%"/>
  </numFmts>
  <fonts count="15">
    <font>
      <sz val="10"/>
      <name val="Arial"/>
    </font>
    <font>
      <sz val="10"/>
      <name val="Arial"/>
      <family val="2"/>
    </font>
    <font>
      <sz val="14"/>
      <name val="TradeGothic"/>
    </font>
    <font>
      <sz val="10"/>
      <name val="TradeGothic"/>
    </font>
    <font>
      <b/>
      <sz val="12"/>
      <name val="TradeGothic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10"/>
      <color rgb="FFFF0000"/>
      <name val="TradeGothic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5" fontId="5" fillId="0" borderId="0"/>
    <xf numFmtId="166" fontId="11" fillId="0" borderId="0" applyFont="0" applyFill="0" applyBorder="0" applyAlignment="0" applyProtection="0"/>
  </cellStyleXfs>
  <cellXfs count="186">
    <xf numFmtId="0" fontId="0" fillId="0" borderId="0" xfId="0"/>
    <xf numFmtId="1" fontId="0" fillId="0" borderId="1" xfId="1" applyNumberFormat="1" applyFont="1" applyBorder="1" applyAlignment="1" applyProtection="1">
      <alignment horizontal="center"/>
    </xf>
    <xf numFmtId="1" fontId="0" fillId="0" borderId="11" xfId="1" applyNumberFormat="1" applyFont="1" applyBorder="1" applyAlignment="1" applyProtection="1">
      <alignment horizontal="center"/>
    </xf>
    <xf numFmtId="0" fontId="1" fillId="0" borderId="0" xfId="2"/>
    <xf numFmtId="0" fontId="1" fillId="0" borderId="0" xfId="2" applyAlignment="1">
      <alignment wrapText="1"/>
    </xf>
    <xf numFmtId="164" fontId="1" fillId="0" borderId="10" xfId="2" applyNumberFormat="1" applyBorder="1" applyAlignment="1">
      <alignment horizontal="center"/>
    </xf>
    <xf numFmtId="0" fontId="1" fillId="0" borderId="12" xfId="2" applyBorder="1"/>
    <xf numFmtId="0" fontId="1" fillId="0" borderId="0" xfId="0" applyFont="1"/>
    <xf numFmtId="0" fontId="1" fillId="4" borderId="6" xfId="2" applyFill="1" applyBorder="1"/>
    <xf numFmtId="0" fontId="1" fillId="4" borderId="0" xfId="2" applyFill="1"/>
    <xf numFmtId="0" fontId="1" fillId="4" borderId="0" xfId="2" applyFill="1" applyAlignment="1">
      <alignment wrapText="1"/>
    </xf>
    <xf numFmtId="0" fontId="1" fillId="4" borderId="6" xfId="2" applyFill="1" applyBorder="1" applyAlignment="1">
      <alignment wrapText="1"/>
    </xf>
    <xf numFmtId="0" fontId="3" fillId="4" borderId="0" xfId="2" applyFont="1" applyFill="1"/>
    <xf numFmtId="0" fontId="3" fillId="4" borderId="6" xfId="2" applyFont="1" applyFill="1" applyBorder="1" applyAlignment="1">
      <alignment wrapText="1"/>
    </xf>
    <xf numFmtId="0" fontId="3" fillId="4" borderId="0" xfId="2" applyFont="1" applyFill="1" applyAlignment="1">
      <alignment wrapText="1"/>
    </xf>
    <xf numFmtId="0" fontId="3" fillId="4" borderId="6" xfId="2" applyFont="1" applyFill="1" applyBorder="1"/>
    <xf numFmtId="0" fontId="3" fillId="2" borderId="2" xfId="2" applyFont="1" applyFill="1" applyBorder="1"/>
    <xf numFmtId="0" fontId="3" fillId="2" borderId="3" xfId="2" applyFont="1" applyFill="1" applyBorder="1"/>
    <xf numFmtId="0" fontId="3" fillId="2" borderId="4" xfId="2" applyFont="1" applyFill="1" applyBorder="1"/>
    <xf numFmtId="0" fontId="4" fillId="4" borderId="0" xfId="2" applyFont="1" applyFill="1"/>
    <xf numFmtId="0" fontId="3" fillId="5" borderId="4" xfId="2" applyFont="1" applyFill="1" applyBorder="1"/>
    <xf numFmtId="0" fontId="1" fillId="0" borderId="0" xfId="2" quotePrefix="1"/>
    <xf numFmtId="0" fontId="1" fillId="0" borderId="0" xfId="2" applyAlignment="1">
      <alignment horizontal="center" vertical="center"/>
    </xf>
    <xf numFmtId="1" fontId="3" fillId="6" borderId="1" xfId="1" applyNumberFormat="1" applyFont="1" applyFill="1" applyBorder="1" applyAlignment="1" applyProtection="1">
      <alignment horizontal="center"/>
      <protection locked="0"/>
    </xf>
    <xf numFmtId="0" fontId="1" fillId="0" borderId="16" xfId="3" applyBorder="1" applyAlignment="1">
      <alignment horizontal="center" vertical="center"/>
    </xf>
    <xf numFmtId="0" fontId="1" fillId="0" borderId="17" xfId="3" applyBorder="1" applyAlignment="1">
      <alignment horizontal="center" vertical="center"/>
    </xf>
    <xf numFmtId="0" fontId="1" fillId="0" borderId="18" xfId="3" applyBorder="1" applyAlignment="1">
      <alignment horizontal="center" vertical="center"/>
    </xf>
    <xf numFmtId="165" fontId="5" fillId="0" borderId="0" xfId="4"/>
    <xf numFmtId="0" fontId="1" fillId="0" borderId="19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20" xfId="3" applyBorder="1" applyAlignment="1">
      <alignment horizontal="center" vertical="center"/>
    </xf>
    <xf numFmtId="0" fontId="6" fillId="0" borderId="0" xfId="3" applyFont="1" applyAlignment="1">
      <alignment horizontal="center" vertical="top"/>
    </xf>
    <xf numFmtId="0" fontId="1" fillId="0" borderId="0" xfId="3" applyAlignment="1">
      <alignment horizontal="center"/>
    </xf>
    <xf numFmtId="0" fontId="7" fillId="0" borderId="0" xfId="3" applyFont="1" applyAlignment="1">
      <alignment horizontal="center" vertical="top"/>
    </xf>
    <xf numFmtId="0" fontId="8" fillId="0" borderId="20" xfId="3" applyFont="1" applyBorder="1" applyAlignment="1">
      <alignment horizontal="center" vertical="top"/>
    </xf>
    <xf numFmtId="0" fontId="9" fillId="0" borderId="19" xfId="3" applyFont="1" applyBorder="1" applyAlignment="1">
      <alignment horizontal="center" vertical="center"/>
    </xf>
    <xf numFmtId="0" fontId="9" fillId="0" borderId="0" xfId="3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9" fillId="0" borderId="20" xfId="3" applyFont="1" applyBorder="1" applyAlignment="1">
      <alignment horizontal="center" vertical="center"/>
    </xf>
    <xf numFmtId="2" fontId="0" fillId="0" borderId="0" xfId="0" applyNumberFormat="1"/>
    <xf numFmtId="0" fontId="2" fillId="5" borderId="9" xfId="2" applyFont="1" applyFill="1" applyBorder="1"/>
    <xf numFmtId="0" fontId="3" fillId="5" borderId="14" xfId="2" applyFont="1" applyFill="1" applyBorder="1"/>
    <xf numFmtId="0" fontId="14" fillId="4" borderId="0" xfId="2" applyFont="1" applyFill="1"/>
    <xf numFmtId="0" fontId="3" fillId="6" borderId="2" xfId="2" applyFont="1" applyFill="1" applyBorder="1" applyProtection="1">
      <protection locked="0"/>
    </xf>
    <xf numFmtId="0" fontId="3" fillId="6" borderId="3" xfId="2" applyFont="1" applyFill="1" applyBorder="1" applyProtection="1">
      <protection locked="0"/>
    </xf>
    <xf numFmtId="0" fontId="3" fillId="6" borderId="8" xfId="2" applyFont="1" applyFill="1" applyBorder="1" applyProtection="1">
      <protection locked="0"/>
    </xf>
    <xf numFmtId="0" fontId="3" fillId="6" borderId="5" xfId="2" applyFont="1" applyFill="1" applyBorder="1" applyProtection="1">
      <protection locked="0"/>
    </xf>
    <xf numFmtId="0" fontId="3" fillId="7" borderId="2" xfId="2" applyFont="1" applyFill="1" applyBorder="1" applyProtection="1">
      <protection locked="0"/>
    </xf>
    <xf numFmtId="0" fontId="3" fillId="7" borderId="3" xfId="2" applyFont="1" applyFill="1" applyBorder="1" applyProtection="1">
      <protection locked="0"/>
    </xf>
    <xf numFmtId="0" fontId="3" fillId="7" borderId="8" xfId="2" applyFont="1" applyFill="1" applyBorder="1" applyProtection="1">
      <protection locked="0"/>
    </xf>
    <xf numFmtId="0" fontId="3" fillId="7" borderId="5" xfId="2" applyFont="1" applyFill="1" applyBorder="1" applyProtection="1">
      <protection locked="0"/>
    </xf>
    <xf numFmtId="1" fontId="3" fillId="7" borderId="4" xfId="1" applyNumberFormat="1" applyFont="1" applyFill="1" applyBorder="1" applyAlignment="1" applyProtection="1">
      <alignment horizontal="center"/>
      <protection locked="0"/>
    </xf>
    <xf numFmtId="1" fontId="3" fillId="7" borderId="1" xfId="1" applyNumberFormat="1" applyFont="1" applyFill="1" applyBorder="1" applyAlignment="1" applyProtection="1">
      <alignment horizontal="center"/>
      <protection locked="0"/>
    </xf>
    <xf numFmtId="164" fontId="3" fillId="7" borderId="1" xfId="1" applyNumberFormat="1" applyFont="1" applyFill="1" applyBorder="1" applyAlignment="1" applyProtection="1">
      <alignment horizontal="center"/>
      <protection locked="0"/>
    </xf>
    <xf numFmtId="164" fontId="3" fillId="7" borderId="36" xfId="1" applyNumberFormat="1" applyFont="1" applyFill="1" applyBorder="1" applyAlignment="1" applyProtection="1">
      <alignment horizontal="center"/>
      <protection locked="0"/>
    </xf>
    <xf numFmtId="0" fontId="1" fillId="6" borderId="0" xfId="2" applyFill="1"/>
    <xf numFmtId="0" fontId="3" fillId="6" borderId="6" xfId="2" applyFont="1" applyFill="1" applyBorder="1"/>
    <xf numFmtId="0" fontId="1" fillId="6" borderId="9" xfId="2" applyFill="1" applyBorder="1"/>
    <xf numFmtId="0" fontId="1" fillId="6" borderId="7" xfId="2" applyFill="1" applyBorder="1"/>
    <xf numFmtId="0" fontId="3" fillId="6" borderId="0" xfId="2" applyFont="1" applyFill="1"/>
    <xf numFmtId="0" fontId="1" fillId="6" borderId="14" xfId="2" applyFill="1" applyBorder="1"/>
    <xf numFmtId="0" fontId="1" fillId="6" borderId="15" xfId="2" applyFill="1" applyBorder="1"/>
    <xf numFmtId="0" fontId="4" fillId="6" borderId="0" xfId="2" applyFont="1" applyFill="1"/>
    <xf numFmtId="9" fontId="3" fillId="6" borderId="1" xfId="1" applyFont="1" applyFill="1" applyBorder="1"/>
    <xf numFmtId="0" fontId="0" fillId="0" borderId="1" xfId="0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1" fillId="0" borderId="19" xfId="0" applyFont="1" applyBorder="1"/>
    <xf numFmtId="0" fontId="0" fillId="0" borderId="21" xfId="0" applyBorder="1"/>
    <xf numFmtId="0" fontId="0" fillId="0" borderId="22" xfId="0" applyBorder="1"/>
    <xf numFmtId="0" fontId="0" fillId="7" borderId="37" xfId="0" applyFill="1" applyBorder="1"/>
    <xf numFmtId="0" fontId="0" fillId="0" borderId="37" xfId="0" applyBorder="1"/>
    <xf numFmtId="0" fontId="12" fillId="6" borderId="0" xfId="2" applyFont="1" applyFill="1"/>
    <xf numFmtId="0" fontId="1" fillId="7" borderId="1" xfId="0" applyFont="1" applyFill="1" applyBorder="1"/>
    <xf numFmtId="0" fontId="0" fillId="0" borderId="23" xfId="0" applyBorder="1"/>
    <xf numFmtId="0" fontId="1" fillId="8" borderId="1" xfId="0" applyFont="1" applyFill="1" applyBorder="1"/>
    <xf numFmtId="0" fontId="1" fillId="0" borderId="1" xfId="0" applyFont="1" applyBorder="1"/>
    <xf numFmtId="1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167" fontId="0" fillId="0" borderId="1" xfId="0" applyNumberFormat="1" applyBorder="1"/>
    <xf numFmtId="2" fontId="0" fillId="0" borderId="1" xfId="0" applyNumberFormat="1" applyBorder="1"/>
    <xf numFmtId="2" fontId="3" fillId="6" borderId="1" xfId="2" applyNumberFormat="1" applyFont="1" applyFill="1" applyBorder="1"/>
    <xf numFmtId="0" fontId="1" fillId="9" borderId="0" xfId="0" applyFont="1" applyFill="1"/>
    <xf numFmtId="0" fontId="0" fillId="9" borderId="0" xfId="0" applyFill="1"/>
    <xf numFmtId="167" fontId="0" fillId="9" borderId="1" xfId="0" applyNumberFormat="1" applyFill="1" applyBorder="1"/>
    <xf numFmtId="2" fontId="0" fillId="9" borderId="1" xfId="0" applyNumberFormat="1" applyFill="1" applyBorder="1"/>
    <xf numFmtId="0" fontId="3" fillId="9" borderId="0" xfId="2" applyFont="1" applyFill="1"/>
    <xf numFmtId="0" fontId="3" fillId="9" borderId="1" xfId="2" applyFont="1" applyFill="1" applyBorder="1"/>
    <xf numFmtId="0" fontId="1" fillId="9" borderId="1" xfId="2" applyFill="1" applyBorder="1"/>
    <xf numFmtId="168" fontId="3" fillId="6" borderId="1" xfId="1" applyNumberFormat="1" applyFont="1" applyFill="1" applyBorder="1" applyAlignment="1">
      <alignment wrapText="1"/>
    </xf>
    <xf numFmtId="2" fontId="3" fillId="6" borderId="1" xfId="1" applyNumberFormat="1" applyFont="1" applyFill="1" applyBorder="1"/>
    <xf numFmtId="0" fontId="1" fillId="9" borderId="0" xfId="2" applyFill="1" applyAlignment="1">
      <alignment wrapText="1"/>
    </xf>
    <xf numFmtId="2" fontId="3" fillId="6" borderId="2" xfId="2" applyNumberFormat="1" applyFont="1" applyFill="1" applyBorder="1"/>
    <xf numFmtId="0" fontId="3" fillId="9" borderId="2" xfId="0" applyFont="1" applyFill="1" applyBorder="1" applyAlignment="1">
      <alignment wrapText="1"/>
    </xf>
    <xf numFmtId="0" fontId="3" fillId="9" borderId="1" xfId="2" applyFont="1" applyFill="1" applyBorder="1" applyAlignment="1">
      <alignment wrapText="1"/>
    </xf>
    <xf numFmtId="9" fontId="3" fillId="0" borderId="2" xfId="1" applyFont="1" applyBorder="1"/>
    <xf numFmtId="0" fontId="3" fillId="6" borderId="7" xfId="2" applyFont="1" applyFill="1" applyBorder="1"/>
    <xf numFmtId="0" fontId="3" fillId="6" borderId="8" xfId="2" applyFont="1" applyFill="1" applyBorder="1"/>
    <xf numFmtId="0" fontId="3" fillId="6" borderId="5" xfId="2" applyFont="1" applyFill="1" applyBorder="1"/>
    <xf numFmtId="0" fontId="3" fillId="6" borderId="13" xfId="2" applyFont="1" applyFill="1" applyBorder="1"/>
    <xf numFmtId="164" fontId="3" fillId="6" borderId="1" xfId="2" applyNumberFormat="1" applyFont="1" applyFill="1" applyBorder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0" fontId="3" fillId="3" borderId="4" xfId="2" applyFont="1" applyFill="1" applyBorder="1"/>
    <xf numFmtId="0" fontId="2" fillId="3" borderId="9" xfId="2" applyFont="1" applyFill="1" applyBorder="1"/>
    <xf numFmtId="0" fontId="3" fillId="3" borderId="14" xfId="2" applyFont="1" applyFill="1" applyBorder="1"/>
    <xf numFmtId="0" fontId="3" fillId="3" borderId="1" xfId="2" applyFont="1" applyFill="1" applyBorder="1" applyAlignment="1">
      <alignment wrapText="1"/>
    </xf>
    <xf numFmtId="166" fontId="1" fillId="0" borderId="21" xfId="5" applyFont="1" applyFill="1" applyBorder="1" applyAlignment="1">
      <alignment horizontal="right" vertical="center"/>
    </xf>
    <xf numFmtId="166" fontId="5" fillId="0" borderId="22" xfId="5" applyFont="1" applyFill="1" applyBorder="1" applyAlignment="1">
      <alignment horizontal="right" vertical="center"/>
    </xf>
    <xf numFmtId="166" fontId="5" fillId="0" borderId="23" xfId="5" applyFont="1" applyFill="1" applyBorder="1" applyAlignment="1">
      <alignment horizontal="right" vertical="center"/>
    </xf>
    <xf numFmtId="166" fontId="1" fillId="0" borderId="31" xfId="5" applyFont="1" applyBorder="1" applyAlignment="1">
      <alignment horizontal="center" vertical="center"/>
    </xf>
    <xf numFmtId="166" fontId="1" fillId="0" borderId="32" xfId="5" applyFont="1" applyBorder="1" applyAlignment="1">
      <alignment horizontal="center" vertical="center"/>
    </xf>
    <xf numFmtId="0" fontId="12" fillId="0" borderId="33" xfId="3" applyFont="1" applyBorder="1" applyAlignment="1">
      <alignment horizontal="center" vertical="center"/>
    </xf>
    <xf numFmtId="0" fontId="12" fillId="0" borderId="34" xfId="3" applyFont="1" applyBorder="1" applyAlignment="1">
      <alignment horizontal="center" vertical="center"/>
    </xf>
    <xf numFmtId="0" fontId="12" fillId="0" borderId="32" xfId="3" applyFont="1" applyBorder="1" applyAlignment="1">
      <alignment horizontal="center" vertical="center"/>
    </xf>
    <xf numFmtId="0" fontId="12" fillId="0" borderId="35" xfId="3" applyFont="1" applyBorder="1" applyAlignment="1">
      <alignment horizontal="center" vertical="center"/>
    </xf>
    <xf numFmtId="0" fontId="11" fillId="0" borderId="2" xfId="3" applyFont="1" applyBorder="1" applyAlignment="1">
      <alignment horizontal="center" vertical="center" wrapText="1"/>
    </xf>
    <xf numFmtId="0" fontId="11" fillId="0" borderId="3" xfId="3" applyFont="1" applyBorder="1" applyAlignment="1">
      <alignment horizontal="center" vertical="center" wrapText="1"/>
    </xf>
    <xf numFmtId="0" fontId="11" fillId="0" borderId="30" xfId="3" applyFont="1" applyBorder="1" applyAlignment="1">
      <alignment horizontal="center" vertical="center" wrapText="1"/>
    </xf>
    <xf numFmtId="0" fontId="1" fillId="0" borderId="29" xfId="3" applyBorder="1" applyAlignment="1">
      <alignment horizontal="center" vertical="center"/>
    </xf>
    <xf numFmtId="0" fontId="1" fillId="0" borderId="4" xfId="3" applyBorder="1" applyAlignment="1">
      <alignment horizontal="center" vertical="center"/>
    </xf>
    <xf numFmtId="0" fontId="1" fillId="0" borderId="2" xfId="3" applyBorder="1" applyAlignment="1">
      <alignment horizontal="center" vertical="center"/>
    </xf>
    <xf numFmtId="0" fontId="1" fillId="0" borderId="3" xfId="3" applyBorder="1" applyAlignment="1">
      <alignment horizontal="center" vertical="center"/>
    </xf>
    <xf numFmtId="0" fontId="1" fillId="0" borderId="30" xfId="3" applyBorder="1" applyAlignment="1">
      <alignment horizontal="center" vertical="center"/>
    </xf>
    <xf numFmtId="0" fontId="11" fillId="0" borderId="29" xfId="3" applyFont="1" applyBorder="1" applyAlignment="1">
      <alignment horizontal="center" vertical="center"/>
    </xf>
    <xf numFmtId="0" fontId="11" fillId="0" borderId="4" xfId="3" applyFont="1" applyBorder="1" applyAlignment="1">
      <alignment horizontal="center" vertical="center"/>
    </xf>
    <xf numFmtId="14" fontId="11" fillId="0" borderId="2" xfId="3" applyNumberFormat="1" applyFont="1" applyBorder="1" applyAlignment="1">
      <alignment horizontal="center" vertical="center"/>
    </xf>
    <xf numFmtId="14" fontId="11" fillId="0" borderId="3" xfId="3" applyNumberFormat="1" applyFont="1" applyBorder="1" applyAlignment="1">
      <alignment horizontal="center" vertical="center"/>
    </xf>
    <xf numFmtId="14" fontId="11" fillId="0" borderId="4" xfId="3" applyNumberFormat="1" applyFont="1" applyBorder="1" applyAlignment="1">
      <alignment horizontal="center" vertical="center"/>
    </xf>
    <xf numFmtId="0" fontId="11" fillId="0" borderId="2" xfId="3" applyFont="1" applyBorder="1" applyAlignment="1">
      <alignment horizontal="center" vertical="center"/>
    </xf>
    <xf numFmtId="0" fontId="11" fillId="0" borderId="3" xfId="3" applyFont="1" applyBorder="1" applyAlignment="1">
      <alignment horizontal="center" vertical="center"/>
    </xf>
    <xf numFmtId="0" fontId="11" fillId="0" borderId="4" xfId="3" applyFont="1" applyBorder="1" applyAlignment="1">
      <alignment horizontal="center" vertical="center" wrapText="1"/>
    </xf>
    <xf numFmtId="0" fontId="9" fillId="0" borderId="16" xfId="3" applyFont="1" applyBorder="1" applyAlignment="1">
      <alignment horizontal="center" vertical="center" wrapText="1"/>
    </xf>
    <xf numFmtId="0" fontId="9" fillId="0" borderId="17" xfId="3" applyFont="1" applyBorder="1" applyAlignment="1">
      <alignment horizontal="center" vertical="center" wrapText="1"/>
    </xf>
    <xf numFmtId="0" fontId="9" fillId="0" borderId="18" xfId="3" applyFont="1" applyBorder="1" applyAlignment="1">
      <alignment horizontal="center" vertical="center" wrapText="1"/>
    </xf>
    <xf numFmtId="0" fontId="9" fillId="0" borderId="19" xfId="3" applyFont="1" applyBorder="1" applyAlignment="1">
      <alignment horizontal="center" vertical="center" wrapText="1"/>
    </xf>
    <xf numFmtId="0" fontId="9" fillId="0" borderId="0" xfId="3" applyFont="1" applyAlignment="1">
      <alignment horizontal="center" vertical="center" wrapText="1"/>
    </xf>
    <xf numFmtId="0" fontId="9" fillId="0" borderId="20" xfId="3" applyFont="1" applyBorder="1" applyAlignment="1">
      <alignment horizontal="center" vertical="center" wrapText="1"/>
    </xf>
    <xf numFmtId="0" fontId="9" fillId="0" borderId="21" xfId="3" applyFont="1" applyBorder="1" applyAlignment="1">
      <alignment horizontal="center" vertical="center" wrapText="1"/>
    </xf>
    <xf numFmtId="0" fontId="9" fillId="0" borderId="22" xfId="3" applyFont="1" applyBorder="1" applyAlignment="1">
      <alignment horizontal="center" vertical="center" wrapText="1"/>
    </xf>
    <xf numFmtId="0" fontId="9" fillId="0" borderId="23" xfId="3" applyFont="1" applyBorder="1" applyAlignment="1">
      <alignment horizontal="center" vertical="center" wrapText="1"/>
    </xf>
    <xf numFmtId="0" fontId="1" fillId="0" borderId="24" xfId="3" applyBorder="1" applyAlignment="1">
      <alignment horizontal="center" vertical="center"/>
    </xf>
    <xf numFmtId="0" fontId="1" fillId="0" borderId="25" xfId="3" applyBorder="1" applyAlignment="1">
      <alignment horizontal="center" vertical="center"/>
    </xf>
    <xf numFmtId="0" fontId="1" fillId="0" borderId="26" xfId="3" applyBorder="1" applyAlignment="1">
      <alignment horizontal="center" vertical="center"/>
    </xf>
    <xf numFmtId="0" fontId="1" fillId="0" borderId="27" xfId="3" applyBorder="1" applyAlignment="1">
      <alignment horizontal="center" vertical="center"/>
    </xf>
    <xf numFmtId="0" fontId="1" fillId="0" borderId="28" xfId="3" applyBorder="1" applyAlignment="1">
      <alignment horizontal="center" vertical="center"/>
    </xf>
    <xf numFmtId="0" fontId="2" fillId="6" borderId="9" xfId="0" applyFont="1" applyFill="1" applyBorder="1" applyAlignment="1">
      <alignment horizontal="right" wrapText="1"/>
    </xf>
    <xf numFmtId="0" fontId="2" fillId="6" borderId="14" xfId="0" applyFont="1" applyFill="1" applyBorder="1" applyAlignment="1">
      <alignment horizontal="right" wrapText="1"/>
    </xf>
    <xf numFmtId="0" fontId="2" fillId="6" borderId="15" xfId="0" applyFont="1" applyFill="1" applyBorder="1" applyAlignment="1">
      <alignment horizontal="right" wrapText="1"/>
    </xf>
    <xf numFmtId="0" fontId="2" fillId="6" borderId="7" xfId="0" applyFont="1" applyFill="1" applyBorder="1" applyAlignment="1">
      <alignment horizontal="right" wrapText="1"/>
    </xf>
    <xf numFmtId="0" fontId="2" fillId="6" borderId="0" xfId="0" applyFont="1" applyFill="1" applyAlignment="1">
      <alignment horizontal="right" wrapText="1"/>
    </xf>
    <xf numFmtId="0" fontId="2" fillId="6" borderId="6" xfId="0" applyFont="1" applyFill="1" applyBorder="1" applyAlignment="1">
      <alignment horizontal="right" wrapText="1"/>
    </xf>
    <xf numFmtId="0" fontId="2" fillId="6" borderId="8" xfId="0" applyFont="1" applyFill="1" applyBorder="1" applyAlignment="1">
      <alignment horizontal="right" wrapText="1"/>
    </xf>
    <xf numFmtId="0" fontId="2" fillId="6" borderId="5" xfId="0" applyFont="1" applyFill="1" applyBorder="1" applyAlignment="1">
      <alignment horizontal="right" wrapText="1"/>
    </xf>
    <xf numFmtId="0" fontId="2" fillId="6" borderId="13" xfId="0" applyFont="1" applyFill="1" applyBorder="1" applyAlignment="1">
      <alignment horizontal="right" wrapText="1"/>
    </xf>
    <xf numFmtId="0" fontId="1" fillId="0" borderId="9" xfId="2" applyBorder="1" applyAlignment="1">
      <alignment horizontal="center"/>
    </xf>
    <xf numFmtId="0" fontId="1" fillId="0" borderId="14" xfId="2" applyBorder="1" applyAlignment="1">
      <alignment horizontal="center"/>
    </xf>
    <xf numFmtId="0" fontId="1" fillId="0" borderId="15" xfId="2" applyBorder="1" applyAlignment="1">
      <alignment horizontal="center"/>
    </xf>
    <xf numFmtId="0" fontId="1" fillId="0" borderId="7" xfId="2" applyBorder="1" applyAlignment="1">
      <alignment horizontal="center"/>
    </xf>
    <xf numFmtId="0" fontId="1" fillId="0" borderId="0" xfId="2" applyAlignment="1">
      <alignment horizontal="center"/>
    </xf>
    <xf numFmtId="0" fontId="1" fillId="0" borderId="6" xfId="2" applyBorder="1" applyAlignment="1">
      <alignment horizontal="center"/>
    </xf>
    <xf numFmtId="0" fontId="1" fillId="0" borderId="8" xfId="2" applyBorder="1" applyAlignment="1">
      <alignment horizontal="center"/>
    </xf>
    <xf numFmtId="0" fontId="1" fillId="0" borderId="5" xfId="2" applyBorder="1" applyAlignment="1">
      <alignment horizontal="center"/>
    </xf>
    <xf numFmtId="0" fontId="1" fillId="0" borderId="13" xfId="2" applyBorder="1" applyAlignment="1">
      <alignment horizontal="center"/>
    </xf>
    <xf numFmtId="0" fontId="2" fillId="3" borderId="9" xfId="2" applyFont="1" applyFill="1" applyBorder="1" applyAlignment="1">
      <alignment horizontal="center"/>
    </xf>
    <xf numFmtId="0" fontId="2" fillId="3" borderId="14" xfId="2" applyFont="1" applyFill="1" applyBorder="1" applyAlignment="1">
      <alignment horizontal="center"/>
    </xf>
    <xf numFmtId="0" fontId="2" fillId="3" borderId="15" xfId="2" applyFont="1" applyFill="1" applyBorder="1" applyAlignment="1">
      <alignment horizontal="center"/>
    </xf>
    <xf numFmtId="0" fontId="2" fillId="3" borderId="0" xfId="2" applyFont="1" applyFill="1" applyAlignment="1">
      <alignment horizontal="center"/>
    </xf>
    <xf numFmtId="0" fontId="2" fillId="3" borderId="6" xfId="2" applyFont="1" applyFill="1" applyBorder="1" applyAlignment="1">
      <alignment horizontal="center"/>
    </xf>
    <xf numFmtId="0" fontId="2" fillId="5" borderId="0" xfId="2" applyFont="1" applyFill="1" applyAlignment="1">
      <alignment horizontal="center"/>
    </xf>
    <xf numFmtId="0" fontId="2" fillId="5" borderId="6" xfId="2" applyFont="1" applyFill="1" applyBorder="1" applyAlignment="1">
      <alignment horizontal="center"/>
    </xf>
    <xf numFmtId="0" fontId="3" fillId="2" borderId="0" xfId="2" applyFont="1" applyFill="1" applyAlignment="1">
      <alignment horizontal="center"/>
    </xf>
    <xf numFmtId="0" fontId="3" fillId="2" borderId="6" xfId="2" applyFont="1" applyFill="1" applyBorder="1" applyAlignment="1">
      <alignment horizontal="center"/>
    </xf>
    <xf numFmtId="0" fontId="3" fillId="0" borderId="0" xfId="2" applyFont="1" applyAlignment="1">
      <alignment horizontal="center" vertical="top" wrapText="1"/>
    </xf>
    <xf numFmtId="0" fontId="3" fillId="0" borderId="6" xfId="2" applyFont="1" applyBorder="1" applyAlignment="1">
      <alignment horizontal="center" vertical="top" wrapText="1"/>
    </xf>
    <xf numFmtId="0" fontId="1" fillId="0" borderId="1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6">
    <cellStyle name="Normale" xfId="0" builtinId="0"/>
    <cellStyle name="Normale 2" xfId="2" xr:uid="{795928D0-5C76-4F0F-A20E-094B7972AE98}"/>
    <cellStyle name="Normale 3" xfId="4" xr:uid="{C011C091-F2B0-4EF2-B4A7-63FDBD1F912D}"/>
    <cellStyle name="Normale 4" xfId="3" xr:uid="{57B8244B-0C9E-478A-B498-3B3BB4B0A698}"/>
    <cellStyle name="Percentuale" xfId="1" builtinId="5"/>
    <cellStyle name="Valuta 2" xfId="5" xr:uid="{AF86A1FB-1D8C-4F3A-BB52-783ECB8E972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66266337382529"/>
          <c:y val="0.26807068492476654"/>
          <c:w val="0.76538434647998133"/>
          <c:h val="0.62756072416479813"/>
        </c:manualLayout>
      </c:layout>
      <c:scatterChart>
        <c:scatterStyle val="lineMarker"/>
        <c:varyColors val="0"/>
        <c:ser>
          <c:idx val="0"/>
          <c:order val="0"/>
          <c:tx>
            <c:v>c 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Input_Output!$B$43:$B$62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</c:numCache>
            </c:numRef>
          </c:xVal>
          <c:yVal>
            <c:numRef>
              <c:f>Input_Output!$C$43:$C$62</c:f>
              <c:numCache>
                <c:formatCode>0.00</c:formatCode>
                <c:ptCount val="20"/>
                <c:pt idx="1">
                  <c:v>9.2833996982331506</c:v>
                </c:pt>
                <c:pt idx="2">
                  <c:v>8.477920137515758</c:v>
                </c:pt>
                <c:pt idx="3">
                  <c:v>7.7367372925688311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D5-410D-ABC0-48BDD3F8B7F9}"/>
            </c:ext>
          </c:extLst>
        </c:ser>
        <c:ser>
          <c:idx val="1"/>
          <c:order val="1"/>
          <c:tx>
            <c:v>c ave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Input_Output!$B$43:$B$62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</c:numCache>
            </c:numRef>
          </c:xVal>
          <c:yVal>
            <c:numRef>
              <c:f>Input_Output!$D$43:$D$62</c:f>
              <c:numCache>
                <c:formatCode>0.00</c:formatCode>
                <c:ptCount val="20"/>
                <c:pt idx="1">
                  <c:v>6.1086941731495559</c:v>
                </c:pt>
                <c:pt idx="2">
                  <c:v>5.5542806732020651</c:v>
                </c:pt>
                <c:pt idx="3">
                  <c:v>5.0123399588269812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D5-410D-ABC0-48BDD3F8B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982752"/>
        <c:axId val="2030975072"/>
      </c:scatterChart>
      <c:valAx>
        <c:axId val="2030982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(D-D2)/D2</a:t>
                </a:r>
              </a:p>
            </c:rich>
          </c:tx>
          <c:layout>
            <c:manualLayout>
              <c:xMode val="edge"/>
              <c:yMode val="edge"/>
              <c:x val="0.42675393590823735"/>
              <c:y val="0.94614853319018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975072"/>
        <c:crosses val="autoZero"/>
        <c:crossBetween val="midCat"/>
        <c:majorUnit val="2.0000000000000004E-2"/>
      </c:valAx>
      <c:valAx>
        <c:axId val="2030975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absolute</a:t>
                </a:r>
                <a:r>
                  <a:rPr lang="en-US" baseline="0"/>
                  <a:t> velocity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982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120274676097676"/>
          <c:y val="0.62935044650436323"/>
          <c:w val="0.27617180612537306"/>
          <c:h val="0.176994793852148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radeGothic" panose="02000606000000020004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Pressure</a:t>
            </a:r>
            <a:r>
              <a:rPr lang="en-US" baseline="0"/>
              <a:t> Pulsation amplitude and alternating sigma on L.E.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055221841867618E-2"/>
          <c:y val="0.10804604278926964"/>
          <c:w val="0.83262287865746776"/>
          <c:h val="0.78758538388985377"/>
        </c:manualLayout>
      </c:layout>
      <c:scatterChart>
        <c:scatterStyle val="lineMarker"/>
        <c:varyColors val="0"/>
        <c:ser>
          <c:idx val="0"/>
          <c:order val="0"/>
          <c:tx>
            <c:strRef>
              <c:f>Input_Output!$J$47</c:f>
              <c:strCache>
                <c:ptCount val="1"/>
                <c:pt idx="0">
                  <c:v>dP.BEP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Input_Output!$B$43:$B$62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</c:numCache>
            </c:numRef>
          </c:xVal>
          <c:yVal>
            <c:numRef>
              <c:f>Input_Output!$E$43:$E$62</c:f>
              <c:numCache>
                <c:formatCode>0.00</c:formatCode>
                <c:ptCount val="20"/>
                <c:pt idx="0">
                  <c:v>0.52085911273738594</c:v>
                </c:pt>
                <c:pt idx="1">
                  <c:v>0.35803512444895352</c:v>
                </c:pt>
                <c:pt idx="2">
                  <c:v>0.25232501891550568</c:v>
                </c:pt>
                <c:pt idx="3">
                  <c:v>0.1894287766176318</c:v>
                </c:pt>
                <c:pt idx="4">
                  <c:v>0.15041490525501508</c:v>
                </c:pt>
                <c:pt idx="5">
                  <c:v>0.12543056960225341</c:v>
                </c:pt>
                <c:pt idx="6">
                  <c:v>0.10906661498365974</c:v>
                </c:pt>
                <c:pt idx="7">
                  <c:v>9.8189379259284976E-2</c:v>
                </c:pt>
                <c:pt idx="8">
                  <c:v>9.0871930520871752E-2</c:v>
                </c:pt>
                <c:pt idx="9">
                  <c:v>8.5841218648581796E-2</c:v>
                </c:pt>
                <c:pt idx="10">
                  <c:v>8.218095702895091E-2</c:v>
                </c:pt>
                <c:pt idx="11">
                  <c:v>7.9170617901283852E-2</c:v>
                </c:pt>
                <c:pt idx="12">
                  <c:v>7.6204867883592597E-2</c:v>
                </c:pt>
                <c:pt idx="13">
                  <c:v>7.2767181636609321E-2</c:v>
                </c:pt>
                <c:pt idx="14">
                  <c:v>6.8443289529265455E-2</c:v>
                </c:pt>
                <c:pt idx="15">
                  <c:v>6.2961779560201062E-2</c:v>
                </c:pt>
                <c:pt idx="16">
                  <c:v>5.624478156663338E-2</c:v>
                </c:pt>
                <c:pt idx="17">
                  <c:v>4.8445664192501764E-2</c:v>
                </c:pt>
                <c:pt idx="18">
                  <c:v>3.9948764693115375E-2</c:v>
                </c:pt>
                <c:pt idx="19">
                  <c:v>3.131380728639481E-2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A5-4F39-91B0-ECB2CED99E05}"/>
            </c:ext>
          </c:extLst>
        </c:ser>
        <c:ser>
          <c:idx val="1"/>
          <c:order val="1"/>
          <c:tx>
            <c:strRef>
              <c:f>Input_Output!$K$47</c:f>
              <c:strCache>
                <c:ptCount val="1"/>
                <c:pt idx="0">
                  <c:v>dP.RTD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Input_Output!$B$43:$B$62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</c:numCache>
            </c:numRef>
          </c:xVal>
          <c:yVal>
            <c:numRef>
              <c:f>Input_Output!$F$43:$F$62</c:f>
              <c:numCache>
                <c:formatCode>0.00</c:formatCode>
                <c:ptCount val="20"/>
                <c:pt idx="0">
                  <c:v>0.94202413008601771</c:v>
                </c:pt>
                <c:pt idx="1">
                  <c:v>0.65366063948004982</c:v>
                </c:pt>
                <c:pt idx="2">
                  <c:v>0.47022976335956213</c:v>
                </c:pt>
                <c:pt idx="3">
                  <c:v>0.363495931656177</c:v>
                </c:pt>
                <c:pt idx="4">
                  <c:v>0.29920295229400762</c:v>
                </c:pt>
                <c:pt idx="5">
                  <c:v>0.25986889185015311</c:v>
                </c:pt>
                <c:pt idx="6">
                  <c:v>0.23599893030619448</c:v>
                </c:pt>
                <c:pt idx="7">
                  <c:v>0.22206407979799994</c:v>
                </c:pt>
                <c:pt idx="8">
                  <c:v>0.21453806265073871</c:v>
                </c:pt>
                <c:pt idx="9">
                  <c:v>0.21087901991406693</c:v>
                </c:pt>
                <c:pt idx="10">
                  <c:v>0.20898282445610791</c:v>
                </c:pt>
                <c:pt idx="11">
                  <c:v>0.20690988269086094</c:v>
                </c:pt>
                <c:pt idx="12">
                  <c:v>0.20281053677152922</c:v>
                </c:pt>
                <c:pt idx="13">
                  <c:v>0.19502202180482461</c:v>
                </c:pt>
                <c:pt idx="14">
                  <c:v>0.1823080620405016</c:v>
                </c:pt>
                <c:pt idx="15">
                  <c:v>0.16417324956422871</c:v>
                </c:pt>
                <c:pt idx="16">
                  <c:v>0.14112970524151894</c:v>
                </c:pt>
                <c:pt idx="17">
                  <c:v>0.114762292321091</c:v>
                </c:pt>
                <c:pt idx="18">
                  <c:v>8.747620919029428E-2</c:v>
                </c:pt>
                <c:pt idx="19">
                  <c:v>6.1934961859049287E-2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A5-4F39-91B0-ECB2CED99E05}"/>
            </c:ext>
          </c:extLst>
        </c:ser>
        <c:ser>
          <c:idx val="3"/>
          <c:order val="3"/>
          <c:tx>
            <c:v>TARGET.dP.BEP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9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Input_Output!$I$49</c:f>
              <c:numCache>
                <c:formatCode>0%</c:formatCode>
                <c:ptCount val="1"/>
                <c:pt idx="0">
                  <c:v>4.2857142857142858E-2</c:v>
                </c:pt>
              </c:numCache>
            </c:numRef>
          </c:xVal>
          <c:yVal>
            <c:numRef>
              <c:f>Input_Output!$J$49:$L$49</c:f>
              <c:numCache>
                <c:formatCode>0.00</c:formatCode>
                <c:ptCount val="3"/>
                <c:pt idx="0">
                  <c:v>0.17639236421542809</c:v>
                </c:pt>
                <c:pt idx="1">
                  <c:v>0.34177214880928414</c:v>
                </c:pt>
                <c:pt idx="2">
                  <c:v>0.90505323534178506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A5-4F39-91B0-ECB2CED99E05}"/>
            </c:ext>
          </c:extLst>
        </c:ser>
        <c:ser>
          <c:idx val="4"/>
          <c:order val="4"/>
          <c:tx>
            <c:v>TARGET.dP.RTD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Input_Output!$I$49</c:f>
              <c:numCache>
                <c:formatCode>0%</c:formatCode>
                <c:ptCount val="1"/>
                <c:pt idx="0">
                  <c:v>4.2857142857142858E-2</c:v>
                </c:pt>
              </c:numCache>
            </c:numRef>
          </c:xVal>
          <c:yVal>
            <c:numRef>
              <c:f>Input_Output!$K$49</c:f>
              <c:numCache>
                <c:formatCode>0.00</c:formatCode>
                <c:ptCount val="1"/>
                <c:pt idx="0">
                  <c:v>0.34177214880928414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A5-4F39-91B0-ECB2CED99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982752"/>
        <c:axId val="2030975072"/>
      </c:scatterChart>
      <c:scatterChart>
        <c:scatterStyle val="lineMarker"/>
        <c:varyColors val="0"/>
        <c:ser>
          <c:idx val="2"/>
          <c:order val="2"/>
          <c:tx>
            <c:strRef>
              <c:f>Input_Output!$L$47</c:f>
              <c:strCache>
                <c:ptCount val="1"/>
                <c:pt idx="0">
                  <c:v>Dsigma.LE</c:v>
                </c:pt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Input_Output!$B$43:$B$62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</c:numCache>
            </c:numRef>
          </c:xVal>
          <c:yVal>
            <c:numRef>
              <c:f>Input_Output!$G$43:$G$62</c:f>
              <c:numCache>
                <c:formatCode>0.00</c:formatCode>
                <c:ptCount val="20"/>
                <c:pt idx="0">
                  <c:v>2.608477881460761</c:v>
                </c:pt>
                <c:pt idx="1">
                  <c:v>1.735608924009362</c:v>
                </c:pt>
                <c:pt idx="2">
                  <c:v>1.2302060952742935</c:v>
                </c:pt>
                <c:pt idx="3">
                  <c:v>0.95813758025744267</c:v>
                </c:pt>
                <c:pt idx="4">
                  <c:v>0.80320402194443885</c:v>
                </c:pt>
                <c:pt idx="5">
                  <c:v>0.70989787225063028</c:v>
                </c:pt>
                <c:pt idx="6">
                  <c:v>0.64798040727787498</c:v>
                </c:pt>
                <c:pt idx="7">
                  <c:v>0.59833977595192889</c:v>
                </c:pt>
                <c:pt idx="8">
                  <c:v>0.54749212212108467</c:v>
                </c:pt>
                <c:pt idx="9">
                  <c:v>0.48626820572323592</c:v>
                </c:pt>
                <c:pt idx="10">
                  <c:v>0.41064437144173294</c:v>
                </c:pt>
                <c:pt idx="11">
                  <c:v>0.32297720692673404</c:v>
                </c:pt>
                <c:pt idx="12">
                  <c:v>0.23174900301387122</c:v>
                </c:pt>
                <c:pt idx="13">
                  <c:v>0.14860310177003286</c:v>
                </c:pt>
                <c:pt idx="14">
                  <c:v>8.3411489098942346E-2</c:v>
                </c:pt>
                <c:pt idx="15">
                  <c:v>4.0145407856656642E-2</c:v>
                </c:pt>
                <c:pt idx="16">
                  <c:v>1.6228630586230246E-2</c:v>
                </c:pt>
                <c:pt idx="17">
                  <c:v>5.3974406367142342E-3</c:v>
                </c:pt>
                <c:pt idx="18">
                  <c:v>1.446697978057525E-3</c:v>
                </c:pt>
                <c:pt idx="19">
                  <c:v>3.0610884202965171E-4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A5-4F39-91B0-ECB2CED99E05}"/>
            </c:ext>
          </c:extLst>
        </c:ser>
        <c:ser>
          <c:idx val="5"/>
          <c:order val="5"/>
          <c:tx>
            <c:v>TARGET.dSIGMA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Input_Output!$I$49</c:f>
              <c:numCache>
                <c:formatCode>0%</c:formatCode>
                <c:ptCount val="1"/>
                <c:pt idx="0">
                  <c:v>4.2857142857142858E-2</c:v>
                </c:pt>
              </c:numCache>
            </c:numRef>
          </c:xVal>
          <c:yVal>
            <c:numRef>
              <c:f>Input_Output!$L$49</c:f>
              <c:numCache>
                <c:formatCode>0.00</c:formatCode>
                <c:ptCount val="1"/>
                <c:pt idx="0">
                  <c:v>0.90505323534178506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A5-4F39-91B0-ECB2CED99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406672"/>
        <c:axId val="1197404272"/>
      </c:scatterChart>
      <c:valAx>
        <c:axId val="2030982752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(D-D2)/D2</a:t>
                </a:r>
              </a:p>
            </c:rich>
          </c:tx>
          <c:layout>
            <c:manualLayout>
              <c:xMode val="edge"/>
              <c:yMode val="edge"/>
              <c:x val="0.42675393590823735"/>
              <c:y val="0.94614853319018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975072"/>
        <c:crosses val="autoZero"/>
        <c:crossBetween val="midCat"/>
        <c:majorUnit val="2.0000000000000004E-2"/>
      </c:valAx>
      <c:valAx>
        <c:axId val="203097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982752"/>
        <c:crosses val="autoZero"/>
        <c:crossBetween val="midCat"/>
      </c:valAx>
      <c:valAx>
        <c:axId val="1197404272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Dsigma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7406672"/>
        <c:crosses val="max"/>
        <c:crossBetween val="midCat"/>
      </c:valAx>
      <c:valAx>
        <c:axId val="11974066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11974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725786176841212"/>
          <c:y val="0.12593961326850095"/>
          <c:w val="0.17956704115544436"/>
          <c:h val="0.448035694738270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radeGothic" panose="02000606000000020004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30334898380981"/>
          <c:y val="6.4801548567467268E-2"/>
          <c:w val="0.58674421932065068"/>
          <c:h val="0.8457962063395114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'Gulich-Fig.10.6'!$P$80:$P$93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'Gulich-Fig.10.6'!$Q$80:$Q$93</c:f>
              <c:numCache>
                <c:formatCode>General</c:formatCode>
                <c:ptCount val="14"/>
                <c:pt idx="0">
                  <c:v>0.1</c:v>
                </c:pt>
                <c:pt idx="1">
                  <c:v>6.5000000000000002E-2</c:v>
                </c:pt>
                <c:pt idx="2">
                  <c:v>0.05</c:v>
                </c:pt>
                <c:pt idx="3">
                  <c:v>0.04</c:v>
                </c:pt>
                <c:pt idx="4">
                  <c:v>3.3000000000000002E-2</c:v>
                </c:pt>
                <c:pt idx="5">
                  <c:v>0.03</c:v>
                </c:pt>
                <c:pt idx="6">
                  <c:v>2.7E-2</c:v>
                </c:pt>
                <c:pt idx="7">
                  <c:v>2.5000000000000001E-2</c:v>
                </c:pt>
                <c:pt idx="8">
                  <c:v>2.3E-2</c:v>
                </c:pt>
                <c:pt idx="9">
                  <c:v>2.1999999999999999E-2</c:v>
                </c:pt>
                <c:pt idx="10">
                  <c:v>2.1000000000000001E-2</c:v>
                </c:pt>
                <c:pt idx="11">
                  <c:v>0.02</c:v>
                </c:pt>
                <c:pt idx="12">
                  <c:v>1.9E-2</c:v>
                </c:pt>
                <c:pt idx="13">
                  <c:v>1.9E-2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CC-476B-9CBE-B4AB95E16DE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'Gulich-Fig.10.6'!$P$105</c:f>
              <c:numCache>
                <c:formatCode>General</c:formatCode>
                <c:ptCount val="1"/>
                <c:pt idx="0">
                  <c:v>0.02</c:v>
                </c:pt>
              </c:numCache>
            </c:numRef>
          </c:xVal>
          <c:yVal>
            <c:numRef>
              <c:f>'Gulich-Fig.10.6'!$S$105</c:f>
              <c:numCache>
                <c:formatCode>General</c:formatCode>
                <c:ptCount val="1"/>
                <c:pt idx="0">
                  <c:v>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CC-476B-9CBE-B4AB95E16D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'Gulich-Fig.10.6'!$P$80:$P$93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'Gulich-Fig.10.6'!$S$80:$S$93</c:f>
              <c:numCache>
                <c:formatCode>General</c:formatCode>
                <c:ptCount val="14"/>
                <c:pt idx="0">
                  <c:v>0.27</c:v>
                </c:pt>
                <c:pt idx="1">
                  <c:v>0.18</c:v>
                </c:pt>
                <c:pt idx="2">
                  <c:v>0.13</c:v>
                </c:pt>
                <c:pt idx="3">
                  <c:v>0.115</c:v>
                </c:pt>
                <c:pt idx="4">
                  <c:v>0.11</c:v>
                </c:pt>
                <c:pt idx="5">
                  <c:v>0.105</c:v>
                </c:pt>
                <c:pt idx="6">
                  <c:v>0.10299999999999999</c:v>
                </c:pt>
                <c:pt idx="7">
                  <c:v>0.10100000000000001</c:v>
                </c:pt>
                <c:pt idx="8">
                  <c:v>0.1</c:v>
                </c:pt>
                <c:pt idx="9">
                  <c:v>9.5000000000000001E-2</c:v>
                </c:pt>
                <c:pt idx="10">
                  <c:v>9.4E-2</c:v>
                </c:pt>
                <c:pt idx="11">
                  <c:v>9.2999999999999999E-2</c:v>
                </c:pt>
                <c:pt idx="12">
                  <c:v>9.2999999999999999E-2</c:v>
                </c:pt>
                <c:pt idx="13">
                  <c:v>9.2999999999999999E-2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36-47F3-AD1A-F119A503BABD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'Gulich-Fig.10.6'!$P$105:$P$118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'Gulich-Fig.10.6'!$Q$105:$Q$118</c:f>
              <c:numCache>
                <c:formatCode>General</c:formatCode>
                <c:ptCount val="14"/>
                <c:pt idx="0">
                  <c:v>7.4999999999999997E-2</c:v>
                </c:pt>
                <c:pt idx="1">
                  <c:v>4.4999999999999998E-2</c:v>
                </c:pt>
                <c:pt idx="2">
                  <c:v>3.5000000000000003E-2</c:v>
                </c:pt>
                <c:pt idx="3">
                  <c:v>0.03</c:v>
                </c:pt>
                <c:pt idx="4">
                  <c:v>2.7E-2</c:v>
                </c:pt>
                <c:pt idx="5">
                  <c:v>2.5499999999999998E-2</c:v>
                </c:pt>
                <c:pt idx="6">
                  <c:v>2.4E-2</c:v>
                </c:pt>
                <c:pt idx="7">
                  <c:v>2.2700000000000001E-2</c:v>
                </c:pt>
                <c:pt idx="8">
                  <c:v>2.1499999999999998E-2</c:v>
                </c:pt>
                <c:pt idx="9">
                  <c:v>2.1000000000000001E-2</c:v>
                </c:pt>
                <c:pt idx="10">
                  <c:v>1.9800000000000002E-2</c:v>
                </c:pt>
                <c:pt idx="11">
                  <c:v>1.8800000000000001E-2</c:v>
                </c:pt>
                <c:pt idx="12">
                  <c:v>1.8499999999999999E-2</c:v>
                </c:pt>
                <c:pt idx="13">
                  <c:v>1.7999999999999999E-2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36-47F3-AD1A-F119A503BAB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'Gulich-Fig.10.6'!$P$105:$P$118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'Gulich-Fig.10.6'!$S$105:$S$118</c:f>
              <c:numCache>
                <c:formatCode>General</c:formatCode>
                <c:ptCount val="14"/>
                <c:pt idx="0">
                  <c:v>0.13</c:v>
                </c:pt>
                <c:pt idx="1">
                  <c:v>0.08</c:v>
                </c:pt>
                <c:pt idx="2">
                  <c:v>5.5E-2</c:v>
                </c:pt>
                <c:pt idx="3">
                  <c:v>4.4999999999999998E-2</c:v>
                </c:pt>
                <c:pt idx="4">
                  <c:v>3.7999999999999999E-2</c:v>
                </c:pt>
                <c:pt idx="5">
                  <c:v>3.2000000000000001E-2</c:v>
                </c:pt>
                <c:pt idx="6">
                  <c:v>2.8000000000000001E-2</c:v>
                </c:pt>
                <c:pt idx="7">
                  <c:v>2.5999999999999999E-2</c:v>
                </c:pt>
                <c:pt idx="8">
                  <c:v>2.4E-2</c:v>
                </c:pt>
                <c:pt idx="9">
                  <c:v>2.1000000000000001E-2</c:v>
                </c:pt>
                <c:pt idx="10">
                  <c:v>1.9800000000000002E-2</c:v>
                </c:pt>
                <c:pt idx="11">
                  <c:v>1.8800000000000001E-2</c:v>
                </c:pt>
                <c:pt idx="12">
                  <c:v>1.8499999999999999E-2</c:v>
                </c:pt>
                <c:pt idx="13">
                  <c:v>1.7999999999999999E-2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36-47F3-AD1A-F119A503BABD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'Gulich-Fig.10.6'!$P$5:$P$13</c:f>
              <c:numCache>
                <c:formatCode>General</c:formatCode>
                <c:ptCount val="9"/>
                <c:pt idx="0">
                  <c:v>1.4999999999999999E-2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</c:numCache>
            </c:numRef>
          </c:xVal>
          <c:yVal>
            <c:numRef>
              <c:f>'Gulich-Fig.10.6'!$Q$5:$Q$13</c:f>
              <c:numCache>
                <c:formatCode>General</c:formatCode>
                <c:ptCount val="9"/>
                <c:pt idx="0">
                  <c:v>1</c:v>
                </c:pt>
                <c:pt idx="1">
                  <c:v>0.8</c:v>
                </c:pt>
                <c:pt idx="2">
                  <c:v>0.6</c:v>
                </c:pt>
                <c:pt idx="3">
                  <c:v>0.5</c:v>
                </c:pt>
                <c:pt idx="4">
                  <c:v>0.43</c:v>
                </c:pt>
                <c:pt idx="5">
                  <c:v>0.38</c:v>
                </c:pt>
                <c:pt idx="6">
                  <c:v>0.34</c:v>
                </c:pt>
                <c:pt idx="7">
                  <c:v>0.31</c:v>
                </c:pt>
                <c:pt idx="8">
                  <c:v>0.28999999999999998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36-47F3-AD1A-F119A503BABD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'Gulich-Fig.10.6'!$P$30:$P$38</c:f>
              <c:numCache>
                <c:formatCode>General</c:formatCode>
                <c:ptCount val="9"/>
                <c:pt idx="0">
                  <c:v>1.4999999999999999E-2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</c:numCache>
            </c:numRef>
          </c:xVal>
          <c:yVal>
            <c:numRef>
              <c:f>'Gulich-Fig.10.6'!$S$30:$S$38</c:f>
              <c:numCache>
                <c:formatCode>General</c:formatCode>
                <c:ptCount val="9"/>
                <c:pt idx="0">
                  <c:v>0.6</c:v>
                </c:pt>
                <c:pt idx="1">
                  <c:v>0.5</c:v>
                </c:pt>
                <c:pt idx="2">
                  <c:v>0.4</c:v>
                </c:pt>
                <c:pt idx="3">
                  <c:v>0.34</c:v>
                </c:pt>
                <c:pt idx="4">
                  <c:v>0.3</c:v>
                </c:pt>
                <c:pt idx="5">
                  <c:v>0.27</c:v>
                </c:pt>
                <c:pt idx="6">
                  <c:v>0.25</c:v>
                </c:pt>
                <c:pt idx="7">
                  <c:v>0.23</c:v>
                </c:pt>
                <c:pt idx="8">
                  <c:v>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36-47F3-AD1A-F119A503BABD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'Gulich-Fig.10.6'!$P$55:$P$68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'Gulich-Fig.10.6'!$Q$55:$Q$68</c:f>
              <c:numCache>
                <c:formatCode>General</c:formatCode>
                <c:ptCount val="14"/>
                <c:pt idx="0">
                  <c:v>0.35</c:v>
                </c:pt>
                <c:pt idx="1">
                  <c:v>0.3</c:v>
                </c:pt>
                <c:pt idx="2">
                  <c:v>0.28000000000000003</c:v>
                </c:pt>
                <c:pt idx="3">
                  <c:v>0.26</c:v>
                </c:pt>
                <c:pt idx="4">
                  <c:v>0.23</c:v>
                </c:pt>
                <c:pt idx="5">
                  <c:v>0.22</c:v>
                </c:pt>
                <c:pt idx="6">
                  <c:v>0.2</c:v>
                </c:pt>
                <c:pt idx="7">
                  <c:v>0.18</c:v>
                </c:pt>
                <c:pt idx="8">
                  <c:v>0.16</c:v>
                </c:pt>
                <c:pt idx="9">
                  <c:v>0.14499999999999999</c:v>
                </c:pt>
                <c:pt idx="10">
                  <c:v>0.13</c:v>
                </c:pt>
                <c:pt idx="11">
                  <c:v>0.122</c:v>
                </c:pt>
                <c:pt idx="12">
                  <c:v>0.11</c:v>
                </c:pt>
                <c:pt idx="13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736-47F3-AD1A-F119A503BABD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'Gulich-Fig.10.6'!$P$55:$P$68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'Gulich-Fig.10.6'!$S$55:$S$68</c:f>
              <c:numCache>
                <c:formatCode>General</c:formatCode>
                <c:ptCount val="14"/>
                <c:pt idx="0">
                  <c:v>0.22</c:v>
                </c:pt>
                <c:pt idx="1">
                  <c:v>0.2</c:v>
                </c:pt>
                <c:pt idx="2">
                  <c:v>0.19</c:v>
                </c:pt>
                <c:pt idx="3">
                  <c:v>0.17</c:v>
                </c:pt>
                <c:pt idx="4">
                  <c:v>0.15</c:v>
                </c:pt>
                <c:pt idx="5">
                  <c:v>0.13</c:v>
                </c:pt>
                <c:pt idx="6">
                  <c:v>0.11</c:v>
                </c:pt>
                <c:pt idx="7">
                  <c:v>0.1</c:v>
                </c:pt>
                <c:pt idx="8">
                  <c:v>0.09</c:v>
                </c:pt>
                <c:pt idx="9">
                  <c:v>0.08</c:v>
                </c:pt>
                <c:pt idx="10">
                  <c:v>7.4999999999999997E-2</c:v>
                </c:pt>
                <c:pt idx="11">
                  <c:v>6.5000000000000002E-2</c:v>
                </c:pt>
                <c:pt idx="12">
                  <c:v>0.06</c:v>
                </c:pt>
                <c:pt idx="13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736-47F3-AD1A-F119A503BABD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'Gulich-Fig.10.6'!$P$130:$P$141</c:f>
              <c:numCache>
                <c:formatCode>General</c:formatCode>
                <c:ptCount val="12"/>
                <c:pt idx="0">
                  <c:v>1.2E-2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</c:numCache>
            </c:numRef>
          </c:xVal>
          <c:yVal>
            <c:numRef>
              <c:f>'Gulich-Fig.10.6'!$Q$130:$Q$141</c:f>
              <c:numCache>
                <c:formatCode>General</c:formatCode>
                <c:ptCount val="12"/>
                <c:pt idx="0">
                  <c:v>0.7</c:v>
                </c:pt>
                <c:pt idx="1">
                  <c:v>0.56999999999999995</c:v>
                </c:pt>
                <c:pt idx="2">
                  <c:v>0.45</c:v>
                </c:pt>
                <c:pt idx="3">
                  <c:v>0.32</c:v>
                </c:pt>
                <c:pt idx="4">
                  <c:v>0.25</c:v>
                </c:pt>
                <c:pt idx="5">
                  <c:v>0.22</c:v>
                </c:pt>
                <c:pt idx="6">
                  <c:v>0.2</c:v>
                </c:pt>
                <c:pt idx="7">
                  <c:v>0.18</c:v>
                </c:pt>
                <c:pt idx="8">
                  <c:v>0.16</c:v>
                </c:pt>
                <c:pt idx="9">
                  <c:v>0.14000000000000001</c:v>
                </c:pt>
                <c:pt idx="10">
                  <c:v>0.125</c:v>
                </c:pt>
                <c:pt idx="11">
                  <c:v>0.115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36-47F3-AD1A-F119A503B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82352"/>
        <c:axId val="1596784272"/>
      </c:scatterChart>
      <c:valAx>
        <c:axId val="1596782352"/>
        <c:scaling>
          <c:logBase val="10"/>
          <c:orientation val="minMax"/>
          <c:max val="1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784272"/>
        <c:crosses val="autoZero"/>
        <c:crossBetween val="midCat"/>
      </c:valAx>
      <c:valAx>
        <c:axId val="1596784272"/>
        <c:scaling>
          <c:logBase val="10"/>
          <c:orientation val="minMax"/>
          <c:max val="1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FF0000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78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6.3212503191857436E-2"/>
                  <c:y val="-0.43341556928184627"/>
                </c:manualLayout>
              </c:layout>
              <c:numFmt formatCode="#,##0.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6.7127049433919183E-4"/>
                  <c:y val="4.325393570120803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'Gulich-Fig.10.6'!$P$80:$P$93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'Gulich-Fig.10.6'!$R$80:$R$93</c:f>
              <c:numCache>
                <c:formatCode>General</c:formatCode>
                <c:ptCount val="14"/>
                <c:pt idx="0">
                  <c:v>-1</c:v>
                </c:pt>
                <c:pt idx="1">
                  <c:v>-1.1870866433571443</c:v>
                </c:pt>
                <c:pt idx="2">
                  <c:v>-1.3010299956639813</c:v>
                </c:pt>
                <c:pt idx="3">
                  <c:v>-1.3979400086720375</c:v>
                </c:pt>
                <c:pt idx="4">
                  <c:v>-1.4814860601221125</c:v>
                </c:pt>
                <c:pt idx="5">
                  <c:v>-1.5228787452803376</c:v>
                </c:pt>
                <c:pt idx="6">
                  <c:v>-1.5686362358410126</c:v>
                </c:pt>
                <c:pt idx="7">
                  <c:v>-1.6020599913279623</c:v>
                </c:pt>
                <c:pt idx="8">
                  <c:v>-1.6382721639824072</c:v>
                </c:pt>
                <c:pt idx="9">
                  <c:v>-1.6575773191777938</c:v>
                </c:pt>
                <c:pt idx="10">
                  <c:v>-1.6777807052660807</c:v>
                </c:pt>
                <c:pt idx="11">
                  <c:v>-1.6989700043360187</c:v>
                </c:pt>
                <c:pt idx="12">
                  <c:v>-1.7212463990471711</c:v>
                </c:pt>
                <c:pt idx="13">
                  <c:v>-1.7212463990471711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49-4B39-B53D-F73E5AF59AB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1.0521118506962473E-3"/>
                  <c:y val="5.551848492159918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'Gulich-Fig.10.6'!$P$80:$P$93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'Gulich-Fig.10.6'!$T$80:$T$93</c:f>
              <c:numCache>
                <c:formatCode>General</c:formatCode>
                <c:ptCount val="14"/>
                <c:pt idx="0">
                  <c:v>-0.56863623584101264</c:v>
                </c:pt>
                <c:pt idx="1">
                  <c:v>-0.74472749489669399</c:v>
                </c:pt>
                <c:pt idx="2">
                  <c:v>-0.88605664769316317</c:v>
                </c:pt>
                <c:pt idx="3">
                  <c:v>-0.9393021596463883</c:v>
                </c:pt>
                <c:pt idx="4">
                  <c:v>-0.95860731484177497</c:v>
                </c:pt>
                <c:pt idx="5">
                  <c:v>-0.97881070093006195</c:v>
                </c:pt>
                <c:pt idx="6">
                  <c:v>-0.98716277529482777</c:v>
                </c:pt>
                <c:pt idx="7">
                  <c:v>-0.99567862621735737</c:v>
                </c:pt>
                <c:pt idx="8">
                  <c:v>-1</c:v>
                </c:pt>
                <c:pt idx="9">
                  <c:v>-1.0222763947111522</c:v>
                </c:pt>
                <c:pt idx="10">
                  <c:v>-1.0268721464003014</c:v>
                </c:pt>
                <c:pt idx="11">
                  <c:v>-1.031517051446065</c:v>
                </c:pt>
                <c:pt idx="12">
                  <c:v>-1.031517051446065</c:v>
                </c:pt>
                <c:pt idx="13">
                  <c:v>-1.031517051446065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38-4F5A-98EF-6AC2D026C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32287"/>
        <c:axId val="353229887"/>
      </c:scatterChart>
      <c:valAx>
        <c:axId val="35323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9887"/>
        <c:crosses val="autoZero"/>
        <c:crossBetween val="midCat"/>
      </c:valAx>
      <c:valAx>
        <c:axId val="3532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6.3212503191857436E-2"/>
                  <c:y val="-0.43341556928184627"/>
                </c:manualLayout>
              </c:layout>
              <c:numFmt formatCode="#,##0.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6.7127049433919183E-4"/>
                  <c:y val="4.325393570120803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'Gulich-Fig.10.6'!$P$105:$P$118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'Gulich-Fig.10.6'!$R$105:$R$118</c:f>
              <c:numCache>
                <c:formatCode>General</c:formatCode>
                <c:ptCount val="14"/>
                <c:pt idx="0">
                  <c:v>-1.1249387366082999</c:v>
                </c:pt>
                <c:pt idx="1">
                  <c:v>-1.3467874862246563</c:v>
                </c:pt>
                <c:pt idx="2">
                  <c:v>-1.4559319556497243</c:v>
                </c:pt>
                <c:pt idx="3">
                  <c:v>-1.5228787452803376</c:v>
                </c:pt>
                <c:pt idx="4">
                  <c:v>-1.5686362358410126</c:v>
                </c:pt>
                <c:pt idx="5">
                  <c:v>-1.5934598195660448</c:v>
                </c:pt>
                <c:pt idx="6">
                  <c:v>-1.6197887582883939</c:v>
                </c:pt>
                <c:pt idx="7">
                  <c:v>-1.6439741428068773</c:v>
                </c:pt>
                <c:pt idx="8">
                  <c:v>-1.6675615400843946</c:v>
                </c:pt>
                <c:pt idx="9">
                  <c:v>-1.6777807052660807</c:v>
                </c:pt>
                <c:pt idx="10">
                  <c:v>-1.7033348097384688</c:v>
                </c:pt>
                <c:pt idx="11">
                  <c:v>-1.7258421507363202</c:v>
                </c:pt>
                <c:pt idx="12">
                  <c:v>-1.7328282715969863</c:v>
                </c:pt>
                <c:pt idx="13">
                  <c:v>-1.744727494896694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7A-43F0-A0C2-38DAEE4F90B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13850881130679751"/>
                  <c:y val="-0.377813934407856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'Gulich-Fig.10.6'!$P$105:$P$118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'Gulich-Fig.10.6'!$T$105:$T$118</c:f>
              <c:numCache>
                <c:formatCode>General</c:formatCode>
                <c:ptCount val="14"/>
                <c:pt idx="0">
                  <c:v>-0.88605664769316317</c:v>
                </c:pt>
                <c:pt idx="1">
                  <c:v>-1.0969100130080565</c:v>
                </c:pt>
                <c:pt idx="2">
                  <c:v>-1.2596373105057561</c:v>
                </c:pt>
                <c:pt idx="3">
                  <c:v>-1.3467874862246563</c:v>
                </c:pt>
                <c:pt idx="4">
                  <c:v>-1.4202164033831899</c:v>
                </c:pt>
                <c:pt idx="5">
                  <c:v>-1.494850021680094</c:v>
                </c:pt>
                <c:pt idx="6">
                  <c:v>-1.5528419686577808</c:v>
                </c:pt>
                <c:pt idx="7">
                  <c:v>-1.585026652029182</c:v>
                </c:pt>
                <c:pt idx="8">
                  <c:v>-1.6197887582883939</c:v>
                </c:pt>
                <c:pt idx="9">
                  <c:v>-1.6777807052660807</c:v>
                </c:pt>
                <c:pt idx="10">
                  <c:v>-1.7033348097384688</c:v>
                </c:pt>
                <c:pt idx="11">
                  <c:v>-1.7258421507363202</c:v>
                </c:pt>
                <c:pt idx="12">
                  <c:v>-1.7328282715969863</c:v>
                </c:pt>
                <c:pt idx="13">
                  <c:v>-1.744727494896694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7A-43F0-A0C2-38DAEE4F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32287"/>
        <c:axId val="353229887"/>
      </c:scatterChart>
      <c:valAx>
        <c:axId val="35323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9887"/>
        <c:crosses val="autoZero"/>
        <c:crossBetween val="midCat"/>
      </c:valAx>
      <c:valAx>
        <c:axId val="3532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6.3212503191857436E-2"/>
                  <c:y val="-0.43341556928184627"/>
                </c:manualLayout>
              </c:layout>
              <c:numFmt formatCode="#,##0.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7.3159909047980833E-3"/>
                  <c:y val="-0.27549552839217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'Gulich-Fig.10.6'!$P$55:$P$68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'Gulich-Fig.10.6'!$R$55:$R$68</c:f>
              <c:numCache>
                <c:formatCode>General</c:formatCode>
                <c:ptCount val="14"/>
                <c:pt idx="0">
                  <c:v>-0.45593195564972439</c:v>
                </c:pt>
                <c:pt idx="1">
                  <c:v>-0.52287874528033762</c:v>
                </c:pt>
                <c:pt idx="2">
                  <c:v>-0.55284196865778079</c:v>
                </c:pt>
                <c:pt idx="3">
                  <c:v>-0.58502665202918203</c:v>
                </c:pt>
                <c:pt idx="4">
                  <c:v>-0.63827216398240705</c:v>
                </c:pt>
                <c:pt idx="5">
                  <c:v>-0.65757731917779372</c:v>
                </c:pt>
                <c:pt idx="6">
                  <c:v>-0.69897000433601875</c:v>
                </c:pt>
                <c:pt idx="7">
                  <c:v>-0.74472749489669399</c:v>
                </c:pt>
                <c:pt idx="8">
                  <c:v>-0.79588001734407521</c:v>
                </c:pt>
                <c:pt idx="9">
                  <c:v>-0.83863199776502517</c:v>
                </c:pt>
                <c:pt idx="10">
                  <c:v>-0.88605664769316317</c:v>
                </c:pt>
                <c:pt idx="11">
                  <c:v>-0.91364016932525183</c:v>
                </c:pt>
                <c:pt idx="12">
                  <c:v>-0.95860731484177497</c:v>
                </c:pt>
                <c:pt idx="13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2B-42EB-9B62-38CB1CBCA53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1.0521118506962473E-3"/>
                  <c:y val="5.551848492159918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'Gulich-Fig.10.6'!$P$55:$P$68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'Gulich-Fig.10.6'!$T$55:$T$68</c:f>
              <c:numCache>
                <c:formatCode>General</c:formatCode>
                <c:ptCount val="14"/>
                <c:pt idx="0">
                  <c:v>-0.65757731917779372</c:v>
                </c:pt>
                <c:pt idx="1">
                  <c:v>-0.69897000433601875</c:v>
                </c:pt>
                <c:pt idx="2">
                  <c:v>-0.72124639904717103</c:v>
                </c:pt>
                <c:pt idx="3">
                  <c:v>-0.769551078621726</c:v>
                </c:pt>
                <c:pt idx="4">
                  <c:v>-0.82390874094431876</c:v>
                </c:pt>
                <c:pt idx="5">
                  <c:v>-0.88605664769316317</c:v>
                </c:pt>
                <c:pt idx="6">
                  <c:v>-0.95860731484177497</c:v>
                </c:pt>
                <c:pt idx="7">
                  <c:v>-1</c:v>
                </c:pt>
                <c:pt idx="8">
                  <c:v>-1.0457574905606752</c:v>
                </c:pt>
                <c:pt idx="9">
                  <c:v>-1.0969100130080565</c:v>
                </c:pt>
                <c:pt idx="10">
                  <c:v>-1.1249387366082999</c:v>
                </c:pt>
                <c:pt idx="11">
                  <c:v>-1.1870866433571443</c:v>
                </c:pt>
                <c:pt idx="12">
                  <c:v>-1.2218487496163564</c:v>
                </c:pt>
                <c:pt idx="13">
                  <c:v>-1.3010299956639813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2B-42EB-9B62-38CB1CBCA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32287"/>
        <c:axId val="353229887"/>
      </c:scatterChart>
      <c:valAx>
        <c:axId val="35323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9887"/>
        <c:crosses val="autoZero"/>
        <c:crossBetween val="midCat"/>
      </c:valAx>
      <c:valAx>
        <c:axId val="3532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6.3212503191857436E-2"/>
                  <c:y val="-0.43341556928184627"/>
                </c:manualLayout>
              </c:layout>
              <c:numFmt formatCode="#,##0.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6.7127049433919183E-4"/>
                  <c:y val="4.325393570120803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'Gulich-Fig.10.6'!$P$5:$P$18</c:f>
              <c:numCache>
                <c:formatCode>General</c:formatCode>
                <c:ptCount val="14"/>
                <c:pt idx="0">
                  <c:v>1.4999999999999999E-2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</c:numCache>
            </c:numRef>
          </c:xVal>
          <c:yVal>
            <c:numRef>
              <c:f>'Gulich-Fig.10.6'!$R$5:$R$18</c:f>
              <c:numCache>
                <c:formatCode>General</c:formatCode>
                <c:ptCount val="14"/>
                <c:pt idx="0">
                  <c:v>0</c:v>
                </c:pt>
                <c:pt idx="1">
                  <c:v>-9.6910013008056392E-2</c:v>
                </c:pt>
                <c:pt idx="2">
                  <c:v>-0.22184874961635639</c:v>
                </c:pt>
                <c:pt idx="3">
                  <c:v>-0.3010299956639812</c:v>
                </c:pt>
                <c:pt idx="4">
                  <c:v>-0.36653154442041347</c:v>
                </c:pt>
                <c:pt idx="5">
                  <c:v>-0.42021640338318983</c:v>
                </c:pt>
                <c:pt idx="6">
                  <c:v>-0.46852108295774486</c:v>
                </c:pt>
                <c:pt idx="7">
                  <c:v>-0.50863830616572736</c:v>
                </c:pt>
                <c:pt idx="8">
                  <c:v>-0.53760200210104392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8D-4C8B-867C-C6C52A14F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32287"/>
        <c:axId val="353229887"/>
      </c:scatterChart>
      <c:valAx>
        <c:axId val="35323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9887"/>
        <c:crosses val="autoZero"/>
        <c:crossBetween val="midCat"/>
      </c:valAx>
      <c:valAx>
        <c:axId val="3532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1.0521118506962473E-3"/>
                  <c:y val="5.551848492159918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'Gulich-Fig.10.6'!$P$30:$P$43</c:f>
              <c:numCache>
                <c:formatCode>General</c:formatCode>
                <c:ptCount val="14"/>
                <c:pt idx="0">
                  <c:v>1.4999999999999999E-2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</c:numCache>
            </c:numRef>
          </c:xVal>
          <c:yVal>
            <c:numRef>
              <c:f>'Gulich-Fig.10.6'!$T$30:$T$43</c:f>
              <c:numCache>
                <c:formatCode>General</c:formatCode>
                <c:ptCount val="14"/>
                <c:pt idx="0">
                  <c:v>-0.22184874961635639</c:v>
                </c:pt>
                <c:pt idx="1">
                  <c:v>-0.3010299956639812</c:v>
                </c:pt>
                <c:pt idx="2">
                  <c:v>-0.3979400086720376</c:v>
                </c:pt>
                <c:pt idx="3">
                  <c:v>-0.46852108295774486</c:v>
                </c:pt>
                <c:pt idx="4">
                  <c:v>-0.52287874528033762</c:v>
                </c:pt>
                <c:pt idx="5">
                  <c:v>-0.56863623584101264</c:v>
                </c:pt>
                <c:pt idx="6">
                  <c:v>-0.6020599913279624</c:v>
                </c:pt>
                <c:pt idx="7">
                  <c:v>-0.63827216398240705</c:v>
                </c:pt>
                <c:pt idx="8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771-4596-B3A9-452B4F88F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32287"/>
        <c:axId val="353229887"/>
      </c:scatterChart>
      <c:valAx>
        <c:axId val="35323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9887"/>
        <c:crosses val="autoZero"/>
        <c:crossBetween val="midCat"/>
      </c:valAx>
      <c:valAx>
        <c:axId val="3532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6.3212503191857436E-2"/>
                  <c:y val="-0.43341556928184627"/>
                </c:manualLayout>
              </c:layout>
              <c:numFmt formatCode="#,##0.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6.7127049433919183E-4"/>
                  <c:y val="4.325393570120803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'Gulich-Fig.10.6'!$P$130:$P$143</c:f>
              <c:numCache>
                <c:formatCode>General</c:formatCode>
                <c:ptCount val="14"/>
                <c:pt idx="0">
                  <c:v>1.2E-2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</c:numCache>
            </c:numRef>
          </c:xVal>
          <c:yVal>
            <c:numRef>
              <c:f>'Gulich-Fig.10.6'!$R$130:$R$143</c:f>
              <c:numCache>
                <c:formatCode>General</c:formatCode>
                <c:ptCount val="14"/>
                <c:pt idx="0">
                  <c:v>-0.15490195998574319</c:v>
                </c:pt>
                <c:pt idx="1">
                  <c:v>-0.24412514432750865</c:v>
                </c:pt>
                <c:pt idx="2">
                  <c:v>-0.34678748622465633</c:v>
                </c:pt>
                <c:pt idx="3">
                  <c:v>-0.49485002168009401</c:v>
                </c:pt>
                <c:pt idx="4">
                  <c:v>-0.6020599913279624</c:v>
                </c:pt>
                <c:pt idx="5">
                  <c:v>-0.65757731917779372</c:v>
                </c:pt>
                <c:pt idx="6">
                  <c:v>-0.69897000433601875</c:v>
                </c:pt>
                <c:pt idx="7">
                  <c:v>-0.74472749489669399</c:v>
                </c:pt>
                <c:pt idx="8">
                  <c:v>-0.79588001734407521</c:v>
                </c:pt>
                <c:pt idx="9">
                  <c:v>-0.85387196432176193</c:v>
                </c:pt>
                <c:pt idx="10">
                  <c:v>-0.90308998699194354</c:v>
                </c:pt>
                <c:pt idx="11">
                  <c:v>-0.9393021596463883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E0-4569-BAB7-CEB998FAE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32287"/>
        <c:axId val="353229887"/>
      </c:scatterChart>
      <c:valAx>
        <c:axId val="35323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9887"/>
        <c:crosses val="autoZero"/>
        <c:crossBetween val="midCat"/>
      </c:valAx>
      <c:valAx>
        <c:axId val="3532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emf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image" Target="../media/image4.png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4</xdr:col>
      <xdr:colOff>492016</xdr:colOff>
      <xdr:row>2</xdr:row>
      <xdr:rowOff>206607</xdr:rowOff>
    </xdr:to>
    <xdr:pic>
      <xdr:nvPicPr>
        <xdr:cNvPr id="4" name="Immagin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16175" cy="6578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19</xdr:row>
      <xdr:rowOff>36635</xdr:rowOff>
    </xdr:from>
    <xdr:to>
      <xdr:col>5</xdr:col>
      <xdr:colOff>82501</xdr:colOff>
      <xdr:row>37</xdr:row>
      <xdr:rowOff>249115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CA3328A-6C6C-B7FA-4D71-713A25A53F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27378</xdr:colOff>
      <xdr:row>19</xdr:row>
      <xdr:rowOff>66848</xdr:rowOff>
    </xdr:from>
    <xdr:to>
      <xdr:col>5</xdr:col>
      <xdr:colOff>59392</xdr:colOff>
      <xdr:row>24</xdr:row>
      <xdr:rowOff>57098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26635181-4280-50FA-1627-55153EC5D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378" y="3620406"/>
          <a:ext cx="2791040" cy="842371"/>
        </a:xfrm>
        <a:prstGeom prst="rect">
          <a:avLst/>
        </a:prstGeom>
      </xdr:spPr>
    </xdr:pic>
    <xdr:clientData/>
  </xdr:twoCellAnchor>
  <xdr:twoCellAnchor>
    <xdr:from>
      <xdr:col>5</xdr:col>
      <xdr:colOff>117230</xdr:colOff>
      <xdr:row>19</xdr:row>
      <xdr:rowOff>49676</xdr:rowOff>
    </xdr:from>
    <xdr:to>
      <xdr:col>12</xdr:col>
      <xdr:colOff>351692</xdr:colOff>
      <xdr:row>37</xdr:row>
      <xdr:rowOff>246916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DF6E6C0-EE91-45C7-AB24-04626E099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4</xdr:col>
      <xdr:colOff>131279</xdr:colOff>
      <xdr:row>2</xdr:row>
      <xdr:rowOff>210417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12093" cy="6442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103198</xdr:colOff>
      <xdr:row>2</xdr:row>
      <xdr:rowOff>28181</xdr:rowOff>
    </xdr:from>
    <xdr:to>
      <xdr:col>9</xdr:col>
      <xdr:colOff>396652</xdr:colOff>
      <xdr:row>39</xdr:row>
      <xdr:rowOff>18283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24FDB5F9-6232-557A-5072-28946EB53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98" y="28181"/>
          <a:ext cx="5859714" cy="6309447"/>
        </a:xfrm>
        <a:prstGeom prst="rect">
          <a:avLst/>
        </a:prstGeom>
      </xdr:spPr>
    </xdr:pic>
    <xdr:clientData/>
  </xdr:twoCellAnchor>
  <xdr:twoCellAnchor>
    <xdr:from>
      <xdr:col>0</xdr:col>
      <xdr:colOff>151086</xdr:colOff>
      <xdr:row>2</xdr:row>
      <xdr:rowOff>22466</xdr:rowOff>
    </xdr:from>
    <xdr:to>
      <xdr:col>9</xdr:col>
      <xdr:colOff>394138</xdr:colOff>
      <xdr:row>20</xdr:row>
      <xdr:rowOff>93936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9D81FE2-1F56-141C-319C-1F3C67AE3E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31225</xdr:colOff>
      <xdr:row>77</xdr:row>
      <xdr:rowOff>101608</xdr:rowOff>
    </xdr:from>
    <xdr:to>
      <xdr:col>26</xdr:col>
      <xdr:colOff>579782</xdr:colOff>
      <xdr:row>93</xdr:row>
      <xdr:rowOff>123548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9CFBC304-D1AA-29FA-6AFF-B1F709506D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31225</xdr:colOff>
      <xdr:row>102</xdr:row>
      <xdr:rowOff>101608</xdr:rowOff>
    </xdr:from>
    <xdr:to>
      <xdr:col>26</xdr:col>
      <xdr:colOff>579782</xdr:colOff>
      <xdr:row>118</xdr:row>
      <xdr:rowOff>123548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6BBE146-4D65-48B2-BBFE-26C3A35702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31225</xdr:colOff>
      <xdr:row>52</xdr:row>
      <xdr:rowOff>101608</xdr:rowOff>
    </xdr:from>
    <xdr:to>
      <xdr:col>26</xdr:col>
      <xdr:colOff>579782</xdr:colOff>
      <xdr:row>68</xdr:row>
      <xdr:rowOff>123548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865E3B2-07B8-4D26-B4A4-462F10FC5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31225</xdr:colOff>
      <xdr:row>2</xdr:row>
      <xdr:rowOff>101608</xdr:rowOff>
    </xdr:from>
    <xdr:to>
      <xdr:col>26</xdr:col>
      <xdr:colOff>579782</xdr:colOff>
      <xdr:row>18</xdr:row>
      <xdr:rowOff>123548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1E917620-DC03-4ACD-B54B-AB6A26ECF9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31225</xdr:colOff>
      <xdr:row>27</xdr:row>
      <xdr:rowOff>101608</xdr:rowOff>
    </xdr:from>
    <xdr:to>
      <xdr:col>26</xdr:col>
      <xdr:colOff>579782</xdr:colOff>
      <xdr:row>43</xdr:row>
      <xdr:rowOff>123548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77BB0228-E55B-4529-A27E-D4D3587D3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31225</xdr:colOff>
      <xdr:row>127</xdr:row>
      <xdr:rowOff>101608</xdr:rowOff>
    </xdr:from>
    <xdr:to>
      <xdr:col>26</xdr:col>
      <xdr:colOff>579782</xdr:colOff>
      <xdr:row>143</xdr:row>
      <xdr:rowOff>123548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779497E3-1846-4B97-9AB6-672D98025F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97</xdr:row>
      <xdr:rowOff>28575</xdr:rowOff>
    </xdr:from>
    <xdr:to>
      <xdr:col>4</xdr:col>
      <xdr:colOff>1540216</xdr:colOff>
      <xdr:row>140</xdr:row>
      <xdr:rowOff>57150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7525" y="16144875"/>
          <a:ext cx="6124575" cy="698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Areas/FWENVI/WWT%20Area/1-BH-0267A%20-%20prolungamento%20studio%20di%20fattibilit&#224;%20KRC/09%20Design%20calculations/calcoli%20finali/pfd%20nuovo%20impianto%20-%20falda%20+%20processo%20con%20biologic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tmilfs002/b1h00/PROJECTS/1-BH-0389A%20KJO-RWTF2/09%20Design%20calculations/Linee/Linee%2010_12_16%20sketch%20Bottazzi/Design%20flowrate/line%2012%20pollici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wfsc003/1cd1213a/ZoneExchange/Equipment%20list/front%20pag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er/c/Backup%2029-09-06/Seam%201-025%20Politecnico%20Merone/09.0%20-%20Design%20Calculation/Linea%20fanghi/Progettazione%20impianto%20civile/progetto%20impianto%20di%20depurazione%20civi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AREAS/DIP110/APPLICAT/pumps/PUM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 medie inquinanti "/>
      <sheetName val="Schema a blocchi"/>
      <sheetName val="calcolo servizi"/>
      <sheetName val="API"/>
      <sheetName val="DAF"/>
      <sheetName val="Caldensitàmiscela"/>
      <sheetName val="Basi di progetto biologico"/>
      <sheetName val="Biologico tradizionale"/>
      <sheetName val="Calcolo ossigeno"/>
      <sheetName val="Sedimentazione Secondaria"/>
      <sheetName val="Valutazione fanghi prodotti"/>
      <sheetName val="Ispessitore"/>
      <sheetName val="Ricalcolo acqua in ingresso API"/>
      <sheetName val="Calcolo apparecchiature"/>
      <sheetName val="Compressori"/>
      <sheetName val="CPI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7">
          <cell r="F17">
            <v>15.7</v>
          </cell>
        </row>
        <row r="18">
          <cell r="F18">
            <v>18.7</v>
          </cell>
        </row>
        <row r="19">
          <cell r="F19">
            <v>22.8</v>
          </cell>
        </row>
        <row r="20">
          <cell r="F20">
            <v>29.2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m RPI"/>
      <sheetName val="From Surge Tank"/>
      <sheetName val="From CPI"/>
    </sheetNames>
    <sheetDataSet>
      <sheetData sheetId="0">
        <row r="88">
          <cell r="AB88">
            <v>0.30480000000000002</v>
          </cell>
        </row>
        <row r="90">
          <cell r="AB90">
            <v>1.01325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>
        <row r="2">
          <cell r="A2" t="str">
            <v>DI</v>
          </cell>
          <cell r="C2" t="str">
            <v>AE</v>
          </cell>
          <cell r="D2">
            <v>1111</v>
          </cell>
        </row>
        <row r="3">
          <cell r="A3" t="str">
            <v>XX</v>
          </cell>
          <cell r="C3" t="str">
            <v>BM</v>
          </cell>
          <cell r="D3">
            <v>2222</v>
          </cell>
        </row>
        <row r="4">
          <cell r="A4" t="str">
            <v>FR</v>
          </cell>
          <cell r="C4" t="str">
            <v>CA</v>
          </cell>
          <cell r="D4">
            <v>3333</v>
          </cell>
        </row>
        <row r="5">
          <cell r="A5" t="str">
            <v>NH</v>
          </cell>
          <cell r="C5" t="str">
            <v>CS</v>
          </cell>
          <cell r="D5">
            <v>4444</v>
          </cell>
        </row>
        <row r="6">
          <cell r="A6" t="str">
            <v>OO</v>
          </cell>
          <cell r="C6" t="str">
            <v>BQ</v>
          </cell>
        </row>
        <row r="7">
          <cell r="A7" t="str">
            <v>UK</v>
          </cell>
          <cell r="C7" t="str">
            <v>DI</v>
          </cell>
        </row>
        <row r="8">
          <cell r="A8" t="str">
            <v>US</v>
          </cell>
          <cell r="C8" t="str">
            <v>01</v>
          </cell>
        </row>
        <row r="9">
          <cell r="A9" t="str">
            <v>VP</v>
          </cell>
          <cell r="C9" t="str">
            <v>02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 di progetto"/>
      <sheetName val="Canaletta in ingresso"/>
      <sheetName val="Griglia grossolana"/>
      <sheetName val="Dissabbiatore"/>
      <sheetName val="Vasca di compenso"/>
      <sheetName val="Sedimentazione Primaria"/>
      <sheetName val="Biologico tradizionale"/>
      <sheetName val="Nitro"/>
      <sheetName val="Denitro"/>
      <sheetName val=" nitro denitro (T perm) e dim."/>
      <sheetName val="Sedimentazione Secondaria"/>
      <sheetName val="ossigeno in nitro"/>
      <sheetName val="Filtrazione"/>
      <sheetName val="Disinfezione"/>
      <sheetName val="Valutazione fanghi prodotti"/>
      <sheetName val="vasca di miscelazione fanghi"/>
      <sheetName val="Ispessitore"/>
      <sheetName val="Digestione Anaerobica"/>
      <sheetName val="Dimensionamento dig. anaer."/>
      <sheetName val="Filtropressatura"/>
      <sheetName val="Gasometro"/>
      <sheetName val="Sheet1"/>
    </sheetNames>
    <sheetDataSet>
      <sheetData sheetId="0">
        <row r="10">
          <cell r="D10">
            <v>1180</v>
          </cell>
        </row>
        <row r="12">
          <cell r="D12">
            <v>3600</v>
          </cell>
        </row>
        <row r="14">
          <cell r="D14">
            <v>2380</v>
          </cell>
        </row>
        <row r="16">
          <cell r="D16">
            <v>2150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MP CALCULATION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151D-5899-4A99-BDD0-9FBFC2863881}">
  <sheetPr>
    <tabColor rgb="FF92D050"/>
  </sheetPr>
  <dimension ref="A1:AD48"/>
  <sheetViews>
    <sheetView zoomScale="115" zoomScaleNormal="115" zoomScaleSheetLayoutView="100" workbookViewId="0">
      <selection activeCell="A8" sqref="A8:AD39"/>
    </sheetView>
  </sheetViews>
  <sheetFormatPr baseColWidth="10" defaultColWidth="8.83203125" defaultRowHeight="12"/>
  <cols>
    <col min="1" max="30" width="3.33203125" style="27" customWidth="1"/>
    <col min="31" max="256" width="9.1640625" style="27"/>
    <col min="257" max="286" width="3.33203125" style="27" customWidth="1"/>
    <col min="287" max="512" width="9.1640625" style="27"/>
    <col min="513" max="542" width="3.33203125" style="27" customWidth="1"/>
    <col min="543" max="768" width="9.1640625" style="27"/>
    <col min="769" max="798" width="3.33203125" style="27" customWidth="1"/>
    <col min="799" max="1024" width="9.1640625" style="27"/>
    <col min="1025" max="1054" width="3.33203125" style="27" customWidth="1"/>
    <col min="1055" max="1280" width="9.1640625" style="27"/>
    <col min="1281" max="1310" width="3.33203125" style="27" customWidth="1"/>
    <col min="1311" max="1536" width="9.1640625" style="27"/>
    <col min="1537" max="1566" width="3.33203125" style="27" customWidth="1"/>
    <col min="1567" max="1792" width="9.1640625" style="27"/>
    <col min="1793" max="1822" width="3.33203125" style="27" customWidth="1"/>
    <col min="1823" max="2048" width="9.1640625" style="27"/>
    <col min="2049" max="2078" width="3.33203125" style="27" customWidth="1"/>
    <col min="2079" max="2304" width="9.1640625" style="27"/>
    <col min="2305" max="2334" width="3.33203125" style="27" customWidth="1"/>
    <col min="2335" max="2560" width="9.1640625" style="27"/>
    <col min="2561" max="2590" width="3.33203125" style="27" customWidth="1"/>
    <col min="2591" max="2816" width="9.1640625" style="27"/>
    <col min="2817" max="2846" width="3.33203125" style="27" customWidth="1"/>
    <col min="2847" max="3072" width="9.1640625" style="27"/>
    <col min="3073" max="3102" width="3.33203125" style="27" customWidth="1"/>
    <col min="3103" max="3328" width="9.1640625" style="27"/>
    <col min="3329" max="3358" width="3.33203125" style="27" customWidth="1"/>
    <col min="3359" max="3584" width="9.1640625" style="27"/>
    <col min="3585" max="3614" width="3.33203125" style="27" customWidth="1"/>
    <col min="3615" max="3840" width="9.1640625" style="27"/>
    <col min="3841" max="3870" width="3.33203125" style="27" customWidth="1"/>
    <col min="3871" max="4096" width="9.1640625" style="27"/>
    <col min="4097" max="4126" width="3.33203125" style="27" customWidth="1"/>
    <col min="4127" max="4352" width="9.1640625" style="27"/>
    <col min="4353" max="4382" width="3.33203125" style="27" customWidth="1"/>
    <col min="4383" max="4608" width="9.1640625" style="27"/>
    <col min="4609" max="4638" width="3.33203125" style="27" customWidth="1"/>
    <col min="4639" max="4864" width="9.1640625" style="27"/>
    <col min="4865" max="4894" width="3.33203125" style="27" customWidth="1"/>
    <col min="4895" max="5120" width="9.1640625" style="27"/>
    <col min="5121" max="5150" width="3.33203125" style="27" customWidth="1"/>
    <col min="5151" max="5376" width="9.1640625" style="27"/>
    <col min="5377" max="5406" width="3.33203125" style="27" customWidth="1"/>
    <col min="5407" max="5632" width="9.1640625" style="27"/>
    <col min="5633" max="5662" width="3.33203125" style="27" customWidth="1"/>
    <col min="5663" max="5888" width="9.1640625" style="27"/>
    <col min="5889" max="5918" width="3.33203125" style="27" customWidth="1"/>
    <col min="5919" max="6144" width="9.1640625" style="27"/>
    <col min="6145" max="6174" width="3.33203125" style="27" customWidth="1"/>
    <col min="6175" max="6400" width="9.1640625" style="27"/>
    <col min="6401" max="6430" width="3.33203125" style="27" customWidth="1"/>
    <col min="6431" max="6656" width="9.1640625" style="27"/>
    <col min="6657" max="6686" width="3.33203125" style="27" customWidth="1"/>
    <col min="6687" max="6912" width="9.1640625" style="27"/>
    <col min="6913" max="6942" width="3.33203125" style="27" customWidth="1"/>
    <col min="6943" max="7168" width="9.1640625" style="27"/>
    <col min="7169" max="7198" width="3.33203125" style="27" customWidth="1"/>
    <col min="7199" max="7424" width="9.1640625" style="27"/>
    <col min="7425" max="7454" width="3.33203125" style="27" customWidth="1"/>
    <col min="7455" max="7680" width="9.1640625" style="27"/>
    <col min="7681" max="7710" width="3.33203125" style="27" customWidth="1"/>
    <col min="7711" max="7936" width="9.1640625" style="27"/>
    <col min="7937" max="7966" width="3.33203125" style="27" customWidth="1"/>
    <col min="7967" max="8192" width="9.1640625" style="27"/>
    <col min="8193" max="8222" width="3.33203125" style="27" customWidth="1"/>
    <col min="8223" max="8448" width="9.1640625" style="27"/>
    <col min="8449" max="8478" width="3.33203125" style="27" customWidth="1"/>
    <col min="8479" max="8704" width="9.1640625" style="27"/>
    <col min="8705" max="8734" width="3.33203125" style="27" customWidth="1"/>
    <col min="8735" max="8960" width="9.1640625" style="27"/>
    <col min="8961" max="8990" width="3.33203125" style="27" customWidth="1"/>
    <col min="8991" max="9216" width="9.1640625" style="27"/>
    <col min="9217" max="9246" width="3.33203125" style="27" customWidth="1"/>
    <col min="9247" max="9472" width="9.1640625" style="27"/>
    <col min="9473" max="9502" width="3.33203125" style="27" customWidth="1"/>
    <col min="9503" max="9728" width="9.1640625" style="27"/>
    <col min="9729" max="9758" width="3.33203125" style="27" customWidth="1"/>
    <col min="9759" max="9984" width="9.1640625" style="27"/>
    <col min="9985" max="10014" width="3.33203125" style="27" customWidth="1"/>
    <col min="10015" max="10240" width="9.1640625" style="27"/>
    <col min="10241" max="10270" width="3.33203125" style="27" customWidth="1"/>
    <col min="10271" max="10496" width="9.1640625" style="27"/>
    <col min="10497" max="10526" width="3.33203125" style="27" customWidth="1"/>
    <col min="10527" max="10752" width="9.1640625" style="27"/>
    <col min="10753" max="10782" width="3.33203125" style="27" customWidth="1"/>
    <col min="10783" max="11008" width="9.1640625" style="27"/>
    <col min="11009" max="11038" width="3.33203125" style="27" customWidth="1"/>
    <col min="11039" max="11264" width="9.1640625" style="27"/>
    <col min="11265" max="11294" width="3.33203125" style="27" customWidth="1"/>
    <col min="11295" max="11520" width="9.1640625" style="27"/>
    <col min="11521" max="11550" width="3.33203125" style="27" customWidth="1"/>
    <col min="11551" max="11776" width="9.1640625" style="27"/>
    <col min="11777" max="11806" width="3.33203125" style="27" customWidth="1"/>
    <col min="11807" max="12032" width="9.1640625" style="27"/>
    <col min="12033" max="12062" width="3.33203125" style="27" customWidth="1"/>
    <col min="12063" max="12288" width="9.1640625" style="27"/>
    <col min="12289" max="12318" width="3.33203125" style="27" customWidth="1"/>
    <col min="12319" max="12544" width="9.1640625" style="27"/>
    <col min="12545" max="12574" width="3.33203125" style="27" customWidth="1"/>
    <col min="12575" max="12800" width="9.1640625" style="27"/>
    <col min="12801" max="12830" width="3.33203125" style="27" customWidth="1"/>
    <col min="12831" max="13056" width="9.1640625" style="27"/>
    <col min="13057" max="13086" width="3.33203125" style="27" customWidth="1"/>
    <col min="13087" max="13312" width="9.1640625" style="27"/>
    <col min="13313" max="13342" width="3.33203125" style="27" customWidth="1"/>
    <col min="13343" max="13568" width="9.1640625" style="27"/>
    <col min="13569" max="13598" width="3.33203125" style="27" customWidth="1"/>
    <col min="13599" max="13824" width="9.1640625" style="27"/>
    <col min="13825" max="13854" width="3.33203125" style="27" customWidth="1"/>
    <col min="13855" max="14080" width="9.1640625" style="27"/>
    <col min="14081" max="14110" width="3.33203125" style="27" customWidth="1"/>
    <col min="14111" max="14336" width="9.1640625" style="27"/>
    <col min="14337" max="14366" width="3.33203125" style="27" customWidth="1"/>
    <col min="14367" max="14592" width="9.1640625" style="27"/>
    <col min="14593" max="14622" width="3.33203125" style="27" customWidth="1"/>
    <col min="14623" max="14848" width="9.1640625" style="27"/>
    <col min="14849" max="14878" width="3.33203125" style="27" customWidth="1"/>
    <col min="14879" max="15104" width="9.1640625" style="27"/>
    <col min="15105" max="15134" width="3.33203125" style="27" customWidth="1"/>
    <col min="15135" max="15360" width="9.1640625" style="27"/>
    <col min="15361" max="15390" width="3.33203125" style="27" customWidth="1"/>
    <col min="15391" max="15616" width="9.1640625" style="27"/>
    <col min="15617" max="15646" width="3.33203125" style="27" customWidth="1"/>
    <col min="15647" max="15872" width="9.1640625" style="27"/>
    <col min="15873" max="15902" width="3.33203125" style="27" customWidth="1"/>
    <col min="15903" max="16128" width="9.1640625" style="27"/>
    <col min="16129" max="16158" width="3.33203125" style="27" customWidth="1"/>
    <col min="16159" max="16384" width="9.1640625" style="27"/>
  </cols>
  <sheetData>
    <row r="1" spans="1:30" ht="15" customHeight="1">
      <c r="A1" s="24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6"/>
    </row>
    <row r="2" spans="1:30" ht="15" customHeight="1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30"/>
    </row>
    <row r="3" spans="1:30" ht="15" customHeight="1">
      <c r="A3" s="28"/>
      <c r="B3" s="29"/>
      <c r="C3" s="29"/>
      <c r="D3" s="29"/>
      <c r="E3" s="29"/>
      <c r="F3" s="29"/>
      <c r="G3" s="29"/>
      <c r="H3" s="31"/>
      <c r="I3" s="31"/>
      <c r="J3" s="31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3"/>
      <c r="X3" s="33"/>
      <c r="Y3" s="33"/>
      <c r="Z3" s="33"/>
      <c r="AA3" s="33"/>
      <c r="AB3" s="33"/>
      <c r="AC3" s="33"/>
      <c r="AD3" s="34"/>
    </row>
    <row r="4" spans="1:30" ht="15" customHeight="1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30"/>
    </row>
    <row r="5" spans="1:30" ht="15" customHeight="1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30"/>
    </row>
    <row r="6" spans="1:30" ht="15" customHeight="1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30"/>
    </row>
    <row r="7" spans="1:30" ht="15" customHeight="1" thickBot="1">
      <c r="A7" s="35"/>
      <c r="B7" s="36"/>
      <c r="C7" s="36"/>
      <c r="D7" s="36"/>
      <c r="E7" s="36"/>
      <c r="F7" s="37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36"/>
      <c r="AB7" s="36"/>
      <c r="AC7" s="36"/>
      <c r="AD7" s="38"/>
    </row>
    <row r="8" spans="1:30" ht="15" customHeight="1">
      <c r="A8" s="139" t="s">
        <v>92</v>
      </c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1"/>
    </row>
    <row r="9" spans="1:30" ht="15" customHeight="1">
      <c r="A9" s="142"/>
      <c r="B9" s="143"/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4"/>
    </row>
    <row r="10" spans="1:30" ht="15" customHeight="1">
      <c r="A10" s="142"/>
      <c r="B10" s="143"/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4"/>
    </row>
    <row r="11" spans="1:30" ht="15" customHeight="1">
      <c r="A11" s="142"/>
      <c r="B11" s="143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4"/>
    </row>
    <row r="12" spans="1:30" ht="15" customHeight="1">
      <c r="A12" s="142"/>
      <c r="B12" s="143"/>
      <c r="C12" s="143"/>
      <c r="D12" s="143"/>
      <c r="E12" s="143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4"/>
    </row>
    <row r="13" spans="1:30" ht="15" customHeight="1">
      <c r="A13" s="142"/>
      <c r="B13" s="143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4"/>
    </row>
    <row r="14" spans="1:30" ht="15" customHeight="1">
      <c r="A14" s="142"/>
      <c r="B14" s="143"/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4"/>
    </row>
    <row r="15" spans="1:30" ht="15" customHeight="1">
      <c r="A15" s="142"/>
      <c r="B15" s="143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4"/>
    </row>
    <row r="16" spans="1:30" ht="15" customHeight="1">
      <c r="A16" s="142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4"/>
    </row>
    <row r="17" spans="1:30" ht="15" customHeight="1">
      <c r="A17" s="142"/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4"/>
    </row>
    <row r="18" spans="1:30" ht="15" customHeight="1">
      <c r="A18" s="142"/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4"/>
    </row>
    <row r="19" spans="1:30" ht="15" customHeight="1">
      <c r="A19" s="142"/>
      <c r="B19" s="143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4"/>
    </row>
    <row r="20" spans="1:30" ht="15" customHeight="1">
      <c r="A20" s="142"/>
      <c r="B20" s="143"/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4"/>
    </row>
    <row r="21" spans="1:30" ht="15" customHeight="1">
      <c r="A21" s="142"/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4"/>
    </row>
    <row r="22" spans="1:30" ht="15" customHeight="1">
      <c r="A22" s="142"/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4"/>
    </row>
    <row r="23" spans="1:30" ht="15" customHeight="1">
      <c r="A23" s="142"/>
      <c r="B23" s="143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4"/>
    </row>
    <row r="24" spans="1:30" ht="15" customHeight="1">
      <c r="A24" s="142"/>
      <c r="B24" s="143"/>
      <c r="C24" s="143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4"/>
    </row>
    <row r="25" spans="1:30" ht="15" customHeight="1">
      <c r="A25" s="142"/>
      <c r="B25" s="143"/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4"/>
    </row>
    <row r="26" spans="1:30" ht="15" customHeight="1">
      <c r="A26" s="142"/>
      <c r="B26" s="143"/>
      <c r="C26" s="143"/>
      <c r="D26" s="143"/>
      <c r="E26" s="143"/>
      <c r="F26" s="143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4"/>
    </row>
    <row r="27" spans="1:30" ht="15" customHeight="1">
      <c r="A27" s="142"/>
      <c r="B27" s="143"/>
      <c r="C27" s="143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4"/>
    </row>
    <row r="28" spans="1:30" ht="15" customHeight="1">
      <c r="A28" s="142"/>
      <c r="B28" s="143"/>
      <c r="C28" s="143"/>
      <c r="D28" s="143"/>
      <c r="E28" s="143"/>
      <c r="F28" s="143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4"/>
    </row>
    <row r="29" spans="1:30" ht="15" customHeight="1">
      <c r="A29" s="142"/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4"/>
    </row>
    <row r="30" spans="1:30" ht="15" customHeight="1">
      <c r="A30" s="142"/>
      <c r="B30" s="143"/>
      <c r="C30" s="143"/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4"/>
    </row>
    <row r="31" spans="1:30" ht="15" customHeight="1">
      <c r="A31" s="142"/>
      <c r="B31" s="143"/>
      <c r="C31" s="143"/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4"/>
    </row>
    <row r="32" spans="1:30" ht="15" customHeight="1">
      <c r="A32" s="142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4"/>
    </row>
    <row r="33" spans="1:30" ht="15" customHeight="1">
      <c r="A33" s="142"/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4"/>
    </row>
    <row r="34" spans="1:30" ht="15" customHeight="1">
      <c r="A34" s="142"/>
      <c r="B34" s="143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4"/>
    </row>
    <row r="35" spans="1:30" ht="15" customHeight="1">
      <c r="A35" s="142"/>
      <c r="B35" s="143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4"/>
    </row>
    <row r="36" spans="1:30" ht="15" customHeight="1">
      <c r="A36" s="142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4"/>
    </row>
    <row r="37" spans="1:30" ht="15" customHeight="1">
      <c r="A37" s="142"/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4"/>
    </row>
    <row r="38" spans="1:30" ht="15" customHeight="1">
      <c r="A38" s="142"/>
      <c r="B38" s="143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4"/>
    </row>
    <row r="39" spans="1:30" ht="15" customHeight="1" thickBot="1">
      <c r="A39" s="145"/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/>
    </row>
    <row r="40" spans="1:30" ht="30" customHeight="1">
      <c r="A40" s="148"/>
      <c r="B40" s="149"/>
      <c r="C40" s="150"/>
      <c r="D40" s="151"/>
      <c r="E40" s="151"/>
      <c r="F40" s="149"/>
      <c r="G40" s="150"/>
      <c r="H40" s="151"/>
      <c r="I40" s="151"/>
      <c r="J40" s="151"/>
      <c r="K40" s="151"/>
      <c r="L40" s="151"/>
      <c r="M40" s="151"/>
      <c r="N40" s="151"/>
      <c r="O40" s="151"/>
      <c r="P40" s="150"/>
      <c r="Q40" s="151"/>
      <c r="R40" s="151"/>
      <c r="S40" s="151"/>
      <c r="T40" s="149"/>
      <c r="U40" s="150"/>
      <c r="V40" s="151"/>
      <c r="W40" s="151"/>
      <c r="X40" s="151"/>
      <c r="Y40" s="149"/>
      <c r="Z40" s="150"/>
      <c r="AA40" s="151"/>
      <c r="AB40" s="151"/>
      <c r="AC40" s="151"/>
      <c r="AD40" s="152"/>
    </row>
    <row r="41" spans="1:30" ht="30" customHeight="1">
      <c r="A41" s="126"/>
      <c r="B41" s="127"/>
      <c r="C41" s="128"/>
      <c r="D41" s="129"/>
      <c r="E41" s="129"/>
      <c r="F41" s="127"/>
      <c r="G41" s="128"/>
      <c r="H41" s="129"/>
      <c r="I41" s="129"/>
      <c r="J41" s="129"/>
      <c r="K41" s="129"/>
      <c r="L41" s="129"/>
      <c r="M41" s="129"/>
      <c r="N41" s="129"/>
      <c r="O41" s="129"/>
      <c r="P41" s="128"/>
      <c r="Q41" s="129"/>
      <c r="R41" s="129"/>
      <c r="S41" s="129"/>
      <c r="T41" s="127"/>
      <c r="U41" s="128"/>
      <c r="V41" s="129"/>
      <c r="W41" s="129"/>
      <c r="X41" s="129"/>
      <c r="Y41" s="127"/>
      <c r="Z41" s="128"/>
      <c r="AA41" s="129"/>
      <c r="AB41" s="129"/>
      <c r="AC41" s="129"/>
      <c r="AD41" s="130"/>
    </row>
    <row r="42" spans="1:30" ht="30" customHeight="1">
      <c r="A42" s="126"/>
      <c r="B42" s="127"/>
      <c r="C42" s="128"/>
      <c r="D42" s="129"/>
      <c r="E42" s="129"/>
      <c r="F42" s="127"/>
      <c r="G42" s="128"/>
      <c r="H42" s="129"/>
      <c r="I42" s="129"/>
      <c r="J42" s="129"/>
      <c r="K42" s="129"/>
      <c r="L42" s="129"/>
      <c r="M42" s="129"/>
      <c r="N42" s="129"/>
      <c r="O42" s="129"/>
      <c r="P42" s="128"/>
      <c r="Q42" s="129"/>
      <c r="R42" s="129"/>
      <c r="S42" s="129"/>
      <c r="T42" s="127"/>
      <c r="U42" s="128"/>
      <c r="V42" s="129"/>
      <c r="W42" s="129"/>
      <c r="X42" s="129"/>
      <c r="Y42" s="127"/>
      <c r="Z42" s="128"/>
      <c r="AA42" s="129"/>
      <c r="AB42" s="129"/>
      <c r="AC42" s="129"/>
      <c r="AD42" s="130"/>
    </row>
    <row r="43" spans="1:30" ht="30" customHeight="1">
      <c r="A43" s="126"/>
      <c r="B43" s="127"/>
      <c r="C43" s="128"/>
      <c r="D43" s="129"/>
      <c r="E43" s="129"/>
      <c r="F43" s="127"/>
      <c r="G43" s="128"/>
      <c r="H43" s="129"/>
      <c r="I43" s="129"/>
      <c r="J43" s="129"/>
      <c r="K43" s="129"/>
      <c r="L43" s="129"/>
      <c r="M43" s="129"/>
      <c r="N43" s="129"/>
      <c r="O43" s="129"/>
      <c r="P43" s="128"/>
      <c r="Q43" s="129"/>
      <c r="R43" s="129"/>
      <c r="S43" s="129"/>
      <c r="T43" s="127"/>
      <c r="U43" s="128"/>
      <c r="V43" s="129"/>
      <c r="W43" s="129"/>
      <c r="X43" s="129"/>
      <c r="Y43" s="127"/>
      <c r="Z43" s="128"/>
      <c r="AA43" s="129"/>
      <c r="AB43" s="129"/>
      <c r="AC43" s="129"/>
      <c r="AD43" s="130"/>
    </row>
    <row r="44" spans="1:30" ht="30" customHeight="1">
      <c r="A44" s="126"/>
      <c r="B44" s="127"/>
      <c r="C44" s="128"/>
      <c r="D44" s="129"/>
      <c r="E44" s="129"/>
      <c r="F44" s="127"/>
      <c r="G44" s="128"/>
      <c r="H44" s="129"/>
      <c r="I44" s="129"/>
      <c r="J44" s="129"/>
      <c r="K44" s="129"/>
      <c r="L44" s="129"/>
      <c r="M44" s="129"/>
      <c r="N44" s="129"/>
      <c r="O44" s="129"/>
      <c r="P44" s="128"/>
      <c r="Q44" s="129"/>
      <c r="R44" s="129"/>
      <c r="S44" s="129"/>
      <c r="T44" s="127"/>
      <c r="U44" s="128"/>
      <c r="V44" s="129"/>
      <c r="W44" s="129"/>
      <c r="X44" s="129"/>
      <c r="Y44" s="127"/>
      <c r="Z44" s="128"/>
      <c r="AA44" s="129"/>
      <c r="AB44" s="129"/>
      <c r="AC44" s="129"/>
      <c r="AD44" s="130"/>
    </row>
    <row r="45" spans="1:30" ht="30" customHeight="1">
      <c r="A45" s="126"/>
      <c r="B45" s="127"/>
      <c r="C45" s="128"/>
      <c r="D45" s="129"/>
      <c r="E45" s="129"/>
      <c r="F45" s="127"/>
      <c r="G45" s="128"/>
      <c r="H45" s="129"/>
      <c r="I45" s="129"/>
      <c r="J45" s="129"/>
      <c r="K45" s="129"/>
      <c r="L45" s="129"/>
      <c r="M45" s="129"/>
      <c r="N45" s="129"/>
      <c r="O45" s="129"/>
      <c r="P45" s="128"/>
      <c r="Q45" s="129"/>
      <c r="R45" s="129"/>
      <c r="S45" s="129"/>
      <c r="T45" s="127"/>
      <c r="U45" s="128"/>
      <c r="V45" s="129"/>
      <c r="W45" s="129"/>
      <c r="X45" s="129"/>
      <c r="Y45" s="127"/>
      <c r="Z45" s="128"/>
      <c r="AA45" s="129"/>
      <c r="AB45" s="129"/>
      <c r="AC45" s="129"/>
      <c r="AD45" s="130"/>
    </row>
    <row r="46" spans="1:30" ht="30" customHeight="1">
      <c r="A46" s="131">
        <v>0</v>
      </c>
      <c r="B46" s="132"/>
      <c r="C46" s="133"/>
      <c r="D46" s="134"/>
      <c r="E46" s="134"/>
      <c r="F46" s="135"/>
      <c r="G46" s="136" t="s">
        <v>0</v>
      </c>
      <c r="H46" s="137"/>
      <c r="I46" s="137"/>
      <c r="J46" s="137"/>
      <c r="K46" s="137"/>
      <c r="L46" s="137"/>
      <c r="M46" s="137"/>
      <c r="N46" s="137"/>
      <c r="O46" s="137"/>
      <c r="P46" s="123" t="s">
        <v>96</v>
      </c>
      <c r="Q46" s="124"/>
      <c r="R46" s="124"/>
      <c r="S46" s="124"/>
      <c r="T46" s="138"/>
      <c r="U46" s="123" t="s">
        <v>95</v>
      </c>
      <c r="V46" s="124"/>
      <c r="W46" s="124"/>
      <c r="X46" s="124"/>
      <c r="Y46" s="138"/>
      <c r="Z46" s="123" t="s">
        <v>94</v>
      </c>
      <c r="AA46" s="124"/>
      <c r="AB46" s="124"/>
      <c r="AC46" s="124"/>
      <c r="AD46" s="125"/>
    </row>
    <row r="47" spans="1:30" ht="15" customHeight="1" thickBot="1">
      <c r="A47" s="117" t="s">
        <v>1</v>
      </c>
      <c r="B47" s="118"/>
      <c r="C47" s="119" t="s">
        <v>2</v>
      </c>
      <c r="D47" s="120"/>
      <c r="E47" s="120"/>
      <c r="F47" s="121"/>
      <c r="G47" s="119" t="s">
        <v>3</v>
      </c>
      <c r="H47" s="120"/>
      <c r="I47" s="120"/>
      <c r="J47" s="120"/>
      <c r="K47" s="120"/>
      <c r="L47" s="120"/>
      <c r="M47" s="120"/>
      <c r="N47" s="120"/>
      <c r="O47" s="120"/>
      <c r="P47" s="119" t="s">
        <v>4</v>
      </c>
      <c r="Q47" s="120"/>
      <c r="R47" s="120"/>
      <c r="S47" s="120"/>
      <c r="T47" s="121"/>
      <c r="U47" s="119" t="s">
        <v>5</v>
      </c>
      <c r="V47" s="120"/>
      <c r="W47" s="120"/>
      <c r="X47" s="120"/>
      <c r="Y47" s="120"/>
      <c r="Z47" s="119" t="s">
        <v>6</v>
      </c>
      <c r="AA47" s="120"/>
      <c r="AB47" s="120"/>
      <c r="AC47" s="120"/>
      <c r="AD47" s="122"/>
    </row>
    <row r="48" spans="1:30" ht="15" customHeight="1" thickBot="1">
      <c r="A48" s="114" t="s">
        <v>93</v>
      </c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6"/>
    </row>
  </sheetData>
  <mergeCells count="50">
    <mergeCell ref="A8:AD39"/>
    <mergeCell ref="A40:B40"/>
    <mergeCell ref="C40:F40"/>
    <mergeCell ref="G40:O40"/>
    <mergeCell ref="P40:T40"/>
    <mergeCell ref="U40:Y40"/>
    <mergeCell ref="Z40:AD40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A48:AD48"/>
    <mergeCell ref="A47:B47"/>
    <mergeCell ref="C47:F47"/>
    <mergeCell ref="G47:O47"/>
    <mergeCell ref="P47:T47"/>
    <mergeCell ref="U47:Y47"/>
    <mergeCell ref="Z47:AD4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33B-5666-4079-AE91-3B340AA3BC9D}">
  <sheetPr codeName="Sheet2">
    <tabColor rgb="FF92D050"/>
    <pageSetUpPr fitToPage="1"/>
  </sheetPr>
  <dimension ref="A1:U63"/>
  <sheetViews>
    <sheetView tabSelected="1" topLeftCell="A22" zoomScale="130" zoomScaleNormal="130" workbookViewId="0">
      <selection activeCell="B43" sqref="B43"/>
    </sheetView>
  </sheetViews>
  <sheetFormatPr baseColWidth="10" defaultColWidth="9.1640625" defaultRowHeight="13"/>
  <cols>
    <col min="1" max="1" width="7.5" style="3" customWidth="1"/>
    <col min="2" max="2" width="7.6640625" style="3" customWidth="1"/>
    <col min="3" max="3" width="6.33203125" style="3" customWidth="1"/>
    <col min="4" max="4" width="8.5" style="3" customWidth="1"/>
    <col min="5" max="5" width="9.83203125" style="3" customWidth="1"/>
    <col min="6" max="6" width="9.5" style="3" customWidth="1"/>
    <col min="7" max="7" width="12.5" style="3" customWidth="1"/>
    <col min="8" max="9" width="17.5" style="3" customWidth="1"/>
    <col min="10" max="10" width="12.83203125" style="3" customWidth="1"/>
    <col min="11" max="11" width="9.5" style="3" customWidth="1"/>
    <col min="12" max="12" width="15.1640625" style="3" customWidth="1"/>
    <col min="13" max="13" width="5.83203125" style="3" customWidth="1"/>
    <col min="14" max="14" width="10.33203125" style="3" customWidth="1"/>
    <col min="15" max="19" width="0" style="3" hidden="1" customWidth="1"/>
    <col min="20" max="16384" width="9.1640625" style="3"/>
  </cols>
  <sheetData>
    <row r="1" spans="1:13" ht="18.75" customHeight="1">
      <c r="A1" s="162"/>
      <c r="B1" s="163"/>
      <c r="C1" s="163"/>
      <c r="D1" s="163"/>
      <c r="E1" s="164"/>
      <c r="F1" s="153" t="s">
        <v>7</v>
      </c>
      <c r="G1" s="154"/>
      <c r="H1" s="154"/>
      <c r="I1" s="154"/>
      <c r="J1" s="154"/>
      <c r="K1" s="154"/>
      <c r="L1" s="154"/>
      <c r="M1" s="155"/>
    </row>
    <row r="2" spans="1:13" ht="18.75" customHeight="1">
      <c r="A2" s="165"/>
      <c r="B2" s="166"/>
      <c r="C2" s="166"/>
      <c r="D2" s="166"/>
      <c r="E2" s="167"/>
      <c r="F2" s="156"/>
      <c r="G2" s="157"/>
      <c r="H2" s="157"/>
      <c r="I2" s="157"/>
      <c r="J2" s="157"/>
      <c r="K2" s="157"/>
      <c r="L2" s="157"/>
      <c r="M2" s="158"/>
    </row>
    <row r="3" spans="1:13" ht="18.75" customHeight="1">
      <c r="A3" s="168"/>
      <c r="B3" s="169"/>
      <c r="C3" s="169"/>
      <c r="D3" s="169"/>
      <c r="E3" s="170"/>
      <c r="F3" s="159"/>
      <c r="G3" s="160"/>
      <c r="H3" s="160"/>
      <c r="I3" s="160"/>
      <c r="J3" s="160"/>
      <c r="K3" s="160"/>
      <c r="L3" s="160"/>
      <c r="M3" s="161"/>
    </row>
    <row r="4" spans="1:13">
      <c r="A4" s="57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1"/>
    </row>
    <row r="5" spans="1:13">
      <c r="A5" s="58"/>
      <c r="B5" s="108" t="s">
        <v>8</v>
      </c>
      <c r="C5" s="109"/>
      <c r="D5" s="110"/>
      <c r="E5" s="47"/>
      <c r="F5" s="48"/>
      <c r="G5" s="48"/>
      <c r="H5" s="59"/>
      <c r="I5" s="59"/>
      <c r="J5" s="59"/>
      <c r="K5" s="59"/>
      <c r="L5" s="59"/>
      <c r="M5" s="56"/>
    </row>
    <row r="6" spans="1:13">
      <c r="A6" s="58"/>
      <c r="B6" s="108" t="s">
        <v>9</v>
      </c>
      <c r="C6" s="109"/>
      <c r="D6" s="110"/>
      <c r="E6" s="47"/>
      <c r="F6" s="48"/>
      <c r="G6" s="48"/>
      <c r="H6" s="59"/>
      <c r="I6" s="59"/>
      <c r="J6" s="59"/>
      <c r="K6" s="59"/>
      <c r="L6" s="59"/>
      <c r="M6" s="56"/>
    </row>
    <row r="7" spans="1:13">
      <c r="A7" s="58"/>
      <c r="B7" s="108" t="s">
        <v>10</v>
      </c>
      <c r="C7" s="109"/>
      <c r="D7" s="110"/>
      <c r="E7" s="49"/>
      <c r="F7" s="50"/>
      <c r="G7" s="50"/>
      <c r="H7" s="59"/>
      <c r="I7" s="59"/>
      <c r="J7" s="59"/>
      <c r="K7" s="59"/>
      <c r="L7" s="59"/>
      <c r="M7" s="56"/>
    </row>
    <row r="8" spans="1:13" ht="16">
      <c r="A8" s="58"/>
      <c r="B8" s="59"/>
      <c r="C8" s="62"/>
      <c r="D8" s="62"/>
      <c r="E8" s="59"/>
      <c r="F8" s="59"/>
      <c r="G8" s="59"/>
      <c r="H8" s="59"/>
      <c r="I8" s="59"/>
      <c r="J8" s="59"/>
      <c r="K8" s="59"/>
      <c r="L8" s="59"/>
      <c r="M8" s="56"/>
    </row>
    <row r="9" spans="1:13" ht="18">
      <c r="A9" s="58"/>
      <c r="B9" s="111" t="s">
        <v>11</v>
      </c>
      <c r="C9" s="112"/>
      <c r="D9" s="112"/>
      <c r="E9" s="110"/>
      <c r="F9" s="59"/>
      <c r="G9" s="59"/>
      <c r="H9" s="59"/>
      <c r="I9" s="59"/>
      <c r="J9" s="107" t="s">
        <v>12</v>
      </c>
      <c r="K9" s="107" t="s">
        <v>13</v>
      </c>
      <c r="L9" s="59"/>
      <c r="M9" s="56"/>
    </row>
    <row r="10" spans="1:13">
      <c r="A10" s="58"/>
      <c r="B10" s="108" t="s">
        <v>14</v>
      </c>
      <c r="C10" s="109"/>
      <c r="D10" s="110"/>
      <c r="E10" s="51" t="s">
        <v>15</v>
      </c>
      <c r="F10" s="59"/>
      <c r="G10" s="59"/>
      <c r="H10" s="59"/>
      <c r="I10" s="59"/>
      <c r="J10" s="107" t="str">
        <f>+IF(E10=setup!B6,"m3/h","GPM")</f>
        <v>m3/h</v>
      </c>
      <c r="K10" s="107" t="str">
        <f>+IF(E10=setup!B6,"m","ft")</f>
        <v>m</v>
      </c>
      <c r="L10" s="59"/>
      <c r="M10" s="56"/>
    </row>
    <row r="11" spans="1:13">
      <c r="A11" s="58"/>
      <c r="B11" s="108" t="s">
        <v>16</v>
      </c>
      <c r="C11" s="109"/>
      <c r="D11" s="110"/>
      <c r="E11" s="52">
        <v>1490</v>
      </c>
      <c r="F11" s="59" t="s">
        <v>17</v>
      </c>
      <c r="G11" s="59"/>
      <c r="H11" s="59"/>
      <c r="I11" s="63" t="s">
        <v>18</v>
      </c>
      <c r="J11" s="53">
        <v>1200</v>
      </c>
      <c r="K11" s="53">
        <v>65</v>
      </c>
      <c r="L11" s="59"/>
      <c r="M11" s="56"/>
    </row>
    <row r="12" spans="1:13">
      <c r="A12" s="58"/>
      <c r="B12" s="108" t="s">
        <v>19</v>
      </c>
      <c r="C12" s="109"/>
      <c r="D12" s="110"/>
      <c r="E12" s="53">
        <v>350</v>
      </c>
      <c r="F12" s="59" t="str">
        <f>+IF(E10=setup!B6,"mm","inch")</f>
        <v>mm</v>
      </c>
      <c r="G12" s="59"/>
      <c r="H12" s="59"/>
      <c r="I12" s="63" t="s">
        <v>20</v>
      </c>
      <c r="J12" s="52">
        <v>900</v>
      </c>
      <c r="K12" s="52">
        <v>75</v>
      </c>
      <c r="L12" s="59"/>
      <c r="M12" s="56"/>
    </row>
    <row r="13" spans="1:13">
      <c r="A13" s="58"/>
      <c r="B13" s="108" t="s">
        <v>21</v>
      </c>
      <c r="C13" s="109"/>
      <c r="D13" s="110"/>
      <c r="E13" s="54">
        <v>365</v>
      </c>
      <c r="F13" s="59" t="str">
        <f>+IF(E10=setup!B6,"mm","inch")</f>
        <v>mm</v>
      </c>
      <c r="G13" s="59"/>
      <c r="H13" s="59"/>
      <c r="I13" s="78"/>
      <c r="J13" s="59"/>
      <c r="K13" s="59"/>
      <c r="L13" s="59"/>
      <c r="M13" s="56"/>
    </row>
    <row r="14" spans="1:13">
      <c r="A14" s="58"/>
      <c r="B14" s="108" t="s">
        <v>22</v>
      </c>
      <c r="C14" s="109"/>
      <c r="D14" s="110"/>
      <c r="E14" s="53" t="s">
        <v>23</v>
      </c>
      <c r="F14" s="59"/>
      <c r="G14" s="59"/>
      <c r="H14" s="59"/>
      <c r="I14" s="59"/>
      <c r="J14" s="59"/>
      <c r="K14" s="59"/>
      <c r="L14" s="59"/>
      <c r="M14" s="56"/>
    </row>
    <row r="15" spans="1:13">
      <c r="A15" s="58"/>
      <c r="B15" s="108" t="s">
        <v>24</v>
      </c>
      <c r="C15" s="109"/>
      <c r="D15" s="109"/>
      <c r="E15" s="53">
        <v>355</v>
      </c>
      <c r="F15" s="59" t="str">
        <f>+IF(E10=setup!B6,"mm","inch")</f>
        <v>mm</v>
      </c>
      <c r="G15" s="59"/>
      <c r="H15" s="59"/>
      <c r="I15" s="59"/>
      <c r="J15" s="59"/>
      <c r="K15" s="59"/>
      <c r="L15" s="59"/>
      <c r="M15" s="56"/>
    </row>
    <row r="16" spans="1:13">
      <c r="A16" s="58"/>
      <c r="H16" s="59"/>
      <c r="I16" s="59"/>
      <c r="J16" s="59"/>
      <c r="K16" s="59"/>
      <c r="L16" s="59"/>
      <c r="M16" s="56"/>
    </row>
    <row r="17" spans="1:13">
      <c r="A17" s="58"/>
      <c r="B17" s="59"/>
      <c r="C17" s="59"/>
      <c r="D17" s="59"/>
      <c r="E17" s="59"/>
      <c r="F17" s="59"/>
      <c r="G17" s="59"/>
      <c r="H17" s="59"/>
      <c r="J17" s="59"/>
      <c r="K17" s="59"/>
      <c r="L17" s="59"/>
      <c r="M17" s="56"/>
    </row>
    <row r="18" spans="1:13">
      <c r="A18" s="58"/>
      <c r="B18" s="59"/>
      <c r="C18" s="59"/>
      <c r="D18" s="59"/>
      <c r="E18" s="59"/>
      <c r="F18" s="59"/>
      <c r="G18" s="59"/>
      <c r="H18" s="59"/>
      <c r="I18" s="55"/>
      <c r="J18" s="59"/>
      <c r="K18" s="59"/>
      <c r="L18" s="59"/>
      <c r="M18" s="56"/>
    </row>
    <row r="19" spans="1:13" ht="18">
      <c r="A19" s="174" t="s">
        <v>25</v>
      </c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L19" s="174"/>
      <c r="M19" s="175"/>
    </row>
    <row r="20" spans="1:13">
      <c r="A20" s="58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6"/>
    </row>
    <row r="21" spans="1:13">
      <c r="A21" s="58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6"/>
    </row>
    <row r="22" spans="1:13">
      <c r="A22" s="58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6"/>
    </row>
    <row r="23" spans="1:13">
      <c r="A23" s="58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6"/>
    </row>
    <row r="24" spans="1:13">
      <c r="A24" s="58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6"/>
    </row>
    <row r="25" spans="1:13">
      <c r="A25" s="58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6"/>
    </row>
    <row r="26" spans="1:13">
      <c r="A26" s="58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6"/>
    </row>
    <row r="27" spans="1:13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6"/>
    </row>
    <row r="28" spans="1:13" ht="12.75" customHeight="1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6"/>
    </row>
    <row r="29" spans="1:13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6"/>
    </row>
    <row r="30" spans="1:13">
      <c r="A30" s="58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6"/>
    </row>
    <row r="31" spans="1:13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6"/>
    </row>
    <row r="32" spans="1:13">
      <c r="A32" s="58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6"/>
    </row>
    <row r="33" spans="1:21" ht="22.5" customHeight="1">
      <c r="A33" s="58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6"/>
    </row>
    <row r="34" spans="1:21" ht="22.5" customHeight="1">
      <c r="A34" s="58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6"/>
    </row>
    <row r="35" spans="1:21" ht="22.5" customHeight="1">
      <c r="A35" s="58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6"/>
    </row>
    <row r="36" spans="1:21" ht="22.5" customHeight="1">
      <c r="A36" s="58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6"/>
    </row>
    <row r="37" spans="1:21" ht="22.5" customHeight="1">
      <c r="A37" s="58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6"/>
    </row>
    <row r="38" spans="1:21" ht="22.5" customHeight="1">
      <c r="A38" s="58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6"/>
    </row>
    <row r="39" spans="1:21" ht="22.5" customHeight="1">
      <c r="A39" s="171" t="s">
        <v>25</v>
      </c>
      <c r="B39" s="172"/>
      <c r="C39" s="172"/>
      <c r="D39" s="172"/>
      <c r="E39" s="172"/>
      <c r="F39" s="172"/>
      <c r="G39" s="172"/>
      <c r="H39" s="172"/>
      <c r="I39" s="172"/>
      <c r="J39" s="172"/>
      <c r="K39" s="172"/>
      <c r="L39" s="172"/>
      <c r="M39" s="173"/>
      <c r="U39" s="22"/>
    </row>
    <row r="40" spans="1:21" ht="22.5" customHeight="1">
      <c r="A40" s="102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6"/>
    </row>
    <row r="41" spans="1:21" ht="22.5" customHeight="1">
      <c r="A41" s="102"/>
      <c r="B41" s="107" t="str">
        <f>Metric_Conversion!B41</f>
        <v>(D-D2)/D2</v>
      </c>
      <c r="C41" s="107" t="str">
        <f>Metric_Conversion!C41</f>
        <v>C2.local</v>
      </c>
      <c r="D41" s="107" t="str">
        <f>Metric_Conversion!D41</f>
        <v>C2.ave</v>
      </c>
      <c r="E41" s="107" t="str">
        <f>Metric_Conversion!E41</f>
        <v>dP.BEP</v>
      </c>
      <c r="F41" s="107" t="str">
        <f>Metric_Conversion!F41</f>
        <v>dP.RTD</v>
      </c>
      <c r="G41" s="113" t="str">
        <f>Metric_Conversion!G41</f>
        <v>alternating stress on LE</v>
      </c>
      <c r="H41" s="59"/>
      <c r="I41" s="59"/>
      <c r="J41" s="59"/>
      <c r="K41" s="107" t="str">
        <f>Metric_Conversion!K41</f>
        <v>u2</v>
      </c>
      <c r="L41" s="106">
        <f>+IF($E$10=setup!$B$6,1,0.3048)*Metric_Conversion!L41</f>
        <v>27.305676147451287</v>
      </c>
      <c r="M41" s="56" t="str">
        <f>+IF($E$10=setup!$B$6,"m/s","ft/s")</f>
        <v>m/s</v>
      </c>
    </row>
    <row r="42" spans="1:21">
      <c r="A42" s="102"/>
      <c r="B42" s="107" t="s">
        <v>26</v>
      </c>
      <c r="C42" s="107" t="str">
        <f>+IF($E$10=setup!$B$6,"m/s","ft/s")</f>
        <v>m/s</v>
      </c>
      <c r="D42" s="107" t="str">
        <f>+IF($E$10=setup!$B$6,"m/s","ft/s")</f>
        <v>m/s</v>
      </c>
      <c r="E42" s="107" t="str">
        <f>+IF($E$10=setup!$B$6,"bar","psi")</f>
        <v>bar</v>
      </c>
      <c r="F42" s="107" t="str">
        <f>+IF($E$10=setup!$B$6,"bar","psi")</f>
        <v>bar</v>
      </c>
      <c r="G42" s="107" t="str">
        <f>+IF($E$10=setup!$B$6,"MPa","ksi")</f>
        <v>MPa</v>
      </c>
      <c r="H42" s="59"/>
      <c r="I42" s="59"/>
      <c r="J42" s="59"/>
      <c r="K42" s="59"/>
      <c r="L42" s="59"/>
      <c r="M42" s="56"/>
    </row>
    <row r="43" spans="1:21">
      <c r="A43" s="102"/>
      <c r="B43" s="63">
        <f>Metric_Conversion!B43</f>
        <v>0.01</v>
      </c>
      <c r="C43" s="87"/>
      <c r="D43" s="87"/>
      <c r="E43" s="87">
        <f>+IF($E$10=setup!$B$6,1,14.5038)*Metric_Conversion!E43</f>
        <v>0.52085911273738594</v>
      </c>
      <c r="F43" s="87">
        <f>+IF($E$10=setup!$B$6,1,14.5038)*Metric_Conversion!F43</f>
        <v>0.94202413008601771</v>
      </c>
      <c r="G43" s="87">
        <f>+IF($E$10=setup!$B$6,1,0.145038)*Metric_Conversion!G43</f>
        <v>2.608477881460761</v>
      </c>
      <c r="H43" s="59"/>
      <c r="I43" s="59"/>
      <c r="J43" s="59"/>
      <c r="K43" s="59"/>
      <c r="L43" s="59"/>
      <c r="M43" s="56"/>
    </row>
    <row r="44" spans="1:21">
      <c r="A44" s="102"/>
      <c r="B44" s="63">
        <f>Metric_Conversion!B44</f>
        <v>0.02</v>
      </c>
      <c r="C44" s="87">
        <f>+IF($E$10=setup!$B$6,1,0.3048)*Metric_Conversion!C44</f>
        <v>9.2833996982331506</v>
      </c>
      <c r="D44" s="87">
        <f>+IF($E$10=setup!$B$6,1,0.3048)*Metric_Conversion!D44</f>
        <v>6.1086941731495559</v>
      </c>
      <c r="E44" s="87">
        <f>+IF($E$10=setup!$B$6,1,14.5038)*Metric_Conversion!E44</f>
        <v>0.35803512444895352</v>
      </c>
      <c r="F44" s="87">
        <f>+IF($E$10=setup!$B$6,1,14.5038)*Metric_Conversion!F44</f>
        <v>0.65366063948004982</v>
      </c>
      <c r="G44" s="87">
        <f>+IF($E$10=setup!$B$6,1,0.145038)*Metric_Conversion!G44</f>
        <v>1.735608924009362</v>
      </c>
      <c r="H44" s="59"/>
      <c r="I44" s="59"/>
      <c r="J44" s="59"/>
      <c r="K44" s="59"/>
      <c r="L44" s="59"/>
      <c r="M44" s="56"/>
    </row>
    <row r="45" spans="1:21">
      <c r="A45" s="102"/>
      <c r="B45" s="63">
        <f>Metric_Conversion!B45</f>
        <v>0.03</v>
      </c>
      <c r="C45" s="87">
        <f>+IF($E$10=setup!$B$6,1,0.3048)*Metric_Conversion!C45</f>
        <v>8.477920137515758</v>
      </c>
      <c r="D45" s="87">
        <f>+IF($E$10=setup!$B$6,1,0.3048)*Metric_Conversion!D45</f>
        <v>5.5542806732020651</v>
      </c>
      <c r="E45" s="87">
        <f>+IF($E$10=setup!$B$6,1,14.5038)*Metric_Conversion!E45</f>
        <v>0.25232501891550568</v>
      </c>
      <c r="F45" s="87">
        <f>+IF($E$10=setup!$B$6,1,14.5038)*Metric_Conversion!F45</f>
        <v>0.47022976335956213</v>
      </c>
      <c r="G45" s="87">
        <f>+IF($E$10=setup!$B$6,1,0.145038)*Metric_Conversion!G45</f>
        <v>1.2302060952742935</v>
      </c>
      <c r="H45" s="59"/>
      <c r="I45" s="59"/>
      <c r="J45" s="59"/>
      <c r="K45" s="59"/>
      <c r="L45" s="59"/>
      <c r="M45" s="56"/>
    </row>
    <row r="46" spans="1:21">
      <c r="A46" s="102"/>
      <c r="B46" s="63">
        <f>Metric_Conversion!B46</f>
        <v>0.04</v>
      </c>
      <c r="C46" s="87">
        <f>+IF($E$10=setup!$B$6,1,0.3048)*Metric_Conversion!C46</f>
        <v>7.7367372925688311</v>
      </c>
      <c r="D46" s="87">
        <f>+IF($E$10=setup!$B$6,1,0.3048)*Metric_Conversion!D46</f>
        <v>5.0123399588269812</v>
      </c>
      <c r="E46" s="87">
        <f>+IF($E$10=setup!$B$6,1,14.5038)*Metric_Conversion!E46</f>
        <v>0.1894287766176318</v>
      </c>
      <c r="F46" s="87">
        <f>+IF($E$10=setup!$B$6,1,14.5038)*Metric_Conversion!F46</f>
        <v>0.363495931656177</v>
      </c>
      <c r="G46" s="87">
        <f>+IF($E$10=setup!$B$6,1,0.145038)*Metric_Conversion!G46</f>
        <v>0.95813758025744267</v>
      </c>
      <c r="H46" s="59"/>
      <c r="I46" s="59" t="str">
        <f>Metric_Conversion!I46</f>
        <v>CHECK</v>
      </c>
      <c r="J46" s="59"/>
      <c r="K46" s="59"/>
      <c r="L46" s="59"/>
      <c r="M46" s="56"/>
      <c r="N46" s="21"/>
    </row>
    <row r="47" spans="1:21">
      <c r="A47" s="102"/>
      <c r="B47" s="63">
        <f>Metric_Conversion!B47</f>
        <v>0.05</v>
      </c>
      <c r="C47" s="87">
        <f>+IF($E$10=setup!$B$6,1,0.3048)*Metric_Conversion!C47</f>
        <v>0</v>
      </c>
      <c r="D47" s="87">
        <f>+IF($E$10=setup!$B$6,1,0.3048)*Metric_Conversion!D47</f>
        <v>0</v>
      </c>
      <c r="E47" s="87">
        <f>+IF($E$10=setup!$B$6,1,14.5038)*Metric_Conversion!E47</f>
        <v>0.15041490525501508</v>
      </c>
      <c r="F47" s="87">
        <f>+IF($E$10=setup!$B$6,1,14.5038)*Metric_Conversion!F47</f>
        <v>0.29920295229400762</v>
      </c>
      <c r="G47" s="87">
        <f>+IF($E$10=setup!$B$6,1,0.145038)*Metric_Conversion!G47</f>
        <v>0.80320402194443885</v>
      </c>
      <c r="H47" s="59"/>
      <c r="I47" s="107" t="str">
        <f>Metric_Conversion!I47</f>
        <v>(D3-D2)/D2</v>
      </c>
      <c r="J47" s="107" t="str">
        <f>Metric_Conversion!J47</f>
        <v>dP.BEP</v>
      </c>
      <c r="K47" s="107" t="str">
        <f>Metric_Conversion!K47</f>
        <v>dP.RTD</v>
      </c>
      <c r="L47" s="107" t="str">
        <f>Metric_Conversion!L47</f>
        <v>Dsigma.LE</v>
      </c>
      <c r="M47" s="56"/>
    </row>
    <row r="48" spans="1:21" ht="14" thickBot="1">
      <c r="A48" s="102"/>
      <c r="B48" s="63">
        <f>Metric_Conversion!B48</f>
        <v>0.06</v>
      </c>
      <c r="C48" s="87">
        <f>+IF($E$10=setup!$B$6,1,0.3048)*Metric_Conversion!C48</f>
        <v>0</v>
      </c>
      <c r="D48" s="87">
        <f>+IF($E$10=setup!$B$6,1,0.3048)*Metric_Conversion!D48</f>
        <v>0</v>
      </c>
      <c r="E48" s="87">
        <f>+IF($E$10=setup!$B$6,1,14.5038)*Metric_Conversion!E48</f>
        <v>0.12543056960225341</v>
      </c>
      <c r="F48" s="87">
        <f>+IF($E$10=setup!$B$6,1,14.5038)*Metric_Conversion!F48</f>
        <v>0.25986889185015311</v>
      </c>
      <c r="G48" s="87">
        <f>+IF($E$10=setup!$B$6,1,0.145038)*Metric_Conversion!G48</f>
        <v>0.70989787225063028</v>
      </c>
      <c r="H48" s="59"/>
      <c r="I48" s="107" t="str">
        <f>Metric_Conversion!I48</f>
        <v>%</v>
      </c>
      <c r="J48" s="107" t="str">
        <f>+IF($E$10=setup!$B$6,"bar","psi")</f>
        <v>bar</v>
      </c>
      <c r="K48" s="107" t="str">
        <f>+IF($E$10=setup!$B$6,"bar","psi")</f>
        <v>bar</v>
      </c>
      <c r="L48" s="107" t="str">
        <f>+IF($E$10=setup!$B$6,"MPa","ksi")</f>
        <v>MPa</v>
      </c>
      <c r="M48" s="56"/>
    </row>
    <row r="49" spans="1:19" ht="14" thickBot="1">
      <c r="A49" s="102"/>
      <c r="B49" s="63">
        <f>Metric_Conversion!B49</f>
        <v>7.0000000000000007E-2</v>
      </c>
      <c r="C49" s="87">
        <f>+IF($E$10=setup!$B$6,1,0.3048)*Metric_Conversion!C49</f>
        <v>0</v>
      </c>
      <c r="D49" s="87">
        <f>+IF($E$10=setup!$B$6,1,0.3048)*Metric_Conversion!D49</f>
        <v>0</v>
      </c>
      <c r="E49" s="87">
        <f>+IF($E$10=setup!$B$6,1,14.5038)*Metric_Conversion!E49</f>
        <v>0.10906661498365974</v>
      </c>
      <c r="F49" s="87">
        <f>+IF($E$10=setup!$B$6,1,14.5038)*Metric_Conversion!F49</f>
        <v>0.23599893030619448</v>
      </c>
      <c r="G49" s="87">
        <f>+IF($E$10=setup!$B$6,1,0.145038)*Metric_Conversion!G49</f>
        <v>0.64798040727787498</v>
      </c>
      <c r="H49" s="59"/>
      <c r="I49" s="63">
        <f>Metric_Conversion!I49</f>
        <v>4.2857142857142858E-2</v>
      </c>
      <c r="J49" s="87">
        <f>IF($E$10=setup!$B$6,1,14.5038)*Metric_Conversion!J49</f>
        <v>0.17639236421542809</v>
      </c>
      <c r="K49" s="87">
        <f>IF($E$10=setup!$B$6,1,14.5038)*Metric_Conversion!K49</f>
        <v>0.34177214880928414</v>
      </c>
      <c r="L49" s="87">
        <f>IF($E$10=setup!$B$6,1,0.145038)*Metric_Conversion!L49</f>
        <v>0.90505323534178506</v>
      </c>
      <c r="M49" s="56"/>
      <c r="O49" s="5"/>
      <c r="R49" s="5"/>
    </row>
    <row r="50" spans="1:19">
      <c r="A50" s="102"/>
      <c r="B50" s="63">
        <f>Metric_Conversion!B50</f>
        <v>0.08</v>
      </c>
      <c r="C50" s="87">
        <f>+IF($E$10=setup!$B$6,1,0.3048)*Metric_Conversion!C50</f>
        <v>0</v>
      </c>
      <c r="D50" s="87">
        <f>+IF($E$10=setup!$B$6,1,0.3048)*Metric_Conversion!D50</f>
        <v>0</v>
      </c>
      <c r="E50" s="87">
        <f>+IF($E$10=setup!$B$6,1,14.5038)*Metric_Conversion!E50</f>
        <v>9.8189379259284976E-2</v>
      </c>
      <c r="F50" s="87">
        <f>+IF($E$10=setup!$B$6,1,14.5038)*Metric_Conversion!F50</f>
        <v>0.22206407979799994</v>
      </c>
      <c r="G50" s="87">
        <f>+IF($E$10=setup!$B$6,1,0.145038)*Metric_Conversion!G50</f>
        <v>0.59833977595192889</v>
      </c>
      <c r="H50" s="59"/>
      <c r="I50" s="59"/>
      <c r="J50" s="59"/>
      <c r="K50" s="59"/>
      <c r="L50" s="59"/>
      <c r="M50" s="56"/>
    </row>
    <row r="51" spans="1:19">
      <c r="A51" s="102"/>
      <c r="B51" s="63">
        <f>Metric_Conversion!B51</f>
        <v>0.09</v>
      </c>
      <c r="C51" s="87">
        <f>+IF($E$10=setup!$B$6,1,0.3048)*Metric_Conversion!C51</f>
        <v>0</v>
      </c>
      <c r="D51" s="87">
        <f>+IF($E$10=setup!$B$6,1,0.3048)*Metric_Conversion!D51</f>
        <v>0</v>
      </c>
      <c r="E51" s="87">
        <f>+IF($E$10=setup!$B$6,1,14.5038)*Metric_Conversion!E51</f>
        <v>9.0871930520871752E-2</v>
      </c>
      <c r="F51" s="87">
        <f>+IF($E$10=setup!$B$6,1,14.5038)*Metric_Conversion!F51</f>
        <v>0.21453806265073871</v>
      </c>
      <c r="G51" s="87">
        <f>+IF($E$10=setup!$B$6,1,0.145038)*Metric_Conversion!G51</f>
        <v>0.54749212212108467</v>
      </c>
      <c r="H51" s="59"/>
      <c r="I51" s="59"/>
      <c r="J51" s="59"/>
      <c r="K51" s="59"/>
      <c r="L51" s="59"/>
      <c r="M51" s="56"/>
    </row>
    <row r="52" spans="1:19">
      <c r="A52" s="102"/>
      <c r="B52" s="63">
        <f>Metric_Conversion!B52</f>
        <v>0.1</v>
      </c>
      <c r="C52" s="87">
        <f>+IF($E$10=setup!$B$6,1,0.3048)*Metric_Conversion!C52</f>
        <v>0</v>
      </c>
      <c r="D52" s="87">
        <f>+IF($E$10=setup!$B$6,1,0.3048)*Metric_Conversion!D52</f>
        <v>0</v>
      </c>
      <c r="E52" s="87">
        <f>+IF($E$10=setup!$B$6,1,14.5038)*Metric_Conversion!E52</f>
        <v>8.5841218648581796E-2</v>
      </c>
      <c r="F52" s="87">
        <f>+IF($E$10=setup!$B$6,1,14.5038)*Metric_Conversion!F52</f>
        <v>0.21087901991406693</v>
      </c>
      <c r="G52" s="87">
        <f>+IF($E$10=setup!$B$6,1,0.145038)*Metric_Conversion!G52</f>
        <v>0.48626820572323592</v>
      </c>
      <c r="H52" s="59"/>
      <c r="I52" s="59"/>
      <c r="J52" s="59"/>
      <c r="K52" s="59"/>
      <c r="L52" s="59"/>
      <c r="M52" s="56"/>
    </row>
    <row r="53" spans="1:19">
      <c r="A53" s="102"/>
      <c r="B53" s="63">
        <f>Metric_Conversion!B53</f>
        <v>0.11</v>
      </c>
      <c r="C53" s="87">
        <f>+IF($E$10=setup!$B$6,1,0.3048)*Metric_Conversion!C53</f>
        <v>0</v>
      </c>
      <c r="D53" s="87">
        <f>+IF($E$10=setup!$B$6,1,0.3048)*Metric_Conversion!D53</f>
        <v>0</v>
      </c>
      <c r="E53" s="87">
        <f>+IF($E$10=setup!$B$6,1,14.5038)*Metric_Conversion!E53</f>
        <v>8.218095702895091E-2</v>
      </c>
      <c r="F53" s="87">
        <f>+IF($E$10=setup!$B$6,1,14.5038)*Metric_Conversion!F53</f>
        <v>0.20898282445610791</v>
      </c>
      <c r="G53" s="87">
        <f>+IF($E$10=setup!$B$6,1,0.145038)*Metric_Conversion!G53</f>
        <v>0.41064437144173294</v>
      </c>
      <c r="H53" s="59"/>
      <c r="I53" s="59"/>
      <c r="J53" s="59"/>
      <c r="K53" s="59"/>
      <c r="L53" s="59"/>
      <c r="M53" s="56"/>
    </row>
    <row r="54" spans="1:19">
      <c r="A54" s="102"/>
      <c r="B54" s="63">
        <f>Metric_Conversion!B54</f>
        <v>0.12</v>
      </c>
      <c r="C54" s="87">
        <f>+IF($E$10=setup!$B$6,1,0.3048)*Metric_Conversion!C54</f>
        <v>0</v>
      </c>
      <c r="D54" s="87">
        <f>+IF($E$10=setup!$B$6,1,0.3048)*Metric_Conversion!D54</f>
        <v>0</v>
      </c>
      <c r="E54" s="87">
        <f>+IF($E$10=setup!$B$6,1,14.5038)*Metric_Conversion!E54</f>
        <v>7.9170617901283852E-2</v>
      </c>
      <c r="F54" s="87">
        <f>+IF($E$10=setup!$B$6,1,14.5038)*Metric_Conversion!F54</f>
        <v>0.20690988269086094</v>
      </c>
      <c r="G54" s="87">
        <f>+IF($E$10=setup!$B$6,1,0.145038)*Metric_Conversion!G54</f>
        <v>0.32297720692673404</v>
      </c>
      <c r="H54" s="59"/>
      <c r="I54" s="59"/>
      <c r="J54" s="59"/>
      <c r="K54" s="59"/>
      <c r="L54" s="59"/>
      <c r="M54" s="56"/>
    </row>
    <row r="55" spans="1:19">
      <c r="A55" s="102"/>
      <c r="B55" s="63">
        <f>Metric_Conversion!B55</f>
        <v>0.13</v>
      </c>
      <c r="C55" s="87">
        <f>+IF($E$10=setup!$B$6,1,0.3048)*Metric_Conversion!C55</f>
        <v>0</v>
      </c>
      <c r="D55" s="87">
        <f>+IF($E$10=setup!$B$6,1,0.3048)*Metric_Conversion!D55</f>
        <v>0</v>
      </c>
      <c r="E55" s="87">
        <f>+IF($E$10=setup!$B$6,1,14.5038)*Metric_Conversion!E55</f>
        <v>7.6204867883592597E-2</v>
      </c>
      <c r="F55" s="87">
        <f>+IF($E$10=setup!$B$6,1,14.5038)*Metric_Conversion!F55</f>
        <v>0.20281053677152922</v>
      </c>
      <c r="G55" s="87">
        <f>+IF($E$10=setup!$B$6,1,0.145038)*Metric_Conversion!G55</f>
        <v>0.23174900301387122</v>
      </c>
      <c r="H55" s="59"/>
      <c r="I55" s="59"/>
      <c r="J55" s="59"/>
      <c r="K55" s="59"/>
      <c r="L55" s="59"/>
      <c r="M55" s="56"/>
    </row>
    <row r="56" spans="1:19">
      <c r="A56" s="102"/>
      <c r="B56" s="63">
        <f>Metric_Conversion!B56</f>
        <v>0.14000000000000001</v>
      </c>
      <c r="C56" s="87">
        <f>+IF($E$10=setup!$B$6,1,0.3048)*Metric_Conversion!C56</f>
        <v>0</v>
      </c>
      <c r="D56" s="87">
        <f>+IF($E$10=setup!$B$6,1,0.3048)*Metric_Conversion!D56</f>
        <v>0</v>
      </c>
      <c r="E56" s="87">
        <f>+IF($E$10=setup!$B$6,1,14.5038)*Metric_Conversion!E56</f>
        <v>7.2767181636609321E-2</v>
      </c>
      <c r="F56" s="87">
        <f>+IF($E$10=setup!$B$6,1,14.5038)*Metric_Conversion!F56</f>
        <v>0.19502202180482461</v>
      </c>
      <c r="G56" s="87">
        <f>+IF($E$10=setup!$B$6,1,0.145038)*Metric_Conversion!G56</f>
        <v>0.14860310177003286</v>
      </c>
      <c r="H56" s="59"/>
      <c r="I56" s="59"/>
      <c r="J56" s="59"/>
      <c r="K56" s="59"/>
      <c r="L56" s="59"/>
      <c r="M56" s="56"/>
    </row>
    <row r="57" spans="1:19">
      <c r="A57" s="102"/>
      <c r="B57" s="63">
        <f>Metric_Conversion!B57</f>
        <v>0.15</v>
      </c>
      <c r="C57" s="87">
        <f>+IF($E$10=setup!$B$6,1,0.3048)*Metric_Conversion!C57</f>
        <v>0</v>
      </c>
      <c r="D57" s="87">
        <f>+IF($E$10=setup!$B$6,1,0.3048)*Metric_Conversion!D57</f>
        <v>0</v>
      </c>
      <c r="E57" s="87">
        <f>+IF($E$10=setup!$B$6,1,14.5038)*Metric_Conversion!E57</f>
        <v>6.8443289529265455E-2</v>
      </c>
      <c r="F57" s="87">
        <f>+IF($E$10=setup!$B$6,1,14.5038)*Metric_Conversion!F57</f>
        <v>0.1823080620405016</v>
      </c>
      <c r="G57" s="87">
        <f>+IF($E$10=setup!$B$6,1,0.145038)*Metric_Conversion!G57</f>
        <v>8.3411489098942346E-2</v>
      </c>
      <c r="H57" s="59"/>
      <c r="I57" s="59"/>
      <c r="J57" s="59"/>
      <c r="K57" s="59"/>
      <c r="L57" s="59"/>
      <c r="M57" s="56"/>
      <c r="O57" s="1"/>
      <c r="P57" s="6"/>
      <c r="R57" s="1"/>
      <c r="S57" s="6"/>
    </row>
    <row r="58" spans="1:19">
      <c r="A58" s="102"/>
      <c r="B58" s="63">
        <f>Metric_Conversion!B58</f>
        <v>0.16</v>
      </c>
      <c r="C58" s="87">
        <f>+IF($E$10=setup!$B$6,1,0.3048)*Metric_Conversion!C58</f>
        <v>0</v>
      </c>
      <c r="D58" s="87">
        <f>+IF($E$10=setup!$B$6,1,0.3048)*Metric_Conversion!D58</f>
        <v>0</v>
      </c>
      <c r="E58" s="87">
        <f>+IF($E$10=setup!$B$6,1,14.5038)*Metric_Conversion!E58</f>
        <v>6.2961779560201062E-2</v>
      </c>
      <c r="F58" s="87">
        <f>+IF($E$10=setup!$B$6,1,14.5038)*Metric_Conversion!F58</f>
        <v>0.16417324956422871</v>
      </c>
      <c r="G58" s="87">
        <f>+IF($E$10=setup!$B$6,1,0.145038)*Metric_Conversion!G58</f>
        <v>4.0145407856656642E-2</v>
      </c>
      <c r="H58" s="59"/>
      <c r="I58" s="59"/>
      <c r="J58" s="59"/>
      <c r="K58" s="59"/>
      <c r="L58" s="59"/>
      <c r="M58" s="56"/>
      <c r="O58" s="2"/>
    </row>
    <row r="59" spans="1:19">
      <c r="A59" s="102"/>
      <c r="B59" s="63">
        <f>Metric_Conversion!B59</f>
        <v>0.17</v>
      </c>
      <c r="C59" s="87">
        <f>+IF($E$10=setup!$B$6,1,0.3048)*Metric_Conversion!C59</f>
        <v>0</v>
      </c>
      <c r="D59" s="87">
        <f>+IF($E$10=setup!$B$6,1,0.3048)*Metric_Conversion!D59</f>
        <v>0</v>
      </c>
      <c r="E59" s="87">
        <f>+IF($E$10=setup!$B$6,1,14.5038)*Metric_Conversion!E59</f>
        <v>5.624478156663338E-2</v>
      </c>
      <c r="F59" s="87">
        <f>+IF($E$10=setup!$B$6,1,14.5038)*Metric_Conversion!F59</f>
        <v>0.14112970524151894</v>
      </c>
      <c r="G59" s="87">
        <f>+IF($E$10=setup!$B$6,1,0.145038)*Metric_Conversion!G59</f>
        <v>1.6228630586230246E-2</v>
      </c>
      <c r="H59" s="59"/>
      <c r="I59" s="59"/>
      <c r="J59" s="59"/>
      <c r="K59" s="59"/>
      <c r="L59" s="59"/>
      <c r="M59" s="56"/>
    </row>
    <row r="60" spans="1:19">
      <c r="A60" s="102"/>
      <c r="B60" s="63">
        <f>Metric_Conversion!B60</f>
        <v>0.18</v>
      </c>
      <c r="C60" s="87">
        <f>+IF($E$10=setup!$B$6,1,0.3048)*Metric_Conversion!C60</f>
        <v>0</v>
      </c>
      <c r="D60" s="87">
        <f>+IF($E$10=setup!$B$6,1,0.3048)*Metric_Conversion!D60</f>
        <v>0</v>
      </c>
      <c r="E60" s="87">
        <f>+IF($E$10=setup!$B$6,1,14.5038)*Metric_Conversion!E60</f>
        <v>4.8445664192501764E-2</v>
      </c>
      <c r="F60" s="87">
        <f>+IF($E$10=setup!$B$6,1,14.5038)*Metric_Conversion!F60</f>
        <v>0.114762292321091</v>
      </c>
      <c r="G60" s="87">
        <f>+IF($E$10=setup!$B$6,1,0.145038)*Metric_Conversion!G60</f>
        <v>5.3974406367142342E-3</v>
      </c>
      <c r="H60" s="59"/>
      <c r="I60" s="59"/>
      <c r="J60" s="59"/>
      <c r="K60" s="59"/>
      <c r="L60" s="59"/>
      <c r="M60" s="56"/>
    </row>
    <row r="61" spans="1:19" ht="13.5" customHeight="1">
      <c r="A61" s="102"/>
      <c r="B61" s="63">
        <f>Metric_Conversion!B61</f>
        <v>0.19</v>
      </c>
      <c r="C61" s="87">
        <f>+IF($E$10=setup!$B$6,1,0.3048)*Metric_Conversion!C61</f>
        <v>0</v>
      </c>
      <c r="D61" s="87">
        <f>+IF($E$10=setup!$B$6,1,0.3048)*Metric_Conversion!D61</f>
        <v>0</v>
      </c>
      <c r="E61" s="87">
        <f>+IF($E$10=setup!$B$6,1,14.5038)*Metric_Conversion!E61</f>
        <v>3.9948764693115375E-2</v>
      </c>
      <c r="F61" s="87">
        <f>+IF($E$10=setup!$B$6,1,14.5038)*Metric_Conversion!F61</f>
        <v>8.747620919029428E-2</v>
      </c>
      <c r="G61" s="87">
        <f>+IF($E$10=setup!$B$6,1,0.145038)*Metric_Conversion!G61</f>
        <v>1.446697978057525E-3</v>
      </c>
      <c r="H61" s="59"/>
      <c r="I61" s="59"/>
      <c r="J61" s="59"/>
      <c r="K61" s="59"/>
      <c r="L61" s="59"/>
      <c r="M61" s="56"/>
    </row>
    <row r="62" spans="1:19">
      <c r="A62" s="102"/>
      <c r="B62" s="63">
        <f>Metric_Conversion!B62</f>
        <v>0.2</v>
      </c>
      <c r="C62" s="87">
        <f>+IF($E$10=setup!$B$6,1,0.3048)*Metric_Conversion!C62</f>
        <v>0</v>
      </c>
      <c r="D62" s="87">
        <f>+IF($E$10=setup!$B$6,1,0.3048)*Metric_Conversion!D62</f>
        <v>0</v>
      </c>
      <c r="E62" s="87">
        <f>+IF($E$10=setup!$B$6,1,14.5038)*Metric_Conversion!E62</f>
        <v>3.131380728639481E-2</v>
      </c>
      <c r="F62" s="87">
        <f>+IF($E$10=setup!$B$6,1,14.5038)*Metric_Conversion!F62</f>
        <v>6.1934961859049287E-2</v>
      </c>
      <c r="G62" s="87">
        <f>+IF($E$10=setup!$B$6,1,0.145038)*Metric_Conversion!G62</f>
        <v>3.0610884202965171E-4</v>
      </c>
      <c r="H62" s="59"/>
      <c r="I62" s="59"/>
      <c r="J62" s="59"/>
      <c r="K62" s="59"/>
      <c r="L62" s="59"/>
      <c r="M62" s="56"/>
    </row>
    <row r="63" spans="1:19">
      <c r="A63" s="103"/>
      <c r="B63" s="104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5"/>
    </row>
  </sheetData>
  <mergeCells count="4">
    <mergeCell ref="F1:M3"/>
    <mergeCell ref="A1:E3"/>
    <mergeCell ref="A39:M39"/>
    <mergeCell ref="A19:M19"/>
  </mergeCells>
  <phoneticPr fontId="13" type="noConversion"/>
  <pageMargins left="0.7" right="0.7" top="0.75" bottom="0.75" header="0.3" footer="0.3"/>
  <pageSetup scale="69" orientation="portrait" r:id="rId1"/>
  <headerFooter alignWithMargins="0">
    <oddFooter>&amp;L&amp;F&amp;R&amp;D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A2B8D3C-CC52-4653-9A83-BC14AC1202F9}">
          <x14:formula1>
            <xm:f>setup!$B$5:$B$6</xm:f>
          </x14:formula1>
          <xm:sqref>E10</xm:sqref>
        </x14:dataValidation>
        <x14:dataValidation type="list" allowBlank="1" showInputMessage="1" showErrorMessage="1" xr:uid="{2D3650A7-6C19-4090-AFFF-94724AD59C9B}">
          <x14:formula1>
            <xm:f>setup!$C$5:$C$6</xm:f>
          </x14:formula1>
          <xm:sqref>E14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92C8-E364-4B96-A0CF-42317912DF10}">
  <sheetPr codeName="Sheet3">
    <pageSetUpPr fitToPage="1"/>
  </sheetPr>
  <dimension ref="A1:U67"/>
  <sheetViews>
    <sheetView topLeftCell="A34" zoomScale="110" zoomScaleNormal="110" workbookViewId="0">
      <selection activeCell="G42" sqref="G42"/>
    </sheetView>
  </sheetViews>
  <sheetFormatPr baseColWidth="10" defaultColWidth="9.1640625" defaultRowHeight="13"/>
  <cols>
    <col min="1" max="1" width="7.5" style="3" customWidth="1"/>
    <col min="2" max="2" width="12.83203125" style="3" customWidth="1"/>
    <col min="3" max="3" width="6.33203125" style="3" customWidth="1"/>
    <col min="4" max="4" width="8.5" style="3" customWidth="1"/>
    <col min="5" max="5" width="9.83203125" style="3" customWidth="1"/>
    <col min="6" max="6" width="9.5" style="3" customWidth="1"/>
    <col min="7" max="7" width="12.5" style="3" customWidth="1"/>
    <col min="8" max="9" width="17.5" style="3" customWidth="1"/>
    <col min="10" max="10" width="19" style="3" customWidth="1"/>
    <col min="11" max="12" width="9.5" style="3" customWidth="1"/>
    <col min="13" max="13" width="5.83203125" style="3" customWidth="1"/>
    <col min="14" max="14" width="10.33203125" style="3" customWidth="1"/>
    <col min="15" max="19" width="0" style="3" hidden="1" customWidth="1"/>
    <col min="20" max="16384" width="9.1640625" style="3"/>
  </cols>
  <sheetData>
    <row r="1" spans="1:13" ht="18.75" customHeight="1">
      <c r="A1" s="166"/>
      <c r="B1" s="166"/>
      <c r="C1" s="166"/>
      <c r="D1" s="166"/>
      <c r="E1" s="167"/>
      <c r="F1" s="153" t="s">
        <v>27</v>
      </c>
      <c r="G1" s="154"/>
      <c r="H1" s="154"/>
      <c r="I1" s="154"/>
      <c r="J1" s="154"/>
      <c r="K1" s="154"/>
      <c r="L1" s="154"/>
      <c r="M1" s="155"/>
    </row>
    <row r="2" spans="1:13" ht="18.75" customHeight="1">
      <c r="A2" s="166"/>
      <c r="B2" s="166"/>
      <c r="C2" s="166"/>
      <c r="D2" s="166"/>
      <c r="E2" s="167"/>
      <c r="F2" s="156"/>
      <c r="G2" s="157"/>
      <c r="H2" s="157"/>
      <c r="I2" s="157"/>
      <c r="J2" s="157"/>
      <c r="K2" s="157"/>
      <c r="L2" s="157"/>
      <c r="M2" s="158"/>
    </row>
    <row r="3" spans="1:13" ht="18.75" customHeight="1">
      <c r="A3" s="166"/>
      <c r="B3" s="166"/>
      <c r="C3" s="166"/>
      <c r="D3" s="166"/>
      <c r="E3" s="167"/>
      <c r="F3" s="159"/>
      <c r="G3" s="160"/>
      <c r="H3" s="160"/>
      <c r="I3" s="160"/>
      <c r="J3" s="160"/>
      <c r="K3" s="160"/>
      <c r="L3" s="160"/>
      <c r="M3" s="161"/>
    </row>
    <row r="4" spans="1:13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8"/>
    </row>
    <row r="5" spans="1:13">
      <c r="A5" s="9"/>
      <c r="B5" s="16" t="s">
        <v>8</v>
      </c>
      <c r="C5" s="17"/>
      <c r="D5" s="18"/>
      <c r="E5" s="43"/>
      <c r="F5" s="44"/>
      <c r="G5" s="44"/>
      <c r="H5" s="12"/>
      <c r="I5" s="12"/>
      <c r="J5" s="12"/>
      <c r="K5" s="12"/>
      <c r="L5" s="12"/>
      <c r="M5" s="15"/>
    </row>
    <row r="6" spans="1:13">
      <c r="A6" s="9"/>
      <c r="B6" s="16" t="s">
        <v>9</v>
      </c>
      <c r="C6" s="17"/>
      <c r="D6" s="18"/>
      <c r="E6" s="43"/>
      <c r="F6" s="44"/>
      <c r="G6" s="44"/>
      <c r="H6" s="12"/>
      <c r="I6" s="12"/>
      <c r="J6" s="12"/>
      <c r="K6" s="12"/>
      <c r="L6" s="12"/>
      <c r="M6" s="15"/>
    </row>
    <row r="7" spans="1:13">
      <c r="A7" s="9"/>
      <c r="B7" s="16" t="s">
        <v>10</v>
      </c>
      <c r="C7" s="17"/>
      <c r="D7" s="18"/>
      <c r="E7" s="45"/>
      <c r="F7" s="46"/>
      <c r="G7" s="46"/>
      <c r="H7" s="12"/>
      <c r="I7" s="12"/>
      <c r="J7" s="12"/>
      <c r="K7" s="12"/>
      <c r="L7" s="12"/>
      <c r="M7" s="15"/>
    </row>
    <row r="8" spans="1:13" ht="16">
      <c r="A8" s="9"/>
      <c r="B8" s="12"/>
      <c r="C8" s="19"/>
      <c r="D8" s="19"/>
      <c r="E8" s="12"/>
      <c r="F8" s="12"/>
      <c r="G8" s="12"/>
      <c r="H8" s="12"/>
      <c r="I8" s="12"/>
      <c r="J8" s="12"/>
      <c r="K8" s="12"/>
      <c r="L8" s="12"/>
      <c r="M8" s="15"/>
    </row>
    <row r="9" spans="1:13" ht="18">
      <c r="A9" s="9"/>
      <c r="B9" s="40" t="s">
        <v>11</v>
      </c>
      <c r="C9" s="41"/>
      <c r="D9" s="41"/>
      <c r="E9" s="20"/>
      <c r="F9" s="12"/>
      <c r="G9" s="12"/>
      <c r="H9" s="12"/>
      <c r="I9" s="12"/>
      <c r="J9" s="12"/>
      <c r="K9" s="12"/>
      <c r="L9" s="12"/>
      <c r="M9" s="15"/>
    </row>
    <row r="10" spans="1:13">
      <c r="A10" s="9"/>
      <c r="B10" s="16" t="str">
        <f>+Input_Output!B10</f>
        <v>unit system</v>
      </c>
      <c r="C10" s="17"/>
      <c r="D10" s="18"/>
      <c r="E10" s="23" t="s">
        <v>15</v>
      </c>
      <c r="F10" s="12"/>
      <c r="G10" s="12"/>
      <c r="H10" s="12"/>
      <c r="I10" s="12"/>
      <c r="J10" s="12"/>
      <c r="K10" s="12"/>
      <c r="L10" s="12"/>
      <c r="M10" s="12"/>
    </row>
    <row r="11" spans="1:13">
      <c r="A11" s="9"/>
      <c r="B11" s="16" t="str">
        <f>+Input_Output!B11</f>
        <v>Pump speed</v>
      </c>
      <c r="C11" s="17"/>
      <c r="D11" s="18"/>
      <c r="E11" s="23">
        <f>+Input_Output!E11</f>
        <v>1490</v>
      </c>
      <c r="F11" s="12" t="s">
        <v>17</v>
      </c>
      <c r="G11" s="12"/>
      <c r="H11" s="12"/>
      <c r="I11" s="12"/>
      <c r="J11" s="12"/>
      <c r="K11" s="12"/>
      <c r="L11" s="12"/>
      <c r="M11" s="15"/>
    </row>
    <row r="12" spans="1:13">
      <c r="A12" s="9"/>
      <c r="B12" s="16" t="s">
        <v>28</v>
      </c>
      <c r="C12" s="17"/>
      <c r="D12" s="18"/>
      <c r="E12" s="23">
        <f>+IF(Input_Output!$E$10=setup!$B$6,Input_Output!J12,Input_Output!J12*0.22712)</f>
        <v>900</v>
      </c>
      <c r="F12" s="12" t="s">
        <v>29</v>
      </c>
      <c r="G12" s="12"/>
      <c r="H12" s="12"/>
      <c r="I12" s="12"/>
      <c r="J12" s="12"/>
      <c r="K12" s="12"/>
      <c r="L12" s="12"/>
      <c r="M12" s="15"/>
    </row>
    <row r="13" spans="1:13">
      <c r="A13" s="9"/>
      <c r="B13" s="16" t="s">
        <v>30</v>
      </c>
      <c r="C13" s="17"/>
      <c r="D13" s="18"/>
      <c r="E13" s="23">
        <f>+IF(Input_Output!$E$10=setup!$B$6,Input_Output!K12,Input_Output!K12*0.3048)</f>
        <v>75</v>
      </c>
      <c r="F13" s="12" t="s">
        <v>31</v>
      </c>
      <c r="G13" s="12"/>
      <c r="H13" s="12"/>
      <c r="I13" s="12"/>
      <c r="J13" s="12"/>
      <c r="K13" s="12"/>
      <c r="L13" s="12"/>
      <c r="M13" s="15"/>
    </row>
    <row r="14" spans="1:13">
      <c r="A14" s="9"/>
      <c r="B14" s="16" t="s">
        <v>32</v>
      </c>
      <c r="C14" s="17"/>
      <c r="D14" s="18"/>
      <c r="E14" s="23">
        <f>+IF(Input_Output!$E$10=setup!$B$6,Input_Output!J11,Input_Output!J11*0.22712)</f>
        <v>1200</v>
      </c>
      <c r="F14" s="12" t="s">
        <v>29</v>
      </c>
      <c r="G14" s="12"/>
      <c r="H14" s="12"/>
      <c r="I14" s="12"/>
      <c r="J14" s="12"/>
      <c r="K14" s="12"/>
      <c r="L14" s="12"/>
      <c r="M14" s="15"/>
    </row>
    <row r="15" spans="1:13">
      <c r="A15" s="9"/>
      <c r="B15" s="16" t="s">
        <v>33</v>
      </c>
      <c r="C15" s="17"/>
      <c r="D15" s="18"/>
      <c r="E15" s="23">
        <f>+IF(Input_Output!$E$10=setup!$B$6,Input_Output!K11,Input_Output!K11*0.22712)</f>
        <v>65</v>
      </c>
      <c r="F15" s="12" t="s">
        <v>31</v>
      </c>
      <c r="G15" s="12"/>
      <c r="H15" s="12"/>
      <c r="I15" s="12"/>
      <c r="J15" s="12"/>
      <c r="K15" s="12"/>
      <c r="L15" s="12"/>
      <c r="M15" s="15"/>
    </row>
    <row r="16" spans="1:13">
      <c r="A16" s="9"/>
      <c r="B16" s="16" t="s">
        <v>34</v>
      </c>
      <c r="C16" s="17"/>
      <c r="D16" s="18"/>
      <c r="E16" s="23">
        <f>+IF(Input_Output!$E$10=setup!$B$6,Input_Output!L12,Input_Output!L12*0.22712)</f>
        <v>0</v>
      </c>
      <c r="F16" s="12" t="s">
        <v>31</v>
      </c>
      <c r="G16" s="12"/>
      <c r="H16" s="12"/>
      <c r="I16" s="12"/>
      <c r="J16" s="12"/>
      <c r="K16" s="12"/>
      <c r="L16" s="12"/>
      <c r="M16" s="15"/>
    </row>
    <row r="17" spans="1:13">
      <c r="A17" s="9"/>
      <c r="B17" s="16" t="s">
        <v>35</v>
      </c>
      <c r="C17" s="17"/>
      <c r="D17" s="18"/>
      <c r="E17" s="23">
        <f>+IF(Input_Output!$E$10=setup!$B$6,Input_Output!L11,Input_Output!L11*0.22712)</f>
        <v>0</v>
      </c>
      <c r="F17" s="12" t="s">
        <v>31</v>
      </c>
      <c r="G17" s="12"/>
      <c r="H17" s="12"/>
      <c r="I17" s="12"/>
      <c r="J17" s="12"/>
      <c r="K17" s="12"/>
      <c r="L17" s="12"/>
      <c r="M17" s="15"/>
    </row>
    <row r="18" spans="1:13">
      <c r="A18" s="9"/>
      <c r="B18" s="16" t="str">
        <f>+Input_Output!B12</f>
        <v>D2</v>
      </c>
      <c r="C18" s="17"/>
      <c r="D18" s="18"/>
      <c r="E18" s="23">
        <f>+IF(Input_Output!$E$10=setup!$B$6,Input_Output!E12,Input_Output!E12*0.3048)</f>
        <v>350</v>
      </c>
      <c r="F18" s="12" t="s">
        <v>36</v>
      </c>
      <c r="G18" s="12"/>
      <c r="H18" s="12"/>
      <c r="I18" s="12"/>
      <c r="J18" s="12"/>
      <c r="K18" s="12"/>
      <c r="L18" s="12"/>
      <c r="M18" s="12"/>
    </row>
    <row r="19" spans="1:13">
      <c r="A19" s="9"/>
      <c r="B19" s="16" t="str">
        <f>+Input_Output!B13</f>
        <v>D3</v>
      </c>
      <c r="C19" s="17"/>
      <c r="D19" s="18"/>
      <c r="E19" s="23">
        <f>+IF(Input_Output!$E$10=setup!$B$6,Input_Output!E13,Input_Output!E13*0.3048)</f>
        <v>365</v>
      </c>
      <c r="F19" s="12" t="s">
        <v>36</v>
      </c>
      <c r="G19" s="12"/>
      <c r="H19" s="12"/>
      <c r="I19" s="12"/>
      <c r="J19" s="12"/>
      <c r="K19" s="12"/>
      <c r="L19" s="12"/>
      <c r="M19" s="15"/>
    </row>
    <row r="20" spans="1:13">
      <c r="A20" s="9"/>
      <c r="B20" s="16" t="str">
        <f>+Input_Output!B14</f>
        <v>volute or diffuser</v>
      </c>
      <c r="C20" s="17"/>
      <c r="D20" s="18"/>
      <c r="E20" s="23" t="str">
        <f>+IF(Input_Output!$E$10=setup!$B$6,Input_Output!E14,Input_Output!E14*25.4)</f>
        <v>diffuser</v>
      </c>
      <c r="F20" s="12"/>
      <c r="G20" s="12"/>
      <c r="H20" s="12"/>
      <c r="I20" s="12"/>
      <c r="J20" s="12"/>
      <c r="K20" s="12"/>
      <c r="L20" s="12"/>
      <c r="M20" s="15"/>
    </row>
    <row r="21" spans="1:13">
      <c r="A21" s="9"/>
      <c r="B21" s="16" t="str">
        <f>+Input_Output!B15</f>
        <v>D vaneless zone</v>
      </c>
      <c r="C21" s="17"/>
      <c r="D21" s="17"/>
      <c r="E21" s="23">
        <f>+IF(Input_Output!$E$10=setup!$B$6,Input_Output!E15,Input_Output!E15*0.3048)</f>
        <v>355</v>
      </c>
      <c r="F21" s="12" t="s">
        <v>36</v>
      </c>
      <c r="G21" s="42" t="str">
        <f>+IF(AND(D23=setup!D5,Metric_Conversion!I15&lt;&gt;0),"wrong material","")</f>
        <v/>
      </c>
      <c r="H21" s="42" t="str">
        <f>+IF(AND(E23=setup!E5,Metric_Conversion!J15&lt;&gt;0),"wrong material","")</f>
        <v/>
      </c>
      <c r="I21" s="12"/>
      <c r="J21" s="12"/>
      <c r="K21" s="12"/>
      <c r="L21" s="12"/>
      <c r="M21" s="15"/>
    </row>
    <row r="22" spans="1:13">
      <c r="A22" s="9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5"/>
    </row>
    <row r="23" spans="1:13">
      <c r="A23" s="9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5"/>
    </row>
    <row r="24" spans="1:13">
      <c r="A24" s="9"/>
      <c r="B24" s="9"/>
      <c r="C24" s="9"/>
      <c r="D24" s="9"/>
      <c r="E24" s="9"/>
      <c r="F24" s="9"/>
      <c r="G24" s="9"/>
      <c r="H24" s="12"/>
      <c r="I24" s="12"/>
      <c r="J24" s="12"/>
      <c r="K24" s="12"/>
      <c r="L24" s="12"/>
      <c r="M24" s="15"/>
    </row>
    <row r="25" spans="1:13" ht="18">
      <c r="A25" s="176" t="s">
        <v>25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7"/>
    </row>
    <row r="26" spans="1:13">
      <c r="A26" s="9"/>
      <c r="B26" s="9"/>
      <c r="C26" s="9"/>
      <c r="D26" s="9"/>
      <c r="E26" s="9"/>
      <c r="F26" s="9"/>
      <c r="G26" s="9"/>
      <c r="H26" s="12"/>
      <c r="I26" s="12"/>
      <c r="J26" s="12"/>
      <c r="K26" s="12"/>
      <c r="L26" s="12"/>
      <c r="M26" s="12"/>
    </row>
    <row r="27" spans="1:13">
      <c r="A27" s="9"/>
      <c r="B27" s="9"/>
      <c r="C27" s="9"/>
      <c r="D27" s="9"/>
      <c r="E27" s="9"/>
      <c r="F27" s="9"/>
      <c r="G27" s="9"/>
      <c r="H27" s="12"/>
      <c r="I27" s="12"/>
      <c r="J27" s="12"/>
      <c r="K27" s="12"/>
      <c r="L27" s="12"/>
      <c r="M27" s="12"/>
    </row>
    <row r="28" spans="1:13" ht="12.75" customHeight="1">
      <c r="A28" s="9"/>
      <c r="B28" s="9"/>
      <c r="C28" s="9"/>
      <c r="D28" s="9"/>
      <c r="E28" s="9"/>
      <c r="F28" s="9"/>
      <c r="G28" s="9"/>
      <c r="H28" s="12"/>
      <c r="I28" s="12"/>
      <c r="J28" s="12"/>
      <c r="K28" s="12"/>
      <c r="L28" s="12"/>
      <c r="M28" s="12"/>
    </row>
    <row r="29" spans="1:13">
      <c r="A29" s="9"/>
      <c r="B29" s="9"/>
      <c r="C29" s="9"/>
      <c r="D29" s="9"/>
      <c r="E29" s="9"/>
      <c r="F29" s="9"/>
      <c r="G29" s="9"/>
      <c r="H29" s="12"/>
      <c r="I29" s="12"/>
      <c r="J29" s="12"/>
      <c r="K29" s="12"/>
      <c r="L29" s="12"/>
      <c r="M29" s="12"/>
    </row>
    <row r="30" spans="1:13" ht="22.5" customHeight="1">
      <c r="A30" s="9"/>
      <c r="B30" s="9"/>
      <c r="C30" s="9"/>
      <c r="D30" s="9"/>
      <c r="E30" s="9"/>
      <c r="F30" s="9"/>
      <c r="G30" s="9"/>
      <c r="H30" s="12"/>
      <c r="I30" s="12"/>
      <c r="J30" s="12"/>
      <c r="K30" s="12"/>
      <c r="L30" s="12"/>
      <c r="M30" s="12"/>
    </row>
    <row r="31" spans="1:13" ht="22.5" customHeight="1">
      <c r="A31" s="9"/>
      <c r="B31" s="9"/>
      <c r="C31" s="9"/>
      <c r="D31" s="9"/>
      <c r="E31" s="9"/>
      <c r="F31" s="9"/>
      <c r="G31" s="9"/>
      <c r="H31" s="12"/>
      <c r="I31" s="12"/>
      <c r="J31" s="12"/>
      <c r="K31" s="12"/>
      <c r="L31" s="12"/>
      <c r="M31" s="12"/>
    </row>
    <row r="32" spans="1:13" ht="22.5" customHeight="1">
      <c r="A32" s="9"/>
      <c r="B32" s="9"/>
      <c r="C32" s="9"/>
      <c r="D32" s="9"/>
      <c r="E32" s="9"/>
      <c r="F32" s="9"/>
      <c r="G32" s="9"/>
      <c r="H32" s="12"/>
      <c r="I32" s="12"/>
      <c r="J32" s="12"/>
      <c r="K32" s="12"/>
      <c r="L32" s="12"/>
      <c r="M32" s="12"/>
    </row>
    <row r="33" spans="1:21" ht="22.5" customHeight="1">
      <c r="A33" s="9"/>
      <c r="B33" s="9"/>
      <c r="C33" s="9"/>
      <c r="D33" s="9"/>
      <c r="E33" s="9"/>
      <c r="F33" s="9"/>
      <c r="G33" s="9"/>
      <c r="H33" s="12"/>
      <c r="I33" s="12"/>
      <c r="J33" s="12"/>
      <c r="K33" s="12"/>
      <c r="L33" s="12"/>
      <c r="M33" s="12"/>
    </row>
    <row r="34" spans="1:21" ht="22.5" customHeight="1">
      <c r="A34" s="9"/>
      <c r="B34" s="9"/>
      <c r="C34" s="9"/>
      <c r="D34" s="9"/>
      <c r="E34" s="9"/>
      <c r="F34" s="9"/>
      <c r="G34" s="9"/>
      <c r="H34" s="12"/>
      <c r="I34" s="12"/>
      <c r="J34" s="12"/>
      <c r="K34" s="12"/>
      <c r="L34" s="12"/>
      <c r="M34" s="12"/>
    </row>
    <row r="35" spans="1:21" ht="22.5" customHeight="1">
      <c r="A35" s="9"/>
      <c r="B35" s="9"/>
      <c r="C35" s="9"/>
      <c r="D35" s="9"/>
      <c r="E35" s="9"/>
      <c r="F35" s="9"/>
      <c r="G35" s="9"/>
      <c r="H35" s="12"/>
      <c r="I35" s="12"/>
      <c r="J35" s="12"/>
      <c r="K35" s="12"/>
      <c r="L35" s="12"/>
      <c r="M35" s="12"/>
    </row>
    <row r="36" spans="1:21" ht="22.5" customHeight="1">
      <c r="A36" s="9"/>
      <c r="B36" s="9"/>
      <c r="C36" s="9"/>
      <c r="D36" s="9"/>
      <c r="E36" s="9"/>
      <c r="F36" s="9"/>
      <c r="G36" s="9"/>
      <c r="H36" s="12"/>
      <c r="I36" s="12"/>
      <c r="J36" s="12"/>
      <c r="K36" s="12"/>
      <c r="L36" s="12"/>
      <c r="M36" s="12"/>
    </row>
    <row r="37" spans="1:21" ht="22.5" customHeight="1">
      <c r="A37" s="9"/>
      <c r="B37" s="9"/>
      <c r="C37" s="9"/>
      <c r="D37" s="9"/>
      <c r="E37" s="9"/>
      <c r="F37" s="9"/>
      <c r="G37" s="10"/>
      <c r="H37" s="10"/>
      <c r="I37" s="10"/>
      <c r="J37" s="10"/>
      <c r="K37" s="10"/>
      <c r="L37" s="10"/>
      <c r="M37" s="11"/>
    </row>
    <row r="38" spans="1:21" ht="22.5" customHeight="1">
      <c r="A38" s="9"/>
      <c r="B38" s="9"/>
      <c r="C38" s="9"/>
      <c r="D38" s="9"/>
      <c r="E38" s="9"/>
      <c r="F38" s="9"/>
      <c r="G38" s="10"/>
      <c r="H38" s="10"/>
      <c r="I38" s="10"/>
      <c r="J38" s="10"/>
      <c r="K38" s="10"/>
      <c r="L38" s="10"/>
      <c r="M38" s="11"/>
    </row>
    <row r="39" spans="1:21" ht="22.5" customHeight="1">
      <c r="A39" s="176" t="s">
        <v>25</v>
      </c>
      <c r="B39" s="176"/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7"/>
      <c r="U39" s="22"/>
    </row>
    <row r="40" spans="1:21">
      <c r="A40" s="9"/>
      <c r="B40" s="9"/>
      <c r="C40" s="9"/>
      <c r="D40" s="9"/>
      <c r="E40" s="9"/>
      <c r="F40" s="9"/>
      <c r="G40" s="10"/>
      <c r="H40" s="10"/>
      <c r="I40" s="10"/>
      <c r="J40" s="10"/>
      <c r="K40" s="10"/>
      <c r="L40" s="10"/>
      <c r="M40" s="11"/>
    </row>
    <row r="41" spans="1:21" ht="24.5" customHeight="1">
      <c r="A41" s="9"/>
      <c r="B41" s="99" t="s">
        <v>37</v>
      </c>
      <c r="C41" s="100" t="s">
        <v>38</v>
      </c>
      <c r="D41" s="100" t="s">
        <v>39</v>
      </c>
      <c r="E41" s="100" t="s">
        <v>40</v>
      </c>
      <c r="F41" s="100" t="s">
        <v>41</v>
      </c>
      <c r="G41" s="100" t="s">
        <v>42</v>
      </c>
      <c r="H41" s="10"/>
      <c r="I41" s="10"/>
      <c r="J41" s="10"/>
      <c r="K41" s="93" t="s">
        <v>43</v>
      </c>
      <c r="L41" s="98">
        <f>+E11/60*2*PI()*E18/2000</f>
        <v>27.305676147451287</v>
      </c>
      <c r="M41" s="13" t="str">
        <f>+IF(E10=setup!B6,"m/s","ft/s")</f>
        <v>m/s</v>
      </c>
    </row>
    <row r="42" spans="1:21">
      <c r="A42" s="9"/>
      <c r="B42" s="92"/>
      <c r="C42" s="93" t="s">
        <v>44</v>
      </c>
      <c r="D42" s="93" t="s">
        <v>44</v>
      </c>
      <c r="E42" s="93" t="s">
        <v>45</v>
      </c>
      <c r="F42" s="93" t="s">
        <v>45</v>
      </c>
      <c r="G42" s="93" t="s">
        <v>46</v>
      </c>
      <c r="H42" s="10"/>
      <c r="I42" s="10"/>
      <c r="J42" s="10"/>
      <c r="K42" s="10"/>
      <c r="L42" s="10"/>
      <c r="M42" s="11"/>
    </row>
    <row r="43" spans="1:21">
      <c r="A43" s="9"/>
      <c r="B43" s="101">
        <v>0.01</v>
      </c>
      <c r="C43" s="87">
        <f>+$L$41*'Gulich-Fig.10.6'!K47</f>
        <v>8.1675073349659382</v>
      </c>
      <c r="D43" s="87">
        <f>+$L$41*'Gulich-Fig.10.6'!L47</f>
        <v>18.311359572866916</v>
      </c>
      <c r="E43" s="87">
        <f>'Gulich-Fig.10.6'!M47*0.5*1000*$L$41^2/100000</f>
        <v>0.52085911273738594</v>
      </c>
      <c r="F43" s="87">
        <f>'Gulich-Fig.10.6'!M71*$L$41^2*0.5*1000/100000</f>
        <v>0.94202413008601771</v>
      </c>
      <c r="G43" s="87">
        <f>10*'Gulich-Fig.10.6'!N47*0.5*1000*Metric_Conversion!$L$41^2/1000000</f>
        <v>2.608477881460761</v>
      </c>
      <c r="H43" s="10"/>
      <c r="I43" s="10"/>
      <c r="J43" s="10"/>
      <c r="K43" s="10"/>
      <c r="L43" s="10"/>
      <c r="M43" s="11"/>
    </row>
    <row r="44" spans="1:21">
      <c r="A44" s="9"/>
      <c r="B44" s="101">
        <v>0.02</v>
      </c>
      <c r="C44" s="87">
        <f>+$L$41*'Gulich-Fig.10.6'!K48</f>
        <v>9.2833996982331506</v>
      </c>
      <c r="D44" s="87">
        <f>+$L$41*'Gulich-Fig.10.6'!L48</f>
        <v>6.1086941731495559</v>
      </c>
      <c r="E44" s="87">
        <f>'Gulich-Fig.10.6'!M48*0.5*1000*$L$41^2/100000</f>
        <v>0.35803512444895352</v>
      </c>
      <c r="F44" s="87">
        <f>'Gulich-Fig.10.6'!M72*$L$41^2*0.5*1000/100000</f>
        <v>0.65366063948004982</v>
      </c>
      <c r="G44" s="87">
        <f>10*'Gulich-Fig.10.6'!N48*0.5*1000*Metric_Conversion!$L$41^2/1000000</f>
        <v>1.735608924009362</v>
      </c>
      <c r="H44" s="10"/>
      <c r="I44" s="10"/>
      <c r="J44" s="10"/>
      <c r="K44" s="10"/>
      <c r="L44" s="10"/>
      <c r="M44" s="11"/>
    </row>
    <row r="45" spans="1:21">
      <c r="A45" s="9"/>
      <c r="B45" s="101">
        <v>0.03</v>
      </c>
      <c r="C45" s="87">
        <f>+$L$41*'Gulich-Fig.10.6'!K49</f>
        <v>8.477920137515758</v>
      </c>
      <c r="D45" s="87">
        <f>+$L$41*'Gulich-Fig.10.6'!L49</f>
        <v>5.5542806732020651</v>
      </c>
      <c r="E45" s="87">
        <f>'Gulich-Fig.10.6'!M49*0.5*1000*$L$41^2/100000</f>
        <v>0.25232501891550568</v>
      </c>
      <c r="F45" s="87">
        <f>'Gulich-Fig.10.6'!M73*$L$41^2*0.5*1000/100000</f>
        <v>0.47022976335956213</v>
      </c>
      <c r="G45" s="87">
        <f>10*'Gulich-Fig.10.6'!N49*0.5*1000*Metric_Conversion!$L$41^2/1000000</f>
        <v>1.2302060952742935</v>
      </c>
      <c r="H45" s="12"/>
      <c r="I45" s="12"/>
      <c r="J45" s="12"/>
      <c r="K45" s="10"/>
      <c r="L45" s="10"/>
      <c r="M45" s="11"/>
    </row>
    <row r="46" spans="1:21">
      <c r="A46" s="9"/>
      <c r="B46" s="101">
        <v>0.04</v>
      </c>
      <c r="C46" s="87">
        <f>+$L$41*'Gulich-Fig.10.6'!K50</f>
        <v>7.7367372925688311</v>
      </c>
      <c r="D46" s="87">
        <f>+$L$41*'Gulich-Fig.10.6'!L50</f>
        <v>5.0123399588269812</v>
      </c>
      <c r="E46" s="87">
        <f>'Gulich-Fig.10.6'!M50*0.5*1000*$L$41^2/100000</f>
        <v>0.1894287766176318</v>
      </c>
      <c r="F46" s="87">
        <f>'Gulich-Fig.10.6'!M74*$L$41^2*0.5*1000/100000</f>
        <v>0.363495931656177</v>
      </c>
      <c r="G46" s="87">
        <f>10*'Gulich-Fig.10.6'!N50*0.5*1000*Metric_Conversion!$L$41^2/1000000</f>
        <v>0.95813758025744267</v>
      </c>
      <c r="H46" s="12"/>
      <c r="I46" s="92" t="s">
        <v>47</v>
      </c>
      <c r="J46" s="92"/>
      <c r="K46" s="97"/>
      <c r="L46" s="97"/>
      <c r="M46" s="11"/>
      <c r="N46" s="21"/>
    </row>
    <row r="47" spans="1:21">
      <c r="A47" s="9"/>
      <c r="B47" s="101">
        <v>0.05</v>
      </c>
      <c r="C47" s="87">
        <f>+$L$41*'Gulich-Fig.10.6'!K51</f>
        <v>0</v>
      </c>
      <c r="D47" s="87">
        <f>+$L$41*'Gulich-Fig.10.6'!L51</f>
        <v>0</v>
      </c>
      <c r="E47" s="87">
        <f>'Gulich-Fig.10.6'!M51*0.5*1000*$L$41^2/100000</f>
        <v>0.15041490525501508</v>
      </c>
      <c r="F47" s="87">
        <f>'Gulich-Fig.10.6'!M75*$L$41^2*0.5*1000/100000</f>
        <v>0.29920295229400762</v>
      </c>
      <c r="G47" s="87">
        <f>10*'Gulich-Fig.10.6'!N51*0.5*1000*Metric_Conversion!$L$41^2/1000000</f>
        <v>0.80320402194443885</v>
      </c>
      <c r="H47" s="12"/>
      <c r="I47" s="93" t="s">
        <v>48</v>
      </c>
      <c r="J47" s="93" t="s">
        <v>40</v>
      </c>
      <c r="K47" s="93" t="s">
        <v>41</v>
      </c>
      <c r="L47" s="93" t="s">
        <v>49</v>
      </c>
      <c r="M47" s="13"/>
    </row>
    <row r="48" spans="1:21" ht="14" thickBot="1">
      <c r="A48" s="9"/>
      <c r="B48" s="101">
        <v>0.06</v>
      </c>
      <c r="C48" s="87">
        <f>+$L$41*'Gulich-Fig.10.6'!K52</f>
        <v>0</v>
      </c>
      <c r="D48" s="87">
        <f>+$L$41*'Gulich-Fig.10.6'!L52</f>
        <v>0</v>
      </c>
      <c r="E48" s="87">
        <f>'Gulich-Fig.10.6'!M52*0.5*1000*$L$41^2/100000</f>
        <v>0.12543056960225341</v>
      </c>
      <c r="F48" s="87">
        <f>'Gulich-Fig.10.6'!M76*$L$41^2*0.5*1000/100000</f>
        <v>0.25986889185015311</v>
      </c>
      <c r="G48" s="87">
        <f>10*'Gulich-Fig.10.6'!N52*0.5*1000*Metric_Conversion!$L$41^2/1000000</f>
        <v>0.70989787225063028</v>
      </c>
      <c r="H48" s="14"/>
      <c r="I48" s="94" t="s">
        <v>26</v>
      </c>
      <c r="J48" s="93" t="s">
        <v>45</v>
      </c>
      <c r="K48" s="93" t="s">
        <v>45</v>
      </c>
      <c r="L48" s="93" t="s">
        <v>46</v>
      </c>
      <c r="M48" s="13"/>
    </row>
    <row r="49" spans="1:19" ht="14" thickBot="1">
      <c r="A49" s="9"/>
      <c r="B49" s="101">
        <v>7.0000000000000007E-2</v>
      </c>
      <c r="C49" s="87">
        <f>+$L$41*'Gulich-Fig.10.6'!K53</f>
        <v>0</v>
      </c>
      <c r="D49" s="87">
        <f>+$L$41*'Gulich-Fig.10.6'!L53</f>
        <v>0</v>
      </c>
      <c r="E49" s="87">
        <f>'Gulich-Fig.10.6'!M53*0.5*1000*$L$41^2/100000</f>
        <v>0.10906661498365974</v>
      </c>
      <c r="F49" s="87">
        <f>'Gulich-Fig.10.6'!M77*$L$41^2*0.5*1000/100000</f>
        <v>0.23599893030619448</v>
      </c>
      <c r="G49" s="87">
        <f>10*'Gulich-Fig.10.6'!N53*0.5*1000*Metric_Conversion!$L$41^2/1000000</f>
        <v>0.64798040727787498</v>
      </c>
      <c r="H49" s="14"/>
      <c r="I49" s="95">
        <f>+'Gulich-Fig.10.6'!B67</f>
        <v>4.2857142857142858E-2</v>
      </c>
      <c r="J49" s="96">
        <f>'Gulich-Fig.10.6'!M67*0.5*1000*$L$41^2/100000</f>
        <v>0.17639236421542809</v>
      </c>
      <c r="K49" s="96">
        <f>'Gulich-Fig.10.6'!M91*$L$41^2*0.5*1000/100000</f>
        <v>0.34177214880928414</v>
      </c>
      <c r="L49" s="96">
        <f>10*'Gulich-Fig.10.6'!N67*0.5*1000*Metric_Conversion!$L$41^2/1000000</f>
        <v>0.90505323534178506</v>
      </c>
      <c r="M49" s="13"/>
      <c r="O49" s="5"/>
      <c r="R49" s="5"/>
    </row>
    <row r="50" spans="1:19">
      <c r="A50" s="9"/>
      <c r="B50" s="101">
        <v>0.08</v>
      </c>
      <c r="C50" s="87">
        <f>+$L$41*'Gulich-Fig.10.6'!K54</f>
        <v>0</v>
      </c>
      <c r="D50" s="87">
        <f>+$L$41*'Gulich-Fig.10.6'!L54</f>
        <v>0</v>
      </c>
      <c r="E50" s="87">
        <f>'Gulich-Fig.10.6'!M54*0.5*1000*$L$41^2/100000</f>
        <v>9.8189379259284976E-2</v>
      </c>
      <c r="F50" s="87">
        <f>'Gulich-Fig.10.6'!M78*$L$41^2*0.5*1000/100000</f>
        <v>0.22206407979799994</v>
      </c>
      <c r="G50" s="87">
        <f>10*'Gulich-Fig.10.6'!N54*0.5*1000*Metric_Conversion!$L$41^2/1000000</f>
        <v>0.59833977595192889</v>
      </c>
      <c r="H50" s="14"/>
      <c r="I50" s="14"/>
      <c r="J50" s="12"/>
      <c r="K50" s="12"/>
      <c r="L50" s="12"/>
      <c r="M50" s="13"/>
    </row>
    <row r="51" spans="1:19">
      <c r="A51" s="9"/>
      <c r="B51" s="101">
        <v>0.09</v>
      </c>
      <c r="C51" s="87">
        <f>+$L$41*'Gulich-Fig.10.6'!K55</f>
        <v>0</v>
      </c>
      <c r="D51" s="87">
        <f>+$L$41*'Gulich-Fig.10.6'!L55</f>
        <v>0</v>
      </c>
      <c r="E51" s="87">
        <f>'Gulich-Fig.10.6'!M55*0.5*1000*$L$41^2/100000</f>
        <v>9.0871930520871752E-2</v>
      </c>
      <c r="F51" s="87">
        <f>'Gulich-Fig.10.6'!M79*$L$41^2*0.5*1000/100000</f>
        <v>0.21453806265073871</v>
      </c>
      <c r="G51" s="87">
        <f>10*'Gulich-Fig.10.6'!N55*0.5*1000*Metric_Conversion!$L$41^2/1000000</f>
        <v>0.54749212212108467</v>
      </c>
      <c r="H51" s="14"/>
      <c r="I51" s="14"/>
      <c r="J51" s="12"/>
      <c r="K51" s="12"/>
      <c r="L51" s="12"/>
      <c r="M51" s="13"/>
    </row>
    <row r="52" spans="1:19">
      <c r="A52" s="9"/>
      <c r="B52" s="101">
        <v>0.1</v>
      </c>
      <c r="C52" s="87">
        <f>+$L$41*'Gulich-Fig.10.6'!K56</f>
        <v>0</v>
      </c>
      <c r="D52" s="87">
        <f>+$L$41*'Gulich-Fig.10.6'!L56</f>
        <v>0</v>
      </c>
      <c r="E52" s="87">
        <f>'Gulich-Fig.10.6'!M56*0.5*1000*$L$41^2/100000</f>
        <v>8.5841218648581796E-2</v>
      </c>
      <c r="F52" s="87">
        <f>'Gulich-Fig.10.6'!M80*$L$41^2*0.5*1000/100000</f>
        <v>0.21087901991406693</v>
      </c>
      <c r="G52" s="87">
        <f>10*'Gulich-Fig.10.6'!N56*0.5*1000*Metric_Conversion!$L$41^2/1000000</f>
        <v>0.48626820572323592</v>
      </c>
      <c r="H52" s="14"/>
      <c r="I52" s="14"/>
      <c r="J52" s="12"/>
      <c r="K52" s="12"/>
      <c r="L52" s="12"/>
      <c r="M52" s="13"/>
    </row>
    <row r="53" spans="1:19">
      <c r="A53" s="9"/>
      <c r="B53" s="101">
        <v>0.11</v>
      </c>
      <c r="C53" s="87">
        <f>+$L$41*'Gulich-Fig.10.6'!K57</f>
        <v>0</v>
      </c>
      <c r="D53" s="87">
        <f>+$L$41*'Gulich-Fig.10.6'!L57</f>
        <v>0</v>
      </c>
      <c r="E53" s="87">
        <f>'Gulich-Fig.10.6'!M57*0.5*1000*$L$41^2/100000</f>
        <v>8.218095702895091E-2</v>
      </c>
      <c r="F53" s="87">
        <f>'Gulich-Fig.10.6'!M81*$L$41^2*0.5*1000/100000</f>
        <v>0.20898282445610791</v>
      </c>
      <c r="G53" s="87">
        <f>10*'Gulich-Fig.10.6'!N57*0.5*1000*Metric_Conversion!$L$41^2/1000000</f>
        <v>0.41064437144173294</v>
      </c>
      <c r="H53" s="14"/>
      <c r="I53" s="14"/>
      <c r="J53" s="12"/>
      <c r="K53" s="12"/>
      <c r="L53" s="12"/>
      <c r="M53" s="13"/>
    </row>
    <row r="54" spans="1:19">
      <c r="A54" s="9"/>
      <c r="B54" s="101">
        <v>0.12</v>
      </c>
      <c r="C54" s="87">
        <f>+$L$41*'Gulich-Fig.10.6'!K58</f>
        <v>0</v>
      </c>
      <c r="D54" s="87">
        <f>+$L$41*'Gulich-Fig.10.6'!L58</f>
        <v>0</v>
      </c>
      <c r="E54" s="87">
        <f>'Gulich-Fig.10.6'!M58*0.5*1000*$L$41^2/100000</f>
        <v>7.9170617901283852E-2</v>
      </c>
      <c r="F54" s="87">
        <f>'Gulich-Fig.10.6'!M82*$L$41^2*0.5*1000/100000</f>
        <v>0.20690988269086094</v>
      </c>
      <c r="G54" s="87">
        <f>10*'Gulich-Fig.10.6'!N58*0.5*1000*Metric_Conversion!$L$41^2/1000000</f>
        <v>0.32297720692673404</v>
      </c>
      <c r="H54" s="14"/>
      <c r="I54" s="14"/>
      <c r="J54" s="12"/>
      <c r="K54" s="12"/>
      <c r="L54" s="12"/>
      <c r="M54" s="13"/>
    </row>
    <row r="55" spans="1:19">
      <c r="A55" s="9"/>
      <c r="B55" s="101">
        <v>0.13</v>
      </c>
      <c r="C55" s="87">
        <f>+$L$41*'Gulich-Fig.10.6'!K59</f>
        <v>0</v>
      </c>
      <c r="D55" s="87">
        <f>+$L$41*'Gulich-Fig.10.6'!L59</f>
        <v>0</v>
      </c>
      <c r="E55" s="87">
        <f>'Gulich-Fig.10.6'!M59*0.5*1000*$L$41^2/100000</f>
        <v>7.6204867883592597E-2</v>
      </c>
      <c r="F55" s="87">
        <f>'Gulich-Fig.10.6'!M83*$L$41^2*0.5*1000/100000</f>
        <v>0.20281053677152922</v>
      </c>
      <c r="G55" s="87">
        <f>10*'Gulich-Fig.10.6'!N59*0.5*1000*Metric_Conversion!$L$41^2/1000000</f>
        <v>0.23174900301387122</v>
      </c>
      <c r="H55" s="14"/>
      <c r="I55" s="14"/>
      <c r="J55" s="12"/>
      <c r="K55" s="12"/>
      <c r="L55" s="12"/>
      <c r="M55" s="13"/>
    </row>
    <row r="56" spans="1:19">
      <c r="A56" s="9"/>
      <c r="B56" s="101">
        <v>0.14000000000000001</v>
      </c>
      <c r="C56" s="87">
        <f>+$L$41*'Gulich-Fig.10.6'!K60</f>
        <v>0</v>
      </c>
      <c r="D56" s="87">
        <f>+$L$41*'Gulich-Fig.10.6'!L60</f>
        <v>0</v>
      </c>
      <c r="E56" s="87">
        <f>'Gulich-Fig.10.6'!M60*0.5*1000*$L$41^2/100000</f>
        <v>7.2767181636609321E-2</v>
      </c>
      <c r="F56" s="87">
        <f>'Gulich-Fig.10.6'!M84*$L$41^2*0.5*1000/100000</f>
        <v>0.19502202180482461</v>
      </c>
      <c r="G56" s="87">
        <f>10*'Gulich-Fig.10.6'!N60*0.5*1000*Metric_Conversion!$L$41^2/1000000</f>
        <v>0.14860310177003286</v>
      </c>
      <c r="H56" s="14"/>
      <c r="I56" s="14"/>
      <c r="J56" s="12"/>
      <c r="K56" s="12"/>
      <c r="L56" s="12"/>
      <c r="M56" s="13"/>
    </row>
    <row r="57" spans="1:19">
      <c r="A57" s="9"/>
      <c r="B57" s="101">
        <v>0.15</v>
      </c>
      <c r="C57" s="87">
        <f>+$L$41*'Gulich-Fig.10.6'!K61</f>
        <v>0</v>
      </c>
      <c r="D57" s="87">
        <f>+$L$41*'Gulich-Fig.10.6'!L61</f>
        <v>0</v>
      </c>
      <c r="E57" s="87">
        <f>'Gulich-Fig.10.6'!M61*0.5*1000*$L$41^2/100000</f>
        <v>6.8443289529265455E-2</v>
      </c>
      <c r="F57" s="87">
        <f>'Gulich-Fig.10.6'!M85*$L$41^2*0.5*1000/100000</f>
        <v>0.1823080620405016</v>
      </c>
      <c r="G57" s="87">
        <f>10*'Gulich-Fig.10.6'!N61*0.5*1000*Metric_Conversion!$L$41^2/1000000</f>
        <v>8.3411489098942346E-2</v>
      </c>
      <c r="H57" s="14"/>
      <c r="I57" s="14"/>
      <c r="J57" s="12"/>
      <c r="K57" s="12"/>
      <c r="L57" s="12"/>
      <c r="M57" s="13"/>
    </row>
    <row r="58" spans="1:19">
      <c r="A58" s="9"/>
      <c r="B58" s="101">
        <v>0.16</v>
      </c>
      <c r="C58" s="87">
        <f>+$L$41*'Gulich-Fig.10.6'!K62</f>
        <v>0</v>
      </c>
      <c r="D58" s="87">
        <f>+$L$41*'Gulich-Fig.10.6'!L62</f>
        <v>0</v>
      </c>
      <c r="E58" s="87">
        <f>'Gulich-Fig.10.6'!M62*0.5*1000*$L$41^2/100000</f>
        <v>6.2961779560201062E-2</v>
      </c>
      <c r="F58" s="87">
        <f>'Gulich-Fig.10.6'!M86*$L$41^2*0.5*1000/100000</f>
        <v>0.16417324956422871</v>
      </c>
      <c r="G58" s="87">
        <f>10*'Gulich-Fig.10.6'!N62*0.5*1000*Metric_Conversion!$L$41^2/1000000</f>
        <v>4.0145407856656642E-2</v>
      </c>
      <c r="H58" s="14"/>
      <c r="I58" s="14"/>
      <c r="J58" s="12"/>
      <c r="K58" s="12"/>
      <c r="L58" s="12"/>
      <c r="M58" s="13"/>
    </row>
    <row r="59" spans="1:19">
      <c r="A59" s="9"/>
      <c r="B59" s="101">
        <v>0.17</v>
      </c>
      <c r="C59" s="87">
        <f>+$L$41*'Gulich-Fig.10.6'!K63</f>
        <v>0</v>
      </c>
      <c r="D59" s="87">
        <f>+$L$41*'Gulich-Fig.10.6'!L63</f>
        <v>0</v>
      </c>
      <c r="E59" s="87">
        <f>'Gulich-Fig.10.6'!M63*0.5*1000*$L$41^2/100000</f>
        <v>5.624478156663338E-2</v>
      </c>
      <c r="F59" s="87">
        <f>'Gulich-Fig.10.6'!M87*$L$41^2*0.5*1000/100000</f>
        <v>0.14112970524151894</v>
      </c>
      <c r="G59" s="87">
        <f>10*'Gulich-Fig.10.6'!N63*0.5*1000*Metric_Conversion!$L$41^2/1000000</f>
        <v>1.6228630586230246E-2</v>
      </c>
      <c r="H59" s="14"/>
      <c r="I59" s="14"/>
      <c r="J59" s="12"/>
      <c r="K59" s="12"/>
      <c r="L59" s="12"/>
      <c r="M59" s="13"/>
    </row>
    <row r="60" spans="1:19">
      <c r="A60" s="9"/>
      <c r="B60" s="101">
        <v>0.18</v>
      </c>
      <c r="C60" s="87">
        <f>+$L$41*'Gulich-Fig.10.6'!K64</f>
        <v>0</v>
      </c>
      <c r="D60" s="87">
        <f>+$L$41*'Gulich-Fig.10.6'!L64</f>
        <v>0</v>
      </c>
      <c r="E60" s="87">
        <f>'Gulich-Fig.10.6'!M64*0.5*1000*$L$41^2/100000</f>
        <v>4.8445664192501764E-2</v>
      </c>
      <c r="F60" s="87">
        <f>'Gulich-Fig.10.6'!M88*$L$41^2*0.5*1000/100000</f>
        <v>0.114762292321091</v>
      </c>
      <c r="G60" s="87">
        <f>10*'Gulich-Fig.10.6'!N64*0.5*1000*Metric_Conversion!$L$41^2/1000000</f>
        <v>5.3974406367142342E-3</v>
      </c>
      <c r="H60" s="14"/>
      <c r="I60" s="14"/>
      <c r="J60" s="12"/>
      <c r="K60" s="12"/>
      <c r="L60" s="12"/>
      <c r="M60" s="13"/>
    </row>
    <row r="61" spans="1:19">
      <c r="A61" s="9"/>
      <c r="B61" s="101">
        <v>0.19</v>
      </c>
      <c r="C61" s="87">
        <f>+$L$41*'Gulich-Fig.10.6'!K65</f>
        <v>0</v>
      </c>
      <c r="D61" s="87">
        <f>+$L$41*'Gulich-Fig.10.6'!L65</f>
        <v>0</v>
      </c>
      <c r="E61" s="87">
        <f>'Gulich-Fig.10.6'!M65*0.5*1000*$L$41^2/100000</f>
        <v>3.9948764693115375E-2</v>
      </c>
      <c r="F61" s="87">
        <f>'Gulich-Fig.10.6'!M89*$L$41^2*0.5*1000/100000</f>
        <v>8.747620919029428E-2</v>
      </c>
      <c r="G61" s="87">
        <f>10*'Gulich-Fig.10.6'!N65*0.5*1000*Metric_Conversion!$L$41^2/1000000</f>
        <v>1.446697978057525E-3</v>
      </c>
      <c r="H61" s="14"/>
      <c r="I61" s="14"/>
      <c r="J61" s="12"/>
      <c r="K61" s="12"/>
      <c r="L61" s="12"/>
      <c r="M61" s="13"/>
    </row>
    <row r="62" spans="1:19">
      <c r="A62" s="9"/>
      <c r="B62" s="101">
        <v>0.2</v>
      </c>
      <c r="C62" s="87">
        <f>+$L$41*'Gulich-Fig.10.6'!K66</f>
        <v>0</v>
      </c>
      <c r="D62" s="87">
        <f>+$L$41*'Gulich-Fig.10.6'!L66</f>
        <v>0</v>
      </c>
      <c r="E62" s="87">
        <f>'Gulich-Fig.10.6'!M66*0.5*1000*$L$41^2/100000</f>
        <v>3.131380728639481E-2</v>
      </c>
      <c r="F62" s="87">
        <f>'Gulich-Fig.10.6'!M90*$L$41^2*0.5*1000/100000</f>
        <v>6.1934961859049287E-2</v>
      </c>
      <c r="G62" s="87">
        <f>10*'Gulich-Fig.10.6'!N66*0.5*1000*Metric_Conversion!$L$41^2/1000000</f>
        <v>3.0610884202965171E-4</v>
      </c>
      <c r="H62" s="14"/>
      <c r="I62" s="14"/>
      <c r="J62" s="12"/>
      <c r="K62" s="12"/>
      <c r="L62" s="12"/>
      <c r="M62" s="13"/>
    </row>
    <row r="63" spans="1:19">
      <c r="A63" s="9"/>
      <c r="B63" s="14"/>
      <c r="C63" s="14"/>
      <c r="D63" s="14"/>
      <c r="E63" s="14"/>
      <c r="F63" s="14"/>
      <c r="G63" s="14"/>
      <c r="H63" s="14"/>
      <c r="I63" s="14"/>
      <c r="J63" s="12"/>
      <c r="K63" s="12"/>
      <c r="L63" s="12"/>
      <c r="M63" s="13"/>
      <c r="O63" s="1"/>
      <c r="P63" s="6"/>
      <c r="R63" s="1"/>
      <c r="S63" s="6"/>
    </row>
    <row r="64" spans="1:19">
      <c r="A64" s="9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5"/>
      <c r="O64" s="2"/>
    </row>
    <row r="65" spans="1:13">
      <c r="A65" s="178" t="s">
        <v>50</v>
      </c>
      <c r="B65" s="178"/>
      <c r="C65" s="178"/>
      <c r="D65" s="178"/>
      <c r="E65" s="178"/>
      <c r="F65" s="178"/>
      <c r="G65" s="178"/>
      <c r="H65" s="178"/>
      <c r="I65" s="178"/>
      <c r="J65" s="178"/>
      <c r="K65" s="178"/>
      <c r="L65" s="178"/>
      <c r="M65" s="179"/>
    </row>
    <row r="66" spans="1:13" ht="41.25" customHeight="1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1"/>
    </row>
    <row r="67" spans="1:13" ht="13.5" customHeight="1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</sheetData>
  <mergeCells count="6">
    <mergeCell ref="A39:M39"/>
    <mergeCell ref="A65:M65"/>
    <mergeCell ref="A66:M66"/>
    <mergeCell ref="A1:E3"/>
    <mergeCell ref="F1:M3"/>
    <mergeCell ref="A25:M25"/>
  </mergeCells>
  <phoneticPr fontId="11" type="noConversion"/>
  <pageMargins left="0.7" right="0.7" top="0.75" bottom="0.75" header="0.3" footer="0.3"/>
  <pageSetup scale="78" orientation="portrait" r:id="rId1"/>
  <headerFooter alignWithMargins="0">
    <oddFooter>&amp;L&amp;F&amp;R&amp;D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85776-9D4A-4C82-82FD-983FA4D9F3FD}">
  <dimension ref="A1:AA150"/>
  <sheetViews>
    <sheetView topLeftCell="A13" zoomScale="115" zoomScaleNormal="115" workbookViewId="0">
      <selection activeCell="D49" sqref="D49"/>
    </sheetView>
  </sheetViews>
  <sheetFormatPr baseColWidth="10" defaultColWidth="8.83203125" defaultRowHeight="13"/>
  <cols>
    <col min="5" max="5" width="10.1640625" bestFit="1" customWidth="1"/>
    <col min="24" max="25" width="10.5" customWidth="1"/>
  </cols>
  <sheetData>
    <row r="1" spans="14:27" ht="14" thickBot="1"/>
    <row r="2" spans="14:27">
      <c r="P2" s="182" t="s">
        <v>51</v>
      </c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4"/>
    </row>
    <row r="3" spans="14:27">
      <c r="N3" s="39"/>
      <c r="O3" s="39"/>
      <c r="P3" s="71"/>
      <c r="AA3" s="72"/>
    </row>
    <row r="4" spans="14:27">
      <c r="P4" s="73" t="s">
        <v>48</v>
      </c>
      <c r="Q4" s="7" t="s">
        <v>52</v>
      </c>
      <c r="R4" t="s">
        <v>53</v>
      </c>
      <c r="S4" s="7"/>
      <c r="AA4" s="72"/>
    </row>
    <row r="5" spans="14:27">
      <c r="P5" s="71">
        <v>1.4999999999999999E-2</v>
      </c>
      <c r="Q5">
        <v>1</v>
      </c>
      <c r="R5">
        <f>LOG10(Q5)</f>
        <v>0</v>
      </c>
      <c r="AA5" s="72"/>
    </row>
    <row r="6" spans="14:27">
      <c r="P6" s="71">
        <v>0.02</v>
      </c>
      <c r="Q6">
        <v>0.8</v>
      </c>
      <c r="R6">
        <f t="shared" ref="R6:R13" si="0">LOG10(Q6)</f>
        <v>-9.6910013008056392E-2</v>
      </c>
      <c r="AA6" s="72"/>
    </row>
    <row r="7" spans="14:27">
      <c r="P7" s="71">
        <v>0.03</v>
      </c>
      <c r="Q7">
        <v>0.6</v>
      </c>
      <c r="R7">
        <f t="shared" si="0"/>
        <v>-0.22184874961635639</v>
      </c>
      <c r="AA7" s="72"/>
    </row>
    <row r="8" spans="14:27">
      <c r="P8" s="71">
        <v>0.04</v>
      </c>
      <c r="Q8">
        <v>0.5</v>
      </c>
      <c r="R8">
        <f t="shared" si="0"/>
        <v>-0.3010299956639812</v>
      </c>
      <c r="U8">
        <v>6</v>
      </c>
      <c r="V8">
        <v>7</v>
      </c>
      <c r="W8">
        <v>8</v>
      </c>
      <c r="X8">
        <v>9</v>
      </c>
      <c r="AA8" s="72"/>
    </row>
    <row r="9" spans="14:27">
      <c r="P9" s="71">
        <v>0.05</v>
      </c>
      <c r="Q9">
        <v>0.43</v>
      </c>
      <c r="R9">
        <f t="shared" si="0"/>
        <v>-0.36653154442041347</v>
      </c>
      <c r="AA9" s="72"/>
    </row>
    <row r="10" spans="14:27">
      <c r="P10" s="71">
        <v>0.06</v>
      </c>
      <c r="Q10">
        <v>0.38</v>
      </c>
      <c r="R10">
        <f t="shared" si="0"/>
        <v>-0.42021640338318983</v>
      </c>
      <c r="AA10" s="72"/>
    </row>
    <row r="11" spans="14:27">
      <c r="P11" s="71">
        <v>7.0000000000000007E-2</v>
      </c>
      <c r="Q11">
        <v>0.34</v>
      </c>
      <c r="R11">
        <f t="shared" si="0"/>
        <v>-0.46852108295774486</v>
      </c>
      <c r="AA11" s="72"/>
    </row>
    <row r="12" spans="14:27">
      <c r="P12" s="71">
        <v>0.08</v>
      </c>
      <c r="Q12">
        <v>0.31</v>
      </c>
      <c r="R12">
        <f t="shared" si="0"/>
        <v>-0.50863830616572736</v>
      </c>
      <c r="AA12" s="72"/>
    </row>
    <row r="13" spans="14:27">
      <c r="P13" s="71">
        <v>0.09</v>
      </c>
      <c r="Q13">
        <v>0.28999999999999998</v>
      </c>
      <c r="R13">
        <f t="shared" si="0"/>
        <v>-0.53760200210104392</v>
      </c>
      <c r="AA13" s="72"/>
    </row>
    <row r="14" spans="14:27">
      <c r="P14" s="71"/>
      <c r="Q14" s="7"/>
      <c r="AA14" s="72"/>
    </row>
    <row r="15" spans="14:27">
      <c r="P15" s="71"/>
      <c r="Q15" s="7"/>
      <c r="AA15" s="72"/>
    </row>
    <row r="16" spans="14:27">
      <c r="P16" s="71"/>
      <c r="Q16" s="7"/>
      <c r="AA16" s="72"/>
    </row>
    <row r="17" spans="16:27">
      <c r="P17" s="71"/>
      <c r="Q17" s="7"/>
      <c r="AA17" s="72"/>
    </row>
    <row r="18" spans="16:27">
      <c r="P18" s="71"/>
      <c r="Q18" s="7"/>
      <c r="AA18" s="72"/>
    </row>
    <row r="19" spans="16:27">
      <c r="P19" s="71"/>
      <c r="AA19" s="72"/>
    </row>
    <row r="20" spans="16:27">
      <c r="P20" s="71"/>
      <c r="T20" t="s">
        <v>54</v>
      </c>
      <c r="AA20" s="72"/>
    </row>
    <row r="21" spans="16:27">
      <c r="P21" s="71"/>
      <c r="S21" s="66"/>
      <c r="T21" s="66">
        <v>1</v>
      </c>
      <c r="AA21" s="72"/>
    </row>
    <row r="22" spans="16:27">
      <c r="P22" s="71"/>
      <c r="S22" s="65" t="s">
        <v>55</v>
      </c>
      <c r="T22" s="65">
        <v>-0.29210000000000003</v>
      </c>
      <c r="AA22" s="72"/>
    </row>
    <row r="23" spans="16:27">
      <c r="P23" s="71"/>
      <c r="S23" s="65" t="s">
        <v>56</v>
      </c>
      <c r="T23" s="65">
        <v>-23.975000000000001</v>
      </c>
      <c r="AA23" s="72"/>
    </row>
    <row r="24" spans="16:27">
      <c r="P24" s="71"/>
      <c r="S24" s="65" t="s">
        <v>57</v>
      </c>
      <c r="T24" s="65">
        <v>275.36</v>
      </c>
      <c r="AA24" s="72"/>
    </row>
    <row r="25" spans="16:27" ht="14" thickBot="1">
      <c r="P25" s="74"/>
      <c r="Q25" s="75"/>
      <c r="R25" s="75"/>
      <c r="S25" s="76" t="s">
        <v>58</v>
      </c>
      <c r="T25" s="76">
        <v>-1244.9000000000001</v>
      </c>
      <c r="U25" s="75"/>
      <c r="V25" s="75"/>
      <c r="W25" s="75"/>
      <c r="X25" s="75"/>
      <c r="Y25" s="75"/>
      <c r="Z25" s="75"/>
      <c r="AA25" s="80"/>
    </row>
    <row r="26" spans="16:27" ht="14" thickBot="1"/>
    <row r="27" spans="16:27">
      <c r="P27" s="182" t="s">
        <v>59</v>
      </c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4"/>
    </row>
    <row r="28" spans="16:27">
      <c r="P28" s="71"/>
      <c r="AA28" s="72"/>
    </row>
    <row r="29" spans="16:27">
      <c r="P29" s="73" t="s">
        <v>48</v>
      </c>
      <c r="Q29" s="7"/>
      <c r="S29" s="7" t="s">
        <v>60</v>
      </c>
      <c r="T29" t="s">
        <v>61</v>
      </c>
      <c r="AA29" s="72"/>
    </row>
    <row r="30" spans="16:27">
      <c r="P30" s="71">
        <v>1.4999999999999999E-2</v>
      </c>
      <c r="S30">
        <v>0.6</v>
      </c>
      <c r="T30">
        <f>+LOG10(S30)</f>
        <v>-0.22184874961635639</v>
      </c>
      <c r="AA30" s="72"/>
    </row>
    <row r="31" spans="16:27">
      <c r="P31" s="71">
        <v>0.02</v>
      </c>
      <c r="S31">
        <v>0.5</v>
      </c>
      <c r="T31">
        <f t="shared" ref="T31:T38" si="1">+LOG10(S31)</f>
        <v>-0.3010299956639812</v>
      </c>
      <c r="AA31" s="72"/>
    </row>
    <row r="32" spans="16:27">
      <c r="P32" s="71">
        <v>0.03</v>
      </c>
      <c r="S32">
        <v>0.4</v>
      </c>
      <c r="T32">
        <f t="shared" si="1"/>
        <v>-0.3979400086720376</v>
      </c>
      <c r="AA32" s="72"/>
    </row>
    <row r="33" spans="2:27">
      <c r="P33" s="71">
        <v>0.04</v>
      </c>
      <c r="S33">
        <v>0.34</v>
      </c>
      <c r="T33">
        <f t="shared" si="1"/>
        <v>-0.46852108295774486</v>
      </c>
      <c r="U33">
        <v>6</v>
      </c>
      <c r="V33">
        <v>7</v>
      </c>
      <c r="W33">
        <v>8</v>
      </c>
      <c r="X33">
        <v>9</v>
      </c>
      <c r="AA33" s="72"/>
    </row>
    <row r="34" spans="2:27">
      <c r="P34" s="71">
        <v>0.05</v>
      </c>
      <c r="S34">
        <v>0.3</v>
      </c>
      <c r="T34">
        <f t="shared" si="1"/>
        <v>-0.52287874528033762</v>
      </c>
      <c r="AA34" s="72"/>
    </row>
    <row r="35" spans="2:27">
      <c r="P35" s="71">
        <v>0.06</v>
      </c>
      <c r="S35">
        <v>0.27</v>
      </c>
      <c r="T35">
        <f t="shared" si="1"/>
        <v>-0.56863623584101264</v>
      </c>
      <c r="AA35" s="72"/>
    </row>
    <row r="36" spans="2:27">
      <c r="P36" s="71">
        <v>7.0000000000000007E-2</v>
      </c>
      <c r="S36">
        <v>0.25</v>
      </c>
      <c r="T36">
        <f t="shared" si="1"/>
        <v>-0.6020599913279624</v>
      </c>
      <c r="AA36" s="72"/>
    </row>
    <row r="37" spans="2:27">
      <c r="P37" s="71">
        <v>0.08</v>
      </c>
      <c r="S37">
        <v>0.23</v>
      </c>
      <c r="T37">
        <f t="shared" si="1"/>
        <v>-0.63827216398240705</v>
      </c>
      <c r="AA37" s="72"/>
    </row>
    <row r="38" spans="2:27">
      <c r="P38" s="71">
        <v>0.09</v>
      </c>
      <c r="S38">
        <v>0.22</v>
      </c>
      <c r="T38">
        <f t="shared" si="1"/>
        <v>-0.65757731917779372</v>
      </c>
      <c r="AA38" s="72"/>
    </row>
    <row r="39" spans="2:27">
      <c r="P39" s="71"/>
      <c r="Q39" s="7"/>
      <c r="AA39" s="72"/>
    </row>
    <row r="40" spans="2:27">
      <c r="P40" s="71"/>
      <c r="Q40" s="7"/>
      <c r="AA40" s="72"/>
    </row>
    <row r="41" spans="2:27">
      <c r="D41" s="84" t="s">
        <v>62</v>
      </c>
      <c r="E41" s="83" t="str">
        <f>Metric_Conversion!E20</f>
        <v>diffuser</v>
      </c>
      <c r="P41" s="71"/>
      <c r="Q41" s="7"/>
      <c r="AA41" s="72"/>
    </row>
    <row r="42" spans="2:27">
      <c r="B42" s="64"/>
      <c r="C42" s="82" t="s">
        <v>19</v>
      </c>
      <c r="D42" s="82" t="s">
        <v>63</v>
      </c>
      <c r="E42" s="82" t="s">
        <v>64</v>
      </c>
      <c r="P42" s="71"/>
      <c r="Q42" s="7"/>
      <c r="AA42" s="72"/>
    </row>
    <row r="43" spans="2:27">
      <c r="B43" s="82" t="s">
        <v>65</v>
      </c>
      <c r="C43" s="64">
        <v>0</v>
      </c>
      <c r="D43" s="64">
        <f>(Metric_Conversion!E21-Metric_Conversion!E18)/Metric_Conversion!E18</f>
        <v>1.4285714285714285E-2</v>
      </c>
      <c r="E43" s="64">
        <f>(Metric_Conversion!E19-Metric_Conversion!E18)/Metric_Conversion!E18</f>
        <v>4.2857142857142858E-2</v>
      </c>
      <c r="P43" s="71"/>
      <c r="Q43" s="7"/>
      <c r="AA43" s="72"/>
    </row>
    <row r="44" spans="2:27">
      <c r="O44" s="7"/>
      <c r="P44" s="71"/>
      <c r="AA44" s="72"/>
    </row>
    <row r="45" spans="2:27">
      <c r="B45" s="7" t="s">
        <v>32</v>
      </c>
      <c r="P45" s="71"/>
      <c r="T45" t="s">
        <v>54</v>
      </c>
      <c r="AA45" s="72"/>
    </row>
    <row r="46" spans="2:27">
      <c r="B46" s="82" t="s">
        <v>66</v>
      </c>
      <c r="C46" s="82" t="s">
        <v>67</v>
      </c>
      <c r="D46" s="82" t="s">
        <v>68</v>
      </c>
      <c r="E46" s="82" t="s">
        <v>69</v>
      </c>
      <c r="F46" s="82" t="s">
        <v>70</v>
      </c>
      <c r="G46" s="82" t="s">
        <v>23</v>
      </c>
      <c r="H46" s="82" t="s">
        <v>71</v>
      </c>
      <c r="I46" s="82" t="s">
        <v>72</v>
      </c>
      <c r="J46" s="64"/>
      <c r="K46" s="82" t="s">
        <v>73</v>
      </c>
      <c r="L46" s="82" t="s">
        <v>74</v>
      </c>
      <c r="M46" s="82" t="s">
        <v>75</v>
      </c>
      <c r="N46" s="82" t="s">
        <v>76</v>
      </c>
      <c r="P46" s="71"/>
      <c r="S46" s="66"/>
      <c r="T46" s="66">
        <v>1</v>
      </c>
      <c r="AA46" s="72"/>
    </row>
    <row r="47" spans="2:27">
      <c r="B47" s="64">
        <v>1.0999999999999999E-2</v>
      </c>
      <c r="C47" s="85">
        <f t="shared" ref="C47:C66" si="2">10^($T$22+$T$23*$B47+$T$24*$B47^2+$T$25*$B47^3)</f>
        <v>0.29911390184448128</v>
      </c>
      <c r="D47" s="85">
        <f t="shared" ref="D47:D66" si="3">10^($T$47+$T$48*$B47+$T$49*$B47^2+$T$50*$B47^3)</f>
        <v>0.67060634111329631</v>
      </c>
      <c r="E47" s="85">
        <f t="shared" ref="E47:E66" si="4">10^($T$72+$T$73*$B47+$T$74*$B47^2+$T$75*$B47^3)</f>
        <v>0.36868191194908978</v>
      </c>
      <c r="F47" s="85">
        <f t="shared" ref="F47:F66" si="5">10^($U$72+$U$73*$B47+$U$74*$B47^2+$U$75*$B47^3)</f>
        <v>0.24189606516582579</v>
      </c>
      <c r="G47" s="85">
        <f t="shared" ref="G47:G67" si="6">10^($T$97+$T$98*$B47+$T$99*$B47^2+$T$100*$B47^3)</f>
        <v>0.13971543663020825</v>
      </c>
      <c r="H47" s="85">
        <f t="shared" ref="H47:H67" si="7">10^($T$122+$T$123*$B47+$T$124*$B47^2+$T$125*$B47^3)</f>
        <v>9.9275309165933301E-2</v>
      </c>
      <c r="I47" s="85">
        <f t="shared" ref="I47:I67" si="8">10^($T$147+$T$148*$B47+$T$149*$B47^2+$T$150*$B47^3)</f>
        <v>0.69969904958211149</v>
      </c>
      <c r="J47" s="85"/>
      <c r="K47" s="85">
        <f>IF(B47&lt;$D$43,C47,IF(B47&lt;$E$43,E47,))</f>
        <v>0.29911390184448128</v>
      </c>
      <c r="L47" s="85">
        <f>IF(B47&lt;$D$43,D47,IF(B47&lt;$E$43,F47,))</f>
        <v>0.67060634111329631</v>
      </c>
      <c r="M47" s="85">
        <f>IF($E$41="volute",H47,G47)</f>
        <v>0.13971543663020825</v>
      </c>
      <c r="N47" s="85">
        <f>I47</f>
        <v>0.69969904958211149</v>
      </c>
      <c r="P47" s="71"/>
      <c r="S47" s="65" t="s">
        <v>55</v>
      </c>
      <c r="T47" s="65">
        <v>1.1299999999999999E-2</v>
      </c>
      <c r="AA47" s="72"/>
    </row>
    <row r="48" spans="2:27">
      <c r="B48" s="64">
        <v>0.02</v>
      </c>
      <c r="C48" s="85">
        <f t="shared" si="2"/>
        <v>0.21310066256045804</v>
      </c>
      <c r="D48" s="85">
        <f t="shared" si="3"/>
        <v>0.51044773374338248</v>
      </c>
      <c r="E48" s="85">
        <f t="shared" si="4"/>
        <v>0.33998058308838702</v>
      </c>
      <c r="F48" s="85">
        <f t="shared" si="5"/>
        <v>0.22371517702628804</v>
      </c>
      <c r="G48" s="85">
        <f t="shared" si="6"/>
        <v>9.6039471169928045E-2</v>
      </c>
      <c r="H48" s="85">
        <f t="shared" si="7"/>
        <v>6.8305337256654552E-2</v>
      </c>
      <c r="I48" s="85">
        <f t="shared" si="8"/>
        <v>0.46556036499550812</v>
      </c>
      <c r="J48" s="85"/>
      <c r="K48" s="85">
        <f t="shared" ref="K48:K66" si="9">IF(B48&lt;$D$43,C48,IF(B48&lt;$E$43,E48,))</f>
        <v>0.33998058308838702</v>
      </c>
      <c r="L48" s="85">
        <f t="shared" ref="L48:L66" si="10">IF(B48&lt;$D$43,D48,IF(B48&lt;$E$43,F48,))</f>
        <v>0.22371517702628804</v>
      </c>
      <c r="M48" s="85">
        <f t="shared" ref="M48:M67" si="11">IF($E$41="volute",H48,G48)</f>
        <v>9.6039471169928045E-2</v>
      </c>
      <c r="N48" s="85">
        <f t="shared" ref="N48:N67" si="12">I48</f>
        <v>0.46556036499550812</v>
      </c>
      <c r="P48" s="71"/>
      <c r="S48" s="65" t="s">
        <v>56</v>
      </c>
      <c r="T48" s="65">
        <v>-19.001999999999999</v>
      </c>
      <c r="AA48" s="72"/>
    </row>
    <row r="49" spans="2:27">
      <c r="B49" s="64">
        <v>0.03</v>
      </c>
      <c r="C49" s="85">
        <f t="shared" si="2"/>
        <v>0.15953710243922131</v>
      </c>
      <c r="D49" s="85">
        <f>10^($T$47+$T$48*$B49+$T$49*$B49^2+$T$50*$B49^3)</f>
        <v>0.40328221521413238</v>
      </c>
      <c r="E49" s="85">
        <f t="shared" si="4"/>
        <v>0.31048197055201243</v>
      </c>
      <c r="F49" s="85">
        <f t="shared" si="5"/>
        <v>0.20341121176449981</v>
      </c>
      <c r="G49" s="85">
        <f t="shared" si="6"/>
        <v>6.7683754259820608E-2</v>
      </c>
      <c r="H49" s="85">
        <f t="shared" si="7"/>
        <v>4.8816530511480473E-2</v>
      </c>
      <c r="I49" s="85">
        <f t="shared" si="8"/>
        <v>0.32999092757171694</v>
      </c>
      <c r="J49" s="85"/>
      <c r="K49" s="85">
        <f t="shared" si="9"/>
        <v>0.31048197055201243</v>
      </c>
      <c r="L49" s="85">
        <f t="shared" si="10"/>
        <v>0.20341121176449981</v>
      </c>
      <c r="M49" s="85">
        <f t="shared" si="11"/>
        <v>6.7683754259820608E-2</v>
      </c>
      <c r="N49" s="85">
        <f t="shared" si="12"/>
        <v>0.32999092757171694</v>
      </c>
      <c r="P49" s="71"/>
      <c r="S49" s="65" t="s">
        <v>57</v>
      </c>
      <c r="T49" s="65">
        <v>209.92</v>
      </c>
      <c r="AA49" s="72"/>
    </row>
    <row r="50" spans="2:27" ht="14" thickBot="1">
      <c r="B50" s="64">
        <v>0.04</v>
      </c>
      <c r="C50" s="85">
        <f t="shared" si="2"/>
        <v>0.12876635433048161</v>
      </c>
      <c r="D50" s="85">
        <f t="shared" si="3"/>
        <v>0.33797006870039242</v>
      </c>
      <c r="E50" s="85">
        <f t="shared" si="4"/>
        <v>0.28333805948588381</v>
      </c>
      <c r="F50" s="85">
        <f t="shared" si="5"/>
        <v>0.18356403012180431</v>
      </c>
      <c r="G50" s="85">
        <f t="shared" si="6"/>
        <v>5.0812443496217885E-2</v>
      </c>
      <c r="H50" s="85">
        <f t="shared" si="7"/>
        <v>3.7576568697840353E-2</v>
      </c>
      <c r="I50" s="85">
        <f t="shared" si="8"/>
        <v>0.2570111707827113</v>
      </c>
      <c r="J50" s="85"/>
      <c r="K50" s="85">
        <f t="shared" si="9"/>
        <v>0.28333805948588381</v>
      </c>
      <c r="L50" s="85">
        <f t="shared" si="10"/>
        <v>0.18356403012180431</v>
      </c>
      <c r="M50" s="85">
        <f t="shared" si="11"/>
        <v>5.0812443496217885E-2</v>
      </c>
      <c r="N50" s="85">
        <f t="shared" si="12"/>
        <v>0.2570111707827113</v>
      </c>
      <c r="P50" s="74"/>
      <c r="Q50" s="75"/>
      <c r="R50" s="75"/>
      <c r="S50" s="76" t="s">
        <v>58</v>
      </c>
      <c r="T50" s="76">
        <v>-909.59</v>
      </c>
      <c r="U50" s="75"/>
      <c r="V50" s="75"/>
      <c r="W50" s="75"/>
      <c r="X50" s="75"/>
      <c r="Y50" s="75"/>
      <c r="Z50" s="75"/>
      <c r="AA50" s="80"/>
    </row>
    <row r="51" spans="2:27" ht="14" thickBot="1">
      <c r="B51" s="64">
        <v>0.05</v>
      </c>
      <c r="C51" s="85">
        <f t="shared" si="2"/>
        <v>0.11013807966980105</v>
      </c>
      <c r="D51" s="85">
        <f t="shared" si="3"/>
        <v>0.29668886694007418</v>
      </c>
      <c r="E51" s="85">
        <f t="shared" si="4"/>
        <v>0.25838767105832966</v>
      </c>
      <c r="F51" s="85">
        <f t="shared" si="5"/>
        <v>0.16462380103930513</v>
      </c>
      <c r="G51" s="85">
        <f t="shared" si="6"/>
        <v>4.0347348542966968E-2</v>
      </c>
      <c r="H51" s="85">
        <f t="shared" si="7"/>
        <v>3.0849011327960196E-2</v>
      </c>
      <c r="I51" s="85">
        <f t="shared" si="8"/>
        <v>0.21545173711050589</v>
      </c>
      <c r="J51" s="85"/>
      <c r="K51" s="85">
        <f t="shared" si="9"/>
        <v>0</v>
      </c>
      <c r="L51" s="85">
        <f t="shared" si="10"/>
        <v>0</v>
      </c>
      <c r="M51" s="85">
        <f t="shared" si="11"/>
        <v>4.0347348542966968E-2</v>
      </c>
      <c r="N51" s="85">
        <f t="shared" si="12"/>
        <v>0.21545173711050589</v>
      </c>
    </row>
    <row r="52" spans="2:27">
      <c r="B52" s="64">
        <v>0.06</v>
      </c>
      <c r="C52" s="85">
        <f t="shared" si="2"/>
        <v>9.8129051264406297E-2</v>
      </c>
      <c r="D52" s="85">
        <f t="shared" si="3"/>
        <v>0.26941424818467213</v>
      </c>
      <c r="E52" s="85">
        <f t="shared" si="4"/>
        <v>0.23547732238430125</v>
      </c>
      <c r="F52" s="85">
        <f t="shared" si="5"/>
        <v>0.14690923457936972</v>
      </c>
      <c r="G52" s="85">
        <f t="shared" si="6"/>
        <v>3.3645541318560651E-2</v>
      </c>
      <c r="H52" s="85">
        <f t="shared" si="7"/>
        <v>2.67470124589381E-2</v>
      </c>
      <c r="I52" s="85">
        <f t="shared" si="8"/>
        <v>0.19042326179739974</v>
      </c>
      <c r="J52" s="85"/>
      <c r="K52" s="85">
        <f t="shared" si="9"/>
        <v>0</v>
      </c>
      <c r="L52" s="85">
        <f t="shared" si="10"/>
        <v>0</v>
      </c>
      <c r="M52" s="85">
        <f t="shared" si="11"/>
        <v>3.3645541318560651E-2</v>
      </c>
      <c r="N52" s="85">
        <f t="shared" si="12"/>
        <v>0.19042326179739974</v>
      </c>
      <c r="O52" s="7"/>
      <c r="P52" s="185" t="s">
        <v>77</v>
      </c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4"/>
    </row>
    <row r="53" spans="2:27">
      <c r="B53" s="64">
        <v>7.0000000000000007E-2</v>
      </c>
      <c r="C53" s="85">
        <f t="shared" si="2"/>
        <v>8.951860380264226E-2</v>
      </c>
      <c r="D53" s="85">
        <f t="shared" si="3"/>
        <v>0.24990712022643891</v>
      </c>
      <c r="E53" s="85">
        <f t="shared" si="4"/>
        <v>0.21446128551971322</v>
      </c>
      <c r="F53" s="85">
        <f t="shared" si="5"/>
        <v>0.13062192597696293</v>
      </c>
      <c r="G53" s="85">
        <f t="shared" si="6"/>
        <v>2.9256068218017121E-2</v>
      </c>
      <c r="H53" s="85">
        <f t="shared" si="7"/>
        <v>2.4252426104851059E-2</v>
      </c>
      <c r="I53" s="85">
        <f t="shared" si="8"/>
        <v>0.17381449861720016</v>
      </c>
      <c r="J53" s="85"/>
      <c r="K53" s="85">
        <f t="shared" si="9"/>
        <v>0</v>
      </c>
      <c r="L53" s="85">
        <f t="shared" si="10"/>
        <v>0</v>
      </c>
      <c r="M53" s="85">
        <f t="shared" si="11"/>
        <v>2.9256068218017121E-2</v>
      </c>
      <c r="N53" s="85">
        <f t="shared" si="12"/>
        <v>0.17381449861720016</v>
      </c>
      <c r="P53" s="71"/>
      <c r="AA53" s="72"/>
    </row>
    <row r="54" spans="2:27">
      <c r="B54" s="64">
        <v>0.08</v>
      </c>
      <c r="C54" s="85">
        <f t="shared" si="2"/>
        <v>8.2189284555437711E-2</v>
      </c>
      <c r="D54" s="85">
        <f t="shared" si="3"/>
        <v>0.23383952491137236</v>
      </c>
      <c r="E54" s="85">
        <f t="shared" si="4"/>
        <v>0.19520157684927431</v>
      </c>
      <c r="F54" s="85">
        <f t="shared" si="5"/>
        <v>0.11586510832485597</v>
      </c>
      <c r="G54" s="85">
        <f t="shared" si="6"/>
        <v>2.6338354576464777E-2</v>
      </c>
      <c r="H54" s="85">
        <f t="shared" si="7"/>
        <v>2.2772827685799541E-2</v>
      </c>
      <c r="I54" s="85">
        <f t="shared" si="8"/>
        <v>0.16049887773105734</v>
      </c>
      <c r="J54" s="85"/>
      <c r="K54" s="85">
        <f t="shared" si="9"/>
        <v>0</v>
      </c>
      <c r="L54" s="85">
        <f t="shared" si="10"/>
        <v>0</v>
      </c>
      <c r="M54" s="85">
        <f t="shared" si="11"/>
        <v>2.6338354576464777E-2</v>
      </c>
      <c r="N54" s="85">
        <f t="shared" si="12"/>
        <v>0.16049887773105734</v>
      </c>
      <c r="P54" s="73" t="s">
        <v>48</v>
      </c>
      <c r="Q54" s="7" t="s">
        <v>78</v>
      </c>
      <c r="R54" t="s">
        <v>53</v>
      </c>
      <c r="S54" s="7" t="s">
        <v>79</v>
      </c>
      <c r="T54" t="s">
        <v>61</v>
      </c>
      <c r="AA54" s="72"/>
    </row>
    <row r="55" spans="2:27">
      <c r="B55" s="64">
        <v>0.09</v>
      </c>
      <c r="C55" s="85">
        <f t="shared" si="2"/>
        <v>7.4650702670865016E-2</v>
      </c>
      <c r="D55" s="85">
        <f t="shared" si="3"/>
        <v>0.21796205304928842</v>
      </c>
      <c r="E55" s="85">
        <f t="shared" si="4"/>
        <v>0.17756788615796998</v>
      </c>
      <c r="F55" s="85">
        <f t="shared" si="5"/>
        <v>0.10266394509591298</v>
      </c>
      <c r="G55" s="85">
        <f t="shared" si="6"/>
        <v>2.4375519482472598E-2</v>
      </c>
      <c r="H55" s="85">
        <f t="shared" si="7"/>
        <v>2.1927876169373865E-2</v>
      </c>
      <c r="I55" s="85">
        <f t="shared" si="8"/>
        <v>0.14685948469200347</v>
      </c>
      <c r="J55" s="85"/>
      <c r="K55" s="85">
        <f t="shared" si="9"/>
        <v>0</v>
      </c>
      <c r="L55" s="85">
        <f t="shared" si="10"/>
        <v>0</v>
      </c>
      <c r="M55" s="85">
        <f t="shared" si="11"/>
        <v>2.4375519482472598E-2</v>
      </c>
      <c r="N55" s="85">
        <f t="shared" si="12"/>
        <v>0.14685948469200347</v>
      </c>
      <c r="P55" s="71">
        <v>0.02</v>
      </c>
      <c r="Q55">
        <v>0.35</v>
      </c>
      <c r="R55">
        <f>LOG10(Q55)</f>
        <v>-0.45593195564972439</v>
      </c>
      <c r="S55">
        <v>0.22</v>
      </c>
      <c r="T55">
        <f>+LOG10(S55)</f>
        <v>-0.65757731917779372</v>
      </c>
      <c r="AA55" s="72"/>
    </row>
    <row r="56" spans="2:27">
      <c r="B56" s="64">
        <v>0.1</v>
      </c>
      <c r="C56" s="85">
        <f t="shared" si="2"/>
        <v>6.5932569311851416E-2</v>
      </c>
      <c r="D56" s="85">
        <f t="shared" si="3"/>
        <v>0.19985269082749274</v>
      </c>
      <c r="E56" s="85">
        <f t="shared" si="4"/>
        <v>0.16143745408567911</v>
      </c>
      <c r="F56" s="85">
        <f t="shared" si="5"/>
        <v>9.0985251523142324E-2</v>
      </c>
      <c r="G56" s="85">
        <f t="shared" si="6"/>
        <v>2.3026079511836731E-2</v>
      </c>
      <c r="H56" s="85">
        <f t="shared" si="7"/>
        <v>2.1440257649112514E-2</v>
      </c>
      <c r="I56" s="85">
        <f t="shared" si="8"/>
        <v>0.13043675923217329</v>
      </c>
      <c r="J56" s="85"/>
      <c r="K56" s="85">
        <f t="shared" si="9"/>
        <v>0</v>
      </c>
      <c r="L56" s="85">
        <f t="shared" si="10"/>
        <v>0</v>
      </c>
      <c r="M56" s="85">
        <f t="shared" si="11"/>
        <v>2.3026079511836731E-2</v>
      </c>
      <c r="N56" s="85">
        <f t="shared" si="12"/>
        <v>0.13043675923217329</v>
      </c>
      <c r="P56" s="71">
        <v>0.03</v>
      </c>
      <c r="Q56">
        <v>0.3</v>
      </c>
      <c r="R56">
        <f t="shared" ref="R56:R68" si="13">LOG10(Q56)</f>
        <v>-0.52287874528033762</v>
      </c>
      <c r="S56">
        <v>0.2</v>
      </c>
      <c r="T56">
        <f t="shared" ref="T56:T68" si="14">+LOG10(S56)</f>
        <v>-0.69897000433601875</v>
      </c>
      <c r="AA56" s="72"/>
    </row>
    <row r="57" spans="2:27">
      <c r="B57" s="64">
        <v>0.11</v>
      </c>
      <c r="C57" s="85">
        <f t="shared" si="2"/>
        <v>5.5660115089746068E-2</v>
      </c>
      <c r="D57" s="85">
        <f t="shared" si="3"/>
        <v>0.17801135664060624</v>
      </c>
      <c r="E57" s="85">
        <f t="shared" si="4"/>
        <v>0.14669490604329155</v>
      </c>
      <c r="F57" s="85">
        <f t="shared" si="5"/>
        <v>8.0755276971551132E-2</v>
      </c>
      <c r="G57" s="85">
        <f t="shared" si="6"/>
        <v>2.2044249612231295E-2</v>
      </c>
      <c r="H57" s="85">
        <f t="shared" si="7"/>
        <v>2.1079156585769948E-2</v>
      </c>
      <c r="I57" s="85">
        <f t="shared" si="8"/>
        <v>0.11015139459534891</v>
      </c>
      <c r="J57" s="85"/>
      <c r="K57" s="85">
        <f t="shared" si="9"/>
        <v>0</v>
      </c>
      <c r="L57" s="85">
        <f t="shared" si="10"/>
        <v>0</v>
      </c>
      <c r="M57" s="85">
        <f t="shared" si="11"/>
        <v>2.2044249612231295E-2</v>
      </c>
      <c r="N57" s="85">
        <f t="shared" si="12"/>
        <v>0.11015139459534891</v>
      </c>
      <c r="P57" s="71">
        <v>0.04</v>
      </c>
      <c r="Q57">
        <v>0.28000000000000003</v>
      </c>
      <c r="R57">
        <f t="shared" si="13"/>
        <v>-0.55284196865778079</v>
      </c>
      <c r="S57">
        <v>0.19</v>
      </c>
      <c r="T57">
        <f t="shared" si="14"/>
        <v>-0.72124639904717103</v>
      </c>
      <c r="AA57" s="72"/>
    </row>
    <row r="58" spans="2:27">
      <c r="B58" s="64">
        <v>0.12</v>
      </c>
      <c r="C58" s="85">
        <f t="shared" si="2"/>
        <v>4.4146553085503817E-2</v>
      </c>
      <c r="D58" s="85">
        <f t="shared" si="3"/>
        <v>0.15210254472444365</v>
      </c>
      <c r="E58" s="85">
        <f t="shared" si="4"/>
        <v>0.13323205003114078</v>
      </c>
      <c r="F58" s="85">
        <f t="shared" si="5"/>
        <v>7.187481965710768E-2</v>
      </c>
      <c r="G58" s="85">
        <f t="shared" si="6"/>
        <v>2.1236755156741061E-2</v>
      </c>
      <c r="H58" s="85">
        <f t="shared" si="7"/>
        <v>2.0634893891719425E-2</v>
      </c>
      <c r="I58" s="85">
        <f t="shared" si="8"/>
        <v>8.6635522704439014E-2</v>
      </c>
      <c r="J58" s="85"/>
      <c r="K58" s="85">
        <f t="shared" si="9"/>
        <v>0</v>
      </c>
      <c r="L58" s="85">
        <f t="shared" si="10"/>
        <v>0</v>
      </c>
      <c r="M58" s="85">
        <f t="shared" si="11"/>
        <v>2.1236755156741061E-2</v>
      </c>
      <c r="N58" s="85">
        <f t="shared" si="12"/>
        <v>8.6635522704439014E-2</v>
      </c>
      <c r="P58" s="71">
        <v>0.05</v>
      </c>
      <c r="Q58">
        <v>0.26</v>
      </c>
      <c r="R58">
        <f t="shared" si="13"/>
        <v>-0.58502665202918203</v>
      </c>
      <c r="S58">
        <v>0.17</v>
      </c>
      <c r="T58">
        <f t="shared" si="14"/>
        <v>-0.769551078621726</v>
      </c>
      <c r="U58">
        <v>6</v>
      </c>
      <c r="V58">
        <v>7</v>
      </c>
      <c r="W58">
        <v>8</v>
      </c>
      <c r="X58">
        <v>9</v>
      </c>
      <c r="AA58" s="72"/>
    </row>
    <row r="59" spans="2:27">
      <c r="B59" s="64">
        <v>0.13</v>
      </c>
      <c r="C59" s="85">
        <f t="shared" si="2"/>
        <v>3.2336178980911567E-2</v>
      </c>
      <c r="D59" s="85">
        <f t="shared" si="3"/>
        <v>0.123117211348441</v>
      </c>
      <c r="E59" s="85">
        <f t="shared" si="4"/>
        <v>0.12094764515863633</v>
      </c>
      <c r="F59" s="85">
        <f t="shared" si="5"/>
        <v>6.4231439772270651E-2</v>
      </c>
      <c r="G59" s="85">
        <f t="shared" si="6"/>
        <v>2.0441221300224469E-2</v>
      </c>
      <c r="H59" s="85">
        <f t="shared" si="7"/>
        <v>1.9916499512887546E-2</v>
      </c>
      <c r="I59" s="85">
        <f t="shared" si="8"/>
        <v>6.2164436318547657E-2</v>
      </c>
      <c r="J59" s="85"/>
      <c r="K59" s="85">
        <f t="shared" si="9"/>
        <v>0</v>
      </c>
      <c r="L59" s="85">
        <f t="shared" si="10"/>
        <v>0</v>
      </c>
      <c r="M59" s="85">
        <f t="shared" si="11"/>
        <v>2.0441221300224469E-2</v>
      </c>
      <c r="N59" s="85">
        <f t="shared" si="12"/>
        <v>6.2164436318547657E-2</v>
      </c>
      <c r="P59" s="71">
        <v>0.06</v>
      </c>
      <c r="Q59">
        <v>0.23</v>
      </c>
      <c r="R59">
        <f t="shared" si="13"/>
        <v>-0.63827216398240705</v>
      </c>
      <c r="S59">
        <v>0.15</v>
      </c>
      <c r="T59">
        <f t="shared" si="14"/>
        <v>-0.82390874094431876</v>
      </c>
      <c r="AA59" s="72"/>
    </row>
    <row r="60" spans="2:27">
      <c r="B60" s="64">
        <v>0.14000000000000001</v>
      </c>
      <c r="C60" s="85">
        <f t="shared" si="2"/>
        <v>2.1500591108922835E-2</v>
      </c>
      <c r="D60" s="85">
        <f t="shared" si="3"/>
        <v>9.3225997730867288E-2</v>
      </c>
      <c r="E60" s="85">
        <f t="shared" si="4"/>
        <v>0.10974714702793635</v>
      </c>
      <c r="F60" s="85">
        <f t="shared" si="5"/>
        <v>5.7708882430623477E-2</v>
      </c>
      <c r="G60" s="85">
        <f t="shared" si="6"/>
        <v>1.9519095099012947E-2</v>
      </c>
      <c r="H60" s="85">
        <f t="shared" si="7"/>
        <v>1.8768152343077403E-2</v>
      </c>
      <c r="I60" s="85">
        <f t="shared" si="8"/>
        <v>3.9861349721400693E-2</v>
      </c>
      <c r="J60" s="85"/>
      <c r="K60" s="85">
        <f t="shared" si="9"/>
        <v>0</v>
      </c>
      <c r="L60" s="85">
        <f t="shared" si="10"/>
        <v>0</v>
      </c>
      <c r="M60" s="85">
        <f t="shared" si="11"/>
        <v>1.9519095099012947E-2</v>
      </c>
      <c r="N60" s="85">
        <f t="shared" si="12"/>
        <v>3.9861349721400693E-2</v>
      </c>
      <c r="P60" s="71">
        <v>7.0000000000000007E-2</v>
      </c>
      <c r="Q60">
        <v>0.22</v>
      </c>
      <c r="R60">
        <f t="shared" si="13"/>
        <v>-0.65757731917779372</v>
      </c>
      <c r="S60">
        <v>0.13</v>
      </c>
      <c r="T60">
        <f t="shared" si="14"/>
        <v>-0.88605664769316317</v>
      </c>
      <c r="AA60" s="72"/>
    </row>
    <row r="61" spans="2:27">
      <c r="B61" s="64">
        <v>0.15</v>
      </c>
      <c r="C61" s="85">
        <f t="shared" si="2"/>
        <v>1.2755940946099041E-2</v>
      </c>
      <c r="D61" s="85">
        <f t="shared" si="3"/>
        <v>6.5212935498189864E-2</v>
      </c>
      <c r="E61" s="85">
        <f t="shared" si="4"/>
        <v>9.9542435522856798E-2</v>
      </c>
      <c r="F61" s="85">
        <f t="shared" si="5"/>
        <v>5.2194035305961083E-2</v>
      </c>
      <c r="G61" s="85">
        <f t="shared" si="6"/>
        <v>1.8359252717558727E-2</v>
      </c>
      <c r="H61" s="85">
        <f t="shared" si="7"/>
        <v>1.7098725882752023E-2</v>
      </c>
      <c r="I61" s="85">
        <f t="shared" si="8"/>
        <v>2.2374327979378938E-2</v>
      </c>
      <c r="J61" s="85"/>
      <c r="K61" s="85">
        <f t="shared" si="9"/>
        <v>0</v>
      </c>
      <c r="L61" s="85">
        <f t="shared" si="10"/>
        <v>0</v>
      </c>
      <c r="M61" s="85">
        <f t="shared" si="11"/>
        <v>1.8359252717558727E-2</v>
      </c>
      <c r="N61" s="85">
        <f t="shared" si="12"/>
        <v>2.2374327979378938E-2</v>
      </c>
      <c r="P61" s="71">
        <v>0.08</v>
      </c>
      <c r="Q61">
        <v>0.2</v>
      </c>
      <c r="R61">
        <f t="shared" si="13"/>
        <v>-0.69897000433601875</v>
      </c>
      <c r="S61">
        <v>0.11</v>
      </c>
      <c r="T61">
        <f t="shared" si="14"/>
        <v>-0.95860731484177497</v>
      </c>
      <c r="AA61" s="72"/>
    </row>
    <row r="62" spans="2:27">
      <c r="B62" s="64">
        <v>0.16</v>
      </c>
      <c r="C62" s="85">
        <f t="shared" si="2"/>
        <v>6.6375162907652352E-3</v>
      </c>
      <c r="D62" s="85">
        <f t="shared" si="3"/>
        <v>4.1615139999265943E-2</v>
      </c>
      <c r="E62" s="85">
        <f t="shared" si="4"/>
        <v>9.0251529943903383E-2</v>
      </c>
      <c r="F62" s="85">
        <f t="shared" si="5"/>
        <v>4.7581855745363347E-2</v>
      </c>
      <c r="G62" s="85">
        <f t="shared" si="6"/>
        <v>1.68888905025334E-2</v>
      </c>
      <c r="H62" s="85">
        <f t="shared" si="7"/>
        <v>1.4913366125917409E-2</v>
      </c>
      <c r="I62" s="85">
        <f t="shared" si="8"/>
        <v>1.0768618711330035E-2</v>
      </c>
      <c r="J62" s="85"/>
      <c r="K62" s="85">
        <f t="shared" si="9"/>
        <v>0</v>
      </c>
      <c r="L62" s="85">
        <f t="shared" si="10"/>
        <v>0</v>
      </c>
      <c r="M62" s="85">
        <f t="shared" si="11"/>
        <v>1.68888905025334E-2</v>
      </c>
      <c r="N62" s="85">
        <f t="shared" si="12"/>
        <v>1.0768618711330035E-2</v>
      </c>
      <c r="P62" s="71">
        <v>0.09</v>
      </c>
      <c r="Q62">
        <v>0.18</v>
      </c>
      <c r="R62">
        <f t="shared" si="13"/>
        <v>-0.74472749489669399</v>
      </c>
      <c r="S62">
        <v>0.1</v>
      </c>
      <c r="T62">
        <f t="shared" si="14"/>
        <v>-1</v>
      </c>
      <c r="AA62" s="72"/>
    </row>
    <row r="63" spans="2:27">
      <c r="B63" s="64">
        <v>0.17</v>
      </c>
      <c r="C63" s="85">
        <f t="shared" si="2"/>
        <v>2.9775584807417749E-3</v>
      </c>
      <c r="D63" s="85">
        <f t="shared" si="3"/>
        <v>2.3923919367019642E-2</v>
      </c>
      <c r="E63" s="85">
        <f t="shared" si="4"/>
        <v>8.1798295856807507E-2</v>
      </c>
      <c r="F63" s="85">
        <f t="shared" si="5"/>
        <v>4.3778739501846908E-2</v>
      </c>
      <c r="G63" s="85">
        <f t="shared" si="6"/>
        <v>1.5087120533331172E-2</v>
      </c>
      <c r="H63" s="85">
        <f t="shared" si="7"/>
        <v>1.2330857814797933E-2</v>
      </c>
      <c r="I63" s="85">
        <f t="shared" si="8"/>
        <v>4.3531737331985888E-3</v>
      </c>
      <c r="J63" s="85"/>
      <c r="K63" s="85">
        <f t="shared" si="9"/>
        <v>0</v>
      </c>
      <c r="L63" s="85">
        <f t="shared" si="10"/>
        <v>0</v>
      </c>
      <c r="M63" s="85">
        <f t="shared" si="11"/>
        <v>1.5087120533331172E-2</v>
      </c>
      <c r="N63" s="85">
        <f t="shared" si="12"/>
        <v>4.3531737331985888E-3</v>
      </c>
      <c r="P63" s="71">
        <v>0.1</v>
      </c>
      <c r="Q63">
        <v>0.16</v>
      </c>
      <c r="R63">
        <f t="shared" si="13"/>
        <v>-0.79588001734407521</v>
      </c>
      <c r="S63">
        <v>0.09</v>
      </c>
      <c r="T63">
        <f t="shared" si="14"/>
        <v>-1.0457574905606752</v>
      </c>
      <c r="AA63" s="72"/>
    </row>
    <row r="64" spans="2:27">
      <c r="B64" s="64">
        <v>0.18</v>
      </c>
      <c r="C64" s="85">
        <f t="shared" si="2"/>
        <v>1.1318977587943908E-3</v>
      </c>
      <c r="D64" s="85">
        <f t="shared" si="3"/>
        <v>1.2235426711295953E-2</v>
      </c>
      <c r="E64" s="85">
        <f t="shared" si="4"/>
        <v>7.4112147479387921E-2</v>
      </c>
      <c r="F64" s="85">
        <f t="shared" si="5"/>
        <v>4.0704796887312489E-2</v>
      </c>
      <c r="G64" s="85">
        <f t="shared" si="6"/>
        <v>1.2995082470427122E-2</v>
      </c>
      <c r="H64" s="85">
        <f t="shared" si="7"/>
        <v>9.5708951825861938E-3</v>
      </c>
      <c r="I64" s="85">
        <f t="shared" si="8"/>
        <v>1.4478114269345114E-3</v>
      </c>
      <c r="J64" s="85"/>
      <c r="K64" s="85">
        <f t="shared" si="9"/>
        <v>0</v>
      </c>
      <c r="L64" s="85">
        <f t="shared" si="10"/>
        <v>0</v>
      </c>
      <c r="M64" s="85">
        <f t="shared" si="11"/>
        <v>1.2995082470427122E-2</v>
      </c>
      <c r="N64" s="85">
        <f t="shared" si="12"/>
        <v>1.4478114269345114E-3</v>
      </c>
      <c r="P64" s="71">
        <v>0.11</v>
      </c>
      <c r="Q64" s="7">
        <v>0.14499999999999999</v>
      </c>
      <c r="R64">
        <f t="shared" si="13"/>
        <v>-0.83863199776502517</v>
      </c>
      <c r="S64">
        <v>0.08</v>
      </c>
      <c r="T64">
        <f t="shared" si="14"/>
        <v>-1.0969100130080565</v>
      </c>
      <c r="AA64" s="72"/>
    </row>
    <row r="65" spans="1:27">
      <c r="B65" s="64">
        <v>0.19</v>
      </c>
      <c r="C65" s="85">
        <f t="shared" si="2"/>
        <v>3.5840734395200044E-4</v>
      </c>
      <c r="D65" s="85">
        <f t="shared" si="3"/>
        <v>5.4973601506800706E-3</v>
      </c>
      <c r="E65" s="85">
        <f t="shared" si="4"/>
        <v>6.712774892292768E-2</v>
      </c>
      <c r="F65" s="85">
        <f t="shared" si="5"/>
        <v>3.829547661468341E-2</v>
      </c>
      <c r="G65" s="85">
        <f t="shared" si="6"/>
        <v>1.0715871078078268E-2</v>
      </c>
      <c r="H65" s="85">
        <f t="shared" si="7"/>
        <v>6.905410010069642E-3</v>
      </c>
      <c r="I65" s="85">
        <f t="shared" si="8"/>
        <v>3.8806278844593674E-4</v>
      </c>
      <c r="J65" s="85"/>
      <c r="K65" s="85">
        <f t="shared" si="9"/>
        <v>0</v>
      </c>
      <c r="L65" s="85">
        <f t="shared" si="10"/>
        <v>0</v>
      </c>
      <c r="M65" s="85">
        <f t="shared" si="11"/>
        <v>1.0715871078078268E-2</v>
      </c>
      <c r="N65" s="85">
        <f t="shared" si="12"/>
        <v>3.8806278844593674E-4</v>
      </c>
      <c r="P65" s="71">
        <v>0.12</v>
      </c>
      <c r="Q65" s="7">
        <v>0.13</v>
      </c>
      <c r="R65">
        <f t="shared" si="13"/>
        <v>-0.88605664769316317</v>
      </c>
      <c r="S65">
        <v>7.4999999999999997E-2</v>
      </c>
      <c r="T65">
        <f t="shared" si="14"/>
        <v>-1.1249387366082999</v>
      </c>
      <c r="AA65" s="72"/>
    </row>
    <row r="66" spans="1:27">
      <c r="B66" s="64">
        <v>0.2</v>
      </c>
      <c r="C66" s="85">
        <f t="shared" si="2"/>
        <v>9.291803138236564E-5</v>
      </c>
      <c r="D66" s="85">
        <f t="shared" si="3"/>
        <v>2.1427919196332153E-3</v>
      </c>
      <c r="E66" s="85">
        <f t="shared" si="4"/>
        <v>6.0784717131491015E-2</v>
      </c>
      <c r="F66" s="85">
        <f t="shared" si="5"/>
        <v>3.6502953063578189E-2</v>
      </c>
      <c r="G66" s="85">
        <f t="shared" si="6"/>
        <v>8.3996269827743362E-3</v>
      </c>
      <c r="H66" s="85">
        <f t="shared" si="7"/>
        <v>4.5860628262193439E-3</v>
      </c>
      <c r="I66" s="85">
        <f t="shared" si="8"/>
        <v>8.2110746408508485E-5</v>
      </c>
      <c r="J66" s="85"/>
      <c r="K66" s="85">
        <f t="shared" si="9"/>
        <v>0</v>
      </c>
      <c r="L66" s="85">
        <f t="shared" si="10"/>
        <v>0</v>
      </c>
      <c r="M66" s="85">
        <f t="shared" si="11"/>
        <v>8.3996269827743362E-3</v>
      </c>
      <c r="N66" s="85">
        <f t="shared" si="12"/>
        <v>8.2110746408508485E-5</v>
      </c>
      <c r="P66" s="71">
        <v>0.13</v>
      </c>
      <c r="Q66" s="7">
        <v>0.122</v>
      </c>
      <c r="R66">
        <f t="shared" si="13"/>
        <v>-0.91364016932525183</v>
      </c>
      <c r="S66">
        <v>6.5000000000000002E-2</v>
      </c>
      <c r="T66">
        <f t="shared" si="14"/>
        <v>-1.1870866433571443</v>
      </c>
      <c r="AA66" s="72"/>
    </row>
    <row r="67" spans="1:27">
      <c r="A67" s="88" t="s">
        <v>47</v>
      </c>
      <c r="B67" s="67">
        <f>+E43</f>
        <v>4.2857142857142858E-2</v>
      </c>
      <c r="C67" s="89"/>
      <c r="D67" s="89"/>
      <c r="E67" s="89"/>
      <c r="F67" s="89"/>
      <c r="G67" s="90">
        <f t="shared" si="6"/>
        <v>4.7315551522315376E-2</v>
      </c>
      <c r="H67" s="90">
        <f t="shared" si="7"/>
        <v>3.5299641239159872E-2</v>
      </c>
      <c r="I67" s="90">
        <f t="shared" si="8"/>
        <v>0.24277180691876538</v>
      </c>
      <c r="J67" s="89"/>
      <c r="K67" s="89"/>
      <c r="L67" s="89"/>
      <c r="M67" s="85">
        <f t="shared" si="11"/>
        <v>4.7315551522315376E-2</v>
      </c>
      <c r="N67" s="85">
        <f t="shared" si="12"/>
        <v>0.24277180691876538</v>
      </c>
      <c r="P67" s="71">
        <v>0.14000000000000001</v>
      </c>
      <c r="Q67" s="7">
        <v>0.11</v>
      </c>
      <c r="R67">
        <f t="shared" si="13"/>
        <v>-0.95860731484177497</v>
      </c>
      <c r="S67">
        <v>0.06</v>
      </c>
      <c r="T67">
        <f t="shared" si="14"/>
        <v>-1.2218487496163564</v>
      </c>
      <c r="AA67" s="72"/>
    </row>
    <row r="68" spans="1:27">
      <c r="P68" s="71">
        <v>0.15</v>
      </c>
      <c r="Q68" s="7">
        <v>0.1</v>
      </c>
      <c r="R68">
        <f t="shared" si="13"/>
        <v>-1</v>
      </c>
      <c r="S68">
        <v>0.05</v>
      </c>
      <c r="T68">
        <f t="shared" si="14"/>
        <v>-1.3010299956639813</v>
      </c>
      <c r="AA68" s="72"/>
    </row>
    <row r="69" spans="1:27">
      <c r="B69" s="7" t="s">
        <v>28</v>
      </c>
      <c r="C69">
        <f>Metric_Conversion!E12/Metric_Conversion!E14</f>
        <v>0.75</v>
      </c>
      <c r="D69" s="7" t="s">
        <v>32</v>
      </c>
      <c r="P69" s="71"/>
      <c r="AA69" s="72"/>
    </row>
    <row r="70" spans="1:27">
      <c r="B70" s="82" t="s">
        <v>66</v>
      </c>
      <c r="C70" s="82" t="s">
        <v>67</v>
      </c>
      <c r="D70" s="82" t="s">
        <v>68</v>
      </c>
      <c r="E70" s="82" t="s">
        <v>69</v>
      </c>
      <c r="F70" s="82" t="s">
        <v>70</v>
      </c>
      <c r="G70" s="82" t="s">
        <v>23</v>
      </c>
      <c r="H70" s="82" t="s">
        <v>71</v>
      </c>
      <c r="I70" s="82" t="s">
        <v>72</v>
      </c>
      <c r="J70" s="64"/>
      <c r="K70" s="82" t="s">
        <v>73</v>
      </c>
      <c r="L70" s="82" t="s">
        <v>74</v>
      </c>
      <c r="M70" s="82" t="s">
        <v>75</v>
      </c>
      <c r="N70" s="82" t="s">
        <v>76</v>
      </c>
      <c r="P70" s="71"/>
      <c r="AA70" s="72"/>
    </row>
    <row r="71" spans="1:27">
      <c r="B71" s="64">
        <v>1.0999999999999999E-2</v>
      </c>
      <c r="C71" s="86">
        <f>10^($T$22+$T$23*$B71+$T$24*$B71^2+$T$25*$B71^3)</f>
        <v>0.29911390184448128</v>
      </c>
      <c r="D71" s="86">
        <f>10^($T$47+$T$48*$B71+$T$49*$B71^2+$T$50*$B71^3)</f>
        <v>0.67060634111329631</v>
      </c>
      <c r="E71" s="86">
        <f>10^($T$72+$T$73*$B71+$T$74*$B71^2+$T$75*$B71^3)</f>
        <v>0.36868191194908978</v>
      </c>
      <c r="F71" s="86">
        <f>10^($U$72+$U$73*$B71+$U$74*$B71^2+$U$75*$B71^3)</f>
        <v>0.24189606516582579</v>
      </c>
      <c r="G71" s="86">
        <f>10^($V$97+$V$98*$B71+$V$99*$B71^2+$V$100*$B71^3)</f>
        <v>0.25268889308560433</v>
      </c>
      <c r="H71" s="86">
        <f>10^($V$122+$V$123*$B71+$V$124*$B71^2+$V$125*$B71^3)</f>
        <v>0.13553244557933181</v>
      </c>
      <c r="I71" s="86">
        <f>10^($T$147+$T$148*$B71+$T$149*$B71^2+$T$150*$B71^3)</f>
        <v>0.69969904958211149</v>
      </c>
      <c r="J71" s="86"/>
      <c r="K71" s="86">
        <f>IF(B71&lt;$D$43,C71,IF(B71&lt;$E$43,E71,))</f>
        <v>0.29911390184448128</v>
      </c>
      <c r="L71" s="86">
        <f>IF(B71&lt;$D$43,D71,IF(B71&lt;$E$43,F71,))</f>
        <v>0.67060634111329631</v>
      </c>
      <c r="M71" s="86">
        <f>IF($E$41="volute",H71,G71)</f>
        <v>0.25268889308560433</v>
      </c>
      <c r="N71" s="86">
        <f>I71</f>
        <v>0.69969904958211149</v>
      </c>
      <c r="P71" s="71"/>
      <c r="S71" s="66"/>
      <c r="T71" s="81" t="s">
        <v>52</v>
      </c>
      <c r="U71" s="81" t="s">
        <v>80</v>
      </c>
      <c r="AA71" s="72"/>
    </row>
    <row r="72" spans="1:27">
      <c r="B72" s="64">
        <v>0.02</v>
      </c>
      <c r="C72" s="86">
        <f t="shared" ref="C72:C90" si="15">10^($T$22+$T$23*$B72+$T$24*$B72^2+$T$25*$B72^3)</f>
        <v>0.21310066256045804</v>
      </c>
      <c r="D72" s="86">
        <f t="shared" ref="D72:D90" si="16">10^($T$47+$T$48*$B72+$T$49*$B72^2+$T$50*$B72^3)</f>
        <v>0.51044773374338248</v>
      </c>
      <c r="E72" s="86">
        <f t="shared" ref="E72:E90" si="17">10^($T$72+$T$73*$B72+$T$74*$B72^2+$T$75*$B72^3)</f>
        <v>0.33998058308838702</v>
      </c>
      <c r="F72" s="86">
        <f t="shared" ref="F72:F90" si="18">10^($U$72+$U$73*$B72+$U$74*$B72^2+$U$75*$B72^3)</f>
        <v>0.22371517702628804</v>
      </c>
      <c r="G72" s="86">
        <f t="shared" ref="G72:G91" si="19">10^($V$97+$V$98*$B72+$V$99*$B72^2+$V$100*$B72^3)</f>
        <v>0.1753381661558498</v>
      </c>
      <c r="H72" s="86">
        <f t="shared" ref="H72:H91" si="20">10^($V$122+$V$123*$B72+$V$124*$B72^2+$V$125*$B72^3)</f>
        <v>9.1357641658346977E-2</v>
      </c>
      <c r="I72" s="86">
        <f t="shared" ref="I72:I91" si="21">10^($T$147+$T$148*$B72+$T$149*$B72^2+$T$150*$B72^3)</f>
        <v>0.46556036499550812</v>
      </c>
      <c r="J72" s="86"/>
      <c r="K72" s="86">
        <f t="shared" ref="K72:K90" si="22">IF(B72&lt;$D$43,C72,IF(B72&lt;$E$43,E72,))</f>
        <v>0.33998058308838702</v>
      </c>
      <c r="L72" s="86">
        <f t="shared" ref="L72:L90" si="23">IF(B72&lt;$D$43,D72,IF(B72&lt;$E$43,F72,))</f>
        <v>0.22371517702628804</v>
      </c>
      <c r="M72" s="86">
        <f t="shared" ref="M72:M91" si="24">IF($E$41="volute",H72,G72)</f>
        <v>0.1753381661558498</v>
      </c>
      <c r="N72" s="86">
        <f t="shared" ref="N72:N91" si="25">I72</f>
        <v>0.46556036499550812</v>
      </c>
      <c r="P72" s="71"/>
      <c r="S72" s="65" t="s">
        <v>55</v>
      </c>
      <c r="T72" s="65">
        <v>-0.39069999999999999</v>
      </c>
      <c r="U72" s="65">
        <v>-0.57969999999999999</v>
      </c>
      <c r="AA72" s="72"/>
    </row>
    <row r="73" spans="1:27">
      <c r="B73" s="64">
        <v>0.03</v>
      </c>
      <c r="C73" s="86">
        <f t="shared" si="15"/>
        <v>0.15953710243922131</v>
      </c>
      <c r="D73" s="86">
        <f t="shared" si="16"/>
        <v>0.40328221521413238</v>
      </c>
      <c r="E73" s="86">
        <f t="shared" si="17"/>
        <v>0.31048197055201243</v>
      </c>
      <c r="F73" s="86">
        <f t="shared" si="18"/>
        <v>0.20341121176449981</v>
      </c>
      <c r="G73" s="86">
        <f t="shared" si="19"/>
        <v>0.12613460165652404</v>
      </c>
      <c r="H73" s="86">
        <f t="shared" si="20"/>
        <v>6.3513123302390936E-2</v>
      </c>
      <c r="I73" s="86">
        <f t="shared" si="21"/>
        <v>0.32999092757171694</v>
      </c>
      <c r="J73" s="86"/>
      <c r="K73" s="86">
        <f t="shared" si="22"/>
        <v>0.31048197055201243</v>
      </c>
      <c r="L73" s="86">
        <f t="shared" si="23"/>
        <v>0.20341121176449981</v>
      </c>
      <c r="M73" s="86">
        <f t="shared" si="24"/>
        <v>0.12613460165652404</v>
      </c>
      <c r="N73" s="86">
        <f t="shared" si="25"/>
        <v>0.32999092757171694</v>
      </c>
      <c r="P73" s="71"/>
      <c r="S73" s="65" t="s">
        <v>56</v>
      </c>
      <c r="T73" s="79">
        <v>-3.8580999999999999</v>
      </c>
      <c r="U73" s="65">
        <v>-3.0731000000000002</v>
      </c>
      <c r="AA73" s="72"/>
    </row>
    <row r="74" spans="1:27">
      <c r="B74" s="64">
        <v>0.04</v>
      </c>
      <c r="C74" s="86">
        <f t="shared" si="15"/>
        <v>0.12876635433048161</v>
      </c>
      <c r="D74" s="86">
        <f t="shared" si="16"/>
        <v>0.33797006870039242</v>
      </c>
      <c r="E74" s="86">
        <f t="shared" si="17"/>
        <v>0.28333805948588381</v>
      </c>
      <c r="F74" s="86">
        <f t="shared" si="18"/>
        <v>0.18356403012180431</v>
      </c>
      <c r="G74" s="86">
        <f t="shared" si="19"/>
        <v>9.7504280068635554E-2</v>
      </c>
      <c r="H74" s="86">
        <f t="shared" si="20"/>
        <v>4.7376725430975118E-2</v>
      </c>
      <c r="I74" s="86">
        <f t="shared" si="21"/>
        <v>0.2570111707827113</v>
      </c>
      <c r="J74" s="86"/>
      <c r="K74" s="86">
        <f t="shared" si="22"/>
        <v>0.28333805948588381</v>
      </c>
      <c r="L74" s="86">
        <f t="shared" si="23"/>
        <v>0.18356403012180431</v>
      </c>
      <c r="M74" s="86">
        <f t="shared" si="24"/>
        <v>9.7504280068635554E-2</v>
      </c>
      <c r="N74" s="86">
        <f t="shared" si="25"/>
        <v>0.2570111707827113</v>
      </c>
      <c r="P74" s="71"/>
      <c r="S74" s="65" t="s">
        <v>57</v>
      </c>
      <c r="T74" s="65">
        <v>-1.75</v>
      </c>
      <c r="U74" s="65">
        <v>-24.72</v>
      </c>
      <c r="AA74" s="72"/>
    </row>
    <row r="75" spans="1:27" ht="14" thickBot="1">
      <c r="B75" s="64">
        <v>0.05</v>
      </c>
      <c r="C75" s="86">
        <f t="shared" si="15"/>
        <v>0.11013807966980105</v>
      </c>
      <c r="D75" s="86">
        <f t="shared" si="16"/>
        <v>0.29668886694007418</v>
      </c>
      <c r="E75" s="86">
        <f t="shared" si="17"/>
        <v>0.25838767105832966</v>
      </c>
      <c r="F75" s="86">
        <f t="shared" si="18"/>
        <v>0.16462380103930513</v>
      </c>
      <c r="G75" s="86">
        <f t="shared" si="19"/>
        <v>8.0258308050149454E-2</v>
      </c>
      <c r="H75" s="86">
        <f t="shared" si="20"/>
        <v>3.7596831847128073E-2</v>
      </c>
      <c r="I75" s="86">
        <f t="shared" si="21"/>
        <v>0.21545173711050589</v>
      </c>
      <c r="J75" s="86"/>
      <c r="K75" s="86">
        <f t="shared" si="22"/>
        <v>0</v>
      </c>
      <c r="L75" s="86">
        <f t="shared" si="23"/>
        <v>0</v>
      </c>
      <c r="M75" s="86">
        <f t="shared" si="24"/>
        <v>8.0258308050149454E-2</v>
      </c>
      <c r="N75" s="86">
        <f t="shared" si="25"/>
        <v>0.21545173711050589</v>
      </c>
      <c r="P75" s="74"/>
      <c r="Q75" s="75"/>
      <c r="R75" s="75"/>
      <c r="S75" s="76" t="s">
        <v>58</v>
      </c>
      <c r="T75" s="76">
        <v>2.0143</v>
      </c>
      <c r="U75" s="76">
        <v>93.180999999999997</v>
      </c>
      <c r="V75" s="75"/>
      <c r="W75" s="75"/>
      <c r="X75" s="75"/>
      <c r="Y75" s="75"/>
      <c r="Z75" s="75"/>
      <c r="AA75" s="80"/>
    </row>
    <row r="76" spans="1:27" ht="14" thickBot="1">
      <c r="B76" s="64">
        <v>0.06</v>
      </c>
      <c r="C76" s="86">
        <f t="shared" si="15"/>
        <v>9.8129051264406297E-2</v>
      </c>
      <c r="D76" s="86">
        <f t="shared" si="16"/>
        <v>0.26941424818467213</v>
      </c>
      <c r="E76" s="86">
        <f t="shared" si="17"/>
        <v>0.23547732238430125</v>
      </c>
      <c r="F76" s="86">
        <f t="shared" si="18"/>
        <v>0.14690923457936972</v>
      </c>
      <c r="G76" s="86">
        <f t="shared" si="19"/>
        <v>6.9707325462036451E-2</v>
      </c>
      <c r="H76" s="86">
        <f t="shared" si="20"/>
        <v>3.1471957782571301E-2</v>
      </c>
      <c r="I76" s="86">
        <f t="shared" si="21"/>
        <v>0.19042326179739974</v>
      </c>
      <c r="J76" s="86"/>
      <c r="K76" s="86">
        <f t="shared" si="22"/>
        <v>0</v>
      </c>
      <c r="L76" s="86">
        <f t="shared" si="23"/>
        <v>0</v>
      </c>
      <c r="M76" s="86">
        <f t="shared" si="24"/>
        <v>6.9707325462036451E-2</v>
      </c>
      <c r="N76" s="86">
        <f t="shared" si="25"/>
        <v>0.19042326179739974</v>
      </c>
    </row>
    <row r="77" spans="1:27">
      <c r="B77" s="64">
        <v>7.0000000000000007E-2</v>
      </c>
      <c r="C77" s="86">
        <f t="shared" si="15"/>
        <v>8.951860380264226E-2</v>
      </c>
      <c r="D77" s="86">
        <f t="shared" si="16"/>
        <v>0.24990712022643891</v>
      </c>
      <c r="E77" s="86">
        <f t="shared" si="17"/>
        <v>0.21446128551971322</v>
      </c>
      <c r="F77" s="86">
        <f t="shared" si="18"/>
        <v>0.13062192597696293</v>
      </c>
      <c r="G77" s="86">
        <f t="shared" si="19"/>
        <v>6.3304438351291126E-2</v>
      </c>
      <c r="H77" s="86">
        <f t="shared" si="20"/>
        <v>2.7553973094653579E-2</v>
      </c>
      <c r="I77" s="86">
        <f t="shared" si="21"/>
        <v>0.17381449861720016</v>
      </c>
      <c r="J77" s="86"/>
      <c r="K77" s="86">
        <f t="shared" si="22"/>
        <v>0</v>
      </c>
      <c r="L77" s="86">
        <f t="shared" si="23"/>
        <v>0</v>
      </c>
      <c r="M77" s="86">
        <f t="shared" si="24"/>
        <v>6.3304438351291126E-2</v>
      </c>
      <c r="N77" s="86">
        <f t="shared" si="25"/>
        <v>0.17381449861720016</v>
      </c>
      <c r="O77" s="7"/>
      <c r="P77" s="68" t="s">
        <v>81</v>
      </c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70"/>
    </row>
    <row r="78" spans="1:27">
      <c r="B78" s="64">
        <v>0.08</v>
      </c>
      <c r="C78" s="86">
        <f t="shared" si="15"/>
        <v>8.2189284555437711E-2</v>
      </c>
      <c r="D78" s="86">
        <f t="shared" si="16"/>
        <v>0.23383952491137236</v>
      </c>
      <c r="E78" s="86">
        <f t="shared" si="17"/>
        <v>0.19520157684927431</v>
      </c>
      <c r="F78" s="86">
        <f t="shared" si="18"/>
        <v>0.11586510832485597</v>
      </c>
      <c r="G78" s="86">
        <f t="shared" si="19"/>
        <v>5.9566549015157538E-2</v>
      </c>
      <c r="H78" s="86">
        <f t="shared" si="20"/>
        <v>2.5016947663782953E-2</v>
      </c>
      <c r="I78" s="86">
        <f t="shared" si="21"/>
        <v>0.16049887773105734</v>
      </c>
      <c r="J78" s="86"/>
      <c r="K78" s="86">
        <f t="shared" si="22"/>
        <v>0</v>
      </c>
      <c r="L78" s="86">
        <f t="shared" si="23"/>
        <v>0</v>
      </c>
      <c r="M78" s="86">
        <f t="shared" si="24"/>
        <v>5.9566549015157538E-2</v>
      </c>
      <c r="N78" s="86">
        <f t="shared" si="25"/>
        <v>0.16049887773105734</v>
      </c>
      <c r="P78" s="71"/>
      <c r="AA78" s="72"/>
    </row>
    <row r="79" spans="1:27">
      <c r="B79" s="64">
        <v>0.09</v>
      </c>
      <c r="C79" s="86">
        <f t="shared" si="15"/>
        <v>7.4650702670865016E-2</v>
      </c>
      <c r="D79" s="86">
        <f t="shared" si="16"/>
        <v>0.21796205304928842</v>
      </c>
      <c r="E79" s="86">
        <f t="shared" si="17"/>
        <v>0.17756788615796998</v>
      </c>
      <c r="F79" s="86">
        <f t="shared" si="18"/>
        <v>0.10266394509591298</v>
      </c>
      <c r="G79" s="86">
        <f t="shared" si="19"/>
        <v>5.754776745580293E-2</v>
      </c>
      <c r="H79" s="86">
        <f t="shared" si="20"/>
        <v>2.3354775126422752E-2</v>
      </c>
      <c r="I79" s="86">
        <f t="shared" si="21"/>
        <v>0.14685948469200347</v>
      </c>
      <c r="J79" s="86"/>
      <c r="K79" s="86">
        <f t="shared" si="22"/>
        <v>0</v>
      </c>
      <c r="L79" s="86">
        <f t="shared" si="23"/>
        <v>0</v>
      </c>
      <c r="M79" s="86">
        <f t="shared" si="24"/>
        <v>5.754776745580293E-2</v>
      </c>
      <c r="N79" s="86">
        <f t="shared" si="25"/>
        <v>0.14685948469200347</v>
      </c>
      <c r="P79" s="73" t="s">
        <v>48</v>
      </c>
      <c r="Q79" t="s">
        <v>82</v>
      </c>
      <c r="R79" t="s">
        <v>53</v>
      </c>
      <c r="S79" t="s">
        <v>83</v>
      </c>
      <c r="T79" t="s">
        <v>61</v>
      </c>
      <c r="AA79" s="72"/>
    </row>
    <row r="80" spans="1:27">
      <c r="B80" s="64">
        <v>0.1</v>
      </c>
      <c r="C80" s="86">
        <f t="shared" si="15"/>
        <v>6.5932569311851416E-2</v>
      </c>
      <c r="D80" s="86">
        <f t="shared" si="16"/>
        <v>0.19985269082749274</v>
      </c>
      <c r="E80" s="86">
        <f t="shared" si="17"/>
        <v>0.16143745408567911</v>
      </c>
      <c r="F80" s="86">
        <f t="shared" si="18"/>
        <v>9.0985251523142324E-2</v>
      </c>
      <c r="G80" s="86">
        <f t="shared" si="19"/>
        <v>5.6566264509802934E-2</v>
      </c>
      <c r="H80" s="86">
        <f t="shared" si="20"/>
        <v>2.2228491959695236E-2</v>
      </c>
      <c r="I80" s="86">
        <f t="shared" si="21"/>
        <v>0.13043675923217329</v>
      </c>
      <c r="J80" s="86"/>
      <c r="K80" s="86">
        <f t="shared" si="22"/>
        <v>0</v>
      </c>
      <c r="L80" s="86">
        <f t="shared" si="23"/>
        <v>0</v>
      </c>
      <c r="M80" s="86">
        <f t="shared" si="24"/>
        <v>5.6566264509802934E-2</v>
      </c>
      <c r="N80" s="86">
        <f t="shared" si="25"/>
        <v>0.13043675923217329</v>
      </c>
      <c r="P80" s="71">
        <v>0.02</v>
      </c>
      <c r="Q80">
        <v>0.1</v>
      </c>
      <c r="R80">
        <f>LOG10(Q80)</f>
        <v>-1</v>
      </c>
      <c r="S80">
        <v>0.27</v>
      </c>
      <c r="T80">
        <f>+LOG10(S80)</f>
        <v>-0.56863623584101264</v>
      </c>
      <c r="AA80" s="72"/>
    </row>
    <row r="81" spans="1:27">
      <c r="B81" s="64">
        <v>0.11</v>
      </c>
      <c r="C81" s="86">
        <f t="shared" si="15"/>
        <v>5.5660115089746068E-2</v>
      </c>
      <c r="D81" s="86">
        <f t="shared" si="16"/>
        <v>0.17801135664060624</v>
      </c>
      <c r="E81" s="86">
        <f t="shared" si="17"/>
        <v>0.14669490604329155</v>
      </c>
      <c r="F81" s="86">
        <f t="shared" si="18"/>
        <v>8.0755276971551132E-2</v>
      </c>
      <c r="G81" s="86">
        <f t="shared" si="19"/>
        <v>5.605762835490756E-2</v>
      </c>
      <c r="H81" s="86">
        <f t="shared" si="20"/>
        <v>2.1386460305303143E-2</v>
      </c>
      <c r="I81" s="86">
        <f t="shared" si="21"/>
        <v>0.11015139459534891</v>
      </c>
      <c r="J81" s="86"/>
      <c r="K81" s="86">
        <f t="shared" si="22"/>
        <v>0</v>
      </c>
      <c r="L81" s="86">
        <f t="shared" si="23"/>
        <v>0</v>
      </c>
      <c r="M81" s="86">
        <f t="shared" si="24"/>
        <v>5.605762835490756E-2</v>
      </c>
      <c r="N81" s="86">
        <f t="shared" si="25"/>
        <v>0.11015139459534891</v>
      </c>
      <c r="P81" s="71">
        <v>0.03</v>
      </c>
      <c r="Q81">
        <v>6.5000000000000002E-2</v>
      </c>
      <c r="R81">
        <f t="shared" ref="R81:R93" si="26">LOG10(Q81)</f>
        <v>-1.1870866433571443</v>
      </c>
      <c r="S81">
        <v>0.18</v>
      </c>
      <c r="T81">
        <f t="shared" ref="T81:T93" si="27">+LOG10(S81)</f>
        <v>-0.74472749489669399</v>
      </c>
      <c r="AA81" s="72"/>
    </row>
    <row r="82" spans="1:27">
      <c r="B82" s="64">
        <v>0.12</v>
      </c>
      <c r="C82" s="86">
        <f t="shared" si="15"/>
        <v>4.4146553085503817E-2</v>
      </c>
      <c r="D82" s="86">
        <f t="shared" si="16"/>
        <v>0.15210254472444365</v>
      </c>
      <c r="E82" s="86">
        <f t="shared" si="17"/>
        <v>0.13323205003114078</v>
      </c>
      <c r="F82" s="86">
        <f t="shared" si="18"/>
        <v>7.187481965710768E-2</v>
      </c>
      <c r="G82" s="86">
        <f t="shared" si="19"/>
        <v>5.550158170667218E-2</v>
      </c>
      <c r="H82" s="86">
        <f t="shared" si="20"/>
        <v>2.0623581155108237E-2</v>
      </c>
      <c r="I82" s="86">
        <f t="shared" si="21"/>
        <v>8.6635522704439014E-2</v>
      </c>
      <c r="J82" s="86"/>
      <c r="K82" s="86">
        <f t="shared" si="22"/>
        <v>0</v>
      </c>
      <c r="L82" s="86">
        <f t="shared" si="23"/>
        <v>0</v>
      </c>
      <c r="M82" s="86">
        <f t="shared" si="24"/>
        <v>5.550158170667218E-2</v>
      </c>
      <c r="N82" s="86">
        <f t="shared" si="25"/>
        <v>8.6635522704439014E-2</v>
      </c>
      <c r="P82" s="71">
        <v>0.04</v>
      </c>
      <c r="Q82">
        <v>0.05</v>
      </c>
      <c r="R82">
        <f t="shared" si="26"/>
        <v>-1.3010299956639813</v>
      </c>
      <c r="S82">
        <v>0.13</v>
      </c>
      <c r="T82">
        <f t="shared" si="27"/>
        <v>-0.88605664769316317</v>
      </c>
      <c r="AA82" s="72"/>
    </row>
    <row r="83" spans="1:27">
      <c r="B83" s="64">
        <v>0.13</v>
      </c>
      <c r="C83" s="86">
        <f t="shared" si="15"/>
        <v>3.2336178980911567E-2</v>
      </c>
      <c r="D83" s="86">
        <f t="shared" si="16"/>
        <v>0.123117211348441</v>
      </c>
      <c r="E83" s="86">
        <f t="shared" si="17"/>
        <v>0.12094764515863633</v>
      </c>
      <c r="F83" s="86">
        <f t="shared" si="18"/>
        <v>6.4231439772270651E-2</v>
      </c>
      <c r="G83" s="86">
        <f t="shared" si="19"/>
        <v>5.440197167583747E-2</v>
      </c>
      <c r="H83" s="86">
        <f t="shared" si="20"/>
        <v>1.9764560887762232E-2</v>
      </c>
      <c r="I83" s="86">
        <f t="shared" si="21"/>
        <v>6.2164436318547657E-2</v>
      </c>
      <c r="J83" s="86"/>
      <c r="K83" s="86">
        <f t="shared" si="22"/>
        <v>0</v>
      </c>
      <c r="L83" s="86">
        <f t="shared" si="23"/>
        <v>0</v>
      </c>
      <c r="M83" s="86">
        <f t="shared" si="24"/>
        <v>5.440197167583747E-2</v>
      </c>
      <c r="N83" s="86">
        <f t="shared" si="25"/>
        <v>6.2164436318547657E-2</v>
      </c>
      <c r="P83" s="71">
        <v>0.05</v>
      </c>
      <c r="Q83">
        <v>0.04</v>
      </c>
      <c r="R83">
        <f t="shared" si="26"/>
        <v>-1.3979400086720375</v>
      </c>
      <c r="S83">
        <v>0.115</v>
      </c>
      <c r="T83">
        <f t="shared" si="27"/>
        <v>-0.9393021596463883</v>
      </c>
      <c r="U83">
        <v>6</v>
      </c>
      <c r="V83">
        <v>7</v>
      </c>
      <c r="W83">
        <v>8</v>
      </c>
      <c r="X83">
        <v>9</v>
      </c>
      <c r="AA83" s="72"/>
    </row>
    <row r="84" spans="1:27">
      <c r="B84" s="64">
        <v>0.14000000000000001</v>
      </c>
      <c r="C84" s="86">
        <f t="shared" si="15"/>
        <v>2.1500591108922835E-2</v>
      </c>
      <c r="D84" s="86">
        <f t="shared" si="16"/>
        <v>9.3225997730867288E-2</v>
      </c>
      <c r="E84" s="86">
        <f t="shared" si="17"/>
        <v>0.10974714702793635</v>
      </c>
      <c r="F84" s="86">
        <f t="shared" si="18"/>
        <v>5.7708882430623477E-2</v>
      </c>
      <c r="G84" s="86">
        <f t="shared" si="19"/>
        <v>5.2312777606533176E-2</v>
      </c>
      <c r="H84" s="86">
        <f t="shared" si="20"/>
        <v>1.8664219786945841E-2</v>
      </c>
      <c r="I84" s="86">
        <f t="shared" si="21"/>
        <v>3.9861349721400693E-2</v>
      </c>
      <c r="J84" s="86"/>
      <c r="K84" s="86">
        <f t="shared" si="22"/>
        <v>0</v>
      </c>
      <c r="L84" s="86">
        <f t="shared" si="23"/>
        <v>0</v>
      </c>
      <c r="M84" s="86">
        <f t="shared" si="24"/>
        <v>5.2312777606533176E-2</v>
      </c>
      <c r="N84" s="86">
        <f t="shared" si="25"/>
        <v>3.9861349721400693E-2</v>
      </c>
      <c r="P84" s="71">
        <v>0.06</v>
      </c>
      <c r="Q84">
        <v>3.3000000000000002E-2</v>
      </c>
      <c r="R84">
        <f t="shared" si="26"/>
        <v>-1.4814860601221125</v>
      </c>
      <c r="S84">
        <v>0.11</v>
      </c>
      <c r="T84">
        <f t="shared" si="27"/>
        <v>-0.95860731484177497</v>
      </c>
      <c r="AA84" s="72"/>
    </row>
    <row r="85" spans="1:27">
      <c r="B85" s="64">
        <v>0.15</v>
      </c>
      <c r="C85" s="86">
        <f t="shared" si="15"/>
        <v>1.2755940946099041E-2</v>
      </c>
      <c r="D85" s="86">
        <f t="shared" si="16"/>
        <v>6.5212935498189864E-2</v>
      </c>
      <c r="E85" s="86">
        <f t="shared" si="17"/>
        <v>9.9542435522856798E-2</v>
      </c>
      <c r="F85" s="86">
        <f t="shared" si="18"/>
        <v>5.2194035305961083E-2</v>
      </c>
      <c r="G85" s="86">
        <f t="shared" si="19"/>
        <v>4.8902380444744618E-2</v>
      </c>
      <c r="H85" s="86">
        <f t="shared" si="20"/>
        <v>1.7220023904612983E-2</v>
      </c>
      <c r="I85" s="86">
        <f t="shared" si="21"/>
        <v>2.2374327979378938E-2</v>
      </c>
      <c r="J85" s="86"/>
      <c r="K85" s="86">
        <f t="shared" si="22"/>
        <v>0</v>
      </c>
      <c r="L85" s="86">
        <f t="shared" si="23"/>
        <v>0</v>
      </c>
      <c r="M85" s="86">
        <f t="shared" si="24"/>
        <v>4.8902380444744618E-2</v>
      </c>
      <c r="N85" s="86">
        <f t="shared" si="25"/>
        <v>2.2374327979378938E-2</v>
      </c>
      <c r="P85" s="71">
        <v>7.0000000000000007E-2</v>
      </c>
      <c r="Q85">
        <v>0.03</v>
      </c>
      <c r="R85">
        <f t="shared" si="26"/>
        <v>-1.5228787452803376</v>
      </c>
      <c r="S85">
        <v>0.105</v>
      </c>
      <c r="T85">
        <f t="shared" si="27"/>
        <v>-0.97881070093006195</v>
      </c>
      <c r="AA85" s="72"/>
    </row>
    <row r="86" spans="1:27">
      <c r="B86" s="64">
        <v>0.16</v>
      </c>
      <c r="C86" s="86">
        <f t="shared" si="15"/>
        <v>6.6375162907652352E-3</v>
      </c>
      <c r="D86" s="86">
        <f t="shared" si="16"/>
        <v>4.1615139999265943E-2</v>
      </c>
      <c r="E86" s="86">
        <f t="shared" si="17"/>
        <v>9.0251529943903383E-2</v>
      </c>
      <c r="F86" s="86">
        <f t="shared" si="18"/>
        <v>4.7581855745363347E-2</v>
      </c>
      <c r="G86" s="86">
        <f t="shared" si="19"/>
        <v>4.403789179249961E-2</v>
      </c>
      <c r="H86" s="86">
        <f t="shared" si="20"/>
        <v>1.5390777508664891E-2</v>
      </c>
      <c r="I86" s="86">
        <f t="shared" si="21"/>
        <v>1.0768618711330035E-2</v>
      </c>
      <c r="J86" s="86"/>
      <c r="K86" s="86">
        <f t="shared" si="22"/>
        <v>0</v>
      </c>
      <c r="L86" s="86">
        <f t="shared" si="23"/>
        <v>0</v>
      </c>
      <c r="M86" s="86">
        <f t="shared" si="24"/>
        <v>4.403789179249961E-2</v>
      </c>
      <c r="N86" s="86">
        <f t="shared" si="25"/>
        <v>1.0768618711330035E-2</v>
      </c>
      <c r="P86" s="71">
        <v>0.08</v>
      </c>
      <c r="Q86">
        <v>2.7E-2</v>
      </c>
      <c r="R86">
        <f t="shared" si="26"/>
        <v>-1.5686362358410126</v>
      </c>
      <c r="S86">
        <v>0.10299999999999999</v>
      </c>
      <c r="T86">
        <f t="shared" si="27"/>
        <v>-0.98716277529482777</v>
      </c>
      <c r="AA86" s="72"/>
    </row>
    <row r="87" spans="1:27">
      <c r="B87" s="64">
        <v>0.17</v>
      </c>
      <c r="C87" s="86">
        <f t="shared" si="15"/>
        <v>2.9775584807417749E-3</v>
      </c>
      <c r="D87" s="86">
        <f t="shared" si="16"/>
        <v>2.3923919367019642E-2</v>
      </c>
      <c r="E87" s="86">
        <f t="shared" si="17"/>
        <v>8.1798295856807507E-2</v>
      </c>
      <c r="F87" s="86">
        <f t="shared" si="18"/>
        <v>4.3778739501846908E-2</v>
      </c>
      <c r="G87" s="86">
        <f t="shared" si="19"/>
        <v>3.7856683135835054E-2</v>
      </c>
      <c r="H87" s="86">
        <f t="shared" si="20"/>
        <v>1.3212710822819419E-2</v>
      </c>
      <c r="I87" s="86">
        <f t="shared" si="21"/>
        <v>4.3531737331985888E-3</v>
      </c>
      <c r="J87" s="86"/>
      <c r="K87" s="86">
        <f t="shared" si="22"/>
        <v>0</v>
      </c>
      <c r="L87" s="86">
        <f t="shared" si="23"/>
        <v>0</v>
      </c>
      <c r="M87" s="86">
        <f t="shared" si="24"/>
        <v>3.7856683135835054E-2</v>
      </c>
      <c r="N87" s="86">
        <f t="shared" si="25"/>
        <v>4.3531737331985888E-3</v>
      </c>
      <c r="P87" s="71">
        <v>0.09</v>
      </c>
      <c r="Q87">
        <v>2.5000000000000001E-2</v>
      </c>
      <c r="R87">
        <f t="shared" si="26"/>
        <v>-1.6020599913279623</v>
      </c>
      <c r="S87">
        <v>0.10100000000000001</v>
      </c>
      <c r="T87">
        <f t="shared" si="27"/>
        <v>-0.99567862621735737</v>
      </c>
      <c r="AA87" s="72"/>
    </row>
    <row r="88" spans="1:27">
      <c r="B88" s="64">
        <v>0.18</v>
      </c>
      <c r="C88" s="86">
        <f t="shared" si="15"/>
        <v>1.1318977587943908E-3</v>
      </c>
      <c r="D88" s="86">
        <f t="shared" si="16"/>
        <v>1.2235426711295953E-2</v>
      </c>
      <c r="E88" s="86">
        <f t="shared" si="17"/>
        <v>7.4112147479387921E-2</v>
      </c>
      <c r="F88" s="86">
        <f t="shared" si="18"/>
        <v>4.0704796887312489E-2</v>
      </c>
      <c r="G88" s="86">
        <f t="shared" si="19"/>
        <v>3.0783878765329585E-2</v>
      </c>
      <c r="H88" s="86">
        <f t="shared" si="20"/>
        <v>1.0802630463631797E-2</v>
      </c>
      <c r="I88" s="86">
        <f t="shared" si="21"/>
        <v>1.4478114269345114E-3</v>
      </c>
      <c r="J88" s="86"/>
      <c r="K88" s="86">
        <f t="shared" si="22"/>
        <v>0</v>
      </c>
      <c r="L88" s="86">
        <f t="shared" si="23"/>
        <v>0</v>
      </c>
      <c r="M88" s="86">
        <f t="shared" si="24"/>
        <v>3.0783878765329585E-2</v>
      </c>
      <c r="N88" s="86">
        <f t="shared" si="25"/>
        <v>1.4478114269345114E-3</v>
      </c>
      <c r="P88" s="71">
        <v>0.1</v>
      </c>
      <c r="Q88">
        <v>2.3E-2</v>
      </c>
      <c r="R88">
        <f t="shared" si="26"/>
        <v>-1.6382721639824072</v>
      </c>
      <c r="S88">
        <v>0.1</v>
      </c>
      <c r="T88">
        <f t="shared" si="27"/>
        <v>-1</v>
      </c>
      <c r="AA88" s="72"/>
    </row>
    <row r="89" spans="1:27">
      <c r="B89" s="64">
        <v>0.19</v>
      </c>
      <c r="C89" s="86">
        <f t="shared" si="15"/>
        <v>3.5840734395200044E-4</v>
      </c>
      <c r="D89" s="86">
        <f t="shared" si="16"/>
        <v>5.4973601506800706E-3</v>
      </c>
      <c r="E89" s="86">
        <f t="shared" si="17"/>
        <v>6.712774892292768E-2</v>
      </c>
      <c r="F89" s="86">
        <f t="shared" si="18"/>
        <v>3.829547661468341E-2</v>
      </c>
      <c r="G89" s="86">
        <f t="shared" si="19"/>
        <v>2.3464649965603167E-2</v>
      </c>
      <c r="H89" s="86">
        <f t="shared" si="20"/>
        <v>8.3401716693434092E-3</v>
      </c>
      <c r="I89" s="86">
        <f t="shared" si="21"/>
        <v>3.8806278844593674E-4</v>
      </c>
      <c r="J89" s="86"/>
      <c r="K89" s="86">
        <f t="shared" si="22"/>
        <v>0</v>
      </c>
      <c r="L89" s="86">
        <f t="shared" si="23"/>
        <v>0</v>
      </c>
      <c r="M89" s="86">
        <f t="shared" si="24"/>
        <v>2.3464649965603167E-2</v>
      </c>
      <c r="N89" s="86">
        <f t="shared" si="25"/>
        <v>3.8806278844593674E-4</v>
      </c>
      <c r="P89" s="71">
        <v>0.11</v>
      </c>
      <c r="Q89" s="7">
        <v>2.1999999999999999E-2</v>
      </c>
      <c r="R89">
        <f t="shared" si="26"/>
        <v>-1.6575773191777938</v>
      </c>
      <c r="S89">
        <v>9.5000000000000001E-2</v>
      </c>
      <c r="T89">
        <f t="shared" si="27"/>
        <v>-1.0222763947111522</v>
      </c>
      <c r="AA89" s="72"/>
    </row>
    <row r="90" spans="1:27">
      <c r="B90" s="64">
        <v>0.2</v>
      </c>
      <c r="C90" s="86">
        <f t="shared" si="15"/>
        <v>9.291803138236564E-5</v>
      </c>
      <c r="D90" s="86">
        <f t="shared" si="16"/>
        <v>2.1427919196332153E-3</v>
      </c>
      <c r="E90" s="86">
        <f t="shared" si="17"/>
        <v>6.0784717131491015E-2</v>
      </c>
      <c r="F90" s="86">
        <f t="shared" si="18"/>
        <v>3.6502953063578189E-2</v>
      </c>
      <c r="G90" s="86">
        <f t="shared" si="19"/>
        <v>1.661345655130218E-2</v>
      </c>
      <c r="H90" s="86">
        <f t="shared" si="20"/>
        <v>6.0287878287506582E-3</v>
      </c>
      <c r="I90" s="86">
        <f t="shared" si="21"/>
        <v>8.2110746408508485E-5</v>
      </c>
      <c r="J90" s="86"/>
      <c r="K90" s="86">
        <f t="shared" si="22"/>
        <v>0</v>
      </c>
      <c r="L90" s="86">
        <f t="shared" si="23"/>
        <v>0</v>
      </c>
      <c r="M90" s="86">
        <f t="shared" si="24"/>
        <v>1.661345655130218E-2</v>
      </c>
      <c r="N90" s="86">
        <f t="shared" si="25"/>
        <v>8.2110746408508485E-5</v>
      </c>
      <c r="P90" s="71">
        <v>0.12</v>
      </c>
      <c r="Q90" s="7">
        <v>2.1000000000000001E-2</v>
      </c>
      <c r="R90">
        <f t="shared" si="26"/>
        <v>-1.6777807052660807</v>
      </c>
      <c r="S90">
        <v>9.4E-2</v>
      </c>
      <c r="T90">
        <f t="shared" si="27"/>
        <v>-1.0268721464003014</v>
      </c>
      <c r="AA90" s="72"/>
    </row>
    <row r="91" spans="1:27">
      <c r="A91" s="88" t="s">
        <v>47</v>
      </c>
      <c r="B91" s="67">
        <f>+E43</f>
        <v>4.2857142857142858E-2</v>
      </c>
      <c r="C91" s="89"/>
      <c r="D91" s="89"/>
      <c r="E91" s="89"/>
      <c r="F91" s="89"/>
      <c r="G91" s="91">
        <f t="shared" si="19"/>
        <v>9.1677084707183235E-2</v>
      </c>
      <c r="H91" s="91">
        <f t="shared" si="20"/>
        <v>4.4085298942239871E-2</v>
      </c>
      <c r="I91" s="91">
        <f t="shared" si="21"/>
        <v>0.24277180691876538</v>
      </c>
      <c r="J91" s="89"/>
      <c r="K91" s="89"/>
      <c r="L91" s="89"/>
      <c r="M91" s="86">
        <f t="shared" si="24"/>
        <v>9.1677084707183235E-2</v>
      </c>
      <c r="N91" s="86">
        <f t="shared" si="25"/>
        <v>0.24277180691876538</v>
      </c>
      <c r="P91" s="71">
        <v>0.13</v>
      </c>
      <c r="Q91" s="7">
        <v>0.02</v>
      </c>
      <c r="R91">
        <f t="shared" si="26"/>
        <v>-1.6989700043360187</v>
      </c>
      <c r="S91">
        <v>9.2999999999999999E-2</v>
      </c>
      <c r="T91">
        <f t="shared" si="27"/>
        <v>-1.031517051446065</v>
      </c>
      <c r="AA91" s="72"/>
    </row>
    <row r="92" spans="1:27">
      <c r="P92" s="71">
        <v>0.14000000000000001</v>
      </c>
      <c r="Q92" s="7">
        <v>1.9E-2</v>
      </c>
      <c r="R92">
        <f t="shared" si="26"/>
        <v>-1.7212463990471711</v>
      </c>
      <c r="S92">
        <v>9.2999999999999999E-2</v>
      </c>
      <c r="T92">
        <f t="shared" si="27"/>
        <v>-1.031517051446065</v>
      </c>
      <c r="AA92" s="72"/>
    </row>
    <row r="93" spans="1:27">
      <c r="P93" s="71">
        <v>0.15</v>
      </c>
      <c r="Q93" s="7">
        <v>1.9E-2</v>
      </c>
      <c r="R93">
        <f t="shared" si="26"/>
        <v>-1.7212463990471711</v>
      </c>
      <c r="S93">
        <v>9.2999999999999999E-2</v>
      </c>
      <c r="T93">
        <f t="shared" si="27"/>
        <v>-1.031517051446065</v>
      </c>
      <c r="AA93" s="72"/>
    </row>
    <row r="94" spans="1:27">
      <c r="P94" s="71"/>
      <c r="AA94" s="72"/>
    </row>
    <row r="95" spans="1:27">
      <c r="P95" s="71"/>
      <c r="T95" t="s">
        <v>54</v>
      </c>
      <c r="V95" s="7" t="s">
        <v>84</v>
      </c>
      <c r="AA95" s="72"/>
    </row>
    <row r="96" spans="1:27">
      <c r="P96" s="71"/>
      <c r="S96" s="66"/>
      <c r="T96" s="66">
        <v>1</v>
      </c>
      <c r="U96" s="66">
        <v>0.6</v>
      </c>
      <c r="V96" s="67">
        <f>C69</f>
        <v>0.75</v>
      </c>
      <c r="AA96" s="72"/>
    </row>
    <row r="97" spans="16:27">
      <c r="P97" s="71"/>
      <c r="S97" s="65" t="s">
        <v>55</v>
      </c>
      <c r="T97" s="65">
        <v>-0.61890000000000001</v>
      </c>
      <c r="U97" s="65">
        <v>-0.20549999999999999</v>
      </c>
      <c r="V97" s="64">
        <f>IF(V$96&lt;0.6,$U97,IF(V$96&gt;1,$T97,($T97+($U97-$T97)/($U$96-$T$96)*(V$96-$T$96))))</f>
        <v>-0.36052500000000004</v>
      </c>
      <c r="AA97" s="72"/>
    </row>
    <row r="98" spans="16:27">
      <c r="P98" s="71"/>
      <c r="S98" s="65" t="s">
        <v>56</v>
      </c>
      <c r="T98" s="65">
        <v>-23.399000000000001</v>
      </c>
      <c r="U98" s="65">
        <v>-24.082000000000001</v>
      </c>
      <c r="V98" s="64">
        <f>IF(V$96&lt;0.6,$U98,IF(V$96&gt;1,$T98,($T98+($U98-$T98)/($U$96-$T$96)*(V$96-$T$96))))</f>
        <v>-23.825875</v>
      </c>
      <c r="AA98" s="72"/>
    </row>
    <row r="99" spans="16:27">
      <c r="P99" s="71"/>
      <c r="S99" s="65" t="s">
        <v>57</v>
      </c>
      <c r="T99" s="65">
        <v>183.63</v>
      </c>
      <c r="U99" s="65">
        <v>234.59</v>
      </c>
      <c r="V99" s="64">
        <f>IF(V$96&lt;0.6,$U99,IF(V$96&gt;1,$T99,($T99+($U99-$T99)/($U$96-$T$96)*(V$96-$T$96))))</f>
        <v>215.48</v>
      </c>
      <c r="AA99" s="72"/>
    </row>
    <row r="100" spans="16:27" ht="14" thickBot="1">
      <c r="P100" s="74"/>
      <c r="Q100" s="75"/>
      <c r="R100" s="75"/>
      <c r="S100" s="76" t="s">
        <v>58</v>
      </c>
      <c r="T100" s="76">
        <v>-515.28</v>
      </c>
      <c r="U100" s="76">
        <v>-745.44</v>
      </c>
      <c r="V100" s="77">
        <f>IF(V$96&lt;0.6,$U100,IF(V$96&gt;1,$T100,($T100+($U100-$T100)/($U$96-$T$96)*(V$96-$T$96))))</f>
        <v>-659.13</v>
      </c>
      <c r="AA100" s="72"/>
    </row>
    <row r="101" spans="16:27" ht="14" thickBot="1"/>
    <row r="102" spans="16:27">
      <c r="P102" s="68" t="s">
        <v>85</v>
      </c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70"/>
    </row>
    <row r="103" spans="16:27">
      <c r="P103" s="71"/>
      <c r="AA103" s="72"/>
    </row>
    <row r="104" spans="16:27">
      <c r="P104" s="73" t="s">
        <v>48</v>
      </c>
      <c r="Q104" t="s">
        <v>82</v>
      </c>
      <c r="R104" t="s">
        <v>53</v>
      </c>
      <c r="S104" t="s">
        <v>86</v>
      </c>
      <c r="T104" t="s">
        <v>87</v>
      </c>
      <c r="AA104" s="72"/>
    </row>
    <row r="105" spans="16:27">
      <c r="P105" s="71">
        <v>0.02</v>
      </c>
      <c r="Q105">
        <v>7.4999999999999997E-2</v>
      </c>
      <c r="R105">
        <f>LOG10(Q105)</f>
        <v>-1.1249387366082999</v>
      </c>
      <c r="S105">
        <v>0.13</v>
      </c>
      <c r="T105">
        <f>+LOG10(S105)</f>
        <v>-0.88605664769316317</v>
      </c>
      <c r="AA105" s="72"/>
    </row>
    <row r="106" spans="16:27">
      <c r="P106" s="71">
        <v>0.03</v>
      </c>
      <c r="Q106">
        <v>4.4999999999999998E-2</v>
      </c>
      <c r="R106">
        <f t="shared" ref="R106:R118" si="28">LOG10(Q106)</f>
        <v>-1.3467874862246563</v>
      </c>
      <c r="S106">
        <v>0.08</v>
      </c>
      <c r="T106">
        <f t="shared" ref="T106:T118" si="29">+LOG10(S106)</f>
        <v>-1.0969100130080565</v>
      </c>
      <c r="AA106" s="72"/>
    </row>
    <row r="107" spans="16:27">
      <c r="P107" s="71">
        <v>0.04</v>
      </c>
      <c r="Q107">
        <v>3.5000000000000003E-2</v>
      </c>
      <c r="R107">
        <f t="shared" si="28"/>
        <v>-1.4559319556497243</v>
      </c>
      <c r="S107">
        <v>5.5E-2</v>
      </c>
      <c r="T107">
        <f t="shared" si="29"/>
        <v>-1.2596373105057561</v>
      </c>
      <c r="AA107" s="72"/>
    </row>
    <row r="108" spans="16:27">
      <c r="P108" s="71">
        <v>0.05</v>
      </c>
      <c r="Q108">
        <v>0.03</v>
      </c>
      <c r="R108">
        <f t="shared" si="28"/>
        <v>-1.5228787452803376</v>
      </c>
      <c r="S108">
        <v>4.4999999999999998E-2</v>
      </c>
      <c r="T108">
        <f t="shared" si="29"/>
        <v>-1.3467874862246563</v>
      </c>
      <c r="U108">
        <v>6</v>
      </c>
      <c r="V108">
        <v>7</v>
      </c>
      <c r="W108">
        <v>8</v>
      </c>
      <c r="X108">
        <v>9</v>
      </c>
      <c r="AA108" s="72"/>
    </row>
    <row r="109" spans="16:27">
      <c r="P109" s="71">
        <v>0.06</v>
      </c>
      <c r="Q109">
        <v>2.7E-2</v>
      </c>
      <c r="R109">
        <f t="shared" si="28"/>
        <v>-1.5686362358410126</v>
      </c>
      <c r="S109">
        <v>3.7999999999999999E-2</v>
      </c>
      <c r="T109">
        <f t="shared" si="29"/>
        <v>-1.4202164033831899</v>
      </c>
      <c r="AA109" s="72"/>
    </row>
    <row r="110" spans="16:27">
      <c r="P110" s="71">
        <v>7.0000000000000007E-2</v>
      </c>
      <c r="Q110">
        <v>2.5499999999999998E-2</v>
      </c>
      <c r="R110">
        <f t="shared" si="28"/>
        <v>-1.5934598195660448</v>
      </c>
      <c r="S110">
        <v>3.2000000000000001E-2</v>
      </c>
      <c r="T110">
        <f t="shared" si="29"/>
        <v>-1.494850021680094</v>
      </c>
      <c r="AA110" s="72"/>
    </row>
    <row r="111" spans="16:27">
      <c r="P111" s="71">
        <v>0.08</v>
      </c>
      <c r="Q111">
        <v>2.4E-2</v>
      </c>
      <c r="R111">
        <f t="shared" si="28"/>
        <v>-1.6197887582883939</v>
      </c>
      <c r="S111">
        <v>2.8000000000000001E-2</v>
      </c>
      <c r="T111">
        <f t="shared" si="29"/>
        <v>-1.5528419686577808</v>
      </c>
      <c r="AA111" s="72"/>
    </row>
    <row r="112" spans="16:27">
      <c r="P112" s="71">
        <v>0.09</v>
      </c>
      <c r="Q112">
        <v>2.2700000000000001E-2</v>
      </c>
      <c r="R112">
        <f t="shared" si="28"/>
        <v>-1.6439741428068773</v>
      </c>
      <c r="S112">
        <v>2.5999999999999999E-2</v>
      </c>
      <c r="T112">
        <f t="shared" si="29"/>
        <v>-1.585026652029182</v>
      </c>
      <c r="AA112" s="72"/>
    </row>
    <row r="113" spans="16:27">
      <c r="P113" s="71">
        <v>0.1</v>
      </c>
      <c r="Q113">
        <v>2.1499999999999998E-2</v>
      </c>
      <c r="R113">
        <f t="shared" si="28"/>
        <v>-1.6675615400843946</v>
      </c>
      <c r="S113">
        <v>2.4E-2</v>
      </c>
      <c r="T113">
        <f t="shared" si="29"/>
        <v>-1.6197887582883939</v>
      </c>
      <c r="AA113" s="72"/>
    </row>
    <row r="114" spans="16:27">
      <c r="P114" s="71">
        <v>0.11</v>
      </c>
      <c r="Q114" s="7">
        <v>2.1000000000000001E-2</v>
      </c>
      <c r="R114">
        <f t="shared" si="28"/>
        <v>-1.6777807052660807</v>
      </c>
      <c r="S114">
        <v>2.1000000000000001E-2</v>
      </c>
      <c r="T114">
        <f t="shared" si="29"/>
        <v>-1.6777807052660807</v>
      </c>
      <c r="AA114" s="72"/>
    </row>
    <row r="115" spans="16:27">
      <c r="P115" s="71">
        <v>0.12</v>
      </c>
      <c r="Q115" s="7">
        <v>1.9800000000000002E-2</v>
      </c>
      <c r="R115">
        <f t="shared" si="28"/>
        <v>-1.7033348097384688</v>
      </c>
      <c r="S115">
        <v>1.9800000000000002E-2</v>
      </c>
      <c r="T115">
        <f t="shared" si="29"/>
        <v>-1.7033348097384688</v>
      </c>
      <c r="AA115" s="72"/>
    </row>
    <row r="116" spans="16:27">
      <c r="P116" s="71">
        <v>0.13</v>
      </c>
      <c r="Q116" s="7">
        <v>1.8800000000000001E-2</v>
      </c>
      <c r="R116">
        <f t="shared" si="28"/>
        <v>-1.7258421507363202</v>
      </c>
      <c r="S116">
        <v>1.8800000000000001E-2</v>
      </c>
      <c r="T116">
        <f t="shared" si="29"/>
        <v>-1.7258421507363202</v>
      </c>
      <c r="AA116" s="72"/>
    </row>
    <row r="117" spans="16:27">
      <c r="P117" s="71">
        <v>0.14000000000000001</v>
      </c>
      <c r="Q117" s="7">
        <v>1.8499999999999999E-2</v>
      </c>
      <c r="R117">
        <f t="shared" si="28"/>
        <v>-1.7328282715969863</v>
      </c>
      <c r="S117">
        <v>1.8499999999999999E-2</v>
      </c>
      <c r="T117">
        <f t="shared" si="29"/>
        <v>-1.7328282715969863</v>
      </c>
      <c r="AA117" s="72"/>
    </row>
    <row r="118" spans="16:27">
      <c r="P118" s="71">
        <v>0.15</v>
      </c>
      <c r="Q118" s="7">
        <v>1.7999999999999999E-2</v>
      </c>
      <c r="R118">
        <f t="shared" si="28"/>
        <v>-1.744727494896694</v>
      </c>
      <c r="S118">
        <v>1.7999999999999999E-2</v>
      </c>
      <c r="T118">
        <f t="shared" si="29"/>
        <v>-1.744727494896694</v>
      </c>
      <c r="AA118" s="72"/>
    </row>
    <row r="119" spans="16:27">
      <c r="P119" s="71"/>
      <c r="AA119" s="72"/>
    </row>
    <row r="120" spans="16:27">
      <c r="P120" s="71"/>
      <c r="T120" t="s">
        <v>54</v>
      </c>
      <c r="V120" s="7" t="s">
        <v>84</v>
      </c>
      <c r="AA120" s="72"/>
    </row>
    <row r="121" spans="16:27">
      <c r="P121" s="71"/>
      <c r="S121" s="66"/>
      <c r="T121" s="66">
        <v>1</v>
      </c>
      <c r="U121" s="66">
        <v>0.5</v>
      </c>
      <c r="V121" s="67">
        <f>C69</f>
        <v>0.75</v>
      </c>
      <c r="AA121" s="72"/>
    </row>
    <row r="122" spans="16:27">
      <c r="P122" s="71"/>
      <c r="S122" s="65" t="s">
        <v>55</v>
      </c>
      <c r="T122" s="65">
        <v>-0.76</v>
      </c>
      <c r="U122" s="65">
        <v>-0.47389999999999999</v>
      </c>
      <c r="V122" s="64">
        <f>IF(V$121&lt;0.6,$U122,IF(V$121&gt;1,$T122,($T122+($U122-$T122)/($U$121-$T$121)*(V$121-$T$121))))</f>
        <v>-0.61695</v>
      </c>
      <c r="AA122" s="72"/>
    </row>
    <row r="123" spans="16:27">
      <c r="P123" s="71"/>
      <c r="S123" s="65" t="s">
        <v>56</v>
      </c>
      <c r="T123" s="65">
        <v>-24.495999999999999</v>
      </c>
      <c r="U123" s="65">
        <v>-25.577000000000002</v>
      </c>
      <c r="V123" s="64">
        <f>IF(V$121&lt;0.6,$U123,IF(V$121&gt;1,$T123,($T123+($U123-$T123)/($U$121-$T$121)*(V$121-$T$121))))</f>
        <v>-25.0365</v>
      </c>
      <c r="AA123" s="72"/>
    </row>
    <row r="124" spans="16:27">
      <c r="P124" s="71"/>
      <c r="S124" s="65" t="s">
        <v>57</v>
      </c>
      <c r="T124" s="65">
        <v>225.15</v>
      </c>
      <c r="U124" s="65">
        <v>191.63</v>
      </c>
      <c r="V124" s="64">
        <f>IF(V$121&lt;0.6,$U124,IF(V$121&gt;1,$T124,($T124+($U124-$T124)/($U$121-$T$121)*(V$121-$T$121))))</f>
        <v>208.39</v>
      </c>
      <c r="AA124" s="72"/>
    </row>
    <row r="125" spans="16:27" ht="14" thickBot="1">
      <c r="P125" s="74"/>
      <c r="Q125" s="75"/>
      <c r="R125" s="75"/>
      <c r="S125" s="76" t="s">
        <v>58</v>
      </c>
      <c r="T125" s="76">
        <v>-710.67</v>
      </c>
      <c r="U125" s="76">
        <v>-522.11</v>
      </c>
      <c r="V125" s="77">
        <f>IF(V$121&lt;0.6,$U125,IF(V$121&gt;1,$T125,($T125+($U125-$T125)/($U$121-$T$121)*(V$121-$T$121))))</f>
        <v>-616.39</v>
      </c>
      <c r="AA125" s="72"/>
    </row>
    <row r="126" spans="16:27" ht="14" thickBot="1"/>
    <row r="127" spans="16:27">
      <c r="P127" s="182" t="s">
        <v>88</v>
      </c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  <c r="AA127" s="184"/>
    </row>
    <row r="128" spans="16:27">
      <c r="P128" s="71"/>
      <c r="AA128" s="72"/>
    </row>
    <row r="129" spans="16:27">
      <c r="P129" s="73" t="s">
        <v>48</v>
      </c>
      <c r="Q129" s="7" t="s">
        <v>52</v>
      </c>
      <c r="R129" t="s">
        <v>53</v>
      </c>
      <c r="S129" s="7"/>
      <c r="AA129" s="72"/>
    </row>
    <row r="130" spans="16:27">
      <c r="P130" s="71">
        <v>1.2E-2</v>
      </c>
      <c r="Q130">
        <v>0.7</v>
      </c>
      <c r="R130">
        <f t="shared" ref="R130:R138" si="30">LOG10(Q130)</f>
        <v>-0.15490195998574319</v>
      </c>
      <c r="AA130" s="72"/>
    </row>
    <row r="131" spans="16:27">
      <c r="P131" s="71">
        <v>1.4999999999999999E-2</v>
      </c>
      <c r="Q131">
        <v>0.56999999999999995</v>
      </c>
      <c r="R131">
        <f t="shared" si="30"/>
        <v>-0.24412514432750865</v>
      </c>
      <c r="AA131" s="72"/>
    </row>
    <row r="132" spans="16:27">
      <c r="P132" s="71">
        <v>0.02</v>
      </c>
      <c r="Q132">
        <v>0.45</v>
      </c>
      <c r="R132">
        <f t="shared" si="30"/>
        <v>-0.34678748622465633</v>
      </c>
      <c r="AA132" s="72"/>
    </row>
    <row r="133" spans="16:27">
      <c r="P133" s="71">
        <v>0.03</v>
      </c>
      <c r="Q133">
        <v>0.32</v>
      </c>
      <c r="R133">
        <f t="shared" si="30"/>
        <v>-0.49485002168009401</v>
      </c>
      <c r="U133">
        <v>6</v>
      </c>
      <c r="V133">
        <v>7</v>
      </c>
      <c r="W133">
        <v>8</v>
      </c>
      <c r="X133">
        <v>9</v>
      </c>
      <c r="AA133" s="72"/>
    </row>
    <row r="134" spans="16:27">
      <c r="P134" s="71">
        <v>0.04</v>
      </c>
      <c r="Q134">
        <v>0.25</v>
      </c>
      <c r="R134">
        <f t="shared" si="30"/>
        <v>-0.6020599913279624</v>
      </c>
      <c r="AA134" s="72"/>
    </row>
    <row r="135" spans="16:27">
      <c r="P135" s="71">
        <v>0.05</v>
      </c>
      <c r="Q135">
        <v>0.22</v>
      </c>
      <c r="R135">
        <f t="shared" si="30"/>
        <v>-0.65757731917779372</v>
      </c>
      <c r="AA135" s="72"/>
    </row>
    <row r="136" spans="16:27">
      <c r="P136" s="71">
        <v>0.06</v>
      </c>
      <c r="Q136">
        <v>0.2</v>
      </c>
      <c r="R136">
        <f t="shared" si="30"/>
        <v>-0.69897000433601875</v>
      </c>
      <c r="AA136" s="72"/>
    </row>
    <row r="137" spans="16:27">
      <c r="P137" s="71">
        <v>7.0000000000000007E-2</v>
      </c>
      <c r="Q137">
        <v>0.18</v>
      </c>
      <c r="R137">
        <f t="shared" si="30"/>
        <v>-0.74472749489669399</v>
      </c>
      <c r="AA137" s="72"/>
    </row>
    <row r="138" spans="16:27">
      <c r="P138" s="71">
        <v>0.08</v>
      </c>
      <c r="Q138">
        <v>0.16</v>
      </c>
      <c r="R138">
        <f t="shared" si="30"/>
        <v>-0.79588001734407521</v>
      </c>
      <c r="AA138" s="72"/>
    </row>
    <row r="139" spans="16:27">
      <c r="P139" s="71">
        <v>0.09</v>
      </c>
      <c r="Q139">
        <v>0.14000000000000001</v>
      </c>
      <c r="R139">
        <f t="shared" ref="R139:R141" si="31">LOG10(Q139)</f>
        <v>-0.85387196432176193</v>
      </c>
      <c r="AA139" s="72"/>
    </row>
    <row r="140" spans="16:27">
      <c r="P140" s="71">
        <v>0.1</v>
      </c>
      <c r="Q140">
        <v>0.125</v>
      </c>
      <c r="R140">
        <f t="shared" si="31"/>
        <v>-0.90308998699194354</v>
      </c>
      <c r="AA140" s="72"/>
    </row>
    <row r="141" spans="16:27">
      <c r="P141" s="71">
        <v>0.11</v>
      </c>
      <c r="Q141">
        <v>0.115</v>
      </c>
      <c r="R141">
        <f t="shared" si="31"/>
        <v>-0.9393021596463883</v>
      </c>
      <c r="AA141" s="72"/>
    </row>
    <row r="142" spans="16:27">
      <c r="P142" s="71"/>
      <c r="Q142" s="7"/>
      <c r="AA142" s="72"/>
    </row>
    <row r="143" spans="16:27">
      <c r="P143" s="71"/>
      <c r="Q143" s="7"/>
      <c r="AA143" s="72"/>
    </row>
    <row r="144" spans="16:27">
      <c r="P144" s="71"/>
      <c r="AA144" s="72"/>
    </row>
    <row r="145" spans="16:27">
      <c r="P145" s="71"/>
      <c r="T145" t="s">
        <v>54</v>
      </c>
      <c r="AA145" s="72"/>
    </row>
    <row r="146" spans="16:27">
      <c r="P146" s="71"/>
      <c r="S146" s="66"/>
      <c r="T146" s="66">
        <v>1</v>
      </c>
      <c r="AA146" s="72"/>
    </row>
    <row r="147" spans="16:27">
      <c r="P147" s="71"/>
      <c r="S147" s="65" t="s">
        <v>55</v>
      </c>
      <c r="T147" s="65">
        <v>0.12559999999999999</v>
      </c>
      <c r="AA147" s="72"/>
    </row>
    <row r="148" spans="16:27">
      <c r="P148" s="71"/>
      <c r="S148" s="65" t="s">
        <v>56</v>
      </c>
      <c r="T148" s="65">
        <v>-29.068000000000001</v>
      </c>
      <c r="AA148" s="72"/>
    </row>
    <row r="149" spans="16:27">
      <c r="P149" s="71"/>
      <c r="S149" s="65" t="s">
        <v>57</v>
      </c>
      <c r="T149" s="65">
        <v>339.26</v>
      </c>
      <c r="AA149" s="72"/>
    </row>
    <row r="150" spans="16:27" ht="14" thickBot="1">
      <c r="P150" s="74"/>
      <c r="Q150" s="75"/>
      <c r="R150" s="75"/>
      <c r="S150" s="76" t="s">
        <v>58</v>
      </c>
      <c r="T150" s="76">
        <v>-1496</v>
      </c>
      <c r="U150" s="75"/>
      <c r="V150" s="75"/>
      <c r="W150" s="75"/>
      <c r="X150" s="75"/>
      <c r="Y150" s="75"/>
      <c r="Z150" s="75"/>
      <c r="AA150" s="80"/>
    </row>
  </sheetData>
  <mergeCells count="4">
    <mergeCell ref="P127:AA127"/>
    <mergeCell ref="P52:AA52"/>
    <mergeCell ref="P2:AA2"/>
    <mergeCell ref="P27:AA2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52DFE-242D-4FCC-84C2-9137FCE22458}">
  <sheetPr codeName="Sheet4"/>
  <dimension ref="B1:K35"/>
  <sheetViews>
    <sheetView zoomScale="130" zoomScaleNormal="130" workbookViewId="0">
      <selection activeCell="B2" sqref="B2"/>
    </sheetView>
  </sheetViews>
  <sheetFormatPr baseColWidth="10" defaultColWidth="8.83203125" defaultRowHeight="13"/>
  <cols>
    <col min="2" max="2" width="17.33203125" customWidth="1"/>
    <col min="3" max="3" width="21.1640625" bestFit="1" customWidth="1"/>
    <col min="4" max="4" width="20.33203125" customWidth="1"/>
    <col min="5" max="5" width="23.5" bestFit="1" customWidth="1"/>
    <col min="6" max="6" width="23.5" customWidth="1"/>
    <col min="7" max="7" width="18.33203125" customWidth="1"/>
    <col min="8" max="8" width="18.83203125" customWidth="1"/>
    <col min="10" max="10" width="12.5" customWidth="1"/>
    <col min="11" max="11" width="16.83203125" customWidth="1"/>
  </cols>
  <sheetData>
    <row r="1" spans="2:11">
      <c r="I1" s="7"/>
      <c r="J1" s="7"/>
      <c r="K1" s="7"/>
    </row>
    <row r="2" spans="2:11">
      <c r="B2" t="s">
        <v>89</v>
      </c>
    </row>
    <row r="4" spans="2:11">
      <c r="B4" t="s">
        <v>14</v>
      </c>
      <c r="C4" s="7" t="s">
        <v>90</v>
      </c>
    </row>
    <row r="5" spans="2:11">
      <c r="B5" t="s">
        <v>91</v>
      </c>
      <c r="C5" s="7" t="s">
        <v>71</v>
      </c>
    </row>
    <row r="6" spans="2:11">
      <c r="B6" t="s">
        <v>15</v>
      </c>
      <c r="C6" s="7" t="s">
        <v>23</v>
      </c>
    </row>
    <row r="10" spans="2:11">
      <c r="C10" s="7"/>
    </row>
    <row r="11" spans="2:11">
      <c r="C11" s="7"/>
    </row>
    <row r="12" spans="2:11">
      <c r="C12" s="7"/>
    </row>
    <row r="28" spans="6:6">
      <c r="F28" s="7"/>
    </row>
    <row r="29" spans="6:6">
      <c r="F29" s="7"/>
    </row>
    <row r="30" spans="6:6">
      <c r="F30" s="7"/>
    </row>
    <row r="31" spans="6:6">
      <c r="F31" s="7"/>
    </row>
    <row r="32" spans="6:6">
      <c r="F32" s="7"/>
    </row>
    <row r="33" spans="6:6">
      <c r="F33" s="7"/>
    </row>
    <row r="34" spans="6:6">
      <c r="F34" s="7"/>
    </row>
    <row r="35" spans="6:6">
      <c r="F35" s="7"/>
    </row>
  </sheetData>
  <pageMargins left="0.75" right="0.75" top="1" bottom="1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BAAFBA9120CE429C362AC0CDD3A2EE" ma:contentTypeVersion="15" ma:contentTypeDescription="Create a new document." ma:contentTypeScope="" ma:versionID="162bc33ff351e347a218e02f6772a4af">
  <xsd:schema xmlns:xsd="http://www.w3.org/2001/XMLSchema" xmlns:xs="http://www.w3.org/2001/XMLSchema" xmlns:p="http://schemas.microsoft.com/office/2006/metadata/properties" xmlns:ns2="f16ae08e-32aa-43c4-955b-813e13c9303e" xmlns:ns3="2710bc8b-17c9-4e36-a567-5a8748d28b44" targetNamespace="http://schemas.microsoft.com/office/2006/metadata/properties" ma:root="true" ma:fieldsID="56d9c72a5eb631d15e045094bfd58eec" ns2:_="" ns3:_="">
    <xsd:import namespace="f16ae08e-32aa-43c4-955b-813e13c9303e"/>
    <xsd:import namespace="2710bc8b-17c9-4e36-a567-5a8748d28b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6ae08e-32aa-43c4-955b-813e13c930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1ea6b8c-9185-4768-8df4-ca00a09387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10bc8b-17c9-4e36-a567-5a8748d28b4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d1e832ac-c501-4390-89f9-651240d47afe}" ma:internalName="TaxCatchAll" ma:showField="CatchAllData" ma:web="2710bc8b-17c9-4e36-a567-5a8748d28b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710bc8b-17c9-4e36-a567-5a8748d28b44" xsi:nil="true"/>
    <lcf76f155ced4ddcb4097134ff3c332f xmlns="f16ae08e-32aa-43c4-955b-813e13c9303e">
      <Terms xmlns="http://schemas.microsoft.com/office/infopath/2007/PartnerControls"/>
    </lcf76f155ced4ddcb4097134ff3c332f>
    <SharedWithUsers xmlns="2710bc8b-17c9-4e36-a567-5a8748d28b44">
      <UserInfo>
        <DisplayName>Luigi DeFranco</DisplayName>
        <AccountId>17</AccountId>
        <AccountType/>
      </UserInfo>
      <UserInfo>
        <DisplayName>Steve Cusanza</DisplayName>
        <AccountId>78</AccountId>
        <AccountType/>
      </UserInfo>
      <UserInfo>
        <DisplayName>Nicolo Vaccarezza</DisplayName>
        <AccountId>214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B7F9FE4C-0E58-4DC3-9A85-4A75EE9983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6ae08e-32aa-43c4-955b-813e13c9303e"/>
    <ds:schemaRef ds:uri="2710bc8b-17c9-4e36-a567-5a8748d28b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38C65AC-3B22-428A-8782-54C85D6EF4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098DE5-6FF4-4227-B3D4-609AB9ECB213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docMetadata/LabelInfo.xml><?xml version="1.0" encoding="utf-8"?>
<clbl:labelList xmlns:clbl="http://schemas.microsoft.com/office/2020/mipLabelMetadata">
  <clbl:label id="{ac69433e-9fbc-4566-9c7b-2629ed8b780f}" enabled="0" method="" siteId="{ac69433e-9fbc-4566-9c7b-2629ed8b78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5</vt:i4>
      </vt:variant>
    </vt:vector>
  </HeadingPairs>
  <TitlesOfParts>
    <vt:vector size="10" baseType="lpstr">
      <vt:lpstr>Cover</vt:lpstr>
      <vt:lpstr>Input_Output</vt:lpstr>
      <vt:lpstr>Metric_Conversion</vt:lpstr>
      <vt:lpstr>Gulich-Fig.10.6</vt:lpstr>
      <vt:lpstr>setup</vt:lpstr>
      <vt:lpstr>Cover!Area_stampa</vt:lpstr>
      <vt:lpstr>Input_Output!Area_stampa</vt:lpstr>
      <vt:lpstr>Metric_Conversion!Area_stampa</vt:lpstr>
      <vt:lpstr>Input_Output!Suction_Diameter</vt:lpstr>
      <vt:lpstr>Metric_Conversion!Suction_Diameter</vt:lpstr>
    </vt:vector>
  </TitlesOfParts>
  <Manager/>
  <Company>Sulzer Pumps (US)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Luigi DeFranco</dc:creator>
  <cp:keywords/>
  <dc:description/>
  <cp:lastModifiedBy>Socialimpact Srls Maurizio Capitanio</cp:lastModifiedBy>
  <cp:revision/>
  <dcterms:created xsi:type="dcterms:W3CDTF">2005-04-18T17:50:19Z</dcterms:created>
  <dcterms:modified xsi:type="dcterms:W3CDTF">2025-12-18T13:53:33Z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0x01010092BAAFBA9120CE429C362AC0CDD3A2EE</vt:lpwstr>
  </property>
  <property fmtid="{D5CDD505-2E9C-101B-9397-08002B2CF9AE}" pid="3" name="MediaServiceImageTags">
    <vt:lpwstr/>
  </property>
</Properties>
</file>