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codeName="Questa_cartella_di_lavoro" defaultThemeVersion="124226"/>
  <xr:revisionPtr revIDLastSave="0" documentId="13_ncr:1_{E16F5556-0477-4E1B-A1F9-344711A5B412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content" sheetId="11" r:id="rId1"/>
    <sheet name="Example" sheetId="13" r:id="rId2"/>
    <sheet name="Bolt_01" sheetId="1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bga2">#REF!</definedName>
    <definedName name="a">#REF!</definedName>
    <definedName name="Ac">#REF!</definedName>
    <definedName name="adsv">#REF!</definedName>
    <definedName name="_xlnm.Print_Area" localSheetId="0">content!$A$1:$AD$47</definedName>
    <definedName name="asdfg">[1]DAF!$F$17:$F$20</definedName>
    <definedName name="bga">#REF!</definedName>
    <definedName name="bp">#REF!</definedName>
    <definedName name="CK">#REF!</definedName>
    <definedName name="d">#REF!</definedName>
    <definedName name="das">#REF!</definedName>
    <definedName name="ddd">'[2]From RPI'!$AB$90</definedName>
    <definedName name="Doc_type">#REF!</definedName>
    <definedName name="DOCID">[3]listes!$C$2:$C$150</definedName>
    <definedName name="dpt_code">#REF!</definedName>
    <definedName name="EQPT_LIST_UNIT_31">#REF!</definedName>
    <definedName name="FACTORS">#REF!</definedName>
    <definedName name="fm">#REF!</definedName>
    <definedName name="Impeller_Eye_Area" localSheetId="0">#REF!</definedName>
    <definedName name="Impeller_Eye_Area">#REF!</definedName>
    <definedName name="Impeller_Eye_Diameter" localSheetId="0">#REF!</definedName>
    <definedName name="Impeller_Eye_Diameter">#REF!</definedName>
    <definedName name="Impeller_Hub_Diameter" localSheetId="0">#REF!</definedName>
    <definedName name="Impeller_Hub_Diameter">#REF!</definedName>
    <definedName name="Impeller_Inlet_Diameter" localSheetId="0">#REF!</definedName>
    <definedName name="Impeller_Inlet_Diameter">#REF!</definedName>
    <definedName name="INT_DIAM">#REF!</definedName>
    <definedName name="kl">#REF!</definedName>
    <definedName name="KR">#REF!</definedName>
    <definedName name="Language">#REF!</definedName>
    <definedName name="Larghezza">#REF!</definedName>
    <definedName name="LENGHTS">#REF!</definedName>
    <definedName name="LINE_LIST_UNIT_31">#REF!</definedName>
    <definedName name="Number">#REF!</definedName>
    <definedName name="pipesize">#REF!</definedName>
    <definedName name="Portata">#REF!</definedName>
    <definedName name="portatacalcolo">'[4]Basi di progetto'!$D$16</definedName>
    <definedName name="portataminima">'[4]Basi di progetto'!$D$10</definedName>
    <definedName name="portatanera">'[4]Basi di progetto'!$D$14</definedName>
    <definedName name="portcalcolo">#REF!</definedName>
    <definedName name="portnera">#REF!</definedName>
    <definedName name="Print_Area_MI">#REF!</definedName>
    <definedName name="prtpioggia">'[4]Basi di progetto'!$D$12</definedName>
    <definedName name="pump">#REF!</definedName>
    <definedName name="PUMPCALC">'[5]PUMP CALCULATION'!$J$4</definedName>
    <definedName name="PUMPDATA">'[5]PUMP CALCULATION'!$J$12</definedName>
    <definedName name="q">#REF!</definedName>
    <definedName name="references">#REF!</definedName>
    <definedName name="rev">#REF!</definedName>
    <definedName name="RevTable">#REF!</definedName>
    <definedName name="Rgas">#REF!</definedName>
    <definedName name="rhokl">#REF!</definedName>
    <definedName name="ROUGHNESS">#REF!</definedName>
    <definedName name="s">'[2]From RPI'!$AB$88</definedName>
    <definedName name="solub">#REF!</definedName>
    <definedName name="Suction_Diameter" localSheetId="0">#REF!</definedName>
    <definedName name="Suction_Diameter">#REF!</definedName>
    <definedName name="Sup">#REF!</definedName>
    <definedName name="title">#REF!</definedName>
    <definedName name="uh">#REF!</definedName>
    <definedName name="UNIT">[3]listes!$D$2:$D$150</definedName>
    <definedName name="Unit_number">#REF!</definedName>
    <definedName name="units">#REF!</definedName>
    <definedName name="velocita_di_progetto">#REF!</definedName>
    <definedName name="velocità_di_progetto">#REF!</definedName>
    <definedName name="velocitamassima">#REF!</definedName>
    <definedName name="velocitaminima">#REF!</definedName>
    <definedName name="VH">#REF!</definedName>
    <definedName name="vt">#REF!</definedName>
    <definedName name="WC">[3]listes!$A$2:$A$25</definedName>
    <definedName name="work_cent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3" l="1"/>
  <c r="B24" i="13"/>
  <c r="B23" i="13"/>
  <c r="B10" i="1"/>
  <c r="B24" i="1"/>
  <c r="B23" i="1"/>
  <c r="B7" i="1"/>
  <c r="B32" i="1"/>
  <c r="B32" i="13"/>
  <c r="C36" i="13"/>
  <c r="B7" i="13"/>
  <c r="B27" i="13" l="1"/>
  <c r="B33" i="13" s="1"/>
  <c r="B26" i="13"/>
  <c r="B15" i="13"/>
  <c r="B8" i="13"/>
  <c r="B27" i="1"/>
  <c r="B33" i="1" s="1"/>
  <c r="B26" i="1"/>
  <c r="C36" i="1"/>
  <c r="B15" i="1"/>
  <c r="B30" i="13" l="1"/>
  <c r="C38" i="13" l="1"/>
  <c r="C37" i="13"/>
  <c r="B31" i="13"/>
  <c r="B8" i="1" l="1"/>
  <c r="B30" i="1" l="1"/>
  <c r="B31" i="1" l="1"/>
  <c r="C37" i="1"/>
  <c r="C38" i="1"/>
</calcChain>
</file>

<file path=xl/sharedStrings.xml><?xml version="1.0" encoding="utf-8"?>
<sst xmlns="http://schemas.openxmlformats.org/spreadsheetml/2006/main" count="232" uniqueCount="105">
  <si>
    <t>First issue</t>
  </si>
  <si>
    <t>R&amp;D - L. Francesconi</t>
  </si>
  <si>
    <t>QA/HSEM C.Delli Quadri - M.Tremolada</t>
  </si>
  <si>
    <t>R&amp;D Manager / M.Borghetti</t>
  </si>
  <si>
    <t>Rev.</t>
  </si>
  <si>
    <t>Date</t>
  </si>
  <si>
    <t>Description</t>
  </si>
  <si>
    <t>Prepared</t>
  </si>
  <si>
    <t>Checked</t>
  </si>
  <si>
    <t>Approved</t>
  </si>
  <si>
    <t>Bolt, nut &amp; washer</t>
  </si>
  <si>
    <t>Legend</t>
  </si>
  <si>
    <t>Example</t>
  </si>
  <si>
    <r>
      <t>σ</t>
    </r>
    <r>
      <rPr>
        <b/>
        <vertAlign val="subscript"/>
        <sz val="11"/>
        <color theme="0"/>
        <rFont val="Calibri"/>
        <family val="2"/>
        <scheme val="minor"/>
      </rPr>
      <t>yb</t>
    </r>
    <r>
      <rPr>
        <b/>
        <sz val="11"/>
        <color theme="0"/>
        <rFont val="Calibri"/>
        <family val="2"/>
        <scheme val="minor"/>
      </rPr>
      <t xml:space="preserve"> [MPa]</t>
    </r>
  </si>
  <si>
    <t>(limit yield stress of bolt)</t>
  </si>
  <si>
    <t>input data</t>
  </si>
  <si>
    <r>
      <t>d</t>
    </r>
    <r>
      <rPr>
        <b/>
        <vertAlign val="subscript"/>
        <sz val="11"/>
        <color theme="0"/>
        <rFont val="Calibri"/>
        <family val="2"/>
        <scheme val="minor"/>
      </rPr>
      <t>n</t>
    </r>
    <r>
      <rPr>
        <b/>
        <sz val="11"/>
        <color theme="0"/>
        <rFont val="Calibri"/>
        <family val="2"/>
        <scheme val="minor"/>
      </rPr>
      <t xml:space="preserve"> [mm]</t>
    </r>
  </si>
  <si>
    <t>(nominal diameter)</t>
  </si>
  <si>
    <t>descriptor</t>
  </si>
  <si>
    <t>p [mm]</t>
  </si>
  <si>
    <t>(pitch)</t>
  </si>
  <si>
    <t>calculated</t>
  </si>
  <si>
    <r>
      <t>d</t>
    </r>
    <r>
      <rPr>
        <b/>
        <vertAlign val="subscript"/>
        <sz val="11"/>
        <color theme="0"/>
        <rFont val="Calibri"/>
        <family val="2"/>
        <scheme val="minor"/>
      </rPr>
      <t>m</t>
    </r>
    <r>
      <rPr>
        <b/>
        <sz val="11"/>
        <color theme="0"/>
        <rFont val="Calibri"/>
        <family val="2"/>
        <scheme val="minor"/>
      </rPr>
      <t xml:space="preserve"> [mm]</t>
    </r>
  </si>
  <si>
    <t>(mean diameter)</t>
  </si>
  <si>
    <t>annotation</t>
  </si>
  <si>
    <r>
      <t>d</t>
    </r>
    <r>
      <rPr>
        <b/>
        <vertAlign val="subscript"/>
        <sz val="11"/>
        <color theme="0"/>
        <rFont val="Calibri"/>
        <family val="2"/>
        <scheme val="minor"/>
      </rPr>
      <t>root</t>
    </r>
    <r>
      <rPr>
        <b/>
        <sz val="11"/>
        <color theme="0"/>
        <rFont val="Calibri"/>
        <family val="2"/>
        <scheme val="minor"/>
      </rPr>
      <t xml:space="preserve"> [mm]</t>
    </r>
  </si>
  <si>
    <t>(root diameter)</t>
  </si>
  <si>
    <r>
      <t>d</t>
    </r>
    <r>
      <rPr>
        <b/>
        <vertAlign val="subscript"/>
        <sz val="11"/>
        <color theme="0"/>
        <rFont val="Calibri"/>
        <family val="2"/>
        <scheme val="minor"/>
      </rPr>
      <t>un</t>
    </r>
    <r>
      <rPr>
        <b/>
        <sz val="11"/>
        <color theme="0"/>
        <rFont val="Calibri"/>
        <family val="2"/>
        <scheme val="minor"/>
      </rPr>
      <t xml:space="preserve"> [mm]</t>
    </r>
  </si>
  <si>
    <t>(unloaded diameter)</t>
  </si>
  <si>
    <t>Recommended Friction coefficient</t>
  </si>
  <si>
    <r>
      <t>d</t>
    </r>
    <r>
      <rPr>
        <b/>
        <vertAlign val="subscript"/>
        <sz val="11"/>
        <color theme="0"/>
        <rFont val="Calibri"/>
        <family val="2"/>
        <scheme val="minor"/>
      </rPr>
      <t>r</t>
    </r>
    <r>
      <rPr>
        <b/>
        <sz val="11"/>
        <color theme="0"/>
        <rFont val="Calibri"/>
        <family val="2"/>
        <scheme val="minor"/>
      </rPr>
      <t xml:space="preserve"> [mm]</t>
    </r>
  </si>
  <si>
    <t>(resistant diameter)</t>
  </si>
  <si>
    <t>Lubricant</t>
  </si>
  <si>
    <t>Material casing</t>
  </si>
  <si>
    <t>Material bolt</t>
  </si>
  <si>
    <t>Friction coefficient</t>
  </si>
  <si>
    <t>t</t>
  </si>
  <si>
    <r>
      <t>α</t>
    </r>
    <r>
      <rPr>
        <b/>
        <vertAlign val="subscript"/>
        <sz val="9.9"/>
        <color theme="0"/>
        <rFont val="Calibri"/>
        <family val="2"/>
      </rPr>
      <t>n</t>
    </r>
    <r>
      <rPr>
        <b/>
        <sz val="11"/>
        <color theme="0"/>
        <rFont val="Calibri"/>
        <family val="2"/>
      </rPr>
      <t xml:space="preserve"> [°]</t>
    </r>
  </si>
  <si>
    <t>(thread semi-angle)</t>
  </si>
  <si>
    <t>YES</t>
  </si>
  <si>
    <t>Carbon Steel</t>
  </si>
  <si>
    <t>4140 alloy steel</t>
  </si>
  <si>
    <t>ξ [-]</t>
  </si>
  <si>
    <t>(tightening ratio)</t>
  </si>
  <si>
    <t>12% CR</t>
  </si>
  <si>
    <t>0.15*</t>
  </si>
  <si>
    <t>D [mm]</t>
  </si>
  <si>
    <t>(hole diameter)</t>
  </si>
  <si>
    <t>316 AUS</t>
  </si>
  <si>
    <t>0.10*</t>
  </si>
  <si>
    <t>s [mm]</t>
  </si>
  <si>
    <t>(nut diameter)</t>
  </si>
  <si>
    <t>Duplex</t>
  </si>
  <si>
    <t>0.20*</t>
  </si>
  <si>
    <r>
      <t>R</t>
    </r>
    <r>
      <rPr>
        <b/>
        <vertAlign val="subscript"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 xml:space="preserve"> [mm]</t>
    </r>
  </si>
  <si>
    <t>(weighted average radius)</t>
  </si>
  <si>
    <t>f [-]</t>
  </si>
  <si>
    <t>(friction coefficient between thread)</t>
  </si>
  <si>
    <t>Super Duplex</t>
  </si>
  <si>
    <r>
      <t>f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 [-]</t>
    </r>
  </si>
  <si>
    <t>(friction coefficient between planes)</t>
  </si>
  <si>
    <t>NO</t>
  </si>
  <si>
    <t>increase friction coefficient of 50%</t>
  </si>
  <si>
    <t>Lead screw</t>
  </si>
  <si>
    <t>PTFE, Teflon coated bolt or galvanized bolt reduce the friction coefficient of 20%</t>
  </si>
  <si>
    <r>
      <t>σ</t>
    </r>
    <r>
      <rPr>
        <b/>
        <vertAlign val="subscript"/>
        <sz val="11"/>
        <color theme="0"/>
        <rFont val="Calibri"/>
        <family val="2"/>
        <scheme val="minor"/>
      </rPr>
      <t>y,ls</t>
    </r>
    <r>
      <rPr>
        <b/>
        <sz val="11"/>
        <color theme="0"/>
        <rFont val="Calibri"/>
        <family val="2"/>
        <scheme val="minor"/>
      </rPr>
      <t xml:space="preserve"> [MPa]</t>
    </r>
  </si>
  <si>
    <t>(limit yield stress of casing)</t>
  </si>
  <si>
    <r>
      <t>d</t>
    </r>
    <r>
      <rPr>
        <b/>
        <vertAlign val="subscript"/>
        <sz val="11"/>
        <color theme="0"/>
        <rFont val="Calibri"/>
        <family val="2"/>
        <scheme val="minor"/>
      </rPr>
      <t>n,ls</t>
    </r>
    <r>
      <rPr>
        <b/>
        <sz val="11"/>
        <color theme="0"/>
        <rFont val="Calibri"/>
        <family val="2"/>
        <scheme val="minor"/>
      </rPr>
      <t xml:space="preserve"> [mm]</t>
    </r>
  </si>
  <si>
    <t>(nominal diameter lead screw)</t>
  </si>
  <si>
    <r>
      <t>p</t>
    </r>
    <r>
      <rPr>
        <b/>
        <vertAlign val="subscript"/>
        <sz val="11"/>
        <color theme="0"/>
        <rFont val="Calibri"/>
        <family val="2"/>
        <scheme val="minor"/>
      </rPr>
      <t>ls</t>
    </r>
    <r>
      <rPr>
        <b/>
        <sz val="11"/>
        <color theme="0"/>
        <rFont val="Calibri"/>
        <family val="2"/>
        <scheme val="minor"/>
      </rPr>
      <t xml:space="preserve"> [mm]</t>
    </r>
  </si>
  <si>
    <t>(pitch lead screw)</t>
  </si>
  <si>
    <t>t [mm]</t>
  </si>
  <si>
    <t>(lenght lead screw)</t>
  </si>
  <si>
    <r>
      <t>t/p</t>
    </r>
    <r>
      <rPr>
        <b/>
        <vertAlign val="subscript"/>
        <sz val="11"/>
        <color theme="0"/>
        <rFont val="Calibri"/>
        <family val="2"/>
        <scheme val="minor"/>
      </rPr>
      <t>ls</t>
    </r>
    <r>
      <rPr>
        <b/>
        <sz val="11"/>
        <color theme="0"/>
        <rFont val="Calibri"/>
        <family val="2"/>
        <scheme val="minor"/>
      </rPr>
      <t xml:space="preserve"> [-]</t>
    </r>
  </si>
  <si>
    <t>(maximum number threads in contact)</t>
  </si>
  <si>
    <t>n [-]</t>
  </si>
  <si>
    <t>(number threads in contact)</t>
  </si>
  <si>
    <t>Results</t>
  </si>
  <si>
    <t>W [N]</t>
  </si>
  <si>
    <t>(tightening force)</t>
  </si>
  <si>
    <t>T [Nm]</t>
  </si>
  <si>
    <t>(tightening torque)</t>
  </si>
  <si>
    <t>(maximum allowable force on lead screw)</t>
  </si>
  <si>
    <t>Acceptance criteria</t>
  </si>
  <si>
    <r>
      <t>σ</t>
    </r>
    <r>
      <rPr>
        <b/>
        <vertAlign val="subscript"/>
        <sz val="11"/>
        <color theme="0"/>
        <rFont val="Calibri"/>
        <family val="2"/>
      </rPr>
      <t>b</t>
    </r>
    <r>
      <rPr>
        <b/>
        <sz val="11"/>
        <color theme="0"/>
        <rFont val="Calibri"/>
        <family val="2"/>
      </rPr>
      <t>/σ</t>
    </r>
    <r>
      <rPr>
        <b/>
        <vertAlign val="subscript"/>
        <sz val="11"/>
        <color theme="0"/>
        <rFont val="Calibri"/>
        <family val="2"/>
      </rPr>
      <t>yb</t>
    </r>
    <r>
      <rPr>
        <b/>
        <sz val="11"/>
        <color theme="0"/>
        <rFont val="Calibri"/>
        <family val="2"/>
      </rPr>
      <t xml:space="preserve"> [-]</t>
    </r>
  </si>
  <si>
    <r>
      <t>W/W</t>
    </r>
    <r>
      <rPr>
        <b/>
        <vertAlign val="subscript"/>
        <sz val="11"/>
        <color theme="0"/>
        <rFont val="Calibri"/>
        <family val="2"/>
      </rPr>
      <t>max</t>
    </r>
    <r>
      <rPr>
        <b/>
        <sz val="11"/>
        <color theme="0"/>
        <rFont val="Calibri"/>
        <family val="2"/>
      </rPr>
      <t xml:space="preserve"> [-]</t>
    </r>
  </si>
  <si>
    <t xml:space="preserve">Tightening torque
(linked to SOP-521)
</t>
  </si>
  <si>
    <r>
      <t>σ</t>
    </r>
    <r>
      <rPr>
        <b/>
        <vertAlign val="subscript"/>
        <sz val="11"/>
        <color theme="0"/>
        <rFont val="Calibri"/>
        <family val="2"/>
        <scheme val="minor"/>
      </rPr>
      <t>yw</t>
    </r>
    <r>
      <rPr>
        <b/>
        <sz val="11"/>
        <color theme="0"/>
        <rFont val="Calibri"/>
        <family val="2"/>
        <scheme val="minor"/>
      </rPr>
      <t xml:space="preserve"> [MPa]</t>
    </r>
  </si>
  <si>
    <t>(limit yield stress of washer)</t>
  </si>
  <si>
    <r>
      <t>W</t>
    </r>
    <r>
      <rPr>
        <b/>
        <vertAlign val="subscript"/>
        <sz val="11"/>
        <color theme="0"/>
        <rFont val="Calibri"/>
        <family val="2"/>
        <scheme val="minor"/>
      </rPr>
      <t>max,w</t>
    </r>
    <r>
      <rPr>
        <b/>
        <sz val="11"/>
        <color theme="0"/>
        <rFont val="Calibri"/>
        <family val="2"/>
        <scheme val="minor"/>
      </rPr>
      <t xml:space="preserve"> [N]</t>
    </r>
  </si>
  <si>
    <r>
      <t>W</t>
    </r>
    <r>
      <rPr>
        <b/>
        <vertAlign val="subscript"/>
        <sz val="11"/>
        <color theme="0"/>
        <rFont val="Calibri"/>
        <family val="2"/>
        <scheme val="minor"/>
      </rPr>
      <t>max,ls</t>
    </r>
    <r>
      <rPr>
        <b/>
        <sz val="11"/>
        <color theme="0"/>
        <rFont val="Calibri"/>
        <family val="2"/>
        <scheme val="minor"/>
      </rPr>
      <t xml:space="preserve"> [N]</t>
    </r>
  </si>
  <si>
    <t>(maximum allowable force on washer)</t>
  </si>
  <si>
    <r>
      <t>W/W</t>
    </r>
    <r>
      <rPr>
        <b/>
        <vertAlign val="subscript"/>
        <sz val="11"/>
        <color theme="0"/>
        <rFont val="Calibri"/>
        <family val="2"/>
      </rPr>
      <t>max,ls</t>
    </r>
    <r>
      <rPr>
        <b/>
        <sz val="11"/>
        <color theme="0"/>
        <rFont val="Calibri"/>
        <family val="2"/>
      </rPr>
      <t xml:space="preserve"> [-]</t>
    </r>
  </si>
  <si>
    <t>Added washer acceptace criteria</t>
  </si>
  <si>
    <t>(maximum allowable force ratio on lead screw)</t>
  </si>
  <si>
    <t>(maximum allowable force ratio on washer)</t>
  </si>
  <si>
    <r>
      <t>W/W</t>
    </r>
    <r>
      <rPr>
        <b/>
        <vertAlign val="subscript"/>
        <sz val="11"/>
        <color theme="0"/>
        <rFont val="Calibri"/>
        <family val="2"/>
      </rPr>
      <t>max,w</t>
    </r>
    <r>
      <rPr>
        <b/>
        <sz val="11"/>
        <color theme="0"/>
        <rFont val="Calibri"/>
        <family val="2"/>
      </rPr>
      <t xml:space="preserve"> [-]</t>
    </r>
  </si>
  <si>
    <t>(mean diameter lead screw)</t>
  </si>
  <si>
    <t>(root diameter lead screw)</t>
  </si>
  <si>
    <r>
      <t>d</t>
    </r>
    <r>
      <rPr>
        <b/>
        <vertAlign val="subscript"/>
        <sz val="11"/>
        <color theme="0"/>
        <rFont val="Calibri"/>
        <family val="2"/>
        <scheme val="minor"/>
      </rPr>
      <t>m,ls</t>
    </r>
    <r>
      <rPr>
        <b/>
        <sz val="11"/>
        <color theme="0"/>
        <rFont val="Calibri"/>
        <family val="2"/>
        <scheme val="minor"/>
      </rPr>
      <t xml:space="preserve"> [mm]</t>
    </r>
  </si>
  <si>
    <r>
      <t>d</t>
    </r>
    <r>
      <rPr>
        <b/>
        <vertAlign val="subscript"/>
        <sz val="11"/>
        <color theme="0"/>
        <rFont val="Calibri"/>
        <family val="2"/>
        <scheme val="minor"/>
      </rPr>
      <t>root,ls</t>
    </r>
    <r>
      <rPr>
        <b/>
        <sz val="11"/>
        <color theme="0"/>
        <rFont val="Calibri"/>
        <family val="2"/>
        <scheme val="minor"/>
      </rPr>
      <t xml:space="preserve"> [mm]</t>
    </r>
  </si>
  <si>
    <t>R&amp;D Manager - M.Borghetti</t>
  </si>
  <si>
    <t>Mod.497-1</t>
  </si>
  <si>
    <t>Client Qualification /HSEM - A. Banfi/ T. Morelli Stefani</t>
  </si>
  <si>
    <t>Advanced Mechanical Engineer  - L. Francesconi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</si>
</sst>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&quot;$&quot;#,##0.00;[Red]\-&quot;$&quot;#,##0.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vertAlign val="subscript"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9.9"/>
      <color theme="0"/>
      <name val="Calibri"/>
      <family val="2"/>
    </font>
    <font>
      <b/>
      <vertAlign val="subscript"/>
      <sz val="11"/>
      <color theme="0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164" fontId="7" fillId="0" borderId="0"/>
    <xf numFmtId="165" fontId="13" fillId="0" borderId="0" applyFont="0" applyFill="0" applyBorder="0" applyAlignment="0" applyProtection="0"/>
  </cellStyleXfs>
  <cellXfs count="133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0" fillId="0" borderId="12" xfId="0" applyBorder="1"/>
    <xf numFmtId="0" fontId="6" fillId="0" borderId="1" xfId="1" applyBorder="1" applyAlignment="1">
      <alignment horizontal="center" vertical="center"/>
    </xf>
    <xf numFmtId="0" fontId="6" fillId="0" borderId="2" xfId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164" fontId="7" fillId="0" borderId="0" xfId="2"/>
    <xf numFmtId="0" fontId="6" fillId="0" borderId="5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6" xfId="1" applyBorder="1" applyAlignment="1">
      <alignment horizontal="center" vertical="center"/>
    </xf>
    <xf numFmtId="0" fontId="8" fillId="0" borderId="0" xfId="1" applyFont="1" applyAlignment="1">
      <alignment horizontal="center" vertical="top"/>
    </xf>
    <xf numFmtId="0" fontId="6" fillId="0" borderId="0" xfId="1" applyAlignment="1">
      <alignment horizontal="center"/>
    </xf>
    <xf numFmtId="0" fontId="9" fillId="0" borderId="0" xfId="1" applyFont="1" applyAlignment="1">
      <alignment horizontal="center" vertical="top"/>
    </xf>
    <xf numFmtId="0" fontId="10" fillId="0" borderId="6" xfId="1" applyFont="1" applyBorder="1" applyAlignment="1">
      <alignment horizontal="center" vertical="top"/>
    </xf>
    <xf numFmtId="0" fontId="11" fillId="0" borderId="5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5" fillId="5" borderId="26" xfId="0" applyFont="1" applyFill="1" applyBorder="1" applyAlignment="1">
      <alignment horizontal="center"/>
    </xf>
    <xf numFmtId="2" fontId="16" fillId="4" borderId="27" xfId="0" applyNumberFormat="1" applyFont="1" applyFill="1" applyBorder="1" applyAlignment="1">
      <alignment horizontal="center"/>
    </xf>
    <xf numFmtId="2" fontId="17" fillId="0" borderId="27" xfId="0" applyNumberFormat="1" applyFont="1" applyBorder="1" applyAlignment="1">
      <alignment horizontal="center"/>
    </xf>
    <xf numFmtId="0" fontId="20" fillId="5" borderId="26" xfId="0" applyFont="1" applyFill="1" applyBorder="1" applyAlignment="1">
      <alignment horizontal="center"/>
    </xf>
    <xf numFmtId="9" fontId="16" fillId="4" borderId="27" xfId="0" applyNumberFormat="1" applyFont="1" applyFill="1" applyBorder="1" applyAlignment="1">
      <alignment horizontal="center"/>
    </xf>
    <xf numFmtId="0" fontId="5" fillId="5" borderId="38" xfId="0" applyFont="1" applyFill="1" applyBorder="1" applyAlignment="1">
      <alignment horizontal="center"/>
    </xf>
    <xf numFmtId="0" fontId="5" fillId="5" borderId="41" xfId="0" applyFont="1" applyFill="1" applyBorder="1" applyAlignment="1">
      <alignment horizontal="center"/>
    </xf>
    <xf numFmtId="2" fontId="16" fillId="4" borderId="42" xfId="0" applyNumberFormat="1" applyFont="1" applyFill="1" applyBorder="1" applyAlignment="1">
      <alignment horizontal="center"/>
    </xf>
    <xf numFmtId="0" fontId="5" fillId="5" borderId="44" xfId="0" applyFont="1" applyFill="1" applyBorder="1" applyAlignment="1">
      <alignment horizontal="center"/>
    </xf>
    <xf numFmtId="2" fontId="17" fillId="0" borderId="44" xfId="0" applyNumberFormat="1" applyFont="1" applyBorder="1" applyAlignment="1">
      <alignment horizontal="center"/>
    </xf>
    <xf numFmtId="0" fontId="0" fillId="0" borderId="44" xfId="0" applyBorder="1"/>
    <xf numFmtId="2" fontId="16" fillId="4" borderId="34" xfId="0" applyNumberFormat="1" applyFont="1" applyFill="1" applyBorder="1" applyAlignment="1">
      <alignment horizontal="center"/>
    </xf>
    <xf numFmtId="1" fontId="17" fillId="0" borderId="42" xfId="0" applyNumberFormat="1" applyFont="1" applyBorder="1" applyAlignment="1">
      <alignment horizontal="center"/>
    </xf>
    <xf numFmtId="0" fontId="5" fillId="5" borderId="47" xfId="0" applyFont="1" applyFill="1" applyBorder="1" applyAlignment="1">
      <alignment horizontal="center"/>
    </xf>
    <xf numFmtId="1" fontId="17" fillId="0" borderId="34" xfId="0" applyNumberFormat="1" applyFont="1" applyBorder="1" applyAlignment="1">
      <alignment horizontal="center"/>
    </xf>
    <xf numFmtId="1" fontId="17" fillId="0" borderId="47" xfId="0" applyNumberFormat="1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4" fillId="0" borderId="30" xfId="0" applyFont="1" applyBorder="1"/>
    <xf numFmtId="0" fontId="0" fillId="0" borderId="31" xfId="0" applyBorder="1"/>
    <xf numFmtId="0" fontId="0" fillId="0" borderId="32" xfId="0" applyBorder="1"/>
    <xf numFmtId="0" fontId="0" fillId="0" borderId="45" xfId="0" applyBorder="1"/>
    <xf numFmtId="0" fontId="0" fillId="0" borderId="48" xfId="0" applyBorder="1"/>
    <xf numFmtId="0" fontId="0" fillId="0" borderId="49" xfId="0" applyBorder="1"/>
    <xf numFmtId="0" fontId="1" fillId="0" borderId="0" xfId="0" applyFont="1" applyAlignment="1">
      <alignment horizontal="center" vertical="center"/>
    </xf>
    <xf numFmtId="1" fontId="17" fillId="0" borderId="44" xfId="0" applyNumberFormat="1" applyFont="1" applyBorder="1" applyAlignment="1">
      <alignment horizontal="center"/>
    </xf>
    <xf numFmtId="165" fontId="6" fillId="0" borderId="7" xfId="3" applyFont="1" applyBorder="1" applyAlignment="1">
      <alignment horizontal="right" vertical="center"/>
    </xf>
    <xf numFmtId="165" fontId="7" fillId="0" borderId="8" xfId="3" applyFont="1" applyBorder="1" applyAlignment="1">
      <alignment horizontal="right" vertical="center"/>
    </xf>
    <xf numFmtId="165" fontId="7" fillId="0" borderId="9" xfId="3" applyFont="1" applyBorder="1" applyAlignment="1">
      <alignment horizontal="right" vertical="center"/>
    </xf>
    <xf numFmtId="165" fontId="6" fillId="0" borderId="21" xfId="3" applyFont="1" applyBorder="1" applyAlignment="1">
      <alignment horizontal="center" vertical="center"/>
    </xf>
    <xf numFmtId="165" fontId="6" fillId="0" borderId="22" xfId="3" applyFont="1" applyBorder="1" applyAlignment="1">
      <alignment horizontal="center" vertical="center"/>
    </xf>
    <xf numFmtId="0" fontId="14" fillId="0" borderId="23" xfId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/>
    </xf>
    <xf numFmtId="0" fontId="14" fillId="0" borderId="22" xfId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 wrapText="1"/>
    </xf>
    <xf numFmtId="0" fontId="13" fillId="0" borderId="19" xfId="1" applyFont="1" applyBorder="1" applyAlignment="1">
      <alignment horizontal="center" vertical="center" wrapText="1"/>
    </xf>
    <xf numFmtId="0" fontId="13" fillId="0" borderId="20" xfId="1" applyFont="1" applyBorder="1" applyAlignment="1">
      <alignment horizontal="center" vertical="center" wrapText="1"/>
    </xf>
    <xf numFmtId="0" fontId="13" fillId="0" borderId="17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14" fontId="13" fillId="0" borderId="18" xfId="1" applyNumberFormat="1" applyFont="1" applyBorder="1" applyAlignment="1">
      <alignment horizontal="center" vertical="center"/>
    </xf>
    <xf numFmtId="14" fontId="13" fillId="0" borderId="19" xfId="1" applyNumberFormat="1" applyFont="1" applyBorder="1" applyAlignment="1">
      <alignment horizontal="center" vertical="center"/>
    </xf>
    <xf numFmtId="14" fontId="13" fillId="0" borderId="13" xfId="1" applyNumberFormat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 wrapText="1"/>
    </xf>
    <xf numFmtId="0" fontId="6" fillId="0" borderId="18" xfId="1" applyBorder="1" applyAlignment="1">
      <alignment horizontal="center" vertical="center"/>
    </xf>
    <xf numFmtId="0" fontId="6" fillId="0" borderId="19" xfId="1" applyBorder="1" applyAlignment="1">
      <alignment horizontal="center" vertical="center"/>
    </xf>
    <xf numFmtId="0" fontId="6" fillId="0" borderId="20" xfId="1" applyBorder="1" applyAlignment="1">
      <alignment horizontal="center" vertical="center"/>
    </xf>
    <xf numFmtId="0" fontId="6" fillId="0" borderId="17" xfId="1" applyBorder="1" applyAlignment="1">
      <alignment horizontal="center" vertical="center"/>
    </xf>
    <xf numFmtId="0" fontId="6" fillId="0" borderId="13" xfId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6" fillId="0" borderId="10" xfId="1" applyBorder="1" applyAlignment="1">
      <alignment horizontal="center" vertical="center"/>
    </xf>
    <xf numFmtId="0" fontId="6" fillId="0" borderId="14" xfId="1" applyBorder="1" applyAlignment="1">
      <alignment horizontal="center" vertical="center"/>
    </xf>
    <xf numFmtId="0" fontId="6" fillId="0" borderId="15" xfId="1" applyBorder="1" applyAlignment="1">
      <alignment horizontal="center" vertical="center"/>
    </xf>
    <xf numFmtId="0" fontId="6" fillId="0" borderId="16" xfId="1" applyBorder="1" applyAlignment="1">
      <alignment horizontal="center" vertical="center"/>
    </xf>
    <xf numFmtId="0" fontId="6" fillId="0" borderId="11" xfId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49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45" xfId="0" applyFont="1" applyBorder="1" applyAlignment="1">
      <alignment horizontal="center"/>
    </xf>
    <xf numFmtId="10" fontId="3" fillId="0" borderId="44" xfId="0" applyNumberFormat="1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23" fillId="5" borderId="44" xfId="0" applyFont="1" applyFill="1" applyBorder="1" applyAlignment="1">
      <alignment horizontal="center"/>
    </xf>
    <xf numFmtId="0" fontId="20" fillId="5" borderId="38" xfId="0" applyFont="1" applyFill="1" applyBorder="1" applyAlignment="1">
      <alignment horizontal="center"/>
    </xf>
    <xf numFmtId="0" fontId="20" fillId="5" borderId="40" xfId="0" applyFont="1" applyFill="1" applyBorder="1" applyAlignment="1">
      <alignment horizontal="center"/>
    </xf>
    <xf numFmtId="10" fontId="3" fillId="0" borderId="48" xfId="0" applyNumberFormat="1" applyFont="1" applyBorder="1" applyAlignment="1">
      <alignment horizontal="center"/>
    </xf>
    <xf numFmtId="10" fontId="3" fillId="0" borderId="49" xfId="0" applyNumberFormat="1" applyFont="1" applyBorder="1" applyAlignment="1">
      <alignment horizontal="center"/>
    </xf>
    <xf numFmtId="0" fontId="15" fillId="3" borderId="4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13" xfId="0" applyNumberFormat="1" applyFont="1" applyBorder="1" applyAlignment="1">
      <alignment horizontal="center" vertical="center"/>
    </xf>
    <xf numFmtId="2" fontId="25" fillId="0" borderId="18" xfId="0" applyNumberFormat="1" applyFont="1" applyBorder="1" applyAlignment="1">
      <alignment horizontal="center" vertical="center"/>
    </xf>
    <xf numFmtId="2" fontId="25" fillId="0" borderId="13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2" fontId="17" fillId="0" borderId="19" xfId="0" applyNumberFormat="1" applyFont="1" applyBorder="1" applyAlignment="1">
      <alignment horizontal="center" vertical="center"/>
    </xf>
    <xf numFmtId="0" fontId="18" fillId="0" borderId="46" xfId="0" applyFont="1" applyBorder="1" applyAlignment="1">
      <alignment horizontal="center"/>
    </xf>
    <xf numFmtId="0" fontId="5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/>
    </xf>
    <xf numFmtId="0" fontId="18" fillId="0" borderId="39" xfId="0" applyFont="1" applyBorder="1" applyAlignment="1">
      <alignment horizontal="center"/>
    </xf>
    <xf numFmtId="0" fontId="18" fillId="0" borderId="40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41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43" xfId="0" applyFont="1" applyBorder="1" applyAlignment="1">
      <alignment horizontal="center"/>
    </xf>
    <xf numFmtId="2" fontId="16" fillId="4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2" fontId="17" fillId="0" borderId="4" xfId="0" applyNumberFormat="1" applyFont="1" applyBorder="1" applyAlignment="1">
      <alignment horizontal="center" vertical="center"/>
    </xf>
  </cellXfs>
  <cellStyles count="4">
    <cellStyle name="Normale" xfId="0" builtinId="0"/>
    <cellStyle name="Normale 3" xfId="2" xr:uid="{DAB37C46-0A9E-45FD-8121-6EB96B2D8F22}"/>
    <cellStyle name="Normale 4" xfId="1" xr:uid="{FCA8FE1A-E504-4C6A-9439-0D61BEC1530E}"/>
    <cellStyle name="Valuta 2" xfId="3" xr:uid="{976FD118-F49B-4A0B-8D0E-BD62C67D80B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</xdr:row>
      <xdr:rowOff>114300</xdr:rowOff>
    </xdr:from>
    <xdr:to>
      <xdr:col>19</xdr:col>
      <xdr:colOff>95250</xdr:colOff>
      <xdr:row>4</xdr:row>
      <xdr:rowOff>145782</xdr:rowOff>
    </xdr:to>
    <xdr:pic>
      <xdr:nvPicPr>
        <xdr:cNvPr id="2" name="Picture 2" descr="trillium 2">
          <a:extLst>
            <a:ext uri="{FF2B5EF4-FFF2-40B4-BE49-F238E27FC236}">
              <a16:creationId xmlns:a16="http://schemas.microsoft.com/office/drawing/2014/main" id="{92A0E852-936D-45C2-B787-E9058F4B2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304800"/>
          <a:ext cx="2514600" cy="602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95250</xdr:colOff>
      <xdr:row>26</xdr:row>
      <xdr:rowOff>152400</xdr:rowOff>
    </xdr:from>
    <xdr:to>
      <xdr:col>29</xdr:col>
      <xdr:colOff>19050</xdr:colOff>
      <xdr:row>37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5ED9FC-1F1B-4164-9059-8A9996A32763}"/>
            </a:ext>
          </a:extLst>
        </xdr:cNvPr>
        <xdr:cNvSpPr txBox="1"/>
      </xdr:nvSpPr>
      <xdr:spPr>
        <a:xfrm>
          <a:off x="95250" y="4152900"/>
          <a:ext cx="6276975" cy="19907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 b="0" u="none"/>
            <a:t>This worksheet</a:t>
          </a:r>
          <a:r>
            <a:rPr lang="en-US" sz="1100" b="0" u="none" baseline="0"/>
            <a:t> defines the tightening torque to apply when serrating bolts/studs. It can be applied to BB1, BB3 and BB4 pumps.</a:t>
          </a:r>
        </a:p>
        <a:p>
          <a:endParaRPr lang="en-US" sz="1100" b="0" u="none" baseline="0"/>
        </a:p>
        <a:p>
          <a:pPr eaLnBrk="1" fontAlgn="auto" latinLnBrk="0" hangingPunct="1"/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Sheet "Example"</a:t>
          </a:r>
          <a:endParaRPr lang="it-IT">
            <a:effectLst/>
          </a:endParaRPr>
        </a:p>
        <a:p>
          <a:pPr eaLnBrk="1" fontAlgn="auto" latinLnBrk="0" hangingPunct="1"/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an example</a:t>
          </a:r>
          <a:r>
            <a:rPr lang="it-IT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shows how to chose the parameters to define the tightening torque.</a:t>
          </a:r>
          <a:endParaRPr lang="it-IT">
            <a:effectLst/>
          </a:endParaRPr>
        </a:p>
        <a:p>
          <a:endParaRPr lang="en-US" sz="1100" b="0" u="none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none" baseline="0"/>
            <a:t>Sheet "Bolt_01"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calculations are base on formulas derived from litearature.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>
              <a:effectLst/>
            </a:rPr>
            <a:t>ref.</a:t>
          </a:r>
          <a:r>
            <a:rPr lang="it-IT" baseline="0">
              <a:effectLst/>
            </a:rPr>
            <a:t> </a:t>
          </a:r>
          <a:r>
            <a:rPr lang="it-IT">
              <a:effectLst/>
            </a:rPr>
            <a:t>Fundamentals of Machine Component Design – R.C. Juvinall K.M. Marshek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>
              <a:effectLst/>
            </a:rPr>
            <a:t>ref. Le coppie di serraggio per la bulloneria normalizzata </a:t>
          </a:r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–</a:t>
          </a:r>
          <a:r>
            <a:rPr lang="it-IT">
              <a:effectLst/>
            </a:rPr>
            <a:t> G. Rapisarda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it-IT">
            <a:effectLst/>
          </a:endParaRPr>
        </a:p>
        <a:p>
          <a:endParaRPr lang="it-IT">
            <a:effectLst/>
          </a:endParaRPr>
        </a:p>
        <a:p>
          <a:endParaRPr lang="en-US" sz="1100" b="0" u="non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381001</xdr:colOff>
      <xdr:row>0</xdr:row>
      <xdr:rowOff>179917</xdr:rowOff>
    </xdr:from>
    <xdr:to>
      <xdr:col>16</xdr:col>
      <xdr:colOff>0</xdr:colOff>
      <xdr:row>5</xdr:row>
      <xdr:rowOff>148166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F4106EC4-7D3F-4CA6-AF83-3C06A48F3415}"/>
            </a:ext>
          </a:extLst>
        </xdr:cNvPr>
        <xdr:cNvSpPr txBox="1"/>
      </xdr:nvSpPr>
      <xdr:spPr>
        <a:xfrm>
          <a:off x="6096001" y="179917"/>
          <a:ext cx="3886199" cy="1087966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INSTRUCTIONS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u="none" baseline="0"/>
            <a:t>1)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Compile the input data cells.</a:t>
          </a:r>
          <a:endParaRPr lang="it-IT" sz="12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it-IT" sz="1200" b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Select</a:t>
          </a:r>
          <a:r>
            <a:rPr lang="it-IT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tightening ratio </a:t>
          </a:r>
          <a:r>
            <a:rPr lang="el-G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ξ</a:t>
          </a:r>
          <a:r>
            <a:rPr lang="it-IT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(suggested value 70% )</a:t>
          </a:r>
        </a:p>
        <a:p>
          <a:pPr eaLnBrk="1" fontAlgn="auto" latinLnBrk="0" hangingPunct="1"/>
          <a:r>
            <a:rPr lang="it-IT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Define the friction coefficients</a:t>
          </a:r>
        </a:p>
        <a:p>
          <a:pPr eaLnBrk="1" fontAlgn="auto" latinLnBrk="0" hangingPunct="1"/>
          <a:r>
            <a:rPr lang="it-IT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Verify that the criteria are satisfied.</a:t>
          </a:r>
        </a:p>
      </xdr:txBody>
    </xdr:sp>
    <xdr:clientData/>
  </xdr:twoCellAnchor>
  <xdr:twoCellAnchor editAs="oneCell">
    <xdr:from>
      <xdr:col>17</xdr:col>
      <xdr:colOff>560915</xdr:colOff>
      <xdr:row>29</xdr:row>
      <xdr:rowOff>21166</xdr:rowOff>
    </xdr:from>
    <xdr:to>
      <xdr:col>22</xdr:col>
      <xdr:colOff>282225</xdr:colOff>
      <xdr:row>36</xdr:row>
      <xdr:rowOff>78128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A2AA8A30-9BEE-4687-A4EA-FD0525209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8332" y="5810249"/>
          <a:ext cx="2790476" cy="1517462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17</xdr:col>
      <xdr:colOff>74081</xdr:colOff>
      <xdr:row>2</xdr:row>
      <xdr:rowOff>21167</xdr:rowOff>
    </xdr:from>
    <xdr:to>
      <xdr:col>22</xdr:col>
      <xdr:colOff>400646</xdr:colOff>
      <xdr:row>19</xdr:row>
      <xdr:rowOff>1667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CF0D6626-0D9C-4254-993E-ADF093D07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31498" y="455084"/>
          <a:ext cx="3395731" cy="3600000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23</xdr:col>
      <xdr:colOff>76732</xdr:colOff>
      <xdr:row>2</xdr:row>
      <xdr:rowOff>0</xdr:rowOff>
    </xdr:from>
    <xdr:to>
      <xdr:col>38</xdr:col>
      <xdr:colOff>553237</xdr:colOff>
      <xdr:row>18</xdr:row>
      <xdr:rowOff>171000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EDD8906C-9B47-422D-82E4-A8CC08517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17149" y="433917"/>
          <a:ext cx="9684005" cy="3600000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>
    <xdr:from>
      <xdr:col>17</xdr:col>
      <xdr:colOff>306916</xdr:colOff>
      <xdr:row>26</xdr:row>
      <xdr:rowOff>211667</xdr:rowOff>
    </xdr:from>
    <xdr:to>
      <xdr:col>19</xdr:col>
      <xdr:colOff>232834</xdr:colOff>
      <xdr:row>32</xdr:row>
      <xdr:rowOff>10584</xdr:rowOff>
    </xdr:to>
    <xdr:cxnSp macro="">
      <xdr:nvCxnSpPr>
        <xdr:cNvPr id="12" name="Connettore 2 11">
          <a:extLst>
            <a:ext uri="{FF2B5EF4-FFF2-40B4-BE49-F238E27FC236}">
              <a16:creationId xmlns:a16="http://schemas.microsoft.com/office/drawing/2014/main" id="{966E6EBD-4EFB-462F-B0B5-368A31EA398B}"/>
            </a:ext>
          </a:extLst>
        </xdr:cNvPr>
        <xdr:cNvCxnSpPr/>
      </xdr:nvCxnSpPr>
      <xdr:spPr>
        <a:xfrm>
          <a:off x="10964333" y="5386917"/>
          <a:ext cx="1153584" cy="836084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508000</xdr:colOff>
      <xdr:row>18</xdr:row>
      <xdr:rowOff>95250</xdr:rowOff>
    </xdr:from>
    <xdr:to>
      <xdr:col>20</xdr:col>
      <xdr:colOff>338666</xdr:colOff>
      <xdr:row>26</xdr:row>
      <xdr:rowOff>31750</xdr:rowOff>
    </xdr:to>
    <xdr:cxnSp macro="">
      <xdr:nvCxnSpPr>
        <xdr:cNvPr id="13" name="Connettore 2 12">
          <a:extLst>
            <a:ext uri="{FF2B5EF4-FFF2-40B4-BE49-F238E27FC236}">
              <a16:creationId xmlns:a16="http://schemas.microsoft.com/office/drawing/2014/main" id="{EB2C8368-8DDC-4CB2-A2D4-BC4F68067B8D}"/>
            </a:ext>
          </a:extLst>
        </xdr:cNvPr>
        <xdr:cNvCxnSpPr/>
      </xdr:nvCxnSpPr>
      <xdr:spPr>
        <a:xfrm flipH="1" flipV="1">
          <a:off x="12393083" y="3915833"/>
          <a:ext cx="444500" cy="1291167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254000</xdr:colOff>
      <xdr:row>12</xdr:row>
      <xdr:rowOff>63500</xdr:rowOff>
    </xdr:from>
    <xdr:to>
      <xdr:col>29</xdr:col>
      <xdr:colOff>370416</xdr:colOff>
      <xdr:row>25</xdr:row>
      <xdr:rowOff>84666</xdr:rowOff>
    </xdr:to>
    <xdr:cxnSp macro="">
      <xdr:nvCxnSpPr>
        <xdr:cNvPr id="14" name="Connettore 2 13">
          <a:extLst>
            <a:ext uri="{FF2B5EF4-FFF2-40B4-BE49-F238E27FC236}">
              <a16:creationId xmlns:a16="http://schemas.microsoft.com/office/drawing/2014/main" id="{734DD99C-5BAD-4448-9B0B-3A69B75FC2B2}"/>
            </a:ext>
          </a:extLst>
        </xdr:cNvPr>
        <xdr:cNvCxnSpPr/>
      </xdr:nvCxnSpPr>
      <xdr:spPr>
        <a:xfrm flipV="1">
          <a:off x="18277417" y="2656417"/>
          <a:ext cx="116416" cy="2370666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285750</xdr:colOff>
      <xdr:row>11</xdr:row>
      <xdr:rowOff>179916</xdr:rowOff>
    </xdr:from>
    <xdr:to>
      <xdr:col>23</xdr:col>
      <xdr:colOff>359833</xdr:colOff>
      <xdr:row>25</xdr:row>
      <xdr:rowOff>21166</xdr:rowOff>
    </xdr:to>
    <xdr:cxnSp macro="">
      <xdr:nvCxnSpPr>
        <xdr:cNvPr id="17" name="Connettore 2 16">
          <a:extLst>
            <a:ext uri="{FF2B5EF4-FFF2-40B4-BE49-F238E27FC236}">
              <a16:creationId xmlns:a16="http://schemas.microsoft.com/office/drawing/2014/main" id="{F285BDDC-AFD6-462D-8129-8740541B7FB0}"/>
            </a:ext>
          </a:extLst>
        </xdr:cNvPr>
        <xdr:cNvCxnSpPr/>
      </xdr:nvCxnSpPr>
      <xdr:spPr>
        <a:xfrm flipH="1" flipV="1">
          <a:off x="14626167" y="2582333"/>
          <a:ext cx="74083" cy="238125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264584</xdr:colOff>
      <xdr:row>11</xdr:row>
      <xdr:rowOff>179916</xdr:rowOff>
    </xdr:from>
    <xdr:to>
      <xdr:col>38</xdr:col>
      <xdr:colOff>179916</xdr:colOff>
      <xdr:row>24</xdr:row>
      <xdr:rowOff>10583</xdr:rowOff>
    </xdr:to>
    <xdr:cxnSp macro="">
      <xdr:nvCxnSpPr>
        <xdr:cNvPr id="27" name="Connettore 2 26">
          <a:extLst>
            <a:ext uri="{FF2B5EF4-FFF2-40B4-BE49-F238E27FC236}">
              <a16:creationId xmlns:a16="http://schemas.microsoft.com/office/drawing/2014/main" id="{985FE1B8-CBB4-4968-8DF1-EAACDA61BF94}"/>
            </a:ext>
          </a:extLst>
        </xdr:cNvPr>
        <xdr:cNvCxnSpPr/>
      </xdr:nvCxnSpPr>
      <xdr:spPr>
        <a:xfrm flipV="1">
          <a:off x="23198667" y="2582333"/>
          <a:ext cx="529166" cy="2137833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364067</xdr:colOff>
      <xdr:row>4</xdr:row>
      <xdr:rowOff>74084</xdr:rowOff>
    </xdr:from>
    <xdr:to>
      <xdr:col>35</xdr:col>
      <xdr:colOff>190500</xdr:colOff>
      <xdr:row>25</xdr:row>
      <xdr:rowOff>4233</xdr:rowOff>
    </xdr:to>
    <xdr:cxnSp macro="">
      <xdr:nvCxnSpPr>
        <xdr:cNvPr id="30" name="Connettore 2 29">
          <a:extLst>
            <a:ext uri="{FF2B5EF4-FFF2-40B4-BE49-F238E27FC236}">
              <a16:creationId xmlns:a16="http://schemas.microsoft.com/office/drawing/2014/main" id="{9B83D574-FAEE-4636-B269-C66ECA1DB862}"/>
            </a:ext>
          </a:extLst>
        </xdr:cNvPr>
        <xdr:cNvCxnSpPr/>
      </xdr:nvCxnSpPr>
      <xdr:spPr>
        <a:xfrm flipV="1">
          <a:off x="21456650" y="973667"/>
          <a:ext cx="440267" cy="3972983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463551</xdr:colOff>
      <xdr:row>1</xdr:row>
      <xdr:rowOff>120650</xdr:rowOff>
    </xdr:from>
    <xdr:to>
      <xdr:col>20</xdr:col>
      <xdr:colOff>3984</xdr:colOff>
      <xdr:row>22</xdr:row>
      <xdr:rowOff>183475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7134" y="311150"/>
          <a:ext cx="1995767" cy="45713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578911</xdr:colOff>
      <xdr:row>26</xdr:row>
      <xdr:rowOff>23281</xdr:rowOff>
    </xdr:from>
    <xdr:to>
      <xdr:col>19</xdr:col>
      <xdr:colOff>592934</xdr:colOff>
      <xdr:row>32</xdr:row>
      <xdr:rowOff>172505</xdr:rowOff>
    </xdr:to>
    <xdr:grpSp>
      <xdr:nvGrpSpPr>
        <xdr:cNvPr id="3" name="Grupp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9951511" y="5547781"/>
          <a:ext cx="2452423" cy="1330324"/>
          <a:chOff x="7696200" y="194982"/>
          <a:chExt cx="2160000" cy="1443318"/>
        </a:xfrm>
      </xdr:grpSpPr>
      <xdr:pic>
        <xdr:nvPicPr>
          <xdr:cNvPr id="4" name="Immagin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rot="16200000">
            <a:off x="8054541" y="-163359"/>
            <a:ext cx="1443318" cy="216000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5" name="CasellaDiTes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 rot="16200000">
            <a:off x="9246879" y="750976"/>
            <a:ext cx="302139" cy="245101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1200"/>
              <a:t>D</a:t>
            </a:r>
          </a:p>
        </xdr:txBody>
      </xdr:sp>
      <xdr:sp macro="" textlink="">
        <xdr:nvSpPr>
          <xdr:cNvPr id="6" name="CasellaDiTesto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 rot="16200000">
            <a:off x="9550211" y="750976"/>
            <a:ext cx="264831" cy="245101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1200"/>
              <a:t>s</a:t>
            </a:r>
          </a:p>
        </xdr:txBody>
      </xdr:sp>
      <xdr:sp macro="" textlink="">
        <xdr:nvSpPr>
          <xdr:cNvPr id="7" name="CasellaDiTes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8313757" y="723900"/>
            <a:ext cx="322139" cy="280205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1200"/>
              <a:t>R</a:t>
            </a:r>
            <a:r>
              <a:rPr lang="it-IT" sz="1200" baseline="-25000"/>
              <a:t>p</a:t>
            </a:r>
            <a:endParaRPr lang="it-IT" sz="1200"/>
          </a:p>
        </xdr:txBody>
      </xdr:sp>
    </xdr:grpSp>
    <xdr:clientData/>
  </xdr:twoCellAnchor>
  <xdr:twoCellAnchor editAs="absolute">
    <xdr:from>
      <xdr:col>9</xdr:col>
      <xdr:colOff>381001</xdr:colOff>
      <xdr:row>0</xdr:row>
      <xdr:rowOff>179917</xdr:rowOff>
    </xdr:from>
    <xdr:to>
      <xdr:col>16</xdr:col>
      <xdr:colOff>0</xdr:colOff>
      <xdr:row>6</xdr:row>
      <xdr:rowOff>10583</xdr:rowOff>
    </xdr:to>
    <xdr:sp macro="" textlink="">
      <xdr:nvSpPr>
        <xdr:cNvPr id="10" name="TextBox 1">
          <a:extLst>
            <a:ext uri="{FF2B5EF4-FFF2-40B4-BE49-F238E27FC236}">
              <a16:creationId xmlns:a16="http://schemas.microsoft.com/office/drawing/2014/main" id="{ADC7049E-A475-4A10-8891-56B6CDDF99BE}"/>
            </a:ext>
          </a:extLst>
        </xdr:cNvPr>
        <xdr:cNvSpPr txBox="1"/>
      </xdr:nvSpPr>
      <xdr:spPr>
        <a:xfrm>
          <a:off x="6127751" y="179917"/>
          <a:ext cx="3915832" cy="1100666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INSTRUCTIONS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u="none" baseline="0"/>
            <a:t>1)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Compile the input data cells.</a:t>
          </a:r>
          <a:endParaRPr lang="it-IT" sz="12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it-IT" sz="1200" b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Select</a:t>
          </a:r>
          <a:r>
            <a:rPr lang="it-IT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tightening ratio </a:t>
          </a:r>
          <a:r>
            <a:rPr lang="el-G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ξ</a:t>
          </a:r>
          <a:r>
            <a:rPr lang="it-IT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(suggested value 70% )</a:t>
          </a:r>
        </a:p>
        <a:p>
          <a:pPr eaLnBrk="1" fontAlgn="auto" latinLnBrk="0" hangingPunct="1"/>
          <a:r>
            <a:rPr lang="it-IT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Define the friction coefficients</a:t>
          </a:r>
        </a:p>
        <a:p>
          <a:pPr eaLnBrk="1" fontAlgn="auto" latinLnBrk="0" hangingPunct="1"/>
          <a:r>
            <a:rPr lang="it-IT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Verify that the criteria are satisfied.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eas\FWENVI\WWT%20Area\1-BH-0267A%20-%20prolungamento%20studio%20di%20fattibilit&#224;%20KRC\09%20Design%20calculations\calcoli%20finali\pfd%20nuovo%20impianto%20-%20falda%20+%20processo%20con%20biologic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milfs002\b1h00\PROJECTS\1-BH-0389A%20KJO-RWTF2\09%20Design%20calculations\Linee\Linee%2010_12_16%20sketch%20Bottazzi\Design%20flowrate\line%2012%20pollic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wfsc003/1cd1213a/ZoneExchange/Equipment%20list/front%20pag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\Backup%2029-09-06\Seam%201-025%20Politecnico%20Merone\09.0%20-%20Design%20Calculation\Linea%20fanghi\Progettazione%20impianto%20civile\progetto%20impianto%20di%20depurazione%20civ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EAS\DIP110\APPLICAT\pumps\PUM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medie inquinanti "/>
      <sheetName val="Schema a blocchi"/>
      <sheetName val="calcolo servizi"/>
      <sheetName val="API"/>
      <sheetName val="DAF"/>
      <sheetName val="Caldensitàmiscela"/>
      <sheetName val="Basi di progetto biologico"/>
      <sheetName val="Biologico tradizionale"/>
      <sheetName val="Calcolo ossigeno"/>
      <sheetName val="Sedimentazione Secondaria"/>
      <sheetName val="Valutazione fanghi prodotti"/>
      <sheetName val="Ispessitore"/>
      <sheetName val="Ricalcolo acqua in ingresso API"/>
      <sheetName val="Calcolo apparecchiature"/>
      <sheetName val="Compressori"/>
      <sheetName val="CPI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 RPI"/>
      <sheetName val="From Surge Tank"/>
      <sheetName val="From CPI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rev1"/>
      <sheetName val="listes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 di progetto"/>
      <sheetName val="Canaletta in ingresso"/>
      <sheetName val="Griglia grossolana"/>
      <sheetName val="Dissabbiatore"/>
      <sheetName val="Vasca di compenso"/>
      <sheetName val="Sedimentazione Primaria"/>
      <sheetName val="Biologico tradizionale"/>
      <sheetName val="Nitro"/>
      <sheetName val="Denitro"/>
      <sheetName val=" nitro denitro (T perm) e dim."/>
      <sheetName val="Sedimentazione Secondaria"/>
      <sheetName val="ossigeno in nitro"/>
      <sheetName val="Filtrazione"/>
      <sheetName val="Disinfezione"/>
      <sheetName val="Valutazione fanghi prodotti"/>
      <sheetName val="vasca di miscelazione fanghi"/>
      <sheetName val="Ispessitore"/>
      <sheetName val="Digestione Anaerobica"/>
      <sheetName val="Dimensionamento dig. anaer."/>
      <sheetName val="Filtropressatura"/>
      <sheetName val="Gasometr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MP CALCULATIO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5B84-F814-4AD1-A126-048DFA32A1A8}">
  <sheetPr codeName="Foglio2"/>
  <dimension ref="A1:AD47"/>
  <sheetViews>
    <sheetView tabSelected="1" topLeftCell="A29" zoomScaleNormal="100" zoomScaleSheetLayoutView="100" workbookViewId="0">
      <selection activeCell="P45" sqref="P45:T45"/>
    </sheetView>
  </sheetViews>
  <sheetFormatPr defaultRowHeight="12" x14ac:dyDescent="0.2"/>
  <cols>
    <col min="1" max="30" width="3.28515625" style="6" customWidth="1"/>
    <col min="31" max="256" width="9.140625" style="6"/>
    <col min="257" max="286" width="3.28515625" style="6" customWidth="1"/>
    <col min="287" max="512" width="9.140625" style="6"/>
    <col min="513" max="542" width="3.28515625" style="6" customWidth="1"/>
    <col min="543" max="768" width="9.140625" style="6"/>
    <col min="769" max="798" width="3.28515625" style="6" customWidth="1"/>
    <col min="799" max="1024" width="9.140625" style="6"/>
    <col min="1025" max="1054" width="3.28515625" style="6" customWidth="1"/>
    <col min="1055" max="1280" width="9.140625" style="6"/>
    <col min="1281" max="1310" width="3.28515625" style="6" customWidth="1"/>
    <col min="1311" max="1536" width="9.140625" style="6"/>
    <col min="1537" max="1566" width="3.28515625" style="6" customWidth="1"/>
    <col min="1567" max="1792" width="9.140625" style="6"/>
    <col min="1793" max="1822" width="3.28515625" style="6" customWidth="1"/>
    <col min="1823" max="2048" width="9.140625" style="6"/>
    <col min="2049" max="2078" width="3.28515625" style="6" customWidth="1"/>
    <col min="2079" max="2304" width="9.140625" style="6"/>
    <col min="2305" max="2334" width="3.28515625" style="6" customWidth="1"/>
    <col min="2335" max="2560" width="9.140625" style="6"/>
    <col min="2561" max="2590" width="3.28515625" style="6" customWidth="1"/>
    <col min="2591" max="2816" width="9.140625" style="6"/>
    <col min="2817" max="2846" width="3.28515625" style="6" customWidth="1"/>
    <col min="2847" max="3072" width="9.140625" style="6"/>
    <col min="3073" max="3102" width="3.28515625" style="6" customWidth="1"/>
    <col min="3103" max="3328" width="9.140625" style="6"/>
    <col min="3329" max="3358" width="3.28515625" style="6" customWidth="1"/>
    <col min="3359" max="3584" width="9.140625" style="6"/>
    <col min="3585" max="3614" width="3.28515625" style="6" customWidth="1"/>
    <col min="3615" max="3840" width="9.140625" style="6"/>
    <col min="3841" max="3870" width="3.28515625" style="6" customWidth="1"/>
    <col min="3871" max="4096" width="9.140625" style="6"/>
    <col min="4097" max="4126" width="3.28515625" style="6" customWidth="1"/>
    <col min="4127" max="4352" width="9.140625" style="6"/>
    <col min="4353" max="4382" width="3.28515625" style="6" customWidth="1"/>
    <col min="4383" max="4608" width="9.140625" style="6"/>
    <col min="4609" max="4638" width="3.28515625" style="6" customWidth="1"/>
    <col min="4639" max="4864" width="9.140625" style="6"/>
    <col min="4865" max="4894" width="3.28515625" style="6" customWidth="1"/>
    <col min="4895" max="5120" width="9.140625" style="6"/>
    <col min="5121" max="5150" width="3.28515625" style="6" customWidth="1"/>
    <col min="5151" max="5376" width="9.140625" style="6"/>
    <col min="5377" max="5406" width="3.28515625" style="6" customWidth="1"/>
    <col min="5407" max="5632" width="9.140625" style="6"/>
    <col min="5633" max="5662" width="3.28515625" style="6" customWidth="1"/>
    <col min="5663" max="5888" width="9.140625" style="6"/>
    <col min="5889" max="5918" width="3.28515625" style="6" customWidth="1"/>
    <col min="5919" max="6144" width="9.140625" style="6"/>
    <col min="6145" max="6174" width="3.28515625" style="6" customWidth="1"/>
    <col min="6175" max="6400" width="9.140625" style="6"/>
    <col min="6401" max="6430" width="3.28515625" style="6" customWidth="1"/>
    <col min="6431" max="6656" width="9.140625" style="6"/>
    <col min="6657" max="6686" width="3.28515625" style="6" customWidth="1"/>
    <col min="6687" max="6912" width="9.140625" style="6"/>
    <col min="6913" max="6942" width="3.28515625" style="6" customWidth="1"/>
    <col min="6943" max="7168" width="9.140625" style="6"/>
    <col min="7169" max="7198" width="3.28515625" style="6" customWidth="1"/>
    <col min="7199" max="7424" width="9.140625" style="6"/>
    <col min="7425" max="7454" width="3.28515625" style="6" customWidth="1"/>
    <col min="7455" max="7680" width="9.140625" style="6"/>
    <col min="7681" max="7710" width="3.28515625" style="6" customWidth="1"/>
    <col min="7711" max="7936" width="9.140625" style="6"/>
    <col min="7937" max="7966" width="3.28515625" style="6" customWidth="1"/>
    <col min="7967" max="8192" width="9.140625" style="6"/>
    <col min="8193" max="8222" width="3.28515625" style="6" customWidth="1"/>
    <col min="8223" max="8448" width="9.140625" style="6"/>
    <col min="8449" max="8478" width="3.28515625" style="6" customWidth="1"/>
    <col min="8479" max="8704" width="9.140625" style="6"/>
    <col min="8705" max="8734" width="3.28515625" style="6" customWidth="1"/>
    <col min="8735" max="8960" width="9.140625" style="6"/>
    <col min="8961" max="8990" width="3.28515625" style="6" customWidth="1"/>
    <col min="8991" max="9216" width="9.140625" style="6"/>
    <col min="9217" max="9246" width="3.28515625" style="6" customWidth="1"/>
    <col min="9247" max="9472" width="9.140625" style="6"/>
    <col min="9473" max="9502" width="3.28515625" style="6" customWidth="1"/>
    <col min="9503" max="9728" width="9.140625" style="6"/>
    <col min="9729" max="9758" width="3.28515625" style="6" customWidth="1"/>
    <col min="9759" max="9984" width="9.140625" style="6"/>
    <col min="9985" max="10014" width="3.28515625" style="6" customWidth="1"/>
    <col min="10015" max="10240" width="9.140625" style="6"/>
    <col min="10241" max="10270" width="3.28515625" style="6" customWidth="1"/>
    <col min="10271" max="10496" width="9.140625" style="6"/>
    <col min="10497" max="10526" width="3.28515625" style="6" customWidth="1"/>
    <col min="10527" max="10752" width="9.140625" style="6"/>
    <col min="10753" max="10782" width="3.28515625" style="6" customWidth="1"/>
    <col min="10783" max="11008" width="9.140625" style="6"/>
    <col min="11009" max="11038" width="3.28515625" style="6" customWidth="1"/>
    <col min="11039" max="11264" width="9.140625" style="6"/>
    <col min="11265" max="11294" width="3.28515625" style="6" customWidth="1"/>
    <col min="11295" max="11520" width="9.140625" style="6"/>
    <col min="11521" max="11550" width="3.28515625" style="6" customWidth="1"/>
    <col min="11551" max="11776" width="9.140625" style="6"/>
    <col min="11777" max="11806" width="3.28515625" style="6" customWidth="1"/>
    <col min="11807" max="12032" width="9.140625" style="6"/>
    <col min="12033" max="12062" width="3.28515625" style="6" customWidth="1"/>
    <col min="12063" max="12288" width="9.140625" style="6"/>
    <col min="12289" max="12318" width="3.28515625" style="6" customWidth="1"/>
    <col min="12319" max="12544" width="9.140625" style="6"/>
    <col min="12545" max="12574" width="3.28515625" style="6" customWidth="1"/>
    <col min="12575" max="12800" width="9.140625" style="6"/>
    <col min="12801" max="12830" width="3.28515625" style="6" customWidth="1"/>
    <col min="12831" max="13056" width="9.140625" style="6"/>
    <col min="13057" max="13086" width="3.28515625" style="6" customWidth="1"/>
    <col min="13087" max="13312" width="9.140625" style="6"/>
    <col min="13313" max="13342" width="3.28515625" style="6" customWidth="1"/>
    <col min="13343" max="13568" width="9.140625" style="6"/>
    <col min="13569" max="13598" width="3.28515625" style="6" customWidth="1"/>
    <col min="13599" max="13824" width="9.140625" style="6"/>
    <col min="13825" max="13854" width="3.28515625" style="6" customWidth="1"/>
    <col min="13855" max="14080" width="9.140625" style="6"/>
    <col min="14081" max="14110" width="3.28515625" style="6" customWidth="1"/>
    <col min="14111" max="14336" width="9.140625" style="6"/>
    <col min="14337" max="14366" width="3.28515625" style="6" customWidth="1"/>
    <col min="14367" max="14592" width="9.140625" style="6"/>
    <col min="14593" max="14622" width="3.28515625" style="6" customWidth="1"/>
    <col min="14623" max="14848" width="9.140625" style="6"/>
    <col min="14849" max="14878" width="3.28515625" style="6" customWidth="1"/>
    <col min="14879" max="15104" width="9.140625" style="6"/>
    <col min="15105" max="15134" width="3.28515625" style="6" customWidth="1"/>
    <col min="15135" max="15360" width="9.140625" style="6"/>
    <col min="15361" max="15390" width="3.28515625" style="6" customWidth="1"/>
    <col min="15391" max="15616" width="9.140625" style="6"/>
    <col min="15617" max="15646" width="3.28515625" style="6" customWidth="1"/>
    <col min="15647" max="15872" width="9.140625" style="6"/>
    <col min="15873" max="15902" width="3.28515625" style="6" customWidth="1"/>
    <col min="15903" max="16128" width="9.140625" style="6"/>
    <col min="16129" max="16158" width="3.28515625" style="6" customWidth="1"/>
    <col min="16159" max="16384" width="9.140625" style="6"/>
  </cols>
  <sheetData>
    <row r="1" spans="1:30" ht="15" customHeight="1" x14ac:dyDescent="0.2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</row>
    <row r="2" spans="1:30" ht="15" customHeight="1" x14ac:dyDescent="0.2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</row>
    <row r="3" spans="1:30" ht="15" customHeight="1" x14ac:dyDescent="0.2">
      <c r="A3" s="7"/>
      <c r="B3" s="8"/>
      <c r="C3" s="8"/>
      <c r="D3" s="8"/>
      <c r="E3" s="8"/>
      <c r="F3" s="8"/>
      <c r="G3" s="8"/>
      <c r="H3" s="10"/>
      <c r="I3" s="10"/>
      <c r="J3" s="10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X3" s="12"/>
      <c r="Y3" s="12"/>
      <c r="Z3" s="12"/>
      <c r="AA3" s="12"/>
      <c r="AB3" s="12"/>
      <c r="AC3" s="12"/>
      <c r="AD3" s="13"/>
    </row>
    <row r="4" spans="1:30" ht="15" customHeight="1" x14ac:dyDescent="0.2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</row>
    <row r="5" spans="1:30" ht="15" customHeight="1" x14ac:dyDescent="0.2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</row>
    <row r="6" spans="1:30" ht="15" customHeight="1" x14ac:dyDescent="0.2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</row>
    <row r="7" spans="1:30" ht="15" customHeight="1" thickBot="1" x14ac:dyDescent="0.25">
      <c r="A7" s="14"/>
      <c r="B7" s="15"/>
      <c r="C7" s="15"/>
      <c r="D7" s="15"/>
      <c r="E7" s="15"/>
      <c r="F7" s="16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15"/>
      <c r="AB7" s="15"/>
      <c r="AC7" s="15"/>
      <c r="AD7" s="17"/>
    </row>
    <row r="8" spans="1:30" ht="15" customHeight="1" x14ac:dyDescent="0.2">
      <c r="A8" s="68" t="s">
        <v>86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70"/>
    </row>
    <row r="9" spans="1:30" ht="15" customHeight="1" x14ac:dyDescent="0.2">
      <c r="A9" s="71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3"/>
    </row>
    <row r="10" spans="1:30" ht="15" customHeight="1" x14ac:dyDescent="0.2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3"/>
    </row>
    <row r="11" spans="1:30" ht="15" customHeight="1" x14ac:dyDescent="0.2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3"/>
    </row>
    <row r="12" spans="1:30" ht="15" customHeight="1" x14ac:dyDescent="0.2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3"/>
    </row>
    <row r="13" spans="1:30" ht="15" customHeight="1" x14ac:dyDescent="0.2">
      <c r="A13" s="71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3"/>
    </row>
    <row r="14" spans="1:30" ht="15" customHeight="1" x14ac:dyDescent="0.2">
      <c r="A14" s="71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3"/>
    </row>
    <row r="15" spans="1:30" ht="15" customHeight="1" x14ac:dyDescent="0.2">
      <c r="A15" s="71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3"/>
    </row>
    <row r="16" spans="1:30" ht="15" customHeight="1" x14ac:dyDescent="0.2">
      <c r="A16" s="71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3"/>
    </row>
    <row r="17" spans="1:30" ht="15" customHeight="1" x14ac:dyDescent="0.2">
      <c r="A17" s="71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3"/>
    </row>
    <row r="18" spans="1:30" ht="15" customHeight="1" x14ac:dyDescent="0.2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3"/>
    </row>
    <row r="19" spans="1:30" ht="15" customHeight="1" x14ac:dyDescent="0.2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3"/>
    </row>
    <row r="20" spans="1:30" ht="15" customHeight="1" x14ac:dyDescent="0.2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3"/>
    </row>
    <row r="21" spans="1:30" ht="15" customHeight="1" x14ac:dyDescent="0.2">
      <c r="A21" s="71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3"/>
    </row>
    <row r="22" spans="1:30" ht="15" customHeight="1" x14ac:dyDescent="0.2">
      <c r="A22" s="71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3"/>
    </row>
    <row r="23" spans="1:30" ht="15" customHeight="1" x14ac:dyDescent="0.2">
      <c r="A23" s="71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3"/>
    </row>
    <row r="24" spans="1:30" ht="15" customHeight="1" x14ac:dyDescent="0.2">
      <c r="A24" s="71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3"/>
    </row>
    <row r="25" spans="1:30" ht="15" customHeight="1" x14ac:dyDescent="0.2">
      <c r="A25" s="71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3"/>
    </row>
    <row r="26" spans="1:30" ht="15" customHeight="1" x14ac:dyDescent="0.2">
      <c r="A26" s="71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3"/>
    </row>
    <row r="27" spans="1:30" ht="15" customHeight="1" x14ac:dyDescent="0.2">
      <c r="A27" s="7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3"/>
    </row>
    <row r="28" spans="1:30" ht="15" customHeight="1" x14ac:dyDescent="0.2">
      <c r="A28" s="71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3"/>
    </row>
    <row r="29" spans="1:30" ht="15" customHeight="1" x14ac:dyDescent="0.2">
      <c r="A29" s="71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3"/>
    </row>
    <row r="30" spans="1:30" ht="15" customHeight="1" x14ac:dyDescent="0.2">
      <c r="A30" s="71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3"/>
    </row>
    <row r="31" spans="1:30" ht="15" customHeight="1" x14ac:dyDescent="0.2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3"/>
    </row>
    <row r="32" spans="1:30" ht="15" customHeight="1" x14ac:dyDescent="0.2">
      <c r="A32" s="71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3"/>
    </row>
    <row r="33" spans="1:30" ht="15" customHeight="1" x14ac:dyDescent="0.2">
      <c r="A33" s="7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3"/>
    </row>
    <row r="34" spans="1:30" ht="15" customHeight="1" x14ac:dyDescent="0.2">
      <c r="A34" s="71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3"/>
    </row>
    <row r="35" spans="1:30" ht="15" customHeight="1" x14ac:dyDescent="0.2">
      <c r="A35" s="71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3"/>
    </row>
    <row r="36" spans="1:30" ht="15" customHeight="1" x14ac:dyDescent="0.2">
      <c r="A36" s="7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3"/>
    </row>
    <row r="37" spans="1:30" ht="15" customHeight="1" x14ac:dyDescent="0.2">
      <c r="A37" s="71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3"/>
    </row>
    <row r="38" spans="1:30" ht="15" customHeight="1" thickBot="1" x14ac:dyDescent="0.25">
      <c r="A38" s="74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6"/>
    </row>
    <row r="39" spans="1:30" ht="30" customHeight="1" x14ac:dyDescent="0.2">
      <c r="A39" s="77"/>
      <c r="B39" s="78"/>
      <c r="C39" s="79"/>
      <c r="D39" s="80"/>
      <c r="E39" s="80"/>
      <c r="F39" s="78"/>
      <c r="G39" s="79"/>
      <c r="H39" s="80"/>
      <c r="I39" s="80"/>
      <c r="J39" s="80"/>
      <c r="K39" s="80"/>
      <c r="L39" s="80"/>
      <c r="M39" s="80"/>
      <c r="N39" s="80"/>
      <c r="O39" s="80"/>
      <c r="P39" s="79"/>
      <c r="Q39" s="80"/>
      <c r="R39" s="80"/>
      <c r="S39" s="80"/>
      <c r="T39" s="78"/>
      <c r="U39" s="79"/>
      <c r="V39" s="80"/>
      <c r="W39" s="80"/>
      <c r="X39" s="80"/>
      <c r="Y39" s="78"/>
      <c r="Z39" s="79"/>
      <c r="AA39" s="80"/>
      <c r="AB39" s="80"/>
      <c r="AC39" s="80"/>
      <c r="AD39" s="81"/>
    </row>
    <row r="40" spans="1:30" ht="30" customHeight="1" x14ac:dyDescent="0.2">
      <c r="A40" s="66"/>
      <c r="B40" s="67"/>
      <c r="C40" s="63"/>
      <c r="D40" s="64"/>
      <c r="E40" s="64"/>
      <c r="F40" s="67"/>
      <c r="G40" s="63"/>
      <c r="H40" s="64"/>
      <c r="I40" s="64"/>
      <c r="J40" s="64"/>
      <c r="K40" s="64"/>
      <c r="L40" s="64"/>
      <c r="M40" s="64"/>
      <c r="N40" s="64"/>
      <c r="O40" s="64"/>
      <c r="P40" s="63"/>
      <c r="Q40" s="64"/>
      <c r="R40" s="64"/>
      <c r="S40" s="64"/>
      <c r="T40" s="67"/>
      <c r="U40" s="63"/>
      <c r="V40" s="64"/>
      <c r="W40" s="64"/>
      <c r="X40" s="64"/>
      <c r="Y40" s="67"/>
      <c r="Z40" s="63"/>
      <c r="AA40" s="64"/>
      <c r="AB40" s="64"/>
      <c r="AC40" s="64"/>
      <c r="AD40" s="65"/>
    </row>
    <row r="41" spans="1:30" ht="30" customHeight="1" x14ac:dyDescent="0.2">
      <c r="A41" s="66"/>
      <c r="B41" s="67"/>
      <c r="C41" s="63"/>
      <c r="D41" s="64"/>
      <c r="E41" s="64"/>
      <c r="F41" s="67"/>
      <c r="G41" s="63"/>
      <c r="H41" s="64"/>
      <c r="I41" s="64"/>
      <c r="J41" s="64"/>
      <c r="K41" s="64"/>
      <c r="L41" s="64"/>
      <c r="M41" s="64"/>
      <c r="N41" s="64"/>
      <c r="O41" s="64"/>
      <c r="P41" s="63"/>
      <c r="Q41" s="64"/>
      <c r="R41" s="64"/>
      <c r="S41" s="64"/>
      <c r="T41" s="67"/>
      <c r="U41" s="63"/>
      <c r="V41" s="64"/>
      <c r="W41" s="64"/>
      <c r="X41" s="64"/>
      <c r="Y41" s="67"/>
      <c r="Z41" s="63"/>
      <c r="AA41" s="64"/>
      <c r="AB41" s="64"/>
      <c r="AC41" s="64"/>
      <c r="AD41" s="65"/>
    </row>
    <row r="42" spans="1:30" ht="30" customHeight="1" x14ac:dyDescent="0.2">
      <c r="A42" s="66"/>
      <c r="B42" s="67"/>
      <c r="C42" s="63"/>
      <c r="D42" s="64"/>
      <c r="E42" s="64"/>
      <c r="F42" s="67"/>
      <c r="G42" s="63"/>
      <c r="H42" s="64"/>
      <c r="I42" s="64"/>
      <c r="J42" s="64"/>
      <c r="K42" s="64"/>
      <c r="L42" s="64"/>
      <c r="M42" s="64"/>
      <c r="N42" s="64"/>
      <c r="O42" s="64"/>
      <c r="P42" s="63"/>
      <c r="Q42" s="64"/>
      <c r="R42" s="64"/>
      <c r="S42" s="64"/>
      <c r="T42" s="67"/>
      <c r="U42" s="63"/>
      <c r="V42" s="64"/>
      <c r="W42" s="64"/>
      <c r="X42" s="64"/>
      <c r="Y42" s="67"/>
      <c r="Z42" s="63"/>
      <c r="AA42" s="64"/>
      <c r="AB42" s="64"/>
      <c r="AC42" s="64"/>
      <c r="AD42" s="65"/>
    </row>
    <row r="43" spans="1:30" ht="30" customHeight="1" x14ac:dyDescent="0.2">
      <c r="A43" s="66"/>
      <c r="B43" s="67"/>
      <c r="C43" s="63"/>
      <c r="D43" s="64"/>
      <c r="E43" s="64"/>
      <c r="F43" s="67"/>
      <c r="G43" s="63"/>
      <c r="H43" s="64"/>
      <c r="I43" s="64"/>
      <c r="J43" s="64"/>
      <c r="K43" s="64"/>
      <c r="L43" s="64"/>
      <c r="M43" s="64"/>
      <c r="N43" s="64"/>
      <c r="O43" s="64"/>
      <c r="P43" s="63"/>
      <c r="Q43" s="64"/>
      <c r="R43" s="64"/>
      <c r="S43" s="64"/>
      <c r="T43" s="67"/>
      <c r="U43" s="63"/>
      <c r="V43" s="64"/>
      <c r="W43" s="64"/>
      <c r="X43" s="64"/>
      <c r="Y43" s="67"/>
      <c r="Z43" s="63"/>
      <c r="AA43" s="64"/>
      <c r="AB43" s="64"/>
      <c r="AC43" s="64"/>
      <c r="AD43" s="65"/>
    </row>
    <row r="44" spans="1:30" ht="39" customHeight="1" x14ac:dyDescent="0.2">
      <c r="A44" s="55">
        <v>1</v>
      </c>
      <c r="B44" s="56"/>
      <c r="C44" s="57">
        <v>45778</v>
      </c>
      <c r="D44" s="58"/>
      <c r="E44" s="58"/>
      <c r="F44" s="59"/>
      <c r="G44" s="60" t="s">
        <v>93</v>
      </c>
      <c r="H44" s="61"/>
      <c r="I44" s="61"/>
      <c r="J44" s="61"/>
      <c r="K44" s="61"/>
      <c r="L44" s="61"/>
      <c r="M44" s="61"/>
      <c r="N44" s="61"/>
      <c r="O44" s="61"/>
      <c r="P44" s="52" t="s">
        <v>104</v>
      </c>
      <c r="Q44" s="53"/>
      <c r="R44" s="53"/>
      <c r="S44" s="53"/>
      <c r="T44" s="62"/>
      <c r="U44" s="52" t="s">
        <v>103</v>
      </c>
      <c r="V44" s="53"/>
      <c r="W44" s="53"/>
      <c r="X44" s="53"/>
      <c r="Y44" s="62"/>
      <c r="Z44" s="52" t="s">
        <v>101</v>
      </c>
      <c r="AA44" s="53"/>
      <c r="AB44" s="53"/>
      <c r="AC44" s="53"/>
      <c r="AD44" s="54"/>
    </row>
    <row r="45" spans="1:30" ht="30" customHeight="1" x14ac:dyDescent="0.2">
      <c r="A45" s="55">
        <v>0</v>
      </c>
      <c r="B45" s="56"/>
      <c r="C45" s="57">
        <v>45432</v>
      </c>
      <c r="D45" s="58"/>
      <c r="E45" s="58"/>
      <c r="F45" s="59"/>
      <c r="G45" s="60" t="s">
        <v>0</v>
      </c>
      <c r="H45" s="61"/>
      <c r="I45" s="61"/>
      <c r="J45" s="61"/>
      <c r="K45" s="61"/>
      <c r="L45" s="61"/>
      <c r="M45" s="61"/>
      <c r="N45" s="61"/>
      <c r="O45" s="61"/>
      <c r="P45" s="52" t="s">
        <v>1</v>
      </c>
      <c r="Q45" s="53"/>
      <c r="R45" s="53"/>
      <c r="S45" s="53"/>
      <c r="T45" s="62"/>
      <c r="U45" s="52" t="s">
        <v>2</v>
      </c>
      <c r="V45" s="53"/>
      <c r="W45" s="53"/>
      <c r="X45" s="53"/>
      <c r="Y45" s="62"/>
      <c r="Z45" s="52" t="s">
        <v>3</v>
      </c>
      <c r="AA45" s="53"/>
      <c r="AB45" s="53"/>
      <c r="AC45" s="53"/>
      <c r="AD45" s="54"/>
    </row>
    <row r="46" spans="1:30" ht="15" customHeight="1" thickBot="1" x14ac:dyDescent="0.25">
      <c r="A46" s="46" t="s">
        <v>4</v>
      </c>
      <c r="B46" s="47"/>
      <c r="C46" s="48" t="s">
        <v>5</v>
      </c>
      <c r="D46" s="49"/>
      <c r="E46" s="49"/>
      <c r="F46" s="50"/>
      <c r="G46" s="48" t="s">
        <v>6</v>
      </c>
      <c r="H46" s="49"/>
      <c r="I46" s="49"/>
      <c r="J46" s="49"/>
      <c r="K46" s="49"/>
      <c r="L46" s="49"/>
      <c r="M46" s="49"/>
      <c r="N46" s="49"/>
      <c r="O46" s="49"/>
      <c r="P46" s="48" t="s">
        <v>7</v>
      </c>
      <c r="Q46" s="49"/>
      <c r="R46" s="49"/>
      <c r="S46" s="49"/>
      <c r="T46" s="50"/>
      <c r="U46" s="48" t="s">
        <v>8</v>
      </c>
      <c r="V46" s="49"/>
      <c r="W46" s="49"/>
      <c r="X46" s="49"/>
      <c r="Y46" s="49"/>
      <c r="Z46" s="48" t="s">
        <v>9</v>
      </c>
      <c r="AA46" s="49"/>
      <c r="AB46" s="49"/>
      <c r="AC46" s="49"/>
      <c r="AD46" s="51"/>
    </row>
    <row r="47" spans="1:30" ht="15" customHeight="1" thickBot="1" x14ac:dyDescent="0.25">
      <c r="A47" s="43" t="s">
        <v>102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5"/>
    </row>
  </sheetData>
  <mergeCells count="50">
    <mergeCell ref="A8:AD38"/>
    <mergeCell ref="A39:B39"/>
    <mergeCell ref="C39:F39"/>
    <mergeCell ref="G39:O39"/>
    <mergeCell ref="P39:T39"/>
    <mergeCell ref="U39:Y39"/>
    <mergeCell ref="Z39:AD39"/>
    <mergeCell ref="Z41:AD41"/>
    <mergeCell ref="A40:B40"/>
    <mergeCell ref="C40:F40"/>
    <mergeCell ref="G40:O40"/>
    <mergeCell ref="P40:T40"/>
    <mergeCell ref="U40:Y40"/>
    <mergeCell ref="Z40:AD40"/>
    <mergeCell ref="A41:B41"/>
    <mergeCell ref="C41:F41"/>
    <mergeCell ref="G41:O41"/>
    <mergeCell ref="P41:T41"/>
    <mergeCell ref="U41:Y41"/>
    <mergeCell ref="Z43:AD43"/>
    <mergeCell ref="A42:B42"/>
    <mergeCell ref="C42:F42"/>
    <mergeCell ref="G42:O42"/>
    <mergeCell ref="P42:T42"/>
    <mergeCell ref="U42:Y42"/>
    <mergeCell ref="Z42:AD42"/>
    <mergeCell ref="A43:B43"/>
    <mergeCell ref="C43:F43"/>
    <mergeCell ref="G43:O43"/>
    <mergeCell ref="P43:T43"/>
    <mergeCell ref="U43:Y43"/>
    <mergeCell ref="Z45:AD45"/>
    <mergeCell ref="A44:B44"/>
    <mergeCell ref="C44:F44"/>
    <mergeCell ref="G44:O44"/>
    <mergeCell ref="P44:T44"/>
    <mergeCell ref="U44:Y44"/>
    <mergeCell ref="Z44:AD44"/>
    <mergeCell ref="A45:B45"/>
    <mergeCell ref="C45:F45"/>
    <mergeCell ref="G45:O45"/>
    <mergeCell ref="P45:T45"/>
    <mergeCell ref="U45:Y45"/>
    <mergeCell ref="A47:AD47"/>
    <mergeCell ref="A46:B46"/>
    <mergeCell ref="C46:F46"/>
    <mergeCell ref="G46:O46"/>
    <mergeCell ref="P46:T46"/>
    <mergeCell ref="U46:Y46"/>
    <mergeCell ref="Z46:AD4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fitToWidth="3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E766-6E4A-473B-A0E9-8FC29071153B}">
  <sheetPr codeName="Foglio4"/>
  <dimension ref="A2:AM39"/>
  <sheetViews>
    <sheetView topLeftCell="A17" zoomScaleNormal="100" workbookViewId="0">
      <selection activeCell="G39" sqref="G39"/>
    </sheetView>
  </sheetViews>
  <sheetFormatPr defaultRowHeight="15" x14ac:dyDescent="0.25"/>
  <cols>
    <col min="1" max="1" width="9.85546875" customWidth="1"/>
    <col min="2" max="2" width="11.85546875" customWidth="1"/>
  </cols>
  <sheetData>
    <row r="2" spans="1:39" ht="18.75" x14ac:dyDescent="0.3">
      <c r="A2" s="82" t="s">
        <v>10</v>
      </c>
      <c r="B2" s="82"/>
      <c r="C2" s="82"/>
      <c r="D2" s="82"/>
      <c r="E2" s="82"/>
      <c r="F2" s="106"/>
      <c r="H2" s="106" t="s">
        <v>11</v>
      </c>
      <c r="I2" s="106"/>
      <c r="R2" s="35" t="s">
        <v>12</v>
      </c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7"/>
    </row>
    <row r="3" spans="1:39" ht="18" x14ac:dyDescent="0.35">
      <c r="A3" s="18" t="s">
        <v>13</v>
      </c>
      <c r="B3" s="19">
        <v>724</v>
      </c>
      <c r="C3" s="85" t="s">
        <v>14</v>
      </c>
      <c r="D3" s="86"/>
      <c r="E3" s="86"/>
      <c r="F3" s="87"/>
      <c r="H3" s="130" t="s">
        <v>15</v>
      </c>
      <c r="I3" s="130"/>
      <c r="R3" s="28"/>
      <c r="AM3" s="38"/>
    </row>
    <row r="4" spans="1:39" ht="18" x14ac:dyDescent="0.35">
      <c r="A4" s="18" t="s">
        <v>87</v>
      </c>
      <c r="B4" s="19">
        <v>485</v>
      </c>
      <c r="C4" s="91" t="s">
        <v>88</v>
      </c>
      <c r="D4" s="91"/>
      <c r="E4" s="91"/>
      <c r="F4" s="92"/>
      <c r="H4" s="131" t="s">
        <v>18</v>
      </c>
      <c r="I4" s="131"/>
      <c r="R4" s="28"/>
      <c r="AM4" s="38"/>
    </row>
    <row r="5" spans="1:39" ht="18" x14ac:dyDescent="0.35">
      <c r="A5" s="18" t="s">
        <v>16</v>
      </c>
      <c r="B5" s="19">
        <v>39</v>
      </c>
      <c r="C5" s="91" t="s">
        <v>17</v>
      </c>
      <c r="D5" s="91"/>
      <c r="E5" s="91"/>
      <c r="F5" s="92"/>
      <c r="H5" s="132" t="s">
        <v>21</v>
      </c>
      <c r="I5" s="132"/>
      <c r="R5" s="28"/>
      <c r="AM5" s="38"/>
    </row>
    <row r="6" spans="1:39" x14ac:dyDescent="0.25">
      <c r="A6" s="18" t="s">
        <v>19</v>
      </c>
      <c r="B6" s="19">
        <v>2</v>
      </c>
      <c r="C6" s="91" t="s">
        <v>20</v>
      </c>
      <c r="D6" s="99"/>
      <c r="E6" s="99"/>
      <c r="F6" s="100"/>
      <c r="H6" s="126" t="s">
        <v>24</v>
      </c>
      <c r="I6" s="126"/>
      <c r="R6" s="28"/>
      <c r="AM6" s="38"/>
    </row>
    <row r="7" spans="1:39" ht="18" customHeight="1" x14ac:dyDescent="0.35">
      <c r="A7" s="18" t="s">
        <v>22</v>
      </c>
      <c r="B7" s="20">
        <f>B5-0.64952*B6</f>
        <v>37.700960000000002</v>
      </c>
      <c r="C7" s="91" t="s">
        <v>23</v>
      </c>
      <c r="D7" s="99"/>
      <c r="E7" s="99"/>
      <c r="F7" s="100"/>
      <c r="R7" s="28"/>
      <c r="AM7" s="38"/>
    </row>
    <row r="8" spans="1:39" ht="18" x14ac:dyDescent="0.35">
      <c r="A8" s="18" t="s">
        <v>25</v>
      </c>
      <c r="B8" s="20">
        <f>B5-1.22687*B6</f>
        <v>36.546260000000004</v>
      </c>
      <c r="C8" s="91" t="s">
        <v>26</v>
      </c>
      <c r="D8" s="99"/>
      <c r="E8" s="99"/>
      <c r="F8" s="100"/>
      <c r="H8" s="117" t="s">
        <v>29</v>
      </c>
      <c r="I8" s="118"/>
      <c r="J8" s="118"/>
      <c r="K8" s="118"/>
      <c r="L8" s="118"/>
      <c r="M8" s="118"/>
      <c r="N8" s="118"/>
      <c r="O8" s="119"/>
      <c r="R8" s="28"/>
      <c r="AM8" s="38"/>
    </row>
    <row r="9" spans="1:39" ht="18" x14ac:dyDescent="0.35">
      <c r="A9" s="18" t="s">
        <v>27</v>
      </c>
      <c r="B9" s="19">
        <v>36</v>
      </c>
      <c r="C9" s="91" t="s">
        <v>28</v>
      </c>
      <c r="D9" s="99"/>
      <c r="E9" s="99"/>
      <c r="F9" s="100"/>
      <c r="H9" s="107" t="s">
        <v>32</v>
      </c>
      <c r="I9" s="108"/>
      <c r="J9" s="107" t="s">
        <v>33</v>
      </c>
      <c r="K9" s="108"/>
      <c r="L9" s="107" t="s">
        <v>34</v>
      </c>
      <c r="M9" s="108"/>
      <c r="N9" s="107" t="s">
        <v>35</v>
      </c>
      <c r="O9" s="108"/>
      <c r="R9" s="28"/>
      <c r="AD9" s="1" t="s">
        <v>36</v>
      </c>
      <c r="AM9" s="38"/>
    </row>
    <row r="10" spans="1:39" ht="18" x14ac:dyDescent="0.35">
      <c r="A10" s="18" t="s">
        <v>30</v>
      </c>
      <c r="B10" s="20">
        <f>MIN((B7+B8)/2,B9,(B23+B24)/2)</f>
        <v>36</v>
      </c>
      <c r="C10" s="91" t="s">
        <v>31</v>
      </c>
      <c r="D10" s="99"/>
      <c r="E10" s="99"/>
      <c r="F10" s="100"/>
      <c r="H10" s="113" t="s">
        <v>39</v>
      </c>
      <c r="I10" s="114"/>
      <c r="J10" s="113" t="s">
        <v>40</v>
      </c>
      <c r="K10" s="114"/>
      <c r="L10" s="113" t="s">
        <v>41</v>
      </c>
      <c r="M10" s="114"/>
      <c r="N10" s="109">
        <v>0.1</v>
      </c>
      <c r="O10" s="110"/>
      <c r="R10" s="28"/>
      <c r="AM10" s="38"/>
    </row>
    <row r="11" spans="1:39" x14ac:dyDescent="0.25">
      <c r="A11" s="21" t="s">
        <v>37</v>
      </c>
      <c r="B11" s="20">
        <v>30</v>
      </c>
      <c r="C11" s="91" t="s">
        <v>38</v>
      </c>
      <c r="D11" s="99"/>
      <c r="E11" s="99"/>
      <c r="F11" s="100"/>
      <c r="H11" s="126" t="s">
        <v>39</v>
      </c>
      <c r="I11" s="126"/>
      <c r="J11" s="126" t="s">
        <v>44</v>
      </c>
      <c r="K11" s="126"/>
      <c r="L11" s="113" t="s">
        <v>41</v>
      </c>
      <c r="M11" s="114"/>
      <c r="N11" s="111" t="s">
        <v>45</v>
      </c>
      <c r="O11" s="112"/>
      <c r="R11" s="28"/>
      <c r="AM11" s="38"/>
    </row>
    <row r="12" spans="1:39" x14ac:dyDescent="0.25">
      <c r="A12" s="18" t="s">
        <v>42</v>
      </c>
      <c r="B12" s="22">
        <v>0.7</v>
      </c>
      <c r="C12" s="91" t="s">
        <v>43</v>
      </c>
      <c r="D12" s="99"/>
      <c r="E12" s="99"/>
      <c r="F12" s="100"/>
      <c r="H12" s="113" t="s">
        <v>39</v>
      </c>
      <c r="I12" s="114"/>
      <c r="J12" s="126" t="s">
        <v>48</v>
      </c>
      <c r="K12" s="126"/>
      <c r="L12" s="113" t="s">
        <v>41</v>
      </c>
      <c r="M12" s="114"/>
      <c r="N12" s="111" t="s">
        <v>49</v>
      </c>
      <c r="O12" s="112"/>
      <c r="R12" s="28"/>
      <c r="AM12" s="38"/>
    </row>
    <row r="13" spans="1:39" x14ac:dyDescent="0.25">
      <c r="A13" s="18" t="s">
        <v>46</v>
      </c>
      <c r="B13" s="19">
        <v>41</v>
      </c>
      <c r="C13" s="91" t="s">
        <v>47</v>
      </c>
      <c r="D13" s="99"/>
      <c r="E13" s="99"/>
      <c r="F13" s="100"/>
      <c r="H13" s="126" t="s">
        <v>39</v>
      </c>
      <c r="I13" s="126"/>
      <c r="J13" s="126" t="s">
        <v>52</v>
      </c>
      <c r="K13" s="126"/>
      <c r="L13" s="113" t="s">
        <v>52</v>
      </c>
      <c r="M13" s="114"/>
      <c r="N13" s="111" t="s">
        <v>53</v>
      </c>
      <c r="O13" s="112"/>
      <c r="R13" s="28"/>
      <c r="AM13" s="38"/>
    </row>
    <row r="14" spans="1:39" x14ac:dyDescent="0.25">
      <c r="A14" s="18" t="s">
        <v>50</v>
      </c>
      <c r="B14" s="25">
        <v>55</v>
      </c>
      <c r="C14" s="127" t="s">
        <v>51</v>
      </c>
      <c r="D14" s="128"/>
      <c r="E14" s="128"/>
      <c r="F14" s="129"/>
      <c r="H14" s="113" t="s">
        <v>39</v>
      </c>
      <c r="I14" s="114"/>
      <c r="J14" s="126" t="s">
        <v>52</v>
      </c>
      <c r="K14" s="126"/>
      <c r="L14" s="113" t="s">
        <v>41</v>
      </c>
      <c r="M14" s="114"/>
      <c r="N14" s="111" t="s">
        <v>45</v>
      </c>
      <c r="O14" s="112"/>
      <c r="R14" s="28"/>
      <c r="AM14" s="38"/>
    </row>
    <row r="15" spans="1:39" ht="18" x14ac:dyDescent="0.35">
      <c r="A15" s="26" t="s">
        <v>54</v>
      </c>
      <c r="B15" s="27">
        <f>(B13+B14)/4</f>
        <v>24</v>
      </c>
      <c r="C15" s="95" t="s">
        <v>55</v>
      </c>
      <c r="D15" s="96"/>
      <c r="E15" s="96"/>
      <c r="F15" s="97"/>
      <c r="G15" s="28"/>
      <c r="H15" s="126" t="s">
        <v>39</v>
      </c>
      <c r="I15" s="126"/>
      <c r="J15" s="126" t="s">
        <v>58</v>
      </c>
      <c r="K15" s="126"/>
      <c r="L15" s="113" t="s">
        <v>58</v>
      </c>
      <c r="M15" s="114"/>
      <c r="N15" s="109">
        <v>0.2</v>
      </c>
      <c r="O15" s="110"/>
      <c r="R15" s="28"/>
      <c r="AM15" s="38"/>
    </row>
    <row r="16" spans="1:39" x14ac:dyDescent="0.25">
      <c r="A16" s="18" t="s">
        <v>56</v>
      </c>
      <c r="B16" s="19">
        <v>0.1</v>
      </c>
      <c r="C16" s="123" t="s">
        <v>57</v>
      </c>
      <c r="D16" s="124"/>
      <c r="E16" s="124"/>
      <c r="F16" s="125"/>
      <c r="H16" s="113" t="s">
        <v>39</v>
      </c>
      <c r="I16" s="114"/>
      <c r="J16" s="126" t="s">
        <v>58</v>
      </c>
      <c r="K16" s="126"/>
      <c r="L16" s="113" t="s">
        <v>41</v>
      </c>
      <c r="M16" s="114"/>
      <c r="N16" s="111" t="s">
        <v>45</v>
      </c>
      <c r="O16" s="112"/>
      <c r="R16" s="28"/>
      <c r="AM16" s="38"/>
    </row>
    <row r="17" spans="1:39" ht="18" x14ac:dyDescent="0.35">
      <c r="A17" s="23" t="s">
        <v>59</v>
      </c>
      <c r="B17" s="29">
        <v>0.1</v>
      </c>
      <c r="C17" s="120" t="s">
        <v>60</v>
      </c>
      <c r="D17" s="121"/>
      <c r="E17" s="121"/>
      <c r="F17" s="122"/>
      <c r="H17" s="113" t="s">
        <v>61</v>
      </c>
      <c r="I17" s="114"/>
      <c r="J17" s="109" t="s">
        <v>62</v>
      </c>
      <c r="K17" s="115"/>
      <c r="L17" s="115"/>
      <c r="M17" s="115"/>
      <c r="N17" s="115"/>
      <c r="O17" s="110"/>
      <c r="R17" s="28"/>
      <c r="AM17" s="38"/>
    </row>
    <row r="18" spans="1:39" x14ac:dyDescent="0.25">
      <c r="H18" s="117" t="s">
        <v>64</v>
      </c>
      <c r="I18" s="118"/>
      <c r="J18" s="118"/>
      <c r="K18" s="118"/>
      <c r="L18" s="118"/>
      <c r="M18" s="118"/>
      <c r="N18" s="118"/>
      <c r="O18" s="119"/>
      <c r="R18" s="28"/>
      <c r="AM18" s="38"/>
    </row>
    <row r="19" spans="1:39" x14ac:dyDescent="0.25">
      <c r="A19" s="82" t="s">
        <v>63</v>
      </c>
      <c r="B19" s="82"/>
      <c r="C19" s="82"/>
      <c r="D19" s="82"/>
      <c r="E19" s="82"/>
      <c r="F19" s="106"/>
      <c r="R19" s="28"/>
      <c r="AM19" s="38"/>
    </row>
    <row r="20" spans="1:39" ht="18" x14ac:dyDescent="0.35">
      <c r="A20" s="18" t="s">
        <v>65</v>
      </c>
      <c r="B20" s="19">
        <v>248</v>
      </c>
      <c r="C20" s="85" t="s">
        <v>66</v>
      </c>
      <c r="D20" s="86"/>
      <c r="E20" s="86"/>
      <c r="F20" s="87"/>
      <c r="R20" s="28"/>
      <c r="AM20" s="38"/>
    </row>
    <row r="21" spans="1:39" ht="18" x14ac:dyDescent="0.35">
      <c r="A21" s="18" t="s">
        <v>67</v>
      </c>
      <c r="B21" s="19">
        <v>42</v>
      </c>
      <c r="C21" s="91" t="s">
        <v>68</v>
      </c>
      <c r="D21" s="91"/>
      <c r="E21" s="91"/>
      <c r="F21" s="92"/>
      <c r="R21" s="28"/>
      <c r="AM21" s="38"/>
    </row>
    <row r="22" spans="1:39" ht="18" x14ac:dyDescent="0.35">
      <c r="A22" s="18" t="s">
        <v>69</v>
      </c>
      <c r="B22" s="19">
        <v>2</v>
      </c>
      <c r="C22" s="91" t="s">
        <v>70</v>
      </c>
      <c r="D22" s="99"/>
      <c r="E22" s="99"/>
      <c r="F22" s="100"/>
      <c r="R22" s="28"/>
      <c r="AM22" s="38"/>
    </row>
    <row r="23" spans="1:39" ht="18" x14ac:dyDescent="0.35">
      <c r="A23" s="18" t="s">
        <v>99</v>
      </c>
      <c r="B23" s="20">
        <f>B21-0.64952*B22</f>
        <v>40.700960000000002</v>
      </c>
      <c r="C23" s="91" t="s">
        <v>97</v>
      </c>
      <c r="D23" s="99"/>
      <c r="E23" s="99"/>
      <c r="F23" s="100"/>
      <c r="R23" s="28"/>
      <c r="AM23" s="38"/>
    </row>
    <row r="24" spans="1:39" ht="18" x14ac:dyDescent="0.35">
      <c r="A24" s="18" t="s">
        <v>100</v>
      </c>
      <c r="B24" s="20">
        <f>B21-1.22687*B22</f>
        <v>39.546260000000004</v>
      </c>
      <c r="C24" s="91" t="s">
        <v>98</v>
      </c>
      <c r="D24" s="99"/>
      <c r="E24" s="99"/>
      <c r="F24" s="100"/>
      <c r="R24" s="28"/>
      <c r="AM24" s="38"/>
    </row>
    <row r="25" spans="1:39" ht="18" x14ac:dyDescent="0.35">
      <c r="A25" s="18" t="s">
        <v>71</v>
      </c>
      <c r="B25" s="19">
        <v>55</v>
      </c>
      <c r="C25" s="91" t="s">
        <v>72</v>
      </c>
      <c r="D25" s="99"/>
      <c r="E25" s="99"/>
      <c r="F25" s="100"/>
      <c r="R25" s="28"/>
      <c r="AL25" s="18" t="s">
        <v>67</v>
      </c>
      <c r="AM25" s="38"/>
    </row>
    <row r="26" spans="1:39" ht="18" x14ac:dyDescent="0.35">
      <c r="A26" s="18" t="s">
        <v>73</v>
      </c>
      <c r="B26" s="20">
        <f>B25/B22</f>
        <v>27.5</v>
      </c>
      <c r="C26" s="91" t="s">
        <v>74</v>
      </c>
      <c r="D26" s="99"/>
      <c r="E26" s="99"/>
      <c r="F26" s="100"/>
      <c r="R26" s="28"/>
      <c r="X26" s="18" t="s">
        <v>16</v>
      </c>
      <c r="AD26" s="18" t="s">
        <v>27</v>
      </c>
      <c r="AI26" s="18" t="s">
        <v>71</v>
      </c>
      <c r="AL26" s="18" t="s">
        <v>69</v>
      </c>
      <c r="AM26" s="38"/>
    </row>
    <row r="27" spans="1:39" x14ac:dyDescent="0.25">
      <c r="A27" s="23" t="s">
        <v>75</v>
      </c>
      <c r="B27" s="32">
        <f>INT(B25/B22)-1</f>
        <v>26</v>
      </c>
      <c r="C27" s="120" t="s">
        <v>76</v>
      </c>
      <c r="D27" s="121"/>
      <c r="E27" s="121"/>
      <c r="F27" s="122"/>
      <c r="R27" s="18" t="s">
        <v>46</v>
      </c>
      <c r="U27" s="18" t="s">
        <v>50</v>
      </c>
      <c r="X27" s="18" t="s">
        <v>19</v>
      </c>
      <c r="AM27" s="38"/>
    </row>
    <row r="28" spans="1:39" x14ac:dyDescent="0.25">
      <c r="R28" s="28"/>
      <c r="AM28" s="38"/>
    </row>
    <row r="29" spans="1:39" x14ac:dyDescent="0.25">
      <c r="A29" s="82" t="s">
        <v>77</v>
      </c>
      <c r="B29" s="82"/>
      <c r="C29" s="82"/>
      <c r="D29" s="82"/>
      <c r="E29" s="82"/>
      <c r="F29" s="106"/>
      <c r="G29" s="28"/>
      <c r="R29" s="28"/>
      <c r="AM29" s="38"/>
    </row>
    <row r="30" spans="1:39" x14ac:dyDescent="0.25">
      <c r="A30" s="24" t="s">
        <v>78</v>
      </c>
      <c r="B30" s="30">
        <f>B3*B12*(PI()*B10^2/4)</f>
        <v>515859.56681593542</v>
      </c>
      <c r="C30" s="85" t="s">
        <v>79</v>
      </c>
      <c r="D30" s="85"/>
      <c r="E30" s="85"/>
      <c r="F30" s="116"/>
      <c r="R30" s="28"/>
      <c r="AM30" s="38"/>
    </row>
    <row r="31" spans="1:39" x14ac:dyDescent="0.25">
      <c r="A31" s="26" t="s">
        <v>80</v>
      </c>
      <c r="B31" s="34">
        <f>B30*((B16/COS(RADIANS(B11))*(B7/2))+(B6/(2*PI()))+(B17*B15))/1000</f>
        <v>2525.120109512477</v>
      </c>
      <c r="C31" s="95" t="s">
        <v>81</v>
      </c>
      <c r="D31" s="96"/>
      <c r="E31" s="96"/>
      <c r="F31" s="97"/>
      <c r="R31" s="28"/>
      <c r="AA31" s="41"/>
      <c r="AC31" s="41"/>
      <c r="AM31" s="38"/>
    </row>
    <row r="32" spans="1:39" ht="18" x14ac:dyDescent="0.35">
      <c r="A32" s="26" t="s">
        <v>89</v>
      </c>
      <c r="B32" s="42">
        <f>PI()/4*(B14^2-B13^2)*B4</f>
        <v>511953.93882899272</v>
      </c>
      <c r="C32" s="95" t="s">
        <v>91</v>
      </c>
      <c r="D32" s="96"/>
      <c r="E32" s="96"/>
      <c r="F32" s="97"/>
      <c r="R32" s="28"/>
      <c r="AA32" s="41"/>
      <c r="AC32" s="41"/>
      <c r="AM32" s="38"/>
    </row>
    <row r="33" spans="1:39" ht="18" x14ac:dyDescent="0.35">
      <c r="A33" s="31" t="s">
        <v>90</v>
      </c>
      <c r="B33" s="33">
        <f>PI()*B21*(0.75*B27*B22)*(B20/SQRT(3))</f>
        <v>736808.83293668099</v>
      </c>
      <c r="C33" s="88" t="s">
        <v>82</v>
      </c>
      <c r="D33" s="89"/>
      <c r="E33" s="89"/>
      <c r="F33" s="90"/>
      <c r="R33" s="28"/>
      <c r="AC33" s="41"/>
      <c r="AM33" s="38"/>
    </row>
    <row r="34" spans="1:39" x14ac:dyDescent="0.25">
      <c r="R34" s="28"/>
      <c r="AM34" s="38"/>
    </row>
    <row r="35" spans="1:39" x14ac:dyDescent="0.25">
      <c r="A35" s="82" t="s">
        <v>83</v>
      </c>
      <c r="B35" s="83"/>
      <c r="C35" s="83"/>
      <c r="D35" s="83"/>
      <c r="E35" s="83"/>
      <c r="F35" s="83"/>
      <c r="G35" s="83"/>
      <c r="H35" s="83"/>
      <c r="I35" s="83"/>
      <c r="J35" s="84"/>
      <c r="R35" s="28"/>
      <c r="AM35" s="38"/>
    </row>
    <row r="36" spans="1:39" ht="18" x14ac:dyDescent="0.35">
      <c r="A36" s="101" t="s">
        <v>84</v>
      </c>
      <c r="B36" s="101"/>
      <c r="C36" s="98">
        <f>B12</f>
        <v>0.7</v>
      </c>
      <c r="D36" s="98"/>
      <c r="E36" s="85" t="s">
        <v>43</v>
      </c>
      <c r="F36" s="86"/>
      <c r="G36" s="86"/>
      <c r="H36" s="86"/>
      <c r="I36" s="86"/>
      <c r="J36" s="87"/>
      <c r="R36" s="28"/>
      <c r="AM36" s="38"/>
    </row>
    <row r="37" spans="1:39" ht="18" x14ac:dyDescent="0.35">
      <c r="A37" s="93" t="s">
        <v>96</v>
      </c>
      <c r="B37" s="94"/>
      <c r="C37" s="98">
        <f>B30/B32</f>
        <v>1.0076288659793813</v>
      </c>
      <c r="D37" s="98"/>
      <c r="E37" s="95" t="s">
        <v>95</v>
      </c>
      <c r="F37" s="96"/>
      <c r="G37" s="96"/>
      <c r="H37" s="96"/>
      <c r="I37" s="96"/>
      <c r="J37" s="97"/>
      <c r="R37" s="28"/>
      <c r="AM37" s="38"/>
    </row>
    <row r="38" spans="1:39" ht="18" x14ac:dyDescent="0.35">
      <c r="A38" s="102" t="s">
        <v>92</v>
      </c>
      <c r="B38" s="103"/>
      <c r="C38" s="104">
        <f>B30/B33</f>
        <v>0.70012674082622839</v>
      </c>
      <c r="D38" s="105"/>
      <c r="E38" s="88" t="s">
        <v>94</v>
      </c>
      <c r="F38" s="89"/>
      <c r="G38" s="89"/>
      <c r="H38" s="89"/>
      <c r="I38" s="89"/>
      <c r="J38" s="90"/>
      <c r="R38" s="28"/>
      <c r="AM38" s="38"/>
    </row>
    <row r="39" spans="1:39" x14ac:dyDescent="0.25">
      <c r="R39" s="39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40"/>
    </row>
  </sheetData>
  <mergeCells count="81">
    <mergeCell ref="C6:F6"/>
    <mergeCell ref="H5:I5"/>
    <mergeCell ref="C7:F7"/>
    <mergeCell ref="H6:I6"/>
    <mergeCell ref="C8:F8"/>
    <mergeCell ref="H8:O8"/>
    <mergeCell ref="A2:F2"/>
    <mergeCell ref="H2:I2"/>
    <mergeCell ref="C3:F3"/>
    <mergeCell ref="H3:I3"/>
    <mergeCell ref="C5:F5"/>
    <mergeCell ref="H4:I4"/>
    <mergeCell ref="C10:F10"/>
    <mergeCell ref="H9:I9"/>
    <mergeCell ref="J9:K9"/>
    <mergeCell ref="L9:M9"/>
    <mergeCell ref="C11:F11"/>
    <mergeCell ref="H10:I10"/>
    <mergeCell ref="J10:K10"/>
    <mergeCell ref="L10:M10"/>
    <mergeCell ref="C9:F9"/>
    <mergeCell ref="C12:F12"/>
    <mergeCell ref="H11:I11"/>
    <mergeCell ref="J11:K11"/>
    <mergeCell ref="L11:M11"/>
    <mergeCell ref="C13:F13"/>
    <mergeCell ref="H12:I12"/>
    <mergeCell ref="J12:K12"/>
    <mergeCell ref="L12:M12"/>
    <mergeCell ref="C14:F14"/>
    <mergeCell ref="H13:I13"/>
    <mergeCell ref="J13:K13"/>
    <mergeCell ref="L13:M13"/>
    <mergeCell ref="C15:F15"/>
    <mergeCell ref="H14:I14"/>
    <mergeCell ref="J14:K14"/>
    <mergeCell ref="L14:M14"/>
    <mergeCell ref="C16:F16"/>
    <mergeCell ref="H15:I15"/>
    <mergeCell ref="J15:K15"/>
    <mergeCell ref="L15:M15"/>
    <mergeCell ref="C17:F17"/>
    <mergeCell ref="H16:I16"/>
    <mergeCell ref="J16:K16"/>
    <mergeCell ref="L16:M16"/>
    <mergeCell ref="A29:F29"/>
    <mergeCell ref="C30:F30"/>
    <mergeCell ref="C31:F31"/>
    <mergeCell ref="C33:F33"/>
    <mergeCell ref="H18:O18"/>
    <mergeCell ref="C21:F21"/>
    <mergeCell ref="C22:F22"/>
    <mergeCell ref="C25:F25"/>
    <mergeCell ref="C26:F26"/>
    <mergeCell ref="C27:F27"/>
    <mergeCell ref="N9:O9"/>
    <mergeCell ref="N10:O10"/>
    <mergeCell ref="N11:O11"/>
    <mergeCell ref="N12:O12"/>
    <mergeCell ref="H17:I17"/>
    <mergeCell ref="J17:O17"/>
    <mergeCell ref="N14:O14"/>
    <mergeCell ref="N15:O15"/>
    <mergeCell ref="N16:O16"/>
    <mergeCell ref="N13:O13"/>
    <mergeCell ref="A35:J35"/>
    <mergeCell ref="E36:J36"/>
    <mergeCell ref="E38:J38"/>
    <mergeCell ref="C4:F4"/>
    <mergeCell ref="A37:B37"/>
    <mergeCell ref="C32:F32"/>
    <mergeCell ref="E37:J37"/>
    <mergeCell ref="C37:D37"/>
    <mergeCell ref="C23:F23"/>
    <mergeCell ref="C24:F24"/>
    <mergeCell ref="A36:B36"/>
    <mergeCell ref="C36:D36"/>
    <mergeCell ref="A38:B38"/>
    <mergeCell ref="C38:D38"/>
    <mergeCell ref="A19:F19"/>
    <mergeCell ref="C20:F20"/>
  </mergeCells>
  <phoneticPr fontId="24" type="noConversion"/>
  <conditionalFormatting sqref="C36">
    <cfRule type="iconSet" priority="3">
      <iconSet iconSet="3Symbols" reverse="1">
        <cfvo type="percent" val="0"/>
        <cfvo type="num" val="0.7" gte="0"/>
        <cfvo type="num" val="0.8" gte="0"/>
      </iconSet>
    </cfRule>
  </conditionalFormatting>
  <conditionalFormatting sqref="C38:D38">
    <cfRule type="iconSet" priority="2">
      <iconSet iconSet="3Symbols" reverse="1">
        <cfvo type="percent" val="0"/>
        <cfvo type="num" val="0.65"/>
        <cfvo type="num" val="0.7" gte="0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C058C9B-E673-4D4C-83A4-662CAD5ADCD6}">
            <x14:iconSet iconSet="3Symbols" custom="1">
              <x14:cfvo type="percent">
                <xm:f>0</xm:f>
              </x14:cfvo>
              <x14:cfvo type="num">
                <xm:f>1</xm:f>
              </x14:cfvo>
              <x14:cfvo type="num">
                <xm:f>1.1000000000000001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C37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2:O38"/>
  <sheetViews>
    <sheetView zoomScaleNormal="100" workbookViewId="0">
      <selection activeCell="B10" sqref="B10"/>
    </sheetView>
  </sheetViews>
  <sheetFormatPr defaultRowHeight="15" x14ac:dyDescent="0.25"/>
  <cols>
    <col min="1" max="1" width="9.85546875" customWidth="1"/>
    <col min="2" max="2" width="11.85546875" customWidth="1"/>
  </cols>
  <sheetData>
    <row r="2" spans="1:15" x14ac:dyDescent="0.25">
      <c r="A2" s="82" t="s">
        <v>10</v>
      </c>
      <c r="B2" s="82"/>
      <c r="C2" s="82"/>
      <c r="D2" s="82"/>
      <c r="E2" s="82"/>
      <c r="F2" s="106"/>
      <c r="H2" s="106" t="s">
        <v>11</v>
      </c>
      <c r="I2" s="106"/>
    </row>
    <row r="3" spans="1:15" ht="18" x14ac:dyDescent="0.35">
      <c r="A3" s="18" t="s">
        <v>13</v>
      </c>
      <c r="B3" s="19">
        <v>724</v>
      </c>
      <c r="C3" s="85" t="s">
        <v>14</v>
      </c>
      <c r="D3" s="86"/>
      <c r="E3" s="86"/>
      <c r="F3" s="87"/>
      <c r="H3" s="130" t="s">
        <v>15</v>
      </c>
      <c r="I3" s="130"/>
    </row>
    <row r="4" spans="1:15" ht="18" x14ac:dyDescent="0.35">
      <c r="A4" s="18" t="s">
        <v>87</v>
      </c>
      <c r="B4" s="19">
        <v>485</v>
      </c>
      <c r="C4" s="91" t="s">
        <v>88</v>
      </c>
      <c r="D4" s="91"/>
      <c r="E4" s="91"/>
      <c r="F4" s="92"/>
      <c r="H4" s="131" t="s">
        <v>18</v>
      </c>
      <c r="I4" s="131"/>
    </row>
    <row r="5" spans="1:15" ht="18" x14ac:dyDescent="0.35">
      <c r="A5" s="18" t="s">
        <v>16</v>
      </c>
      <c r="B5" s="19">
        <v>42</v>
      </c>
      <c r="C5" s="91" t="s">
        <v>17</v>
      </c>
      <c r="D5" s="91"/>
      <c r="E5" s="91"/>
      <c r="F5" s="92"/>
      <c r="H5" s="132" t="s">
        <v>21</v>
      </c>
      <c r="I5" s="132"/>
    </row>
    <row r="6" spans="1:15" x14ac:dyDescent="0.25">
      <c r="A6" s="18" t="s">
        <v>19</v>
      </c>
      <c r="B6" s="19">
        <v>3</v>
      </c>
      <c r="C6" s="91" t="s">
        <v>20</v>
      </c>
      <c r="D6" s="99"/>
      <c r="E6" s="99"/>
      <c r="F6" s="100"/>
      <c r="H6" s="126" t="s">
        <v>24</v>
      </c>
      <c r="I6" s="126"/>
    </row>
    <row r="7" spans="1:15" ht="18" customHeight="1" x14ac:dyDescent="0.35">
      <c r="A7" s="18" t="s">
        <v>22</v>
      </c>
      <c r="B7" s="20">
        <f>B5-0.64952*B6</f>
        <v>40.051439999999999</v>
      </c>
      <c r="C7" s="91" t="s">
        <v>23</v>
      </c>
      <c r="D7" s="99"/>
      <c r="E7" s="99"/>
      <c r="F7" s="100"/>
    </row>
    <row r="8" spans="1:15" ht="18" x14ac:dyDescent="0.35">
      <c r="A8" s="18" t="s">
        <v>25</v>
      </c>
      <c r="B8" s="20">
        <f>B5-1.22687*B6</f>
        <v>38.319389999999999</v>
      </c>
      <c r="C8" s="91" t="s">
        <v>26</v>
      </c>
      <c r="D8" s="99"/>
      <c r="E8" s="99"/>
      <c r="F8" s="100"/>
      <c r="H8" s="117" t="s">
        <v>29</v>
      </c>
      <c r="I8" s="118"/>
      <c r="J8" s="118"/>
      <c r="K8" s="118"/>
      <c r="L8" s="118"/>
      <c r="M8" s="118"/>
      <c r="N8" s="118"/>
      <c r="O8" s="119"/>
    </row>
    <row r="9" spans="1:15" ht="18" x14ac:dyDescent="0.35">
      <c r="A9" s="18" t="s">
        <v>27</v>
      </c>
      <c r="B9" s="19">
        <v>39</v>
      </c>
      <c r="C9" s="91" t="s">
        <v>28</v>
      </c>
      <c r="D9" s="99"/>
      <c r="E9" s="99"/>
      <c r="F9" s="100"/>
      <c r="H9" s="107" t="s">
        <v>32</v>
      </c>
      <c r="I9" s="108"/>
      <c r="J9" s="107" t="s">
        <v>33</v>
      </c>
      <c r="K9" s="108"/>
      <c r="L9" s="107" t="s">
        <v>34</v>
      </c>
      <c r="M9" s="108"/>
      <c r="N9" s="107" t="s">
        <v>35</v>
      </c>
      <c r="O9" s="108"/>
    </row>
    <row r="10" spans="1:15" ht="18" x14ac:dyDescent="0.35">
      <c r="A10" s="18" t="s">
        <v>30</v>
      </c>
      <c r="B10" s="20">
        <f>MIN((B7+B8)/2,B9,(B23+B24)/2)</f>
        <v>39</v>
      </c>
      <c r="C10" s="91" t="s">
        <v>31</v>
      </c>
      <c r="D10" s="99"/>
      <c r="E10" s="99"/>
      <c r="F10" s="100"/>
      <c r="H10" s="113" t="s">
        <v>39</v>
      </c>
      <c r="I10" s="114"/>
      <c r="J10" s="113" t="s">
        <v>40</v>
      </c>
      <c r="K10" s="114"/>
      <c r="L10" s="113" t="s">
        <v>41</v>
      </c>
      <c r="M10" s="114"/>
      <c r="N10" s="109">
        <v>0.1</v>
      </c>
      <c r="O10" s="110"/>
    </row>
    <row r="11" spans="1:15" x14ac:dyDescent="0.25">
      <c r="A11" s="21" t="s">
        <v>37</v>
      </c>
      <c r="B11" s="20">
        <v>30</v>
      </c>
      <c r="C11" s="91" t="s">
        <v>38</v>
      </c>
      <c r="D11" s="99"/>
      <c r="E11" s="99"/>
      <c r="F11" s="100"/>
      <c r="H11" s="126" t="s">
        <v>39</v>
      </c>
      <c r="I11" s="126"/>
      <c r="J11" s="126" t="s">
        <v>44</v>
      </c>
      <c r="K11" s="126"/>
      <c r="L11" s="113" t="s">
        <v>41</v>
      </c>
      <c r="M11" s="114"/>
      <c r="N11" s="111" t="s">
        <v>45</v>
      </c>
      <c r="O11" s="112"/>
    </row>
    <row r="12" spans="1:15" x14ac:dyDescent="0.25">
      <c r="A12" s="18" t="s">
        <v>42</v>
      </c>
      <c r="B12" s="22">
        <v>0.7</v>
      </c>
      <c r="C12" s="91" t="s">
        <v>43</v>
      </c>
      <c r="D12" s="99"/>
      <c r="E12" s="99"/>
      <c r="F12" s="100"/>
      <c r="H12" s="113" t="s">
        <v>39</v>
      </c>
      <c r="I12" s="114"/>
      <c r="J12" s="126" t="s">
        <v>48</v>
      </c>
      <c r="K12" s="126"/>
      <c r="L12" s="113" t="s">
        <v>41</v>
      </c>
      <c r="M12" s="114"/>
      <c r="N12" s="111" t="s">
        <v>49</v>
      </c>
      <c r="O12" s="112"/>
    </row>
    <row r="13" spans="1:15" x14ac:dyDescent="0.25">
      <c r="A13" s="18" t="s">
        <v>46</v>
      </c>
      <c r="B13" s="19">
        <v>44</v>
      </c>
      <c r="C13" s="91" t="s">
        <v>47</v>
      </c>
      <c r="D13" s="99"/>
      <c r="E13" s="99"/>
      <c r="F13" s="100"/>
      <c r="H13" s="126" t="s">
        <v>39</v>
      </c>
      <c r="I13" s="126"/>
      <c r="J13" s="126" t="s">
        <v>52</v>
      </c>
      <c r="K13" s="126"/>
      <c r="L13" s="113" t="s">
        <v>52</v>
      </c>
      <c r="M13" s="114"/>
      <c r="N13" s="111" t="s">
        <v>53</v>
      </c>
      <c r="O13" s="112"/>
    </row>
    <row r="14" spans="1:15" x14ac:dyDescent="0.25">
      <c r="A14" s="18" t="s">
        <v>50</v>
      </c>
      <c r="B14" s="25">
        <v>60</v>
      </c>
      <c r="C14" s="127" t="s">
        <v>51</v>
      </c>
      <c r="D14" s="128"/>
      <c r="E14" s="128"/>
      <c r="F14" s="129"/>
      <c r="H14" s="113" t="s">
        <v>39</v>
      </c>
      <c r="I14" s="114"/>
      <c r="J14" s="126" t="s">
        <v>52</v>
      </c>
      <c r="K14" s="126"/>
      <c r="L14" s="113" t="s">
        <v>41</v>
      </c>
      <c r="M14" s="114"/>
      <c r="N14" s="111" t="s">
        <v>45</v>
      </c>
      <c r="O14" s="112"/>
    </row>
    <row r="15" spans="1:15" ht="18" x14ac:dyDescent="0.35">
      <c r="A15" s="26" t="s">
        <v>54</v>
      </c>
      <c r="B15" s="27">
        <f>(B13+B14)/4</f>
        <v>26</v>
      </c>
      <c r="C15" s="95" t="s">
        <v>55</v>
      </c>
      <c r="D15" s="96"/>
      <c r="E15" s="96"/>
      <c r="F15" s="97"/>
      <c r="G15" s="28"/>
      <c r="H15" s="126" t="s">
        <v>39</v>
      </c>
      <c r="I15" s="126"/>
      <c r="J15" s="126" t="s">
        <v>58</v>
      </c>
      <c r="K15" s="126"/>
      <c r="L15" s="113" t="s">
        <v>58</v>
      </c>
      <c r="M15" s="114"/>
      <c r="N15" s="109">
        <v>0.2</v>
      </c>
      <c r="O15" s="110"/>
    </row>
    <row r="16" spans="1:15" x14ac:dyDescent="0.25">
      <c r="A16" s="18" t="s">
        <v>56</v>
      </c>
      <c r="B16" s="19">
        <v>0.1</v>
      </c>
      <c r="C16" s="123" t="s">
        <v>57</v>
      </c>
      <c r="D16" s="124"/>
      <c r="E16" s="124"/>
      <c r="F16" s="125"/>
      <c r="H16" s="113" t="s">
        <v>39</v>
      </c>
      <c r="I16" s="114"/>
      <c r="J16" s="126" t="s">
        <v>58</v>
      </c>
      <c r="K16" s="126"/>
      <c r="L16" s="113" t="s">
        <v>41</v>
      </c>
      <c r="M16" s="114"/>
      <c r="N16" s="111" t="s">
        <v>45</v>
      </c>
      <c r="O16" s="112"/>
    </row>
    <row r="17" spans="1:15" ht="18" x14ac:dyDescent="0.35">
      <c r="A17" s="23" t="s">
        <v>59</v>
      </c>
      <c r="B17" s="29">
        <v>0.1</v>
      </c>
      <c r="C17" s="120" t="s">
        <v>60</v>
      </c>
      <c r="D17" s="121"/>
      <c r="E17" s="121"/>
      <c r="F17" s="122"/>
      <c r="H17" s="113" t="s">
        <v>61</v>
      </c>
      <c r="I17" s="114"/>
      <c r="J17" s="109" t="s">
        <v>62</v>
      </c>
      <c r="K17" s="115"/>
      <c r="L17" s="115"/>
      <c r="M17" s="115"/>
      <c r="N17" s="115"/>
      <c r="O17" s="110"/>
    </row>
    <row r="18" spans="1:15" x14ac:dyDescent="0.25">
      <c r="H18" s="117" t="s">
        <v>64</v>
      </c>
      <c r="I18" s="118"/>
      <c r="J18" s="118"/>
      <c r="K18" s="118"/>
      <c r="L18" s="118"/>
      <c r="M18" s="118"/>
      <c r="N18" s="118"/>
      <c r="O18" s="119"/>
    </row>
    <row r="19" spans="1:15" x14ac:dyDescent="0.25">
      <c r="A19" s="82" t="s">
        <v>63</v>
      </c>
      <c r="B19" s="82"/>
      <c r="C19" s="82"/>
      <c r="D19" s="82"/>
      <c r="E19" s="82"/>
      <c r="F19" s="106"/>
    </row>
    <row r="20" spans="1:15" ht="18" x14ac:dyDescent="0.35">
      <c r="A20" s="18" t="s">
        <v>65</v>
      </c>
      <c r="B20" s="19">
        <v>248</v>
      </c>
      <c r="C20" s="85" t="s">
        <v>66</v>
      </c>
      <c r="D20" s="86"/>
      <c r="E20" s="86"/>
      <c r="F20" s="87"/>
    </row>
    <row r="21" spans="1:15" ht="18" x14ac:dyDescent="0.35">
      <c r="A21" s="18" t="s">
        <v>67</v>
      </c>
      <c r="B21" s="19">
        <v>42</v>
      </c>
      <c r="C21" s="91" t="s">
        <v>68</v>
      </c>
      <c r="D21" s="91"/>
      <c r="E21" s="91"/>
      <c r="F21" s="92"/>
    </row>
    <row r="22" spans="1:15" ht="18" x14ac:dyDescent="0.35">
      <c r="A22" s="18" t="s">
        <v>69</v>
      </c>
      <c r="B22" s="19">
        <v>3</v>
      </c>
      <c r="C22" s="91" t="s">
        <v>70</v>
      </c>
      <c r="D22" s="99"/>
      <c r="E22" s="99"/>
      <c r="F22" s="100"/>
    </row>
    <row r="23" spans="1:15" ht="18" x14ac:dyDescent="0.35">
      <c r="A23" s="18" t="s">
        <v>99</v>
      </c>
      <c r="B23" s="20">
        <f>B21-0.64952*B22</f>
        <v>40.051439999999999</v>
      </c>
      <c r="C23" s="91" t="s">
        <v>97</v>
      </c>
      <c r="D23" s="99"/>
      <c r="E23" s="99"/>
      <c r="F23" s="100"/>
    </row>
    <row r="24" spans="1:15" ht="18" x14ac:dyDescent="0.35">
      <c r="A24" s="18" t="s">
        <v>100</v>
      </c>
      <c r="B24" s="20">
        <f>B21-1.22687*B22</f>
        <v>38.319389999999999</v>
      </c>
      <c r="C24" s="91" t="s">
        <v>98</v>
      </c>
      <c r="D24" s="99"/>
      <c r="E24" s="99"/>
      <c r="F24" s="100"/>
    </row>
    <row r="25" spans="1:15" x14ac:dyDescent="0.25">
      <c r="A25" s="18" t="s">
        <v>71</v>
      </c>
      <c r="B25" s="19">
        <v>70</v>
      </c>
      <c r="C25" s="91" t="s">
        <v>72</v>
      </c>
      <c r="D25" s="99"/>
      <c r="E25" s="99"/>
      <c r="F25" s="100"/>
    </row>
    <row r="26" spans="1:15" ht="18" x14ac:dyDescent="0.35">
      <c r="A26" s="18" t="s">
        <v>73</v>
      </c>
      <c r="B26" s="20">
        <f>B25/B22</f>
        <v>23.333333333333332</v>
      </c>
      <c r="C26" s="91" t="s">
        <v>74</v>
      </c>
      <c r="D26" s="99"/>
      <c r="E26" s="99"/>
      <c r="F26" s="100"/>
    </row>
    <row r="27" spans="1:15" x14ac:dyDescent="0.25">
      <c r="A27" s="23" t="s">
        <v>75</v>
      </c>
      <c r="B27" s="32">
        <f>INT(B25/B22)-1</f>
        <v>22</v>
      </c>
      <c r="C27" s="120" t="s">
        <v>76</v>
      </c>
      <c r="D27" s="121"/>
      <c r="E27" s="121"/>
      <c r="F27" s="122"/>
    </row>
    <row r="29" spans="1:15" x14ac:dyDescent="0.25">
      <c r="A29" s="82" t="s">
        <v>77</v>
      </c>
      <c r="B29" s="82"/>
      <c r="C29" s="82"/>
      <c r="D29" s="82"/>
      <c r="E29" s="82"/>
      <c r="F29" s="106"/>
      <c r="G29" s="28"/>
    </row>
    <row r="30" spans="1:15" x14ac:dyDescent="0.25">
      <c r="A30" s="24" t="s">
        <v>78</v>
      </c>
      <c r="B30" s="30">
        <f>B3*B12*(PI()*B10^2/4)</f>
        <v>605418.51938814647</v>
      </c>
      <c r="C30" s="85" t="s">
        <v>79</v>
      </c>
      <c r="D30" s="85"/>
      <c r="E30" s="85"/>
      <c r="F30" s="116"/>
    </row>
    <row r="31" spans="1:15" x14ac:dyDescent="0.25">
      <c r="A31" s="26" t="s">
        <v>80</v>
      </c>
      <c r="B31" s="34">
        <f>B30*((B16/COS(RADIANS(B11))*(B7/2))+(B6/(2*PI()))+(B17*B15))/1000</f>
        <v>3263.1064072499107</v>
      </c>
      <c r="C31" s="95" t="s">
        <v>81</v>
      </c>
      <c r="D31" s="96"/>
      <c r="E31" s="96"/>
      <c r="F31" s="97"/>
    </row>
    <row r="32" spans="1:15" ht="18" x14ac:dyDescent="0.35">
      <c r="A32" s="26" t="s">
        <v>89</v>
      </c>
      <c r="B32" s="42">
        <f>PI()/4*(B14^2-B13^2)*B4</f>
        <v>633847.73378827667</v>
      </c>
      <c r="C32" s="95" t="s">
        <v>91</v>
      </c>
      <c r="D32" s="96"/>
      <c r="E32" s="96"/>
      <c r="F32" s="97"/>
    </row>
    <row r="33" spans="1:10" ht="18" x14ac:dyDescent="0.35">
      <c r="A33" s="31" t="s">
        <v>90</v>
      </c>
      <c r="B33" s="33">
        <f>PI()*B21*(0.75*B27*B22)*(B20/SQRT(3))</f>
        <v>935180.44180424896</v>
      </c>
      <c r="C33" s="88" t="s">
        <v>82</v>
      </c>
      <c r="D33" s="89"/>
      <c r="E33" s="89"/>
      <c r="F33" s="90"/>
    </row>
    <row r="35" spans="1:10" x14ac:dyDescent="0.25">
      <c r="A35" s="82" t="s">
        <v>83</v>
      </c>
      <c r="B35" s="83"/>
      <c r="C35" s="83"/>
      <c r="D35" s="83"/>
      <c r="E35" s="83"/>
      <c r="F35" s="83"/>
      <c r="G35" s="83"/>
      <c r="H35" s="83"/>
      <c r="I35" s="83"/>
      <c r="J35" s="84"/>
    </row>
    <row r="36" spans="1:10" ht="18" x14ac:dyDescent="0.35">
      <c r="A36" s="101" t="s">
        <v>84</v>
      </c>
      <c r="B36" s="101"/>
      <c r="C36" s="98">
        <f>B12</f>
        <v>0.7</v>
      </c>
      <c r="D36" s="98"/>
      <c r="E36" s="85" t="s">
        <v>43</v>
      </c>
      <c r="F36" s="86"/>
      <c r="G36" s="86"/>
      <c r="H36" s="86"/>
      <c r="I36" s="86"/>
      <c r="J36" s="87"/>
    </row>
    <row r="37" spans="1:10" ht="18" x14ac:dyDescent="0.35">
      <c r="A37" s="93" t="s">
        <v>96</v>
      </c>
      <c r="B37" s="94"/>
      <c r="C37" s="98">
        <f>B30/B32</f>
        <v>0.95514819587628852</v>
      </c>
      <c r="D37" s="98"/>
      <c r="E37" s="95" t="s">
        <v>95</v>
      </c>
      <c r="F37" s="96"/>
      <c r="G37" s="96"/>
      <c r="H37" s="96"/>
      <c r="I37" s="96"/>
      <c r="J37" s="97"/>
    </row>
    <row r="38" spans="1:10" ht="18" x14ac:dyDescent="0.35">
      <c r="A38" s="102" t="s">
        <v>85</v>
      </c>
      <c r="B38" s="103"/>
      <c r="C38" s="104">
        <f>B30/B33</f>
        <v>0.64738150235489211</v>
      </c>
      <c r="D38" s="105"/>
      <c r="E38" s="88" t="s">
        <v>94</v>
      </c>
      <c r="F38" s="89"/>
      <c r="G38" s="89"/>
      <c r="H38" s="89"/>
      <c r="I38" s="89"/>
      <c r="J38" s="90"/>
    </row>
  </sheetData>
  <mergeCells count="81">
    <mergeCell ref="A2:F2"/>
    <mergeCell ref="C3:F3"/>
    <mergeCell ref="C5:F5"/>
    <mergeCell ref="H6:I6"/>
    <mergeCell ref="H2:I2"/>
    <mergeCell ref="H3:I3"/>
    <mergeCell ref="H4:I4"/>
    <mergeCell ref="H5:I5"/>
    <mergeCell ref="C4:F4"/>
    <mergeCell ref="C15:F15"/>
    <mergeCell ref="C13:F13"/>
    <mergeCell ref="C6:F6"/>
    <mergeCell ref="C9:F9"/>
    <mergeCell ref="C8:F8"/>
    <mergeCell ref="C11:F11"/>
    <mergeCell ref="C7:F7"/>
    <mergeCell ref="C10:F10"/>
    <mergeCell ref="C12:F12"/>
    <mergeCell ref="C14:F14"/>
    <mergeCell ref="C17:F17"/>
    <mergeCell ref="C16:F16"/>
    <mergeCell ref="A29:F29"/>
    <mergeCell ref="C30:F30"/>
    <mergeCell ref="C31:F31"/>
    <mergeCell ref="A19:F19"/>
    <mergeCell ref="C20:F20"/>
    <mergeCell ref="C21:F21"/>
    <mergeCell ref="C22:F22"/>
    <mergeCell ref="C25:F25"/>
    <mergeCell ref="C26:F26"/>
    <mergeCell ref="C23:F23"/>
    <mergeCell ref="C24:F24"/>
    <mergeCell ref="C38:D38"/>
    <mergeCell ref="A38:B38"/>
    <mergeCell ref="C33:F33"/>
    <mergeCell ref="C27:F27"/>
    <mergeCell ref="A36:B36"/>
    <mergeCell ref="C36:D36"/>
    <mergeCell ref="C32:F32"/>
    <mergeCell ref="A35:J35"/>
    <mergeCell ref="E36:J36"/>
    <mergeCell ref="A37:B37"/>
    <mergeCell ref="C37:D37"/>
    <mergeCell ref="E37:J37"/>
    <mergeCell ref="E38:J38"/>
    <mergeCell ref="H14:I14"/>
    <mergeCell ref="J14:K14"/>
    <mergeCell ref="L14:M14"/>
    <mergeCell ref="H11:I11"/>
    <mergeCell ref="J11:K11"/>
    <mergeCell ref="L11:M11"/>
    <mergeCell ref="H12:I12"/>
    <mergeCell ref="J12:K12"/>
    <mergeCell ref="L12:M12"/>
    <mergeCell ref="H8:O8"/>
    <mergeCell ref="N9:O9"/>
    <mergeCell ref="N10:O10"/>
    <mergeCell ref="N11:O11"/>
    <mergeCell ref="N12:O12"/>
    <mergeCell ref="H9:I9"/>
    <mergeCell ref="J9:K9"/>
    <mergeCell ref="L9:M9"/>
    <mergeCell ref="H10:I10"/>
    <mergeCell ref="J10:K10"/>
    <mergeCell ref="L10:M10"/>
    <mergeCell ref="H18:O18"/>
    <mergeCell ref="N13:O13"/>
    <mergeCell ref="N14:O14"/>
    <mergeCell ref="N15:O15"/>
    <mergeCell ref="N16:O16"/>
    <mergeCell ref="H17:I17"/>
    <mergeCell ref="J17:O17"/>
    <mergeCell ref="H15:I15"/>
    <mergeCell ref="J15:K15"/>
    <mergeCell ref="L15:M15"/>
    <mergeCell ref="H16:I16"/>
    <mergeCell ref="J16:K16"/>
    <mergeCell ref="L16:M16"/>
    <mergeCell ref="H13:I13"/>
    <mergeCell ref="J13:K13"/>
    <mergeCell ref="L13:M13"/>
  </mergeCells>
  <conditionalFormatting sqref="C36">
    <cfRule type="iconSet" priority="4">
      <iconSet iconSet="3Symbols" reverse="1">
        <cfvo type="percent" val="0"/>
        <cfvo type="num" val="0.7" gte="0"/>
        <cfvo type="num" val="0.8" gte="0"/>
      </iconSet>
    </cfRule>
  </conditionalFormatting>
  <conditionalFormatting sqref="C38:D38">
    <cfRule type="iconSet" priority="3">
      <iconSet iconSet="3Symbols" reverse="1">
        <cfvo type="percent" val="0"/>
        <cfvo type="num" val="0.65"/>
        <cfvo type="num" val="0.7" gte="0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5F677E4-2D1D-4BC3-AC17-B256312CC09A}">
            <x14:iconSet iconSet="3Symbols" custom="1">
              <x14:cfvo type="percent">
                <xm:f>0</xm:f>
              </x14:cfvo>
              <x14:cfvo type="num">
                <xm:f>1</xm:f>
              </x14:cfvo>
              <x14:cfvo type="num">
                <xm:f>1.1000000000000001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C37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F5BB9810E8454BA2B38D00B6D18848" ma:contentTypeVersion="3" ma:contentTypeDescription="Creare un nuovo documento." ma:contentTypeScope="" ma:versionID="85968c8a5930af966cb491cc87274750">
  <xsd:schema xmlns:xsd="http://www.w3.org/2001/XMLSchema" xmlns:xs="http://www.w3.org/2001/XMLSchema" xmlns:p="http://schemas.microsoft.com/office/2006/metadata/properties" xmlns:ns2="427a1db5-2437-44f3-a84b-464aead4a71a" targetNamespace="http://schemas.microsoft.com/office/2006/metadata/properties" ma:root="true" ma:fieldsID="d822db9e2d05bc620d08fbffa4bfffa8" ns2:_="">
    <xsd:import namespace="427a1db5-2437-44f3-a84b-464aead4a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a1db5-2437-44f3-a84b-464aead4a7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9D4348-977F-4179-A446-0821F70B20DD}">
  <ds:schemaRefs>
    <ds:schemaRef ds:uri="f16ae08e-32aa-43c4-955b-813e13c9303e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710bc8b-17c9-4e36-a567-5a8748d28b44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F4CDE8A-A96F-4004-BE44-2FCD3224071F}"/>
</file>

<file path=customXml/itemProps3.xml><?xml version="1.0" encoding="utf-8"?>
<ds:datastoreItem xmlns:ds="http://schemas.openxmlformats.org/officeDocument/2006/customXml" ds:itemID="{1FBCC0F1-72F9-4780-B42C-9851F2AA29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content</vt:lpstr>
      <vt:lpstr>Example</vt:lpstr>
      <vt:lpstr>Bolt_01</vt:lpstr>
      <vt:lpstr>content!Area_stampa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2024-05-20T12:55:32Z</dcterms:created>
  <dcterms:modified xsi:type="dcterms:W3CDTF">2025-11-17T14:40:10Z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0x0101003FF5BB9810E8454BA2B38D00B6D18848</vt:lpwstr>
  </property>
</Properties>
</file>