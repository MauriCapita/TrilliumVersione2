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00000000-0000-0000-0000-000000000000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"/>
    </mc:Choice>
  </mc:AlternateContent>
  <xr:revisionPtr revIDLastSave="0" documentId="13_ncr:1_{390F0CAB-1A9C-4784-AAF6-2C4C1DE3188A}" xr6:coauthVersionLast="47" xr6:coauthVersionMax="47" xr10:uidLastSave="{00000000-0000-0000-0000-000000000000}"/>
  <bookViews>
    <workbookView xWindow="-28920" yWindow="1695" windowWidth="29040" windowHeight="15840" tabRatio="683" xr2:uid="{E4B00215-69A1-4D59-AF72-3CCE0B3A0DD5}"/>
  </bookViews>
  <sheets>
    <sheet name="cover" sheetId="6" r:id="rId1"/>
    <sheet name="running_clearance_calc" sheetId="5" r:id="rId2"/>
  </sheets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running_clearance_calc!$D$31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5" l="1"/>
  <c r="U3" i="5"/>
  <c r="U2" i="5"/>
  <c r="K21" i="5"/>
  <c r="M21" i="5"/>
  <c r="D11" i="5"/>
  <c r="D50" i="5"/>
  <c r="X31" i="5"/>
  <c r="D57" i="5"/>
  <c r="H57" i="5"/>
  <c r="D58" i="5"/>
  <c r="H58" i="5"/>
  <c r="H37" i="5"/>
  <c r="H36" i="5"/>
  <c r="D36" i="5"/>
  <c r="D37" i="5"/>
  <c r="H59" i="5"/>
  <c r="D38" i="5"/>
  <c r="H38" i="5"/>
  <c r="D59" i="5"/>
  <c r="J26" i="5"/>
  <c r="J25" i="5"/>
  <c r="Q21" i="5"/>
  <c r="O21" i="5"/>
  <c r="H56" i="5"/>
  <c r="AA39" i="5"/>
  <c r="D56" i="5"/>
  <c r="Y43" i="5"/>
  <c r="H55" i="5"/>
  <c r="D55" i="5"/>
  <c r="Y46" i="5"/>
  <c r="H51" i="5"/>
  <c r="Z38" i="5" s="1"/>
  <c r="D51" i="5"/>
  <c r="X34" i="5"/>
  <c r="H50" i="5"/>
  <c r="Z35" i="5" s="1"/>
  <c r="H35" i="5"/>
  <c r="AA19" i="5"/>
  <c r="AI19" i="5"/>
  <c r="D35" i="5"/>
  <c r="Y23" i="5" s="1"/>
  <c r="AG23" i="5" s="1"/>
  <c r="AJ23" i="5" s="1"/>
  <c r="AM23" i="5" s="1"/>
  <c r="AN23" i="5" s="1"/>
  <c r="H34" i="5"/>
  <c r="AA12" i="5"/>
  <c r="AI12" i="5"/>
  <c r="D34" i="5"/>
  <c r="Y15" i="5" s="1"/>
  <c r="AG15" i="5" s="1"/>
  <c r="H30" i="5"/>
  <c r="Z19" i="5"/>
  <c r="AH19" i="5"/>
  <c r="AZ19" i="5"/>
  <c r="BR19" i="5"/>
  <c r="D30" i="5"/>
  <c r="X20" i="5"/>
  <c r="AF20" i="5"/>
  <c r="AX20" i="5"/>
  <c r="BP20" i="5"/>
  <c r="H29" i="5"/>
  <c r="D29" i="5"/>
  <c r="X12" i="5"/>
  <c r="AF12" i="5"/>
  <c r="BA12" i="5"/>
  <c r="BS12" i="5"/>
  <c r="AX12" i="5"/>
  <c r="BP12" i="5"/>
  <c r="BA19" i="5"/>
  <c r="BS19" i="5"/>
  <c r="AS19" i="5"/>
  <c r="AA44" i="5"/>
  <c r="AA31" i="5"/>
  <c r="Y12" i="5"/>
  <c r="AG12" i="5" s="1"/>
  <c r="AY12" i="5" s="1"/>
  <c r="Z18" i="5"/>
  <c r="AH18" i="5"/>
  <c r="AZ18" i="5"/>
  <c r="BR18" i="5"/>
  <c r="Z12" i="5"/>
  <c r="Y32" i="5"/>
  <c r="X33" i="5"/>
  <c r="Y34" i="5"/>
  <c r="AC34" i="5"/>
  <c r="AG34" i="5"/>
  <c r="AY34" i="5"/>
  <c r="BQ34" i="5"/>
  <c r="AA35" i="5"/>
  <c r="X16" i="5"/>
  <c r="AA37" i="5"/>
  <c r="AA38" i="5"/>
  <c r="AA34" i="5"/>
  <c r="Y33" i="5"/>
  <c r="Y40" i="5"/>
  <c r="AA14" i="5"/>
  <c r="Y37" i="5"/>
  <c r="AA13" i="5"/>
  <c r="AA15" i="5"/>
  <c r="Y41" i="5"/>
  <c r="Y36" i="5"/>
  <c r="Y42" i="5"/>
  <c r="AA36" i="5"/>
  <c r="Y39" i="5"/>
  <c r="Y35" i="5"/>
  <c r="Y38" i="5"/>
  <c r="Z14" i="5"/>
  <c r="X32" i="5"/>
  <c r="Z13" i="5"/>
  <c r="AH13" i="5"/>
  <c r="AZ13" i="5"/>
  <c r="BR13" i="5"/>
  <c r="Y31" i="5"/>
  <c r="AA33" i="5"/>
  <c r="AA32" i="5"/>
  <c r="AA17" i="5"/>
  <c r="AA18" i="5"/>
  <c r="AA16" i="5"/>
  <c r="X17" i="5"/>
  <c r="X14" i="5"/>
  <c r="X13" i="5"/>
  <c r="X15" i="5"/>
  <c r="X18" i="5"/>
  <c r="AA25" i="5"/>
  <c r="AI25" i="5"/>
  <c r="AA22" i="5"/>
  <c r="AI22" i="5"/>
  <c r="AA21" i="5"/>
  <c r="AI21" i="5"/>
  <c r="X27" i="5"/>
  <c r="AF27" i="5"/>
  <c r="X26" i="5"/>
  <c r="AF26" i="5"/>
  <c r="X25" i="5"/>
  <c r="AF25" i="5"/>
  <c r="X24" i="5"/>
  <c r="AF24" i="5"/>
  <c r="X23" i="5"/>
  <c r="AF23" i="5"/>
  <c r="X22" i="5"/>
  <c r="AF22" i="5"/>
  <c r="Z15" i="5"/>
  <c r="AH15" i="5"/>
  <c r="AZ15" i="5"/>
  <c r="BR15" i="5"/>
  <c r="Z16" i="5"/>
  <c r="AH16" i="5"/>
  <c r="AZ16" i="5"/>
  <c r="BR16" i="5"/>
  <c r="Z17" i="5"/>
  <c r="AH17" i="5"/>
  <c r="AZ17" i="5"/>
  <c r="BR17" i="5"/>
  <c r="X19" i="5"/>
  <c r="AF19" i="5"/>
  <c r="AA27" i="5"/>
  <c r="AI27" i="5"/>
  <c r="AA24" i="5"/>
  <c r="AI24" i="5"/>
  <c r="AA23" i="5"/>
  <c r="AI23" i="5"/>
  <c r="AA20" i="5"/>
  <c r="AI20" i="5"/>
  <c r="AA26" i="5"/>
  <c r="AI26" i="5"/>
  <c r="X21" i="5"/>
  <c r="AF21" i="5"/>
  <c r="Z27" i="5"/>
  <c r="AH27" i="5"/>
  <c r="AZ27" i="5"/>
  <c r="BR27" i="5"/>
  <c r="Z23" i="5"/>
  <c r="AH23" i="5"/>
  <c r="AZ23" i="5"/>
  <c r="BR23" i="5"/>
  <c r="Z21" i="5"/>
  <c r="AH21" i="5"/>
  <c r="AZ21" i="5"/>
  <c r="BR21" i="5"/>
  <c r="Z25" i="5"/>
  <c r="AH25" i="5"/>
  <c r="AZ25" i="5"/>
  <c r="BR25" i="5"/>
  <c r="Z24" i="5"/>
  <c r="AH24" i="5"/>
  <c r="AZ24" i="5"/>
  <c r="BR24" i="5"/>
  <c r="Z22" i="5"/>
  <c r="AH22" i="5"/>
  <c r="AZ22" i="5"/>
  <c r="BR22" i="5"/>
  <c r="Z26" i="5"/>
  <c r="AH26" i="5"/>
  <c r="AZ26" i="5"/>
  <c r="BR26" i="5"/>
  <c r="Z20" i="5"/>
  <c r="AH20" i="5"/>
  <c r="AZ20" i="5"/>
  <c r="BR20" i="5"/>
  <c r="Z45" i="5"/>
  <c r="AS45" i="5" s="1"/>
  <c r="AM45" i="5" s="1"/>
  <c r="AN45" i="5" s="1"/>
  <c r="Z41" i="5"/>
  <c r="AE41" i="5" s="1"/>
  <c r="AI41" i="5" s="1"/>
  <c r="BA41" i="5" s="1"/>
  <c r="Z34" i="5"/>
  <c r="AD34" i="5" s="1"/>
  <c r="AH34" i="5" s="1"/>
  <c r="AZ34" i="5" s="1"/>
  <c r="Z37" i="5"/>
  <c r="AE37" i="5" s="1"/>
  <c r="AI37" i="5" s="1"/>
  <c r="BA37" i="5" s="1"/>
  <c r="X39" i="5"/>
  <c r="X38" i="5"/>
  <c r="X35" i="5"/>
  <c r="X36" i="5"/>
  <c r="X37" i="5"/>
  <c r="AA45" i="5"/>
  <c r="AA43" i="5"/>
  <c r="AA42" i="5"/>
  <c r="AA46" i="5"/>
  <c r="X46" i="5"/>
  <c r="X45" i="5"/>
  <c r="X44" i="5"/>
  <c r="X43" i="5"/>
  <c r="AC43" i="5"/>
  <c r="AG43" i="5"/>
  <c r="AY43" i="5"/>
  <c r="BQ43" i="5"/>
  <c r="X42" i="5"/>
  <c r="X41" i="5"/>
  <c r="AB41" i="5"/>
  <c r="AF41" i="5"/>
  <c r="AX41" i="5"/>
  <c r="BP41" i="5"/>
  <c r="X40" i="5"/>
  <c r="Y44" i="5"/>
  <c r="Y45" i="5"/>
  <c r="AA40" i="5"/>
  <c r="AA41" i="5"/>
  <c r="AB38" i="5"/>
  <c r="AF38" i="5"/>
  <c r="AX38" i="5"/>
  <c r="BP38" i="5"/>
  <c r="AB37" i="5"/>
  <c r="AF37" i="5"/>
  <c r="AX37" i="5"/>
  <c r="BP37" i="5"/>
  <c r="AB40" i="5"/>
  <c r="AF40" i="5"/>
  <c r="AX40" i="5"/>
  <c r="BP40" i="5"/>
  <c r="AB36" i="5"/>
  <c r="AF36" i="5"/>
  <c r="AX36" i="5"/>
  <c r="BP36" i="5"/>
  <c r="AJ34" i="5"/>
  <c r="AC45" i="5"/>
  <c r="AG45" i="5"/>
  <c r="AY45" i="5"/>
  <c r="BQ45" i="5"/>
  <c r="AX19" i="5"/>
  <c r="BP19" i="5"/>
  <c r="AB44" i="5"/>
  <c r="AF44" i="5"/>
  <c r="AX44" i="5"/>
  <c r="BP44" i="5"/>
  <c r="BA26" i="5"/>
  <c r="BS26" i="5"/>
  <c r="AS26" i="5"/>
  <c r="AX25" i="5"/>
  <c r="BP25" i="5"/>
  <c r="AC39" i="5"/>
  <c r="AG39" i="5"/>
  <c r="AY39" i="5"/>
  <c r="BQ39" i="5"/>
  <c r="AX21" i="5"/>
  <c r="BP21" i="5"/>
  <c r="BA20" i="5"/>
  <c r="BS20" i="5"/>
  <c r="AS20" i="5"/>
  <c r="AX26" i="5"/>
  <c r="BP26" i="5"/>
  <c r="AS21" i="5"/>
  <c r="BA21" i="5"/>
  <c r="BS21" i="5"/>
  <c r="AS23" i="5"/>
  <c r="BA23" i="5"/>
  <c r="BS23" i="5"/>
  <c r="AX27" i="5"/>
  <c r="BP27" i="5"/>
  <c r="AS22" i="5"/>
  <c r="BA22" i="5"/>
  <c r="BS22" i="5"/>
  <c r="AC42" i="5"/>
  <c r="AG42" i="5"/>
  <c r="AY42" i="5"/>
  <c r="BQ42" i="5"/>
  <c r="CC19" i="5"/>
  <c r="BK19" i="5"/>
  <c r="AX24" i="5"/>
  <c r="BP24" i="5"/>
  <c r="AB35" i="5"/>
  <c r="AF35" i="5"/>
  <c r="AX35" i="5"/>
  <c r="BP35" i="5"/>
  <c r="BA24" i="5"/>
  <c r="BS24" i="5"/>
  <c r="AS24" i="5"/>
  <c r="AX22" i="5"/>
  <c r="BP22" i="5"/>
  <c r="AS25" i="5"/>
  <c r="BA25" i="5"/>
  <c r="BS25" i="5"/>
  <c r="AS27" i="5"/>
  <c r="BA27" i="5"/>
  <c r="BS27" i="5"/>
  <c r="AX23" i="5"/>
  <c r="BP23" i="5"/>
  <c r="AC33" i="5"/>
  <c r="AG33" i="5"/>
  <c r="AY33" i="5"/>
  <c r="BQ33" i="5"/>
  <c r="AJ46" i="5"/>
  <c r="AB46" i="5"/>
  <c r="AF46" i="5"/>
  <c r="AX46" i="5"/>
  <c r="BP46" i="5"/>
  <c r="AJ32" i="5"/>
  <c r="AB32" i="5"/>
  <c r="AF32" i="5"/>
  <c r="AX32" i="5"/>
  <c r="BP32" i="5"/>
  <c r="AC40" i="5"/>
  <c r="AG40" i="5"/>
  <c r="AY40" i="5"/>
  <c r="BQ40" i="5"/>
  <c r="AB42" i="5"/>
  <c r="AF42" i="5"/>
  <c r="AX42" i="5"/>
  <c r="BP42" i="5"/>
  <c r="AB31" i="5"/>
  <c r="AF31" i="5"/>
  <c r="AC31" i="5"/>
  <c r="AG31" i="5"/>
  <c r="AC32" i="5"/>
  <c r="AG32" i="5"/>
  <c r="AY32" i="5"/>
  <c r="BQ32" i="5"/>
  <c r="AC44" i="5"/>
  <c r="AG44" i="5"/>
  <c r="AY44" i="5"/>
  <c r="BQ44" i="5"/>
  <c r="AB45" i="5"/>
  <c r="AF45" i="5"/>
  <c r="AX45" i="5"/>
  <c r="BP45" i="5"/>
  <c r="AC37" i="5"/>
  <c r="AG37" i="5"/>
  <c r="AY37" i="5"/>
  <c r="BQ37" i="5"/>
  <c r="AC36" i="5"/>
  <c r="AG36" i="5"/>
  <c r="AY36" i="5"/>
  <c r="BQ36" i="5"/>
  <c r="AC38" i="5"/>
  <c r="AG38" i="5"/>
  <c r="AY38" i="5"/>
  <c r="BQ38" i="5"/>
  <c r="AC41" i="5"/>
  <c r="AG41" i="5"/>
  <c r="AY41" i="5"/>
  <c r="BQ41" i="5"/>
  <c r="AJ43" i="5"/>
  <c r="AB43" i="5"/>
  <c r="AF43" i="5"/>
  <c r="AX43" i="5"/>
  <c r="AB39" i="5"/>
  <c r="AF39" i="5"/>
  <c r="AX39" i="5"/>
  <c r="BP39" i="5"/>
  <c r="AC35" i="5"/>
  <c r="AG35" i="5"/>
  <c r="AY35" i="5"/>
  <c r="BQ35" i="5"/>
  <c r="AE34" i="5"/>
  <c r="AI34" i="5" s="1"/>
  <c r="BA34" i="5" s="1"/>
  <c r="AB33" i="5"/>
  <c r="AF33" i="5"/>
  <c r="AX33" i="5"/>
  <c r="BP33" i="5"/>
  <c r="AB34" i="5"/>
  <c r="AF34" i="5"/>
  <c r="AX34" i="5"/>
  <c r="AC46" i="5"/>
  <c r="AG46" i="5"/>
  <c r="AY46" i="5"/>
  <c r="BQ46" i="5"/>
  <c r="AF14" i="5"/>
  <c r="AI15" i="5"/>
  <c r="AF17" i="5"/>
  <c r="AI13" i="5"/>
  <c r="AF18" i="5"/>
  <c r="AI18" i="5"/>
  <c r="AH14" i="5"/>
  <c r="AZ14" i="5"/>
  <c r="BR14" i="5"/>
  <c r="AI14" i="5"/>
  <c r="AF16" i="5"/>
  <c r="AI16" i="5"/>
  <c r="AF15" i="5"/>
  <c r="AI17" i="5"/>
  <c r="AH12" i="5"/>
  <c r="AF13" i="5"/>
  <c r="AJ37" i="5"/>
  <c r="AJ39" i="5"/>
  <c r="AJ41" i="5"/>
  <c r="AJ33" i="5"/>
  <c r="AJ40" i="5"/>
  <c r="AJ38" i="5"/>
  <c r="AS34" i="5"/>
  <c r="AM34" i="5" s="1"/>
  <c r="AN34" i="5" s="1"/>
  <c r="AV34" i="5" s="1"/>
  <c r="AW34" i="5" s="1"/>
  <c r="AJ45" i="5"/>
  <c r="AJ44" i="5"/>
  <c r="AJ42" i="5"/>
  <c r="AJ36" i="5"/>
  <c r="AJ35" i="5"/>
  <c r="BB34" i="5"/>
  <c r="BP34" i="5"/>
  <c r="BB43" i="5"/>
  <c r="BP43" i="5"/>
  <c r="BB39" i="5"/>
  <c r="BB33" i="5"/>
  <c r="BB45" i="5"/>
  <c r="BB42" i="5"/>
  <c r="BA17" i="5"/>
  <c r="BS17" i="5"/>
  <c r="AS17" i="5"/>
  <c r="AS18" i="5"/>
  <c r="BA18" i="5"/>
  <c r="BS18" i="5"/>
  <c r="AX14" i="5"/>
  <c r="BP14" i="5"/>
  <c r="AX18" i="5"/>
  <c r="BP18" i="5"/>
  <c r="BK20" i="5"/>
  <c r="BK26" i="5"/>
  <c r="CC26" i="5"/>
  <c r="BA16" i="5"/>
  <c r="BS16" i="5"/>
  <c r="AS16" i="5"/>
  <c r="AS13" i="5"/>
  <c r="BA13" i="5"/>
  <c r="BS13" i="5"/>
  <c r="CC21" i="5"/>
  <c r="BK21" i="5"/>
  <c r="AX16" i="5"/>
  <c r="BP16" i="5"/>
  <c r="AX17" i="5"/>
  <c r="BP17" i="5"/>
  <c r="CC25" i="5"/>
  <c r="BK25" i="5"/>
  <c r="CC23" i="5"/>
  <c r="BK23" i="5"/>
  <c r="AZ12" i="5"/>
  <c r="BR12" i="5"/>
  <c r="AS12" i="5"/>
  <c r="BK27" i="5"/>
  <c r="CC27" i="5"/>
  <c r="AX15" i="5"/>
  <c r="BP15" i="5"/>
  <c r="AX13" i="5"/>
  <c r="BA14" i="5"/>
  <c r="BS14" i="5"/>
  <c r="AS14" i="5"/>
  <c r="AS15" i="5"/>
  <c r="BA15" i="5"/>
  <c r="BS15" i="5"/>
  <c r="CC24" i="5"/>
  <c r="BK24" i="5"/>
  <c r="CC22" i="5"/>
  <c r="BK22" i="5"/>
  <c r="BT35" i="5"/>
  <c r="BB35" i="5"/>
  <c r="BT41" i="5"/>
  <c r="BB41" i="5"/>
  <c r="BT39" i="5"/>
  <c r="BB32" i="5"/>
  <c r="BT36" i="5"/>
  <c r="BB36" i="5"/>
  <c r="BB46" i="5"/>
  <c r="BT43" i="5"/>
  <c r="BT45" i="5"/>
  <c r="BT37" i="5"/>
  <c r="BB37" i="5"/>
  <c r="BT44" i="5"/>
  <c r="BB44" i="5"/>
  <c r="AY31" i="5"/>
  <c r="BQ31" i="5"/>
  <c r="AJ31" i="5"/>
  <c r="BT38" i="5"/>
  <c r="BB38" i="5"/>
  <c r="AX31" i="5"/>
  <c r="BP31" i="5"/>
  <c r="BT40" i="5"/>
  <c r="BB40" i="5"/>
  <c r="BP13" i="5"/>
  <c r="BK12" i="5"/>
  <c r="CC12" i="5"/>
  <c r="CC20" i="5"/>
  <c r="CC16" i="5"/>
  <c r="BK16" i="5"/>
  <c r="CC14" i="5"/>
  <c r="BK14" i="5"/>
  <c r="BK17" i="5"/>
  <c r="CC17" i="5"/>
  <c r="BK13" i="5"/>
  <c r="CC13" i="5"/>
  <c r="BT32" i="5"/>
  <c r="BK15" i="5"/>
  <c r="CC15" i="5"/>
  <c r="BK18" i="5"/>
  <c r="CC18" i="5"/>
  <c r="BT46" i="5"/>
  <c r="BT34" i="5"/>
  <c r="BB31" i="5"/>
  <c r="BT33" i="5"/>
  <c r="BT42" i="5"/>
  <c r="BT31" i="5"/>
  <c r="Y25" i="5" l="1"/>
  <c r="AG25" i="5" s="1"/>
  <c r="Z39" i="5"/>
  <c r="AD39" i="5" s="1"/>
  <c r="Z46" i="5"/>
  <c r="AE46" i="5" s="1"/>
  <c r="AI46" i="5" s="1"/>
  <c r="BA46" i="5" s="1"/>
  <c r="Z43" i="5"/>
  <c r="AD43" i="5" s="1"/>
  <c r="AH43" i="5" s="1"/>
  <c r="AZ43" i="5" s="1"/>
  <c r="BR43" i="5" s="1"/>
  <c r="AD45" i="5"/>
  <c r="AH45" i="5" s="1"/>
  <c r="AZ45" i="5" s="1"/>
  <c r="BR45" i="5" s="1"/>
  <c r="AD41" i="5"/>
  <c r="AH41" i="5" s="1"/>
  <c r="AZ41" i="5" s="1"/>
  <c r="BR41" i="5" s="1"/>
  <c r="Z40" i="5"/>
  <c r="AS40" i="5" s="1"/>
  <c r="AM40" i="5" s="1"/>
  <c r="AN40" i="5" s="1"/>
  <c r="AQ40" i="5" s="1"/>
  <c r="AR40" i="5" s="1"/>
  <c r="Z44" i="5"/>
  <c r="Z42" i="5"/>
  <c r="AE42" i="5" s="1"/>
  <c r="AI42" i="5" s="1"/>
  <c r="BA42" i="5" s="1"/>
  <c r="BS42" i="5" s="1"/>
  <c r="AE45" i="5"/>
  <c r="AI45" i="5" s="1"/>
  <c r="BA45" i="5" s="1"/>
  <c r="AS41" i="5"/>
  <c r="AM41" i="5" s="1"/>
  <c r="AN41" i="5" s="1"/>
  <c r="AT41" i="5" s="1"/>
  <c r="AU41" i="5" s="1"/>
  <c r="AS46" i="5"/>
  <c r="AM46" i="5" s="1"/>
  <c r="AN46" i="5" s="1"/>
  <c r="AV46" i="5" s="1"/>
  <c r="AW46" i="5" s="1"/>
  <c r="AT45" i="5"/>
  <c r="AU45" i="5" s="1"/>
  <c r="AV45" i="5"/>
  <c r="AW45" i="5" s="1"/>
  <c r="AD46" i="5"/>
  <c r="AH46" i="5" s="1"/>
  <c r="AZ46" i="5" s="1"/>
  <c r="BR46" i="5" s="1"/>
  <c r="AE38" i="5"/>
  <c r="AI38" i="5" s="1"/>
  <c r="BA38" i="5" s="1"/>
  <c r="BS38" i="5" s="1"/>
  <c r="AS38" i="5"/>
  <c r="AM38" i="5" s="1"/>
  <c r="AN38" i="5" s="1"/>
  <c r="AQ38" i="5" s="1"/>
  <c r="AR38" i="5" s="1"/>
  <c r="AD38" i="5"/>
  <c r="AH38" i="5" s="1"/>
  <c r="AZ38" i="5" s="1"/>
  <c r="BR38" i="5" s="1"/>
  <c r="AS42" i="5"/>
  <c r="AM42" i="5" s="1"/>
  <c r="AN42" i="5" s="1"/>
  <c r="AQ42" i="5" s="1"/>
  <c r="AR42" i="5" s="1"/>
  <c r="AD42" i="5"/>
  <c r="AH42" i="5" s="1"/>
  <c r="AZ42" i="5" s="1"/>
  <c r="Z31" i="5"/>
  <c r="AE31" i="5" s="1"/>
  <c r="AI31" i="5" s="1"/>
  <c r="BA31" i="5" s="1"/>
  <c r="BS31" i="5" s="1"/>
  <c r="AE43" i="5"/>
  <c r="AI43" i="5" s="1"/>
  <c r="BA43" i="5" s="1"/>
  <c r="BS43" i="5" s="1"/>
  <c r="AS43" i="5"/>
  <c r="AM43" i="5" s="1"/>
  <c r="AN43" i="5" s="1"/>
  <c r="AT43" i="5" s="1"/>
  <c r="AU43" i="5" s="1"/>
  <c r="Z36" i="5"/>
  <c r="AO45" i="5"/>
  <c r="AP45" i="5" s="1"/>
  <c r="Z32" i="5"/>
  <c r="AD35" i="5"/>
  <c r="AH35" i="5" s="1"/>
  <c r="AZ35" i="5" s="1"/>
  <c r="BR35" i="5" s="1"/>
  <c r="AE35" i="5"/>
  <c r="AI35" i="5" s="1"/>
  <c r="BA35" i="5" s="1"/>
  <c r="BS35" i="5" s="1"/>
  <c r="AS35" i="5"/>
  <c r="AM35" i="5" s="1"/>
  <c r="AN35" i="5" s="1"/>
  <c r="Z33" i="5"/>
  <c r="AS39" i="5"/>
  <c r="AM39" i="5" s="1"/>
  <c r="AN39" i="5" s="1"/>
  <c r="AE39" i="5"/>
  <c r="AI39" i="5" s="1"/>
  <c r="BA39" i="5" s="1"/>
  <c r="BS39" i="5" s="1"/>
  <c r="AD37" i="5"/>
  <c r="AH37" i="5" s="1"/>
  <c r="AS37" i="5"/>
  <c r="AM37" i="5" s="1"/>
  <c r="AN37" i="5" s="1"/>
  <c r="BS37" i="5"/>
  <c r="BK34" i="5"/>
  <c r="BE34" i="5" s="1"/>
  <c r="BF34" i="5" s="1"/>
  <c r="BS34" i="5"/>
  <c r="AT34" i="5"/>
  <c r="AU34" i="5" s="1"/>
  <c r="AO34" i="5"/>
  <c r="AQ34" i="5"/>
  <c r="AR34" i="5" s="1"/>
  <c r="BR34" i="5"/>
  <c r="BS46" i="5"/>
  <c r="BS41" i="5"/>
  <c r="AQ45" i="5"/>
  <c r="AR45" i="5" s="1"/>
  <c r="BS45" i="5"/>
  <c r="AH39" i="5"/>
  <c r="AZ39" i="5" s="1"/>
  <c r="Y18" i="5"/>
  <c r="AG18" i="5" s="1"/>
  <c r="AY18" i="5" s="1"/>
  <c r="Y20" i="5"/>
  <c r="AG20" i="5" s="1"/>
  <c r="AY20" i="5" s="1"/>
  <c r="Y17" i="5"/>
  <c r="AG17" i="5" s="1"/>
  <c r="AY17" i="5" s="1"/>
  <c r="BQ17" i="5" s="1"/>
  <c r="BT17" i="5" s="1"/>
  <c r="BW17" i="5" s="1"/>
  <c r="BX17" i="5" s="1"/>
  <c r="Y21" i="5"/>
  <c r="AG21" i="5" s="1"/>
  <c r="AJ21" i="5" s="1"/>
  <c r="AM21" i="5" s="1"/>
  <c r="AN21" i="5" s="1"/>
  <c r="AV21" i="5" s="1"/>
  <c r="AW21" i="5" s="1"/>
  <c r="Y24" i="5"/>
  <c r="AG24" i="5" s="1"/>
  <c r="AJ24" i="5" s="1"/>
  <c r="AM24" i="5" s="1"/>
  <c r="AN24" i="5" s="1"/>
  <c r="AY25" i="5"/>
  <c r="AJ18" i="5"/>
  <c r="AM18" i="5" s="1"/>
  <c r="AN18" i="5" s="1"/>
  <c r="AJ25" i="5"/>
  <c r="AM25" i="5" s="1"/>
  <c r="AN25" i="5" s="1"/>
  <c r="AY23" i="5"/>
  <c r="AJ15" i="5"/>
  <c r="AM15" i="5" s="1"/>
  <c r="AN15" i="5" s="1"/>
  <c r="AY15" i="5"/>
  <c r="BB12" i="5"/>
  <c r="BE12" i="5" s="1"/>
  <c r="BF12" i="5" s="1"/>
  <c r="BQ12" i="5"/>
  <c r="AV23" i="5"/>
  <c r="AW23" i="5" s="1"/>
  <c r="AO23" i="5"/>
  <c r="AQ23" i="5"/>
  <c r="AR23" i="5" s="1"/>
  <c r="AT23" i="5"/>
  <c r="AU23" i="5" s="1"/>
  <c r="AJ12" i="5"/>
  <c r="AM12" i="5" s="1"/>
  <c r="AN12" i="5" s="1"/>
  <c r="Y19" i="5"/>
  <c r="AG19" i="5" s="1"/>
  <c r="Y27" i="5"/>
  <c r="AG27" i="5" s="1"/>
  <c r="Y22" i="5"/>
  <c r="AG22" i="5" s="1"/>
  <c r="Y16" i="5"/>
  <c r="AG16" i="5" s="1"/>
  <c r="Y14" i="5"/>
  <c r="AG14" i="5" s="1"/>
  <c r="Y26" i="5"/>
  <c r="AG26" i="5" s="1"/>
  <c r="Y13" i="5"/>
  <c r="AG13" i="5" s="1"/>
  <c r="AJ20" i="5" l="1"/>
  <c r="AM20" i="5" s="1"/>
  <c r="AN20" i="5" s="1"/>
  <c r="BB17" i="5"/>
  <c r="BE17" i="5" s="1"/>
  <c r="BF17" i="5" s="1"/>
  <c r="BL17" i="5" s="1"/>
  <c r="BM17" i="5" s="1"/>
  <c r="AJ17" i="5"/>
  <c r="AM17" i="5" s="1"/>
  <c r="AN17" i="5" s="1"/>
  <c r="AQ17" i="5" s="1"/>
  <c r="AR17" i="5" s="1"/>
  <c r="BK45" i="5"/>
  <c r="BE45" i="5" s="1"/>
  <c r="BF45" i="5" s="1"/>
  <c r="BN45" i="5" s="1"/>
  <c r="BO45" i="5" s="1"/>
  <c r="AV41" i="5"/>
  <c r="AW41" i="5" s="1"/>
  <c r="AV43" i="5"/>
  <c r="AW43" i="5" s="1"/>
  <c r="AO41" i="5"/>
  <c r="AP41" i="5" s="1"/>
  <c r="AT38" i="5"/>
  <c r="AU38" i="5" s="1"/>
  <c r="BK42" i="5"/>
  <c r="BE42" i="5" s="1"/>
  <c r="BF42" i="5" s="1"/>
  <c r="BN42" i="5" s="1"/>
  <c r="BO42" i="5" s="1"/>
  <c r="BK41" i="5"/>
  <c r="BE41" i="5" s="1"/>
  <c r="BF41" i="5" s="1"/>
  <c r="AS44" i="5"/>
  <c r="AM44" i="5" s="1"/>
  <c r="AN44" i="5" s="1"/>
  <c r="AD44" i="5"/>
  <c r="AH44" i="5" s="1"/>
  <c r="AZ44" i="5" s="1"/>
  <c r="BR44" i="5" s="1"/>
  <c r="AE44" i="5"/>
  <c r="AI44" i="5" s="1"/>
  <c r="BA44" i="5" s="1"/>
  <c r="AD40" i="5"/>
  <c r="AH40" i="5" s="1"/>
  <c r="AZ40" i="5" s="1"/>
  <c r="BR40" i="5" s="1"/>
  <c r="AE40" i="5"/>
  <c r="AI40" i="5" s="1"/>
  <c r="BA40" i="5" s="1"/>
  <c r="AQ46" i="5"/>
  <c r="AR46" i="5" s="1"/>
  <c r="BR42" i="5"/>
  <c r="AO46" i="5"/>
  <c r="AP46" i="5" s="1"/>
  <c r="AO43" i="5"/>
  <c r="AP43" i="5" s="1"/>
  <c r="AT46" i="5"/>
  <c r="AU46" i="5" s="1"/>
  <c r="AV38" i="5"/>
  <c r="AW38" i="5" s="1"/>
  <c r="AQ43" i="5"/>
  <c r="AR43" i="5" s="1"/>
  <c r="AK45" i="5"/>
  <c r="AL45" i="5" s="1"/>
  <c r="AQ41" i="5"/>
  <c r="AR41" i="5" s="1"/>
  <c r="AD31" i="5"/>
  <c r="AH31" i="5" s="1"/>
  <c r="AZ31" i="5" s="1"/>
  <c r="BR31" i="5" s="1"/>
  <c r="CC31" i="5" s="1"/>
  <c r="BW31" i="5" s="1"/>
  <c r="BX31" i="5" s="1"/>
  <c r="BK35" i="5"/>
  <c r="BE35" i="5" s="1"/>
  <c r="BF35" i="5" s="1"/>
  <c r="BG35" i="5" s="1"/>
  <c r="BK46" i="5"/>
  <c r="BE46" i="5" s="1"/>
  <c r="BF46" i="5" s="1"/>
  <c r="BN46" i="5" s="1"/>
  <c r="BO46" i="5" s="1"/>
  <c r="AO38" i="5"/>
  <c r="AP38" i="5" s="1"/>
  <c r="AV42" i="5"/>
  <c r="AW42" i="5" s="1"/>
  <c r="BK43" i="5"/>
  <c r="BE43" i="5" s="1"/>
  <c r="BF43" i="5" s="1"/>
  <c r="BN43" i="5" s="1"/>
  <c r="BO43" i="5" s="1"/>
  <c r="AT40" i="5"/>
  <c r="AU40" i="5" s="1"/>
  <c r="AV40" i="5"/>
  <c r="AW40" i="5" s="1"/>
  <c r="AK41" i="5"/>
  <c r="AL41" i="5" s="1"/>
  <c r="AO40" i="5"/>
  <c r="AP40" i="5" s="1"/>
  <c r="CC38" i="5"/>
  <c r="BW38" i="5" s="1"/>
  <c r="BX38" i="5" s="1"/>
  <c r="AT42" i="5"/>
  <c r="AU42" i="5" s="1"/>
  <c r="AO42" i="5"/>
  <c r="AP42" i="5" s="1"/>
  <c r="AS36" i="5"/>
  <c r="AM36" i="5" s="1"/>
  <c r="AN36" i="5" s="1"/>
  <c r="AE36" i="5"/>
  <c r="AI36" i="5" s="1"/>
  <c r="BA36" i="5" s="1"/>
  <c r="AD36" i="5"/>
  <c r="AH36" i="5" s="1"/>
  <c r="AZ36" i="5" s="1"/>
  <c r="BR36" i="5" s="1"/>
  <c r="BK38" i="5"/>
  <c r="BE38" i="5" s="1"/>
  <c r="BF38" i="5" s="1"/>
  <c r="BL45" i="5"/>
  <c r="BM45" i="5" s="1"/>
  <c r="AE32" i="5"/>
  <c r="AI32" i="5" s="1"/>
  <c r="BA32" i="5" s="1"/>
  <c r="AD32" i="5"/>
  <c r="AH32" i="5" s="1"/>
  <c r="AZ32" i="5" s="1"/>
  <c r="BR32" i="5" s="1"/>
  <c r="AS32" i="5"/>
  <c r="AM32" i="5" s="1"/>
  <c r="AN32" i="5" s="1"/>
  <c r="AT35" i="5"/>
  <c r="AU35" i="5" s="1"/>
  <c r="AV35" i="5"/>
  <c r="AW35" i="5" s="1"/>
  <c r="AQ35" i="5"/>
  <c r="AR35" i="5" s="1"/>
  <c r="AO35" i="5"/>
  <c r="AS33" i="5"/>
  <c r="AM33" i="5" s="1"/>
  <c r="AN33" i="5" s="1"/>
  <c r="AE33" i="5"/>
  <c r="AI33" i="5" s="1"/>
  <c r="BA33" i="5" s="1"/>
  <c r="AD33" i="5"/>
  <c r="AH33" i="5" s="1"/>
  <c r="AZ33" i="5" s="1"/>
  <c r="BR33" i="5" s="1"/>
  <c r="BI45" i="5"/>
  <c r="BJ45" i="5" s="1"/>
  <c r="AZ37" i="5"/>
  <c r="BG45" i="5"/>
  <c r="BC45" i="5" s="1"/>
  <c r="AT39" i="5"/>
  <c r="AU39" i="5" s="1"/>
  <c r="AQ39" i="5"/>
  <c r="AR39" i="5" s="1"/>
  <c r="AO39" i="5"/>
  <c r="AV39" i="5"/>
  <c r="AW39" i="5" s="1"/>
  <c r="AT37" i="5"/>
  <c r="AU37" i="5" s="1"/>
  <c r="AQ37" i="5"/>
  <c r="AR37" i="5" s="1"/>
  <c r="AO37" i="5"/>
  <c r="AV37" i="5"/>
  <c r="AW37" i="5" s="1"/>
  <c r="BN41" i="5"/>
  <c r="BO41" i="5" s="1"/>
  <c r="BL41" i="5"/>
  <c r="BM41" i="5" s="1"/>
  <c r="BI41" i="5"/>
  <c r="BJ41" i="5" s="1"/>
  <c r="BG41" i="5"/>
  <c r="BG43" i="5"/>
  <c r="BL34" i="5"/>
  <c r="BM34" i="5" s="1"/>
  <c r="BN34" i="5"/>
  <c r="BO34" i="5" s="1"/>
  <c r="BG34" i="5"/>
  <c r="BI34" i="5"/>
  <c r="BJ34" i="5" s="1"/>
  <c r="CC41" i="5"/>
  <c r="BW41" i="5" s="1"/>
  <c r="BX41" i="5" s="1"/>
  <c r="CC46" i="5"/>
  <c r="BW46" i="5" s="1"/>
  <c r="BX46" i="5" s="1"/>
  <c r="AP34" i="5"/>
  <c r="AK34" i="5"/>
  <c r="CC34" i="5"/>
  <c r="BW34" i="5" s="1"/>
  <c r="BX34" i="5" s="1"/>
  <c r="BR39" i="5"/>
  <c r="CC39" i="5" s="1"/>
  <c r="BW39" i="5" s="1"/>
  <c r="BX39" i="5" s="1"/>
  <c r="CC42" i="5"/>
  <c r="BW42" i="5" s="1"/>
  <c r="BX42" i="5" s="1"/>
  <c r="CC43" i="5"/>
  <c r="BW43" i="5" s="1"/>
  <c r="BX43" i="5" s="1"/>
  <c r="BK39" i="5"/>
  <c r="BE39" i="5" s="1"/>
  <c r="BF39" i="5" s="1"/>
  <c r="CC45" i="5"/>
  <c r="BW45" i="5" s="1"/>
  <c r="BX45" i="5" s="1"/>
  <c r="CC35" i="5"/>
  <c r="BW35" i="5" s="1"/>
  <c r="BX35" i="5" s="1"/>
  <c r="BG17" i="5"/>
  <c r="BH17" i="5" s="1"/>
  <c r="AY21" i="5"/>
  <c r="BB21" i="5" s="1"/>
  <c r="BE21" i="5" s="1"/>
  <c r="BF21" i="5" s="1"/>
  <c r="AT21" i="5"/>
  <c r="AU21" i="5" s="1"/>
  <c r="AO17" i="5"/>
  <c r="AP17" i="5" s="1"/>
  <c r="L25" i="5"/>
  <c r="AO21" i="5"/>
  <c r="AY24" i="5"/>
  <c r="BB24" i="5" s="1"/>
  <c r="BE24" i="5" s="1"/>
  <c r="BF24" i="5" s="1"/>
  <c r="AQ21" i="5"/>
  <c r="AR21" i="5" s="1"/>
  <c r="BI17" i="5"/>
  <c r="BJ17" i="5" s="1"/>
  <c r="BN17" i="5"/>
  <c r="BO17" i="5" s="1"/>
  <c r="CD17" i="5"/>
  <c r="CE17" i="5" s="1"/>
  <c r="CA17" i="5"/>
  <c r="CB17" i="5" s="1"/>
  <c r="CF17" i="5"/>
  <c r="CG17" i="5" s="1"/>
  <c r="BY17" i="5"/>
  <c r="AY16" i="5"/>
  <c r="AJ16" i="5"/>
  <c r="AM16" i="5" s="1"/>
  <c r="AN16" i="5" s="1"/>
  <c r="AQ12" i="5"/>
  <c r="AR12" i="5" s="1"/>
  <c r="AT12" i="5"/>
  <c r="AU12" i="5" s="1"/>
  <c r="AO12" i="5"/>
  <c r="AV12" i="5"/>
  <c r="AW12" i="5" s="1"/>
  <c r="AK23" i="5"/>
  <c r="AP23" i="5"/>
  <c r="BG12" i="5"/>
  <c r="BI12" i="5"/>
  <c r="BJ12" i="5" s="1"/>
  <c r="BL12" i="5"/>
  <c r="BM12" i="5" s="1"/>
  <c r="BN12" i="5"/>
  <c r="BO12" i="5" s="1"/>
  <c r="BB23" i="5"/>
  <c r="BE23" i="5" s="1"/>
  <c r="BF23" i="5" s="1"/>
  <c r="BQ23" i="5"/>
  <c r="AJ22" i="5"/>
  <c r="AM22" i="5" s="1"/>
  <c r="AN22" i="5" s="1"/>
  <c r="AY22" i="5"/>
  <c r="BQ20" i="5"/>
  <c r="BB20" i="5"/>
  <c r="BE20" i="5" s="1"/>
  <c r="BF20" i="5" s="1"/>
  <c r="BQ15" i="5"/>
  <c r="BB15" i="5"/>
  <c r="BE15" i="5" s="1"/>
  <c r="BF15" i="5" s="1"/>
  <c r="BB18" i="5"/>
  <c r="BE18" i="5" s="1"/>
  <c r="BF18" i="5" s="1"/>
  <c r="BQ18" i="5"/>
  <c r="BQ25" i="5"/>
  <c r="BB25" i="5"/>
  <c r="BE25" i="5" s="1"/>
  <c r="BF25" i="5" s="1"/>
  <c r="BT12" i="5"/>
  <c r="BW12" i="5" s="1"/>
  <c r="BX12" i="5" s="1"/>
  <c r="AY27" i="5"/>
  <c r="AJ27" i="5"/>
  <c r="AM27" i="5" s="1"/>
  <c r="AN27" i="5" s="1"/>
  <c r="AV15" i="5"/>
  <c r="AW15" i="5" s="1"/>
  <c r="AO15" i="5"/>
  <c r="AQ15" i="5"/>
  <c r="AR15" i="5" s="1"/>
  <c r="AT15" i="5"/>
  <c r="AU15" i="5" s="1"/>
  <c r="AT25" i="5"/>
  <c r="AU25" i="5" s="1"/>
  <c r="AQ25" i="5"/>
  <c r="AR25" i="5" s="1"/>
  <c r="AV25" i="5"/>
  <c r="AW25" i="5" s="1"/>
  <c r="AO25" i="5"/>
  <c r="AY13" i="5"/>
  <c r="AJ13" i="5"/>
  <c r="AM13" i="5" s="1"/>
  <c r="AN13" i="5" s="1"/>
  <c r="K25" i="5"/>
  <c r="AY19" i="5"/>
  <c r="AJ19" i="5"/>
  <c r="AM19" i="5" s="1"/>
  <c r="AN19" i="5" s="1"/>
  <c r="AV20" i="5"/>
  <c r="AW20" i="5" s="1"/>
  <c r="AQ20" i="5"/>
  <c r="AR20" i="5" s="1"/>
  <c r="AO20" i="5"/>
  <c r="AT20" i="5"/>
  <c r="AU20" i="5" s="1"/>
  <c r="BQ21" i="5"/>
  <c r="AP21" i="5"/>
  <c r="AK21" i="5"/>
  <c r="AY14" i="5"/>
  <c r="AJ14" i="5"/>
  <c r="AM14" i="5" s="1"/>
  <c r="AN14" i="5" s="1"/>
  <c r="AY26" i="5"/>
  <c r="AJ26" i="5"/>
  <c r="AM26" i="5" s="1"/>
  <c r="AN26" i="5" s="1"/>
  <c r="AV24" i="5"/>
  <c r="AW24" i="5" s="1"/>
  <c r="AO24" i="5"/>
  <c r="AT24" i="5"/>
  <c r="AU24" i="5" s="1"/>
  <c r="AQ24" i="5"/>
  <c r="AR24" i="5" s="1"/>
  <c r="AV18" i="5"/>
  <c r="AW18" i="5" s="1"/>
  <c r="AT18" i="5"/>
  <c r="AU18" i="5" s="1"/>
  <c r="AQ18" i="5"/>
  <c r="AR18" i="5" s="1"/>
  <c r="AO18" i="5"/>
  <c r="BQ24" i="5" l="1"/>
  <c r="AV17" i="5"/>
  <c r="AW17" i="5" s="1"/>
  <c r="AT17" i="5"/>
  <c r="AU17" i="5" s="1"/>
  <c r="BL42" i="5"/>
  <c r="BM42" i="5" s="1"/>
  <c r="BI42" i="5"/>
  <c r="BJ42" i="5" s="1"/>
  <c r="AK38" i="5"/>
  <c r="AK46" i="5"/>
  <c r="AL46" i="5" s="1"/>
  <c r="BG42" i="5"/>
  <c r="BL43" i="5"/>
  <c r="BM43" i="5" s="1"/>
  <c r="BK44" i="5"/>
  <c r="BE44" i="5" s="1"/>
  <c r="BF44" i="5" s="1"/>
  <c r="BS44" i="5"/>
  <c r="CC44" i="5" s="1"/>
  <c r="BW44" i="5" s="1"/>
  <c r="BX44" i="5" s="1"/>
  <c r="BK40" i="5"/>
  <c r="BE40" i="5" s="1"/>
  <c r="BF40" i="5" s="1"/>
  <c r="BS40" i="5"/>
  <c r="CC40" i="5" s="1"/>
  <c r="BW40" i="5" s="1"/>
  <c r="BX40" i="5" s="1"/>
  <c r="CA40" i="5" s="1"/>
  <c r="CB40" i="5" s="1"/>
  <c r="BI43" i="5"/>
  <c r="BJ43" i="5" s="1"/>
  <c r="AK43" i="5"/>
  <c r="AL43" i="5" s="1"/>
  <c r="AO44" i="5"/>
  <c r="AT44" i="5"/>
  <c r="AU44" i="5" s="1"/>
  <c r="AQ44" i="5"/>
  <c r="AR44" i="5" s="1"/>
  <c r="AV44" i="5"/>
  <c r="AW44" i="5" s="1"/>
  <c r="BK31" i="5"/>
  <c r="BE31" i="5" s="1"/>
  <c r="BF31" i="5" s="1"/>
  <c r="BL31" i="5" s="1"/>
  <c r="BM31" i="5" s="1"/>
  <c r="BN35" i="5"/>
  <c r="BO35" i="5" s="1"/>
  <c r="BI35" i="5"/>
  <c r="BJ35" i="5" s="1"/>
  <c r="BI46" i="5"/>
  <c r="BJ46" i="5" s="1"/>
  <c r="AS31" i="5"/>
  <c r="AM31" i="5" s="1"/>
  <c r="AN31" i="5" s="1"/>
  <c r="BY38" i="5"/>
  <c r="BZ38" i="5" s="1"/>
  <c r="CA38" i="5"/>
  <c r="CB38" i="5" s="1"/>
  <c r="AL34" i="5"/>
  <c r="BL46" i="5"/>
  <c r="BM46" i="5" s="1"/>
  <c r="BL35" i="5"/>
  <c r="BM35" i="5" s="1"/>
  <c r="BG46" i="5"/>
  <c r="BH46" i="5" s="1"/>
  <c r="AK40" i="5"/>
  <c r="AL40" i="5" s="1"/>
  <c r="BH45" i="5"/>
  <c r="BD45" i="5" s="1"/>
  <c r="L26" i="5"/>
  <c r="K27" i="5" s="1"/>
  <c r="K28" i="5" s="1"/>
  <c r="AK42" i="5"/>
  <c r="AL42" i="5" s="1"/>
  <c r="CF38" i="5"/>
  <c r="CG38" i="5" s="1"/>
  <c r="CD38" i="5"/>
  <c r="CE38" i="5" s="1"/>
  <c r="K26" i="5"/>
  <c r="L27" i="5" s="1"/>
  <c r="L28" i="5" s="1"/>
  <c r="AO36" i="5"/>
  <c r="AT36" i="5"/>
  <c r="AU36" i="5" s="1"/>
  <c r="AQ36" i="5"/>
  <c r="AR36" i="5" s="1"/>
  <c r="AV36" i="5"/>
  <c r="AW36" i="5" s="1"/>
  <c r="BI38" i="5"/>
  <c r="BJ38" i="5" s="1"/>
  <c r="BL38" i="5"/>
  <c r="BM38" i="5" s="1"/>
  <c r="BG38" i="5"/>
  <c r="BN38" i="5"/>
  <c r="BO38" i="5" s="1"/>
  <c r="BS36" i="5"/>
  <c r="CC36" i="5" s="1"/>
  <c r="BW36" i="5" s="1"/>
  <c r="BX36" i="5" s="1"/>
  <c r="CD36" i="5" s="1"/>
  <c r="CE36" i="5" s="1"/>
  <c r="BK36" i="5"/>
  <c r="BE36" i="5" s="1"/>
  <c r="BF36" i="5" s="1"/>
  <c r="AQ32" i="5"/>
  <c r="AR32" i="5" s="1"/>
  <c r="AV32" i="5"/>
  <c r="AW32" i="5" s="1"/>
  <c r="AT32" i="5"/>
  <c r="AU32" i="5" s="1"/>
  <c r="AO32" i="5"/>
  <c r="BS32" i="5"/>
  <c r="CC32" i="5" s="1"/>
  <c r="BW32" i="5" s="1"/>
  <c r="BX32" i="5" s="1"/>
  <c r="CD32" i="5" s="1"/>
  <c r="CE32" i="5" s="1"/>
  <c r="BK32" i="5"/>
  <c r="BE32" i="5" s="1"/>
  <c r="BF32" i="5" s="1"/>
  <c r="BK33" i="5"/>
  <c r="BE33" i="5" s="1"/>
  <c r="BF33" i="5" s="1"/>
  <c r="BS33" i="5"/>
  <c r="AV33" i="5"/>
  <c r="AW33" i="5" s="1"/>
  <c r="AT33" i="5"/>
  <c r="AU33" i="5" s="1"/>
  <c r="AO33" i="5"/>
  <c r="AQ33" i="5"/>
  <c r="AR33" i="5" s="1"/>
  <c r="AK35" i="5"/>
  <c r="AP35" i="5"/>
  <c r="AP39" i="5"/>
  <c r="AK39" i="5"/>
  <c r="AP37" i="5"/>
  <c r="AK37" i="5"/>
  <c r="AL38" i="5"/>
  <c r="BR37" i="5"/>
  <c r="CC37" i="5" s="1"/>
  <c r="BW37" i="5" s="1"/>
  <c r="BX37" i="5" s="1"/>
  <c r="CD37" i="5" s="1"/>
  <c r="CE37" i="5" s="1"/>
  <c r="BK37" i="5"/>
  <c r="BE37" i="5" s="1"/>
  <c r="BF37" i="5" s="1"/>
  <c r="CA35" i="5"/>
  <c r="CB35" i="5" s="1"/>
  <c r="CF35" i="5"/>
  <c r="CG35" i="5" s="1"/>
  <c r="BY35" i="5"/>
  <c r="CD35" i="5"/>
  <c r="CE35" i="5" s="1"/>
  <c r="CF31" i="5"/>
  <c r="CG31" i="5" s="1"/>
  <c r="CA31" i="5"/>
  <c r="CB31" i="5" s="1"/>
  <c r="BY31" i="5"/>
  <c r="CD31" i="5"/>
  <c r="CE31" i="5" s="1"/>
  <c r="CA39" i="5"/>
  <c r="CB39" i="5" s="1"/>
  <c r="CD39" i="5"/>
  <c r="CE39" i="5" s="1"/>
  <c r="CF39" i="5"/>
  <c r="CG39" i="5" s="1"/>
  <c r="BY39" i="5"/>
  <c r="BY32" i="5"/>
  <c r="BC43" i="5"/>
  <c r="BH43" i="5"/>
  <c r="BL39" i="5"/>
  <c r="BM39" i="5" s="1"/>
  <c r="BG39" i="5"/>
  <c r="BI39" i="5"/>
  <c r="BJ39" i="5" s="1"/>
  <c r="BN39" i="5"/>
  <c r="BO39" i="5" s="1"/>
  <c r="BC34" i="5"/>
  <c r="BH34" i="5"/>
  <c r="CA42" i="5"/>
  <c r="CB42" i="5" s="1"/>
  <c r="BY42" i="5"/>
  <c r="CF42" i="5"/>
  <c r="CG42" i="5" s="1"/>
  <c r="CD42" i="5"/>
  <c r="CE42" i="5" s="1"/>
  <c r="BY46" i="5"/>
  <c r="CA46" i="5"/>
  <c r="CB46" i="5" s="1"/>
  <c r="CD46" i="5"/>
  <c r="CE46" i="5" s="1"/>
  <c r="CF46" i="5"/>
  <c r="CG46" i="5" s="1"/>
  <c r="CD34" i="5"/>
  <c r="CE34" i="5" s="1"/>
  <c r="CF34" i="5"/>
  <c r="CG34" i="5" s="1"/>
  <c r="CA34" i="5"/>
  <c r="CB34" i="5" s="1"/>
  <c r="BY34" i="5"/>
  <c r="CA41" i="5"/>
  <c r="CB41" i="5" s="1"/>
  <c r="BY41" i="5"/>
  <c r="CD41" i="5"/>
  <c r="CE41" i="5" s="1"/>
  <c r="CF41" i="5"/>
  <c r="CG41" i="5" s="1"/>
  <c r="BH41" i="5"/>
  <c r="BC41" i="5"/>
  <c r="CF44" i="5"/>
  <c r="CG44" i="5" s="1"/>
  <c r="BY44" i="5"/>
  <c r="CA44" i="5"/>
  <c r="CB44" i="5" s="1"/>
  <c r="CD44" i="5"/>
  <c r="CE44" i="5" s="1"/>
  <c r="CD43" i="5"/>
  <c r="CE43" i="5" s="1"/>
  <c r="BY43" i="5"/>
  <c r="CA43" i="5"/>
  <c r="CB43" i="5" s="1"/>
  <c r="CF43" i="5"/>
  <c r="CG43" i="5" s="1"/>
  <c r="BH35" i="5"/>
  <c r="CA45" i="5"/>
  <c r="CB45" i="5" s="1"/>
  <c r="CF45" i="5"/>
  <c r="CG45" i="5" s="1"/>
  <c r="CD45" i="5"/>
  <c r="CE45" i="5" s="1"/>
  <c r="BY45" i="5"/>
  <c r="BC42" i="5"/>
  <c r="BH42" i="5"/>
  <c r="AK17" i="5"/>
  <c r="AL17" i="5" s="1"/>
  <c r="BC17" i="5"/>
  <c r="BD17" i="5" s="1"/>
  <c r="AL21" i="5"/>
  <c r="BZ17" i="5"/>
  <c r="BU17" i="5"/>
  <c r="BN15" i="5"/>
  <c r="BO15" i="5" s="1"/>
  <c r="BL15" i="5"/>
  <c r="BM15" i="5" s="1"/>
  <c r="BG15" i="5"/>
  <c r="BI15" i="5"/>
  <c r="BJ15" i="5" s="1"/>
  <c r="AK18" i="5"/>
  <c r="AP18" i="5"/>
  <c r="AP24" i="5"/>
  <c r="AK24" i="5"/>
  <c r="BB14" i="5"/>
  <c r="BE14" i="5" s="1"/>
  <c r="BF14" i="5" s="1"/>
  <c r="BQ14" i="5"/>
  <c r="BT21" i="5"/>
  <c r="BW21" i="5" s="1"/>
  <c r="BX21" i="5" s="1"/>
  <c r="BB27" i="5"/>
  <c r="BE27" i="5" s="1"/>
  <c r="BF27" i="5" s="1"/>
  <c r="BQ27" i="5"/>
  <c r="BT15" i="5"/>
  <c r="BW15" i="5" s="1"/>
  <c r="BX15" i="5" s="1"/>
  <c r="AO22" i="5"/>
  <c r="AT22" i="5"/>
  <c r="AU22" i="5" s="1"/>
  <c r="AQ22" i="5"/>
  <c r="AR22" i="5" s="1"/>
  <c r="AV22" i="5"/>
  <c r="AW22" i="5" s="1"/>
  <c r="AV27" i="5"/>
  <c r="AW27" i="5" s="1"/>
  <c r="AQ27" i="5"/>
  <c r="AR27" i="5" s="1"/>
  <c r="AO27" i="5"/>
  <c r="AT27" i="5"/>
  <c r="AU27" i="5" s="1"/>
  <c r="BT25" i="5"/>
  <c r="BW25" i="5" s="1"/>
  <c r="BX25" i="5" s="1"/>
  <c r="BI24" i="5"/>
  <c r="BJ24" i="5" s="1"/>
  <c r="BN24" i="5"/>
  <c r="BO24" i="5" s="1"/>
  <c r="BL24" i="5"/>
  <c r="BM24" i="5" s="1"/>
  <c r="BG24" i="5"/>
  <c r="AT13" i="5"/>
  <c r="AU13" i="5" s="1"/>
  <c r="AV13" i="5"/>
  <c r="AW13" i="5" s="1"/>
  <c r="AQ13" i="5"/>
  <c r="AR13" i="5" s="1"/>
  <c r="AO13" i="5"/>
  <c r="BH12" i="5"/>
  <c r="BC12" i="5"/>
  <c r="AP12" i="5"/>
  <c r="AK12" i="5"/>
  <c r="AL12" i="5" s="1"/>
  <c r="AT19" i="5"/>
  <c r="AU19" i="5" s="1"/>
  <c r="AO19" i="5"/>
  <c r="AQ19" i="5"/>
  <c r="AR19" i="5" s="1"/>
  <c r="AV19" i="5"/>
  <c r="AW19" i="5" s="1"/>
  <c r="BB13" i="5"/>
  <c r="BE13" i="5" s="1"/>
  <c r="BF13" i="5" s="1"/>
  <c r="BQ13" i="5"/>
  <c r="BT18" i="5"/>
  <c r="BW18" i="5" s="1"/>
  <c r="BX18" i="5" s="1"/>
  <c r="BL20" i="5"/>
  <c r="BM20" i="5" s="1"/>
  <c r="BN20" i="5"/>
  <c r="BO20" i="5" s="1"/>
  <c r="BG20" i="5"/>
  <c r="BI20" i="5"/>
  <c r="BJ20" i="5" s="1"/>
  <c r="BT23" i="5"/>
  <c r="BW23" i="5" s="1"/>
  <c r="BX23" i="5" s="1"/>
  <c r="AO16" i="5"/>
  <c r="AQ16" i="5"/>
  <c r="AR16" i="5" s="1"/>
  <c r="AT16" i="5"/>
  <c r="AU16" i="5" s="1"/>
  <c r="AV16" i="5"/>
  <c r="AW16" i="5" s="1"/>
  <c r="AQ14" i="5"/>
  <c r="AR14" i="5" s="1"/>
  <c r="AV14" i="5"/>
  <c r="AW14" i="5" s="1"/>
  <c r="AO14" i="5"/>
  <c r="AT14" i="5"/>
  <c r="AU14" i="5" s="1"/>
  <c r="BB22" i="5"/>
  <c r="BE22" i="5" s="1"/>
  <c r="BF22" i="5" s="1"/>
  <c r="BQ22" i="5"/>
  <c r="AO26" i="5"/>
  <c r="AV26" i="5"/>
  <c r="AW26" i="5" s="1"/>
  <c r="AT26" i="5"/>
  <c r="AU26" i="5" s="1"/>
  <c r="AQ26" i="5"/>
  <c r="AR26" i="5" s="1"/>
  <c r="BT24" i="5"/>
  <c r="BW24" i="5" s="1"/>
  <c r="BX24" i="5" s="1"/>
  <c r="AP25" i="5"/>
  <c r="AK25" i="5"/>
  <c r="AK15" i="5"/>
  <c r="AP15" i="5"/>
  <c r="CF12" i="5"/>
  <c r="CG12" i="5" s="1"/>
  <c r="BY12" i="5"/>
  <c r="CA12" i="5"/>
  <c r="CB12" i="5" s="1"/>
  <c r="CD12" i="5"/>
  <c r="CE12" i="5" s="1"/>
  <c r="BN18" i="5"/>
  <c r="BO18" i="5" s="1"/>
  <c r="BI18" i="5"/>
  <c r="BJ18" i="5" s="1"/>
  <c r="BL18" i="5"/>
  <c r="BM18" i="5" s="1"/>
  <c r="BG18" i="5"/>
  <c r="BT20" i="5"/>
  <c r="BW20" i="5" s="1"/>
  <c r="BX20" i="5" s="1"/>
  <c r="BL23" i="5"/>
  <c r="BM23" i="5" s="1"/>
  <c r="BG23" i="5"/>
  <c r="BN23" i="5"/>
  <c r="BO23" i="5" s="1"/>
  <c r="BI23" i="5"/>
  <c r="BJ23" i="5" s="1"/>
  <c r="AL23" i="5"/>
  <c r="AP20" i="5"/>
  <c r="AK20" i="5"/>
  <c r="BQ26" i="5"/>
  <c r="BB26" i="5"/>
  <c r="BE26" i="5" s="1"/>
  <c r="BF26" i="5" s="1"/>
  <c r="BI21" i="5"/>
  <c r="BJ21" i="5" s="1"/>
  <c r="BG21" i="5"/>
  <c r="BN21" i="5"/>
  <c r="BO21" i="5" s="1"/>
  <c r="BL21" i="5"/>
  <c r="BM21" i="5" s="1"/>
  <c r="BQ19" i="5"/>
  <c r="BB19" i="5"/>
  <c r="BE19" i="5" s="1"/>
  <c r="BF19" i="5" s="1"/>
  <c r="BL25" i="5"/>
  <c r="BM25" i="5" s="1"/>
  <c r="BN25" i="5"/>
  <c r="BO25" i="5" s="1"/>
  <c r="BI25" i="5"/>
  <c r="BJ25" i="5" s="1"/>
  <c r="BG25" i="5"/>
  <c r="BQ16" i="5"/>
  <c r="BB16" i="5"/>
  <c r="BE16" i="5" s="1"/>
  <c r="BF16" i="5" s="1"/>
  <c r="BC35" i="5" l="1"/>
  <c r="CD40" i="5"/>
  <c r="CE40" i="5" s="1"/>
  <c r="CF40" i="5"/>
  <c r="CG40" i="5" s="1"/>
  <c r="AL39" i="5"/>
  <c r="BN31" i="5"/>
  <c r="BO31" i="5" s="1"/>
  <c r="BY40" i="5"/>
  <c r="BZ40" i="5" s="1"/>
  <c r="BN40" i="5"/>
  <c r="BO40" i="5" s="1"/>
  <c r="BG40" i="5"/>
  <c r="BI40" i="5"/>
  <c r="BJ40" i="5" s="1"/>
  <c r="BL40" i="5"/>
  <c r="BM40" i="5" s="1"/>
  <c r="BI31" i="5"/>
  <c r="BJ31" i="5" s="1"/>
  <c r="BC46" i="5"/>
  <c r="BD46" i="5" s="1"/>
  <c r="BG31" i="5"/>
  <c r="AP44" i="5"/>
  <c r="AK44" i="5"/>
  <c r="AL44" i="5" s="1"/>
  <c r="BN44" i="5"/>
  <c r="BO44" i="5" s="1"/>
  <c r="BG44" i="5"/>
  <c r="BI44" i="5"/>
  <c r="BJ44" i="5" s="1"/>
  <c r="BL44" i="5"/>
  <c r="BM44" i="5" s="1"/>
  <c r="AT31" i="5"/>
  <c r="AU31" i="5" s="1"/>
  <c r="AO31" i="5"/>
  <c r="AQ31" i="5"/>
  <c r="AR31" i="5" s="1"/>
  <c r="AV31" i="5"/>
  <c r="AW31" i="5" s="1"/>
  <c r="BC31" i="5"/>
  <c r="BU38" i="5"/>
  <c r="CA32" i="5"/>
  <c r="CB32" i="5" s="1"/>
  <c r="N26" i="5"/>
  <c r="CF32" i="5"/>
  <c r="CG32" i="5" s="1"/>
  <c r="BH31" i="5"/>
  <c r="CA36" i="5"/>
  <c r="CB36" i="5" s="1"/>
  <c r="BY36" i="5"/>
  <c r="M26" i="5"/>
  <c r="CF36" i="5"/>
  <c r="CG36" i="5" s="1"/>
  <c r="BH38" i="5"/>
  <c r="BC38" i="5"/>
  <c r="AL37" i="5"/>
  <c r="BN36" i="5"/>
  <c r="BO36" i="5" s="1"/>
  <c r="BG36" i="5"/>
  <c r="BI36" i="5"/>
  <c r="BJ36" i="5" s="1"/>
  <c r="BL36" i="5"/>
  <c r="BM36" i="5" s="1"/>
  <c r="AK36" i="5"/>
  <c r="AP36" i="5"/>
  <c r="AK32" i="5"/>
  <c r="AP32" i="5"/>
  <c r="BI32" i="5"/>
  <c r="BJ32" i="5" s="1"/>
  <c r="BN32" i="5"/>
  <c r="BO32" i="5" s="1"/>
  <c r="BL32" i="5"/>
  <c r="BM32" i="5" s="1"/>
  <c r="BG32" i="5"/>
  <c r="AK33" i="5"/>
  <c r="AP33" i="5"/>
  <c r="BD41" i="5"/>
  <c r="CC33" i="5"/>
  <c r="BW33" i="5" s="1"/>
  <c r="BX33" i="5" s="1"/>
  <c r="CA37" i="5"/>
  <c r="CB37" i="5" s="1"/>
  <c r="AL35" i="5"/>
  <c r="BN33" i="5"/>
  <c r="BO33" i="5" s="1"/>
  <c r="BG33" i="5"/>
  <c r="BL33" i="5"/>
  <c r="BM33" i="5" s="1"/>
  <c r="BI33" i="5"/>
  <c r="BJ33" i="5" s="1"/>
  <c r="BD35" i="5"/>
  <c r="CF37" i="5"/>
  <c r="CG37" i="5" s="1"/>
  <c r="BY37" i="5"/>
  <c r="BD34" i="5"/>
  <c r="BN37" i="5"/>
  <c r="BO37" i="5" s="1"/>
  <c r="BI37" i="5"/>
  <c r="BJ37" i="5" s="1"/>
  <c r="BG37" i="5"/>
  <c r="BL37" i="5"/>
  <c r="BM37" i="5" s="1"/>
  <c r="BU44" i="5"/>
  <c r="BZ44" i="5"/>
  <c r="BU31" i="5"/>
  <c r="BZ31" i="5"/>
  <c r="BU46" i="5"/>
  <c r="BZ46" i="5"/>
  <c r="BZ32" i="5"/>
  <c r="BD42" i="5"/>
  <c r="BU45" i="5"/>
  <c r="BZ45" i="5"/>
  <c r="BU40" i="5"/>
  <c r="BH39" i="5"/>
  <c r="BC39" i="5"/>
  <c r="BZ36" i="5"/>
  <c r="BZ39" i="5"/>
  <c r="BU39" i="5"/>
  <c r="BZ42" i="5"/>
  <c r="BU42" i="5"/>
  <c r="BU35" i="5"/>
  <c r="BZ35" i="5"/>
  <c r="BZ41" i="5"/>
  <c r="BU41" i="5"/>
  <c r="BV38" i="5"/>
  <c r="BZ43" i="5"/>
  <c r="BU43" i="5"/>
  <c r="BU34" i="5"/>
  <c r="BZ34" i="5"/>
  <c r="BD43" i="5"/>
  <c r="BV17" i="5"/>
  <c r="AL24" i="5"/>
  <c r="M25" i="5"/>
  <c r="AL25" i="5"/>
  <c r="N25" i="5"/>
  <c r="CD20" i="5"/>
  <c r="CE20" i="5" s="1"/>
  <c r="CF20" i="5"/>
  <c r="CG20" i="5" s="1"/>
  <c r="BY20" i="5"/>
  <c r="CA20" i="5"/>
  <c r="CB20" i="5" s="1"/>
  <c r="AP26" i="5"/>
  <c r="AK26" i="5"/>
  <c r="CD25" i="5"/>
  <c r="CE25" i="5" s="1"/>
  <c r="BY25" i="5"/>
  <c r="CA25" i="5"/>
  <c r="CB25" i="5" s="1"/>
  <c r="CF25" i="5"/>
  <c r="CG25" i="5" s="1"/>
  <c r="BY15" i="5"/>
  <c r="CD15" i="5"/>
  <c r="CE15" i="5" s="1"/>
  <c r="CA15" i="5"/>
  <c r="CB15" i="5" s="1"/>
  <c r="CF15" i="5"/>
  <c r="CG15" i="5" s="1"/>
  <c r="AL18" i="5"/>
  <c r="BG16" i="5"/>
  <c r="BL16" i="5"/>
  <c r="BM16" i="5" s="1"/>
  <c r="BI16" i="5"/>
  <c r="BJ16" i="5" s="1"/>
  <c r="BN16" i="5"/>
  <c r="BO16" i="5" s="1"/>
  <c r="AK14" i="5"/>
  <c r="AP14" i="5"/>
  <c r="BC18" i="5"/>
  <c r="BH18" i="5"/>
  <c r="BU12" i="5"/>
  <c r="BZ12" i="5"/>
  <c r="CF24" i="5"/>
  <c r="CG24" i="5" s="1"/>
  <c r="CA24" i="5"/>
  <c r="CB24" i="5" s="1"/>
  <c r="CD24" i="5"/>
  <c r="CE24" i="5" s="1"/>
  <c r="BY24" i="5"/>
  <c r="CA23" i="5"/>
  <c r="CB23" i="5" s="1"/>
  <c r="CF23" i="5"/>
  <c r="CG23" i="5" s="1"/>
  <c r="CD23" i="5"/>
  <c r="CE23" i="5" s="1"/>
  <c r="BY23" i="5"/>
  <c r="CF18" i="5"/>
  <c r="CG18" i="5" s="1"/>
  <c r="BY18" i="5"/>
  <c r="CD18" i="5"/>
  <c r="CE18" i="5" s="1"/>
  <c r="CA18" i="5"/>
  <c r="CB18" i="5" s="1"/>
  <c r="AK19" i="5"/>
  <c r="AP19" i="5"/>
  <c r="BD12" i="5"/>
  <c r="BC24" i="5"/>
  <c r="BH24" i="5"/>
  <c r="BT14" i="5"/>
  <c r="BW14" i="5" s="1"/>
  <c r="BX14" i="5" s="1"/>
  <c r="BT16" i="5"/>
  <c r="BW16" i="5" s="1"/>
  <c r="BX16" i="5" s="1"/>
  <c r="BC25" i="5"/>
  <c r="BH25" i="5"/>
  <c r="BT19" i="5"/>
  <c r="BW19" i="5" s="1"/>
  <c r="BX19" i="5" s="1"/>
  <c r="BT22" i="5"/>
  <c r="BW22" i="5" s="1"/>
  <c r="BX22" i="5" s="1"/>
  <c r="AK27" i="5"/>
  <c r="AP27" i="5"/>
  <c r="BT27" i="5"/>
  <c r="BW27" i="5" s="1"/>
  <c r="BX27" i="5" s="1"/>
  <c r="BL14" i="5"/>
  <c r="BM14" i="5" s="1"/>
  <c r="BI14" i="5"/>
  <c r="BJ14" i="5" s="1"/>
  <c r="BG14" i="5"/>
  <c r="BN14" i="5"/>
  <c r="BO14" i="5" s="1"/>
  <c r="BH15" i="5"/>
  <c r="BC15" i="5"/>
  <c r="BH21" i="5"/>
  <c r="BC21" i="5"/>
  <c r="BG22" i="5"/>
  <c r="BN22" i="5"/>
  <c r="BO22" i="5" s="1"/>
  <c r="BL22" i="5"/>
  <c r="BM22" i="5" s="1"/>
  <c r="BI22" i="5"/>
  <c r="BJ22" i="5" s="1"/>
  <c r="BH20" i="5"/>
  <c r="BC20" i="5"/>
  <c r="BT13" i="5"/>
  <c r="BW13" i="5" s="1"/>
  <c r="BX13" i="5" s="1"/>
  <c r="AK13" i="5"/>
  <c r="AP13" i="5"/>
  <c r="BN27" i="5"/>
  <c r="BO27" i="5" s="1"/>
  <c r="BL27" i="5"/>
  <c r="BM27" i="5" s="1"/>
  <c r="BI27" i="5"/>
  <c r="BJ27" i="5" s="1"/>
  <c r="BG27" i="5"/>
  <c r="AP16" i="5"/>
  <c r="AK16" i="5"/>
  <c r="BG19" i="5"/>
  <c r="BL19" i="5"/>
  <c r="BM19" i="5" s="1"/>
  <c r="BI19" i="5"/>
  <c r="BJ19" i="5" s="1"/>
  <c r="BN19" i="5"/>
  <c r="BO19" i="5" s="1"/>
  <c r="BG26" i="5"/>
  <c r="BI26" i="5"/>
  <c r="BJ26" i="5" s="1"/>
  <c r="BN26" i="5"/>
  <c r="BO26" i="5" s="1"/>
  <c r="BL26" i="5"/>
  <c r="BM26" i="5" s="1"/>
  <c r="BT26" i="5"/>
  <c r="BW26" i="5" s="1"/>
  <c r="BX26" i="5" s="1"/>
  <c r="BH23" i="5"/>
  <c r="BC23" i="5"/>
  <c r="AL20" i="5"/>
  <c r="AL15" i="5"/>
  <c r="BL13" i="5"/>
  <c r="BM13" i="5" s="1"/>
  <c r="BI13" i="5"/>
  <c r="BJ13" i="5" s="1"/>
  <c r="BG13" i="5"/>
  <c r="BN13" i="5"/>
  <c r="BO13" i="5" s="1"/>
  <c r="AP22" i="5"/>
  <c r="AK22" i="5"/>
  <c r="CD21" i="5"/>
  <c r="CE21" i="5" s="1"/>
  <c r="CA21" i="5"/>
  <c r="CB21" i="5" s="1"/>
  <c r="BY21" i="5"/>
  <c r="CF21" i="5"/>
  <c r="CG21" i="5" s="1"/>
  <c r="BD20" i="5" l="1"/>
  <c r="BD21" i="5"/>
  <c r="BU32" i="5"/>
  <c r="BD38" i="5"/>
  <c r="BD31" i="5"/>
  <c r="BC44" i="5"/>
  <c r="BH44" i="5"/>
  <c r="BH40" i="5"/>
  <c r="BC40" i="5"/>
  <c r="AK31" i="5"/>
  <c r="AP31" i="5"/>
  <c r="M27" i="5"/>
  <c r="M28" i="5" s="1"/>
  <c r="BU36" i="5"/>
  <c r="BV36" i="5" s="1"/>
  <c r="N27" i="5"/>
  <c r="N28" i="5" s="1"/>
  <c r="BV32" i="5"/>
  <c r="BH36" i="5"/>
  <c r="BC36" i="5"/>
  <c r="AL36" i="5"/>
  <c r="BU37" i="5"/>
  <c r="BC32" i="5"/>
  <c r="BH32" i="5"/>
  <c r="AL33" i="5"/>
  <c r="AL32" i="5"/>
  <c r="CA33" i="5"/>
  <c r="CB33" i="5" s="1"/>
  <c r="BY33" i="5"/>
  <c r="CD33" i="5"/>
  <c r="CE33" i="5" s="1"/>
  <c r="CF33" i="5"/>
  <c r="CG33" i="5" s="1"/>
  <c r="BV41" i="5"/>
  <c r="BV39" i="5"/>
  <c r="BV40" i="5"/>
  <c r="BZ37" i="5"/>
  <c r="BV35" i="5"/>
  <c r="BV45" i="5"/>
  <c r="BC33" i="5"/>
  <c r="BH33" i="5"/>
  <c r="BV42" i="5"/>
  <c r="BD39" i="5"/>
  <c r="BV31" i="5"/>
  <c r="P26" i="5"/>
  <c r="O26" i="5"/>
  <c r="BC37" i="5"/>
  <c r="BH37" i="5"/>
  <c r="BV34" i="5"/>
  <c r="BV44" i="5"/>
  <c r="BV43" i="5"/>
  <c r="BV46" i="5"/>
  <c r="AL13" i="5"/>
  <c r="AL22" i="5"/>
  <c r="BD18" i="5"/>
  <c r="BD23" i="5"/>
  <c r="AL26" i="5"/>
  <c r="BH19" i="5"/>
  <c r="BC19" i="5"/>
  <c r="CF16" i="5"/>
  <c r="CG16" i="5" s="1"/>
  <c r="BY16" i="5"/>
  <c r="CA16" i="5"/>
  <c r="CB16" i="5" s="1"/>
  <c r="CD16" i="5"/>
  <c r="CE16" i="5" s="1"/>
  <c r="BU23" i="5"/>
  <c r="BZ23" i="5"/>
  <c r="AL16" i="5"/>
  <c r="BD15" i="5"/>
  <c r="CA19" i="5"/>
  <c r="CB19" i="5" s="1"/>
  <c r="CF19" i="5"/>
  <c r="CG19" i="5" s="1"/>
  <c r="CD19" i="5"/>
  <c r="CE19" i="5" s="1"/>
  <c r="BY19" i="5"/>
  <c r="AL19" i="5"/>
  <c r="AL14" i="5"/>
  <c r="BZ25" i="5"/>
  <c r="BU25" i="5"/>
  <c r="CA22" i="5"/>
  <c r="CB22" i="5" s="1"/>
  <c r="BY22" i="5"/>
  <c r="CD22" i="5"/>
  <c r="CE22" i="5" s="1"/>
  <c r="CF22" i="5"/>
  <c r="CG22" i="5" s="1"/>
  <c r="BH16" i="5"/>
  <c r="BC16" i="5"/>
  <c r="CD27" i="5"/>
  <c r="CE27" i="5" s="1"/>
  <c r="BY27" i="5"/>
  <c r="CA27" i="5"/>
  <c r="CB27" i="5" s="1"/>
  <c r="CF27" i="5"/>
  <c r="CG27" i="5" s="1"/>
  <c r="CD14" i="5"/>
  <c r="CE14" i="5" s="1"/>
  <c r="CA14" i="5"/>
  <c r="CB14" i="5" s="1"/>
  <c r="BY14" i="5"/>
  <c r="CF14" i="5"/>
  <c r="CG14" i="5" s="1"/>
  <c r="BZ20" i="5"/>
  <c r="BU20" i="5"/>
  <c r="BU21" i="5"/>
  <c r="BZ21" i="5"/>
  <c r="BC27" i="5"/>
  <c r="BH27" i="5"/>
  <c r="BV12" i="5"/>
  <c r="BC13" i="5"/>
  <c r="BH13" i="5"/>
  <c r="BC26" i="5"/>
  <c r="BH26" i="5"/>
  <c r="O25" i="5"/>
  <c r="P25" i="5"/>
  <c r="CA13" i="5"/>
  <c r="CB13" i="5" s="1"/>
  <c r="BY13" i="5"/>
  <c r="CF13" i="5"/>
  <c r="CG13" i="5" s="1"/>
  <c r="CD13" i="5"/>
  <c r="CE13" i="5" s="1"/>
  <c r="CF26" i="5"/>
  <c r="CG26" i="5" s="1"/>
  <c r="BY26" i="5"/>
  <c r="CA26" i="5"/>
  <c r="CB26" i="5" s="1"/>
  <c r="CD26" i="5"/>
  <c r="CE26" i="5" s="1"/>
  <c r="BH22" i="5"/>
  <c r="BC22" i="5"/>
  <c r="BC14" i="5"/>
  <c r="BH14" i="5"/>
  <c r="AL27" i="5"/>
  <c r="BD25" i="5"/>
  <c r="BD24" i="5"/>
  <c r="BU18" i="5"/>
  <c r="BZ18" i="5"/>
  <c r="BZ24" i="5"/>
  <c r="BU24" i="5"/>
  <c r="BU15" i="5"/>
  <c r="BZ15" i="5"/>
  <c r="BD44" i="5" l="1"/>
  <c r="BD40" i="5"/>
  <c r="AL31" i="5"/>
  <c r="BD36" i="5"/>
  <c r="BV37" i="5"/>
  <c r="BD33" i="5"/>
  <c r="BD32" i="5"/>
  <c r="R26" i="5"/>
  <c r="Q26" i="5"/>
  <c r="BZ33" i="5"/>
  <c r="BU33" i="5"/>
  <c r="BV33" i="5" s="1"/>
  <c r="BD37" i="5"/>
  <c r="P27" i="5"/>
  <c r="P28" i="5" s="1"/>
  <c r="O27" i="5"/>
  <c r="O28" i="5" s="1"/>
  <c r="BD16" i="5"/>
  <c r="BD19" i="5"/>
  <c r="BV25" i="5"/>
  <c r="BD26" i="5"/>
  <c r="BV24" i="5"/>
  <c r="BZ13" i="5"/>
  <c r="BU13" i="5"/>
  <c r="BV21" i="5"/>
  <c r="BV15" i="5"/>
  <c r="R25" i="5"/>
  <c r="Q25" i="5"/>
  <c r="BD13" i="5"/>
  <c r="BV20" i="5"/>
  <c r="BU16" i="5"/>
  <c r="BZ16" i="5"/>
  <c r="BU27" i="5"/>
  <c r="BZ27" i="5"/>
  <c r="BU22" i="5"/>
  <c r="BZ22" i="5"/>
  <c r="BU19" i="5"/>
  <c r="BZ19" i="5"/>
  <c r="BU26" i="5"/>
  <c r="BZ26" i="5"/>
  <c r="BD14" i="5"/>
  <c r="BV18" i="5"/>
  <c r="BD22" i="5"/>
  <c r="BD27" i="5"/>
  <c r="BU14" i="5"/>
  <c r="BZ14" i="5"/>
  <c r="BV23" i="5"/>
  <c r="Q27" i="5" l="1"/>
  <c r="Q28" i="5" s="1"/>
  <c r="R27" i="5"/>
  <c r="R28" i="5" s="1"/>
  <c r="BV13" i="5"/>
  <c r="BV22" i="5"/>
  <c r="BV27" i="5"/>
  <c r="BV19" i="5"/>
  <c r="BV16" i="5"/>
  <c r="BV26" i="5"/>
  <c r="BV14" i="5"/>
</calcChain>
</file>

<file path=xl/sharedStrings.xml><?xml version="1.0" encoding="utf-8"?>
<sst xmlns="http://schemas.openxmlformats.org/spreadsheetml/2006/main" count="334" uniqueCount="129">
  <si>
    <t>Revision</t>
  </si>
  <si>
    <t>By</t>
  </si>
  <si>
    <t>Approved</t>
  </si>
  <si>
    <t>Date</t>
  </si>
  <si>
    <t>Detail of revision</t>
  </si>
  <si>
    <t>Mattia Di Somma</t>
  </si>
  <si>
    <t>Running clearances calculation</t>
  </si>
  <si>
    <t>Legend</t>
  </si>
  <si>
    <t>N/A</t>
  </si>
  <si>
    <t>input data</t>
  </si>
  <si>
    <t>descriptor</t>
  </si>
  <si>
    <t>calculated formula</t>
  </si>
  <si>
    <t>GENERAL DATA</t>
  </si>
  <si>
    <t>N [rpm]</t>
  </si>
  <si>
    <t>(operating speed)</t>
  </si>
  <si>
    <t>CASES</t>
  </si>
  <si>
    <t>NOMINAL</t>
  </si>
  <si>
    <t>CENTRIFUGAL EFFECT</t>
  </si>
  <si>
    <t>INTERFERENCE</t>
  </si>
  <si>
    <t>INTERFERENCE + ΔT EFFECT</t>
  </si>
  <si>
    <t>INTERFERENCE + ΔT EFFECT + WATER ABS.</t>
  </si>
  <si>
    <t>ω [rad/s]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</si>
  <si>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Ia</t>
    </r>
    <r>
      <rPr>
        <b/>
        <sz val="11"/>
        <color theme="1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</si>
  <si>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Ii</t>
    </r>
    <r>
      <rPr>
        <b/>
        <sz val="11"/>
        <color theme="1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</si>
  <si>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Aa</t>
    </r>
    <r>
      <rPr>
        <b/>
        <sz val="11"/>
        <color theme="1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</si>
  <si>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Ai</t>
    </r>
    <r>
      <rPr>
        <b/>
        <sz val="11"/>
        <color theme="1"/>
        <rFont val="Calibri"/>
        <family val="2"/>
        <scheme val="minor"/>
      </rPr>
      <t xml:space="preserve"> [mm]</t>
    </r>
  </si>
  <si>
    <r>
      <t>D</t>
    </r>
    <r>
      <rPr>
        <b/>
        <u/>
        <vertAlign val="subscript"/>
        <sz val="11"/>
        <color theme="1"/>
        <rFont val="Calibri"/>
        <family val="2"/>
        <scheme val="minor"/>
      </rPr>
      <t>Ia</t>
    </r>
    <r>
      <rPr>
        <b/>
        <u/>
        <sz val="11"/>
        <color theme="1"/>
        <rFont val="Calibri"/>
        <family val="2"/>
        <scheme val="minor"/>
      </rPr>
      <t xml:space="preserve"> [mm]</t>
    </r>
  </si>
  <si>
    <r>
      <t>D</t>
    </r>
    <r>
      <rPr>
        <b/>
        <u/>
        <vertAlign val="subscript"/>
        <sz val="11"/>
        <color theme="1"/>
        <rFont val="Calibri"/>
        <family val="2"/>
        <scheme val="minor"/>
      </rPr>
      <t>Ii</t>
    </r>
    <r>
      <rPr>
        <b/>
        <u/>
        <sz val="11"/>
        <color theme="1"/>
        <rFont val="Calibri"/>
        <family val="2"/>
        <scheme val="minor"/>
      </rPr>
      <t xml:space="preserve"> [mm]</t>
    </r>
  </si>
  <si>
    <r>
      <t>D</t>
    </r>
    <r>
      <rPr>
        <b/>
        <u/>
        <vertAlign val="subscript"/>
        <sz val="11"/>
        <color theme="1"/>
        <rFont val="Calibri"/>
        <family val="2"/>
        <scheme val="minor"/>
      </rPr>
      <t>Aa</t>
    </r>
    <r>
      <rPr>
        <b/>
        <u/>
        <sz val="11"/>
        <color theme="1"/>
        <rFont val="Calibri"/>
        <family val="2"/>
        <scheme val="minor"/>
      </rPr>
      <t xml:space="preserve"> [mm]</t>
    </r>
  </si>
  <si>
    <r>
      <t>D</t>
    </r>
    <r>
      <rPr>
        <b/>
        <u/>
        <vertAlign val="subscript"/>
        <sz val="11"/>
        <color theme="1"/>
        <rFont val="Calibri"/>
        <family val="2"/>
        <scheme val="minor"/>
      </rPr>
      <t>Ai</t>
    </r>
    <r>
      <rPr>
        <b/>
        <u/>
        <sz val="11"/>
        <color theme="1"/>
        <rFont val="Calibri"/>
        <family val="2"/>
        <scheme val="minor"/>
      </rPr>
      <t xml:space="preserve"> [mm]</t>
    </r>
  </si>
  <si>
    <r>
      <t>ΔD</t>
    </r>
    <r>
      <rPr>
        <b/>
        <u/>
        <vertAlign val="subscript"/>
        <sz val="11"/>
        <color theme="1"/>
        <rFont val="Calibri"/>
        <family val="2"/>
        <scheme val="minor"/>
      </rPr>
      <t>Ia</t>
    </r>
    <r>
      <rPr>
        <b/>
        <u/>
        <sz val="11"/>
        <color theme="1"/>
        <rFont val="Calibri"/>
        <family val="2"/>
        <scheme val="minor"/>
      </rPr>
      <t xml:space="preserve"> [mm]</t>
    </r>
  </si>
  <si>
    <r>
      <t>ΔD</t>
    </r>
    <r>
      <rPr>
        <b/>
        <u/>
        <vertAlign val="subscript"/>
        <sz val="11"/>
        <color theme="1"/>
        <rFont val="Calibri"/>
        <family val="2"/>
        <scheme val="minor"/>
      </rPr>
      <t>Ii</t>
    </r>
    <r>
      <rPr>
        <b/>
        <u/>
        <sz val="11"/>
        <color theme="1"/>
        <rFont val="Calibri"/>
        <family val="2"/>
        <scheme val="minor"/>
      </rPr>
      <t xml:space="preserve"> [mm]</t>
    </r>
  </si>
  <si>
    <r>
      <t>ΔD</t>
    </r>
    <r>
      <rPr>
        <b/>
        <u/>
        <vertAlign val="subscript"/>
        <sz val="11"/>
        <color theme="1"/>
        <rFont val="Calibri"/>
        <family val="2"/>
        <scheme val="minor"/>
      </rPr>
      <t>Aa</t>
    </r>
    <r>
      <rPr>
        <b/>
        <u/>
        <sz val="11"/>
        <color theme="1"/>
        <rFont val="Calibri"/>
        <family val="2"/>
        <scheme val="minor"/>
      </rPr>
      <t xml:space="preserve"> [mm]</t>
    </r>
  </si>
  <si>
    <r>
      <t>ΔD</t>
    </r>
    <r>
      <rPr>
        <b/>
        <u/>
        <vertAlign val="subscript"/>
        <sz val="11"/>
        <color theme="1"/>
        <rFont val="Calibri"/>
        <family val="2"/>
        <scheme val="minor"/>
      </rPr>
      <t>Ai</t>
    </r>
    <r>
      <rPr>
        <b/>
        <u/>
        <sz val="11"/>
        <color theme="1"/>
        <rFont val="Calibri"/>
        <family val="2"/>
        <scheme val="minor"/>
      </rPr>
      <t xml:space="preserve"> [mm]</t>
    </r>
  </si>
  <si>
    <r>
      <t>Q</t>
    </r>
    <r>
      <rPr>
        <b/>
        <u/>
        <vertAlign val="subscript"/>
        <sz val="11"/>
        <color theme="1"/>
        <rFont val="Calibri"/>
        <family val="2"/>
        <scheme val="minor"/>
      </rPr>
      <t>I</t>
    </r>
    <r>
      <rPr>
        <b/>
        <u/>
        <sz val="11"/>
        <color theme="1"/>
        <rFont val="Calibri"/>
        <family val="2"/>
        <scheme val="minor"/>
      </rPr>
      <t xml:space="preserve"> [-]</t>
    </r>
  </si>
  <si>
    <t>P [mm]</t>
  </si>
  <si>
    <t>ξ [-]</t>
  </si>
  <si>
    <r>
      <t>p</t>
    </r>
    <r>
      <rPr>
        <b/>
        <u/>
        <vertAlign val="subscript"/>
        <sz val="11"/>
        <rFont val="Calibri"/>
        <family val="2"/>
        <scheme val="minor"/>
      </rPr>
      <t>F</t>
    </r>
    <r>
      <rPr>
        <b/>
        <u/>
        <sz val="11"/>
        <rFont val="Calibri"/>
        <family val="2"/>
        <scheme val="minor"/>
      </rPr>
      <t xml:space="preserve"> th [MPa]</t>
    </r>
  </si>
  <si>
    <r>
      <t>p</t>
    </r>
    <r>
      <rPr>
        <b/>
        <u/>
        <vertAlign val="subscript"/>
        <sz val="11"/>
        <rFont val="Calibri"/>
        <family val="2"/>
        <scheme val="minor"/>
      </rPr>
      <t>F</t>
    </r>
    <r>
      <rPr>
        <b/>
        <u/>
        <sz val="11"/>
        <rFont val="Calibri"/>
        <family val="2"/>
        <scheme val="minor"/>
      </rPr>
      <t xml:space="preserve"> [MPa]</t>
    </r>
  </si>
  <si>
    <r>
      <t>ΔD</t>
    </r>
    <r>
      <rPr>
        <b/>
        <u/>
        <vertAlign val="subscript"/>
        <sz val="11"/>
        <rFont val="Calibri"/>
        <family val="2"/>
        <scheme val="minor"/>
      </rPr>
      <t xml:space="preserve">Ia </t>
    </r>
    <r>
      <rPr>
        <b/>
        <u/>
        <sz val="11"/>
        <rFont val="Calibri"/>
        <family val="2"/>
        <scheme val="minor"/>
      </rPr>
      <t>[mm]</t>
    </r>
  </si>
  <si>
    <r>
      <t>D</t>
    </r>
    <r>
      <rPr>
        <b/>
        <u/>
        <vertAlign val="subscript"/>
        <sz val="11"/>
        <rFont val="Calibri"/>
        <family val="2"/>
        <scheme val="minor"/>
      </rPr>
      <t>IaF</t>
    </r>
    <r>
      <rPr>
        <b/>
        <u/>
        <sz val="11"/>
        <rFont val="Calibri"/>
        <family val="2"/>
        <scheme val="minor"/>
      </rPr>
      <t xml:space="preserve"> [mm]</t>
    </r>
  </si>
  <si>
    <r>
      <t>ΔD</t>
    </r>
    <r>
      <rPr>
        <b/>
        <u/>
        <vertAlign val="subscript"/>
        <sz val="11"/>
        <rFont val="Calibri"/>
        <family val="2"/>
        <scheme val="minor"/>
      </rPr>
      <t xml:space="preserve">Ii </t>
    </r>
    <r>
      <rPr>
        <b/>
        <u/>
        <sz val="11"/>
        <rFont val="Calibri"/>
        <family val="2"/>
        <scheme val="minor"/>
      </rPr>
      <t>[mm]</t>
    </r>
  </si>
  <si>
    <r>
      <t>D</t>
    </r>
    <r>
      <rPr>
        <b/>
        <u/>
        <vertAlign val="subscript"/>
        <sz val="11"/>
        <rFont val="Calibri"/>
        <family val="2"/>
        <scheme val="minor"/>
      </rPr>
      <t>Ii</t>
    </r>
    <r>
      <rPr>
        <b/>
        <u/>
        <sz val="11"/>
        <rFont val="Calibri"/>
        <family val="2"/>
        <scheme val="minor"/>
      </rPr>
      <t xml:space="preserve"> [mm]</t>
    </r>
  </si>
  <si>
    <r>
      <t>Q</t>
    </r>
    <r>
      <rPr>
        <b/>
        <u/>
        <vertAlign val="subscript"/>
        <sz val="11"/>
        <color theme="1"/>
        <rFont val="Calibri"/>
        <family val="2"/>
        <scheme val="minor"/>
      </rPr>
      <t>A</t>
    </r>
    <r>
      <rPr>
        <b/>
        <u/>
        <sz val="11"/>
        <color theme="1"/>
        <rFont val="Calibri"/>
        <family val="2"/>
        <scheme val="minor"/>
      </rPr>
      <t xml:space="preserve"> [-]</t>
    </r>
  </si>
  <si>
    <r>
      <t>ΔD</t>
    </r>
    <r>
      <rPr>
        <b/>
        <u/>
        <vertAlign val="subscript"/>
        <sz val="11"/>
        <rFont val="Calibri"/>
        <family val="2"/>
        <scheme val="minor"/>
      </rPr>
      <t>Aai</t>
    </r>
    <r>
      <rPr>
        <b/>
        <u/>
        <sz val="11"/>
        <rFont val="Calibri"/>
        <family val="2"/>
        <scheme val="minor"/>
      </rPr>
      <t xml:space="preserve"> [mm]</t>
    </r>
  </si>
  <si>
    <r>
      <t>D</t>
    </r>
    <r>
      <rPr>
        <b/>
        <u/>
        <vertAlign val="subscript"/>
        <sz val="11"/>
        <rFont val="Calibri"/>
        <family val="2"/>
        <scheme val="minor"/>
      </rPr>
      <t>AaF</t>
    </r>
    <r>
      <rPr>
        <b/>
        <u/>
        <sz val="11"/>
        <rFont val="Calibri"/>
        <family val="2"/>
        <scheme val="minor"/>
      </rPr>
      <t xml:space="preserve"> [mm]</t>
    </r>
  </si>
  <si>
    <r>
      <t>ΔD</t>
    </r>
    <r>
      <rPr>
        <b/>
        <u/>
        <vertAlign val="subscript"/>
        <sz val="11"/>
        <rFont val="Calibri"/>
        <family val="2"/>
        <scheme val="minor"/>
      </rPr>
      <t>Ai</t>
    </r>
    <r>
      <rPr>
        <b/>
        <u/>
        <sz val="11"/>
        <rFont val="Calibri"/>
        <family val="2"/>
        <scheme val="minor"/>
      </rPr>
      <t xml:space="preserve"> [mm]</t>
    </r>
  </si>
  <si>
    <r>
      <t>D</t>
    </r>
    <r>
      <rPr>
        <b/>
        <u/>
        <vertAlign val="subscript"/>
        <sz val="11"/>
        <rFont val="Calibri"/>
        <family val="2"/>
        <scheme val="minor"/>
      </rPr>
      <t>AiF</t>
    </r>
    <r>
      <rPr>
        <b/>
        <u/>
        <sz val="11"/>
        <rFont val="Calibri"/>
        <family val="2"/>
        <scheme val="minor"/>
      </rPr>
      <t xml:space="preserve"> [mm]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</si>
  <si>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 xml:space="preserve"> [°C]</t>
    </r>
  </si>
  <si>
    <t>(ambient temperature)</t>
  </si>
  <si>
    <r>
      <t>T</t>
    </r>
    <r>
      <rPr>
        <b/>
        <vertAlign val="subscript"/>
        <sz val="11"/>
        <color theme="0"/>
        <rFont val="Calibri"/>
        <family val="2"/>
        <scheme val="minor"/>
      </rPr>
      <t>operating</t>
    </r>
    <r>
      <rPr>
        <b/>
        <sz val="11"/>
        <color theme="0"/>
        <rFont val="Calibri"/>
        <family val="2"/>
        <scheme val="minor"/>
      </rPr>
      <t xml:space="preserve"> [°C]</t>
    </r>
  </si>
  <si>
    <t>(operating temperature)</t>
  </si>
  <si>
    <r>
      <t>cl</t>
    </r>
    <r>
      <rPr>
        <b/>
        <vertAlign val="subscript"/>
        <sz val="11"/>
        <color theme="0"/>
        <rFont val="Calibri"/>
        <family val="2"/>
        <scheme val="minor"/>
      </rPr>
      <t>API</t>
    </r>
    <r>
      <rPr>
        <b/>
        <sz val="11"/>
        <color theme="0"/>
        <rFont val="Calibri"/>
        <family val="2"/>
        <scheme val="minor"/>
      </rPr>
      <t xml:space="preserve"> [mm]</t>
    </r>
  </si>
  <si>
    <t>(API 610 min. radial clearance as per table 6)</t>
  </si>
  <si>
    <r>
      <t>cl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 xml:space="preserve"> [%]</t>
    </r>
  </si>
  <si>
    <t>(required API 610 running clearance ratio)</t>
  </si>
  <si>
    <r>
      <t>cl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 xml:space="preserve"> [mm]</t>
    </r>
  </si>
  <si>
    <t>(required radial running clearance)</t>
  </si>
  <si>
    <t>Component to be defined</t>
  </si>
  <si>
    <t>STATOR</t>
  </si>
  <si>
    <t>RESULTS</t>
  </si>
  <si>
    <t>STATOR SLEEVE / WEAR RING</t>
  </si>
  <si>
    <t>CASING / HOLDER</t>
  </si>
  <si>
    <r>
      <t>ν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 xml:space="preserve"> [-]</t>
    </r>
  </si>
  <si>
    <t>(Poisson ratio)</t>
  </si>
  <si>
    <r>
      <t>ν</t>
    </r>
    <r>
      <rPr>
        <b/>
        <vertAlign val="subscript"/>
        <sz val="11"/>
        <color theme="0"/>
        <rFont val="Calibri"/>
        <family val="2"/>
        <scheme val="minor"/>
      </rPr>
      <t>A</t>
    </r>
    <r>
      <rPr>
        <b/>
        <sz val="11"/>
        <color theme="0"/>
        <rFont val="Calibri"/>
        <family val="2"/>
        <scheme val="minor"/>
      </rPr>
      <t xml:space="preserve"> [-]</t>
    </r>
  </si>
  <si>
    <r>
      <t>E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 xml:space="preserve"> [GPa]</t>
    </r>
  </si>
  <si>
    <t>(Young modulus)</t>
  </si>
  <si>
    <r>
      <t>E</t>
    </r>
    <r>
      <rPr>
        <b/>
        <vertAlign val="subscript"/>
        <sz val="11"/>
        <color theme="0"/>
        <rFont val="Calibri"/>
        <family val="2"/>
        <scheme val="minor"/>
      </rPr>
      <t>A</t>
    </r>
    <r>
      <rPr>
        <b/>
        <sz val="11"/>
        <color theme="0"/>
        <rFont val="Calibri"/>
        <family val="2"/>
        <scheme val="minor"/>
      </rPr>
      <t xml:space="preserve"> [GPa]</t>
    </r>
  </si>
  <si>
    <r>
      <t>λ</t>
    </r>
    <r>
      <rPr>
        <b/>
        <vertAlign val="subscript"/>
        <sz val="11"/>
        <color theme="0"/>
        <rFont val="Calibri"/>
        <family val="2"/>
      </rPr>
      <t>i</t>
    </r>
    <r>
      <rPr>
        <b/>
        <sz val="11"/>
        <color theme="0"/>
        <rFont val="Calibri"/>
        <family val="2"/>
      </rPr>
      <t xml:space="preserve"> [1/°C]</t>
    </r>
  </si>
  <si>
    <t>(thermal expansion coeff.)</t>
  </si>
  <si>
    <r>
      <t>λ</t>
    </r>
    <r>
      <rPr>
        <b/>
        <vertAlign val="subscript"/>
        <sz val="11"/>
        <color theme="0"/>
        <rFont val="Calibri"/>
        <family val="2"/>
      </rPr>
      <t>A</t>
    </r>
    <r>
      <rPr>
        <b/>
        <sz val="11"/>
        <color theme="0"/>
        <rFont val="Calibri"/>
        <family val="2"/>
      </rPr>
      <t xml:space="preserve"> [1/°C]</t>
    </r>
  </si>
  <si>
    <t>D [mm]</t>
  </si>
  <si>
    <t>Min</t>
  </si>
  <si>
    <t>Max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</si>
  <si>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Ia</t>
    </r>
    <r>
      <rPr>
        <b/>
        <sz val="11"/>
        <color theme="0"/>
        <rFont val="Calibri"/>
        <family val="2"/>
        <scheme val="minor"/>
      </rPr>
      <t xml:space="preserve"> [mm]</t>
    </r>
  </si>
  <si>
    <t>(external diameter)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</si>
  <si>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 xml:space="preserve">Aa </t>
    </r>
    <r>
      <rPr>
        <b/>
        <sz val="11"/>
        <color theme="0"/>
        <rFont val="Calibri"/>
        <family val="2"/>
        <scheme val="minor"/>
      </rPr>
      <t>[mm]</t>
    </r>
  </si>
  <si>
    <t>ε [%]</t>
  </si>
  <si>
    <t>(fluid absorption)</t>
  </si>
  <si>
    <r>
      <t>lim min</t>
    </r>
    <r>
      <rPr>
        <b/>
        <vertAlign val="subscript"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[mm]</t>
    </r>
  </si>
  <si>
    <t>(max tolerance limit)</t>
  </si>
  <si>
    <t>Running clearance [mm]</t>
  </si>
  <si>
    <r>
      <t>lim max</t>
    </r>
    <r>
      <rPr>
        <b/>
        <vertAlign val="subscript"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[mm]</t>
    </r>
  </si>
  <si>
    <t>(min tolerance limit)</t>
  </si>
  <si>
    <t>Running clearance [%]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</si>
  <si>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Ia min</t>
    </r>
    <r>
      <rPr>
        <b/>
        <sz val="11"/>
        <color theme="0"/>
        <rFont val="Calibri"/>
        <family val="2"/>
        <scheme val="minor"/>
      </rPr>
      <t xml:space="preserve"> [mm]</t>
    </r>
  </si>
  <si>
    <t>(external diameter min)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</si>
  <si>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 xml:space="preserve">Aa min </t>
    </r>
    <r>
      <rPr>
        <b/>
        <sz val="11"/>
        <color theme="0"/>
        <rFont val="Calibri"/>
        <family val="2"/>
        <scheme val="minor"/>
      </rPr>
      <t>[mm]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</si>
  <si>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Ia max</t>
    </r>
    <r>
      <rPr>
        <b/>
        <sz val="11"/>
        <color theme="0"/>
        <rFont val="Calibri"/>
        <family val="2"/>
        <scheme val="minor"/>
      </rPr>
      <t xml:space="preserve"> [mm]</t>
    </r>
  </si>
  <si>
    <t>(external diameter max)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</si>
  <si>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Aa max</t>
    </r>
    <r>
      <rPr>
        <b/>
        <sz val="11"/>
        <color theme="0"/>
        <rFont val="Calibri"/>
        <family val="2"/>
        <scheme val="minor"/>
      </rPr>
      <t xml:space="preserve"> [mm]</t>
    </r>
  </si>
  <si>
    <r>
      <t>ΔD</t>
    </r>
    <r>
      <rPr>
        <b/>
        <vertAlign val="subscript"/>
        <sz val="11"/>
        <color theme="1"/>
        <rFont val="Calibri"/>
        <family val="2"/>
        <scheme val="minor"/>
      </rPr>
      <t>Ia</t>
    </r>
    <r>
      <rPr>
        <b/>
        <sz val="11"/>
        <color theme="1"/>
        <rFont val="Calibri"/>
        <family val="2"/>
        <scheme val="minor"/>
      </rPr>
      <t xml:space="preserve"> [mm]</t>
    </r>
  </si>
  <si>
    <r>
      <t>ΔD</t>
    </r>
    <r>
      <rPr>
        <b/>
        <vertAlign val="subscript"/>
        <sz val="11"/>
        <color theme="1"/>
        <rFont val="Calibri"/>
        <family val="2"/>
        <scheme val="minor"/>
      </rPr>
      <t>Ii</t>
    </r>
    <r>
      <rPr>
        <b/>
        <sz val="11"/>
        <color theme="1"/>
        <rFont val="Calibri"/>
        <family val="2"/>
        <scheme val="minor"/>
      </rPr>
      <t xml:space="preserve"> [mm]</t>
    </r>
  </si>
  <si>
    <r>
      <t>ΔD</t>
    </r>
    <r>
      <rPr>
        <b/>
        <vertAlign val="subscript"/>
        <sz val="11"/>
        <color theme="1"/>
        <rFont val="Calibri"/>
        <family val="2"/>
        <scheme val="minor"/>
      </rPr>
      <t>Aa</t>
    </r>
    <r>
      <rPr>
        <b/>
        <sz val="11"/>
        <color theme="1"/>
        <rFont val="Calibri"/>
        <family val="2"/>
        <scheme val="minor"/>
      </rPr>
      <t xml:space="preserve"> [mm]</t>
    </r>
  </si>
  <si>
    <r>
      <t>ΔD</t>
    </r>
    <r>
      <rPr>
        <b/>
        <vertAlign val="subscript"/>
        <sz val="11"/>
        <color theme="1"/>
        <rFont val="Calibri"/>
        <family val="2"/>
        <scheme val="minor"/>
      </rPr>
      <t>Ai</t>
    </r>
    <r>
      <rPr>
        <b/>
        <sz val="11"/>
        <color theme="1"/>
        <rFont val="Calibri"/>
        <family val="2"/>
        <scheme val="minor"/>
      </rPr>
      <t xml:space="preserve"> [mm]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</si>
  <si>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 xml:space="preserve"> [-]</t>
    </r>
  </si>
  <si>
    <r>
      <t>p</t>
    </r>
    <r>
      <rPr>
        <b/>
        <vertAlign val="subscript"/>
        <sz val="11"/>
        <rFont val="Calibri"/>
        <family val="2"/>
        <scheme val="minor"/>
      </rPr>
      <t>F</t>
    </r>
    <r>
      <rPr>
        <b/>
        <sz val="11"/>
        <rFont val="Calibri"/>
        <family val="2"/>
        <scheme val="minor"/>
      </rPr>
      <t xml:space="preserve"> th [MPa]</t>
    </r>
  </si>
  <si>
    <r>
      <t>p</t>
    </r>
    <r>
      <rPr>
        <b/>
        <vertAlign val="subscript"/>
        <sz val="11"/>
        <rFont val="Calibri"/>
        <family val="2"/>
        <scheme val="minor"/>
      </rPr>
      <t>F</t>
    </r>
    <r>
      <rPr>
        <b/>
        <sz val="11"/>
        <rFont val="Calibri"/>
        <family val="2"/>
        <scheme val="minor"/>
      </rPr>
      <t xml:space="preserve"> [MPa]</t>
    </r>
  </si>
  <si>
    <r>
      <t>ΔD</t>
    </r>
    <r>
      <rPr>
        <b/>
        <vertAlign val="subscript"/>
        <sz val="11"/>
        <rFont val="Calibri"/>
        <family val="2"/>
        <scheme val="minor"/>
      </rPr>
      <t xml:space="preserve">Ia </t>
    </r>
    <r>
      <rPr>
        <b/>
        <sz val="11"/>
        <rFont val="Calibri"/>
        <family val="2"/>
        <scheme val="minor"/>
      </rPr>
      <t>[mm]</t>
    </r>
  </si>
  <si>
    <r>
      <t>D</t>
    </r>
    <r>
      <rPr>
        <b/>
        <vertAlign val="subscript"/>
        <sz val="11"/>
        <rFont val="Calibri"/>
        <family val="2"/>
        <scheme val="minor"/>
      </rPr>
      <t>IaF</t>
    </r>
    <r>
      <rPr>
        <b/>
        <sz val="11"/>
        <rFont val="Calibri"/>
        <family val="2"/>
        <scheme val="minor"/>
      </rPr>
      <t xml:space="preserve"> [mm]</t>
    </r>
  </si>
  <si>
    <r>
      <t>ΔD</t>
    </r>
    <r>
      <rPr>
        <b/>
        <vertAlign val="subscript"/>
        <sz val="11"/>
        <rFont val="Calibri"/>
        <family val="2"/>
        <scheme val="minor"/>
      </rPr>
      <t xml:space="preserve">Ii </t>
    </r>
    <r>
      <rPr>
        <b/>
        <sz val="11"/>
        <rFont val="Calibri"/>
        <family val="2"/>
        <scheme val="minor"/>
      </rPr>
      <t>[mm]</t>
    </r>
  </si>
  <si>
    <r>
      <t>D</t>
    </r>
    <r>
      <rPr>
        <b/>
        <vertAlign val="subscript"/>
        <sz val="11"/>
        <rFont val="Calibri"/>
        <family val="2"/>
        <scheme val="minor"/>
      </rPr>
      <t>Ii</t>
    </r>
    <r>
      <rPr>
        <b/>
        <sz val="11"/>
        <rFont val="Calibri"/>
        <family val="2"/>
        <scheme val="minor"/>
      </rPr>
      <t xml:space="preserve"> [mm]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</si>
  <si>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 xml:space="preserve"> [-]</t>
    </r>
  </si>
  <si>
    <r>
      <t>ΔD</t>
    </r>
    <r>
      <rPr>
        <b/>
        <vertAlign val="subscript"/>
        <sz val="11"/>
        <rFont val="Calibri"/>
        <family val="2"/>
        <scheme val="minor"/>
      </rPr>
      <t>Aai</t>
    </r>
    <r>
      <rPr>
        <b/>
        <sz val="11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</si>
  <si>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rFont val="Calibri"/>
        <family val="2"/>
        <scheme val="minor"/>
      </rPr>
      <t>AaF</t>
    </r>
    <r>
      <rPr>
        <b/>
        <sz val="11"/>
        <rFont val="Calibri"/>
        <family val="2"/>
        <scheme val="minor"/>
      </rPr>
      <t xml:space="preserve"> [mm]</t>
    </r>
  </si>
  <si>
    <r>
      <t>ΔD</t>
    </r>
    <r>
      <rPr>
        <b/>
        <vertAlign val="subscript"/>
        <sz val="11"/>
        <rFont val="Calibri"/>
        <family val="2"/>
        <scheme val="minor"/>
      </rPr>
      <t>Ai</t>
    </r>
    <r>
      <rPr>
        <b/>
        <sz val="11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</si>
  <si>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rFont val="Calibri"/>
        <family val="2"/>
        <scheme val="minor"/>
      </rPr>
      <t>AiF</t>
    </r>
    <r>
      <rPr>
        <b/>
        <sz val="11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</si>
  <si>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Ii</t>
    </r>
    <r>
      <rPr>
        <b/>
        <sz val="11"/>
        <color theme="0"/>
        <rFont val="Calibri"/>
        <family val="2"/>
        <scheme val="minor"/>
      </rPr>
      <t xml:space="preserve"> [mm]</t>
    </r>
  </si>
  <si>
    <t>(internal diameter)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</si>
  <si>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Ai</t>
    </r>
    <r>
      <rPr>
        <b/>
        <sz val="11"/>
        <color theme="0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</si>
  <si>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Ii min</t>
    </r>
    <r>
      <rPr>
        <b/>
        <sz val="11"/>
        <color theme="0"/>
        <rFont val="Calibri"/>
        <family val="2"/>
        <scheme val="minor"/>
      </rPr>
      <t xml:space="preserve"> [mm]</t>
    </r>
  </si>
  <si>
    <t>(internal diameter min)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</si>
  <si>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Ai min</t>
    </r>
    <r>
      <rPr>
        <b/>
        <sz val="11"/>
        <color theme="0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</si>
  <si>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Ii max</t>
    </r>
    <r>
      <rPr>
        <b/>
        <sz val="11"/>
        <color theme="0"/>
        <rFont val="Calibri"/>
        <family val="2"/>
        <scheme val="minor"/>
      </rPr>
      <t xml:space="preserve"> [mm]</t>
    </r>
  </si>
  <si>
    <t>(internal diameter max)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</si>
  <si>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Ai max</t>
    </r>
    <r>
      <rPr>
        <b/>
        <sz val="11"/>
        <color theme="0"/>
        <rFont val="Calibri"/>
        <family val="2"/>
        <scheme val="minor"/>
      </rPr>
      <t xml:space="preserve"> [mm]</t>
    </r>
  </si>
  <si>
    <r>
      <t>ΔT</t>
    </r>
    <r>
      <rPr>
        <b/>
        <vertAlign val="subscript"/>
        <sz val="11"/>
        <color theme="0"/>
        <rFont val="Calibri"/>
        <family val="2"/>
      </rPr>
      <t>i</t>
    </r>
    <r>
      <rPr>
        <b/>
        <sz val="11"/>
        <color theme="0"/>
        <rFont val="Calibri"/>
        <family val="2"/>
      </rPr>
      <t xml:space="preserve"> [°C]</t>
    </r>
  </si>
  <si>
    <t>(temperature difference)</t>
  </si>
  <si>
    <r>
      <t>ΔT</t>
    </r>
    <r>
      <rPr>
        <b/>
        <vertAlign val="subscript"/>
        <sz val="11"/>
        <color theme="0"/>
        <rFont val="Calibri"/>
        <family val="2"/>
      </rPr>
      <t>A</t>
    </r>
    <r>
      <rPr>
        <b/>
        <sz val="11"/>
        <color theme="0"/>
        <rFont val="Calibri"/>
        <family val="2"/>
      </rPr>
      <t xml:space="preserve"> [°C]</t>
    </r>
  </si>
  <si>
    <t>ROTOR</t>
  </si>
  <si>
    <t>SHAFT</t>
  </si>
  <si>
    <t>ROTOR SLEEVE / IMPELLER</t>
  </si>
  <si>
    <r>
      <rPr>
        <b/>
        <sz val="11"/>
        <color theme="0"/>
        <rFont val="Aptos Narrow"/>
        <family val="2"/>
      </rPr>
      <t>ρ</t>
    </r>
    <r>
      <rPr>
        <b/>
        <sz val="9.35"/>
        <color theme="0"/>
        <rFont val="Calibri"/>
        <family val="2"/>
      </rPr>
      <t xml:space="preserve"> [kg/m3]</t>
    </r>
  </si>
  <si>
    <t>(material density)</t>
  </si>
  <si>
    <t>(thernal expansion coeff.)</t>
  </si>
  <si>
    <t>Mod.481 Running clearance calculation - Linked to SOP-505</t>
  </si>
  <si>
    <t>Massimiliano Borghetti</t>
  </si>
  <si>
    <t>first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</si>
</sst>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u/>
      <sz val="11"/>
      <color theme="1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0"/>
      <name val="Aptos Narrow"/>
      <family val="2"/>
    </font>
    <font>
      <b/>
      <sz val="9.35"/>
      <color theme="0"/>
      <name val="Calibri"/>
      <family val="2"/>
    </font>
    <font>
      <b/>
      <u/>
      <sz val="11"/>
      <name val="Calibri"/>
      <family val="2"/>
      <scheme val="minor"/>
    </font>
    <font>
      <b/>
      <u/>
      <vertAlign val="subscript"/>
      <sz val="11"/>
      <color theme="1"/>
      <name val="Calibri"/>
      <family val="2"/>
      <scheme val="minor"/>
    </font>
    <font>
      <b/>
      <u/>
      <vertAlign val="subscript"/>
      <sz val="11"/>
      <name val="Calibri"/>
      <family val="2"/>
      <scheme val="minor"/>
    </font>
    <font>
      <b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9" fillId="0" borderId="0" xfId="2" applyFont="1" applyFill="1"/>
    <xf numFmtId="165" fontId="4" fillId="2" borderId="1" xfId="0" applyNumberFormat="1" applyFont="1" applyFill="1" applyBorder="1" applyAlignment="1" applyProtection="1">
      <alignment horizontal="center" vertical="center"/>
      <protection locked="0"/>
    </xf>
    <xf numFmtId="164" fontId="4" fillId="2" borderId="1" xfId="0" applyNumberFormat="1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9" fillId="0" borderId="0" xfId="2" applyFont="1" applyAlignment="1" applyProtection="1"/>
    <xf numFmtId="0" fontId="4" fillId="0" borderId="0" xfId="0" applyFont="1"/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5" fillId="0" borderId="0" xfId="0" applyFont="1"/>
    <xf numFmtId="2" fontId="4" fillId="0" borderId="1" xfId="0" applyNumberFormat="1" applyFont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7" fillId="3" borderId="8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8" fillId="4" borderId="2" xfId="0" applyFont="1" applyFill="1" applyBorder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164" fontId="4" fillId="0" borderId="11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 applyProtection="1">
      <alignment horizontal="center"/>
      <protection locked="0"/>
    </xf>
    <xf numFmtId="11" fontId="4" fillId="2" borderId="1" xfId="0" applyNumberFormat="1" applyFont="1" applyFill="1" applyBorder="1" applyAlignment="1" applyProtection="1">
      <alignment horizontal="center"/>
      <protection locked="0"/>
    </xf>
    <xf numFmtId="0" fontId="4" fillId="2" borderId="1" xfId="1" applyNumberFormat="1" applyFont="1" applyFill="1" applyBorder="1" applyAlignment="1" applyProtection="1">
      <alignment horizontal="center"/>
      <protection locked="0"/>
    </xf>
    <xf numFmtId="11" fontId="4" fillId="2" borderId="1" xfId="0" applyNumberFormat="1" applyFont="1" applyFill="1" applyBorder="1" applyAlignment="1" applyProtection="1">
      <alignment horizontal="center" vertical="center"/>
      <protection locked="0"/>
    </xf>
    <xf numFmtId="0" fontId="4" fillId="2" borderId="1" xfId="1" applyNumberFormat="1" applyFont="1" applyFill="1" applyBorder="1" applyAlignment="1" applyProtection="1">
      <alignment horizontal="center" vertical="center"/>
      <protection locked="0"/>
    </xf>
    <xf numFmtId="166" fontId="4" fillId="0" borderId="1" xfId="1" applyNumberFormat="1" applyFont="1" applyBorder="1" applyAlignment="1" applyProtection="1">
      <alignment horizontal="center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horizontal="center" vertical="center"/>
    </xf>
    <xf numFmtId="166" fontId="4" fillId="0" borderId="1" xfId="1" applyNumberFormat="1" applyFont="1" applyFill="1" applyBorder="1" applyAlignment="1" applyProtection="1">
      <alignment horizontal="center" vertical="center"/>
    </xf>
    <xf numFmtId="164" fontId="4" fillId="5" borderId="1" xfId="0" applyNumberFormat="1" applyFont="1" applyFill="1" applyBorder="1" applyAlignment="1" applyProtection="1">
      <alignment horizontal="center"/>
      <protection locked="0"/>
    </xf>
    <xf numFmtId="0" fontId="14" fillId="0" borderId="2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0" fillId="3" borderId="2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17" fillId="3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 wrapText="1"/>
    </xf>
    <xf numFmtId="0" fontId="10" fillId="3" borderId="19" xfId="0" applyFont="1" applyFill="1" applyBorder="1" applyAlignment="1">
      <alignment horizontal="center" vertical="center" wrapText="1"/>
    </xf>
    <xf numFmtId="9" fontId="4" fillId="2" borderId="4" xfId="1" applyFont="1" applyFill="1" applyBorder="1" applyAlignment="1" applyProtection="1">
      <alignment horizontal="center" vertical="center"/>
      <protection locked="0"/>
    </xf>
    <xf numFmtId="9" fontId="4" fillId="2" borderId="3" xfId="1" applyFont="1" applyFill="1" applyBorder="1" applyAlignment="1" applyProtection="1">
      <alignment horizontal="center" vertical="center"/>
      <protection locked="0"/>
    </xf>
    <xf numFmtId="0" fontId="10" fillId="3" borderId="1" xfId="0" applyFont="1" applyFill="1" applyBorder="1" applyAlignment="1">
      <alignment horizontal="center" vertical="center"/>
    </xf>
  </cellXfs>
  <cellStyles count="3">
    <cellStyle name="Normale" xfId="0" builtinId="0"/>
    <cellStyle name="Percentuale" xfId="1" builtinId="5"/>
    <cellStyle name="Titolo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13</xdr:col>
      <xdr:colOff>0</xdr:colOff>
      <xdr:row>27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80975" y="676275"/>
          <a:ext cx="7315200" cy="457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</a:t>
          </a:r>
          <a:endParaRPr lang="it-IT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worksheet provides the procedure to define the nominal diameter of the wear component, in order to match the required running clearances.</a:t>
          </a:r>
        </a:p>
        <a:p>
          <a:endParaRPr lang="en-US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running_clearances_calc</a:t>
          </a: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calculates the diameter of the wear component on the basis of the base material properties and the operating conditions, in order to comply with the minimum required running clearance.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31</xdr:row>
      <xdr:rowOff>106914</xdr:rowOff>
    </xdr:from>
    <xdr:ext cx="65" cy="219163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924675" y="3116814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9</xdr:col>
      <xdr:colOff>0</xdr:colOff>
      <xdr:row>57</xdr:row>
      <xdr:rowOff>106914</xdr:rowOff>
    </xdr:from>
    <xdr:ext cx="65" cy="219163"/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924675" y="14927814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9</xdr:col>
      <xdr:colOff>0</xdr:colOff>
      <xdr:row>64</xdr:row>
      <xdr:rowOff>0</xdr:rowOff>
    </xdr:from>
    <xdr:ext cx="65" cy="21916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924675" y="161544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9</xdr:col>
      <xdr:colOff>0</xdr:colOff>
      <xdr:row>65</xdr:row>
      <xdr:rowOff>0</xdr:rowOff>
    </xdr:from>
    <xdr:ext cx="65" cy="219163"/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6924675" y="16344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16</xdr:col>
      <xdr:colOff>0</xdr:colOff>
      <xdr:row>25</xdr:row>
      <xdr:rowOff>106914</xdr:rowOff>
    </xdr:from>
    <xdr:ext cx="65" cy="219163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9105900" y="4412214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10</xdr:col>
      <xdr:colOff>0</xdr:colOff>
      <xdr:row>45</xdr:row>
      <xdr:rowOff>0</xdr:rowOff>
    </xdr:from>
    <xdr:ext cx="65" cy="219163"/>
    <xdr:sp macro="" textlink="">
      <xdr:nvSpPr>
        <xdr:cNvPr id="9" name="CasellaDiTes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9105900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10</xdr:col>
      <xdr:colOff>0</xdr:colOff>
      <xdr:row>45</xdr:row>
      <xdr:rowOff>0</xdr:rowOff>
    </xdr:from>
    <xdr:ext cx="65" cy="219163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9105900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10</xdr:col>
      <xdr:colOff>0</xdr:colOff>
      <xdr:row>45</xdr:row>
      <xdr:rowOff>0</xdr:rowOff>
    </xdr:from>
    <xdr:ext cx="65" cy="219163"/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9105900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15</xdr:col>
      <xdr:colOff>0</xdr:colOff>
      <xdr:row>31</xdr:row>
      <xdr:rowOff>106914</xdr:rowOff>
    </xdr:from>
    <xdr:ext cx="65" cy="219163"/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13058775" y="3116814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15</xdr:col>
      <xdr:colOff>0</xdr:colOff>
      <xdr:row>45</xdr:row>
      <xdr:rowOff>0</xdr:rowOff>
    </xdr:from>
    <xdr:ext cx="65" cy="219163"/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30587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15</xdr:col>
      <xdr:colOff>0</xdr:colOff>
      <xdr:row>45</xdr:row>
      <xdr:rowOff>0</xdr:rowOff>
    </xdr:from>
    <xdr:ext cx="65" cy="219163"/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30587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15</xdr:col>
      <xdr:colOff>0</xdr:colOff>
      <xdr:row>45</xdr:row>
      <xdr:rowOff>0</xdr:rowOff>
    </xdr:from>
    <xdr:ext cx="65" cy="219163"/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30587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15</xdr:col>
      <xdr:colOff>0</xdr:colOff>
      <xdr:row>31</xdr:row>
      <xdr:rowOff>106914</xdr:rowOff>
    </xdr:from>
    <xdr:ext cx="65" cy="219163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13058775" y="3116814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15</xdr:col>
      <xdr:colOff>0</xdr:colOff>
      <xdr:row>45</xdr:row>
      <xdr:rowOff>0</xdr:rowOff>
    </xdr:from>
    <xdr:ext cx="65" cy="219163"/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130587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15</xdr:col>
      <xdr:colOff>0</xdr:colOff>
      <xdr:row>45</xdr:row>
      <xdr:rowOff>0</xdr:rowOff>
    </xdr:from>
    <xdr:ext cx="65" cy="219163"/>
    <xdr:sp macro="" textlink="">
      <xdr:nvSpPr>
        <xdr:cNvPr id="19" name="CasellaDiTest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130587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15</xdr:col>
      <xdr:colOff>0</xdr:colOff>
      <xdr:row>45</xdr:row>
      <xdr:rowOff>0</xdr:rowOff>
    </xdr:from>
    <xdr:ext cx="65" cy="219163"/>
    <xdr:sp macro="" textlink="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130587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14</xdr:col>
      <xdr:colOff>0</xdr:colOff>
      <xdr:row>31</xdr:row>
      <xdr:rowOff>106914</xdr:rowOff>
    </xdr:from>
    <xdr:ext cx="65" cy="219163"/>
    <xdr:sp macro="" textlink="">
      <xdr:nvSpPr>
        <xdr:cNvPr id="21" name="CasellaDiTest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12449175" y="3116814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14</xdr:col>
      <xdr:colOff>0</xdr:colOff>
      <xdr:row>45</xdr:row>
      <xdr:rowOff>0</xdr:rowOff>
    </xdr:from>
    <xdr:ext cx="65" cy="219163"/>
    <xdr:sp macro="" textlink="">
      <xdr:nvSpPr>
        <xdr:cNvPr id="22" name="CasellaDiTest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124491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14</xdr:col>
      <xdr:colOff>0</xdr:colOff>
      <xdr:row>45</xdr:row>
      <xdr:rowOff>0</xdr:rowOff>
    </xdr:from>
    <xdr:ext cx="65" cy="219163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124491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14</xdr:col>
      <xdr:colOff>0</xdr:colOff>
      <xdr:row>45</xdr:row>
      <xdr:rowOff>0</xdr:rowOff>
    </xdr:from>
    <xdr:ext cx="65" cy="219163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124491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14</xdr:col>
      <xdr:colOff>0</xdr:colOff>
      <xdr:row>31</xdr:row>
      <xdr:rowOff>106914</xdr:rowOff>
    </xdr:from>
    <xdr:ext cx="65" cy="219163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12449175" y="3116814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14</xdr:col>
      <xdr:colOff>0</xdr:colOff>
      <xdr:row>45</xdr:row>
      <xdr:rowOff>0</xdr:rowOff>
    </xdr:from>
    <xdr:ext cx="65" cy="219163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124491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14</xdr:col>
      <xdr:colOff>0</xdr:colOff>
      <xdr:row>45</xdr:row>
      <xdr:rowOff>0</xdr:rowOff>
    </xdr:from>
    <xdr:ext cx="65" cy="219163"/>
    <xdr:sp macro="" textlink="">
      <xdr:nvSpPr>
        <xdr:cNvPr id="27" name="CasellaDiTes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124491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14</xdr:col>
      <xdr:colOff>0</xdr:colOff>
      <xdr:row>45</xdr:row>
      <xdr:rowOff>0</xdr:rowOff>
    </xdr:from>
    <xdr:ext cx="65" cy="219163"/>
    <xdr:sp macro="" textlink="">
      <xdr:nvSpPr>
        <xdr:cNvPr id="28" name="CasellaDiTest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124491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13</xdr:col>
      <xdr:colOff>0</xdr:colOff>
      <xdr:row>31</xdr:row>
      <xdr:rowOff>106914</xdr:rowOff>
    </xdr:from>
    <xdr:ext cx="65" cy="219163"/>
    <xdr:sp macro="" textlink="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11839575" y="3116814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13</xdr:col>
      <xdr:colOff>0</xdr:colOff>
      <xdr:row>45</xdr:row>
      <xdr:rowOff>0</xdr:rowOff>
    </xdr:from>
    <xdr:ext cx="65" cy="219163"/>
    <xdr:sp macro="" textlink="">
      <xdr:nvSpPr>
        <xdr:cNvPr id="30" name="CasellaDiTest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118395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13</xdr:col>
      <xdr:colOff>0</xdr:colOff>
      <xdr:row>45</xdr:row>
      <xdr:rowOff>0</xdr:rowOff>
    </xdr:from>
    <xdr:ext cx="65" cy="219163"/>
    <xdr:sp macro="" textlink="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118395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13</xdr:col>
      <xdr:colOff>0</xdr:colOff>
      <xdr:row>45</xdr:row>
      <xdr:rowOff>0</xdr:rowOff>
    </xdr:from>
    <xdr:ext cx="65" cy="219163"/>
    <xdr:sp macro="" textlink="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118395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13</xdr:col>
      <xdr:colOff>0</xdr:colOff>
      <xdr:row>31</xdr:row>
      <xdr:rowOff>106914</xdr:rowOff>
    </xdr:from>
    <xdr:ext cx="65" cy="219163"/>
    <xdr:sp macro="" textlink="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/>
      </xdr:nvSpPr>
      <xdr:spPr>
        <a:xfrm>
          <a:off x="11839575" y="3116814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13</xdr:col>
      <xdr:colOff>0</xdr:colOff>
      <xdr:row>45</xdr:row>
      <xdr:rowOff>0</xdr:rowOff>
    </xdr:from>
    <xdr:ext cx="65" cy="219163"/>
    <xdr:sp macro="" textlink="">
      <xdr:nvSpPr>
        <xdr:cNvPr id="34" name="CasellaDiTest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118395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13</xdr:col>
      <xdr:colOff>0</xdr:colOff>
      <xdr:row>45</xdr:row>
      <xdr:rowOff>0</xdr:rowOff>
    </xdr:from>
    <xdr:ext cx="65" cy="219163"/>
    <xdr:sp macro="" textlink="">
      <xdr:nvSpPr>
        <xdr:cNvPr id="35" name="CasellaDiTest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118395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13</xdr:col>
      <xdr:colOff>0</xdr:colOff>
      <xdr:row>45</xdr:row>
      <xdr:rowOff>0</xdr:rowOff>
    </xdr:from>
    <xdr:ext cx="65" cy="219163"/>
    <xdr:sp macro="" textlink="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118395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12</xdr:col>
      <xdr:colOff>0</xdr:colOff>
      <xdr:row>25</xdr:row>
      <xdr:rowOff>106914</xdr:rowOff>
    </xdr:from>
    <xdr:ext cx="65" cy="219163"/>
    <xdr:sp macro="" textlink="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11229975" y="3116814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12</xdr:col>
      <xdr:colOff>0</xdr:colOff>
      <xdr:row>45</xdr:row>
      <xdr:rowOff>0</xdr:rowOff>
    </xdr:from>
    <xdr:ext cx="65" cy="219163"/>
    <xdr:sp macro="" textlink="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112299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12</xdr:col>
      <xdr:colOff>0</xdr:colOff>
      <xdr:row>45</xdr:row>
      <xdr:rowOff>0</xdr:rowOff>
    </xdr:from>
    <xdr:ext cx="65" cy="219163"/>
    <xdr:sp macro="" textlink="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112299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12</xdr:col>
      <xdr:colOff>0</xdr:colOff>
      <xdr:row>45</xdr:row>
      <xdr:rowOff>0</xdr:rowOff>
    </xdr:from>
    <xdr:ext cx="65" cy="219163"/>
    <xdr:sp macro="" textlink="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112299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12</xdr:col>
      <xdr:colOff>0</xdr:colOff>
      <xdr:row>25</xdr:row>
      <xdr:rowOff>106914</xdr:rowOff>
    </xdr:from>
    <xdr:ext cx="65" cy="219163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11229975" y="3116814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12</xdr:col>
      <xdr:colOff>0</xdr:colOff>
      <xdr:row>45</xdr:row>
      <xdr:rowOff>0</xdr:rowOff>
    </xdr:from>
    <xdr:ext cx="65" cy="219163"/>
    <xdr:sp macro="" textlink="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112299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12</xdr:col>
      <xdr:colOff>0</xdr:colOff>
      <xdr:row>45</xdr:row>
      <xdr:rowOff>0</xdr:rowOff>
    </xdr:from>
    <xdr:ext cx="65" cy="219163"/>
    <xdr:sp macro="" textlink="">
      <xdr:nvSpPr>
        <xdr:cNvPr id="43" name="CasellaDiTest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112299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12</xdr:col>
      <xdr:colOff>0</xdr:colOff>
      <xdr:row>45</xdr:row>
      <xdr:rowOff>0</xdr:rowOff>
    </xdr:from>
    <xdr:ext cx="65" cy="219163"/>
    <xdr:sp macro="" textlink="">
      <xdr:nvSpPr>
        <xdr:cNvPr id="44" name="CasellaDiTest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1229975" y="9105900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10</xdr:col>
      <xdr:colOff>0</xdr:colOff>
      <xdr:row>27</xdr:row>
      <xdr:rowOff>106914</xdr:rowOff>
    </xdr:from>
    <xdr:ext cx="65" cy="219163"/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0746441" y="7211443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10</xdr:col>
      <xdr:colOff>0</xdr:colOff>
      <xdr:row>27</xdr:row>
      <xdr:rowOff>106914</xdr:rowOff>
    </xdr:from>
    <xdr:ext cx="65" cy="219163"/>
    <xdr:sp macro="" textlink="">
      <xdr:nvSpPr>
        <xdr:cNvPr id="45" name="CasellaDiTesto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10746441" y="7211443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10</xdr:col>
      <xdr:colOff>0</xdr:colOff>
      <xdr:row>28</xdr:row>
      <xdr:rowOff>106914</xdr:rowOff>
    </xdr:from>
    <xdr:ext cx="65" cy="219163"/>
    <xdr:sp macro="" textlink="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10746441" y="7211443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10</xdr:col>
      <xdr:colOff>0</xdr:colOff>
      <xdr:row>28</xdr:row>
      <xdr:rowOff>106914</xdr:rowOff>
    </xdr:from>
    <xdr:ext cx="65" cy="219163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/>
      </xdr:nvSpPr>
      <xdr:spPr>
        <a:xfrm>
          <a:off x="10746441" y="7211443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19050</xdr:rowOff>
        </xdr:from>
        <xdr:to>
          <xdr:col>6</xdr:col>
          <xdr:colOff>2114550</xdr:colOff>
          <xdr:row>11</xdr:row>
          <xdr:rowOff>47625</xdr:rowOff>
        </xdr:to>
        <xdr:sp macro="" textlink="">
          <xdr:nvSpPr>
            <xdr:cNvPr id="5141" name="CommandButton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0</xdr:colOff>
      <xdr:row>29</xdr:row>
      <xdr:rowOff>2</xdr:rowOff>
    </xdr:from>
    <xdr:to>
      <xdr:col>18</xdr:col>
      <xdr:colOff>0</xdr:colOff>
      <xdr:row>39</xdr:row>
      <xdr:rowOff>0</xdr:rowOff>
    </xdr:to>
    <xdr:sp macro="" textlink="">
      <xdr:nvSpPr>
        <xdr:cNvPr id="48" name="TextBox 1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11212286" y="5814788"/>
          <a:ext cx="8926285" cy="2059212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Follow the steps</a:t>
          </a:r>
          <a:r>
            <a:rPr lang="en-US" sz="1100" b="0" u="none" baseline="0"/>
            <a:t> to allow calculation to be initialized:</a:t>
          </a:r>
        </a:p>
        <a:p>
          <a:r>
            <a:rPr lang="en-US" sz="1100" b="0" u="none" baseline="0"/>
            <a:t>1)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Compile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input data in </a:t>
          </a:r>
          <a:r>
            <a:rPr lang="en-US" sz="1100" b="0" u="none" baseline="0"/>
            <a:t>all the fields.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2) Select the component in cell C18, whose diameter shall be calculated. If </a:t>
          </a:r>
          <a:r>
            <a:rPr lang="en-US" sz="1100" b="0" i="1" u="none" baseline="0"/>
            <a:t>STATOR SLEEVE / WEAR RING </a:t>
          </a:r>
          <a:r>
            <a:rPr lang="en-US" sz="1100" b="0" u="none" baseline="0"/>
            <a:t>is selected, the spreadsheet defines the stator sleeve's internal diameter to comply with the required minimum runnin clearance.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</a:t>
          </a:r>
          <a:r>
            <a:rPr lang="en-US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ROTOR SLEEVE / IMPELLER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is selected, the spreadsheet defines the rotor sleeve's external diameter to comply with the required minimum runnin clearance. </a:t>
          </a:r>
          <a:endParaRPr lang="it-IT">
            <a:effectLst/>
          </a:endParaRPr>
        </a:p>
        <a:p>
          <a:r>
            <a:rPr lang="en-US" sz="1100" b="0" u="none" baseline="0"/>
            <a:t>3) Run the calculation with the dedicated button. The results are shown in the dedicated section. The minimum final clearance shall be within +/-3% of the required clearance (cell Q27).</a:t>
          </a:r>
        </a:p>
        <a:p>
          <a:endParaRPr lang="en-US" sz="1100" b="0" u="none" baseline="0"/>
        </a:p>
        <a:p>
          <a:r>
            <a:rPr lang="en-US" sz="1100" b="0" u="none" baseline="0"/>
            <a:t>In case that cell C18 is compiled as </a:t>
          </a:r>
          <a:r>
            <a:rPr lang="en-US" sz="1100" b="0" i="1" u="none" baseline="0"/>
            <a:t>N/A</a:t>
          </a:r>
          <a:r>
            <a:rPr lang="en-US" sz="1100" b="0" u="none" baseline="0"/>
            <a:t>, the spreadsheet can be used as verification of the running clearance, just adding some input in the applicable cells C31 and H47.</a:t>
          </a:r>
        </a:p>
      </xdr:txBody>
    </xdr:sp>
    <xdr:clientData/>
  </xdr:twoCellAnchor>
  <xdr:oneCellAnchor>
    <xdr:from>
      <xdr:col>10</xdr:col>
      <xdr:colOff>0</xdr:colOff>
      <xdr:row>25</xdr:row>
      <xdr:rowOff>106914</xdr:rowOff>
    </xdr:from>
    <xdr:ext cx="65" cy="219163"/>
    <xdr:sp macro="" textlink="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14119412" y="5340061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10</xdr:col>
      <xdr:colOff>0</xdr:colOff>
      <xdr:row>25</xdr:row>
      <xdr:rowOff>106914</xdr:rowOff>
    </xdr:from>
    <xdr:ext cx="65" cy="219163"/>
    <xdr:sp macro="" textlink="">
      <xdr:nvSpPr>
        <xdr:cNvPr id="50" name="CasellaDiTest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14119412" y="5340061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16</xdr:col>
      <xdr:colOff>0</xdr:colOff>
      <xdr:row>26</xdr:row>
      <xdr:rowOff>106914</xdr:rowOff>
    </xdr:from>
    <xdr:ext cx="65" cy="219163"/>
    <xdr:sp macro="" textlink="">
      <xdr:nvSpPr>
        <xdr:cNvPr id="51" name="CasellaDiTesto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 txBox="1"/>
      </xdr:nvSpPr>
      <xdr:spPr>
        <a:xfrm>
          <a:off x="17526000" y="5340061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12</xdr:col>
      <xdr:colOff>0</xdr:colOff>
      <xdr:row>26</xdr:row>
      <xdr:rowOff>106914</xdr:rowOff>
    </xdr:from>
    <xdr:ext cx="65" cy="219163"/>
    <xdr:sp macro="" textlink="">
      <xdr:nvSpPr>
        <xdr:cNvPr id="52" name="CasellaDiTesto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14119412" y="5340061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12</xdr:col>
      <xdr:colOff>0</xdr:colOff>
      <xdr:row>26</xdr:row>
      <xdr:rowOff>106914</xdr:rowOff>
    </xdr:from>
    <xdr:ext cx="65" cy="219163"/>
    <xdr:sp macro="" textlink="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 txBox="1"/>
      </xdr:nvSpPr>
      <xdr:spPr>
        <a:xfrm>
          <a:off x="14119412" y="5340061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10</xdr:col>
      <xdr:colOff>0</xdr:colOff>
      <xdr:row>26</xdr:row>
      <xdr:rowOff>106914</xdr:rowOff>
    </xdr:from>
    <xdr:ext cx="65" cy="219163"/>
    <xdr:sp macro="" textlink="">
      <xdr:nvSpPr>
        <xdr:cNvPr id="54" name="CasellaDiTesto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/>
      </xdr:nvSpPr>
      <xdr:spPr>
        <a:xfrm>
          <a:off x="12416118" y="5340061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  <xdr:oneCellAnchor>
    <xdr:from>
      <xdr:col>10</xdr:col>
      <xdr:colOff>0</xdr:colOff>
      <xdr:row>26</xdr:row>
      <xdr:rowOff>106914</xdr:rowOff>
    </xdr:from>
    <xdr:ext cx="65" cy="219163"/>
    <xdr:sp macro="" textlink="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12416118" y="5340061"/>
          <a:ext cx="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it-IT" sz="1400"/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3C07-069A-4F71-89D8-42CA35F8719B}">
  <sheetPr codeName="Foglio5"/>
  <dimension ref="B2:M36"/>
  <sheetViews>
    <sheetView tabSelected="1" workbookViewId="0">
      <selection activeCell="U24" sqref="U24"/>
    </sheetView>
  </sheetViews>
  <sheetFormatPr defaultRowHeight="15" x14ac:dyDescent="0.25"/>
  <cols>
    <col min="1" max="1" width="2.7109375" customWidth="1"/>
  </cols>
  <sheetData>
    <row r="2" spans="2:2" ht="23.25" x14ac:dyDescent="0.35">
      <c r="B2" s="3" t="s">
        <v>126</v>
      </c>
    </row>
    <row r="29" spans="2:13" x14ac:dyDescent="0.25">
      <c r="B29" s="1" t="s">
        <v>0</v>
      </c>
      <c r="C29" s="63" t="s">
        <v>1</v>
      </c>
      <c r="D29" s="64"/>
      <c r="E29" s="65"/>
      <c r="F29" s="66" t="s">
        <v>2</v>
      </c>
      <c r="G29" s="67"/>
      <c r="H29" s="68"/>
      <c r="I29" s="66" t="s">
        <v>3</v>
      </c>
      <c r="J29" s="68"/>
      <c r="K29" s="66" t="s">
        <v>4</v>
      </c>
      <c r="L29" s="67"/>
      <c r="M29" s="68"/>
    </row>
    <row r="30" spans="2:13" x14ac:dyDescent="0.25">
      <c r="B30" s="2">
        <v>0</v>
      </c>
      <c r="C30" s="55" t="s">
        <v>5</v>
      </c>
      <c r="D30" s="56"/>
      <c r="E30" s="57"/>
      <c r="F30" s="58" t="s">
        <v>127</v>
      </c>
      <c r="G30" s="59"/>
      <c r="H30" s="60"/>
      <c r="I30" s="62">
        <v>45531</v>
      </c>
      <c r="J30" s="61"/>
      <c r="K30" s="58" t="s">
        <v>128</v>
      </c>
      <c r="L30" s="59"/>
      <c r="M30" s="60"/>
    </row>
    <row r="31" spans="2:13" x14ac:dyDescent="0.25">
      <c r="B31" s="2"/>
      <c r="C31" s="55"/>
      <c r="D31" s="56"/>
      <c r="E31" s="57"/>
      <c r="F31" s="58"/>
      <c r="G31" s="59"/>
      <c r="H31" s="60"/>
      <c r="I31" s="62"/>
      <c r="J31" s="61"/>
      <c r="K31" s="58"/>
      <c r="L31" s="59"/>
      <c r="M31" s="60"/>
    </row>
    <row r="32" spans="2:13" x14ac:dyDescent="0.25">
      <c r="B32" s="2"/>
      <c r="C32" s="55"/>
      <c r="D32" s="56"/>
      <c r="E32" s="57"/>
      <c r="F32" s="58"/>
      <c r="G32" s="59"/>
      <c r="H32" s="60"/>
      <c r="I32" s="61"/>
      <c r="J32" s="61"/>
      <c r="K32" s="58"/>
      <c r="L32" s="59"/>
      <c r="M32" s="60"/>
    </row>
    <row r="33" spans="2:13" x14ac:dyDescent="0.25">
      <c r="B33" s="2"/>
      <c r="C33" s="55"/>
      <c r="D33" s="56"/>
      <c r="E33" s="57"/>
      <c r="F33" s="58"/>
      <c r="G33" s="59"/>
      <c r="H33" s="60"/>
      <c r="I33" s="61"/>
      <c r="J33" s="61"/>
      <c r="K33" s="58"/>
      <c r="L33" s="59"/>
      <c r="M33" s="60"/>
    </row>
    <row r="34" spans="2:13" x14ac:dyDescent="0.25">
      <c r="B34" s="2"/>
      <c r="C34" s="55"/>
      <c r="D34" s="56"/>
      <c r="E34" s="57"/>
      <c r="F34" s="58"/>
      <c r="G34" s="59"/>
      <c r="H34" s="60"/>
      <c r="I34" s="61"/>
      <c r="J34" s="61"/>
      <c r="K34" s="58"/>
      <c r="L34" s="59"/>
      <c r="M34" s="60"/>
    </row>
    <row r="35" spans="2:13" x14ac:dyDescent="0.25">
      <c r="B35" s="2"/>
      <c r="C35" s="55"/>
      <c r="D35" s="56"/>
      <c r="E35" s="57"/>
      <c r="F35" s="58"/>
      <c r="G35" s="59"/>
      <c r="H35" s="60"/>
      <c r="I35" s="61"/>
      <c r="J35" s="61"/>
      <c r="K35" s="58"/>
      <c r="L35" s="59"/>
      <c r="M35" s="60"/>
    </row>
    <row r="36" spans="2:13" x14ac:dyDescent="0.25">
      <c r="B36" s="2"/>
      <c r="C36" s="55"/>
      <c r="D36" s="56"/>
      <c r="E36" s="57"/>
      <c r="F36" s="58"/>
      <c r="G36" s="59"/>
      <c r="H36" s="60"/>
      <c r="I36" s="61"/>
      <c r="J36" s="61"/>
      <c r="K36" s="58"/>
      <c r="L36" s="59"/>
      <c r="M36" s="60"/>
    </row>
  </sheetData>
  <mergeCells count="32">
    <mergeCell ref="C29:E29"/>
    <mergeCell ref="F29:H29"/>
    <mergeCell ref="I29:J29"/>
    <mergeCell ref="K29:M29"/>
    <mergeCell ref="C30:E30"/>
    <mergeCell ref="F30:H30"/>
    <mergeCell ref="I30:J30"/>
    <mergeCell ref="K30:M30"/>
    <mergeCell ref="C31:E31"/>
    <mergeCell ref="F31:H31"/>
    <mergeCell ref="I31:J31"/>
    <mergeCell ref="K31:M31"/>
    <mergeCell ref="C32:E32"/>
    <mergeCell ref="F32:H32"/>
    <mergeCell ref="I32:J32"/>
    <mergeCell ref="K32:M32"/>
    <mergeCell ref="C33:E33"/>
    <mergeCell ref="F33:H33"/>
    <mergeCell ref="I33:J33"/>
    <mergeCell ref="K33:M33"/>
    <mergeCell ref="C34:E34"/>
    <mergeCell ref="F34:H34"/>
    <mergeCell ref="I34:J34"/>
    <mergeCell ref="K34:M34"/>
    <mergeCell ref="C35:E35"/>
    <mergeCell ref="F35:H35"/>
    <mergeCell ref="I35:J35"/>
    <mergeCell ref="K35:M35"/>
    <mergeCell ref="C36:E36"/>
    <mergeCell ref="F36:H36"/>
    <mergeCell ref="I36:J36"/>
    <mergeCell ref="K36:M3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9EF55-7AF8-4118-B4DB-3EEA67FDE775}">
  <sheetPr codeName="Foglio4"/>
  <dimension ref="B2:CH105"/>
  <sheetViews>
    <sheetView zoomScale="70" zoomScaleNormal="70" workbookViewId="0">
      <selection activeCell="H42" sqref="H42"/>
    </sheetView>
  </sheetViews>
  <sheetFormatPr defaultColWidth="9.28515625" defaultRowHeight="15" outlineLevelCol="1" x14ac:dyDescent="0.25"/>
  <cols>
    <col min="1" max="1" width="2.7109375" style="8" customWidth="1"/>
    <col min="2" max="2" width="22.7109375" style="8" customWidth="1"/>
    <col min="3" max="3" width="40.7109375" style="8" customWidth="1"/>
    <col min="4" max="4" width="12.7109375" style="8" customWidth="1"/>
    <col min="5" max="5" width="2.7109375" style="8" customWidth="1"/>
    <col min="6" max="6" width="22.7109375" style="8" customWidth="1"/>
    <col min="7" max="7" width="40.7109375" style="8" customWidth="1"/>
    <col min="8" max="8" width="12.7109375" style="8" customWidth="1"/>
    <col min="9" max="9" width="2.5703125" style="8" customWidth="1"/>
    <col min="10" max="10" width="26" style="8" bestFit="1" customWidth="1"/>
    <col min="11" max="18" width="12.7109375" style="8" customWidth="1"/>
    <col min="19" max="19" width="9.28515625" style="8"/>
    <col min="20" max="20" width="8.7109375" style="8" hidden="1" customWidth="1" outlineLevel="1"/>
    <col min="21" max="38" width="10.28515625" style="8" hidden="1" customWidth="1" outlineLevel="1"/>
    <col min="39" max="39" width="16" style="8" hidden="1" customWidth="1" outlineLevel="1"/>
    <col min="40" max="60" width="10.28515625" style="8" hidden="1" customWidth="1" outlineLevel="1"/>
    <col min="61" max="64" width="9.28515625" style="8" hidden="1" customWidth="1" outlineLevel="1"/>
    <col min="65" max="65" width="9.7109375" style="8" hidden="1" customWidth="1" outlineLevel="1"/>
    <col min="66" max="69" width="9.28515625" style="8" hidden="1" customWidth="1" outlineLevel="1"/>
    <col min="70" max="70" width="9.7109375" style="8" hidden="1" customWidth="1" outlineLevel="1"/>
    <col min="71" max="82" width="9.28515625" style="8" hidden="1" customWidth="1" outlineLevel="1"/>
    <col min="83" max="83" width="9.7109375" style="8" hidden="1" customWidth="1" outlineLevel="1"/>
    <col min="84" max="85" width="9.28515625" style="8" hidden="1" customWidth="1" outlineLevel="1"/>
    <col min="86" max="86" width="9.28515625" style="8" collapsed="1"/>
    <col min="87" max="16384" width="9.28515625" style="8"/>
  </cols>
  <sheetData>
    <row r="2" spans="2:85" ht="23.25" x14ac:dyDescent="0.35">
      <c r="B2" s="7" t="s">
        <v>6</v>
      </c>
      <c r="C2" s="7"/>
      <c r="D2" s="7"/>
      <c r="E2" s="7"/>
      <c r="U2" s="8" t="str">
        <f>+B21</f>
        <v>STATOR SLEEVE / WEAR RING</v>
      </c>
    </row>
    <row r="3" spans="2:85" x14ac:dyDescent="0.25">
      <c r="B3" s="9"/>
      <c r="C3" s="10"/>
      <c r="D3" s="11"/>
      <c r="U3" s="8" t="str">
        <f>+F41</f>
        <v>ROTOR SLEEVE / IMPELLER</v>
      </c>
    </row>
    <row r="4" spans="2:85" x14ac:dyDescent="0.25">
      <c r="B4" s="12" t="s">
        <v>7</v>
      </c>
      <c r="C4" s="10"/>
      <c r="D4" s="11"/>
      <c r="U4" s="8" t="s">
        <v>8</v>
      </c>
    </row>
    <row r="5" spans="2:85" x14ac:dyDescent="0.25">
      <c r="B5" s="13" t="s">
        <v>9</v>
      </c>
      <c r="C5" s="10"/>
      <c r="D5" s="11"/>
    </row>
    <row r="6" spans="2:85" x14ac:dyDescent="0.25">
      <c r="B6" s="14" t="s">
        <v>10</v>
      </c>
      <c r="C6" s="10"/>
      <c r="D6" s="11"/>
      <c r="X6" s="15"/>
    </row>
    <row r="7" spans="2:85" x14ac:dyDescent="0.25">
      <c r="B7" s="16" t="s">
        <v>11</v>
      </c>
      <c r="C7" s="10"/>
      <c r="D7" s="11"/>
    </row>
    <row r="9" spans="2:85" ht="15" customHeight="1" thickBot="1" x14ac:dyDescent="0.3">
      <c r="B9" s="69" t="s">
        <v>12</v>
      </c>
      <c r="C9" s="70"/>
      <c r="D9" s="71"/>
    </row>
    <row r="10" spans="2:85" x14ac:dyDescent="0.25">
      <c r="B10" s="14" t="s">
        <v>13</v>
      </c>
      <c r="C10" s="14" t="s">
        <v>14</v>
      </c>
      <c r="D10" s="6">
        <v>3000</v>
      </c>
      <c r="T10" s="76" t="s">
        <v>15</v>
      </c>
      <c r="U10" s="77"/>
      <c r="V10" s="77"/>
      <c r="W10" s="78"/>
      <c r="X10" s="76" t="s">
        <v>16</v>
      </c>
      <c r="Y10" s="77"/>
      <c r="Z10" s="77"/>
      <c r="AA10" s="78"/>
      <c r="AB10" s="76" t="s">
        <v>17</v>
      </c>
      <c r="AC10" s="77"/>
      <c r="AD10" s="77"/>
      <c r="AE10" s="77"/>
      <c r="AF10" s="77"/>
      <c r="AG10" s="77"/>
      <c r="AH10" s="77"/>
      <c r="AI10" s="78"/>
      <c r="AJ10" s="76" t="s">
        <v>18</v>
      </c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8"/>
      <c r="AX10" s="73" t="s">
        <v>19</v>
      </c>
      <c r="AY10" s="74"/>
      <c r="AZ10" s="74"/>
      <c r="BA10" s="74"/>
      <c r="BB10" s="74"/>
      <c r="BC10" s="74"/>
      <c r="BD10" s="74"/>
      <c r="BE10" s="74"/>
      <c r="BF10" s="74"/>
      <c r="BG10" s="74"/>
      <c r="BH10" s="74"/>
      <c r="BI10" s="74"/>
      <c r="BJ10" s="74"/>
      <c r="BK10" s="74"/>
      <c r="BL10" s="74"/>
      <c r="BM10" s="74"/>
      <c r="BN10" s="74"/>
      <c r="BO10" s="75"/>
      <c r="BP10" s="73" t="s">
        <v>20</v>
      </c>
      <c r="BQ10" s="74"/>
      <c r="BR10" s="74"/>
      <c r="BS10" s="74"/>
      <c r="BT10" s="74"/>
      <c r="BU10" s="74"/>
      <c r="BV10" s="74"/>
      <c r="BW10" s="74"/>
      <c r="BX10" s="74"/>
      <c r="BY10" s="74"/>
      <c r="BZ10" s="74"/>
      <c r="CA10" s="74"/>
      <c r="CB10" s="74"/>
      <c r="CC10" s="74"/>
      <c r="CD10" s="74"/>
      <c r="CE10" s="74"/>
      <c r="CF10" s="74"/>
      <c r="CG10" s="75"/>
    </row>
    <row r="11" spans="2:85" ht="18" x14ac:dyDescent="0.25">
      <c r="B11" s="17" t="s">
        <v>21</v>
      </c>
      <c r="C11" s="14" t="s">
        <v>14</v>
      </c>
      <c r="D11" s="16">
        <f>+D10*2*PI()/60</f>
        <v>314.15926535897933</v>
      </c>
      <c r="T11" s="18" t="s">
        <v>22</v>
      </c>
      <c r="U11" s="12" t="s">
        <v>23</v>
      </c>
      <c r="V11" s="12" t="s">
        <v>24</v>
      </c>
      <c r="W11" s="19" t="s">
        <v>25</v>
      </c>
      <c r="X11" s="20" t="s">
        <v>26</v>
      </c>
      <c r="Y11" s="21" t="s">
        <v>27</v>
      </c>
      <c r="Z11" s="21" t="s">
        <v>28</v>
      </c>
      <c r="AA11" s="22" t="s">
        <v>29</v>
      </c>
      <c r="AB11" s="20" t="s">
        <v>30</v>
      </c>
      <c r="AC11" s="21" t="s">
        <v>31</v>
      </c>
      <c r="AD11" s="21" t="s">
        <v>32</v>
      </c>
      <c r="AE11" s="21" t="s">
        <v>33</v>
      </c>
      <c r="AF11" s="21" t="s">
        <v>26</v>
      </c>
      <c r="AG11" s="21" t="s">
        <v>27</v>
      </c>
      <c r="AH11" s="21" t="s">
        <v>28</v>
      </c>
      <c r="AI11" s="22" t="s">
        <v>29</v>
      </c>
      <c r="AJ11" s="20" t="s">
        <v>34</v>
      </c>
      <c r="AK11" s="21" t="s">
        <v>35</v>
      </c>
      <c r="AL11" s="21" t="s">
        <v>36</v>
      </c>
      <c r="AM11" s="21" t="s">
        <v>37</v>
      </c>
      <c r="AN11" s="21" t="s">
        <v>38</v>
      </c>
      <c r="AO11" s="21" t="s">
        <v>39</v>
      </c>
      <c r="AP11" s="21" t="s">
        <v>40</v>
      </c>
      <c r="AQ11" s="21" t="s">
        <v>41</v>
      </c>
      <c r="AR11" s="21" t="s">
        <v>42</v>
      </c>
      <c r="AS11" s="21" t="s">
        <v>43</v>
      </c>
      <c r="AT11" s="21" t="s">
        <v>44</v>
      </c>
      <c r="AU11" s="21" t="s">
        <v>45</v>
      </c>
      <c r="AV11" s="21" t="s">
        <v>46</v>
      </c>
      <c r="AW11" s="22" t="s">
        <v>47</v>
      </c>
      <c r="AX11" s="23" t="s">
        <v>26</v>
      </c>
      <c r="AY11" s="24" t="s">
        <v>27</v>
      </c>
      <c r="AZ11" s="24" t="s">
        <v>28</v>
      </c>
      <c r="BA11" s="24" t="s">
        <v>29</v>
      </c>
      <c r="BB11" s="24" t="s">
        <v>34</v>
      </c>
      <c r="BC11" s="24" t="s">
        <v>35</v>
      </c>
      <c r="BD11" s="24" t="s">
        <v>36</v>
      </c>
      <c r="BE11" s="24" t="s">
        <v>37</v>
      </c>
      <c r="BF11" s="24" t="s">
        <v>38</v>
      </c>
      <c r="BG11" s="24" t="s">
        <v>39</v>
      </c>
      <c r="BH11" s="24" t="s">
        <v>40</v>
      </c>
      <c r="BI11" s="24" t="s">
        <v>41</v>
      </c>
      <c r="BJ11" s="24" t="s">
        <v>42</v>
      </c>
      <c r="BK11" s="24" t="s">
        <v>43</v>
      </c>
      <c r="BL11" s="24" t="s">
        <v>44</v>
      </c>
      <c r="BM11" s="24" t="s">
        <v>45</v>
      </c>
      <c r="BN11" s="24" t="s">
        <v>46</v>
      </c>
      <c r="BO11" s="22" t="s">
        <v>47</v>
      </c>
      <c r="BP11" s="23" t="s">
        <v>26</v>
      </c>
      <c r="BQ11" s="24" t="s">
        <v>27</v>
      </c>
      <c r="BR11" s="24" t="s">
        <v>28</v>
      </c>
      <c r="BS11" s="24" t="s">
        <v>29</v>
      </c>
      <c r="BT11" s="24" t="s">
        <v>34</v>
      </c>
      <c r="BU11" s="24" t="s">
        <v>35</v>
      </c>
      <c r="BV11" s="24" t="s">
        <v>36</v>
      </c>
      <c r="BW11" s="24" t="s">
        <v>37</v>
      </c>
      <c r="BX11" s="24" t="s">
        <v>38</v>
      </c>
      <c r="BY11" s="24" t="s">
        <v>39</v>
      </c>
      <c r="BZ11" s="24" t="s">
        <v>40</v>
      </c>
      <c r="CA11" s="24" t="s">
        <v>41</v>
      </c>
      <c r="CB11" s="24" t="s">
        <v>42</v>
      </c>
      <c r="CC11" s="24" t="s">
        <v>43</v>
      </c>
      <c r="CD11" s="24" t="s">
        <v>44</v>
      </c>
      <c r="CE11" s="24" t="s">
        <v>45</v>
      </c>
      <c r="CF11" s="24" t="s">
        <v>46</v>
      </c>
      <c r="CG11" s="22" t="s">
        <v>47</v>
      </c>
    </row>
    <row r="12" spans="2:85" ht="18" x14ac:dyDescent="0.25">
      <c r="B12" s="14" t="s">
        <v>48</v>
      </c>
      <c r="C12" s="14" t="s">
        <v>49</v>
      </c>
      <c r="D12" s="4">
        <v>20</v>
      </c>
      <c r="T12" s="25">
        <v>0</v>
      </c>
      <c r="U12" s="26">
        <v>0</v>
      </c>
      <c r="V12" s="26">
        <v>0</v>
      </c>
      <c r="W12" s="27">
        <v>0</v>
      </c>
      <c r="X12" s="28">
        <f>+D29</f>
        <v>221.97</v>
      </c>
      <c r="Y12" s="29">
        <f>+D34</f>
        <v>211.38</v>
      </c>
      <c r="Z12" s="29">
        <f>+H29</f>
        <v>360</v>
      </c>
      <c r="AA12" s="30">
        <f>+H34</f>
        <v>222</v>
      </c>
      <c r="AB12" s="28">
        <v>0</v>
      </c>
      <c r="AC12" s="29">
        <v>0</v>
      </c>
      <c r="AD12" s="29">
        <v>0</v>
      </c>
      <c r="AE12" s="29">
        <v>0</v>
      </c>
      <c r="AF12" s="29">
        <f>+X12+AB12</f>
        <v>221.97</v>
      </c>
      <c r="AG12" s="29">
        <f t="shared" ref="AG12:AG27" si="0">+Y12+AC12</f>
        <v>211.38</v>
      </c>
      <c r="AH12" s="29">
        <f t="shared" ref="AH12:AH27" si="1">+Z12+AD12</f>
        <v>360</v>
      </c>
      <c r="AI12" s="30">
        <f t="shared" ref="AI12:AI27" si="2">+AA12+AE12</f>
        <v>222</v>
      </c>
      <c r="AJ12" s="31">
        <f>AG12/AF12</f>
        <v>0.95229085011488035</v>
      </c>
      <c r="AK12" s="29">
        <f>AO12+AV12</f>
        <v>0</v>
      </c>
      <c r="AL12" s="29">
        <f>AK12/AP12</f>
        <v>0</v>
      </c>
      <c r="AM12" s="29">
        <f t="shared" ref="AM12:AM27" si="3">(AF12-AI12)/(AF12/$D$23/1000*((1+AJ12^2)/(1-AJ12^2)-$D$22)+AI12/$H$23/1000*((1+AS12^2)/(1-AS12^2)+$H$22))</f>
        <v>-1.2705099389229729E-2</v>
      </c>
      <c r="AN12" s="29">
        <f>+IF(AM12&gt;0,AM12,0)</f>
        <v>0</v>
      </c>
      <c r="AO12" s="29">
        <f t="shared" ref="AO12:AO27" si="4">AN12/$D$23/1000*AF12*((1+AJ12^2)/(1-AJ12^2)-$D$22)</f>
        <v>0</v>
      </c>
      <c r="AP12" s="29">
        <f>AF12-AO12</f>
        <v>221.97</v>
      </c>
      <c r="AQ12" s="29">
        <f t="shared" ref="AQ12:AQ27" si="5">-AN12/$D$23/1000*AF12^2*AG12/(AF12^2-AG12^2)</f>
        <v>0</v>
      </c>
      <c r="AR12" s="29">
        <f>AG12+2*AQ12</f>
        <v>211.38</v>
      </c>
      <c r="AS12" s="32">
        <f>AI12/AH12</f>
        <v>0.6166666666666667</v>
      </c>
      <c r="AT12" s="29">
        <f t="shared" ref="AT12:AT27" si="6">+AN12/$H$23/1000*2*AH12*AI12^2/(AH12^2-AI12^2)</f>
        <v>0</v>
      </c>
      <c r="AU12" s="29">
        <f>AH12+AT12</f>
        <v>360</v>
      </c>
      <c r="AV12" s="29">
        <f t="shared" ref="AV12:AV27" si="7">AN12/$H$23/1000*AI12*((1+AS12^2)/(1-AS12^2)+$H$22)</f>
        <v>0</v>
      </c>
      <c r="AW12" s="30">
        <f>AI12+AV12</f>
        <v>222</v>
      </c>
      <c r="AX12" s="28">
        <f t="shared" ref="AX12:AX27" si="8">AF12*(1+$D$24*$D$38)</f>
        <v>222.8490012</v>
      </c>
      <c r="AY12" s="29">
        <f t="shared" ref="AY12:AY27" si="9">AG12*(1+$D$24*$D$38)</f>
        <v>212.21706479999997</v>
      </c>
      <c r="AZ12" s="29">
        <f t="shared" ref="AZ12:AZ27" si="10">AH12*(1+$H$24*$H$38)</f>
        <v>360.23760000000004</v>
      </c>
      <c r="BA12" s="29">
        <f t="shared" ref="BA12:BA27" si="11">AI12*(1+$H$24*$H$38)</f>
        <v>222.14652000000001</v>
      </c>
      <c r="BB12" s="32">
        <f>AY12/AX12</f>
        <v>0.95229085011488024</v>
      </c>
      <c r="BC12" s="29">
        <f>BG12+BN12</f>
        <v>0.70248119999999392</v>
      </c>
      <c r="BD12" s="29">
        <f>BC12/BH12</f>
        <v>3.162231372422563E-3</v>
      </c>
      <c r="BE12" s="29">
        <f t="shared" ref="BE12:BE27" si="12">(AX12-BA12)/(AX12/$D$23/1000*((1+BB12^2)/(1-BB12^2)-$D$22)+BA12/$H$23/1000*((1+BK12^2)/(1-BK12^2)+$H$22))</f>
        <v>0.29633075216841104</v>
      </c>
      <c r="BF12" s="29">
        <f>+IF(BE12&gt;0,BE12,0)</f>
        <v>0.29633075216841104</v>
      </c>
      <c r="BG12" s="29">
        <f t="shared" ref="BG12:BG27" si="13">BF12/$D$23/1000*AX12*((1+BB12^2)/(1-BB12^2)-$D$22)</f>
        <v>0.70168898045545636</v>
      </c>
      <c r="BH12" s="29">
        <f>AX12-BG12</f>
        <v>222.14731221954455</v>
      </c>
      <c r="BI12" s="29">
        <f t="shared" ref="BI12:BI27" si="14">-BF12/$D$23/1000*AX12^2*AY12/(AX12^2-AY12^2)</f>
        <v>-0.35723090658324091</v>
      </c>
      <c r="BJ12" s="29">
        <f>AY12+2*BI12</f>
        <v>211.50260298683349</v>
      </c>
      <c r="BK12" s="32">
        <f>BA12/AZ12</f>
        <v>0.61666666666666659</v>
      </c>
      <c r="BL12" s="29">
        <f t="shared" ref="BL12:BL27" si="15">+BF12/$H$23/1000*2*AZ12*BA12^2/(AZ12^2-BA12^2)</f>
        <v>6.2385023460029808E-4</v>
      </c>
      <c r="BM12" s="29">
        <f>AZ12+BL12</f>
        <v>360.23822385023465</v>
      </c>
      <c r="BN12" s="29">
        <f t="shared" ref="BN12:BN27" si="16">BF12/$H$23/1000*BA12*((1+BK12^2)/(1-BK12^2)+$H$22)</f>
        <v>7.9221954453758108E-4</v>
      </c>
      <c r="BO12" s="30">
        <f>BA12+BN12</f>
        <v>222.14731221954455</v>
      </c>
      <c r="BP12" s="28">
        <f>AX12*(1+$D$26/100/3)</f>
        <v>222.8490012</v>
      </c>
      <c r="BQ12" s="29">
        <f>AY12*(1+$D$26/100/3)</f>
        <v>212.21706479999997</v>
      </c>
      <c r="BR12" s="29">
        <f>AZ12*(1+$H$26/100/3)</f>
        <v>360.23760000000004</v>
      </c>
      <c r="BS12" s="29">
        <f>BA12*(1+$H$26/100/3)</f>
        <v>222.14652000000001</v>
      </c>
      <c r="BT12" s="32">
        <f>BQ12/BP12</f>
        <v>0.95229085011488024</v>
      </c>
      <c r="BU12" s="29">
        <f t="shared" ref="BU12" si="17">BY12+CF12</f>
        <v>0.70248119999999392</v>
      </c>
      <c r="BV12" s="29">
        <f t="shared" ref="BV12" si="18">BU12/BZ12</f>
        <v>3.162231372422563E-3</v>
      </c>
      <c r="BW12" s="29">
        <f t="shared" ref="BW12:BW27" si="19">(BP12-BS12)/(BP12/$D$23/1000*((1+BT12^2)/(1-BT12^2)-$D$22)+BS12/$H$23/1000*((1+CC12^2)/(1-CC12^2)+$H$22))</f>
        <v>0.29633075216841104</v>
      </c>
      <c r="BX12" s="29">
        <f>+IF(BW12&gt;0,BW12,0)</f>
        <v>0.29633075216841104</v>
      </c>
      <c r="BY12" s="29">
        <f t="shared" ref="BY12:BY27" si="20">BX12/$D$23/1000*BP12*((1+BT12^2)/(1-BT12^2)-$D$22)</f>
        <v>0.70168898045545636</v>
      </c>
      <c r="BZ12" s="29">
        <f t="shared" ref="BZ12" si="21">BP12-BY12</f>
        <v>222.14731221954455</v>
      </c>
      <c r="CA12" s="29">
        <f t="shared" ref="CA12:CA27" si="22">-BX12/$D$23/1000*BP12^2*BQ12/(BP12^2-BQ12^2)</f>
        <v>-0.35723090658324091</v>
      </c>
      <c r="CB12" s="29">
        <f t="shared" ref="CB12" si="23">BQ12+2*CA12</f>
        <v>211.50260298683349</v>
      </c>
      <c r="CC12" s="32">
        <f t="shared" ref="CC12" si="24">BS12/BR12</f>
        <v>0.61666666666666659</v>
      </c>
      <c r="CD12" s="29">
        <f t="shared" ref="CD12:CD27" si="25">+BX12/$H$23/1000*2*BR12*BS12^2/(BR12^2-BS12^2)</f>
        <v>6.2385023460029808E-4</v>
      </c>
      <c r="CE12" s="29">
        <f t="shared" ref="CE12" si="26">BR12+CD12</f>
        <v>360.23822385023465</v>
      </c>
      <c r="CF12" s="29">
        <f t="shared" ref="CF12:CF27" si="27">BX12/$H$23/1000*BS12*((1+CC12^2)/(1-CC12^2)+$H$22)</f>
        <v>7.9221954453758108E-4</v>
      </c>
      <c r="CG12" s="30">
        <f t="shared" ref="CG12" si="28">BS12+CF12</f>
        <v>222.14731221954455</v>
      </c>
    </row>
    <row r="13" spans="2:85" ht="18" x14ac:dyDescent="0.25">
      <c r="B13" s="14" t="s">
        <v>50</v>
      </c>
      <c r="C13" s="14" t="s">
        <v>51</v>
      </c>
      <c r="D13" s="4">
        <v>75</v>
      </c>
      <c r="T13" s="25">
        <v>1</v>
      </c>
      <c r="U13" s="26">
        <v>0</v>
      </c>
      <c r="V13" s="26">
        <v>0</v>
      </c>
      <c r="W13" s="27">
        <v>0</v>
      </c>
      <c r="X13" s="28">
        <f>+D30</f>
        <v>222.02</v>
      </c>
      <c r="Y13" s="29">
        <f>+D34</f>
        <v>211.38</v>
      </c>
      <c r="Z13" s="29">
        <f>+H29</f>
        <v>360</v>
      </c>
      <c r="AA13" s="30">
        <f>+H34</f>
        <v>222</v>
      </c>
      <c r="AB13" s="28">
        <v>0</v>
      </c>
      <c r="AC13" s="29">
        <v>0</v>
      </c>
      <c r="AD13" s="29">
        <v>0</v>
      </c>
      <c r="AE13" s="29">
        <v>0</v>
      </c>
      <c r="AF13" s="29">
        <f t="shared" ref="AF13:AF27" si="29">+X13+AB13</f>
        <v>222.02</v>
      </c>
      <c r="AG13" s="29">
        <f t="shared" si="0"/>
        <v>211.38</v>
      </c>
      <c r="AH13" s="29">
        <f t="shared" si="1"/>
        <v>360</v>
      </c>
      <c r="AI13" s="30">
        <f t="shared" si="2"/>
        <v>222</v>
      </c>
      <c r="AJ13" s="31">
        <f t="shared" ref="AJ13:AJ27" si="30">AG13/AF13</f>
        <v>0.95207638951445805</v>
      </c>
      <c r="AK13" s="29">
        <f t="shared" ref="AK13:AK27" si="31">AO13+AV13</f>
        <v>2.0000000000010235E-2</v>
      </c>
      <c r="AL13" s="29">
        <f t="shared" ref="AL13:AL27" si="32">AK13/AP13</f>
        <v>9.0090080866013823E-5</v>
      </c>
      <c r="AM13" s="29">
        <f t="shared" si="3"/>
        <v>8.5078292399125358E-3</v>
      </c>
      <c r="AN13" s="29">
        <f t="shared" ref="AN13:AN27" si="33">+IF(AM13&gt;0,AM13,0)</f>
        <v>8.5078292399125358E-3</v>
      </c>
      <c r="AO13" s="29">
        <f t="shared" si="4"/>
        <v>1.9977269915316301E-2</v>
      </c>
      <c r="AP13" s="29">
        <f t="shared" ref="AP13:AP27" si="34">AF13-AO13</f>
        <v>222.00002273008468</v>
      </c>
      <c r="AQ13" s="29">
        <f t="shared" si="5"/>
        <v>-1.0171254372585314E-2</v>
      </c>
      <c r="AR13" s="29">
        <f t="shared" ref="AR13:AR27" si="35">AG13+2*AQ13</f>
        <v>211.35965749125484</v>
      </c>
      <c r="AS13" s="32">
        <f t="shared" ref="AS13:AS27" si="36">AI13/AH13</f>
        <v>0.6166666666666667</v>
      </c>
      <c r="AT13" s="29">
        <f t="shared" si="6"/>
        <v>1.7899291637738765E-5</v>
      </c>
      <c r="AU13" s="29">
        <f t="shared" ref="AU13:AU27" si="37">AH13+AT13</f>
        <v>360.00001789929166</v>
      </c>
      <c r="AV13" s="29">
        <f t="shared" si="7"/>
        <v>2.2730084693932993E-5</v>
      </c>
      <c r="AW13" s="30">
        <f t="shared" ref="AW13:AW27" si="38">AI13+AV13</f>
        <v>222.00002273008468</v>
      </c>
      <c r="AX13" s="28">
        <f t="shared" si="8"/>
        <v>222.8991992</v>
      </c>
      <c r="AY13" s="29">
        <f t="shared" si="9"/>
        <v>212.21706479999997</v>
      </c>
      <c r="AZ13" s="29">
        <f t="shared" si="10"/>
        <v>360.23760000000004</v>
      </c>
      <c r="BA13" s="29">
        <f t="shared" si="11"/>
        <v>222.14652000000001</v>
      </c>
      <c r="BB13" s="32">
        <f t="shared" ref="BB13:BB27" si="39">AY13/AX13</f>
        <v>0.95207638951445805</v>
      </c>
      <c r="BC13" s="29">
        <f t="shared" ref="BC13:BC27" si="40">BG13+BN13</f>
        <v>0.75267919999998867</v>
      </c>
      <c r="BD13" s="29">
        <f t="shared" ref="BD13:BD27" si="41">BC13/BH13</f>
        <v>3.3881976236832005E-3</v>
      </c>
      <c r="BE13" s="29">
        <f t="shared" si="12"/>
        <v>0.31892157198035442</v>
      </c>
      <c r="BF13" s="29">
        <f t="shared" ref="BF13:BF27" si="42">+IF(BE13&gt;0,BE13,0)</f>
        <v>0.31892157198035442</v>
      </c>
      <c r="BG13" s="29">
        <f t="shared" si="13"/>
        <v>0.75182658547838177</v>
      </c>
      <c r="BH13" s="29">
        <f t="shared" ref="BH13:BH27" si="43">AX13-BG13</f>
        <v>222.14737261452163</v>
      </c>
      <c r="BI13" s="29">
        <f t="shared" si="14"/>
        <v>-0.38278601016998814</v>
      </c>
      <c r="BJ13" s="29">
        <f t="shared" ref="BJ13:BJ27" si="44">AY13+2*BI13</f>
        <v>211.45149277965999</v>
      </c>
      <c r="BK13" s="32">
        <f t="shared" ref="BK13:BK27" si="45">BA13/AZ13</f>
        <v>0.61666666666666659</v>
      </c>
      <c r="BL13" s="29">
        <f t="shared" si="15"/>
        <v>6.7140955180367912E-4</v>
      </c>
      <c r="BM13" s="29">
        <f t="shared" ref="BM13:BM27" si="46">AZ13+BL13</f>
        <v>360.23827140955183</v>
      </c>
      <c r="BN13" s="29">
        <f t="shared" si="16"/>
        <v>8.5261452160691068E-4</v>
      </c>
      <c r="BO13" s="30">
        <f t="shared" ref="BO13:BO27" si="47">BA13+BN13</f>
        <v>222.14737261452163</v>
      </c>
      <c r="BP13" s="28">
        <f t="shared" ref="BP13:BP27" si="48">AX13*(1+$D$26/100/3)</f>
        <v>222.8991992</v>
      </c>
      <c r="BQ13" s="29">
        <f t="shared" ref="BQ13:BQ27" si="49">AY13*(1+$D$26/100/3)</f>
        <v>212.21706479999997</v>
      </c>
      <c r="BR13" s="29">
        <f t="shared" ref="BR13:BR27" si="50">AZ13*(1+$H$26/100/3)</f>
        <v>360.23760000000004</v>
      </c>
      <c r="BS13" s="29">
        <f t="shared" ref="BS13:BS27" si="51">BA13*(1+$H$26/100/3)</f>
        <v>222.14652000000001</v>
      </c>
      <c r="BT13" s="32">
        <f t="shared" ref="BT13:BT27" si="52">BQ13/BP13</f>
        <v>0.95207638951445805</v>
      </c>
      <c r="BU13" s="29">
        <f t="shared" ref="BU13:BU27" si="53">BY13+CF13</f>
        <v>0.75267919999998867</v>
      </c>
      <c r="BV13" s="29">
        <f t="shared" ref="BV13:BV27" si="54">BU13/BZ13</f>
        <v>3.3881976236832005E-3</v>
      </c>
      <c r="BW13" s="29">
        <f t="shared" si="19"/>
        <v>0.31892157198035442</v>
      </c>
      <c r="BX13" s="29">
        <f t="shared" ref="BX13:BX27" si="55">+IF(BW13&gt;0,BW13,0)</f>
        <v>0.31892157198035442</v>
      </c>
      <c r="BY13" s="29">
        <f t="shared" si="20"/>
        <v>0.75182658547838177</v>
      </c>
      <c r="BZ13" s="29">
        <f t="shared" ref="BZ13:BZ27" si="56">BP13-BY13</f>
        <v>222.14737261452163</v>
      </c>
      <c r="CA13" s="29">
        <f t="shared" si="22"/>
        <v>-0.38278601016998814</v>
      </c>
      <c r="CB13" s="29">
        <f t="shared" ref="CB13:CB27" si="57">BQ13+2*CA13</f>
        <v>211.45149277965999</v>
      </c>
      <c r="CC13" s="32">
        <f t="shared" ref="CC13:CC27" si="58">BS13/BR13</f>
        <v>0.61666666666666659</v>
      </c>
      <c r="CD13" s="29">
        <f t="shared" si="25"/>
        <v>6.7140955180367912E-4</v>
      </c>
      <c r="CE13" s="29">
        <f t="shared" ref="CE13:CE27" si="59">BR13+CD13</f>
        <v>360.23827140955183</v>
      </c>
      <c r="CF13" s="29">
        <f t="shared" si="27"/>
        <v>8.5261452160691068E-4</v>
      </c>
      <c r="CG13" s="30">
        <f t="shared" ref="CG13:CG27" si="60">BS13+CF13</f>
        <v>222.14737261452163</v>
      </c>
    </row>
    <row r="14" spans="2:85" ht="18" x14ac:dyDescent="0.25">
      <c r="B14" s="14" t="s">
        <v>52</v>
      </c>
      <c r="C14" s="14" t="s">
        <v>53</v>
      </c>
      <c r="D14" s="5">
        <v>0.25</v>
      </c>
      <c r="T14" s="25">
        <v>1</v>
      </c>
      <c r="U14" s="26">
        <v>1</v>
      </c>
      <c r="V14" s="26">
        <v>0</v>
      </c>
      <c r="W14" s="27">
        <v>0</v>
      </c>
      <c r="X14" s="28">
        <f>+D30</f>
        <v>222.02</v>
      </c>
      <c r="Y14" s="29">
        <f>+D35</f>
        <v>211.43</v>
      </c>
      <c r="Z14" s="29">
        <f>+H29</f>
        <v>360</v>
      </c>
      <c r="AA14" s="30">
        <f>+H34</f>
        <v>222</v>
      </c>
      <c r="AB14" s="28">
        <v>0</v>
      </c>
      <c r="AC14" s="29">
        <v>0</v>
      </c>
      <c r="AD14" s="29">
        <v>0</v>
      </c>
      <c r="AE14" s="29">
        <v>0</v>
      </c>
      <c r="AF14" s="29">
        <f t="shared" si="29"/>
        <v>222.02</v>
      </c>
      <c r="AG14" s="29">
        <f t="shared" si="0"/>
        <v>211.43</v>
      </c>
      <c r="AH14" s="29">
        <f t="shared" si="1"/>
        <v>360</v>
      </c>
      <c r="AI14" s="30">
        <f t="shared" si="2"/>
        <v>222</v>
      </c>
      <c r="AJ14" s="31">
        <f t="shared" si="30"/>
        <v>0.95230159445095031</v>
      </c>
      <c r="AK14" s="29">
        <f t="shared" si="31"/>
        <v>2.0000000000010235E-2</v>
      </c>
      <c r="AL14" s="29">
        <f t="shared" si="32"/>
        <v>9.0090080911176156E-5</v>
      </c>
      <c r="AM14" s="29">
        <f t="shared" si="3"/>
        <v>8.4661739467732523E-3</v>
      </c>
      <c r="AN14" s="29">
        <f t="shared" si="33"/>
        <v>8.4661739467732523E-3</v>
      </c>
      <c r="AO14" s="29">
        <f t="shared" si="4"/>
        <v>1.9977381204378919E-2</v>
      </c>
      <c r="AP14" s="29">
        <f t="shared" si="34"/>
        <v>222.00002261879564</v>
      </c>
      <c r="AQ14" s="29">
        <f t="shared" si="5"/>
        <v>-1.0170474661285409E-2</v>
      </c>
      <c r="AR14" s="29">
        <f t="shared" si="35"/>
        <v>211.40965905067745</v>
      </c>
      <c r="AS14" s="32">
        <f t="shared" si="36"/>
        <v>0.6166666666666667</v>
      </c>
      <c r="AT14" s="29">
        <f t="shared" si="6"/>
        <v>1.7811654683689696E-5</v>
      </c>
      <c r="AU14" s="29">
        <f t="shared" si="37"/>
        <v>360.00001781165469</v>
      </c>
      <c r="AV14" s="29">
        <f t="shared" si="7"/>
        <v>2.2618795631317028E-5</v>
      </c>
      <c r="AW14" s="30">
        <f t="shared" si="38"/>
        <v>222.00002261879564</v>
      </c>
      <c r="AX14" s="28">
        <f t="shared" si="8"/>
        <v>222.8991992</v>
      </c>
      <c r="AY14" s="29">
        <f t="shared" si="9"/>
        <v>212.2672628</v>
      </c>
      <c r="AZ14" s="29">
        <f t="shared" si="10"/>
        <v>360.23760000000004</v>
      </c>
      <c r="BA14" s="29">
        <f t="shared" si="11"/>
        <v>222.14652000000001</v>
      </c>
      <c r="BB14" s="32">
        <f t="shared" si="39"/>
        <v>0.95230159445095031</v>
      </c>
      <c r="BC14" s="29">
        <f t="shared" si="40"/>
        <v>0.75267919999998878</v>
      </c>
      <c r="BD14" s="29">
        <f t="shared" si="41"/>
        <v>3.3881976873529783E-3</v>
      </c>
      <c r="BE14" s="29">
        <f t="shared" si="12"/>
        <v>0.3173600901288271</v>
      </c>
      <c r="BF14" s="29">
        <f t="shared" si="42"/>
        <v>0.3173600901288271</v>
      </c>
      <c r="BG14" s="29">
        <f t="shared" si="13"/>
        <v>0.75183075999092286</v>
      </c>
      <c r="BH14" s="29">
        <f t="shared" si="43"/>
        <v>222.14736844000907</v>
      </c>
      <c r="BI14" s="29">
        <f t="shared" si="14"/>
        <v>-0.38275665943575055</v>
      </c>
      <c r="BJ14" s="29">
        <f t="shared" si="44"/>
        <v>211.50174948112848</v>
      </c>
      <c r="BK14" s="32">
        <f t="shared" si="45"/>
        <v>0.61666666666666659</v>
      </c>
      <c r="BL14" s="29">
        <f t="shared" si="15"/>
        <v>6.6812224256469137E-4</v>
      </c>
      <c r="BM14" s="29">
        <f t="shared" si="46"/>
        <v>360.23826812224263</v>
      </c>
      <c r="BN14" s="29">
        <f t="shared" si="16"/>
        <v>8.4844000906587793E-4</v>
      </c>
      <c r="BO14" s="30">
        <f t="shared" si="47"/>
        <v>222.14736844000907</v>
      </c>
      <c r="BP14" s="28">
        <f t="shared" si="48"/>
        <v>222.8991992</v>
      </c>
      <c r="BQ14" s="29">
        <f t="shared" si="49"/>
        <v>212.2672628</v>
      </c>
      <c r="BR14" s="29">
        <f t="shared" si="50"/>
        <v>360.23760000000004</v>
      </c>
      <c r="BS14" s="29">
        <f t="shared" si="51"/>
        <v>222.14652000000001</v>
      </c>
      <c r="BT14" s="32">
        <f t="shared" si="52"/>
        <v>0.95230159445095031</v>
      </c>
      <c r="BU14" s="29">
        <f t="shared" si="53"/>
        <v>0.75267919999998878</v>
      </c>
      <c r="BV14" s="29">
        <f t="shared" si="54"/>
        <v>3.3881976873529783E-3</v>
      </c>
      <c r="BW14" s="29">
        <f t="shared" si="19"/>
        <v>0.3173600901288271</v>
      </c>
      <c r="BX14" s="29">
        <f t="shared" si="55"/>
        <v>0.3173600901288271</v>
      </c>
      <c r="BY14" s="29">
        <f t="shared" si="20"/>
        <v>0.75183075999092286</v>
      </c>
      <c r="BZ14" s="29">
        <f t="shared" si="56"/>
        <v>222.14736844000907</v>
      </c>
      <c r="CA14" s="29">
        <f t="shared" si="22"/>
        <v>-0.38275665943575055</v>
      </c>
      <c r="CB14" s="29">
        <f t="shared" si="57"/>
        <v>211.50174948112848</v>
      </c>
      <c r="CC14" s="32">
        <f t="shared" si="58"/>
        <v>0.61666666666666659</v>
      </c>
      <c r="CD14" s="29">
        <f t="shared" si="25"/>
        <v>6.6812224256469137E-4</v>
      </c>
      <c r="CE14" s="29">
        <f t="shared" si="59"/>
        <v>360.23826812224263</v>
      </c>
      <c r="CF14" s="29">
        <f t="shared" si="27"/>
        <v>8.4844000906587793E-4</v>
      </c>
      <c r="CG14" s="30">
        <f t="shared" si="60"/>
        <v>222.14736844000907</v>
      </c>
    </row>
    <row r="15" spans="2:85" ht="18" x14ac:dyDescent="0.25">
      <c r="B15" s="14" t="s">
        <v>54</v>
      </c>
      <c r="C15" s="14" t="s">
        <v>55</v>
      </c>
      <c r="D15" s="53">
        <f>D16/D14</f>
        <v>0.8</v>
      </c>
      <c r="T15" s="25">
        <v>1</v>
      </c>
      <c r="U15" s="26">
        <v>0</v>
      </c>
      <c r="V15" s="26">
        <v>1</v>
      </c>
      <c r="W15" s="27">
        <v>0</v>
      </c>
      <c r="X15" s="28">
        <f>+D30</f>
        <v>222.02</v>
      </c>
      <c r="Y15" s="29">
        <f>+D34</f>
        <v>211.38</v>
      </c>
      <c r="Z15" s="29">
        <f>+H30</f>
        <v>360</v>
      </c>
      <c r="AA15" s="30">
        <f>+H34</f>
        <v>222</v>
      </c>
      <c r="AB15" s="28">
        <v>0</v>
      </c>
      <c r="AC15" s="29">
        <v>0</v>
      </c>
      <c r="AD15" s="29">
        <v>0</v>
      </c>
      <c r="AE15" s="29">
        <v>0</v>
      </c>
      <c r="AF15" s="29">
        <f t="shared" si="29"/>
        <v>222.02</v>
      </c>
      <c r="AG15" s="29">
        <f t="shared" si="0"/>
        <v>211.38</v>
      </c>
      <c r="AH15" s="29">
        <f t="shared" si="1"/>
        <v>360</v>
      </c>
      <c r="AI15" s="30">
        <f t="shared" si="2"/>
        <v>222</v>
      </c>
      <c r="AJ15" s="31">
        <f t="shared" si="30"/>
        <v>0.95207638951445805</v>
      </c>
      <c r="AK15" s="29">
        <f t="shared" si="31"/>
        <v>2.0000000000010235E-2</v>
      </c>
      <c r="AL15" s="29">
        <f t="shared" si="32"/>
        <v>9.0090080866013823E-5</v>
      </c>
      <c r="AM15" s="29">
        <f t="shared" si="3"/>
        <v>8.5078292399125358E-3</v>
      </c>
      <c r="AN15" s="29">
        <f t="shared" si="33"/>
        <v>8.5078292399125358E-3</v>
      </c>
      <c r="AO15" s="29">
        <f t="shared" si="4"/>
        <v>1.9977269915316301E-2</v>
      </c>
      <c r="AP15" s="29">
        <f t="shared" si="34"/>
        <v>222.00002273008468</v>
      </c>
      <c r="AQ15" s="29">
        <f t="shared" si="5"/>
        <v>-1.0171254372585314E-2</v>
      </c>
      <c r="AR15" s="29">
        <f t="shared" si="35"/>
        <v>211.35965749125484</v>
      </c>
      <c r="AS15" s="32">
        <f t="shared" si="36"/>
        <v>0.6166666666666667</v>
      </c>
      <c r="AT15" s="29">
        <f t="shared" si="6"/>
        <v>1.7899291637738765E-5</v>
      </c>
      <c r="AU15" s="29">
        <f t="shared" si="37"/>
        <v>360.00001789929166</v>
      </c>
      <c r="AV15" s="29">
        <f t="shared" si="7"/>
        <v>2.2730084693932993E-5</v>
      </c>
      <c r="AW15" s="30">
        <f t="shared" si="38"/>
        <v>222.00002273008468</v>
      </c>
      <c r="AX15" s="28">
        <f t="shared" si="8"/>
        <v>222.8991992</v>
      </c>
      <c r="AY15" s="29">
        <f t="shared" si="9"/>
        <v>212.21706479999997</v>
      </c>
      <c r="AZ15" s="29">
        <f t="shared" si="10"/>
        <v>360.23760000000004</v>
      </c>
      <c r="BA15" s="29">
        <f t="shared" si="11"/>
        <v>222.14652000000001</v>
      </c>
      <c r="BB15" s="32">
        <f t="shared" si="39"/>
        <v>0.95207638951445805</v>
      </c>
      <c r="BC15" s="29">
        <f t="shared" si="40"/>
        <v>0.75267919999998867</v>
      </c>
      <c r="BD15" s="29">
        <f t="shared" si="41"/>
        <v>3.3881976236832005E-3</v>
      </c>
      <c r="BE15" s="29">
        <f t="shared" si="12"/>
        <v>0.31892157198035442</v>
      </c>
      <c r="BF15" s="29">
        <f t="shared" si="42"/>
        <v>0.31892157198035442</v>
      </c>
      <c r="BG15" s="29">
        <f t="shared" si="13"/>
        <v>0.75182658547838177</v>
      </c>
      <c r="BH15" s="29">
        <f t="shared" si="43"/>
        <v>222.14737261452163</v>
      </c>
      <c r="BI15" s="29">
        <f t="shared" si="14"/>
        <v>-0.38278601016998814</v>
      </c>
      <c r="BJ15" s="29">
        <f t="shared" si="44"/>
        <v>211.45149277965999</v>
      </c>
      <c r="BK15" s="32">
        <f t="shared" si="45"/>
        <v>0.61666666666666659</v>
      </c>
      <c r="BL15" s="29">
        <f t="shared" si="15"/>
        <v>6.7140955180367912E-4</v>
      </c>
      <c r="BM15" s="29">
        <f t="shared" si="46"/>
        <v>360.23827140955183</v>
      </c>
      <c r="BN15" s="29">
        <f t="shared" si="16"/>
        <v>8.5261452160691068E-4</v>
      </c>
      <c r="BO15" s="30">
        <f t="shared" si="47"/>
        <v>222.14737261452163</v>
      </c>
      <c r="BP15" s="28">
        <f t="shared" si="48"/>
        <v>222.8991992</v>
      </c>
      <c r="BQ15" s="29">
        <f t="shared" si="49"/>
        <v>212.21706479999997</v>
      </c>
      <c r="BR15" s="29">
        <f t="shared" si="50"/>
        <v>360.23760000000004</v>
      </c>
      <c r="BS15" s="29">
        <f t="shared" si="51"/>
        <v>222.14652000000001</v>
      </c>
      <c r="BT15" s="32">
        <f t="shared" si="52"/>
        <v>0.95207638951445805</v>
      </c>
      <c r="BU15" s="29">
        <f t="shared" si="53"/>
        <v>0.75267919999998867</v>
      </c>
      <c r="BV15" s="29">
        <f t="shared" si="54"/>
        <v>3.3881976236832005E-3</v>
      </c>
      <c r="BW15" s="29">
        <f t="shared" si="19"/>
        <v>0.31892157198035442</v>
      </c>
      <c r="BX15" s="29">
        <f t="shared" si="55"/>
        <v>0.31892157198035442</v>
      </c>
      <c r="BY15" s="29">
        <f t="shared" si="20"/>
        <v>0.75182658547838177</v>
      </c>
      <c r="BZ15" s="29">
        <f t="shared" si="56"/>
        <v>222.14737261452163</v>
      </c>
      <c r="CA15" s="29">
        <f t="shared" si="22"/>
        <v>-0.38278601016998814</v>
      </c>
      <c r="CB15" s="29">
        <f t="shared" si="57"/>
        <v>211.45149277965999</v>
      </c>
      <c r="CC15" s="32">
        <f t="shared" si="58"/>
        <v>0.61666666666666659</v>
      </c>
      <c r="CD15" s="29">
        <f t="shared" si="25"/>
        <v>6.7140955180367912E-4</v>
      </c>
      <c r="CE15" s="29">
        <f t="shared" si="59"/>
        <v>360.23827140955183</v>
      </c>
      <c r="CF15" s="29">
        <f t="shared" si="27"/>
        <v>8.5261452160691068E-4</v>
      </c>
      <c r="CG15" s="30">
        <f t="shared" si="60"/>
        <v>222.14737261452163</v>
      </c>
    </row>
    <row r="16" spans="2:85" ht="18" x14ac:dyDescent="0.25">
      <c r="B16" s="14" t="s">
        <v>56</v>
      </c>
      <c r="C16" s="14" t="s">
        <v>57</v>
      </c>
      <c r="D16" s="5">
        <v>0.2</v>
      </c>
      <c r="T16" s="25">
        <v>1</v>
      </c>
      <c r="U16" s="26">
        <v>0</v>
      </c>
      <c r="V16" s="26">
        <v>0</v>
      </c>
      <c r="W16" s="27">
        <v>1</v>
      </c>
      <c r="X16" s="28">
        <f>+D30</f>
        <v>222.02</v>
      </c>
      <c r="Y16" s="29">
        <f>+D34</f>
        <v>211.38</v>
      </c>
      <c r="Z16" s="29">
        <f>+H29</f>
        <v>360</v>
      </c>
      <c r="AA16" s="30">
        <f>+H35</f>
        <v>222.02</v>
      </c>
      <c r="AB16" s="28">
        <v>0</v>
      </c>
      <c r="AC16" s="29">
        <v>0</v>
      </c>
      <c r="AD16" s="29">
        <v>0</v>
      </c>
      <c r="AE16" s="29">
        <v>0</v>
      </c>
      <c r="AF16" s="29">
        <f t="shared" si="29"/>
        <v>222.02</v>
      </c>
      <c r="AG16" s="29">
        <f t="shared" si="0"/>
        <v>211.38</v>
      </c>
      <c r="AH16" s="29">
        <f t="shared" si="1"/>
        <v>360</v>
      </c>
      <c r="AI16" s="30">
        <f t="shared" si="2"/>
        <v>222.02</v>
      </c>
      <c r="AJ16" s="31">
        <f t="shared" si="30"/>
        <v>0.95207638951445805</v>
      </c>
      <c r="AK16" s="29">
        <f t="shared" si="31"/>
        <v>0</v>
      </c>
      <c r="AL16" s="29">
        <f t="shared" si="32"/>
        <v>0</v>
      </c>
      <c r="AM16" s="29">
        <f t="shared" si="3"/>
        <v>0</v>
      </c>
      <c r="AN16" s="29">
        <f t="shared" si="33"/>
        <v>0</v>
      </c>
      <c r="AO16" s="29">
        <f t="shared" si="4"/>
        <v>0</v>
      </c>
      <c r="AP16" s="29">
        <f t="shared" si="34"/>
        <v>222.02</v>
      </c>
      <c r="AQ16" s="29">
        <f t="shared" si="5"/>
        <v>0</v>
      </c>
      <c r="AR16" s="29">
        <f t="shared" si="35"/>
        <v>211.38</v>
      </c>
      <c r="AS16" s="32">
        <f t="shared" si="36"/>
        <v>0.61672222222222228</v>
      </c>
      <c r="AT16" s="29">
        <f t="shared" si="6"/>
        <v>0</v>
      </c>
      <c r="AU16" s="29">
        <f t="shared" si="37"/>
        <v>360</v>
      </c>
      <c r="AV16" s="29">
        <f t="shared" si="7"/>
        <v>0</v>
      </c>
      <c r="AW16" s="30">
        <f t="shared" si="38"/>
        <v>222.02</v>
      </c>
      <c r="AX16" s="28">
        <f t="shared" si="8"/>
        <v>222.8991992</v>
      </c>
      <c r="AY16" s="29">
        <f t="shared" si="9"/>
        <v>212.21706479999997</v>
      </c>
      <c r="AZ16" s="29">
        <f t="shared" si="10"/>
        <v>360.23760000000004</v>
      </c>
      <c r="BA16" s="29">
        <f t="shared" si="11"/>
        <v>222.16653320000003</v>
      </c>
      <c r="BB16" s="32">
        <f t="shared" si="39"/>
        <v>0.95207638951445805</v>
      </c>
      <c r="BC16" s="29">
        <f t="shared" si="40"/>
        <v>0.73266599999996651</v>
      </c>
      <c r="BD16" s="29">
        <f t="shared" si="41"/>
        <v>3.2978111141028642E-3</v>
      </c>
      <c r="BE16" s="29">
        <f t="shared" si="12"/>
        <v>0.31044159481394323</v>
      </c>
      <c r="BF16" s="29">
        <f t="shared" si="42"/>
        <v>0.31044159481394323</v>
      </c>
      <c r="BG16" s="29">
        <f t="shared" si="13"/>
        <v>0.73183586412839963</v>
      </c>
      <c r="BH16" s="29">
        <f t="shared" si="43"/>
        <v>222.16736333587158</v>
      </c>
      <c r="BI16" s="29">
        <f t="shared" si="14"/>
        <v>-0.37260790711566388</v>
      </c>
      <c r="BJ16" s="29">
        <f t="shared" si="44"/>
        <v>211.47184898576864</v>
      </c>
      <c r="BK16" s="32">
        <f t="shared" si="45"/>
        <v>0.61672222222222228</v>
      </c>
      <c r="BL16" s="29">
        <f t="shared" si="15"/>
        <v>6.5374712922033754E-4</v>
      </c>
      <c r="BM16" s="29">
        <f t="shared" si="46"/>
        <v>360.23825374712925</v>
      </c>
      <c r="BN16" s="29">
        <f t="shared" si="16"/>
        <v>8.3013587156683516E-4</v>
      </c>
      <c r="BO16" s="30">
        <f t="shared" si="47"/>
        <v>222.16736333587158</v>
      </c>
      <c r="BP16" s="28">
        <f t="shared" si="48"/>
        <v>222.8991992</v>
      </c>
      <c r="BQ16" s="29">
        <f t="shared" si="49"/>
        <v>212.21706479999997</v>
      </c>
      <c r="BR16" s="29">
        <f t="shared" si="50"/>
        <v>360.23760000000004</v>
      </c>
      <c r="BS16" s="29">
        <f t="shared" si="51"/>
        <v>222.16653320000003</v>
      </c>
      <c r="BT16" s="32">
        <f t="shared" si="52"/>
        <v>0.95207638951445805</v>
      </c>
      <c r="BU16" s="29">
        <f t="shared" si="53"/>
        <v>0.73266599999996651</v>
      </c>
      <c r="BV16" s="29">
        <f t="shared" si="54"/>
        <v>3.2978111141028642E-3</v>
      </c>
      <c r="BW16" s="29">
        <f t="shared" si="19"/>
        <v>0.31044159481394323</v>
      </c>
      <c r="BX16" s="29">
        <f t="shared" si="55"/>
        <v>0.31044159481394323</v>
      </c>
      <c r="BY16" s="29">
        <f t="shared" si="20"/>
        <v>0.73183586412839963</v>
      </c>
      <c r="BZ16" s="29">
        <f t="shared" si="56"/>
        <v>222.16736333587158</v>
      </c>
      <c r="CA16" s="29">
        <f t="shared" si="22"/>
        <v>-0.37260790711566388</v>
      </c>
      <c r="CB16" s="29">
        <f t="shared" si="57"/>
        <v>211.47184898576864</v>
      </c>
      <c r="CC16" s="32">
        <f t="shared" si="58"/>
        <v>0.61672222222222228</v>
      </c>
      <c r="CD16" s="29">
        <f t="shared" si="25"/>
        <v>6.5374712922033754E-4</v>
      </c>
      <c r="CE16" s="29">
        <f t="shared" si="59"/>
        <v>360.23825374712925</v>
      </c>
      <c r="CF16" s="29">
        <f t="shared" si="27"/>
        <v>8.3013587156683516E-4</v>
      </c>
      <c r="CG16" s="30">
        <f t="shared" si="60"/>
        <v>222.16736333587158</v>
      </c>
    </row>
    <row r="17" spans="2:85" x14ac:dyDescent="0.25">
      <c r="T17" s="25">
        <v>1</v>
      </c>
      <c r="U17" s="26">
        <v>1</v>
      </c>
      <c r="V17" s="26">
        <v>1</v>
      </c>
      <c r="W17" s="27">
        <v>0</v>
      </c>
      <c r="X17" s="28">
        <f>+D30</f>
        <v>222.02</v>
      </c>
      <c r="Y17" s="29">
        <f>+D35</f>
        <v>211.43</v>
      </c>
      <c r="Z17" s="29">
        <f>+H30</f>
        <v>360</v>
      </c>
      <c r="AA17" s="30">
        <f>+H34</f>
        <v>222</v>
      </c>
      <c r="AB17" s="28">
        <v>0</v>
      </c>
      <c r="AC17" s="29">
        <v>0</v>
      </c>
      <c r="AD17" s="29">
        <v>0</v>
      </c>
      <c r="AE17" s="29">
        <v>0</v>
      </c>
      <c r="AF17" s="29">
        <f t="shared" si="29"/>
        <v>222.02</v>
      </c>
      <c r="AG17" s="29">
        <f t="shared" si="0"/>
        <v>211.43</v>
      </c>
      <c r="AH17" s="29">
        <f t="shared" si="1"/>
        <v>360</v>
      </c>
      <c r="AI17" s="30">
        <f t="shared" si="2"/>
        <v>222</v>
      </c>
      <c r="AJ17" s="31">
        <f t="shared" si="30"/>
        <v>0.95230159445095031</v>
      </c>
      <c r="AK17" s="29">
        <f t="shared" si="31"/>
        <v>2.0000000000010235E-2</v>
      </c>
      <c r="AL17" s="29">
        <f t="shared" si="32"/>
        <v>9.0090080911176156E-5</v>
      </c>
      <c r="AM17" s="29">
        <f t="shared" si="3"/>
        <v>8.4661739467732523E-3</v>
      </c>
      <c r="AN17" s="29">
        <f t="shared" si="33"/>
        <v>8.4661739467732523E-3</v>
      </c>
      <c r="AO17" s="29">
        <f t="shared" si="4"/>
        <v>1.9977381204378919E-2</v>
      </c>
      <c r="AP17" s="29">
        <f t="shared" si="34"/>
        <v>222.00002261879564</v>
      </c>
      <c r="AQ17" s="29">
        <f t="shared" si="5"/>
        <v>-1.0170474661285409E-2</v>
      </c>
      <c r="AR17" s="29">
        <f t="shared" si="35"/>
        <v>211.40965905067745</v>
      </c>
      <c r="AS17" s="32">
        <f t="shared" si="36"/>
        <v>0.6166666666666667</v>
      </c>
      <c r="AT17" s="29">
        <f t="shared" si="6"/>
        <v>1.7811654683689696E-5</v>
      </c>
      <c r="AU17" s="29">
        <f t="shared" si="37"/>
        <v>360.00001781165469</v>
      </c>
      <c r="AV17" s="29">
        <f t="shared" si="7"/>
        <v>2.2618795631317028E-5</v>
      </c>
      <c r="AW17" s="30">
        <f t="shared" si="38"/>
        <v>222.00002261879564</v>
      </c>
      <c r="AX17" s="28">
        <f t="shared" si="8"/>
        <v>222.8991992</v>
      </c>
      <c r="AY17" s="29">
        <f t="shared" si="9"/>
        <v>212.2672628</v>
      </c>
      <c r="AZ17" s="29">
        <f t="shared" si="10"/>
        <v>360.23760000000004</v>
      </c>
      <c r="BA17" s="29">
        <f t="shared" si="11"/>
        <v>222.14652000000001</v>
      </c>
      <c r="BB17" s="32">
        <f t="shared" si="39"/>
        <v>0.95230159445095031</v>
      </c>
      <c r="BC17" s="29">
        <f t="shared" si="40"/>
        <v>0.75267919999998878</v>
      </c>
      <c r="BD17" s="29">
        <f t="shared" si="41"/>
        <v>3.3881976873529783E-3</v>
      </c>
      <c r="BE17" s="29">
        <f t="shared" si="12"/>
        <v>0.3173600901288271</v>
      </c>
      <c r="BF17" s="29">
        <f t="shared" si="42"/>
        <v>0.3173600901288271</v>
      </c>
      <c r="BG17" s="29">
        <f t="shared" si="13"/>
        <v>0.75183075999092286</v>
      </c>
      <c r="BH17" s="29">
        <f t="shared" si="43"/>
        <v>222.14736844000907</v>
      </c>
      <c r="BI17" s="29">
        <f t="shared" si="14"/>
        <v>-0.38275665943575055</v>
      </c>
      <c r="BJ17" s="29">
        <f t="shared" si="44"/>
        <v>211.50174948112848</v>
      </c>
      <c r="BK17" s="32">
        <f t="shared" si="45"/>
        <v>0.61666666666666659</v>
      </c>
      <c r="BL17" s="29">
        <f t="shared" si="15"/>
        <v>6.6812224256469137E-4</v>
      </c>
      <c r="BM17" s="29">
        <f t="shared" si="46"/>
        <v>360.23826812224263</v>
      </c>
      <c r="BN17" s="29">
        <f t="shared" si="16"/>
        <v>8.4844000906587793E-4</v>
      </c>
      <c r="BO17" s="30">
        <f t="shared" si="47"/>
        <v>222.14736844000907</v>
      </c>
      <c r="BP17" s="28">
        <f t="shared" si="48"/>
        <v>222.8991992</v>
      </c>
      <c r="BQ17" s="29">
        <f t="shared" si="49"/>
        <v>212.2672628</v>
      </c>
      <c r="BR17" s="29">
        <f t="shared" si="50"/>
        <v>360.23760000000004</v>
      </c>
      <c r="BS17" s="29">
        <f t="shared" si="51"/>
        <v>222.14652000000001</v>
      </c>
      <c r="BT17" s="32">
        <f t="shared" si="52"/>
        <v>0.95230159445095031</v>
      </c>
      <c r="BU17" s="29">
        <f t="shared" si="53"/>
        <v>0.75267919999998878</v>
      </c>
      <c r="BV17" s="29">
        <f t="shared" si="54"/>
        <v>3.3881976873529783E-3</v>
      </c>
      <c r="BW17" s="29">
        <f t="shared" si="19"/>
        <v>0.3173600901288271</v>
      </c>
      <c r="BX17" s="29">
        <f t="shared" si="55"/>
        <v>0.3173600901288271</v>
      </c>
      <c r="BY17" s="29">
        <f t="shared" si="20"/>
        <v>0.75183075999092286</v>
      </c>
      <c r="BZ17" s="29">
        <f t="shared" si="56"/>
        <v>222.14736844000907</v>
      </c>
      <c r="CA17" s="29">
        <f t="shared" si="22"/>
        <v>-0.38275665943575055</v>
      </c>
      <c r="CB17" s="29">
        <f t="shared" si="57"/>
        <v>211.50174948112848</v>
      </c>
      <c r="CC17" s="32">
        <f t="shared" si="58"/>
        <v>0.61666666666666659</v>
      </c>
      <c r="CD17" s="29">
        <f t="shared" si="25"/>
        <v>6.6812224256469137E-4</v>
      </c>
      <c r="CE17" s="29">
        <f t="shared" si="59"/>
        <v>360.23826812224263</v>
      </c>
      <c r="CF17" s="29">
        <f t="shared" si="27"/>
        <v>8.4844000906587793E-4</v>
      </c>
      <c r="CG17" s="30">
        <f t="shared" si="60"/>
        <v>222.14736844000907</v>
      </c>
    </row>
    <row r="18" spans="2:85" ht="18" customHeight="1" x14ac:dyDescent="0.25">
      <c r="B18" s="33" t="s">
        <v>58</v>
      </c>
      <c r="C18" s="82" t="s">
        <v>8</v>
      </c>
      <c r="D18" s="83"/>
      <c r="T18" s="25">
        <v>1</v>
      </c>
      <c r="U18" s="26">
        <v>1</v>
      </c>
      <c r="V18" s="26">
        <v>0</v>
      </c>
      <c r="W18" s="27">
        <v>1</v>
      </c>
      <c r="X18" s="28">
        <f>+D30</f>
        <v>222.02</v>
      </c>
      <c r="Y18" s="29">
        <f>+D35</f>
        <v>211.43</v>
      </c>
      <c r="Z18" s="29">
        <f>+H29</f>
        <v>360</v>
      </c>
      <c r="AA18" s="30">
        <f>+H35</f>
        <v>222.02</v>
      </c>
      <c r="AB18" s="28">
        <v>0</v>
      </c>
      <c r="AC18" s="29">
        <v>0</v>
      </c>
      <c r="AD18" s="29">
        <v>0</v>
      </c>
      <c r="AE18" s="29">
        <v>0</v>
      </c>
      <c r="AF18" s="29">
        <f t="shared" si="29"/>
        <v>222.02</v>
      </c>
      <c r="AG18" s="29">
        <f t="shared" si="0"/>
        <v>211.43</v>
      </c>
      <c r="AH18" s="29">
        <f t="shared" si="1"/>
        <v>360</v>
      </c>
      <c r="AI18" s="30">
        <f t="shared" si="2"/>
        <v>222.02</v>
      </c>
      <c r="AJ18" s="31">
        <f t="shared" si="30"/>
        <v>0.95230159445095031</v>
      </c>
      <c r="AK18" s="29">
        <f t="shared" si="31"/>
        <v>0</v>
      </c>
      <c r="AL18" s="29">
        <f t="shared" si="32"/>
        <v>0</v>
      </c>
      <c r="AM18" s="29">
        <f t="shared" si="3"/>
        <v>0</v>
      </c>
      <c r="AN18" s="29">
        <f t="shared" si="33"/>
        <v>0</v>
      </c>
      <c r="AO18" s="29">
        <f t="shared" si="4"/>
        <v>0</v>
      </c>
      <c r="AP18" s="29">
        <f t="shared" si="34"/>
        <v>222.02</v>
      </c>
      <c r="AQ18" s="29">
        <f t="shared" si="5"/>
        <v>0</v>
      </c>
      <c r="AR18" s="29">
        <f t="shared" si="35"/>
        <v>211.43</v>
      </c>
      <c r="AS18" s="32">
        <f t="shared" si="36"/>
        <v>0.61672222222222228</v>
      </c>
      <c r="AT18" s="29">
        <f t="shared" si="6"/>
        <v>0</v>
      </c>
      <c r="AU18" s="29">
        <f t="shared" si="37"/>
        <v>360</v>
      </c>
      <c r="AV18" s="29">
        <f t="shared" si="7"/>
        <v>0</v>
      </c>
      <c r="AW18" s="30">
        <f t="shared" si="38"/>
        <v>222.02</v>
      </c>
      <c r="AX18" s="28">
        <f t="shared" si="8"/>
        <v>222.8991992</v>
      </c>
      <c r="AY18" s="29">
        <f t="shared" si="9"/>
        <v>212.2672628</v>
      </c>
      <c r="AZ18" s="29">
        <f t="shared" si="10"/>
        <v>360.23760000000004</v>
      </c>
      <c r="BA18" s="29">
        <f t="shared" si="11"/>
        <v>222.16653320000003</v>
      </c>
      <c r="BB18" s="32">
        <f t="shared" si="39"/>
        <v>0.95230159445095031</v>
      </c>
      <c r="BC18" s="29">
        <f t="shared" si="40"/>
        <v>0.7326659999999664</v>
      </c>
      <c r="BD18" s="29">
        <f t="shared" si="41"/>
        <v>3.2978111744348514E-3</v>
      </c>
      <c r="BE18" s="29">
        <f t="shared" si="12"/>
        <v>0.30892163243931542</v>
      </c>
      <c r="BF18" s="29">
        <f t="shared" si="42"/>
        <v>0.30892163243931542</v>
      </c>
      <c r="BG18" s="29">
        <f t="shared" si="13"/>
        <v>0.73183992858146152</v>
      </c>
      <c r="BH18" s="29">
        <f t="shared" si="43"/>
        <v>222.16735927141855</v>
      </c>
      <c r="BI18" s="29">
        <f t="shared" si="14"/>
        <v>-0.37257933728186449</v>
      </c>
      <c r="BJ18" s="29">
        <f t="shared" si="44"/>
        <v>211.52210412543627</v>
      </c>
      <c r="BK18" s="32">
        <f t="shared" si="45"/>
        <v>0.61672222222222228</v>
      </c>
      <c r="BL18" s="29">
        <f t="shared" si="15"/>
        <v>6.5054629835380564E-4</v>
      </c>
      <c r="BM18" s="29">
        <f t="shared" si="46"/>
        <v>360.23825054629839</v>
      </c>
      <c r="BN18" s="29">
        <f t="shared" si="16"/>
        <v>8.2607141850484563E-4</v>
      </c>
      <c r="BO18" s="30">
        <f t="shared" si="47"/>
        <v>222.16735927141855</v>
      </c>
      <c r="BP18" s="28">
        <f t="shared" si="48"/>
        <v>222.8991992</v>
      </c>
      <c r="BQ18" s="29">
        <f t="shared" si="49"/>
        <v>212.2672628</v>
      </c>
      <c r="BR18" s="29">
        <f t="shared" si="50"/>
        <v>360.23760000000004</v>
      </c>
      <c r="BS18" s="29">
        <f t="shared" si="51"/>
        <v>222.16653320000003</v>
      </c>
      <c r="BT18" s="32">
        <f t="shared" si="52"/>
        <v>0.95230159445095031</v>
      </c>
      <c r="BU18" s="29">
        <f t="shared" si="53"/>
        <v>0.7326659999999664</v>
      </c>
      <c r="BV18" s="29">
        <f t="shared" si="54"/>
        <v>3.2978111744348514E-3</v>
      </c>
      <c r="BW18" s="29">
        <f t="shared" si="19"/>
        <v>0.30892163243931542</v>
      </c>
      <c r="BX18" s="29">
        <f t="shared" si="55"/>
        <v>0.30892163243931542</v>
      </c>
      <c r="BY18" s="29">
        <f t="shared" si="20"/>
        <v>0.73183992858146152</v>
      </c>
      <c r="BZ18" s="29">
        <f t="shared" si="56"/>
        <v>222.16735927141855</v>
      </c>
      <c r="CA18" s="29">
        <f t="shared" si="22"/>
        <v>-0.37257933728186449</v>
      </c>
      <c r="CB18" s="29">
        <f t="shared" si="57"/>
        <v>211.52210412543627</v>
      </c>
      <c r="CC18" s="32">
        <f t="shared" si="58"/>
        <v>0.61672222222222228</v>
      </c>
      <c r="CD18" s="29">
        <f t="shared" si="25"/>
        <v>6.5054629835380564E-4</v>
      </c>
      <c r="CE18" s="29">
        <f t="shared" si="59"/>
        <v>360.23825054629839</v>
      </c>
      <c r="CF18" s="29">
        <f t="shared" si="27"/>
        <v>8.2607141850484563E-4</v>
      </c>
      <c r="CG18" s="30">
        <f t="shared" si="60"/>
        <v>222.16735927141855</v>
      </c>
    </row>
    <row r="19" spans="2:85" x14ac:dyDescent="0.25">
      <c r="T19" s="25">
        <v>1</v>
      </c>
      <c r="U19" s="26">
        <v>0</v>
      </c>
      <c r="V19" s="26">
        <v>1</v>
      </c>
      <c r="W19" s="27">
        <v>1</v>
      </c>
      <c r="X19" s="28">
        <f>+D30</f>
        <v>222.02</v>
      </c>
      <c r="Y19" s="29">
        <f>+D34</f>
        <v>211.38</v>
      </c>
      <c r="Z19" s="29">
        <f>+H30</f>
        <v>360</v>
      </c>
      <c r="AA19" s="30">
        <f>+H35</f>
        <v>222.02</v>
      </c>
      <c r="AB19" s="28">
        <v>0</v>
      </c>
      <c r="AC19" s="29">
        <v>0</v>
      </c>
      <c r="AD19" s="29">
        <v>0</v>
      </c>
      <c r="AE19" s="29">
        <v>0</v>
      </c>
      <c r="AF19" s="29">
        <f t="shared" si="29"/>
        <v>222.02</v>
      </c>
      <c r="AG19" s="29">
        <f t="shared" si="0"/>
        <v>211.38</v>
      </c>
      <c r="AH19" s="29">
        <f t="shared" si="1"/>
        <v>360</v>
      </c>
      <c r="AI19" s="30">
        <f t="shared" si="2"/>
        <v>222.02</v>
      </c>
      <c r="AJ19" s="31">
        <f t="shared" si="30"/>
        <v>0.95207638951445805</v>
      </c>
      <c r="AK19" s="29">
        <f t="shared" si="31"/>
        <v>0</v>
      </c>
      <c r="AL19" s="29">
        <f t="shared" si="32"/>
        <v>0</v>
      </c>
      <c r="AM19" s="29">
        <f t="shared" si="3"/>
        <v>0</v>
      </c>
      <c r="AN19" s="29">
        <f t="shared" si="33"/>
        <v>0</v>
      </c>
      <c r="AO19" s="29">
        <f t="shared" si="4"/>
        <v>0</v>
      </c>
      <c r="AP19" s="29">
        <f t="shared" si="34"/>
        <v>222.02</v>
      </c>
      <c r="AQ19" s="29">
        <f t="shared" si="5"/>
        <v>0</v>
      </c>
      <c r="AR19" s="29">
        <f t="shared" si="35"/>
        <v>211.38</v>
      </c>
      <c r="AS19" s="32">
        <f t="shared" si="36"/>
        <v>0.61672222222222228</v>
      </c>
      <c r="AT19" s="29">
        <f t="shared" si="6"/>
        <v>0</v>
      </c>
      <c r="AU19" s="29">
        <f t="shared" si="37"/>
        <v>360</v>
      </c>
      <c r="AV19" s="29">
        <f t="shared" si="7"/>
        <v>0</v>
      </c>
      <c r="AW19" s="30">
        <f t="shared" si="38"/>
        <v>222.02</v>
      </c>
      <c r="AX19" s="28">
        <f t="shared" si="8"/>
        <v>222.8991992</v>
      </c>
      <c r="AY19" s="29">
        <f t="shared" si="9"/>
        <v>212.21706479999997</v>
      </c>
      <c r="AZ19" s="29">
        <f t="shared" si="10"/>
        <v>360.23760000000004</v>
      </c>
      <c r="BA19" s="29">
        <f t="shared" si="11"/>
        <v>222.16653320000003</v>
      </c>
      <c r="BB19" s="32">
        <f t="shared" si="39"/>
        <v>0.95207638951445805</v>
      </c>
      <c r="BC19" s="29">
        <f t="shared" si="40"/>
        <v>0.73266599999996651</v>
      </c>
      <c r="BD19" s="29">
        <f t="shared" si="41"/>
        <v>3.2978111141028642E-3</v>
      </c>
      <c r="BE19" s="29">
        <f t="shared" si="12"/>
        <v>0.31044159481394323</v>
      </c>
      <c r="BF19" s="29">
        <f t="shared" si="42"/>
        <v>0.31044159481394323</v>
      </c>
      <c r="BG19" s="29">
        <f t="shared" si="13"/>
        <v>0.73183586412839963</v>
      </c>
      <c r="BH19" s="29">
        <f t="shared" si="43"/>
        <v>222.16736333587158</v>
      </c>
      <c r="BI19" s="29">
        <f t="shared" si="14"/>
        <v>-0.37260790711566388</v>
      </c>
      <c r="BJ19" s="29">
        <f t="shared" si="44"/>
        <v>211.47184898576864</v>
      </c>
      <c r="BK19" s="32">
        <f t="shared" si="45"/>
        <v>0.61672222222222228</v>
      </c>
      <c r="BL19" s="29">
        <f t="shared" si="15"/>
        <v>6.5374712922033754E-4</v>
      </c>
      <c r="BM19" s="29">
        <f t="shared" si="46"/>
        <v>360.23825374712925</v>
      </c>
      <c r="BN19" s="29">
        <f t="shared" si="16"/>
        <v>8.3013587156683516E-4</v>
      </c>
      <c r="BO19" s="30">
        <f t="shared" si="47"/>
        <v>222.16736333587158</v>
      </c>
      <c r="BP19" s="28">
        <f t="shared" si="48"/>
        <v>222.8991992</v>
      </c>
      <c r="BQ19" s="29">
        <f t="shared" si="49"/>
        <v>212.21706479999997</v>
      </c>
      <c r="BR19" s="29">
        <f t="shared" si="50"/>
        <v>360.23760000000004</v>
      </c>
      <c r="BS19" s="29">
        <f t="shared" si="51"/>
        <v>222.16653320000003</v>
      </c>
      <c r="BT19" s="32">
        <f t="shared" si="52"/>
        <v>0.95207638951445805</v>
      </c>
      <c r="BU19" s="29">
        <f t="shared" si="53"/>
        <v>0.73266599999996651</v>
      </c>
      <c r="BV19" s="29">
        <f t="shared" si="54"/>
        <v>3.2978111141028642E-3</v>
      </c>
      <c r="BW19" s="29">
        <f t="shared" si="19"/>
        <v>0.31044159481394323</v>
      </c>
      <c r="BX19" s="29">
        <f t="shared" si="55"/>
        <v>0.31044159481394323</v>
      </c>
      <c r="BY19" s="29">
        <f t="shared" si="20"/>
        <v>0.73183586412839963</v>
      </c>
      <c r="BZ19" s="29">
        <f t="shared" si="56"/>
        <v>222.16736333587158</v>
      </c>
      <c r="CA19" s="29">
        <f t="shared" si="22"/>
        <v>-0.37260790711566388</v>
      </c>
      <c r="CB19" s="29">
        <f t="shared" si="57"/>
        <v>211.47184898576864</v>
      </c>
      <c r="CC19" s="32">
        <f t="shared" si="58"/>
        <v>0.61672222222222228</v>
      </c>
      <c r="CD19" s="29">
        <f t="shared" si="25"/>
        <v>6.5374712922033754E-4</v>
      </c>
      <c r="CE19" s="29">
        <f t="shared" si="59"/>
        <v>360.23825374712925</v>
      </c>
      <c r="CF19" s="29">
        <f t="shared" si="27"/>
        <v>8.3013587156683516E-4</v>
      </c>
      <c r="CG19" s="30">
        <f t="shared" si="60"/>
        <v>222.16736333587158</v>
      </c>
    </row>
    <row r="20" spans="2:85" x14ac:dyDescent="0.25">
      <c r="B20" s="69" t="s">
        <v>59</v>
      </c>
      <c r="C20" s="70"/>
      <c r="D20" s="70"/>
      <c r="E20" s="70"/>
      <c r="F20" s="70"/>
      <c r="G20" s="70"/>
      <c r="H20" s="71"/>
      <c r="J20" s="84" t="s">
        <v>60</v>
      </c>
      <c r="K20" s="84"/>
      <c r="L20" s="84"/>
      <c r="M20" s="84"/>
      <c r="N20" s="84"/>
      <c r="O20" s="84"/>
      <c r="P20" s="84"/>
      <c r="Q20" s="84"/>
      <c r="R20" s="84"/>
      <c r="T20" s="25">
        <v>1</v>
      </c>
      <c r="U20" s="26">
        <v>1</v>
      </c>
      <c r="V20" s="26">
        <v>1</v>
      </c>
      <c r="W20" s="27">
        <v>1</v>
      </c>
      <c r="X20" s="28">
        <f>+D30</f>
        <v>222.02</v>
      </c>
      <c r="Y20" s="29">
        <f>+D35</f>
        <v>211.43</v>
      </c>
      <c r="Z20" s="29">
        <f>+H30</f>
        <v>360</v>
      </c>
      <c r="AA20" s="30">
        <f>+H35</f>
        <v>222.02</v>
      </c>
      <c r="AB20" s="28">
        <v>0</v>
      </c>
      <c r="AC20" s="29">
        <v>0</v>
      </c>
      <c r="AD20" s="29">
        <v>0</v>
      </c>
      <c r="AE20" s="29">
        <v>0</v>
      </c>
      <c r="AF20" s="29">
        <f t="shared" si="29"/>
        <v>222.02</v>
      </c>
      <c r="AG20" s="29">
        <f t="shared" si="0"/>
        <v>211.43</v>
      </c>
      <c r="AH20" s="29">
        <f t="shared" si="1"/>
        <v>360</v>
      </c>
      <c r="AI20" s="30">
        <f t="shared" si="2"/>
        <v>222.02</v>
      </c>
      <c r="AJ20" s="31">
        <f t="shared" si="30"/>
        <v>0.95230159445095031</v>
      </c>
      <c r="AK20" s="29">
        <f t="shared" si="31"/>
        <v>0</v>
      </c>
      <c r="AL20" s="29">
        <f t="shared" si="32"/>
        <v>0</v>
      </c>
      <c r="AM20" s="29">
        <f t="shared" si="3"/>
        <v>0</v>
      </c>
      <c r="AN20" s="29">
        <f t="shared" si="33"/>
        <v>0</v>
      </c>
      <c r="AO20" s="29">
        <f t="shared" si="4"/>
        <v>0</v>
      </c>
      <c r="AP20" s="29">
        <f t="shared" si="34"/>
        <v>222.02</v>
      </c>
      <c r="AQ20" s="29">
        <f t="shared" si="5"/>
        <v>0</v>
      </c>
      <c r="AR20" s="29">
        <f t="shared" si="35"/>
        <v>211.43</v>
      </c>
      <c r="AS20" s="32">
        <f t="shared" si="36"/>
        <v>0.61672222222222228</v>
      </c>
      <c r="AT20" s="29">
        <f t="shared" si="6"/>
        <v>0</v>
      </c>
      <c r="AU20" s="29">
        <f t="shared" si="37"/>
        <v>360</v>
      </c>
      <c r="AV20" s="29">
        <f t="shared" si="7"/>
        <v>0</v>
      </c>
      <c r="AW20" s="30">
        <f t="shared" si="38"/>
        <v>222.02</v>
      </c>
      <c r="AX20" s="28">
        <f t="shared" si="8"/>
        <v>222.8991992</v>
      </c>
      <c r="AY20" s="29">
        <f t="shared" si="9"/>
        <v>212.2672628</v>
      </c>
      <c r="AZ20" s="29">
        <f t="shared" si="10"/>
        <v>360.23760000000004</v>
      </c>
      <c r="BA20" s="29">
        <f t="shared" si="11"/>
        <v>222.16653320000003</v>
      </c>
      <c r="BB20" s="32">
        <f t="shared" si="39"/>
        <v>0.95230159445095031</v>
      </c>
      <c r="BC20" s="29">
        <f t="shared" si="40"/>
        <v>0.7326659999999664</v>
      </c>
      <c r="BD20" s="29">
        <f t="shared" si="41"/>
        <v>3.2978111744348514E-3</v>
      </c>
      <c r="BE20" s="29">
        <f t="shared" si="12"/>
        <v>0.30892163243931542</v>
      </c>
      <c r="BF20" s="29">
        <f t="shared" si="42"/>
        <v>0.30892163243931542</v>
      </c>
      <c r="BG20" s="29">
        <f t="shared" si="13"/>
        <v>0.73183992858146152</v>
      </c>
      <c r="BH20" s="29">
        <f t="shared" si="43"/>
        <v>222.16735927141855</v>
      </c>
      <c r="BI20" s="29">
        <f t="shared" si="14"/>
        <v>-0.37257933728186449</v>
      </c>
      <c r="BJ20" s="29">
        <f t="shared" si="44"/>
        <v>211.52210412543627</v>
      </c>
      <c r="BK20" s="32">
        <f t="shared" si="45"/>
        <v>0.61672222222222228</v>
      </c>
      <c r="BL20" s="29">
        <f t="shared" si="15"/>
        <v>6.5054629835380564E-4</v>
      </c>
      <c r="BM20" s="29">
        <f t="shared" si="46"/>
        <v>360.23825054629839</v>
      </c>
      <c r="BN20" s="29">
        <f t="shared" si="16"/>
        <v>8.2607141850484563E-4</v>
      </c>
      <c r="BO20" s="30">
        <f t="shared" si="47"/>
        <v>222.16735927141855</v>
      </c>
      <c r="BP20" s="28">
        <f t="shared" si="48"/>
        <v>222.8991992</v>
      </c>
      <c r="BQ20" s="29">
        <f t="shared" si="49"/>
        <v>212.2672628</v>
      </c>
      <c r="BR20" s="29">
        <f t="shared" si="50"/>
        <v>360.23760000000004</v>
      </c>
      <c r="BS20" s="29">
        <f t="shared" si="51"/>
        <v>222.16653320000003</v>
      </c>
      <c r="BT20" s="32">
        <f t="shared" si="52"/>
        <v>0.95230159445095031</v>
      </c>
      <c r="BU20" s="29">
        <f t="shared" si="53"/>
        <v>0.7326659999999664</v>
      </c>
      <c r="BV20" s="29">
        <f t="shared" si="54"/>
        <v>3.2978111744348514E-3</v>
      </c>
      <c r="BW20" s="29">
        <f t="shared" si="19"/>
        <v>0.30892163243931542</v>
      </c>
      <c r="BX20" s="29">
        <f t="shared" si="55"/>
        <v>0.30892163243931542</v>
      </c>
      <c r="BY20" s="29">
        <f t="shared" si="20"/>
        <v>0.73183992858146152</v>
      </c>
      <c r="BZ20" s="29">
        <f t="shared" si="56"/>
        <v>222.16735927141855</v>
      </c>
      <c r="CA20" s="29">
        <f t="shared" si="22"/>
        <v>-0.37257933728186449</v>
      </c>
      <c r="CB20" s="29">
        <f t="shared" si="57"/>
        <v>211.52210412543627</v>
      </c>
      <c r="CC20" s="32">
        <f t="shared" si="58"/>
        <v>0.61672222222222228</v>
      </c>
      <c r="CD20" s="29">
        <f t="shared" si="25"/>
        <v>6.5054629835380564E-4</v>
      </c>
      <c r="CE20" s="29">
        <f t="shared" si="59"/>
        <v>360.23825054629839</v>
      </c>
      <c r="CF20" s="29">
        <f t="shared" si="27"/>
        <v>8.2607141850484563E-4</v>
      </c>
      <c r="CG20" s="30">
        <f t="shared" si="60"/>
        <v>222.16735927141855</v>
      </c>
    </row>
    <row r="21" spans="2:85" ht="15" customHeight="1" x14ac:dyDescent="0.25">
      <c r="B21" s="69" t="s">
        <v>61</v>
      </c>
      <c r="C21" s="70"/>
      <c r="D21" s="71"/>
      <c r="F21" s="69" t="s">
        <v>62</v>
      </c>
      <c r="G21" s="70"/>
      <c r="H21" s="71"/>
      <c r="J21" s="79"/>
      <c r="K21" s="72" t="str">
        <f>+AB29</f>
        <v>CENTRIFUGAL EFFECT</v>
      </c>
      <c r="L21" s="72"/>
      <c r="M21" s="72" t="str">
        <f>+AJ29</f>
        <v>INTERFERENCE</v>
      </c>
      <c r="N21" s="72"/>
      <c r="O21" s="72" t="str">
        <f>+AX29</f>
        <v>INTERFERENCE + ΔT EFFECT</v>
      </c>
      <c r="P21" s="72"/>
      <c r="Q21" s="72" t="str">
        <f>+BP29</f>
        <v>INTERFERENCE + ΔT EFFECT + WATER ABS.</v>
      </c>
      <c r="R21" s="72"/>
      <c r="T21" s="25">
        <v>0</v>
      </c>
      <c r="U21" s="26">
        <v>1</v>
      </c>
      <c r="V21" s="26">
        <v>0</v>
      </c>
      <c r="W21" s="27">
        <v>0</v>
      </c>
      <c r="X21" s="28">
        <f>+D29</f>
        <v>221.97</v>
      </c>
      <c r="Y21" s="29">
        <f>+D35</f>
        <v>211.43</v>
      </c>
      <c r="Z21" s="29">
        <f>+H29</f>
        <v>360</v>
      </c>
      <c r="AA21" s="30">
        <f>+H34</f>
        <v>222</v>
      </c>
      <c r="AB21" s="28">
        <v>0</v>
      </c>
      <c r="AC21" s="29">
        <v>0</v>
      </c>
      <c r="AD21" s="29">
        <v>0</v>
      </c>
      <c r="AE21" s="29">
        <v>0</v>
      </c>
      <c r="AF21" s="29">
        <f t="shared" si="29"/>
        <v>221.97</v>
      </c>
      <c r="AG21" s="29">
        <f t="shared" si="0"/>
        <v>211.43</v>
      </c>
      <c r="AH21" s="29">
        <f t="shared" si="1"/>
        <v>360</v>
      </c>
      <c r="AI21" s="30">
        <f t="shared" si="2"/>
        <v>222</v>
      </c>
      <c r="AJ21" s="31">
        <f t="shared" si="30"/>
        <v>0.95251610578006041</v>
      </c>
      <c r="AK21" s="29">
        <f t="shared" si="31"/>
        <v>0</v>
      </c>
      <c r="AL21" s="29">
        <f t="shared" si="32"/>
        <v>0</v>
      </c>
      <c r="AM21" s="29">
        <f t="shared" si="3"/>
        <v>-1.2642611533914749E-2</v>
      </c>
      <c r="AN21" s="29">
        <f t="shared" si="33"/>
        <v>0</v>
      </c>
      <c r="AO21" s="29">
        <f t="shared" si="4"/>
        <v>0</v>
      </c>
      <c r="AP21" s="29">
        <f t="shared" si="34"/>
        <v>221.97</v>
      </c>
      <c r="AQ21" s="29">
        <f t="shared" si="5"/>
        <v>0</v>
      </c>
      <c r="AR21" s="29">
        <f t="shared" si="35"/>
        <v>211.43</v>
      </c>
      <c r="AS21" s="32">
        <f t="shared" si="36"/>
        <v>0.6166666666666667</v>
      </c>
      <c r="AT21" s="29">
        <f t="shared" si="6"/>
        <v>0</v>
      </c>
      <c r="AU21" s="29">
        <f t="shared" si="37"/>
        <v>360</v>
      </c>
      <c r="AV21" s="29">
        <f t="shared" si="7"/>
        <v>0</v>
      </c>
      <c r="AW21" s="30">
        <f t="shared" si="38"/>
        <v>222</v>
      </c>
      <c r="AX21" s="28">
        <f t="shared" si="8"/>
        <v>222.8490012</v>
      </c>
      <c r="AY21" s="29">
        <f t="shared" si="9"/>
        <v>212.2672628</v>
      </c>
      <c r="AZ21" s="29">
        <f t="shared" si="10"/>
        <v>360.23760000000004</v>
      </c>
      <c r="BA21" s="29">
        <f t="shared" si="11"/>
        <v>222.14652000000001</v>
      </c>
      <c r="BB21" s="32">
        <f t="shared" si="39"/>
        <v>0.9525161057800603</v>
      </c>
      <c r="BC21" s="29">
        <f t="shared" si="40"/>
        <v>0.70248119999999414</v>
      </c>
      <c r="BD21" s="29">
        <f t="shared" si="41"/>
        <v>3.1622314278873446E-3</v>
      </c>
      <c r="BE21" s="29">
        <f t="shared" si="12"/>
        <v>0.29487329472334972</v>
      </c>
      <c r="BF21" s="29">
        <f t="shared" si="42"/>
        <v>0.29487329472334972</v>
      </c>
      <c r="BG21" s="29">
        <f t="shared" si="13"/>
        <v>0.701692876866021</v>
      </c>
      <c r="BH21" s="29">
        <f t="shared" si="43"/>
        <v>222.14730832313398</v>
      </c>
      <c r="BI21" s="29">
        <f t="shared" si="14"/>
        <v>-0.35720349874708995</v>
      </c>
      <c r="BJ21" s="29">
        <f t="shared" si="44"/>
        <v>211.55285580250583</v>
      </c>
      <c r="BK21" s="32">
        <f t="shared" si="45"/>
        <v>0.61666666666666659</v>
      </c>
      <c r="BL21" s="29">
        <f t="shared" si="15"/>
        <v>6.2078192271444721E-4</v>
      </c>
      <c r="BM21" s="29">
        <f t="shared" si="46"/>
        <v>360.23822078192273</v>
      </c>
      <c r="BN21" s="29">
        <f t="shared" si="16"/>
        <v>7.8832313397316834E-4</v>
      </c>
      <c r="BO21" s="30">
        <f t="shared" si="47"/>
        <v>222.14730832313398</v>
      </c>
      <c r="BP21" s="28">
        <f t="shared" si="48"/>
        <v>222.8490012</v>
      </c>
      <c r="BQ21" s="29">
        <f t="shared" si="49"/>
        <v>212.2672628</v>
      </c>
      <c r="BR21" s="29">
        <f t="shared" si="50"/>
        <v>360.23760000000004</v>
      </c>
      <c r="BS21" s="29">
        <f t="shared" si="51"/>
        <v>222.14652000000001</v>
      </c>
      <c r="BT21" s="32">
        <f t="shared" si="52"/>
        <v>0.9525161057800603</v>
      </c>
      <c r="BU21" s="29">
        <f t="shared" si="53"/>
        <v>0.70248119999999414</v>
      </c>
      <c r="BV21" s="29">
        <f t="shared" si="54"/>
        <v>3.1622314278873446E-3</v>
      </c>
      <c r="BW21" s="29">
        <f t="shared" si="19"/>
        <v>0.29487329472334972</v>
      </c>
      <c r="BX21" s="29">
        <f t="shared" si="55"/>
        <v>0.29487329472334972</v>
      </c>
      <c r="BY21" s="29">
        <f t="shared" si="20"/>
        <v>0.701692876866021</v>
      </c>
      <c r="BZ21" s="29">
        <f t="shared" si="56"/>
        <v>222.14730832313398</v>
      </c>
      <c r="CA21" s="29">
        <f t="shared" si="22"/>
        <v>-0.35720349874708995</v>
      </c>
      <c r="CB21" s="29">
        <f t="shared" si="57"/>
        <v>211.55285580250583</v>
      </c>
      <c r="CC21" s="32">
        <f t="shared" si="58"/>
        <v>0.61666666666666659</v>
      </c>
      <c r="CD21" s="29">
        <f t="shared" si="25"/>
        <v>6.2078192271444721E-4</v>
      </c>
      <c r="CE21" s="29">
        <f t="shared" si="59"/>
        <v>360.23822078192273</v>
      </c>
      <c r="CF21" s="29">
        <f t="shared" si="27"/>
        <v>7.8832313397316834E-4</v>
      </c>
      <c r="CG21" s="30">
        <f t="shared" si="60"/>
        <v>222.14730832313398</v>
      </c>
    </row>
    <row r="22" spans="2:85" ht="18" x14ac:dyDescent="0.25">
      <c r="B22" s="14" t="s">
        <v>63</v>
      </c>
      <c r="C22" s="14" t="s">
        <v>64</v>
      </c>
      <c r="D22" s="44">
        <v>0.39</v>
      </c>
      <c r="F22" s="14" t="s">
        <v>65</v>
      </c>
      <c r="G22" s="14" t="s">
        <v>64</v>
      </c>
      <c r="H22" s="44">
        <v>0.3</v>
      </c>
      <c r="J22" s="80"/>
      <c r="K22" s="72"/>
      <c r="L22" s="72"/>
      <c r="M22" s="72"/>
      <c r="N22" s="72"/>
      <c r="O22" s="72"/>
      <c r="P22" s="72"/>
      <c r="Q22" s="72"/>
      <c r="R22" s="72"/>
      <c r="T22" s="25">
        <v>0</v>
      </c>
      <c r="U22" s="26">
        <v>1</v>
      </c>
      <c r="V22" s="26">
        <v>1</v>
      </c>
      <c r="W22" s="27">
        <v>0</v>
      </c>
      <c r="X22" s="28">
        <f>+D29</f>
        <v>221.97</v>
      </c>
      <c r="Y22" s="29">
        <f>+D35</f>
        <v>211.43</v>
      </c>
      <c r="Z22" s="29">
        <f>+H30</f>
        <v>360</v>
      </c>
      <c r="AA22" s="30">
        <f>+H34</f>
        <v>222</v>
      </c>
      <c r="AB22" s="28">
        <v>0</v>
      </c>
      <c r="AC22" s="29">
        <v>0</v>
      </c>
      <c r="AD22" s="29">
        <v>0</v>
      </c>
      <c r="AE22" s="29">
        <v>0</v>
      </c>
      <c r="AF22" s="29">
        <f t="shared" si="29"/>
        <v>221.97</v>
      </c>
      <c r="AG22" s="29">
        <f t="shared" si="0"/>
        <v>211.43</v>
      </c>
      <c r="AH22" s="29">
        <f t="shared" si="1"/>
        <v>360</v>
      </c>
      <c r="AI22" s="30">
        <f t="shared" si="2"/>
        <v>222</v>
      </c>
      <c r="AJ22" s="31">
        <f t="shared" si="30"/>
        <v>0.95251610578006041</v>
      </c>
      <c r="AK22" s="29">
        <f t="shared" si="31"/>
        <v>0</v>
      </c>
      <c r="AL22" s="29">
        <f t="shared" si="32"/>
        <v>0</v>
      </c>
      <c r="AM22" s="29">
        <f t="shared" si="3"/>
        <v>-1.2642611533914749E-2</v>
      </c>
      <c r="AN22" s="29">
        <f t="shared" si="33"/>
        <v>0</v>
      </c>
      <c r="AO22" s="29">
        <f t="shared" si="4"/>
        <v>0</v>
      </c>
      <c r="AP22" s="29">
        <f t="shared" si="34"/>
        <v>221.97</v>
      </c>
      <c r="AQ22" s="29">
        <f t="shared" si="5"/>
        <v>0</v>
      </c>
      <c r="AR22" s="29">
        <f t="shared" si="35"/>
        <v>211.43</v>
      </c>
      <c r="AS22" s="32">
        <f t="shared" si="36"/>
        <v>0.6166666666666667</v>
      </c>
      <c r="AT22" s="29">
        <f t="shared" si="6"/>
        <v>0</v>
      </c>
      <c r="AU22" s="29">
        <f t="shared" si="37"/>
        <v>360</v>
      </c>
      <c r="AV22" s="29">
        <f t="shared" si="7"/>
        <v>0</v>
      </c>
      <c r="AW22" s="30">
        <f t="shared" si="38"/>
        <v>222</v>
      </c>
      <c r="AX22" s="28">
        <f t="shared" si="8"/>
        <v>222.8490012</v>
      </c>
      <c r="AY22" s="29">
        <f t="shared" si="9"/>
        <v>212.2672628</v>
      </c>
      <c r="AZ22" s="29">
        <f t="shared" si="10"/>
        <v>360.23760000000004</v>
      </c>
      <c r="BA22" s="29">
        <f t="shared" si="11"/>
        <v>222.14652000000001</v>
      </c>
      <c r="BB22" s="32">
        <f t="shared" si="39"/>
        <v>0.9525161057800603</v>
      </c>
      <c r="BC22" s="29">
        <f t="shared" si="40"/>
        <v>0.70248119999999414</v>
      </c>
      <c r="BD22" s="29">
        <f t="shared" si="41"/>
        <v>3.1622314278873446E-3</v>
      </c>
      <c r="BE22" s="29">
        <f t="shared" si="12"/>
        <v>0.29487329472334972</v>
      </c>
      <c r="BF22" s="29">
        <f t="shared" si="42"/>
        <v>0.29487329472334972</v>
      </c>
      <c r="BG22" s="29">
        <f t="shared" si="13"/>
        <v>0.701692876866021</v>
      </c>
      <c r="BH22" s="29">
        <f t="shared" si="43"/>
        <v>222.14730832313398</v>
      </c>
      <c r="BI22" s="29">
        <f t="shared" si="14"/>
        <v>-0.35720349874708995</v>
      </c>
      <c r="BJ22" s="29">
        <f t="shared" si="44"/>
        <v>211.55285580250583</v>
      </c>
      <c r="BK22" s="32">
        <f t="shared" si="45"/>
        <v>0.61666666666666659</v>
      </c>
      <c r="BL22" s="29">
        <f t="shared" si="15"/>
        <v>6.2078192271444721E-4</v>
      </c>
      <c r="BM22" s="29">
        <f t="shared" si="46"/>
        <v>360.23822078192273</v>
      </c>
      <c r="BN22" s="29">
        <f t="shared" si="16"/>
        <v>7.8832313397316834E-4</v>
      </c>
      <c r="BO22" s="30">
        <f t="shared" si="47"/>
        <v>222.14730832313398</v>
      </c>
      <c r="BP22" s="28">
        <f t="shared" si="48"/>
        <v>222.8490012</v>
      </c>
      <c r="BQ22" s="29">
        <f t="shared" si="49"/>
        <v>212.2672628</v>
      </c>
      <c r="BR22" s="29">
        <f t="shared" si="50"/>
        <v>360.23760000000004</v>
      </c>
      <c r="BS22" s="29">
        <f t="shared" si="51"/>
        <v>222.14652000000001</v>
      </c>
      <c r="BT22" s="32">
        <f t="shared" si="52"/>
        <v>0.9525161057800603</v>
      </c>
      <c r="BU22" s="29">
        <f t="shared" si="53"/>
        <v>0.70248119999999414</v>
      </c>
      <c r="BV22" s="29">
        <f t="shared" si="54"/>
        <v>3.1622314278873446E-3</v>
      </c>
      <c r="BW22" s="29">
        <f t="shared" si="19"/>
        <v>0.29487329472334972</v>
      </c>
      <c r="BX22" s="29">
        <f t="shared" si="55"/>
        <v>0.29487329472334972</v>
      </c>
      <c r="BY22" s="29">
        <f t="shared" si="20"/>
        <v>0.701692876866021</v>
      </c>
      <c r="BZ22" s="29">
        <f t="shared" si="56"/>
        <v>222.14730832313398</v>
      </c>
      <c r="CA22" s="29">
        <f t="shared" si="22"/>
        <v>-0.35720349874708995</v>
      </c>
      <c r="CB22" s="29">
        <f t="shared" si="57"/>
        <v>211.55285580250583</v>
      </c>
      <c r="CC22" s="32">
        <f t="shared" si="58"/>
        <v>0.61666666666666659</v>
      </c>
      <c r="CD22" s="29">
        <f t="shared" si="25"/>
        <v>6.2078192271444721E-4</v>
      </c>
      <c r="CE22" s="29">
        <f t="shared" si="59"/>
        <v>360.23822078192273</v>
      </c>
      <c r="CF22" s="29">
        <f t="shared" si="27"/>
        <v>7.8832313397316834E-4</v>
      </c>
      <c r="CG22" s="30">
        <f t="shared" si="60"/>
        <v>222.14730832313398</v>
      </c>
    </row>
    <row r="23" spans="2:85" ht="18" x14ac:dyDescent="0.25">
      <c r="B23" s="14" t="s">
        <v>66</v>
      </c>
      <c r="C23" s="14" t="s">
        <v>67</v>
      </c>
      <c r="D23" s="44">
        <v>1.89</v>
      </c>
      <c r="F23" s="14" t="s">
        <v>68</v>
      </c>
      <c r="G23" s="14" t="s">
        <v>67</v>
      </c>
      <c r="H23" s="44">
        <v>210</v>
      </c>
      <c r="J23" s="81"/>
      <c r="K23" s="72"/>
      <c r="L23" s="72"/>
      <c r="M23" s="72"/>
      <c r="N23" s="72"/>
      <c r="O23" s="72"/>
      <c r="P23" s="72"/>
      <c r="Q23" s="72"/>
      <c r="R23" s="72"/>
      <c r="T23" s="25">
        <v>0</v>
      </c>
      <c r="U23" s="26">
        <v>1</v>
      </c>
      <c r="V23" s="26">
        <v>0</v>
      </c>
      <c r="W23" s="27">
        <v>1</v>
      </c>
      <c r="X23" s="28">
        <f>+D29</f>
        <v>221.97</v>
      </c>
      <c r="Y23" s="29">
        <f>+D35</f>
        <v>211.43</v>
      </c>
      <c r="Z23" s="29">
        <f>+H29</f>
        <v>360</v>
      </c>
      <c r="AA23" s="30">
        <f>+H35</f>
        <v>222.02</v>
      </c>
      <c r="AB23" s="28">
        <v>0</v>
      </c>
      <c r="AC23" s="29">
        <v>0</v>
      </c>
      <c r="AD23" s="29">
        <v>0</v>
      </c>
      <c r="AE23" s="29">
        <v>0</v>
      </c>
      <c r="AF23" s="29">
        <f t="shared" si="29"/>
        <v>221.97</v>
      </c>
      <c r="AG23" s="29">
        <f t="shared" si="0"/>
        <v>211.43</v>
      </c>
      <c r="AH23" s="29">
        <f t="shared" si="1"/>
        <v>360</v>
      </c>
      <c r="AI23" s="30">
        <f t="shared" si="2"/>
        <v>222.02</v>
      </c>
      <c r="AJ23" s="31">
        <f t="shared" si="30"/>
        <v>0.95251610578006041</v>
      </c>
      <c r="AK23" s="29">
        <f t="shared" si="31"/>
        <v>0</v>
      </c>
      <c r="AL23" s="29">
        <f t="shared" si="32"/>
        <v>0</v>
      </c>
      <c r="AM23" s="29">
        <f t="shared" si="3"/>
        <v>-2.1071013735609441E-2</v>
      </c>
      <c r="AN23" s="29">
        <f t="shared" si="33"/>
        <v>0</v>
      </c>
      <c r="AO23" s="29">
        <f t="shared" si="4"/>
        <v>0</v>
      </c>
      <c r="AP23" s="29">
        <f t="shared" si="34"/>
        <v>221.97</v>
      </c>
      <c r="AQ23" s="29">
        <f t="shared" si="5"/>
        <v>0</v>
      </c>
      <c r="AR23" s="29">
        <f t="shared" si="35"/>
        <v>211.43</v>
      </c>
      <c r="AS23" s="32">
        <f t="shared" si="36"/>
        <v>0.61672222222222228</v>
      </c>
      <c r="AT23" s="29">
        <f t="shared" si="6"/>
        <v>0</v>
      </c>
      <c r="AU23" s="29">
        <f t="shared" si="37"/>
        <v>360</v>
      </c>
      <c r="AV23" s="29">
        <f t="shared" si="7"/>
        <v>0</v>
      </c>
      <c r="AW23" s="30">
        <f t="shared" si="38"/>
        <v>222.02</v>
      </c>
      <c r="AX23" s="28">
        <f t="shared" si="8"/>
        <v>222.8490012</v>
      </c>
      <c r="AY23" s="29">
        <f t="shared" si="9"/>
        <v>212.2672628</v>
      </c>
      <c r="AZ23" s="29">
        <f t="shared" si="10"/>
        <v>360.23760000000004</v>
      </c>
      <c r="BA23" s="29">
        <f t="shared" si="11"/>
        <v>222.16653320000003</v>
      </c>
      <c r="BB23" s="32">
        <f t="shared" si="39"/>
        <v>0.9525161057800603</v>
      </c>
      <c r="BC23" s="29">
        <f t="shared" si="40"/>
        <v>0.68246799999997187</v>
      </c>
      <c r="BD23" s="29">
        <f t="shared" si="41"/>
        <v>3.0718652219771303E-3</v>
      </c>
      <c r="BE23" s="29">
        <f t="shared" si="12"/>
        <v>0.28647248562011812</v>
      </c>
      <c r="BF23" s="29">
        <f t="shared" si="42"/>
        <v>0.28647248562011812</v>
      </c>
      <c r="BG23" s="29">
        <f t="shared" si="13"/>
        <v>0.68170195868816663</v>
      </c>
      <c r="BH23" s="29">
        <f t="shared" si="43"/>
        <v>222.16729924131184</v>
      </c>
      <c r="BI23" s="29">
        <f t="shared" si="14"/>
        <v>-0.34702692983536104</v>
      </c>
      <c r="BJ23" s="29">
        <f t="shared" si="44"/>
        <v>211.57320894032927</v>
      </c>
      <c r="BK23" s="32">
        <f t="shared" si="45"/>
        <v>0.61672222222222228</v>
      </c>
      <c r="BL23" s="29">
        <f t="shared" si="15"/>
        <v>6.0327149519705768E-4</v>
      </c>
      <c r="BM23" s="29">
        <f t="shared" si="46"/>
        <v>360.23820327149525</v>
      </c>
      <c r="BN23" s="29">
        <f t="shared" si="16"/>
        <v>7.6604131180520966E-4</v>
      </c>
      <c r="BO23" s="30">
        <f t="shared" si="47"/>
        <v>222.16729924131184</v>
      </c>
      <c r="BP23" s="28">
        <f t="shared" si="48"/>
        <v>222.8490012</v>
      </c>
      <c r="BQ23" s="29">
        <f t="shared" si="49"/>
        <v>212.2672628</v>
      </c>
      <c r="BR23" s="29">
        <f t="shared" si="50"/>
        <v>360.23760000000004</v>
      </c>
      <c r="BS23" s="29">
        <f t="shared" si="51"/>
        <v>222.16653320000003</v>
      </c>
      <c r="BT23" s="32">
        <f t="shared" si="52"/>
        <v>0.9525161057800603</v>
      </c>
      <c r="BU23" s="29">
        <f t="shared" si="53"/>
        <v>0.68246799999997187</v>
      </c>
      <c r="BV23" s="29">
        <f t="shared" si="54"/>
        <v>3.0718652219771303E-3</v>
      </c>
      <c r="BW23" s="29">
        <f t="shared" si="19"/>
        <v>0.28647248562011812</v>
      </c>
      <c r="BX23" s="29">
        <f t="shared" si="55"/>
        <v>0.28647248562011812</v>
      </c>
      <c r="BY23" s="29">
        <f t="shared" si="20"/>
        <v>0.68170195868816663</v>
      </c>
      <c r="BZ23" s="29">
        <f t="shared" si="56"/>
        <v>222.16729924131184</v>
      </c>
      <c r="CA23" s="29">
        <f t="shared" si="22"/>
        <v>-0.34702692983536104</v>
      </c>
      <c r="CB23" s="29">
        <f t="shared" si="57"/>
        <v>211.57320894032927</v>
      </c>
      <c r="CC23" s="32">
        <f t="shared" si="58"/>
        <v>0.61672222222222228</v>
      </c>
      <c r="CD23" s="29">
        <f t="shared" si="25"/>
        <v>6.0327149519705768E-4</v>
      </c>
      <c r="CE23" s="29">
        <f t="shared" si="59"/>
        <v>360.23820327149525</v>
      </c>
      <c r="CF23" s="29">
        <f t="shared" si="27"/>
        <v>7.6604131180520966E-4</v>
      </c>
      <c r="CG23" s="30">
        <f t="shared" si="60"/>
        <v>222.16729924131184</v>
      </c>
    </row>
    <row r="24" spans="2:85" ht="18" x14ac:dyDescent="0.25">
      <c r="B24" s="14" t="s">
        <v>69</v>
      </c>
      <c r="C24" s="14" t="s">
        <v>70</v>
      </c>
      <c r="D24" s="45">
        <v>7.2000000000000002E-5</v>
      </c>
      <c r="F24" s="14" t="s">
        <v>71</v>
      </c>
      <c r="G24" s="14" t="s">
        <v>70</v>
      </c>
      <c r="H24" s="45">
        <v>1.2E-5</v>
      </c>
      <c r="J24" s="51" t="s">
        <v>72</v>
      </c>
      <c r="K24" s="14" t="s">
        <v>73</v>
      </c>
      <c r="L24" s="14" t="s">
        <v>74</v>
      </c>
      <c r="M24" s="14" t="s">
        <v>73</v>
      </c>
      <c r="N24" s="14" t="s">
        <v>74</v>
      </c>
      <c r="O24" s="14" t="s">
        <v>73</v>
      </c>
      <c r="P24" s="14" t="s">
        <v>74</v>
      </c>
      <c r="Q24" s="14" t="s">
        <v>73</v>
      </c>
      <c r="R24" s="14" t="s">
        <v>74</v>
      </c>
      <c r="T24" s="25">
        <v>0</v>
      </c>
      <c r="U24" s="26">
        <v>1</v>
      </c>
      <c r="V24" s="26">
        <v>1</v>
      </c>
      <c r="W24" s="27">
        <v>1</v>
      </c>
      <c r="X24" s="28">
        <f>+D29</f>
        <v>221.97</v>
      </c>
      <c r="Y24" s="29">
        <f>+D35</f>
        <v>211.43</v>
      </c>
      <c r="Z24" s="29">
        <f>+H30</f>
        <v>360</v>
      </c>
      <c r="AA24" s="30">
        <f>+H35</f>
        <v>222.02</v>
      </c>
      <c r="AB24" s="28">
        <v>0</v>
      </c>
      <c r="AC24" s="29">
        <v>0</v>
      </c>
      <c r="AD24" s="29">
        <v>0</v>
      </c>
      <c r="AE24" s="29">
        <v>0</v>
      </c>
      <c r="AF24" s="29">
        <f t="shared" si="29"/>
        <v>221.97</v>
      </c>
      <c r="AG24" s="29">
        <f t="shared" si="0"/>
        <v>211.43</v>
      </c>
      <c r="AH24" s="29">
        <f t="shared" si="1"/>
        <v>360</v>
      </c>
      <c r="AI24" s="30">
        <f t="shared" si="2"/>
        <v>222.02</v>
      </c>
      <c r="AJ24" s="31">
        <f t="shared" si="30"/>
        <v>0.95251610578006041</v>
      </c>
      <c r="AK24" s="29">
        <f t="shared" si="31"/>
        <v>0</v>
      </c>
      <c r="AL24" s="29">
        <f t="shared" si="32"/>
        <v>0</v>
      </c>
      <c r="AM24" s="29">
        <f t="shared" si="3"/>
        <v>-2.1071013735609441E-2</v>
      </c>
      <c r="AN24" s="29">
        <f t="shared" si="33"/>
        <v>0</v>
      </c>
      <c r="AO24" s="29">
        <f t="shared" si="4"/>
        <v>0</v>
      </c>
      <c r="AP24" s="29">
        <f t="shared" si="34"/>
        <v>221.97</v>
      </c>
      <c r="AQ24" s="29">
        <f t="shared" si="5"/>
        <v>0</v>
      </c>
      <c r="AR24" s="29">
        <f t="shared" si="35"/>
        <v>211.43</v>
      </c>
      <c r="AS24" s="32">
        <f t="shared" si="36"/>
        <v>0.61672222222222228</v>
      </c>
      <c r="AT24" s="29">
        <f t="shared" si="6"/>
        <v>0</v>
      </c>
      <c r="AU24" s="29">
        <f t="shared" si="37"/>
        <v>360</v>
      </c>
      <c r="AV24" s="29">
        <f t="shared" si="7"/>
        <v>0</v>
      </c>
      <c r="AW24" s="30">
        <f t="shared" si="38"/>
        <v>222.02</v>
      </c>
      <c r="AX24" s="28">
        <f t="shared" si="8"/>
        <v>222.8490012</v>
      </c>
      <c r="AY24" s="29">
        <f t="shared" si="9"/>
        <v>212.2672628</v>
      </c>
      <c r="AZ24" s="29">
        <f t="shared" si="10"/>
        <v>360.23760000000004</v>
      </c>
      <c r="BA24" s="29">
        <f t="shared" si="11"/>
        <v>222.16653320000003</v>
      </c>
      <c r="BB24" s="32">
        <f t="shared" si="39"/>
        <v>0.9525161057800603</v>
      </c>
      <c r="BC24" s="29">
        <f t="shared" si="40"/>
        <v>0.68246799999997187</v>
      </c>
      <c r="BD24" s="29">
        <f t="shared" si="41"/>
        <v>3.0718652219771303E-3</v>
      </c>
      <c r="BE24" s="29">
        <f t="shared" si="12"/>
        <v>0.28647248562011812</v>
      </c>
      <c r="BF24" s="29">
        <f t="shared" si="42"/>
        <v>0.28647248562011812</v>
      </c>
      <c r="BG24" s="29">
        <f t="shared" si="13"/>
        <v>0.68170195868816663</v>
      </c>
      <c r="BH24" s="29">
        <f t="shared" si="43"/>
        <v>222.16729924131184</v>
      </c>
      <c r="BI24" s="29">
        <f t="shared" si="14"/>
        <v>-0.34702692983536104</v>
      </c>
      <c r="BJ24" s="29">
        <f t="shared" si="44"/>
        <v>211.57320894032927</v>
      </c>
      <c r="BK24" s="32">
        <f t="shared" si="45"/>
        <v>0.61672222222222228</v>
      </c>
      <c r="BL24" s="29">
        <f t="shared" si="15"/>
        <v>6.0327149519705768E-4</v>
      </c>
      <c r="BM24" s="29">
        <f t="shared" si="46"/>
        <v>360.23820327149525</v>
      </c>
      <c r="BN24" s="29">
        <f t="shared" si="16"/>
        <v>7.6604131180520966E-4</v>
      </c>
      <c r="BO24" s="30">
        <f t="shared" si="47"/>
        <v>222.16729924131184</v>
      </c>
      <c r="BP24" s="28">
        <f t="shared" si="48"/>
        <v>222.8490012</v>
      </c>
      <c r="BQ24" s="29">
        <f t="shared" si="49"/>
        <v>212.2672628</v>
      </c>
      <c r="BR24" s="29">
        <f t="shared" si="50"/>
        <v>360.23760000000004</v>
      </c>
      <c r="BS24" s="29">
        <f t="shared" si="51"/>
        <v>222.16653320000003</v>
      </c>
      <c r="BT24" s="32">
        <f t="shared" si="52"/>
        <v>0.9525161057800603</v>
      </c>
      <c r="BU24" s="29">
        <f t="shared" si="53"/>
        <v>0.68246799999997187</v>
      </c>
      <c r="BV24" s="29">
        <f t="shared" si="54"/>
        <v>3.0718652219771303E-3</v>
      </c>
      <c r="BW24" s="29">
        <f t="shared" si="19"/>
        <v>0.28647248562011812</v>
      </c>
      <c r="BX24" s="29">
        <f t="shared" si="55"/>
        <v>0.28647248562011812</v>
      </c>
      <c r="BY24" s="29">
        <f t="shared" si="20"/>
        <v>0.68170195868816663</v>
      </c>
      <c r="BZ24" s="29">
        <f t="shared" si="56"/>
        <v>222.16729924131184</v>
      </c>
      <c r="CA24" s="29">
        <f t="shared" si="22"/>
        <v>-0.34702692983536104</v>
      </c>
      <c r="CB24" s="29">
        <f t="shared" si="57"/>
        <v>211.57320894032927</v>
      </c>
      <c r="CC24" s="32">
        <f t="shared" si="58"/>
        <v>0.61672222222222228</v>
      </c>
      <c r="CD24" s="29">
        <f t="shared" si="25"/>
        <v>6.0327149519705768E-4</v>
      </c>
      <c r="CE24" s="29">
        <f t="shared" si="59"/>
        <v>360.23820327149525</v>
      </c>
      <c r="CF24" s="29">
        <f t="shared" si="27"/>
        <v>7.6604131180520966E-4</v>
      </c>
      <c r="CG24" s="30">
        <f t="shared" si="60"/>
        <v>222.16729924131184</v>
      </c>
    </row>
    <row r="25" spans="2:85" ht="18" x14ac:dyDescent="0.25">
      <c r="B25" s="14" t="s">
        <v>75</v>
      </c>
      <c r="C25" s="14" t="s">
        <v>76</v>
      </c>
      <c r="D25" s="44">
        <v>222.02</v>
      </c>
      <c r="F25" s="14" t="s">
        <v>77</v>
      </c>
      <c r="G25" s="14" t="s">
        <v>76</v>
      </c>
      <c r="H25" s="44">
        <v>360</v>
      </c>
      <c r="J25" s="51" t="str">
        <f>+B21</f>
        <v>STATOR SLEEVE / WEAR RING</v>
      </c>
      <c r="K25" s="29">
        <f>+MIN(AG12:AG27)</f>
        <v>211.38</v>
      </c>
      <c r="L25" s="29">
        <f>+MAX(AG12:AG27)</f>
        <v>211.43</v>
      </c>
      <c r="M25" s="29">
        <f>+MIN(AR12:AR27)</f>
        <v>211.35965749125484</v>
      </c>
      <c r="N25" s="29">
        <f>+MAX(AR12:AR27)</f>
        <v>211.43</v>
      </c>
      <c r="O25" s="29">
        <f>+MIN(BJ12:BJ27)</f>
        <v>211.45149277965999</v>
      </c>
      <c r="P25" s="29">
        <f>+MAX(BJ12:BJ27)</f>
        <v>211.57320894032927</v>
      </c>
      <c r="Q25" s="29">
        <f>+MIN(CB12:CB27)</f>
        <v>211.45149277965999</v>
      </c>
      <c r="R25" s="29">
        <f>+MAX(CB12:CB27)</f>
        <v>211.57320894032927</v>
      </c>
      <c r="T25" s="25">
        <v>0</v>
      </c>
      <c r="U25" s="26">
        <v>0</v>
      </c>
      <c r="V25" s="26">
        <v>1</v>
      </c>
      <c r="W25" s="27">
        <v>0</v>
      </c>
      <c r="X25" s="28">
        <f>+D29</f>
        <v>221.97</v>
      </c>
      <c r="Y25" s="29">
        <f>+D34</f>
        <v>211.38</v>
      </c>
      <c r="Z25" s="29">
        <f>+H30</f>
        <v>360</v>
      </c>
      <c r="AA25" s="30">
        <f>+H34</f>
        <v>222</v>
      </c>
      <c r="AB25" s="28">
        <v>0</v>
      </c>
      <c r="AC25" s="29">
        <v>0</v>
      </c>
      <c r="AD25" s="29">
        <v>0</v>
      </c>
      <c r="AE25" s="29">
        <v>0</v>
      </c>
      <c r="AF25" s="29">
        <f t="shared" si="29"/>
        <v>221.97</v>
      </c>
      <c r="AG25" s="29">
        <f t="shared" si="0"/>
        <v>211.38</v>
      </c>
      <c r="AH25" s="29">
        <f t="shared" si="1"/>
        <v>360</v>
      </c>
      <c r="AI25" s="30">
        <f t="shared" si="2"/>
        <v>222</v>
      </c>
      <c r="AJ25" s="31">
        <f t="shared" si="30"/>
        <v>0.95229085011488035</v>
      </c>
      <c r="AK25" s="29">
        <f t="shared" si="31"/>
        <v>0</v>
      </c>
      <c r="AL25" s="29">
        <f t="shared" si="32"/>
        <v>0</v>
      </c>
      <c r="AM25" s="29">
        <f t="shared" si="3"/>
        <v>-1.2705099389229729E-2</v>
      </c>
      <c r="AN25" s="29">
        <f t="shared" si="33"/>
        <v>0</v>
      </c>
      <c r="AO25" s="29">
        <f t="shared" si="4"/>
        <v>0</v>
      </c>
      <c r="AP25" s="29">
        <f t="shared" si="34"/>
        <v>221.97</v>
      </c>
      <c r="AQ25" s="29">
        <f t="shared" si="5"/>
        <v>0</v>
      </c>
      <c r="AR25" s="29">
        <f t="shared" si="35"/>
        <v>211.38</v>
      </c>
      <c r="AS25" s="32">
        <f t="shared" si="36"/>
        <v>0.6166666666666667</v>
      </c>
      <c r="AT25" s="29">
        <f t="shared" si="6"/>
        <v>0</v>
      </c>
      <c r="AU25" s="29">
        <f t="shared" si="37"/>
        <v>360</v>
      </c>
      <c r="AV25" s="29">
        <f t="shared" si="7"/>
        <v>0</v>
      </c>
      <c r="AW25" s="30">
        <f t="shared" si="38"/>
        <v>222</v>
      </c>
      <c r="AX25" s="28">
        <f t="shared" si="8"/>
        <v>222.8490012</v>
      </c>
      <c r="AY25" s="29">
        <f t="shared" si="9"/>
        <v>212.21706479999997</v>
      </c>
      <c r="AZ25" s="29">
        <f t="shared" si="10"/>
        <v>360.23760000000004</v>
      </c>
      <c r="BA25" s="29">
        <f t="shared" si="11"/>
        <v>222.14652000000001</v>
      </c>
      <c r="BB25" s="32">
        <f t="shared" si="39"/>
        <v>0.95229085011488024</v>
      </c>
      <c r="BC25" s="29">
        <f t="shared" si="40"/>
        <v>0.70248119999999392</v>
      </c>
      <c r="BD25" s="29">
        <f t="shared" si="41"/>
        <v>3.162231372422563E-3</v>
      </c>
      <c r="BE25" s="29">
        <f t="shared" si="12"/>
        <v>0.29633075216841104</v>
      </c>
      <c r="BF25" s="29">
        <f t="shared" si="42"/>
        <v>0.29633075216841104</v>
      </c>
      <c r="BG25" s="29">
        <f t="shared" si="13"/>
        <v>0.70168898045545636</v>
      </c>
      <c r="BH25" s="29">
        <f t="shared" si="43"/>
        <v>222.14731221954455</v>
      </c>
      <c r="BI25" s="29">
        <f t="shared" si="14"/>
        <v>-0.35723090658324091</v>
      </c>
      <c r="BJ25" s="29">
        <f t="shared" si="44"/>
        <v>211.50260298683349</v>
      </c>
      <c r="BK25" s="32">
        <f t="shared" si="45"/>
        <v>0.61666666666666659</v>
      </c>
      <c r="BL25" s="29">
        <f t="shared" si="15"/>
        <v>6.2385023460029808E-4</v>
      </c>
      <c r="BM25" s="29">
        <f t="shared" si="46"/>
        <v>360.23822385023465</v>
      </c>
      <c r="BN25" s="29">
        <f t="shared" si="16"/>
        <v>7.9221954453758108E-4</v>
      </c>
      <c r="BO25" s="30">
        <f t="shared" si="47"/>
        <v>222.14731221954455</v>
      </c>
      <c r="BP25" s="28">
        <f t="shared" si="48"/>
        <v>222.8490012</v>
      </c>
      <c r="BQ25" s="29">
        <f t="shared" si="49"/>
        <v>212.21706479999997</v>
      </c>
      <c r="BR25" s="29">
        <f t="shared" si="50"/>
        <v>360.23760000000004</v>
      </c>
      <c r="BS25" s="29">
        <f t="shared" si="51"/>
        <v>222.14652000000001</v>
      </c>
      <c r="BT25" s="32">
        <f t="shared" si="52"/>
        <v>0.95229085011488024</v>
      </c>
      <c r="BU25" s="29">
        <f t="shared" si="53"/>
        <v>0.70248119999999392</v>
      </c>
      <c r="BV25" s="29">
        <f t="shared" si="54"/>
        <v>3.162231372422563E-3</v>
      </c>
      <c r="BW25" s="29">
        <f t="shared" si="19"/>
        <v>0.29633075216841104</v>
      </c>
      <c r="BX25" s="29">
        <f t="shared" si="55"/>
        <v>0.29633075216841104</v>
      </c>
      <c r="BY25" s="29">
        <f t="shared" si="20"/>
        <v>0.70168898045545636</v>
      </c>
      <c r="BZ25" s="29">
        <f t="shared" si="56"/>
        <v>222.14731221954455</v>
      </c>
      <c r="CA25" s="29">
        <f t="shared" si="22"/>
        <v>-0.35723090658324091</v>
      </c>
      <c r="CB25" s="29">
        <f t="shared" si="57"/>
        <v>211.50260298683349</v>
      </c>
      <c r="CC25" s="32">
        <f t="shared" si="58"/>
        <v>0.61666666666666659</v>
      </c>
      <c r="CD25" s="29">
        <f t="shared" si="25"/>
        <v>6.2385023460029808E-4</v>
      </c>
      <c r="CE25" s="29">
        <f t="shared" si="59"/>
        <v>360.23822385023465</v>
      </c>
      <c r="CF25" s="29">
        <f t="shared" si="27"/>
        <v>7.9221954453758108E-4</v>
      </c>
      <c r="CG25" s="30">
        <f t="shared" si="60"/>
        <v>222.14731221954455</v>
      </c>
    </row>
    <row r="26" spans="2:85" x14ac:dyDescent="0.25">
      <c r="B26" s="14" t="s">
        <v>78</v>
      </c>
      <c r="C26" s="14" t="s">
        <v>79</v>
      </c>
      <c r="D26" s="46">
        <v>0</v>
      </c>
      <c r="F26" s="14" t="s">
        <v>78</v>
      </c>
      <c r="G26" s="14" t="s">
        <v>79</v>
      </c>
      <c r="H26" s="46">
        <v>0</v>
      </c>
      <c r="J26" s="51" t="str">
        <f>+F41</f>
        <v>ROTOR SLEEVE / IMPELLER</v>
      </c>
      <c r="K26" s="29">
        <f>+MIN(AH31:AH46)</f>
        <v>210.88367306529685</v>
      </c>
      <c r="L26" s="29">
        <f>+MAX(AH31:AH46)</f>
        <v>210.91267414943286</v>
      </c>
      <c r="M26" s="29">
        <f>+MIN(AU31:AU46)</f>
        <v>210.881</v>
      </c>
      <c r="N26" s="29">
        <f>+MAX(AU31:AU46)</f>
        <v>210.91</v>
      </c>
      <c r="O26" s="29">
        <f>+MIN(BM31:BM46)</f>
        <v>211.0262359926131</v>
      </c>
      <c r="P26" s="29">
        <f>+MAX(BM31:BM46)</f>
        <v>211.05571012169494</v>
      </c>
      <c r="Q26" s="29">
        <f>+MIN(CE31:CE46)</f>
        <v>211.0262359926131</v>
      </c>
      <c r="R26" s="29">
        <f>+MAX(CE31:CE46)</f>
        <v>211.05571012169494</v>
      </c>
      <c r="T26" s="25">
        <v>0</v>
      </c>
      <c r="U26" s="26">
        <v>0</v>
      </c>
      <c r="V26" s="26">
        <v>1</v>
      </c>
      <c r="W26" s="27">
        <v>1</v>
      </c>
      <c r="X26" s="28">
        <f>+D29</f>
        <v>221.97</v>
      </c>
      <c r="Y26" s="29">
        <f>+D34</f>
        <v>211.38</v>
      </c>
      <c r="Z26" s="29">
        <f>+H30</f>
        <v>360</v>
      </c>
      <c r="AA26" s="30">
        <f>+H35</f>
        <v>222.02</v>
      </c>
      <c r="AB26" s="28">
        <v>0</v>
      </c>
      <c r="AC26" s="29">
        <v>0</v>
      </c>
      <c r="AD26" s="29">
        <v>0</v>
      </c>
      <c r="AE26" s="29">
        <v>0</v>
      </c>
      <c r="AF26" s="29">
        <f t="shared" si="29"/>
        <v>221.97</v>
      </c>
      <c r="AG26" s="29">
        <f t="shared" si="0"/>
        <v>211.38</v>
      </c>
      <c r="AH26" s="29">
        <f t="shared" si="1"/>
        <v>360</v>
      </c>
      <c r="AI26" s="30">
        <f t="shared" si="2"/>
        <v>222.02</v>
      </c>
      <c r="AJ26" s="31">
        <f t="shared" si="30"/>
        <v>0.95229085011488035</v>
      </c>
      <c r="AK26" s="29">
        <f t="shared" si="31"/>
        <v>0</v>
      </c>
      <c r="AL26" s="29">
        <f t="shared" si="32"/>
        <v>0</v>
      </c>
      <c r="AM26" s="29">
        <f t="shared" si="3"/>
        <v>-2.1175160106754069E-2</v>
      </c>
      <c r="AN26" s="29">
        <f t="shared" si="33"/>
        <v>0</v>
      </c>
      <c r="AO26" s="29">
        <f t="shared" si="4"/>
        <v>0</v>
      </c>
      <c r="AP26" s="29">
        <f t="shared" si="34"/>
        <v>221.97</v>
      </c>
      <c r="AQ26" s="29">
        <f t="shared" si="5"/>
        <v>0</v>
      </c>
      <c r="AR26" s="29">
        <f t="shared" si="35"/>
        <v>211.38</v>
      </c>
      <c r="AS26" s="32">
        <f t="shared" si="36"/>
        <v>0.61672222222222228</v>
      </c>
      <c r="AT26" s="29">
        <f t="shared" si="6"/>
        <v>0</v>
      </c>
      <c r="AU26" s="29">
        <f t="shared" si="37"/>
        <v>360</v>
      </c>
      <c r="AV26" s="29">
        <f t="shared" si="7"/>
        <v>0</v>
      </c>
      <c r="AW26" s="30">
        <f t="shared" si="38"/>
        <v>222.02</v>
      </c>
      <c r="AX26" s="28">
        <f t="shared" si="8"/>
        <v>222.8490012</v>
      </c>
      <c r="AY26" s="29">
        <f t="shared" si="9"/>
        <v>212.21706479999997</v>
      </c>
      <c r="AZ26" s="29">
        <f t="shared" si="10"/>
        <v>360.23760000000004</v>
      </c>
      <c r="BA26" s="29">
        <f t="shared" si="11"/>
        <v>222.16653320000003</v>
      </c>
      <c r="BB26" s="32">
        <f t="shared" si="39"/>
        <v>0.95229085011488024</v>
      </c>
      <c r="BC26" s="29">
        <f t="shared" si="40"/>
        <v>0.68246799999997176</v>
      </c>
      <c r="BD26" s="29">
        <f t="shared" si="41"/>
        <v>3.0718651696249786E-3</v>
      </c>
      <c r="BE26" s="29">
        <f t="shared" si="12"/>
        <v>0.28788842038100931</v>
      </c>
      <c r="BF26" s="29">
        <f t="shared" si="42"/>
        <v>0.28788842038100931</v>
      </c>
      <c r="BG26" s="29">
        <f t="shared" si="13"/>
        <v>0.68169817240998587</v>
      </c>
      <c r="BH26" s="29">
        <f t="shared" si="43"/>
        <v>222.16730302759001</v>
      </c>
      <c r="BI26" s="29">
        <f t="shared" si="14"/>
        <v>-0.34705355638917113</v>
      </c>
      <c r="BJ26" s="29">
        <f t="shared" si="44"/>
        <v>211.52295768722163</v>
      </c>
      <c r="BK26" s="32">
        <f t="shared" si="45"/>
        <v>0.61672222222222228</v>
      </c>
      <c r="BL26" s="29">
        <f t="shared" si="15"/>
        <v>6.0625325827442708E-4</v>
      </c>
      <c r="BM26" s="29">
        <f t="shared" si="46"/>
        <v>360.23820625325834</v>
      </c>
      <c r="BN26" s="29">
        <f t="shared" si="16"/>
        <v>7.6982758998587228E-4</v>
      </c>
      <c r="BO26" s="30">
        <f t="shared" si="47"/>
        <v>222.16730302759001</v>
      </c>
      <c r="BP26" s="28">
        <f t="shared" si="48"/>
        <v>222.8490012</v>
      </c>
      <c r="BQ26" s="29">
        <f t="shared" si="49"/>
        <v>212.21706479999997</v>
      </c>
      <c r="BR26" s="29">
        <f t="shared" si="50"/>
        <v>360.23760000000004</v>
      </c>
      <c r="BS26" s="29">
        <f t="shared" si="51"/>
        <v>222.16653320000003</v>
      </c>
      <c r="BT26" s="32">
        <f t="shared" si="52"/>
        <v>0.95229085011488024</v>
      </c>
      <c r="BU26" s="29">
        <f t="shared" si="53"/>
        <v>0.68246799999997176</v>
      </c>
      <c r="BV26" s="29">
        <f t="shared" si="54"/>
        <v>3.0718651696249786E-3</v>
      </c>
      <c r="BW26" s="29">
        <f t="shared" si="19"/>
        <v>0.28788842038100931</v>
      </c>
      <c r="BX26" s="29">
        <f t="shared" si="55"/>
        <v>0.28788842038100931</v>
      </c>
      <c r="BY26" s="29">
        <f t="shared" si="20"/>
        <v>0.68169817240998587</v>
      </c>
      <c r="BZ26" s="29">
        <f t="shared" si="56"/>
        <v>222.16730302759001</v>
      </c>
      <c r="CA26" s="29">
        <f t="shared" si="22"/>
        <v>-0.34705355638917113</v>
      </c>
      <c r="CB26" s="29">
        <f t="shared" si="57"/>
        <v>211.52295768722163</v>
      </c>
      <c r="CC26" s="32">
        <f t="shared" si="58"/>
        <v>0.61672222222222228</v>
      </c>
      <c r="CD26" s="29">
        <f t="shared" si="25"/>
        <v>6.0625325827442708E-4</v>
      </c>
      <c r="CE26" s="29">
        <f t="shared" si="59"/>
        <v>360.23820625325834</v>
      </c>
      <c r="CF26" s="29">
        <f t="shared" si="27"/>
        <v>7.6982758998587228E-4</v>
      </c>
      <c r="CG26" s="30">
        <f t="shared" si="60"/>
        <v>222.16730302759001</v>
      </c>
    </row>
    <row r="27" spans="2:85" ht="18.75" thickBot="1" x14ac:dyDescent="0.3">
      <c r="B27" s="14" t="s">
        <v>80</v>
      </c>
      <c r="C27" s="14" t="s">
        <v>81</v>
      </c>
      <c r="D27" s="44">
        <v>-0.05</v>
      </c>
      <c r="F27" s="14" t="s">
        <v>80</v>
      </c>
      <c r="G27" s="14" t="s">
        <v>81</v>
      </c>
      <c r="H27" s="44">
        <v>0</v>
      </c>
      <c r="J27" s="51" t="s">
        <v>82</v>
      </c>
      <c r="K27" s="29">
        <f>+(K25-L26)/2</f>
        <v>0.2336629252835678</v>
      </c>
      <c r="L27" s="29">
        <f>+(L25-K26)/2</f>
        <v>0.27316346735157992</v>
      </c>
      <c r="M27" s="29">
        <f>+(M25-N26)/2</f>
        <v>0.22482874562741983</v>
      </c>
      <c r="N27" s="29">
        <f>+(N25-M26)/2</f>
        <v>0.2745000000000033</v>
      </c>
      <c r="O27" s="29">
        <f>+(O25-P26)/2</f>
        <v>0.19789132898252149</v>
      </c>
      <c r="P27" s="29">
        <f>+(P25-O26)/2</f>
        <v>0.27348647385808533</v>
      </c>
      <c r="Q27" s="29">
        <f>+(Q25-R26)/2</f>
        <v>0.19789132898252149</v>
      </c>
      <c r="R27" s="29">
        <f>+(R25-Q26)/2</f>
        <v>0.27348647385808533</v>
      </c>
      <c r="T27" s="34">
        <v>0</v>
      </c>
      <c r="U27" s="35">
        <v>0</v>
      </c>
      <c r="V27" s="35">
        <v>0</v>
      </c>
      <c r="W27" s="36">
        <v>1</v>
      </c>
      <c r="X27" s="37">
        <f>+D29</f>
        <v>221.97</v>
      </c>
      <c r="Y27" s="38">
        <f>+D34</f>
        <v>211.38</v>
      </c>
      <c r="Z27" s="38">
        <f>+H29</f>
        <v>360</v>
      </c>
      <c r="AA27" s="39">
        <f>+H35</f>
        <v>222.02</v>
      </c>
      <c r="AB27" s="37">
        <v>0</v>
      </c>
      <c r="AC27" s="38">
        <v>0</v>
      </c>
      <c r="AD27" s="38">
        <v>0</v>
      </c>
      <c r="AE27" s="38">
        <v>0</v>
      </c>
      <c r="AF27" s="38">
        <f t="shared" si="29"/>
        <v>221.97</v>
      </c>
      <c r="AG27" s="38">
        <f t="shared" si="0"/>
        <v>211.38</v>
      </c>
      <c r="AH27" s="38">
        <f t="shared" si="1"/>
        <v>360</v>
      </c>
      <c r="AI27" s="39">
        <f t="shared" si="2"/>
        <v>222.02</v>
      </c>
      <c r="AJ27" s="40">
        <f t="shared" si="30"/>
        <v>0.95229085011488035</v>
      </c>
      <c r="AK27" s="38">
        <f t="shared" si="31"/>
        <v>0</v>
      </c>
      <c r="AL27" s="38">
        <f t="shared" si="32"/>
        <v>0</v>
      </c>
      <c r="AM27" s="38">
        <f t="shared" si="3"/>
        <v>-2.1175160106754069E-2</v>
      </c>
      <c r="AN27" s="38">
        <f t="shared" si="33"/>
        <v>0</v>
      </c>
      <c r="AO27" s="38">
        <f t="shared" si="4"/>
        <v>0</v>
      </c>
      <c r="AP27" s="38">
        <f t="shared" si="34"/>
        <v>221.97</v>
      </c>
      <c r="AQ27" s="38">
        <f t="shared" si="5"/>
        <v>0</v>
      </c>
      <c r="AR27" s="38">
        <f t="shared" si="35"/>
        <v>211.38</v>
      </c>
      <c r="AS27" s="41">
        <f t="shared" si="36"/>
        <v>0.61672222222222228</v>
      </c>
      <c r="AT27" s="38">
        <f t="shared" si="6"/>
        <v>0</v>
      </c>
      <c r="AU27" s="38">
        <f t="shared" si="37"/>
        <v>360</v>
      </c>
      <c r="AV27" s="38">
        <f t="shared" si="7"/>
        <v>0</v>
      </c>
      <c r="AW27" s="39">
        <f t="shared" si="38"/>
        <v>222.02</v>
      </c>
      <c r="AX27" s="37">
        <f t="shared" si="8"/>
        <v>222.8490012</v>
      </c>
      <c r="AY27" s="38">
        <f t="shared" si="9"/>
        <v>212.21706479999997</v>
      </c>
      <c r="AZ27" s="38">
        <f t="shared" si="10"/>
        <v>360.23760000000004</v>
      </c>
      <c r="BA27" s="38">
        <f t="shared" si="11"/>
        <v>222.16653320000003</v>
      </c>
      <c r="BB27" s="41">
        <f t="shared" si="39"/>
        <v>0.95229085011488024</v>
      </c>
      <c r="BC27" s="38">
        <f t="shared" si="40"/>
        <v>0.68246799999997176</v>
      </c>
      <c r="BD27" s="38">
        <f t="shared" si="41"/>
        <v>3.0718651696249786E-3</v>
      </c>
      <c r="BE27" s="38">
        <f t="shared" si="12"/>
        <v>0.28788842038100931</v>
      </c>
      <c r="BF27" s="38">
        <f t="shared" si="42"/>
        <v>0.28788842038100931</v>
      </c>
      <c r="BG27" s="38">
        <f t="shared" si="13"/>
        <v>0.68169817240998587</v>
      </c>
      <c r="BH27" s="38">
        <f t="shared" si="43"/>
        <v>222.16730302759001</v>
      </c>
      <c r="BI27" s="38">
        <f t="shared" si="14"/>
        <v>-0.34705355638917113</v>
      </c>
      <c r="BJ27" s="38">
        <f t="shared" si="44"/>
        <v>211.52295768722163</v>
      </c>
      <c r="BK27" s="41">
        <f t="shared" si="45"/>
        <v>0.61672222222222228</v>
      </c>
      <c r="BL27" s="38">
        <f t="shared" si="15"/>
        <v>6.0625325827442708E-4</v>
      </c>
      <c r="BM27" s="38">
        <f t="shared" si="46"/>
        <v>360.23820625325834</v>
      </c>
      <c r="BN27" s="38">
        <f t="shared" si="16"/>
        <v>7.6982758998587228E-4</v>
      </c>
      <c r="BO27" s="39">
        <f t="shared" si="47"/>
        <v>222.16730302759001</v>
      </c>
      <c r="BP27" s="37">
        <f t="shared" si="48"/>
        <v>222.8490012</v>
      </c>
      <c r="BQ27" s="38">
        <f t="shared" si="49"/>
        <v>212.21706479999997</v>
      </c>
      <c r="BR27" s="38">
        <f t="shared" si="50"/>
        <v>360.23760000000004</v>
      </c>
      <c r="BS27" s="38">
        <f t="shared" si="51"/>
        <v>222.16653320000003</v>
      </c>
      <c r="BT27" s="41">
        <f t="shared" si="52"/>
        <v>0.95229085011488024</v>
      </c>
      <c r="BU27" s="38">
        <f t="shared" si="53"/>
        <v>0.68246799999997176</v>
      </c>
      <c r="BV27" s="38">
        <f t="shared" si="54"/>
        <v>3.0718651696249786E-3</v>
      </c>
      <c r="BW27" s="38">
        <f t="shared" si="19"/>
        <v>0.28788842038100931</v>
      </c>
      <c r="BX27" s="38">
        <f t="shared" si="55"/>
        <v>0.28788842038100931</v>
      </c>
      <c r="BY27" s="38">
        <f t="shared" si="20"/>
        <v>0.68169817240998587</v>
      </c>
      <c r="BZ27" s="38">
        <f t="shared" si="56"/>
        <v>222.16730302759001</v>
      </c>
      <c r="CA27" s="38">
        <f t="shared" si="22"/>
        <v>-0.34705355638917113</v>
      </c>
      <c r="CB27" s="38">
        <f t="shared" si="57"/>
        <v>211.52295768722163</v>
      </c>
      <c r="CC27" s="41">
        <f t="shared" si="58"/>
        <v>0.61672222222222228</v>
      </c>
      <c r="CD27" s="38">
        <f t="shared" si="25"/>
        <v>6.0625325827442708E-4</v>
      </c>
      <c r="CE27" s="38">
        <f t="shared" si="59"/>
        <v>360.23820625325834</v>
      </c>
      <c r="CF27" s="38">
        <f t="shared" si="27"/>
        <v>7.6982758998587228E-4</v>
      </c>
      <c r="CG27" s="39">
        <f t="shared" si="60"/>
        <v>222.16730302759001</v>
      </c>
    </row>
    <row r="28" spans="2:85" ht="18.75" thickBot="1" x14ac:dyDescent="0.3">
      <c r="B28" s="14" t="s">
        <v>83</v>
      </c>
      <c r="C28" s="14" t="s">
        <v>84</v>
      </c>
      <c r="D28" s="44">
        <v>0</v>
      </c>
      <c r="F28" s="14" t="s">
        <v>83</v>
      </c>
      <c r="G28" s="14" t="s">
        <v>84</v>
      </c>
      <c r="H28" s="44">
        <v>0</v>
      </c>
      <c r="J28" s="51" t="s">
        <v>85</v>
      </c>
      <c r="K28" s="52">
        <f t="shared" ref="K28:P28" si="61">+K27/$D$14</f>
        <v>0.93465170113427121</v>
      </c>
      <c r="L28" s="52">
        <f t="shared" si="61"/>
        <v>1.0926538694063197</v>
      </c>
      <c r="M28" s="52">
        <f t="shared" si="61"/>
        <v>0.89931498250967934</v>
      </c>
      <c r="N28" s="52">
        <f t="shared" si="61"/>
        <v>1.0980000000000132</v>
      </c>
      <c r="O28" s="52">
        <f t="shared" si="61"/>
        <v>0.79156531593008594</v>
      </c>
      <c r="P28" s="52">
        <f t="shared" si="61"/>
        <v>1.0939458954323413</v>
      </c>
      <c r="Q28" s="49">
        <f>+Q27/$D$14</f>
        <v>0.79156531593008594</v>
      </c>
      <c r="R28" s="49">
        <f>+R27/$D$14</f>
        <v>1.0939458954323413</v>
      </c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</row>
    <row r="29" spans="2:85" ht="18" x14ac:dyDescent="0.25">
      <c r="B29" s="14" t="s">
        <v>86</v>
      </c>
      <c r="C29" s="14" t="s">
        <v>87</v>
      </c>
      <c r="D29" s="42">
        <f>+D25+D27</f>
        <v>221.97</v>
      </c>
      <c r="F29" s="14" t="s">
        <v>88</v>
      </c>
      <c r="G29" s="14" t="s">
        <v>87</v>
      </c>
      <c r="H29" s="43">
        <f>+H25+H27</f>
        <v>360</v>
      </c>
      <c r="T29" s="76" t="s">
        <v>15</v>
      </c>
      <c r="U29" s="77"/>
      <c r="V29" s="77"/>
      <c r="W29" s="78"/>
      <c r="X29" s="76" t="s">
        <v>16</v>
      </c>
      <c r="Y29" s="77"/>
      <c r="Z29" s="77"/>
      <c r="AA29" s="78"/>
      <c r="AB29" s="76" t="s">
        <v>17</v>
      </c>
      <c r="AC29" s="77"/>
      <c r="AD29" s="77"/>
      <c r="AE29" s="77"/>
      <c r="AF29" s="77"/>
      <c r="AG29" s="77"/>
      <c r="AH29" s="77"/>
      <c r="AI29" s="78"/>
      <c r="AJ29" s="76" t="s">
        <v>18</v>
      </c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8"/>
      <c r="AX29" s="73" t="s">
        <v>19</v>
      </c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5"/>
      <c r="BP29" s="73" t="s">
        <v>20</v>
      </c>
      <c r="BQ29" s="74"/>
      <c r="BR29" s="74"/>
      <c r="BS29" s="74"/>
      <c r="BT29" s="74"/>
      <c r="BU29" s="74"/>
      <c r="BV29" s="74"/>
      <c r="BW29" s="74"/>
      <c r="BX29" s="74"/>
      <c r="BY29" s="74"/>
      <c r="BZ29" s="74"/>
      <c r="CA29" s="74"/>
      <c r="CB29" s="74"/>
      <c r="CC29" s="74"/>
      <c r="CD29" s="74"/>
      <c r="CE29" s="74"/>
      <c r="CF29" s="74"/>
      <c r="CG29" s="75"/>
    </row>
    <row r="30" spans="2:85" ht="18" x14ac:dyDescent="0.25">
      <c r="B30" s="14" t="s">
        <v>89</v>
      </c>
      <c r="C30" s="14" t="s">
        <v>90</v>
      </c>
      <c r="D30" s="42">
        <f>+D25+D28</f>
        <v>222.02</v>
      </c>
      <c r="F30" s="14" t="s">
        <v>91</v>
      </c>
      <c r="G30" s="14" t="s">
        <v>90</v>
      </c>
      <c r="H30" s="43">
        <f>+H25+H28</f>
        <v>360</v>
      </c>
      <c r="T30" s="18" t="s">
        <v>26</v>
      </c>
      <c r="U30" s="12" t="s">
        <v>27</v>
      </c>
      <c r="V30" s="12" t="s">
        <v>28</v>
      </c>
      <c r="W30" s="19" t="s">
        <v>29</v>
      </c>
      <c r="X30" s="20" t="s">
        <v>22</v>
      </c>
      <c r="Y30" s="21" t="s">
        <v>23</v>
      </c>
      <c r="Z30" s="21" t="s">
        <v>24</v>
      </c>
      <c r="AA30" s="22" t="s">
        <v>25</v>
      </c>
      <c r="AB30" s="20" t="s">
        <v>92</v>
      </c>
      <c r="AC30" s="21" t="s">
        <v>93</v>
      </c>
      <c r="AD30" s="21" t="s">
        <v>94</v>
      </c>
      <c r="AE30" s="21" t="s">
        <v>95</v>
      </c>
      <c r="AF30" s="21" t="s">
        <v>22</v>
      </c>
      <c r="AG30" s="21" t="s">
        <v>23</v>
      </c>
      <c r="AH30" s="21" t="s">
        <v>24</v>
      </c>
      <c r="AI30" s="22" t="s">
        <v>25</v>
      </c>
      <c r="AJ30" s="20" t="s">
        <v>96</v>
      </c>
      <c r="AK30" s="21" t="s">
        <v>35</v>
      </c>
      <c r="AL30" s="21" t="s">
        <v>36</v>
      </c>
      <c r="AM30" s="21" t="s">
        <v>97</v>
      </c>
      <c r="AN30" s="21" t="s">
        <v>98</v>
      </c>
      <c r="AO30" s="21" t="s">
        <v>99</v>
      </c>
      <c r="AP30" s="21" t="s">
        <v>100</v>
      </c>
      <c r="AQ30" s="21" t="s">
        <v>101</v>
      </c>
      <c r="AR30" s="21" t="s">
        <v>102</v>
      </c>
      <c r="AS30" s="21" t="s">
        <v>103</v>
      </c>
      <c r="AT30" s="21" t="s">
        <v>104</v>
      </c>
      <c r="AU30" s="21" t="s">
        <v>105</v>
      </c>
      <c r="AV30" s="21" t="s">
        <v>106</v>
      </c>
      <c r="AW30" s="22" t="s">
        <v>107</v>
      </c>
      <c r="AX30" s="23" t="s">
        <v>22</v>
      </c>
      <c r="AY30" s="24" t="s">
        <v>23</v>
      </c>
      <c r="AZ30" s="24" t="s">
        <v>24</v>
      </c>
      <c r="BA30" s="24" t="s">
        <v>25</v>
      </c>
      <c r="BB30" s="24" t="s">
        <v>96</v>
      </c>
      <c r="BC30" s="24" t="s">
        <v>35</v>
      </c>
      <c r="BD30" s="24" t="s">
        <v>36</v>
      </c>
      <c r="BE30" s="24" t="s">
        <v>97</v>
      </c>
      <c r="BF30" s="24" t="s">
        <v>98</v>
      </c>
      <c r="BG30" s="24" t="s">
        <v>99</v>
      </c>
      <c r="BH30" s="24" t="s">
        <v>100</v>
      </c>
      <c r="BI30" s="24" t="s">
        <v>101</v>
      </c>
      <c r="BJ30" s="24" t="s">
        <v>102</v>
      </c>
      <c r="BK30" s="24" t="s">
        <v>103</v>
      </c>
      <c r="BL30" s="24" t="s">
        <v>104</v>
      </c>
      <c r="BM30" s="24" t="s">
        <v>105</v>
      </c>
      <c r="BN30" s="24" t="s">
        <v>106</v>
      </c>
      <c r="BO30" s="22" t="s">
        <v>107</v>
      </c>
      <c r="BP30" s="23" t="s">
        <v>22</v>
      </c>
      <c r="BQ30" s="24" t="s">
        <v>23</v>
      </c>
      <c r="BR30" s="24" t="s">
        <v>24</v>
      </c>
      <c r="BS30" s="24" t="s">
        <v>25</v>
      </c>
      <c r="BT30" s="24" t="s">
        <v>96</v>
      </c>
      <c r="BU30" s="24" t="s">
        <v>35</v>
      </c>
      <c r="BV30" s="24" t="s">
        <v>36</v>
      </c>
      <c r="BW30" s="24" t="s">
        <v>97</v>
      </c>
      <c r="BX30" s="24" t="s">
        <v>98</v>
      </c>
      <c r="BY30" s="24" t="s">
        <v>99</v>
      </c>
      <c r="BZ30" s="24" t="s">
        <v>100</v>
      </c>
      <c r="CA30" s="24" t="s">
        <v>101</v>
      </c>
      <c r="CB30" s="24" t="s">
        <v>102</v>
      </c>
      <c r="CC30" s="24" t="s">
        <v>103</v>
      </c>
      <c r="CD30" s="24" t="s">
        <v>104</v>
      </c>
      <c r="CE30" s="24" t="s">
        <v>105</v>
      </c>
      <c r="CF30" s="24" t="s">
        <v>106</v>
      </c>
      <c r="CG30" s="22" t="s">
        <v>107</v>
      </c>
    </row>
    <row r="31" spans="2:85" ht="18" x14ac:dyDescent="0.25">
      <c r="B31" s="14" t="s">
        <v>108</v>
      </c>
      <c r="C31" s="14" t="s">
        <v>109</v>
      </c>
      <c r="D31" s="54">
        <v>211.38</v>
      </c>
      <c r="F31" s="14" t="s">
        <v>110</v>
      </c>
      <c r="G31" s="14" t="s">
        <v>109</v>
      </c>
      <c r="H31" s="44">
        <v>222</v>
      </c>
      <c r="T31" s="25">
        <v>0</v>
      </c>
      <c r="U31" s="26">
        <v>0</v>
      </c>
      <c r="V31" s="26">
        <v>0</v>
      </c>
      <c r="W31" s="27">
        <v>0</v>
      </c>
      <c r="X31" s="28">
        <f>+D50</f>
        <v>84.977999999999994</v>
      </c>
      <c r="Y31" s="29">
        <f>+D55</f>
        <v>0</v>
      </c>
      <c r="Z31" s="29">
        <f>+H50</f>
        <v>210.881</v>
      </c>
      <c r="AA31" s="30">
        <f>+H55</f>
        <v>85</v>
      </c>
      <c r="AB31" s="28">
        <f t="shared" ref="AB31:AB46" si="62">2*$D$42*$D$11^2*(X31/2000)/4/($D$44*10^9)*((1-$D$43)*(X31/2000)^2+(3+$D$43)*(Y31/2000)^2)*1000</f>
        <v>9.9048449468125687E-5</v>
      </c>
      <c r="AC31" s="29">
        <f t="shared" ref="AC31:AC46" si="63">2*$D$42*$D$11^2*(Y31/2000)/4/($D$44*10^9)*((1-$D$43)*(Y31/2000)^2+(3+$D$43)*(X31/2000)^2)*1000</f>
        <v>0</v>
      </c>
      <c r="AD31" s="29">
        <f t="shared" ref="AD31:AD46" si="64">2*$H$42*$D$11^2*(Z31/2000)/4/($H$44*10^9)*((1-$H$43)*(Z31/2000)^2+(3+$H$43)*(AA31/2000)^2)*1000</f>
        <v>2.6730652968393882E-3</v>
      </c>
      <c r="AE31" s="29">
        <f t="shared" ref="AE31:AE46" si="65">2*$H$42*$D$11^2*(AA31/2000)/4/($H$44*10^9)*((1-$H$43)*(AA31/2000)^2+(3+$H$43)*(Z31/2000)^2)*1000</f>
        <v>2.9754499935366538E-3</v>
      </c>
      <c r="AF31" s="29">
        <f>+X31+AB31</f>
        <v>84.978099048449465</v>
      </c>
      <c r="AG31" s="29">
        <f t="shared" ref="AG31:AG46" si="66">+Y31+AC31</f>
        <v>0</v>
      </c>
      <c r="AH31" s="29">
        <f t="shared" ref="AH31:AH46" si="67">+Z31+AD31</f>
        <v>210.88367306529685</v>
      </c>
      <c r="AI31" s="30">
        <f t="shared" ref="AI31:AI46" si="68">+AA31+AE31</f>
        <v>85.002975449993542</v>
      </c>
      <c r="AJ31" s="31">
        <f>AG31/AF31</f>
        <v>0</v>
      </c>
      <c r="AK31" s="29">
        <f>AO31+AV31</f>
        <v>0</v>
      </c>
      <c r="AL31" s="29">
        <f>AK31/AP31</f>
        <v>0</v>
      </c>
      <c r="AM31" s="29">
        <f>(AF31-AI31)/(AF31/$D$23/1000*((1+AJ31^2)/(1-AJ31^2)-$D$22)+AI31/$H$23/1000*((1+AS31^2)/(1-AS31^2)+$H$22))</f>
        <v>-0.88496470448127251</v>
      </c>
      <c r="AN31" s="29">
        <f>+IF(AM31&gt;0,AM31,0)</f>
        <v>0</v>
      </c>
      <c r="AO31" s="29">
        <f>AN31/$D$23/1000*AF31*((1+AJ31^2)/(1-AJ31^2)-$D$22)</f>
        <v>0</v>
      </c>
      <c r="AP31" s="29">
        <f>AF31-AO31</f>
        <v>84.978099048449465</v>
      </c>
      <c r="AQ31" s="29">
        <f>-AN31/$D$23/1000*AF31^2*AG31/(AF31^2-AG31^2)</f>
        <v>0</v>
      </c>
      <c r="AR31" s="29">
        <f>AG31+2*AQ31</f>
        <v>0</v>
      </c>
      <c r="AS31" s="32">
        <f>AI31/AH31</f>
        <v>0.40307992655113556</v>
      </c>
      <c r="AT31" s="29">
        <f>+AN31/$H$23/1000*2*AH31*AI31^2/(AH31^2-AI31^2)</f>
        <v>0</v>
      </c>
      <c r="AU31" s="29">
        <f>AH31+AT31</f>
        <v>210.88367306529685</v>
      </c>
      <c r="AV31" s="29">
        <f>AN31/$H$23/1000*AI31*((1+AS31^2)/(1-AS31^2)+$H$22)</f>
        <v>0</v>
      </c>
      <c r="AW31" s="30">
        <f>AI31+AV31</f>
        <v>85.002975449993542</v>
      </c>
      <c r="AX31" s="28">
        <f t="shared" ref="AX31:AX46" si="69">AF31*(1+$D$24*$D$38)</f>
        <v>85.31461232068132</v>
      </c>
      <c r="AY31" s="29">
        <f t="shared" ref="AY31:AY46" si="70">AG31*(1+$D$24*$D$38)</f>
        <v>0</v>
      </c>
      <c r="AZ31" s="29">
        <f t="shared" ref="AZ31:AZ46" si="71">AH31*(1+$H$24*$H$38)</f>
        <v>211.02285628951998</v>
      </c>
      <c r="BA31" s="29">
        <f t="shared" ref="BA31:BA46" si="72">AI31*(1+$H$24*$H$38)</f>
        <v>85.059077413790547</v>
      </c>
      <c r="BB31" s="32">
        <f>AY31/AX31</f>
        <v>0</v>
      </c>
      <c r="BC31" s="29">
        <f>BG31+BN31</f>
        <v>0.25553490689077307</v>
      </c>
      <c r="BD31" s="29">
        <f>BC31/BH31</f>
        <v>3.0039863622298869E-3</v>
      </c>
      <c r="BE31" s="29">
        <f t="shared" ref="BE31:BE46" si="73">(AX31-BA31)/(AX31/$D$23/1000*((1+BB31^2)/(1-BB31^2)-$D$22)+BA31/$H$23/1000*((1+BK31^2)/(1-BK31^2)+$H$22))</f>
        <v>9.0553849132592479</v>
      </c>
      <c r="BF31" s="29">
        <f>+IF(BE31&gt;0,BE31,0)</f>
        <v>9.0553849132592479</v>
      </c>
      <c r="BG31" s="29">
        <f t="shared" ref="BG31:BG46" si="74">BF31/$D$23/1000*AX31*((1+BB31^2)/(1-BB31^2)-$D$22)</f>
        <v>0.24934368174944346</v>
      </c>
      <c r="BH31" s="29">
        <f>AX31-BG31</f>
        <v>85.065268638931883</v>
      </c>
      <c r="BI31" s="29">
        <f t="shared" ref="BI31:BI46" si="75">-BF31/$D$23/1000*AX31^2*AY31/(AX31^2-AY31^2)</f>
        <v>0</v>
      </c>
      <c r="BJ31" s="29">
        <f>AY31+2*BI31</f>
        <v>0</v>
      </c>
      <c r="BK31" s="32">
        <f>BA31/AZ31</f>
        <v>0.40307992655113556</v>
      </c>
      <c r="BL31" s="29">
        <f t="shared" ref="BL31:BL46" si="76">+BF31/$H$23/1000*2*AZ31*BA31^2/(AZ31^2-BA31^2)</f>
        <v>3.5304564600284866E-3</v>
      </c>
      <c r="BM31" s="29">
        <f>AZ31+BL31</f>
        <v>211.02638674598001</v>
      </c>
      <c r="BN31" s="29">
        <f t="shared" ref="BN31:BN46" si="77">BF31/$H$23/1000*BA31*((1+BK31^2)/(1-BK31^2)+$H$22)</f>
        <v>6.1912251413296275E-3</v>
      </c>
      <c r="BO31" s="30">
        <f>BA31+BN31</f>
        <v>85.065268638931883</v>
      </c>
      <c r="BP31" s="28">
        <f>AX31*(1+$D$26/100/3)</f>
        <v>85.31461232068132</v>
      </c>
      <c r="BQ31" s="29">
        <f>AY31*(1+$D$26/100/3)</f>
        <v>0</v>
      </c>
      <c r="BR31" s="29">
        <f>AZ31*(1+$H$26/100/3)</f>
        <v>211.02285628951998</v>
      </c>
      <c r="BS31" s="29">
        <f>BA31*(1+$H$26/100/3)</f>
        <v>85.059077413790547</v>
      </c>
      <c r="BT31" s="32">
        <f>BQ31/BP31</f>
        <v>0</v>
      </c>
      <c r="BU31" s="29">
        <f t="shared" ref="BU31" si="78">BY31+CF31</f>
        <v>0.25553490689077307</v>
      </c>
      <c r="BV31" s="29">
        <f t="shared" ref="BV31" si="79">BU31/BZ31</f>
        <v>3.0039863622298869E-3</v>
      </c>
      <c r="BW31" s="29">
        <f t="shared" ref="BW31:BW46" si="80">(BP31-BS31)/(BP31/$D$23/1000*((1+BT31^2)/(1-BT31^2)-$D$22)+BS31/$H$23/1000*((1+CC31^2)/(1-CC31^2)+$H$22))</f>
        <v>9.0553849132592479</v>
      </c>
      <c r="BX31" s="29">
        <f>+IF(BW31&gt;0,BW31,0)</f>
        <v>9.0553849132592479</v>
      </c>
      <c r="BY31" s="29">
        <f t="shared" ref="BY31:BY46" si="81">BX31/$D$23/1000*BP31*((1+BT31^2)/(1-BT31^2)-$D$22)</f>
        <v>0.24934368174944346</v>
      </c>
      <c r="BZ31" s="29">
        <f t="shared" ref="BZ31" si="82">BP31-BY31</f>
        <v>85.065268638931883</v>
      </c>
      <c r="CA31" s="29">
        <f t="shared" ref="CA31:CA46" si="83">-BX31/$D$23/1000*BP31^2*BQ31/(BP31^2-BQ31^2)</f>
        <v>0</v>
      </c>
      <c r="CB31" s="29">
        <f t="shared" ref="CB31" si="84">BQ31+2*CA31</f>
        <v>0</v>
      </c>
      <c r="CC31" s="32">
        <f t="shared" ref="CC31" si="85">BS31/BR31</f>
        <v>0.40307992655113556</v>
      </c>
      <c r="CD31" s="29">
        <f t="shared" ref="CD31:CD46" si="86">+BX31/$H$23/1000*2*BR31*BS31^2/(BR31^2-BS31^2)</f>
        <v>3.5304564600284866E-3</v>
      </c>
      <c r="CE31" s="29">
        <f t="shared" ref="CE31" si="87">BR31+CD31</f>
        <v>211.02638674598001</v>
      </c>
      <c r="CF31" s="29">
        <f t="shared" ref="CF31:CF46" si="88">BX31/$H$23/1000*BS31*((1+CC31^2)/(1-CC31^2)+$H$22)</f>
        <v>6.1912251413296275E-3</v>
      </c>
      <c r="CG31" s="30">
        <f t="shared" ref="CG31" si="89">BS31+CF31</f>
        <v>85.065268638931883</v>
      </c>
    </row>
    <row r="32" spans="2:85" ht="18" x14ac:dyDescent="0.25">
      <c r="B32" s="14" t="s">
        <v>80</v>
      </c>
      <c r="C32" s="14" t="s">
        <v>81</v>
      </c>
      <c r="D32" s="44">
        <v>0</v>
      </c>
      <c r="F32" s="14" t="s">
        <v>80</v>
      </c>
      <c r="G32" s="14" t="s">
        <v>81</v>
      </c>
      <c r="H32" s="44">
        <v>0</v>
      </c>
      <c r="T32" s="25">
        <v>1</v>
      </c>
      <c r="U32" s="26">
        <v>0</v>
      </c>
      <c r="V32" s="26">
        <v>0</v>
      </c>
      <c r="W32" s="27">
        <v>0</v>
      </c>
      <c r="X32" s="28">
        <f>+D51</f>
        <v>85</v>
      </c>
      <c r="Y32" s="29">
        <f>+D55</f>
        <v>0</v>
      </c>
      <c r="Z32" s="29">
        <f>+H50</f>
        <v>210.881</v>
      </c>
      <c r="AA32" s="30">
        <f>+H55</f>
        <v>85</v>
      </c>
      <c r="AB32" s="28">
        <f t="shared" si="62"/>
        <v>9.9125397504435777E-5</v>
      </c>
      <c r="AC32" s="29">
        <f t="shared" si="63"/>
        <v>0</v>
      </c>
      <c r="AD32" s="29">
        <f t="shared" si="64"/>
        <v>2.6730652968393882E-3</v>
      </c>
      <c r="AE32" s="29">
        <f t="shared" si="65"/>
        <v>2.9754499935366538E-3</v>
      </c>
      <c r="AF32" s="29">
        <f t="shared" ref="AF32:AF46" si="90">+X32+AB32</f>
        <v>85.000099125397497</v>
      </c>
      <c r="AG32" s="29">
        <f t="shared" si="66"/>
        <v>0</v>
      </c>
      <c r="AH32" s="29">
        <f t="shared" si="67"/>
        <v>210.88367306529685</v>
      </c>
      <c r="AI32" s="30">
        <f t="shared" si="68"/>
        <v>85.002975449993542</v>
      </c>
      <c r="AJ32" s="31">
        <f t="shared" ref="AJ32:AJ46" si="91">Y32/X32</f>
        <v>0</v>
      </c>
      <c r="AK32" s="29">
        <f t="shared" ref="AK32:AK46" si="92">AO32+AV32</f>
        <v>0</v>
      </c>
      <c r="AL32" s="29">
        <f t="shared" ref="AL32:AL46" si="93">AK32/AP32</f>
        <v>0</v>
      </c>
      <c r="AM32" s="29">
        <f t="shared" ref="AM32:AM46" si="94">(X32-AA32)/(X32/$D$23/1000*((1+AJ32^2)/(1-AJ32^2)-$D$22)+AA32/$H$23/1000*((1+AS32^2)/(1-AS32^2)+$H$22))</f>
        <v>0</v>
      </c>
      <c r="AN32" s="29">
        <f t="shared" ref="AN32:AN46" si="95">+IF(AM32&gt;0,AM32,0)</f>
        <v>0</v>
      </c>
      <c r="AO32" s="29">
        <f t="shared" ref="AO32:AO46" si="96">AN32/$D$23/1000*X32*((1+AJ32^2)/(1-AJ32^2)-$D$22)</f>
        <v>0</v>
      </c>
      <c r="AP32" s="29">
        <f t="shared" ref="AP32:AP46" si="97">X32-AO32</f>
        <v>85</v>
      </c>
      <c r="AQ32" s="29">
        <f t="shared" ref="AQ32:AQ46" si="98">-AN32/$D$23/1000*X32^2*Y32/(X32^2-Y32^2)</f>
        <v>0</v>
      </c>
      <c r="AR32" s="29">
        <f t="shared" ref="AR32:AR46" si="99">Y32+2*AQ32</f>
        <v>0</v>
      </c>
      <c r="AS32" s="32">
        <f t="shared" ref="AS32:AS46" si="100">AA32/Z32</f>
        <v>0.40307092625698854</v>
      </c>
      <c r="AT32" s="29">
        <f t="shared" ref="AT32:AT46" si="101">+AN32/$H$23/1000*2*Z32*AA32^2/(Z32^2-AA32^2)</f>
        <v>0</v>
      </c>
      <c r="AU32" s="29">
        <f t="shared" ref="AU32:AU46" si="102">Z32+AT32</f>
        <v>210.881</v>
      </c>
      <c r="AV32" s="29">
        <f t="shared" ref="AV32:AV46" si="103">AN32/$H$23/1000*AA32*((1+AS32^2)/(1-AS32^2)+$H$22)</f>
        <v>0</v>
      </c>
      <c r="AW32" s="30">
        <f t="shared" ref="AW32:AW46" si="104">AA32+AV32</f>
        <v>85</v>
      </c>
      <c r="AX32" s="28">
        <f t="shared" si="69"/>
        <v>85.336699517934065</v>
      </c>
      <c r="AY32" s="29">
        <f t="shared" si="70"/>
        <v>0</v>
      </c>
      <c r="AZ32" s="29">
        <f t="shared" si="71"/>
        <v>211.02285628951998</v>
      </c>
      <c r="BA32" s="29">
        <f t="shared" si="72"/>
        <v>85.059077413790547</v>
      </c>
      <c r="BB32" s="32">
        <f t="shared" ref="BB32:BB46" si="105">AY32/AX32</f>
        <v>0</v>
      </c>
      <c r="BC32" s="29">
        <f t="shared" ref="BC32:BC46" si="106">BG32+BN32</f>
        <v>0.27762210414351784</v>
      </c>
      <c r="BD32" s="29">
        <f t="shared" ref="BD32:BD46" si="107">BC32/BH32</f>
        <v>3.2636158991799758E-3</v>
      </c>
      <c r="BE32" s="29">
        <f t="shared" si="73"/>
        <v>9.8356037833606784</v>
      </c>
      <c r="BF32" s="29">
        <f t="shared" ref="BF32:BF46" si="108">+IF(BE32&gt;0,BE32,0)</f>
        <v>9.8356037833606784</v>
      </c>
      <c r="BG32" s="29">
        <f t="shared" si="74"/>
        <v>0.27089743832235152</v>
      </c>
      <c r="BH32" s="29">
        <f t="shared" ref="BH32:BH46" si="109">AX32-BG32</f>
        <v>85.065802079611714</v>
      </c>
      <c r="BI32" s="29">
        <f t="shared" si="75"/>
        <v>0</v>
      </c>
      <c r="BJ32" s="29">
        <f t="shared" ref="BJ32:BJ46" si="110">AY32+2*BI32</f>
        <v>0</v>
      </c>
      <c r="BK32" s="32">
        <f t="shared" ref="BK32:BK46" si="111">BA32/AZ32</f>
        <v>0.40307992655113556</v>
      </c>
      <c r="BL32" s="29">
        <f t="shared" si="76"/>
        <v>3.8346432810825999E-3</v>
      </c>
      <c r="BM32" s="29">
        <f t="shared" ref="BM32:BM46" si="112">AZ32+BL32</f>
        <v>211.02669093280107</v>
      </c>
      <c r="BN32" s="29">
        <f t="shared" si="77"/>
        <v>6.7246658211663011E-3</v>
      </c>
      <c r="BO32" s="30">
        <f t="shared" ref="BO32:BO46" si="113">BA32+BN32</f>
        <v>85.065802079611714</v>
      </c>
      <c r="BP32" s="28">
        <f t="shared" ref="BP32:BP46" si="114">AX32*(1+$D$26/100/3)</f>
        <v>85.336699517934065</v>
      </c>
      <c r="BQ32" s="29">
        <f t="shared" ref="BQ32:BQ46" si="115">AY32*(1+$D$26/100/3)</f>
        <v>0</v>
      </c>
      <c r="BR32" s="29">
        <f t="shared" ref="BR32:BR46" si="116">AZ32*(1+$H$26/100/3)</f>
        <v>211.02285628951998</v>
      </c>
      <c r="BS32" s="29">
        <f t="shared" ref="BS32:BS46" si="117">BA32*(1+$H$26/100/3)</f>
        <v>85.059077413790547</v>
      </c>
      <c r="BT32" s="32">
        <f t="shared" ref="BT32:BT46" si="118">BQ32/BP32</f>
        <v>0</v>
      </c>
      <c r="BU32" s="29">
        <f t="shared" ref="BU32:BU46" si="119">BY32+CF32</f>
        <v>0.27762210414351784</v>
      </c>
      <c r="BV32" s="29">
        <f t="shared" ref="BV32:BV46" si="120">BU32/BZ32</f>
        <v>3.2636158991799758E-3</v>
      </c>
      <c r="BW32" s="29">
        <f t="shared" si="80"/>
        <v>9.8356037833606784</v>
      </c>
      <c r="BX32" s="29">
        <f t="shared" ref="BX32:BX46" si="121">+IF(BW32&gt;0,BW32,0)</f>
        <v>9.8356037833606784</v>
      </c>
      <c r="BY32" s="29">
        <f t="shared" si="81"/>
        <v>0.27089743832235152</v>
      </c>
      <c r="BZ32" s="29">
        <f t="shared" ref="BZ32:BZ46" si="122">BP32-BY32</f>
        <v>85.065802079611714</v>
      </c>
      <c r="CA32" s="29">
        <f t="shared" si="83"/>
        <v>0</v>
      </c>
      <c r="CB32" s="29">
        <f t="shared" ref="CB32:CB46" si="123">BQ32+2*CA32</f>
        <v>0</v>
      </c>
      <c r="CC32" s="32">
        <f t="shared" ref="CC32:CC46" si="124">BS32/BR32</f>
        <v>0.40307992655113556</v>
      </c>
      <c r="CD32" s="29">
        <f t="shared" si="86"/>
        <v>3.8346432810825999E-3</v>
      </c>
      <c r="CE32" s="29">
        <f t="shared" ref="CE32:CE46" si="125">BR32+CD32</f>
        <v>211.02669093280107</v>
      </c>
      <c r="CF32" s="29">
        <f t="shared" si="88"/>
        <v>6.7246658211663011E-3</v>
      </c>
      <c r="CG32" s="30">
        <f t="shared" ref="CG32:CG46" si="126">BS32+CF32</f>
        <v>85.065802079611714</v>
      </c>
    </row>
    <row r="33" spans="2:85" ht="18" x14ac:dyDescent="0.25">
      <c r="B33" s="14" t="s">
        <v>83</v>
      </c>
      <c r="C33" s="14" t="s">
        <v>84</v>
      </c>
      <c r="D33" s="44">
        <v>0.05</v>
      </c>
      <c r="F33" s="14" t="s">
        <v>83</v>
      </c>
      <c r="G33" s="14" t="s">
        <v>84</v>
      </c>
      <c r="H33" s="44">
        <v>0.02</v>
      </c>
      <c r="T33" s="25">
        <v>1</v>
      </c>
      <c r="U33" s="26">
        <v>1</v>
      </c>
      <c r="V33" s="26">
        <v>0</v>
      </c>
      <c r="W33" s="27">
        <v>0</v>
      </c>
      <c r="X33" s="28">
        <f>+D51</f>
        <v>85</v>
      </c>
      <c r="Y33" s="29">
        <f>+D56</f>
        <v>0</v>
      </c>
      <c r="Z33" s="29">
        <f>+H50</f>
        <v>210.881</v>
      </c>
      <c r="AA33" s="30">
        <f>+H55</f>
        <v>85</v>
      </c>
      <c r="AB33" s="28">
        <f t="shared" si="62"/>
        <v>9.9125397504435777E-5</v>
      </c>
      <c r="AC33" s="29">
        <f t="shared" si="63"/>
        <v>0</v>
      </c>
      <c r="AD33" s="29">
        <f t="shared" si="64"/>
        <v>2.6730652968393882E-3</v>
      </c>
      <c r="AE33" s="29">
        <f t="shared" si="65"/>
        <v>2.9754499935366538E-3</v>
      </c>
      <c r="AF33" s="29">
        <f t="shared" si="90"/>
        <v>85.000099125397497</v>
      </c>
      <c r="AG33" s="29">
        <f t="shared" si="66"/>
        <v>0</v>
      </c>
      <c r="AH33" s="29">
        <f t="shared" si="67"/>
        <v>210.88367306529685</v>
      </c>
      <c r="AI33" s="30">
        <f t="shared" si="68"/>
        <v>85.002975449993542</v>
      </c>
      <c r="AJ33" s="31">
        <f t="shared" si="91"/>
        <v>0</v>
      </c>
      <c r="AK33" s="29">
        <f t="shared" si="92"/>
        <v>0</v>
      </c>
      <c r="AL33" s="29">
        <f t="shared" si="93"/>
        <v>0</v>
      </c>
      <c r="AM33" s="29">
        <f t="shared" si="94"/>
        <v>0</v>
      </c>
      <c r="AN33" s="29">
        <f t="shared" si="95"/>
        <v>0</v>
      </c>
      <c r="AO33" s="29">
        <f t="shared" si="96"/>
        <v>0</v>
      </c>
      <c r="AP33" s="29">
        <f t="shared" si="97"/>
        <v>85</v>
      </c>
      <c r="AQ33" s="29">
        <f t="shared" si="98"/>
        <v>0</v>
      </c>
      <c r="AR33" s="29">
        <f t="shared" si="99"/>
        <v>0</v>
      </c>
      <c r="AS33" s="32">
        <f t="shared" si="100"/>
        <v>0.40307092625698854</v>
      </c>
      <c r="AT33" s="29">
        <f t="shared" si="101"/>
        <v>0</v>
      </c>
      <c r="AU33" s="29">
        <f t="shared" si="102"/>
        <v>210.881</v>
      </c>
      <c r="AV33" s="29">
        <f t="shared" si="103"/>
        <v>0</v>
      </c>
      <c r="AW33" s="30">
        <f t="shared" si="104"/>
        <v>85</v>
      </c>
      <c r="AX33" s="28">
        <f t="shared" si="69"/>
        <v>85.336699517934065</v>
      </c>
      <c r="AY33" s="29">
        <f t="shared" si="70"/>
        <v>0</v>
      </c>
      <c r="AZ33" s="29">
        <f t="shared" si="71"/>
        <v>211.02285628951998</v>
      </c>
      <c r="BA33" s="29">
        <f t="shared" si="72"/>
        <v>85.059077413790547</v>
      </c>
      <c r="BB33" s="32">
        <f t="shared" si="105"/>
        <v>0</v>
      </c>
      <c r="BC33" s="29">
        <f t="shared" si="106"/>
        <v>0.27762210414351784</v>
      </c>
      <c r="BD33" s="29">
        <f t="shared" si="107"/>
        <v>3.2636158991799758E-3</v>
      </c>
      <c r="BE33" s="29">
        <f t="shared" si="73"/>
        <v>9.8356037833606784</v>
      </c>
      <c r="BF33" s="29">
        <f t="shared" si="108"/>
        <v>9.8356037833606784</v>
      </c>
      <c r="BG33" s="29">
        <f t="shared" si="74"/>
        <v>0.27089743832235152</v>
      </c>
      <c r="BH33" s="29">
        <f t="shared" si="109"/>
        <v>85.065802079611714</v>
      </c>
      <c r="BI33" s="29">
        <f t="shared" si="75"/>
        <v>0</v>
      </c>
      <c r="BJ33" s="29">
        <f t="shared" si="110"/>
        <v>0</v>
      </c>
      <c r="BK33" s="32">
        <f t="shared" si="111"/>
        <v>0.40307992655113556</v>
      </c>
      <c r="BL33" s="29">
        <f t="shared" si="76"/>
        <v>3.8346432810825999E-3</v>
      </c>
      <c r="BM33" s="29">
        <f t="shared" si="112"/>
        <v>211.02669093280107</v>
      </c>
      <c r="BN33" s="29">
        <f t="shared" si="77"/>
        <v>6.7246658211663011E-3</v>
      </c>
      <c r="BO33" s="30">
        <f t="shared" si="113"/>
        <v>85.065802079611714</v>
      </c>
      <c r="BP33" s="28">
        <f t="shared" si="114"/>
        <v>85.336699517934065</v>
      </c>
      <c r="BQ33" s="29">
        <f t="shared" si="115"/>
        <v>0</v>
      </c>
      <c r="BR33" s="29">
        <f t="shared" si="116"/>
        <v>211.02285628951998</v>
      </c>
      <c r="BS33" s="29">
        <f t="shared" si="117"/>
        <v>85.059077413790547</v>
      </c>
      <c r="BT33" s="32">
        <f t="shared" si="118"/>
        <v>0</v>
      </c>
      <c r="BU33" s="29">
        <f t="shared" si="119"/>
        <v>0.27762210414351784</v>
      </c>
      <c r="BV33" s="29">
        <f t="shared" si="120"/>
        <v>3.2636158991799758E-3</v>
      </c>
      <c r="BW33" s="29">
        <f t="shared" si="80"/>
        <v>9.8356037833606784</v>
      </c>
      <c r="BX33" s="29">
        <f t="shared" si="121"/>
        <v>9.8356037833606784</v>
      </c>
      <c r="BY33" s="29">
        <f t="shared" si="81"/>
        <v>0.27089743832235152</v>
      </c>
      <c r="BZ33" s="29">
        <f t="shared" si="122"/>
        <v>85.065802079611714</v>
      </c>
      <c r="CA33" s="29">
        <f t="shared" si="83"/>
        <v>0</v>
      </c>
      <c r="CB33" s="29">
        <f t="shared" si="123"/>
        <v>0</v>
      </c>
      <c r="CC33" s="32">
        <f t="shared" si="124"/>
        <v>0.40307992655113556</v>
      </c>
      <c r="CD33" s="29">
        <f t="shared" si="86"/>
        <v>3.8346432810825999E-3</v>
      </c>
      <c r="CE33" s="29">
        <f t="shared" si="125"/>
        <v>211.02669093280107</v>
      </c>
      <c r="CF33" s="29">
        <f t="shared" si="88"/>
        <v>6.7246658211663011E-3</v>
      </c>
      <c r="CG33" s="30">
        <f t="shared" si="126"/>
        <v>85.065802079611714</v>
      </c>
    </row>
    <row r="34" spans="2:85" ht="18" x14ac:dyDescent="0.25">
      <c r="B34" s="14" t="s">
        <v>111</v>
      </c>
      <c r="C34" s="14" t="s">
        <v>112</v>
      </c>
      <c r="D34" s="42">
        <f>+D31+D32</f>
        <v>211.38</v>
      </c>
      <c r="F34" s="14" t="s">
        <v>113</v>
      </c>
      <c r="G34" s="14" t="s">
        <v>112</v>
      </c>
      <c r="H34" s="43">
        <f>+H31+H32</f>
        <v>222</v>
      </c>
      <c r="T34" s="25">
        <v>1</v>
      </c>
      <c r="U34" s="26">
        <v>0</v>
      </c>
      <c r="V34" s="26">
        <v>1</v>
      </c>
      <c r="W34" s="27">
        <v>0</v>
      </c>
      <c r="X34" s="28">
        <f>+D51</f>
        <v>85</v>
      </c>
      <c r="Y34" s="29">
        <f>+D55</f>
        <v>0</v>
      </c>
      <c r="Z34" s="29">
        <f>+H51</f>
        <v>210.91</v>
      </c>
      <c r="AA34" s="30">
        <f>+H55</f>
        <v>85</v>
      </c>
      <c r="AB34" s="28">
        <f t="shared" si="62"/>
        <v>9.9125397504435777E-5</v>
      </c>
      <c r="AC34" s="29">
        <f t="shared" si="63"/>
        <v>0</v>
      </c>
      <c r="AD34" s="29">
        <f t="shared" si="64"/>
        <v>2.6738493017911054E-3</v>
      </c>
      <c r="AE34" s="29">
        <f t="shared" si="65"/>
        <v>2.9762411425611839E-3</v>
      </c>
      <c r="AF34" s="29">
        <f t="shared" si="90"/>
        <v>85.000099125397497</v>
      </c>
      <c r="AG34" s="29">
        <f t="shared" si="66"/>
        <v>0</v>
      </c>
      <c r="AH34" s="29">
        <f t="shared" si="67"/>
        <v>210.9126738493018</v>
      </c>
      <c r="AI34" s="30">
        <f t="shared" si="68"/>
        <v>85.002976241142562</v>
      </c>
      <c r="AJ34" s="31">
        <f t="shared" si="91"/>
        <v>0</v>
      </c>
      <c r="AK34" s="29">
        <f t="shared" si="92"/>
        <v>0</v>
      </c>
      <c r="AL34" s="29">
        <f t="shared" si="93"/>
        <v>0</v>
      </c>
      <c r="AM34" s="29">
        <f t="shared" si="94"/>
        <v>0</v>
      </c>
      <c r="AN34" s="29">
        <f t="shared" si="95"/>
        <v>0</v>
      </c>
      <c r="AO34" s="29">
        <f t="shared" si="96"/>
        <v>0</v>
      </c>
      <c r="AP34" s="29">
        <f t="shared" si="97"/>
        <v>85</v>
      </c>
      <c r="AQ34" s="29">
        <f t="shared" si="98"/>
        <v>0</v>
      </c>
      <c r="AR34" s="29">
        <f t="shared" si="99"/>
        <v>0</v>
      </c>
      <c r="AS34" s="32">
        <f t="shared" si="100"/>
        <v>0.40301550424351618</v>
      </c>
      <c r="AT34" s="29">
        <f t="shared" si="101"/>
        <v>0</v>
      </c>
      <c r="AU34" s="29">
        <f t="shared" si="102"/>
        <v>210.91</v>
      </c>
      <c r="AV34" s="29">
        <f t="shared" si="103"/>
        <v>0</v>
      </c>
      <c r="AW34" s="30">
        <f t="shared" si="104"/>
        <v>85</v>
      </c>
      <c r="AX34" s="28">
        <f t="shared" si="69"/>
        <v>85.336699517934065</v>
      </c>
      <c r="AY34" s="29">
        <f t="shared" si="70"/>
        <v>0</v>
      </c>
      <c r="AZ34" s="29">
        <f t="shared" si="71"/>
        <v>211.05187621404235</v>
      </c>
      <c r="BA34" s="29">
        <f t="shared" si="72"/>
        <v>85.059078205461731</v>
      </c>
      <c r="BB34" s="32">
        <f t="shared" si="105"/>
        <v>0</v>
      </c>
      <c r="BC34" s="29">
        <f t="shared" si="106"/>
        <v>0.27762131247233413</v>
      </c>
      <c r="BD34" s="29">
        <f t="shared" si="107"/>
        <v>3.2636065819624631E-3</v>
      </c>
      <c r="BE34" s="29">
        <f t="shared" si="73"/>
        <v>9.8355937108566778</v>
      </c>
      <c r="BF34" s="29">
        <f t="shared" si="108"/>
        <v>9.8355937108566778</v>
      </c>
      <c r="BG34" s="29">
        <f t="shared" si="74"/>
        <v>0.27089716090008126</v>
      </c>
      <c r="BH34" s="29">
        <f t="shared" si="109"/>
        <v>85.065802357033988</v>
      </c>
      <c r="BI34" s="29">
        <f t="shared" si="75"/>
        <v>0</v>
      </c>
      <c r="BJ34" s="29">
        <f t="shared" si="110"/>
        <v>0</v>
      </c>
      <c r="BK34" s="32">
        <f t="shared" si="111"/>
        <v>0.4030245062555019</v>
      </c>
      <c r="BL34" s="29">
        <f t="shared" si="76"/>
        <v>3.8339076525843677E-3</v>
      </c>
      <c r="BM34" s="29">
        <f t="shared" si="112"/>
        <v>211.05571012169494</v>
      </c>
      <c r="BN34" s="29">
        <f t="shared" si="77"/>
        <v>6.7241515722528495E-3</v>
      </c>
      <c r="BO34" s="30">
        <f t="shared" si="113"/>
        <v>85.065802357033988</v>
      </c>
      <c r="BP34" s="28">
        <f t="shared" si="114"/>
        <v>85.336699517934065</v>
      </c>
      <c r="BQ34" s="29">
        <f t="shared" si="115"/>
        <v>0</v>
      </c>
      <c r="BR34" s="29">
        <f t="shared" si="116"/>
        <v>211.05187621404235</v>
      </c>
      <c r="BS34" s="29">
        <f t="shared" si="117"/>
        <v>85.059078205461731</v>
      </c>
      <c r="BT34" s="32">
        <f t="shared" si="118"/>
        <v>0</v>
      </c>
      <c r="BU34" s="29">
        <f t="shared" si="119"/>
        <v>0.27762131247233413</v>
      </c>
      <c r="BV34" s="29">
        <f t="shared" si="120"/>
        <v>3.2636065819624631E-3</v>
      </c>
      <c r="BW34" s="29">
        <f t="shared" si="80"/>
        <v>9.8355937108566778</v>
      </c>
      <c r="BX34" s="29">
        <f t="shared" si="121"/>
        <v>9.8355937108566778</v>
      </c>
      <c r="BY34" s="29">
        <f t="shared" si="81"/>
        <v>0.27089716090008126</v>
      </c>
      <c r="BZ34" s="29">
        <f t="shared" si="122"/>
        <v>85.065802357033988</v>
      </c>
      <c r="CA34" s="29">
        <f t="shared" si="83"/>
        <v>0</v>
      </c>
      <c r="CB34" s="29">
        <f t="shared" si="123"/>
        <v>0</v>
      </c>
      <c r="CC34" s="32">
        <f t="shared" si="124"/>
        <v>0.4030245062555019</v>
      </c>
      <c r="CD34" s="29">
        <f t="shared" si="86"/>
        <v>3.8339076525843677E-3</v>
      </c>
      <c r="CE34" s="29">
        <f t="shared" si="125"/>
        <v>211.05571012169494</v>
      </c>
      <c r="CF34" s="29">
        <f t="shared" si="88"/>
        <v>6.7241515722528495E-3</v>
      </c>
      <c r="CG34" s="30">
        <f t="shared" si="126"/>
        <v>85.065802357033988</v>
      </c>
    </row>
    <row r="35" spans="2:85" ht="18" x14ac:dyDescent="0.25">
      <c r="B35" s="14" t="s">
        <v>114</v>
      </c>
      <c r="C35" s="14" t="s">
        <v>115</v>
      </c>
      <c r="D35" s="42">
        <f>+D31+D33</f>
        <v>211.43</v>
      </c>
      <c r="F35" s="14" t="s">
        <v>116</v>
      </c>
      <c r="G35" s="14" t="s">
        <v>115</v>
      </c>
      <c r="H35" s="43">
        <f>+H31+H33</f>
        <v>222.02</v>
      </c>
      <c r="T35" s="25">
        <v>1</v>
      </c>
      <c r="U35" s="26">
        <v>0</v>
      </c>
      <c r="V35" s="26">
        <v>0</v>
      </c>
      <c r="W35" s="27">
        <v>1</v>
      </c>
      <c r="X35" s="28">
        <f>+D51</f>
        <v>85</v>
      </c>
      <c r="Y35" s="29">
        <f>+D55</f>
        <v>0</v>
      </c>
      <c r="Z35" s="29">
        <f>+H50</f>
        <v>210.881</v>
      </c>
      <c r="AA35" s="30">
        <f>+H56</f>
        <v>85.010999999999996</v>
      </c>
      <c r="AB35" s="28">
        <f t="shared" si="62"/>
        <v>9.9125397504435777E-5</v>
      </c>
      <c r="AC35" s="29">
        <f t="shared" si="63"/>
        <v>0</v>
      </c>
      <c r="AD35" s="29">
        <f t="shared" si="64"/>
        <v>2.6733653866324245E-3</v>
      </c>
      <c r="AE35" s="29">
        <f t="shared" si="65"/>
        <v>2.9758607127368421E-3</v>
      </c>
      <c r="AF35" s="29">
        <f t="shared" si="90"/>
        <v>85.000099125397497</v>
      </c>
      <c r="AG35" s="29">
        <f t="shared" si="66"/>
        <v>0</v>
      </c>
      <c r="AH35" s="29">
        <f t="shared" si="67"/>
        <v>210.88367336538664</v>
      </c>
      <c r="AI35" s="30">
        <f t="shared" si="68"/>
        <v>85.013975860712733</v>
      </c>
      <c r="AJ35" s="31">
        <f t="shared" si="91"/>
        <v>0</v>
      </c>
      <c r="AK35" s="29">
        <f t="shared" si="92"/>
        <v>0</v>
      </c>
      <c r="AL35" s="29">
        <f t="shared" si="93"/>
        <v>0</v>
      </c>
      <c r="AM35" s="29">
        <f t="shared" si="94"/>
        <v>-0.39121929476194639</v>
      </c>
      <c r="AN35" s="29">
        <f t="shared" si="95"/>
        <v>0</v>
      </c>
      <c r="AO35" s="29">
        <f t="shared" si="96"/>
        <v>0</v>
      </c>
      <c r="AP35" s="29">
        <f t="shared" si="97"/>
        <v>85</v>
      </c>
      <c r="AQ35" s="29">
        <f t="shared" si="98"/>
        <v>0</v>
      </c>
      <c r="AR35" s="29">
        <f t="shared" si="99"/>
        <v>0</v>
      </c>
      <c r="AS35" s="32">
        <f t="shared" si="100"/>
        <v>0.40312308837685706</v>
      </c>
      <c r="AT35" s="29">
        <f t="shared" si="101"/>
        <v>0</v>
      </c>
      <c r="AU35" s="29">
        <f t="shared" si="102"/>
        <v>210.881</v>
      </c>
      <c r="AV35" s="29">
        <f t="shared" si="103"/>
        <v>0</v>
      </c>
      <c r="AW35" s="30">
        <f t="shared" si="104"/>
        <v>85.010999999999996</v>
      </c>
      <c r="AX35" s="28">
        <f t="shared" si="69"/>
        <v>85.336699517934065</v>
      </c>
      <c r="AY35" s="29">
        <f t="shared" si="70"/>
        <v>0</v>
      </c>
      <c r="AZ35" s="29">
        <f t="shared" si="71"/>
        <v>211.02285658980782</v>
      </c>
      <c r="BA35" s="29">
        <f t="shared" si="72"/>
        <v>85.070085084780814</v>
      </c>
      <c r="BB35" s="32">
        <f t="shared" si="105"/>
        <v>0</v>
      </c>
      <c r="BC35" s="29">
        <f t="shared" si="106"/>
        <v>0.26661443315325078</v>
      </c>
      <c r="BD35" s="29">
        <f t="shared" si="107"/>
        <v>3.1338183172601522E-3</v>
      </c>
      <c r="BE35" s="29">
        <f t="shared" si="73"/>
        <v>9.4455778390047644</v>
      </c>
      <c r="BF35" s="29">
        <f t="shared" si="108"/>
        <v>9.4455778390047644</v>
      </c>
      <c r="BG35" s="29">
        <f t="shared" si="74"/>
        <v>0.26015513601611012</v>
      </c>
      <c r="BH35" s="29">
        <f t="shared" si="109"/>
        <v>85.076544381917955</v>
      </c>
      <c r="BI35" s="29">
        <f t="shared" si="75"/>
        <v>0</v>
      </c>
      <c r="BJ35" s="29">
        <f t="shared" si="110"/>
        <v>0</v>
      </c>
      <c r="BK35" s="32">
        <f t="shared" si="111"/>
        <v>0.40313208938376965</v>
      </c>
      <c r="BL35" s="29">
        <f t="shared" si="76"/>
        <v>3.6837205878348009E-3</v>
      </c>
      <c r="BM35" s="29">
        <f t="shared" si="112"/>
        <v>211.02654031039566</v>
      </c>
      <c r="BN35" s="29">
        <f t="shared" si="77"/>
        <v>6.4592971371406705E-3</v>
      </c>
      <c r="BO35" s="30">
        <f t="shared" si="113"/>
        <v>85.076544381917955</v>
      </c>
      <c r="BP35" s="28">
        <f t="shared" si="114"/>
        <v>85.336699517934065</v>
      </c>
      <c r="BQ35" s="29">
        <f t="shared" si="115"/>
        <v>0</v>
      </c>
      <c r="BR35" s="29">
        <f t="shared" si="116"/>
        <v>211.02285658980782</v>
      </c>
      <c r="BS35" s="29">
        <f t="shared" si="117"/>
        <v>85.070085084780814</v>
      </c>
      <c r="BT35" s="32">
        <f t="shared" si="118"/>
        <v>0</v>
      </c>
      <c r="BU35" s="29">
        <f t="shared" si="119"/>
        <v>0.26661443315325078</v>
      </c>
      <c r="BV35" s="29">
        <f t="shared" si="120"/>
        <v>3.1338183172601522E-3</v>
      </c>
      <c r="BW35" s="29">
        <f t="shared" si="80"/>
        <v>9.4455778390047644</v>
      </c>
      <c r="BX35" s="29">
        <f t="shared" si="121"/>
        <v>9.4455778390047644</v>
      </c>
      <c r="BY35" s="29">
        <f t="shared" si="81"/>
        <v>0.26015513601611012</v>
      </c>
      <c r="BZ35" s="29">
        <f t="shared" si="122"/>
        <v>85.076544381917955</v>
      </c>
      <c r="CA35" s="29">
        <f t="shared" si="83"/>
        <v>0</v>
      </c>
      <c r="CB35" s="29">
        <f t="shared" si="123"/>
        <v>0</v>
      </c>
      <c r="CC35" s="32">
        <f t="shared" si="124"/>
        <v>0.40313208938376965</v>
      </c>
      <c r="CD35" s="29">
        <f t="shared" si="86"/>
        <v>3.6837205878348009E-3</v>
      </c>
      <c r="CE35" s="29">
        <f t="shared" si="125"/>
        <v>211.02654031039566</v>
      </c>
      <c r="CF35" s="29">
        <f t="shared" si="88"/>
        <v>6.4592971371406705E-3</v>
      </c>
      <c r="CG35" s="30">
        <f t="shared" si="126"/>
        <v>85.076544381917955</v>
      </c>
    </row>
    <row r="36" spans="2:85" ht="18" x14ac:dyDescent="0.25">
      <c r="B36" s="14" t="s">
        <v>48</v>
      </c>
      <c r="C36" s="14" t="s">
        <v>49</v>
      </c>
      <c r="D36" s="43">
        <f>+$D$12</f>
        <v>20</v>
      </c>
      <c r="F36" s="14" t="s">
        <v>48</v>
      </c>
      <c r="G36" s="14" t="s">
        <v>49</v>
      </c>
      <c r="H36" s="43">
        <f>+$D$12</f>
        <v>20</v>
      </c>
      <c r="T36" s="25">
        <v>1</v>
      </c>
      <c r="U36" s="26">
        <v>1</v>
      </c>
      <c r="V36" s="26">
        <v>1</v>
      </c>
      <c r="W36" s="27">
        <v>0</v>
      </c>
      <c r="X36" s="28">
        <f>+D51</f>
        <v>85</v>
      </c>
      <c r="Y36" s="29">
        <f>+D56</f>
        <v>0</v>
      </c>
      <c r="Z36" s="29">
        <f>+H51</f>
        <v>210.91</v>
      </c>
      <c r="AA36" s="30">
        <f>+H55</f>
        <v>85</v>
      </c>
      <c r="AB36" s="28">
        <f t="shared" si="62"/>
        <v>9.9125397504435777E-5</v>
      </c>
      <c r="AC36" s="29">
        <f t="shared" si="63"/>
        <v>0</v>
      </c>
      <c r="AD36" s="29">
        <f t="shared" si="64"/>
        <v>2.6738493017911054E-3</v>
      </c>
      <c r="AE36" s="29">
        <f t="shared" si="65"/>
        <v>2.9762411425611839E-3</v>
      </c>
      <c r="AF36" s="29">
        <f t="shared" si="90"/>
        <v>85.000099125397497</v>
      </c>
      <c r="AG36" s="29">
        <f t="shared" si="66"/>
        <v>0</v>
      </c>
      <c r="AH36" s="29">
        <f t="shared" si="67"/>
        <v>210.9126738493018</v>
      </c>
      <c r="AI36" s="30">
        <f t="shared" si="68"/>
        <v>85.002976241142562</v>
      </c>
      <c r="AJ36" s="31">
        <f t="shared" si="91"/>
        <v>0</v>
      </c>
      <c r="AK36" s="29">
        <f t="shared" si="92"/>
        <v>0</v>
      </c>
      <c r="AL36" s="29">
        <f t="shared" si="93"/>
        <v>0</v>
      </c>
      <c r="AM36" s="29">
        <f t="shared" si="94"/>
        <v>0</v>
      </c>
      <c r="AN36" s="29">
        <f t="shared" si="95"/>
        <v>0</v>
      </c>
      <c r="AO36" s="29">
        <f t="shared" si="96"/>
        <v>0</v>
      </c>
      <c r="AP36" s="29">
        <f t="shared" si="97"/>
        <v>85</v>
      </c>
      <c r="AQ36" s="29">
        <f t="shared" si="98"/>
        <v>0</v>
      </c>
      <c r="AR36" s="29">
        <f t="shared" si="99"/>
        <v>0</v>
      </c>
      <c r="AS36" s="32">
        <f t="shared" si="100"/>
        <v>0.40301550424351618</v>
      </c>
      <c r="AT36" s="29">
        <f t="shared" si="101"/>
        <v>0</v>
      </c>
      <c r="AU36" s="29">
        <f t="shared" si="102"/>
        <v>210.91</v>
      </c>
      <c r="AV36" s="29">
        <f t="shared" si="103"/>
        <v>0</v>
      </c>
      <c r="AW36" s="30">
        <f t="shared" si="104"/>
        <v>85</v>
      </c>
      <c r="AX36" s="28">
        <f t="shared" si="69"/>
        <v>85.336699517934065</v>
      </c>
      <c r="AY36" s="29">
        <f t="shared" si="70"/>
        <v>0</v>
      </c>
      <c r="AZ36" s="29">
        <f t="shared" si="71"/>
        <v>211.05187621404235</v>
      </c>
      <c r="BA36" s="29">
        <f t="shared" si="72"/>
        <v>85.059078205461731</v>
      </c>
      <c r="BB36" s="32">
        <f t="shared" si="105"/>
        <v>0</v>
      </c>
      <c r="BC36" s="29">
        <f t="shared" si="106"/>
        <v>0.27762131247233413</v>
      </c>
      <c r="BD36" s="29">
        <f t="shared" si="107"/>
        <v>3.2636065819624631E-3</v>
      </c>
      <c r="BE36" s="29">
        <f t="shared" si="73"/>
        <v>9.8355937108566778</v>
      </c>
      <c r="BF36" s="29">
        <f t="shared" si="108"/>
        <v>9.8355937108566778</v>
      </c>
      <c r="BG36" s="29">
        <f t="shared" si="74"/>
        <v>0.27089716090008126</v>
      </c>
      <c r="BH36" s="29">
        <f t="shared" si="109"/>
        <v>85.065802357033988</v>
      </c>
      <c r="BI36" s="29">
        <f t="shared" si="75"/>
        <v>0</v>
      </c>
      <c r="BJ36" s="29">
        <f t="shared" si="110"/>
        <v>0</v>
      </c>
      <c r="BK36" s="32">
        <f t="shared" si="111"/>
        <v>0.4030245062555019</v>
      </c>
      <c r="BL36" s="29">
        <f t="shared" si="76"/>
        <v>3.8339076525843677E-3</v>
      </c>
      <c r="BM36" s="29">
        <f t="shared" si="112"/>
        <v>211.05571012169494</v>
      </c>
      <c r="BN36" s="29">
        <f t="shared" si="77"/>
        <v>6.7241515722528495E-3</v>
      </c>
      <c r="BO36" s="30">
        <f t="shared" si="113"/>
        <v>85.065802357033988</v>
      </c>
      <c r="BP36" s="28">
        <f t="shared" si="114"/>
        <v>85.336699517934065</v>
      </c>
      <c r="BQ36" s="29">
        <f t="shared" si="115"/>
        <v>0</v>
      </c>
      <c r="BR36" s="29">
        <f t="shared" si="116"/>
        <v>211.05187621404235</v>
      </c>
      <c r="BS36" s="29">
        <f t="shared" si="117"/>
        <v>85.059078205461731</v>
      </c>
      <c r="BT36" s="32">
        <f t="shared" si="118"/>
        <v>0</v>
      </c>
      <c r="BU36" s="29">
        <f t="shared" si="119"/>
        <v>0.27762131247233413</v>
      </c>
      <c r="BV36" s="29">
        <f t="shared" si="120"/>
        <v>3.2636065819624631E-3</v>
      </c>
      <c r="BW36" s="29">
        <f t="shared" si="80"/>
        <v>9.8355937108566778</v>
      </c>
      <c r="BX36" s="29">
        <f t="shared" si="121"/>
        <v>9.8355937108566778</v>
      </c>
      <c r="BY36" s="29">
        <f t="shared" si="81"/>
        <v>0.27089716090008126</v>
      </c>
      <c r="BZ36" s="29">
        <f t="shared" si="122"/>
        <v>85.065802357033988</v>
      </c>
      <c r="CA36" s="29">
        <f t="shared" si="83"/>
        <v>0</v>
      </c>
      <c r="CB36" s="29">
        <f t="shared" si="123"/>
        <v>0</v>
      </c>
      <c r="CC36" s="32">
        <f t="shared" si="124"/>
        <v>0.4030245062555019</v>
      </c>
      <c r="CD36" s="29">
        <f t="shared" si="86"/>
        <v>3.8339076525843677E-3</v>
      </c>
      <c r="CE36" s="29">
        <f t="shared" si="125"/>
        <v>211.05571012169494</v>
      </c>
      <c r="CF36" s="29">
        <f t="shared" si="88"/>
        <v>6.7241515722528495E-3</v>
      </c>
      <c r="CG36" s="30">
        <f t="shared" si="126"/>
        <v>85.065802357033988</v>
      </c>
    </row>
    <row r="37" spans="2:85" ht="18" x14ac:dyDescent="0.25">
      <c r="B37" s="14" t="s">
        <v>50</v>
      </c>
      <c r="C37" s="14" t="s">
        <v>51</v>
      </c>
      <c r="D37" s="43">
        <f>+$D$13</f>
        <v>75</v>
      </c>
      <c r="F37" s="14" t="s">
        <v>50</v>
      </c>
      <c r="G37" s="14" t="s">
        <v>51</v>
      </c>
      <c r="H37" s="43">
        <f>+$D$13</f>
        <v>75</v>
      </c>
      <c r="T37" s="25">
        <v>1</v>
      </c>
      <c r="U37" s="26">
        <v>1</v>
      </c>
      <c r="V37" s="26">
        <v>0</v>
      </c>
      <c r="W37" s="27">
        <v>1</v>
      </c>
      <c r="X37" s="28">
        <f>+D51</f>
        <v>85</v>
      </c>
      <c r="Y37" s="29">
        <f>+D56</f>
        <v>0</v>
      </c>
      <c r="Z37" s="29">
        <f>+H50</f>
        <v>210.881</v>
      </c>
      <c r="AA37" s="30">
        <f>+H56</f>
        <v>85.010999999999996</v>
      </c>
      <c r="AB37" s="28">
        <f t="shared" si="62"/>
        <v>9.9125397504435777E-5</v>
      </c>
      <c r="AC37" s="29">
        <f t="shared" si="63"/>
        <v>0</v>
      </c>
      <c r="AD37" s="29">
        <f t="shared" si="64"/>
        <v>2.6733653866324245E-3</v>
      </c>
      <c r="AE37" s="29">
        <f t="shared" si="65"/>
        <v>2.9758607127368421E-3</v>
      </c>
      <c r="AF37" s="29">
        <f t="shared" si="90"/>
        <v>85.000099125397497</v>
      </c>
      <c r="AG37" s="29">
        <f t="shared" si="66"/>
        <v>0</v>
      </c>
      <c r="AH37" s="29">
        <f t="shared" si="67"/>
        <v>210.88367336538664</v>
      </c>
      <c r="AI37" s="30">
        <f t="shared" si="68"/>
        <v>85.013975860712733</v>
      </c>
      <c r="AJ37" s="31">
        <f t="shared" si="91"/>
        <v>0</v>
      </c>
      <c r="AK37" s="29">
        <f t="shared" si="92"/>
        <v>0</v>
      </c>
      <c r="AL37" s="29">
        <f t="shared" si="93"/>
        <v>0</v>
      </c>
      <c r="AM37" s="29">
        <f t="shared" si="94"/>
        <v>-0.39121929476194639</v>
      </c>
      <c r="AN37" s="29">
        <f t="shared" si="95"/>
        <v>0</v>
      </c>
      <c r="AO37" s="29">
        <f t="shared" si="96"/>
        <v>0</v>
      </c>
      <c r="AP37" s="29">
        <f t="shared" si="97"/>
        <v>85</v>
      </c>
      <c r="AQ37" s="29">
        <f t="shared" si="98"/>
        <v>0</v>
      </c>
      <c r="AR37" s="29">
        <f t="shared" si="99"/>
        <v>0</v>
      </c>
      <c r="AS37" s="32">
        <f t="shared" si="100"/>
        <v>0.40312308837685706</v>
      </c>
      <c r="AT37" s="29">
        <f t="shared" si="101"/>
        <v>0</v>
      </c>
      <c r="AU37" s="29">
        <f t="shared" si="102"/>
        <v>210.881</v>
      </c>
      <c r="AV37" s="29">
        <f t="shared" si="103"/>
        <v>0</v>
      </c>
      <c r="AW37" s="30">
        <f t="shared" si="104"/>
        <v>85.010999999999996</v>
      </c>
      <c r="AX37" s="28">
        <f t="shared" si="69"/>
        <v>85.336699517934065</v>
      </c>
      <c r="AY37" s="29">
        <f t="shared" si="70"/>
        <v>0</v>
      </c>
      <c r="AZ37" s="29">
        <f t="shared" si="71"/>
        <v>211.02285658980782</v>
      </c>
      <c r="BA37" s="29">
        <f t="shared" si="72"/>
        <v>85.070085084780814</v>
      </c>
      <c r="BB37" s="32">
        <f t="shared" si="105"/>
        <v>0</v>
      </c>
      <c r="BC37" s="29">
        <f t="shared" si="106"/>
        <v>0.26661443315325078</v>
      </c>
      <c r="BD37" s="29">
        <f t="shared" si="107"/>
        <v>3.1338183172601522E-3</v>
      </c>
      <c r="BE37" s="29">
        <f t="shared" si="73"/>
        <v>9.4455778390047644</v>
      </c>
      <c r="BF37" s="29">
        <f t="shared" si="108"/>
        <v>9.4455778390047644</v>
      </c>
      <c r="BG37" s="29">
        <f t="shared" si="74"/>
        <v>0.26015513601611012</v>
      </c>
      <c r="BH37" s="29">
        <f t="shared" si="109"/>
        <v>85.076544381917955</v>
      </c>
      <c r="BI37" s="29">
        <f t="shared" si="75"/>
        <v>0</v>
      </c>
      <c r="BJ37" s="29">
        <f t="shared" si="110"/>
        <v>0</v>
      </c>
      <c r="BK37" s="32">
        <f t="shared" si="111"/>
        <v>0.40313208938376965</v>
      </c>
      <c r="BL37" s="29">
        <f t="shared" si="76"/>
        <v>3.6837205878348009E-3</v>
      </c>
      <c r="BM37" s="29">
        <f t="shared" si="112"/>
        <v>211.02654031039566</v>
      </c>
      <c r="BN37" s="29">
        <f t="shared" si="77"/>
        <v>6.4592971371406705E-3</v>
      </c>
      <c r="BO37" s="30">
        <f t="shared" si="113"/>
        <v>85.076544381917955</v>
      </c>
      <c r="BP37" s="28">
        <f t="shared" si="114"/>
        <v>85.336699517934065</v>
      </c>
      <c r="BQ37" s="29">
        <f t="shared" si="115"/>
        <v>0</v>
      </c>
      <c r="BR37" s="29">
        <f t="shared" si="116"/>
        <v>211.02285658980782</v>
      </c>
      <c r="BS37" s="29">
        <f t="shared" si="117"/>
        <v>85.070085084780814</v>
      </c>
      <c r="BT37" s="32">
        <f t="shared" si="118"/>
        <v>0</v>
      </c>
      <c r="BU37" s="29">
        <f t="shared" si="119"/>
        <v>0.26661443315325078</v>
      </c>
      <c r="BV37" s="29">
        <f t="shared" si="120"/>
        <v>3.1338183172601522E-3</v>
      </c>
      <c r="BW37" s="29">
        <f t="shared" si="80"/>
        <v>9.4455778390047644</v>
      </c>
      <c r="BX37" s="29">
        <f t="shared" si="121"/>
        <v>9.4455778390047644</v>
      </c>
      <c r="BY37" s="29">
        <f t="shared" si="81"/>
        <v>0.26015513601611012</v>
      </c>
      <c r="BZ37" s="29">
        <f t="shared" si="122"/>
        <v>85.076544381917955</v>
      </c>
      <c r="CA37" s="29">
        <f t="shared" si="83"/>
        <v>0</v>
      </c>
      <c r="CB37" s="29">
        <f t="shared" si="123"/>
        <v>0</v>
      </c>
      <c r="CC37" s="32">
        <f t="shared" si="124"/>
        <v>0.40313208938376965</v>
      </c>
      <c r="CD37" s="29">
        <f t="shared" si="86"/>
        <v>3.6837205878348009E-3</v>
      </c>
      <c r="CE37" s="29">
        <f t="shared" si="125"/>
        <v>211.02654031039566</v>
      </c>
      <c r="CF37" s="29">
        <f t="shared" si="88"/>
        <v>6.4592971371406705E-3</v>
      </c>
      <c r="CG37" s="30">
        <f t="shared" si="126"/>
        <v>85.076544381917955</v>
      </c>
    </row>
    <row r="38" spans="2:85" ht="18" x14ac:dyDescent="0.25">
      <c r="B38" s="14" t="s">
        <v>117</v>
      </c>
      <c r="C38" s="14" t="s">
        <v>118</v>
      </c>
      <c r="D38" s="43">
        <f>+D37-D36</f>
        <v>55</v>
      </c>
      <c r="F38" s="14" t="s">
        <v>119</v>
      </c>
      <c r="G38" s="14" t="s">
        <v>118</v>
      </c>
      <c r="H38" s="43">
        <f>+H37-H36</f>
        <v>55</v>
      </c>
      <c r="T38" s="25">
        <v>1</v>
      </c>
      <c r="U38" s="26">
        <v>0</v>
      </c>
      <c r="V38" s="26">
        <v>1</v>
      </c>
      <c r="W38" s="27">
        <v>1</v>
      </c>
      <c r="X38" s="28">
        <f>+D51</f>
        <v>85</v>
      </c>
      <c r="Y38" s="29">
        <f>+D55</f>
        <v>0</v>
      </c>
      <c r="Z38" s="29">
        <f>+H51</f>
        <v>210.91</v>
      </c>
      <c r="AA38" s="30">
        <f>+H56</f>
        <v>85.010999999999996</v>
      </c>
      <c r="AB38" s="28">
        <f t="shared" si="62"/>
        <v>9.9125397504435777E-5</v>
      </c>
      <c r="AC38" s="29">
        <f t="shared" si="63"/>
        <v>0</v>
      </c>
      <c r="AD38" s="29">
        <f t="shared" si="64"/>
        <v>2.6741494328519845E-3</v>
      </c>
      <c r="AE38" s="29">
        <f t="shared" si="65"/>
        <v>2.9766519641453632E-3</v>
      </c>
      <c r="AF38" s="29">
        <f t="shared" si="90"/>
        <v>85.000099125397497</v>
      </c>
      <c r="AG38" s="29">
        <f t="shared" si="66"/>
        <v>0</v>
      </c>
      <c r="AH38" s="29">
        <f t="shared" si="67"/>
        <v>210.91267414943286</v>
      </c>
      <c r="AI38" s="30">
        <f t="shared" si="68"/>
        <v>85.013976651964143</v>
      </c>
      <c r="AJ38" s="31">
        <f t="shared" si="91"/>
        <v>0</v>
      </c>
      <c r="AK38" s="29">
        <f t="shared" si="92"/>
        <v>0</v>
      </c>
      <c r="AL38" s="29">
        <f t="shared" si="93"/>
        <v>0</v>
      </c>
      <c r="AM38" s="29">
        <f t="shared" si="94"/>
        <v>-0.39122001243477406</v>
      </c>
      <c r="AN38" s="29">
        <f t="shared" si="95"/>
        <v>0</v>
      </c>
      <c r="AO38" s="29">
        <f t="shared" si="96"/>
        <v>0</v>
      </c>
      <c r="AP38" s="29">
        <f t="shared" si="97"/>
        <v>85</v>
      </c>
      <c r="AQ38" s="29">
        <f t="shared" si="98"/>
        <v>0</v>
      </c>
      <c r="AR38" s="29">
        <f t="shared" si="99"/>
        <v>0</v>
      </c>
      <c r="AS38" s="32">
        <f t="shared" si="100"/>
        <v>0.40306765919112414</v>
      </c>
      <c r="AT38" s="29">
        <f t="shared" si="101"/>
        <v>0</v>
      </c>
      <c r="AU38" s="29">
        <f t="shared" si="102"/>
        <v>210.91</v>
      </c>
      <c r="AV38" s="29">
        <f t="shared" si="103"/>
        <v>0</v>
      </c>
      <c r="AW38" s="30">
        <f t="shared" si="104"/>
        <v>85.010999999999996</v>
      </c>
      <c r="AX38" s="28">
        <f t="shared" si="69"/>
        <v>85.336699517934065</v>
      </c>
      <c r="AY38" s="29">
        <f t="shared" si="70"/>
        <v>0</v>
      </c>
      <c r="AZ38" s="29">
        <f t="shared" si="71"/>
        <v>211.05187651437151</v>
      </c>
      <c r="BA38" s="29">
        <f t="shared" si="72"/>
        <v>85.070085876554444</v>
      </c>
      <c r="BB38" s="32">
        <f t="shared" si="105"/>
        <v>0</v>
      </c>
      <c r="BC38" s="29">
        <f t="shared" si="106"/>
        <v>0.26661364137962096</v>
      </c>
      <c r="BD38" s="29">
        <f t="shared" si="107"/>
        <v>3.1338089997199631E-3</v>
      </c>
      <c r="BE38" s="29">
        <f t="shared" si="73"/>
        <v>9.4455670585753886</v>
      </c>
      <c r="BF38" s="29">
        <f t="shared" si="108"/>
        <v>9.4455670585753886</v>
      </c>
      <c r="BG38" s="29">
        <f t="shared" si="74"/>
        <v>0.26015483909578202</v>
      </c>
      <c r="BH38" s="29">
        <f t="shared" si="109"/>
        <v>85.076544678838289</v>
      </c>
      <c r="BI38" s="29">
        <f t="shared" si="75"/>
        <v>0</v>
      </c>
      <c r="BJ38" s="29">
        <f t="shared" si="110"/>
        <v>0</v>
      </c>
      <c r="BK38" s="32">
        <f t="shared" si="111"/>
        <v>0.40307666191615987</v>
      </c>
      <c r="BL38" s="29">
        <f t="shared" si="76"/>
        <v>3.6830134194828766E-3</v>
      </c>
      <c r="BM38" s="29">
        <f t="shared" si="112"/>
        <v>211.05555952779099</v>
      </c>
      <c r="BN38" s="29">
        <f t="shared" si="77"/>
        <v>6.4588022838389641E-3</v>
      </c>
      <c r="BO38" s="30">
        <f t="shared" si="113"/>
        <v>85.076544678838289</v>
      </c>
      <c r="BP38" s="28">
        <f t="shared" si="114"/>
        <v>85.336699517934065</v>
      </c>
      <c r="BQ38" s="29">
        <f t="shared" si="115"/>
        <v>0</v>
      </c>
      <c r="BR38" s="29">
        <f t="shared" si="116"/>
        <v>211.05187651437151</v>
      </c>
      <c r="BS38" s="29">
        <f t="shared" si="117"/>
        <v>85.070085876554444</v>
      </c>
      <c r="BT38" s="32">
        <f t="shared" si="118"/>
        <v>0</v>
      </c>
      <c r="BU38" s="29">
        <f t="shared" si="119"/>
        <v>0.26661364137962096</v>
      </c>
      <c r="BV38" s="29">
        <f t="shared" si="120"/>
        <v>3.1338089997199631E-3</v>
      </c>
      <c r="BW38" s="29">
        <f t="shared" si="80"/>
        <v>9.4455670585753886</v>
      </c>
      <c r="BX38" s="29">
        <f t="shared" si="121"/>
        <v>9.4455670585753886</v>
      </c>
      <c r="BY38" s="29">
        <f t="shared" si="81"/>
        <v>0.26015483909578202</v>
      </c>
      <c r="BZ38" s="29">
        <f t="shared" si="122"/>
        <v>85.076544678838289</v>
      </c>
      <c r="CA38" s="29">
        <f t="shared" si="83"/>
        <v>0</v>
      </c>
      <c r="CB38" s="29">
        <f t="shared" si="123"/>
        <v>0</v>
      </c>
      <c r="CC38" s="32">
        <f t="shared" si="124"/>
        <v>0.40307666191615987</v>
      </c>
      <c r="CD38" s="29">
        <f t="shared" si="86"/>
        <v>3.6830134194828766E-3</v>
      </c>
      <c r="CE38" s="29">
        <f t="shared" si="125"/>
        <v>211.05555952779099</v>
      </c>
      <c r="CF38" s="29">
        <f t="shared" si="88"/>
        <v>6.4588022838389641E-3</v>
      </c>
      <c r="CG38" s="30">
        <f t="shared" si="126"/>
        <v>85.076544678838289</v>
      </c>
    </row>
    <row r="39" spans="2:85" x14ac:dyDescent="0.25">
      <c r="T39" s="25">
        <v>1</v>
      </c>
      <c r="U39" s="26">
        <v>1</v>
      </c>
      <c r="V39" s="26">
        <v>1</v>
      </c>
      <c r="W39" s="27">
        <v>1</v>
      </c>
      <c r="X39" s="28">
        <f>+D51</f>
        <v>85</v>
      </c>
      <c r="Y39" s="29">
        <f>+D56</f>
        <v>0</v>
      </c>
      <c r="Z39" s="29">
        <f>+H51</f>
        <v>210.91</v>
      </c>
      <c r="AA39" s="30">
        <f>+H56</f>
        <v>85.010999999999996</v>
      </c>
      <c r="AB39" s="28">
        <f t="shared" si="62"/>
        <v>9.9125397504435777E-5</v>
      </c>
      <c r="AC39" s="29">
        <f t="shared" si="63"/>
        <v>0</v>
      </c>
      <c r="AD39" s="29">
        <f t="shared" si="64"/>
        <v>2.6741494328519845E-3</v>
      </c>
      <c r="AE39" s="29">
        <f t="shared" si="65"/>
        <v>2.9766519641453632E-3</v>
      </c>
      <c r="AF39" s="29">
        <f t="shared" si="90"/>
        <v>85.000099125397497</v>
      </c>
      <c r="AG39" s="29">
        <f t="shared" si="66"/>
        <v>0</v>
      </c>
      <c r="AH39" s="29">
        <f t="shared" si="67"/>
        <v>210.91267414943286</v>
      </c>
      <c r="AI39" s="30">
        <f t="shared" si="68"/>
        <v>85.013976651964143</v>
      </c>
      <c r="AJ39" s="31">
        <f t="shared" si="91"/>
        <v>0</v>
      </c>
      <c r="AK39" s="29">
        <f t="shared" si="92"/>
        <v>0</v>
      </c>
      <c r="AL39" s="29">
        <f t="shared" si="93"/>
        <v>0</v>
      </c>
      <c r="AM39" s="29">
        <f t="shared" si="94"/>
        <v>-0.39122001243477406</v>
      </c>
      <c r="AN39" s="29">
        <f t="shared" si="95"/>
        <v>0</v>
      </c>
      <c r="AO39" s="29">
        <f t="shared" si="96"/>
        <v>0</v>
      </c>
      <c r="AP39" s="29">
        <f t="shared" si="97"/>
        <v>85</v>
      </c>
      <c r="AQ39" s="29">
        <f t="shared" si="98"/>
        <v>0</v>
      </c>
      <c r="AR39" s="29">
        <f t="shared" si="99"/>
        <v>0</v>
      </c>
      <c r="AS39" s="32">
        <f t="shared" si="100"/>
        <v>0.40306765919112414</v>
      </c>
      <c r="AT39" s="29">
        <f t="shared" si="101"/>
        <v>0</v>
      </c>
      <c r="AU39" s="29">
        <f t="shared" si="102"/>
        <v>210.91</v>
      </c>
      <c r="AV39" s="29">
        <f t="shared" si="103"/>
        <v>0</v>
      </c>
      <c r="AW39" s="30">
        <f t="shared" si="104"/>
        <v>85.010999999999996</v>
      </c>
      <c r="AX39" s="28">
        <f t="shared" si="69"/>
        <v>85.336699517934065</v>
      </c>
      <c r="AY39" s="29">
        <f t="shared" si="70"/>
        <v>0</v>
      </c>
      <c r="AZ39" s="29">
        <f t="shared" si="71"/>
        <v>211.05187651437151</v>
      </c>
      <c r="BA39" s="29">
        <f t="shared" si="72"/>
        <v>85.070085876554444</v>
      </c>
      <c r="BB39" s="32">
        <f t="shared" si="105"/>
        <v>0</v>
      </c>
      <c r="BC39" s="29">
        <f t="shared" si="106"/>
        <v>0.26661364137962096</v>
      </c>
      <c r="BD39" s="29">
        <f t="shared" si="107"/>
        <v>3.1338089997199631E-3</v>
      </c>
      <c r="BE39" s="29">
        <f t="shared" si="73"/>
        <v>9.4455670585753886</v>
      </c>
      <c r="BF39" s="29">
        <f t="shared" si="108"/>
        <v>9.4455670585753886</v>
      </c>
      <c r="BG39" s="29">
        <f t="shared" si="74"/>
        <v>0.26015483909578202</v>
      </c>
      <c r="BH39" s="29">
        <f t="shared" si="109"/>
        <v>85.076544678838289</v>
      </c>
      <c r="BI39" s="29">
        <f t="shared" si="75"/>
        <v>0</v>
      </c>
      <c r="BJ39" s="29">
        <f t="shared" si="110"/>
        <v>0</v>
      </c>
      <c r="BK39" s="32">
        <f t="shared" si="111"/>
        <v>0.40307666191615987</v>
      </c>
      <c r="BL39" s="29">
        <f t="shared" si="76"/>
        <v>3.6830134194828766E-3</v>
      </c>
      <c r="BM39" s="29">
        <f t="shared" si="112"/>
        <v>211.05555952779099</v>
      </c>
      <c r="BN39" s="29">
        <f t="shared" si="77"/>
        <v>6.4588022838389641E-3</v>
      </c>
      <c r="BO39" s="30">
        <f t="shared" si="113"/>
        <v>85.076544678838289</v>
      </c>
      <c r="BP39" s="28">
        <f t="shared" si="114"/>
        <v>85.336699517934065</v>
      </c>
      <c r="BQ39" s="29">
        <f t="shared" si="115"/>
        <v>0</v>
      </c>
      <c r="BR39" s="29">
        <f t="shared" si="116"/>
        <v>211.05187651437151</v>
      </c>
      <c r="BS39" s="29">
        <f t="shared" si="117"/>
        <v>85.070085876554444</v>
      </c>
      <c r="BT39" s="32">
        <f t="shared" si="118"/>
        <v>0</v>
      </c>
      <c r="BU39" s="29">
        <f t="shared" si="119"/>
        <v>0.26661364137962096</v>
      </c>
      <c r="BV39" s="29">
        <f t="shared" si="120"/>
        <v>3.1338089997199631E-3</v>
      </c>
      <c r="BW39" s="29">
        <f t="shared" si="80"/>
        <v>9.4455670585753886</v>
      </c>
      <c r="BX39" s="29">
        <f t="shared" si="121"/>
        <v>9.4455670585753886</v>
      </c>
      <c r="BY39" s="29">
        <f t="shared" si="81"/>
        <v>0.26015483909578202</v>
      </c>
      <c r="BZ39" s="29">
        <f t="shared" si="122"/>
        <v>85.076544678838289</v>
      </c>
      <c r="CA39" s="29">
        <f t="shared" si="83"/>
        <v>0</v>
      </c>
      <c r="CB39" s="29">
        <f t="shared" si="123"/>
        <v>0</v>
      </c>
      <c r="CC39" s="32">
        <f t="shared" si="124"/>
        <v>0.40307666191615987</v>
      </c>
      <c r="CD39" s="29">
        <f t="shared" si="86"/>
        <v>3.6830134194828766E-3</v>
      </c>
      <c r="CE39" s="29">
        <f t="shared" si="125"/>
        <v>211.05555952779099</v>
      </c>
      <c r="CF39" s="29">
        <f t="shared" si="88"/>
        <v>6.4588022838389641E-3</v>
      </c>
      <c r="CG39" s="30">
        <f t="shared" si="126"/>
        <v>85.076544678838289</v>
      </c>
    </row>
    <row r="40" spans="2:85" x14ac:dyDescent="0.25">
      <c r="B40" s="69" t="s">
        <v>120</v>
      </c>
      <c r="C40" s="70"/>
      <c r="D40" s="70"/>
      <c r="E40" s="70"/>
      <c r="F40" s="70"/>
      <c r="G40" s="70"/>
      <c r="H40" s="70"/>
      <c r="T40" s="25">
        <v>0</v>
      </c>
      <c r="U40" s="26">
        <v>1</v>
      </c>
      <c r="V40" s="26">
        <v>0</v>
      </c>
      <c r="W40" s="27">
        <v>0</v>
      </c>
      <c r="X40" s="28">
        <f>+D50</f>
        <v>84.977999999999994</v>
      </c>
      <c r="Y40" s="29">
        <f>+D56</f>
        <v>0</v>
      </c>
      <c r="Z40" s="29">
        <f>+H50</f>
        <v>210.881</v>
      </c>
      <c r="AA40" s="30">
        <f>+H55</f>
        <v>85</v>
      </c>
      <c r="AB40" s="28">
        <f t="shared" si="62"/>
        <v>9.9048449468125687E-5</v>
      </c>
      <c r="AC40" s="29">
        <f t="shared" si="63"/>
        <v>0</v>
      </c>
      <c r="AD40" s="29">
        <f t="shared" si="64"/>
        <v>2.6730652968393882E-3</v>
      </c>
      <c r="AE40" s="29">
        <f t="shared" si="65"/>
        <v>2.9754499935366538E-3</v>
      </c>
      <c r="AF40" s="29">
        <f t="shared" si="90"/>
        <v>84.978099048449465</v>
      </c>
      <c r="AG40" s="29">
        <f t="shared" si="66"/>
        <v>0</v>
      </c>
      <c r="AH40" s="29">
        <f t="shared" si="67"/>
        <v>210.88367306529685</v>
      </c>
      <c r="AI40" s="30">
        <f t="shared" si="68"/>
        <v>85.002975449993542</v>
      </c>
      <c r="AJ40" s="31">
        <f t="shared" si="91"/>
        <v>0</v>
      </c>
      <c r="AK40" s="29">
        <f t="shared" si="92"/>
        <v>0</v>
      </c>
      <c r="AL40" s="29">
        <f t="shared" si="93"/>
        <v>0</v>
      </c>
      <c r="AM40" s="29">
        <f t="shared" si="94"/>
        <v>-0.78264004421416911</v>
      </c>
      <c r="AN40" s="29">
        <f t="shared" si="95"/>
        <v>0</v>
      </c>
      <c r="AO40" s="29">
        <f t="shared" si="96"/>
        <v>0</v>
      </c>
      <c r="AP40" s="29">
        <f t="shared" si="97"/>
        <v>84.977999999999994</v>
      </c>
      <c r="AQ40" s="29">
        <f t="shared" si="98"/>
        <v>0</v>
      </c>
      <c r="AR40" s="29">
        <f t="shared" si="99"/>
        <v>0</v>
      </c>
      <c r="AS40" s="32">
        <f t="shared" si="100"/>
        <v>0.40307092625698854</v>
      </c>
      <c r="AT40" s="29">
        <f t="shared" si="101"/>
        <v>0</v>
      </c>
      <c r="AU40" s="29">
        <f t="shared" si="102"/>
        <v>210.881</v>
      </c>
      <c r="AV40" s="29">
        <f t="shared" si="103"/>
        <v>0</v>
      </c>
      <c r="AW40" s="30">
        <f t="shared" si="104"/>
        <v>85</v>
      </c>
      <c r="AX40" s="28">
        <f t="shared" si="69"/>
        <v>85.31461232068132</v>
      </c>
      <c r="AY40" s="29">
        <f t="shared" si="70"/>
        <v>0</v>
      </c>
      <c r="AZ40" s="29">
        <f t="shared" si="71"/>
        <v>211.02285628951998</v>
      </c>
      <c r="BA40" s="29">
        <f t="shared" si="72"/>
        <v>85.059077413790547</v>
      </c>
      <c r="BB40" s="32">
        <f t="shared" si="105"/>
        <v>0</v>
      </c>
      <c r="BC40" s="29">
        <f t="shared" si="106"/>
        <v>0.25553490689077307</v>
      </c>
      <c r="BD40" s="29">
        <f t="shared" si="107"/>
        <v>3.0039863622298869E-3</v>
      </c>
      <c r="BE40" s="29">
        <f t="shared" si="73"/>
        <v>9.0553849132592479</v>
      </c>
      <c r="BF40" s="29">
        <f t="shared" si="108"/>
        <v>9.0553849132592479</v>
      </c>
      <c r="BG40" s="29">
        <f t="shared" si="74"/>
        <v>0.24934368174944346</v>
      </c>
      <c r="BH40" s="29">
        <f t="shared" si="109"/>
        <v>85.065268638931883</v>
      </c>
      <c r="BI40" s="29">
        <f t="shared" si="75"/>
        <v>0</v>
      </c>
      <c r="BJ40" s="29">
        <f t="shared" si="110"/>
        <v>0</v>
      </c>
      <c r="BK40" s="32">
        <f t="shared" si="111"/>
        <v>0.40307992655113556</v>
      </c>
      <c r="BL40" s="29">
        <f t="shared" si="76"/>
        <v>3.5304564600284866E-3</v>
      </c>
      <c r="BM40" s="29">
        <f t="shared" si="112"/>
        <v>211.02638674598001</v>
      </c>
      <c r="BN40" s="29">
        <f t="shared" si="77"/>
        <v>6.1912251413296275E-3</v>
      </c>
      <c r="BO40" s="30">
        <f t="shared" si="113"/>
        <v>85.065268638931883</v>
      </c>
      <c r="BP40" s="28">
        <f t="shared" si="114"/>
        <v>85.31461232068132</v>
      </c>
      <c r="BQ40" s="29">
        <f t="shared" si="115"/>
        <v>0</v>
      </c>
      <c r="BR40" s="29">
        <f t="shared" si="116"/>
        <v>211.02285628951998</v>
      </c>
      <c r="BS40" s="29">
        <f t="shared" si="117"/>
        <v>85.059077413790547</v>
      </c>
      <c r="BT40" s="32">
        <f t="shared" si="118"/>
        <v>0</v>
      </c>
      <c r="BU40" s="29">
        <f t="shared" si="119"/>
        <v>0.25553490689077307</v>
      </c>
      <c r="BV40" s="29">
        <f t="shared" si="120"/>
        <v>3.0039863622298869E-3</v>
      </c>
      <c r="BW40" s="29">
        <f t="shared" si="80"/>
        <v>9.0553849132592479</v>
      </c>
      <c r="BX40" s="29">
        <f t="shared" si="121"/>
        <v>9.0553849132592479</v>
      </c>
      <c r="BY40" s="29">
        <f t="shared" si="81"/>
        <v>0.24934368174944346</v>
      </c>
      <c r="BZ40" s="29">
        <f t="shared" si="122"/>
        <v>85.065268638931883</v>
      </c>
      <c r="CA40" s="29">
        <f t="shared" si="83"/>
        <v>0</v>
      </c>
      <c r="CB40" s="29">
        <f t="shared" si="123"/>
        <v>0</v>
      </c>
      <c r="CC40" s="32">
        <f t="shared" si="124"/>
        <v>0.40307992655113556</v>
      </c>
      <c r="CD40" s="29">
        <f t="shared" si="86"/>
        <v>3.5304564600284866E-3</v>
      </c>
      <c r="CE40" s="29">
        <f t="shared" si="125"/>
        <v>211.02638674598001</v>
      </c>
      <c r="CF40" s="29">
        <f t="shared" si="88"/>
        <v>6.1912251413296275E-3</v>
      </c>
      <c r="CG40" s="30">
        <f t="shared" si="126"/>
        <v>85.065268638931883</v>
      </c>
    </row>
    <row r="41" spans="2:85" x14ac:dyDescent="0.25">
      <c r="B41" s="69" t="s">
        <v>121</v>
      </c>
      <c r="C41" s="70"/>
      <c r="D41" s="71"/>
      <c r="F41" s="69" t="s">
        <v>122</v>
      </c>
      <c r="G41" s="70"/>
      <c r="H41" s="71"/>
      <c r="T41" s="25">
        <v>0</v>
      </c>
      <c r="U41" s="26">
        <v>1</v>
      </c>
      <c r="V41" s="26">
        <v>1</v>
      </c>
      <c r="W41" s="27">
        <v>0</v>
      </c>
      <c r="X41" s="28">
        <f>+D50</f>
        <v>84.977999999999994</v>
      </c>
      <c r="Y41" s="29">
        <f>+D56</f>
        <v>0</v>
      </c>
      <c r="Z41" s="29">
        <f>+H51</f>
        <v>210.91</v>
      </c>
      <c r="AA41" s="30">
        <f>+H55</f>
        <v>85</v>
      </c>
      <c r="AB41" s="28">
        <f t="shared" si="62"/>
        <v>9.9048449468125687E-5</v>
      </c>
      <c r="AC41" s="29">
        <f t="shared" si="63"/>
        <v>0</v>
      </c>
      <c r="AD41" s="29">
        <f t="shared" si="64"/>
        <v>2.6738493017911054E-3</v>
      </c>
      <c r="AE41" s="29">
        <f t="shared" si="65"/>
        <v>2.9762411425611839E-3</v>
      </c>
      <c r="AF41" s="29">
        <f t="shared" si="90"/>
        <v>84.978099048449465</v>
      </c>
      <c r="AG41" s="29">
        <f t="shared" si="66"/>
        <v>0</v>
      </c>
      <c r="AH41" s="29">
        <f t="shared" si="67"/>
        <v>210.9126738493018</v>
      </c>
      <c r="AI41" s="30">
        <f t="shared" si="68"/>
        <v>85.002976241142562</v>
      </c>
      <c r="AJ41" s="31">
        <f t="shared" si="91"/>
        <v>0</v>
      </c>
      <c r="AK41" s="29">
        <f t="shared" si="92"/>
        <v>0</v>
      </c>
      <c r="AL41" s="29">
        <f t="shared" si="93"/>
        <v>0</v>
      </c>
      <c r="AM41" s="29">
        <f t="shared" si="94"/>
        <v>-0.78264147959751307</v>
      </c>
      <c r="AN41" s="29">
        <f t="shared" si="95"/>
        <v>0</v>
      </c>
      <c r="AO41" s="29">
        <f t="shared" si="96"/>
        <v>0</v>
      </c>
      <c r="AP41" s="29">
        <f t="shared" si="97"/>
        <v>84.977999999999994</v>
      </c>
      <c r="AQ41" s="29">
        <f t="shared" si="98"/>
        <v>0</v>
      </c>
      <c r="AR41" s="29">
        <f t="shared" si="99"/>
        <v>0</v>
      </c>
      <c r="AS41" s="32">
        <f t="shared" si="100"/>
        <v>0.40301550424351618</v>
      </c>
      <c r="AT41" s="29">
        <f t="shared" si="101"/>
        <v>0</v>
      </c>
      <c r="AU41" s="29">
        <f t="shared" si="102"/>
        <v>210.91</v>
      </c>
      <c r="AV41" s="29">
        <f t="shared" si="103"/>
        <v>0</v>
      </c>
      <c r="AW41" s="30">
        <f t="shared" si="104"/>
        <v>85</v>
      </c>
      <c r="AX41" s="28">
        <f t="shared" si="69"/>
        <v>85.31461232068132</v>
      </c>
      <c r="AY41" s="29">
        <f t="shared" si="70"/>
        <v>0</v>
      </c>
      <c r="AZ41" s="29">
        <f t="shared" si="71"/>
        <v>211.05187621404235</v>
      </c>
      <c r="BA41" s="29">
        <f t="shared" si="72"/>
        <v>85.059078205461731</v>
      </c>
      <c r="BB41" s="32">
        <f t="shared" si="105"/>
        <v>0</v>
      </c>
      <c r="BC41" s="29">
        <f t="shared" si="106"/>
        <v>0.25553411521958935</v>
      </c>
      <c r="BD41" s="29">
        <f t="shared" si="107"/>
        <v>3.0039770444138915E-3</v>
      </c>
      <c r="BE41" s="29">
        <f t="shared" si="73"/>
        <v>9.055373411974335</v>
      </c>
      <c r="BF41" s="29">
        <f t="shared" si="108"/>
        <v>9.055373411974335</v>
      </c>
      <c r="BG41" s="29">
        <f t="shared" si="74"/>
        <v>0.24934336505691712</v>
      </c>
      <c r="BH41" s="29">
        <f t="shared" si="109"/>
        <v>85.065268955624404</v>
      </c>
      <c r="BI41" s="29">
        <f t="shared" si="75"/>
        <v>0</v>
      </c>
      <c r="BJ41" s="29">
        <f t="shared" si="110"/>
        <v>0</v>
      </c>
      <c r="BK41" s="32">
        <f t="shared" si="111"/>
        <v>0.4030245062555019</v>
      </c>
      <c r="BL41" s="29">
        <f t="shared" si="76"/>
        <v>3.5297783175870455E-3</v>
      </c>
      <c r="BM41" s="29">
        <f t="shared" si="112"/>
        <v>211.05540599235994</v>
      </c>
      <c r="BN41" s="29">
        <f t="shared" si="77"/>
        <v>6.190750162672223E-3</v>
      </c>
      <c r="BO41" s="30">
        <f t="shared" si="113"/>
        <v>85.065268955624404</v>
      </c>
      <c r="BP41" s="28">
        <f t="shared" si="114"/>
        <v>85.31461232068132</v>
      </c>
      <c r="BQ41" s="29">
        <f t="shared" si="115"/>
        <v>0</v>
      </c>
      <c r="BR41" s="29">
        <f t="shared" si="116"/>
        <v>211.05187621404235</v>
      </c>
      <c r="BS41" s="29">
        <f t="shared" si="117"/>
        <v>85.059078205461731</v>
      </c>
      <c r="BT41" s="32">
        <f t="shared" si="118"/>
        <v>0</v>
      </c>
      <c r="BU41" s="29">
        <f t="shared" si="119"/>
        <v>0.25553411521958935</v>
      </c>
      <c r="BV41" s="29">
        <f t="shared" si="120"/>
        <v>3.0039770444138915E-3</v>
      </c>
      <c r="BW41" s="29">
        <f t="shared" si="80"/>
        <v>9.055373411974335</v>
      </c>
      <c r="BX41" s="29">
        <f t="shared" si="121"/>
        <v>9.055373411974335</v>
      </c>
      <c r="BY41" s="29">
        <f t="shared" si="81"/>
        <v>0.24934336505691712</v>
      </c>
      <c r="BZ41" s="29">
        <f t="shared" si="122"/>
        <v>85.065268955624404</v>
      </c>
      <c r="CA41" s="29">
        <f t="shared" si="83"/>
        <v>0</v>
      </c>
      <c r="CB41" s="29">
        <f t="shared" si="123"/>
        <v>0</v>
      </c>
      <c r="CC41" s="32">
        <f t="shared" si="124"/>
        <v>0.4030245062555019</v>
      </c>
      <c r="CD41" s="29">
        <f t="shared" si="86"/>
        <v>3.5297783175870455E-3</v>
      </c>
      <c r="CE41" s="29">
        <f t="shared" si="125"/>
        <v>211.05540599235994</v>
      </c>
      <c r="CF41" s="29">
        <f t="shared" si="88"/>
        <v>6.190750162672223E-3</v>
      </c>
      <c r="CG41" s="30">
        <f t="shared" si="126"/>
        <v>85.065268955624404</v>
      </c>
    </row>
    <row r="42" spans="2:85" x14ac:dyDescent="0.25">
      <c r="B42" s="14" t="s">
        <v>123</v>
      </c>
      <c r="C42" s="14" t="s">
        <v>124</v>
      </c>
      <c r="D42" s="6">
        <v>7850</v>
      </c>
      <c r="F42" s="14" t="s">
        <v>123</v>
      </c>
      <c r="G42" s="14" t="s">
        <v>124</v>
      </c>
      <c r="H42" s="6">
        <v>7850</v>
      </c>
      <c r="T42" s="25">
        <v>0</v>
      </c>
      <c r="U42" s="26">
        <v>1</v>
      </c>
      <c r="V42" s="26">
        <v>0</v>
      </c>
      <c r="W42" s="27">
        <v>1</v>
      </c>
      <c r="X42" s="28">
        <f>+D50</f>
        <v>84.977999999999994</v>
      </c>
      <c r="Y42" s="29">
        <f>+D56</f>
        <v>0</v>
      </c>
      <c r="Z42" s="29">
        <f>+H50</f>
        <v>210.881</v>
      </c>
      <c r="AA42" s="30">
        <f>+H56</f>
        <v>85.010999999999996</v>
      </c>
      <c r="AB42" s="28">
        <f t="shared" si="62"/>
        <v>9.9048449468125687E-5</v>
      </c>
      <c r="AC42" s="29">
        <f t="shared" si="63"/>
        <v>0</v>
      </c>
      <c r="AD42" s="29">
        <f t="shared" si="64"/>
        <v>2.6733653866324245E-3</v>
      </c>
      <c r="AE42" s="29">
        <f t="shared" si="65"/>
        <v>2.9758607127368421E-3</v>
      </c>
      <c r="AF42" s="29">
        <f t="shared" si="90"/>
        <v>84.978099048449465</v>
      </c>
      <c r="AG42" s="29">
        <f t="shared" si="66"/>
        <v>0</v>
      </c>
      <c r="AH42" s="29">
        <f t="shared" si="67"/>
        <v>210.88367336538664</v>
      </c>
      <c r="AI42" s="30">
        <f t="shared" si="68"/>
        <v>85.013975860712733</v>
      </c>
      <c r="AJ42" s="31">
        <f t="shared" si="91"/>
        <v>0</v>
      </c>
      <c r="AK42" s="29">
        <f t="shared" si="92"/>
        <v>0</v>
      </c>
      <c r="AL42" s="29">
        <f t="shared" si="93"/>
        <v>0</v>
      </c>
      <c r="AM42" s="29">
        <f t="shared" si="94"/>
        <v>-1.1739543466047071</v>
      </c>
      <c r="AN42" s="29">
        <f t="shared" si="95"/>
        <v>0</v>
      </c>
      <c r="AO42" s="29">
        <f t="shared" si="96"/>
        <v>0</v>
      </c>
      <c r="AP42" s="29">
        <f t="shared" si="97"/>
        <v>84.977999999999994</v>
      </c>
      <c r="AQ42" s="29">
        <f t="shared" si="98"/>
        <v>0</v>
      </c>
      <c r="AR42" s="29">
        <f t="shared" si="99"/>
        <v>0</v>
      </c>
      <c r="AS42" s="32">
        <f t="shared" si="100"/>
        <v>0.40312308837685706</v>
      </c>
      <c r="AT42" s="29">
        <f t="shared" si="101"/>
        <v>0</v>
      </c>
      <c r="AU42" s="29">
        <f t="shared" si="102"/>
        <v>210.881</v>
      </c>
      <c r="AV42" s="29">
        <f t="shared" si="103"/>
        <v>0</v>
      </c>
      <c r="AW42" s="30">
        <f t="shared" si="104"/>
        <v>85.010999999999996</v>
      </c>
      <c r="AX42" s="28">
        <f t="shared" si="69"/>
        <v>85.31461232068132</v>
      </c>
      <c r="AY42" s="29">
        <f t="shared" si="70"/>
        <v>0</v>
      </c>
      <c r="AZ42" s="29">
        <f t="shared" si="71"/>
        <v>211.02285658980782</v>
      </c>
      <c r="BA42" s="29">
        <f t="shared" si="72"/>
        <v>85.070085084780814</v>
      </c>
      <c r="BB42" s="32">
        <f t="shared" si="105"/>
        <v>0</v>
      </c>
      <c r="BC42" s="29">
        <f t="shared" si="106"/>
        <v>0.24452723590050598</v>
      </c>
      <c r="BD42" s="29">
        <f t="shared" si="107"/>
        <v>2.8742207549312645E-3</v>
      </c>
      <c r="BE42" s="29">
        <f t="shared" si="73"/>
        <v>8.6652642309613803</v>
      </c>
      <c r="BF42" s="29">
        <f t="shared" si="108"/>
        <v>8.6652642309613803</v>
      </c>
      <c r="BG42" s="29">
        <f t="shared" si="74"/>
        <v>0.23860155116277756</v>
      </c>
      <c r="BH42" s="29">
        <f t="shared" si="109"/>
        <v>85.076010769518547</v>
      </c>
      <c r="BI42" s="29">
        <f t="shared" si="75"/>
        <v>0</v>
      </c>
      <c r="BJ42" s="29">
        <f t="shared" si="110"/>
        <v>0</v>
      </c>
      <c r="BK42" s="32">
        <f t="shared" si="111"/>
        <v>0.40313208938376965</v>
      </c>
      <c r="BL42" s="29">
        <f t="shared" si="76"/>
        <v>3.3794028052797479E-3</v>
      </c>
      <c r="BM42" s="29">
        <f t="shared" si="112"/>
        <v>211.0262359926131</v>
      </c>
      <c r="BN42" s="29">
        <f t="shared" si="77"/>
        <v>5.9256847377284171E-3</v>
      </c>
      <c r="BO42" s="30">
        <f t="shared" si="113"/>
        <v>85.076010769518547</v>
      </c>
      <c r="BP42" s="28">
        <f t="shared" si="114"/>
        <v>85.31461232068132</v>
      </c>
      <c r="BQ42" s="29">
        <f t="shared" si="115"/>
        <v>0</v>
      </c>
      <c r="BR42" s="29">
        <f t="shared" si="116"/>
        <v>211.02285658980782</v>
      </c>
      <c r="BS42" s="29">
        <f t="shared" si="117"/>
        <v>85.070085084780814</v>
      </c>
      <c r="BT42" s="32">
        <f t="shared" si="118"/>
        <v>0</v>
      </c>
      <c r="BU42" s="29">
        <f t="shared" si="119"/>
        <v>0.24452723590050598</v>
      </c>
      <c r="BV42" s="29">
        <f t="shared" si="120"/>
        <v>2.8742207549312645E-3</v>
      </c>
      <c r="BW42" s="29">
        <f t="shared" si="80"/>
        <v>8.6652642309613803</v>
      </c>
      <c r="BX42" s="29">
        <f t="shared" si="121"/>
        <v>8.6652642309613803</v>
      </c>
      <c r="BY42" s="29">
        <f t="shared" si="81"/>
        <v>0.23860155116277756</v>
      </c>
      <c r="BZ42" s="29">
        <f t="shared" si="122"/>
        <v>85.076010769518547</v>
      </c>
      <c r="CA42" s="29">
        <f t="shared" si="83"/>
        <v>0</v>
      </c>
      <c r="CB42" s="29">
        <f t="shared" si="123"/>
        <v>0</v>
      </c>
      <c r="CC42" s="32">
        <f t="shared" si="124"/>
        <v>0.40313208938376965</v>
      </c>
      <c r="CD42" s="29">
        <f t="shared" si="86"/>
        <v>3.3794028052797479E-3</v>
      </c>
      <c r="CE42" s="29">
        <f t="shared" si="125"/>
        <v>211.0262359926131</v>
      </c>
      <c r="CF42" s="29">
        <f t="shared" si="88"/>
        <v>5.9256847377284171E-3</v>
      </c>
      <c r="CG42" s="30">
        <f t="shared" si="126"/>
        <v>85.076010769518547</v>
      </c>
    </row>
    <row r="43" spans="2:85" ht="18" x14ac:dyDescent="0.25">
      <c r="B43" s="14" t="s">
        <v>63</v>
      </c>
      <c r="C43" s="14" t="s">
        <v>64</v>
      </c>
      <c r="D43" s="6">
        <v>0.3</v>
      </c>
      <c r="F43" s="14" t="s">
        <v>65</v>
      </c>
      <c r="G43" s="14" t="s">
        <v>64</v>
      </c>
      <c r="H43" s="6">
        <v>0.3</v>
      </c>
      <c r="T43" s="25">
        <v>0</v>
      </c>
      <c r="U43" s="26">
        <v>1</v>
      </c>
      <c r="V43" s="26">
        <v>1</v>
      </c>
      <c r="W43" s="27">
        <v>1</v>
      </c>
      <c r="X43" s="28">
        <f>+D50</f>
        <v>84.977999999999994</v>
      </c>
      <c r="Y43" s="29">
        <f>+D56</f>
        <v>0</v>
      </c>
      <c r="Z43" s="29">
        <f>+H51</f>
        <v>210.91</v>
      </c>
      <c r="AA43" s="30">
        <f>+H56</f>
        <v>85.010999999999996</v>
      </c>
      <c r="AB43" s="28">
        <f t="shared" si="62"/>
        <v>9.9048449468125687E-5</v>
      </c>
      <c r="AC43" s="29">
        <f t="shared" si="63"/>
        <v>0</v>
      </c>
      <c r="AD43" s="29">
        <f t="shared" si="64"/>
        <v>2.6741494328519845E-3</v>
      </c>
      <c r="AE43" s="29">
        <f t="shared" si="65"/>
        <v>2.9766519641453632E-3</v>
      </c>
      <c r="AF43" s="29">
        <f t="shared" si="90"/>
        <v>84.978099048449465</v>
      </c>
      <c r="AG43" s="29">
        <f t="shared" si="66"/>
        <v>0</v>
      </c>
      <c r="AH43" s="29">
        <f t="shared" si="67"/>
        <v>210.91267414943286</v>
      </c>
      <c r="AI43" s="30">
        <f t="shared" si="68"/>
        <v>85.013976651964143</v>
      </c>
      <c r="AJ43" s="31">
        <f t="shared" si="91"/>
        <v>0</v>
      </c>
      <c r="AK43" s="29">
        <f t="shared" si="92"/>
        <v>0</v>
      </c>
      <c r="AL43" s="29">
        <f t="shared" si="93"/>
        <v>0</v>
      </c>
      <c r="AM43" s="29">
        <f t="shared" si="94"/>
        <v>-1.17395650071102</v>
      </c>
      <c r="AN43" s="29">
        <f t="shared" si="95"/>
        <v>0</v>
      </c>
      <c r="AO43" s="29">
        <f t="shared" si="96"/>
        <v>0</v>
      </c>
      <c r="AP43" s="29">
        <f t="shared" si="97"/>
        <v>84.977999999999994</v>
      </c>
      <c r="AQ43" s="29">
        <f t="shared" si="98"/>
        <v>0</v>
      </c>
      <c r="AR43" s="29">
        <f t="shared" si="99"/>
        <v>0</v>
      </c>
      <c r="AS43" s="32">
        <f t="shared" si="100"/>
        <v>0.40306765919112414</v>
      </c>
      <c r="AT43" s="29">
        <f t="shared" si="101"/>
        <v>0</v>
      </c>
      <c r="AU43" s="29">
        <f t="shared" si="102"/>
        <v>210.91</v>
      </c>
      <c r="AV43" s="29">
        <f t="shared" si="103"/>
        <v>0</v>
      </c>
      <c r="AW43" s="30">
        <f t="shared" si="104"/>
        <v>85.010999999999996</v>
      </c>
      <c r="AX43" s="28">
        <f t="shared" si="69"/>
        <v>85.31461232068132</v>
      </c>
      <c r="AY43" s="29">
        <f t="shared" si="70"/>
        <v>0</v>
      </c>
      <c r="AZ43" s="29">
        <f t="shared" si="71"/>
        <v>211.05187651437151</v>
      </c>
      <c r="BA43" s="29">
        <f t="shared" si="72"/>
        <v>85.070085876554444</v>
      </c>
      <c r="BB43" s="32">
        <f t="shared" si="105"/>
        <v>0</v>
      </c>
      <c r="BC43" s="29">
        <f t="shared" si="106"/>
        <v>0.24452644412687624</v>
      </c>
      <c r="BD43" s="29">
        <f t="shared" si="107"/>
        <v>2.8742114369111394E-3</v>
      </c>
      <c r="BE43" s="29">
        <f t="shared" si="73"/>
        <v>8.6652520207088273</v>
      </c>
      <c r="BF43" s="29">
        <f t="shared" si="108"/>
        <v>8.6652520207088273</v>
      </c>
      <c r="BG43" s="29">
        <f t="shared" si="74"/>
        <v>0.23860121494854086</v>
      </c>
      <c r="BH43" s="29">
        <f t="shared" si="109"/>
        <v>85.076011105732775</v>
      </c>
      <c r="BI43" s="29">
        <f t="shared" si="75"/>
        <v>0</v>
      </c>
      <c r="BJ43" s="29">
        <f t="shared" si="110"/>
        <v>0</v>
      </c>
      <c r="BK43" s="32">
        <f t="shared" si="111"/>
        <v>0.40307666191615987</v>
      </c>
      <c r="BL43" s="29">
        <f t="shared" si="76"/>
        <v>3.3787531524110664E-3</v>
      </c>
      <c r="BM43" s="29">
        <f t="shared" si="112"/>
        <v>211.05525526752393</v>
      </c>
      <c r="BN43" s="29">
        <f t="shared" si="77"/>
        <v>5.9252291783353792E-3</v>
      </c>
      <c r="BO43" s="30">
        <f t="shared" si="113"/>
        <v>85.076011105732775</v>
      </c>
      <c r="BP43" s="28">
        <f t="shared" si="114"/>
        <v>85.31461232068132</v>
      </c>
      <c r="BQ43" s="29">
        <f t="shared" si="115"/>
        <v>0</v>
      </c>
      <c r="BR43" s="29">
        <f t="shared" si="116"/>
        <v>211.05187651437151</v>
      </c>
      <c r="BS43" s="29">
        <f t="shared" si="117"/>
        <v>85.070085876554444</v>
      </c>
      <c r="BT43" s="32">
        <f t="shared" si="118"/>
        <v>0</v>
      </c>
      <c r="BU43" s="29">
        <f t="shared" si="119"/>
        <v>0.24452644412687624</v>
      </c>
      <c r="BV43" s="29">
        <f t="shared" si="120"/>
        <v>2.8742114369111394E-3</v>
      </c>
      <c r="BW43" s="29">
        <f t="shared" si="80"/>
        <v>8.6652520207088273</v>
      </c>
      <c r="BX43" s="29">
        <f t="shared" si="121"/>
        <v>8.6652520207088273</v>
      </c>
      <c r="BY43" s="29">
        <f t="shared" si="81"/>
        <v>0.23860121494854086</v>
      </c>
      <c r="BZ43" s="29">
        <f t="shared" si="122"/>
        <v>85.076011105732775</v>
      </c>
      <c r="CA43" s="29">
        <f t="shared" si="83"/>
        <v>0</v>
      </c>
      <c r="CB43" s="29">
        <f t="shared" si="123"/>
        <v>0</v>
      </c>
      <c r="CC43" s="32">
        <f t="shared" si="124"/>
        <v>0.40307666191615987</v>
      </c>
      <c r="CD43" s="29">
        <f t="shared" si="86"/>
        <v>3.3787531524110664E-3</v>
      </c>
      <c r="CE43" s="29">
        <f t="shared" si="125"/>
        <v>211.05525526752393</v>
      </c>
      <c r="CF43" s="29">
        <f t="shared" si="88"/>
        <v>5.9252291783353792E-3</v>
      </c>
      <c r="CG43" s="30">
        <f t="shared" si="126"/>
        <v>85.076011105732775</v>
      </c>
    </row>
    <row r="44" spans="2:85" ht="18" x14ac:dyDescent="0.25">
      <c r="B44" s="14" t="s">
        <v>66</v>
      </c>
      <c r="C44" s="14" t="s">
        <v>67</v>
      </c>
      <c r="D44" s="6">
        <v>210</v>
      </c>
      <c r="F44" s="14" t="s">
        <v>68</v>
      </c>
      <c r="G44" s="14" t="s">
        <v>67</v>
      </c>
      <c r="H44" s="6">
        <v>210</v>
      </c>
      <c r="T44" s="25">
        <v>0</v>
      </c>
      <c r="U44" s="26">
        <v>0</v>
      </c>
      <c r="V44" s="26">
        <v>1</v>
      </c>
      <c r="W44" s="27">
        <v>0</v>
      </c>
      <c r="X44" s="28">
        <f>+D50</f>
        <v>84.977999999999994</v>
      </c>
      <c r="Y44" s="29">
        <f>+D55</f>
        <v>0</v>
      </c>
      <c r="Z44" s="29">
        <f>+H51</f>
        <v>210.91</v>
      </c>
      <c r="AA44" s="30">
        <f>+H55</f>
        <v>85</v>
      </c>
      <c r="AB44" s="28">
        <f t="shared" si="62"/>
        <v>9.9048449468125687E-5</v>
      </c>
      <c r="AC44" s="29">
        <f t="shared" si="63"/>
        <v>0</v>
      </c>
      <c r="AD44" s="29">
        <f t="shared" si="64"/>
        <v>2.6738493017911054E-3</v>
      </c>
      <c r="AE44" s="29">
        <f t="shared" si="65"/>
        <v>2.9762411425611839E-3</v>
      </c>
      <c r="AF44" s="29">
        <f t="shared" si="90"/>
        <v>84.978099048449465</v>
      </c>
      <c r="AG44" s="29">
        <f t="shared" si="66"/>
        <v>0</v>
      </c>
      <c r="AH44" s="29">
        <f t="shared" si="67"/>
        <v>210.9126738493018</v>
      </c>
      <c r="AI44" s="30">
        <f t="shared" si="68"/>
        <v>85.002976241142562</v>
      </c>
      <c r="AJ44" s="31">
        <f t="shared" si="91"/>
        <v>0</v>
      </c>
      <c r="AK44" s="29">
        <f t="shared" si="92"/>
        <v>0</v>
      </c>
      <c r="AL44" s="29">
        <f t="shared" si="93"/>
        <v>0</v>
      </c>
      <c r="AM44" s="29">
        <f t="shared" si="94"/>
        <v>-0.78264147959751307</v>
      </c>
      <c r="AN44" s="29">
        <f t="shared" si="95"/>
        <v>0</v>
      </c>
      <c r="AO44" s="29">
        <f t="shared" si="96"/>
        <v>0</v>
      </c>
      <c r="AP44" s="29">
        <f t="shared" si="97"/>
        <v>84.977999999999994</v>
      </c>
      <c r="AQ44" s="29">
        <f t="shared" si="98"/>
        <v>0</v>
      </c>
      <c r="AR44" s="29">
        <f t="shared" si="99"/>
        <v>0</v>
      </c>
      <c r="AS44" s="32">
        <f t="shared" si="100"/>
        <v>0.40301550424351618</v>
      </c>
      <c r="AT44" s="29">
        <f t="shared" si="101"/>
        <v>0</v>
      </c>
      <c r="AU44" s="29">
        <f t="shared" si="102"/>
        <v>210.91</v>
      </c>
      <c r="AV44" s="29">
        <f t="shared" si="103"/>
        <v>0</v>
      </c>
      <c r="AW44" s="30">
        <f t="shared" si="104"/>
        <v>85</v>
      </c>
      <c r="AX44" s="28">
        <f t="shared" si="69"/>
        <v>85.31461232068132</v>
      </c>
      <c r="AY44" s="29">
        <f t="shared" si="70"/>
        <v>0</v>
      </c>
      <c r="AZ44" s="29">
        <f t="shared" si="71"/>
        <v>211.05187621404235</v>
      </c>
      <c r="BA44" s="29">
        <f t="shared" si="72"/>
        <v>85.059078205461731</v>
      </c>
      <c r="BB44" s="32">
        <f t="shared" si="105"/>
        <v>0</v>
      </c>
      <c r="BC44" s="29">
        <f t="shared" si="106"/>
        <v>0.25553411521958935</v>
      </c>
      <c r="BD44" s="29">
        <f t="shared" si="107"/>
        <v>3.0039770444138915E-3</v>
      </c>
      <c r="BE44" s="29">
        <f t="shared" si="73"/>
        <v>9.055373411974335</v>
      </c>
      <c r="BF44" s="29">
        <f t="shared" si="108"/>
        <v>9.055373411974335</v>
      </c>
      <c r="BG44" s="29">
        <f t="shared" si="74"/>
        <v>0.24934336505691712</v>
      </c>
      <c r="BH44" s="29">
        <f t="shared" si="109"/>
        <v>85.065268955624404</v>
      </c>
      <c r="BI44" s="29">
        <f t="shared" si="75"/>
        <v>0</v>
      </c>
      <c r="BJ44" s="29">
        <f t="shared" si="110"/>
        <v>0</v>
      </c>
      <c r="BK44" s="32">
        <f t="shared" si="111"/>
        <v>0.4030245062555019</v>
      </c>
      <c r="BL44" s="29">
        <f t="shared" si="76"/>
        <v>3.5297783175870455E-3</v>
      </c>
      <c r="BM44" s="29">
        <f t="shared" si="112"/>
        <v>211.05540599235994</v>
      </c>
      <c r="BN44" s="29">
        <f t="shared" si="77"/>
        <v>6.190750162672223E-3</v>
      </c>
      <c r="BO44" s="30">
        <f t="shared" si="113"/>
        <v>85.065268955624404</v>
      </c>
      <c r="BP44" s="28">
        <f t="shared" si="114"/>
        <v>85.31461232068132</v>
      </c>
      <c r="BQ44" s="29">
        <f t="shared" si="115"/>
        <v>0</v>
      </c>
      <c r="BR44" s="29">
        <f t="shared" si="116"/>
        <v>211.05187621404235</v>
      </c>
      <c r="BS44" s="29">
        <f t="shared" si="117"/>
        <v>85.059078205461731</v>
      </c>
      <c r="BT44" s="32">
        <f t="shared" si="118"/>
        <v>0</v>
      </c>
      <c r="BU44" s="29">
        <f t="shared" si="119"/>
        <v>0.25553411521958935</v>
      </c>
      <c r="BV44" s="29">
        <f t="shared" si="120"/>
        <v>3.0039770444138915E-3</v>
      </c>
      <c r="BW44" s="29">
        <f t="shared" si="80"/>
        <v>9.055373411974335</v>
      </c>
      <c r="BX44" s="29">
        <f t="shared" si="121"/>
        <v>9.055373411974335</v>
      </c>
      <c r="BY44" s="29">
        <f t="shared" si="81"/>
        <v>0.24934336505691712</v>
      </c>
      <c r="BZ44" s="29">
        <f t="shared" si="122"/>
        <v>85.065268955624404</v>
      </c>
      <c r="CA44" s="29">
        <f t="shared" si="83"/>
        <v>0</v>
      </c>
      <c r="CB44" s="29">
        <f t="shared" si="123"/>
        <v>0</v>
      </c>
      <c r="CC44" s="32">
        <f t="shared" si="124"/>
        <v>0.4030245062555019</v>
      </c>
      <c r="CD44" s="29">
        <f t="shared" si="86"/>
        <v>3.5297783175870455E-3</v>
      </c>
      <c r="CE44" s="29">
        <f t="shared" si="125"/>
        <v>211.05540599235994</v>
      </c>
      <c r="CF44" s="29">
        <f t="shared" si="88"/>
        <v>6.190750162672223E-3</v>
      </c>
      <c r="CG44" s="30">
        <f t="shared" si="126"/>
        <v>85.065268955624404</v>
      </c>
    </row>
    <row r="45" spans="2:85" ht="18" x14ac:dyDescent="0.25">
      <c r="B45" s="14" t="s">
        <v>69</v>
      </c>
      <c r="C45" s="14" t="s">
        <v>125</v>
      </c>
      <c r="D45" s="47">
        <v>1.2E-5</v>
      </c>
      <c r="F45" s="14" t="s">
        <v>71</v>
      </c>
      <c r="G45" s="14" t="s">
        <v>125</v>
      </c>
      <c r="H45" s="47">
        <v>1.2E-5</v>
      </c>
      <c r="T45" s="25">
        <v>0</v>
      </c>
      <c r="U45" s="26">
        <v>0</v>
      </c>
      <c r="V45" s="26">
        <v>1</v>
      </c>
      <c r="W45" s="27">
        <v>1</v>
      </c>
      <c r="X45" s="28">
        <f>+D50</f>
        <v>84.977999999999994</v>
      </c>
      <c r="Y45" s="29">
        <f>+D55</f>
        <v>0</v>
      </c>
      <c r="Z45" s="29">
        <f>+H51</f>
        <v>210.91</v>
      </c>
      <c r="AA45" s="30">
        <f>+H56</f>
        <v>85.010999999999996</v>
      </c>
      <c r="AB45" s="28">
        <f t="shared" si="62"/>
        <v>9.9048449468125687E-5</v>
      </c>
      <c r="AC45" s="29">
        <f t="shared" si="63"/>
        <v>0</v>
      </c>
      <c r="AD45" s="29">
        <f t="shared" si="64"/>
        <v>2.6741494328519845E-3</v>
      </c>
      <c r="AE45" s="29">
        <f t="shared" si="65"/>
        <v>2.9766519641453632E-3</v>
      </c>
      <c r="AF45" s="29">
        <f t="shared" si="90"/>
        <v>84.978099048449465</v>
      </c>
      <c r="AG45" s="29">
        <f t="shared" si="66"/>
        <v>0</v>
      </c>
      <c r="AH45" s="29">
        <f t="shared" si="67"/>
        <v>210.91267414943286</v>
      </c>
      <c r="AI45" s="30">
        <f t="shared" si="68"/>
        <v>85.013976651964143</v>
      </c>
      <c r="AJ45" s="31">
        <f t="shared" si="91"/>
        <v>0</v>
      </c>
      <c r="AK45" s="29">
        <f t="shared" si="92"/>
        <v>0</v>
      </c>
      <c r="AL45" s="29">
        <f t="shared" si="93"/>
        <v>0</v>
      </c>
      <c r="AM45" s="29">
        <f t="shared" si="94"/>
        <v>-1.17395650071102</v>
      </c>
      <c r="AN45" s="29">
        <f t="shared" si="95"/>
        <v>0</v>
      </c>
      <c r="AO45" s="29">
        <f t="shared" si="96"/>
        <v>0</v>
      </c>
      <c r="AP45" s="29">
        <f t="shared" si="97"/>
        <v>84.977999999999994</v>
      </c>
      <c r="AQ45" s="29">
        <f t="shared" si="98"/>
        <v>0</v>
      </c>
      <c r="AR45" s="29">
        <f t="shared" si="99"/>
        <v>0</v>
      </c>
      <c r="AS45" s="32">
        <f t="shared" si="100"/>
        <v>0.40306765919112414</v>
      </c>
      <c r="AT45" s="29">
        <f t="shared" si="101"/>
        <v>0</v>
      </c>
      <c r="AU45" s="29">
        <f t="shared" si="102"/>
        <v>210.91</v>
      </c>
      <c r="AV45" s="29">
        <f t="shared" si="103"/>
        <v>0</v>
      </c>
      <c r="AW45" s="30">
        <f t="shared" si="104"/>
        <v>85.010999999999996</v>
      </c>
      <c r="AX45" s="28">
        <f t="shared" si="69"/>
        <v>85.31461232068132</v>
      </c>
      <c r="AY45" s="29">
        <f t="shared" si="70"/>
        <v>0</v>
      </c>
      <c r="AZ45" s="29">
        <f t="shared" si="71"/>
        <v>211.05187651437151</v>
      </c>
      <c r="BA45" s="29">
        <f t="shared" si="72"/>
        <v>85.070085876554444</v>
      </c>
      <c r="BB45" s="32">
        <f t="shared" si="105"/>
        <v>0</v>
      </c>
      <c r="BC45" s="29">
        <f t="shared" si="106"/>
        <v>0.24452644412687624</v>
      </c>
      <c r="BD45" s="29">
        <f t="shared" si="107"/>
        <v>2.8742114369111394E-3</v>
      </c>
      <c r="BE45" s="29">
        <f t="shared" si="73"/>
        <v>8.6652520207088273</v>
      </c>
      <c r="BF45" s="29">
        <f t="shared" si="108"/>
        <v>8.6652520207088273</v>
      </c>
      <c r="BG45" s="29">
        <f t="shared" si="74"/>
        <v>0.23860121494854086</v>
      </c>
      <c r="BH45" s="29">
        <f t="shared" si="109"/>
        <v>85.076011105732775</v>
      </c>
      <c r="BI45" s="29">
        <f t="shared" si="75"/>
        <v>0</v>
      </c>
      <c r="BJ45" s="29">
        <f t="shared" si="110"/>
        <v>0</v>
      </c>
      <c r="BK45" s="32">
        <f t="shared" si="111"/>
        <v>0.40307666191615987</v>
      </c>
      <c r="BL45" s="29">
        <f t="shared" si="76"/>
        <v>3.3787531524110664E-3</v>
      </c>
      <c r="BM45" s="29">
        <f t="shared" si="112"/>
        <v>211.05525526752393</v>
      </c>
      <c r="BN45" s="29">
        <f t="shared" si="77"/>
        <v>5.9252291783353792E-3</v>
      </c>
      <c r="BO45" s="30">
        <f t="shared" si="113"/>
        <v>85.076011105732775</v>
      </c>
      <c r="BP45" s="28">
        <f t="shared" si="114"/>
        <v>85.31461232068132</v>
      </c>
      <c r="BQ45" s="29">
        <f t="shared" si="115"/>
        <v>0</v>
      </c>
      <c r="BR45" s="29">
        <f t="shared" si="116"/>
        <v>211.05187651437151</v>
      </c>
      <c r="BS45" s="29">
        <f t="shared" si="117"/>
        <v>85.070085876554444</v>
      </c>
      <c r="BT45" s="32">
        <f t="shared" si="118"/>
        <v>0</v>
      </c>
      <c r="BU45" s="29">
        <f t="shared" si="119"/>
        <v>0.24452644412687624</v>
      </c>
      <c r="BV45" s="29">
        <f t="shared" si="120"/>
        <v>2.8742114369111394E-3</v>
      </c>
      <c r="BW45" s="29">
        <f t="shared" si="80"/>
        <v>8.6652520207088273</v>
      </c>
      <c r="BX45" s="29">
        <f t="shared" si="121"/>
        <v>8.6652520207088273</v>
      </c>
      <c r="BY45" s="29">
        <f t="shared" si="81"/>
        <v>0.23860121494854086</v>
      </c>
      <c r="BZ45" s="29">
        <f t="shared" si="122"/>
        <v>85.076011105732775</v>
      </c>
      <c r="CA45" s="29">
        <f t="shared" si="83"/>
        <v>0</v>
      </c>
      <c r="CB45" s="29">
        <f t="shared" si="123"/>
        <v>0</v>
      </c>
      <c r="CC45" s="32">
        <f t="shared" si="124"/>
        <v>0.40307666191615987</v>
      </c>
      <c r="CD45" s="29">
        <f t="shared" si="86"/>
        <v>3.3787531524110664E-3</v>
      </c>
      <c r="CE45" s="29">
        <f t="shared" si="125"/>
        <v>211.05525526752393</v>
      </c>
      <c r="CF45" s="29">
        <f t="shared" si="88"/>
        <v>5.9252291783353792E-3</v>
      </c>
      <c r="CG45" s="30">
        <f t="shared" si="126"/>
        <v>85.076011105732775</v>
      </c>
    </row>
    <row r="46" spans="2:85" ht="15.75" thickBot="1" x14ac:dyDescent="0.3">
      <c r="B46" s="14" t="s">
        <v>78</v>
      </c>
      <c r="C46" s="14" t="s">
        <v>79</v>
      </c>
      <c r="D46" s="48">
        <v>0</v>
      </c>
      <c r="F46" s="14" t="s">
        <v>78</v>
      </c>
      <c r="G46" s="14" t="s">
        <v>79</v>
      </c>
      <c r="H46" s="48">
        <v>0</v>
      </c>
      <c r="T46" s="34">
        <v>0</v>
      </c>
      <c r="U46" s="35">
        <v>0</v>
      </c>
      <c r="V46" s="35">
        <v>0</v>
      </c>
      <c r="W46" s="36">
        <v>1</v>
      </c>
      <c r="X46" s="37">
        <f>+D50</f>
        <v>84.977999999999994</v>
      </c>
      <c r="Y46" s="38">
        <f>+D55</f>
        <v>0</v>
      </c>
      <c r="Z46" s="38">
        <f>+H50</f>
        <v>210.881</v>
      </c>
      <c r="AA46" s="39">
        <f>+H56</f>
        <v>85.010999999999996</v>
      </c>
      <c r="AB46" s="37">
        <f t="shared" si="62"/>
        <v>9.9048449468125687E-5</v>
      </c>
      <c r="AC46" s="38">
        <f t="shared" si="63"/>
        <v>0</v>
      </c>
      <c r="AD46" s="38">
        <f t="shared" si="64"/>
        <v>2.6733653866324245E-3</v>
      </c>
      <c r="AE46" s="38">
        <f t="shared" si="65"/>
        <v>2.9758607127368421E-3</v>
      </c>
      <c r="AF46" s="38">
        <f t="shared" si="90"/>
        <v>84.978099048449465</v>
      </c>
      <c r="AG46" s="38">
        <f t="shared" si="66"/>
        <v>0</v>
      </c>
      <c r="AH46" s="38">
        <f t="shared" si="67"/>
        <v>210.88367336538664</v>
      </c>
      <c r="AI46" s="39">
        <f t="shared" si="68"/>
        <v>85.013975860712733</v>
      </c>
      <c r="AJ46" s="40">
        <f t="shared" si="91"/>
        <v>0</v>
      </c>
      <c r="AK46" s="38">
        <f t="shared" si="92"/>
        <v>0</v>
      </c>
      <c r="AL46" s="38">
        <f t="shared" si="93"/>
        <v>0</v>
      </c>
      <c r="AM46" s="38">
        <f t="shared" si="94"/>
        <v>-1.1739543466047071</v>
      </c>
      <c r="AN46" s="38">
        <f t="shared" si="95"/>
        <v>0</v>
      </c>
      <c r="AO46" s="38">
        <f t="shared" si="96"/>
        <v>0</v>
      </c>
      <c r="AP46" s="38">
        <f t="shared" si="97"/>
        <v>84.977999999999994</v>
      </c>
      <c r="AQ46" s="38">
        <f t="shared" si="98"/>
        <v>0</v>
      </c>
      <c r="AR46" s="38">
        <f t="shared" si="99"/>
        <v>0</v>
      </c>
      <c r="AS46" s="41">
        <f t="shared" si="100"/>
        <v>0.40312308837685706</v>
      </c>
      <c r="AT46" s="38">
        <f t="shared" si="101"/>
        <v>0</v>
      </c>
      <c r="AU46" s="38">
        <f t="shared" si="102"/>
        <v>210.881</v>
      </c>
      <c r="AV46" s="38">
        <f t="shared" si="103"/>
        <v>0</v>
      </c>
      <c r="AW46" s="39">
        <f t="shared" si="104"/>
        <v>85.010999999999996</v>
      </c>
      <c r="AX46" s="37">
        <f t="shared" si="69"/>
        <v>85.31461232068132</v>
      </c>
      <c r="AY46" s="38">
        <f t="shared" si="70"/>
        <v>0</v>
      </c>
      <c r="AZ46" s="38">
        <f t="shared" si="71"/>
        <v>211.02285658980782</v>
      </c>
      <c r="BA46" s="38">
        <f t="shared" si="72"/>
        <v>85.070085084780814</v>
      </c>
      <c r="BB46" s="41">
        <f t="shared" si="105"/>
        <v>0</v>
      </c>
      <c r="BC46" s="38">
        <f t="shared" si="106"/>
        <v>0.24452723590050598</v>
      </c>
      <c r="BD46" s="38">
        <f t="shared" si="107"/>
        <v>2.8742207549312645E-3</v>
      </c>
      <c r="BE46" s="38">
        <f t="shared" si="73"/>
        <v>8.6652642309613803</v>
      </c>
      <c r="BF46" s="38">
        <f t="shared" si="108"/>
        <v>8.6652642309613803</v>
      </c>
      <c r="BG46" s="38">
        <f t="shared" si="74"/>
        <v>0.23860155116277756</v>
      </c>
      <c r="BH46" s="38">
        <f t="shared" si="109"/>
        <v>85.076010769518547</v>
      </c>
      <c r="BI46" s="38">
        <f t="shared" si="75"/>
        <v>0</v>
      </c>
      <c r="BJ46" s="38">
        <f t="shared" si="110"/>
        <v>0</v>
      </c>
      <c r="BK46" s="41">
        <f t="shared" si="111"/>
        <v>0.40313208938376965</v>
      </c>
      <c r="BL46" s="38">
        <f t="shared" si="76"/>
        <v>3.3794028052797479E-3</v>
      </c>
      <c r="BM46" s="38">
        <f t="shared" si="112"/>
        <v>211.0262359926131</v>
      </c>
      <c r="BN46" s="38">
        <f t="shared" si="77"/>
        <v>5.9256847377284171E-3</v>
      </c>
      <c r="BO46" s="39">
        <f t="shared" si="113"/>
        <v>85.076010769518547</v>
      </c>
      <c r="BP46" s="37">
        <f t="shared" si="114"/>
        <v>85.31461232068132</v>
      </c>
      <c r="BQ46" s="38">
        <f t="shared" si="115"/>
        <v>0</v>
      </c>
      <c r="BR46" s="38">
        <f t="shared" si="116"/>
        <v>211.02285658980782</v>
      </c>
      <c r="BS46" s="38">
        <f t="shared" si="117"/>
        <v>85.070085084780814</v>
      </c>
      <c r="BT46" s="41">
        <f t="shared" si="118"/>
        <v>0</v>
      </c>
      <c r="BU46" s="38">
        <f t="shared" si="119"/>
        <v>0.24452723590050598</v>
      </c>
      <c r="BV46" s="38">
        <f t="shared" si="120"/>
        <v>2.8742207549312645E-3</v>
      </c>
      <c r="BW46" s="38">
        <f t="shared" si="80"/>
        <v>8.6652642309613803</v>
      </c>
      <c r="BX46" s="38">
        <f t="shared" si="121"/>
        <v>8.6652642309613803</v>
      </c>
      <c r="BY46" s="38">
        <f t="shared" si="81"/>
        <v>0.23860155116277756</v>
      </c>
      <c r="BZ46" s="38">
        <f t="shared" si="122"/>
        <v>85.076010769518547</v>
      </c>
      <c r="CA46" s="38">
        <f t="shared" si="83"/>
        <v>0</v>
      </c>
      <c r="CB46" s="38">
        <f t="shared" si="123"/>
        <v>0</v>
      </c>
      <c r="CC46" s="41">
        <f t="shared" si="124"/>
        <v>0.40313208938376965</v>
      </c>
      <c r="CD46" s="38">
        <f t="shared" si="86"/>
        <v>3.3794028052797479E-3</v>
      </c>
      <c r="CE46" s="38">
        <f t="shared" si="125"/>
        <v>211.0262359926131</v>
      </c>
      <c r="CF46" s="38">
        <f t="shared" si="88"/>
        <v>5.9256847377284171E-3</v>
      </c>
      <c r="CG46" s="39">
        <f t="shared" si="126"/>
        <v>85.076010769518547</v>
      </c>
    </row>
    <row r="47" spans="2:85" ht="18" x14ac:dyDescent="0.25">
      <c r="B47" s="14" t="s">
        <v>75</v>
      </c>
      <c r="C47" s="14" t="s">
        <v>76</v>
      </c>
      <c r="D47" s="6">
        <v>85</v>
      </c>
      <c r="F47" s="14" t="s">
        <v>77</v>
      </c>
      <c r="G47" s="14" t="s">
        <v>76</v>
      </c>
      <c r="H47" s="50">
        <v>210.91</v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2:85" ht="18" x14ac:dyDescent="0.25">
      <c r="B48" s="14" t="s">
        <v>80</v>
      </c>
      <c r="C48" s="14" t="s">
        <v>81</v>
      </c>
      <c r="D48" s="44">
        <v>-2.1999999999999999E-2</v>
      </c>
      <c r="F48" s="14" t="s">
        <v>80</v>
      </c>
      <c r="G48" s="14" t="s">
        <v>81</v>
      </c>
      <c r="H48" s="44">
        <v>-2.9000000000000001E-2</v>
      </c>
    </row>
    <row r="49" spans="2:8" ht="18" x14ac:dyDescent="0.25">
      <c r="B49" s="14" t="s">
        <v>83</v>
      </c>
      <c r="C49" s="14" t="s">
        <v>84</v>
      </c>
      <c r="D49" s="44">
        <v>0</v>
      </c>
      <c r="F49" s="14" t="s">
        <v>83</v>
      </c>
      <c r="G49" s="14" t="s">
        <v>84</v>
      </c>
      <c r="H49" s="44">
        <v>0</v>
      </c>
    </row>
    <row r="50" spans="2:8" ht="18" x14ac:dyDescent="0.25">
      <c r="B50" s="14" t="s">
        <v>86</v>
      </c>
      <c r="C50" s="14" t="s">
        <v>87</v>
      </c>
      <c r="D50" s="26">
        <f>+D47+D48</f>
        <v>84.977999999999994</v>
      </c>
      <c r="F50" s="14" t="s">
        <v>88</v>
      </c>
      <c r="G50" s="14" t="s">
        <v>87</v>
      </c>
      <c r="H50" s="26">
        <f>+H47+H48</f>
        <v>210.881</v>
      </c>
    </row>
    <row r="51" spans="2:8" ht="18" x14ac:dyDescent="0.25">
      <c r="B51" s="14" t="s">
        <v>89</v>
      </c>
      <c r="C51" s="14" t="s">
        <v>90</v>
      </c>
      <c r="D51" s="26">
        <f>+D47+D49</f>
        <v>85</v>
      </c>
      <c r="F51" s="14" t="s">
        <v>91</v>
      </c>
      <c r="G51" s="14" t="s">
        <v>90</v>
      </c>
      <c r="H51" s="26">
        <f>+H47+H49</f>
        <v>210.91</v>
      </c>
    </row>
    <row r="52" spans="2:8" ht="18" x14ac:dyDescent="0.25">
      <c r="B52" s="14" t="s">
        <v>108</v>
      </c>
      <c r="C52" s="14" t="s">
        <v>109</v>
      </c>
      <c r="D52" s="6">
        <v>0</v>
      </c>
      <c r="F52" s="14" t="s">
        <v>110</v>
      </c>
      <c r="G52" s="14" t="s">
        <v>109</v>
      </c>
      <c r="H52" s="6">
        <v>85</v>
      </c>
    </row>
    <row r="53" spans="2:8" ht="18" x14ac:dyDescent="0.25">
      <c r="B53" s="14" t="s">
        <v>80</v>
      </c>
      <c r="C53" s="14" t="s">
        <v>81</v>
      </c>
      <c r="D53" s="6">
        <v>0</v>
      </c>
      <c r="F53" s="14" t="s">
        <v>80</v>
      </c>
      <c r="G53" s="14" t="s">
        <v>81</v>
      </c>
      <c r="H53" s="44">
        <v>0</v>
      </c>
    </row>
    <row r="54" spans="2:8" ht="18" x14ac:dyDescent="0.25">
      <c r="B54" s="14" t="s">
        <v>83</v>
      </c>
      <c r="C54" s="14" t="s">
        <v>84</v>
      </c>
      <c r="D54" s="6">
        <v>0</v>
      </c>
      <c r="F54" s="14" t="s">
        <v>83</v>
      </c>
      <c r="G54" s="14" t="s">
        <v>84</v>
      </c>
      <c r="H54" s="44">
        <v>1.0999999999999999E-2</v>
      </c>
    </row>
    <row r="55" spans="2:8" ht="18" x14ac:dyDescent="0.25">
      <c r="B55" s="14" t="s">
        <v>111</v>
      </c>
      <c r="C55" s="14" t="s">
        <v>87</v>
      </c>
      <c r="D55" s="26">
        <f>+D52+D53</f>
        <v>0</v>
      </c>
      <c r="F55" s="14" t="s">
        <v>113</v>
      </c>
      <c r="G55" s="14" t="s">
        <v>87</v>
      </c>
      <c r="H55" s="26">
        <f>+H52+H53</f>
        <v>85</v>
      </c>
    </row>
    <row r="56" spans="2:8" ht="18" x14ac:dyDescent="0.25">
      <c r="B56" s="14" t="s">
        <v>114</v>
      </c>
      <c r="C56" s="14" t="s">
        <v>90</v>
      </c>
      <c r="D56" s="26">
        <f>+D52+D54</f>
        <v>0</v>
      </c>
      <c r="F56" s="14" t="s">
        <v>116</v>
      </c>
      <c r="G56" s="14" t="s">
        <v>90</v>
      </c>
      <c r="H56" s="26">
        <f>+H52+H54</f>
        <v>85.010999999999996</v>
      </c>
    </row>
    <row r="57" spans="2:8" ht="18" x14ac:dyDescent="0.25">
      <c r="B57" s="14" t="s">
        <v>48</v>
      </c>
      <c r="C57" s="14" t="s">
        <v>49</v>
      </c>
      <c r="D57" s="43">
        <f>+$D$12</f>
        <v>20</v>
      </c>
      <c r="F57" s="14" t="s">
        <v>48</v>
      </c>
      <c r="G57" s="14" t="s">
        <v>49</v>
      </c>
      <c r="H57" s="43">
        <f>+$D$12</f>
        <v>20</v>
      </c>
    </row>
    <row r="58" spans="2:8" ht="18" x14ac:dyDescent="0.25">
      <c r="B58" s="14" t="s">
        <v>50</v>
      </c>
      <c r="C58" s="14" t="s">
        <v>51</v>
      </c>
      <c r="D58" s="43">
        <f>+$D$13</f>
        <v>75</v>
      </c>
      <c r="F58" s="14" t="s">
        <v>50</v>
      </c>
      <c r="G58" s="14" t="s">
        <v>51</v>
      </c>
      <c r="H58" s="43">
        <f>+$D$13</f>
        <v>75</v>
      </c>
    </row>
    <row r="59" spans="2:8" ht="18" x14ac:dyDescent="0.25">
      <c r="B59" s="14" t="s">
        <v>117</v>
      </c>
      <c r="C59" s="14" t="s">
        <v>118</v>
      </c>
      <c r="D59" s="26">
        <f>+D58-D57</f>
        <v>55</v>
      </c>
      <c r="F59" s="14" t="s">
        <v>119</v>
      </c>
      <c r="G59" s="14" t="s">
        <v>118</v>
      </c>
      <c r="H59" s="26">
        <f>+H58-H57</f>
        <v>55</v>
      </c>
    </row>
    <row r="68" spans="20:49" x14ac:dyDescent="0.25"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20:49" x14ac:dyDescent="0.25">
      <c r="T69" s="11"/>
      <c r="U69" s="11"/>
      <c r="V69" s="11"/>
      <c r="W69" s="11"/>
    </row>
    <row r="70" spans="20:49" x14ac:dyDescent="0.25">
      <c r="T70" s="11"/>
      <c r="U70" s="11"/>
      <c r="V70" s="11"/>
      <c r="W70" s="11"/>
    </row>
    <row r="71" spans="20:49" x14ac:dyDescent="0.25">
      <c r="T71" s="11"/>
      <c r="U71" s="11"/>
      <c r="V71" s="11"/>
      <c r="W71" s="11"/>
    </row>
    <row r="72" spans="20:49" x14ac:dyDescent="0.25">
      <c r="T72" s="11"/>
      <c r="U72" s="11"/>
      <c r="V72" s="11"/>
      <c r="W72" s="11"/>
    </row>
    <row r="73" spans="20:49" x14ac:dyDescent="0.25">
      <c r="T73" s="11"/>
      <c r="U73" s="11"/>
      <c r="V73" s="11"/>
      <c r="W73" s="11"/>
    </row>
    <row r="74" spans="20:49" x14ac:dyDescent="0.25">
      <c r="T74" s="11"/>
      <c r="U74" s="11"/>
      <c r="V74" s="11"/>
      <c r="W74" s="11"/>
    </row>
    <row r="75" spans="20:49" x14ac:dyDescent="0.25">
      <c r="T75" s="11"/>
      <c r="U75" s="11"/>
      <c r="V75" s="11"/>
      <c r="W75" s="11"/>
    </row>
    <row r="76" spans="20:49" x14ac:dyDescent="0.25">
      <c r="T76" s="11"/>
      <c r="U76" s="11"/>
      <c r="V76" s="11"/>
      <c r="W76" s="11"/>
    </row>
    <row r="77" spans="20:49" x14ac:dyDescent="0.25">
      <c r="T77" s="11"/>
      <c r="U77" s="11"/>
      <c r="V77" s="11"/>
      <c r="W77" s="11"/>
    </row>
    <row r="78" spans="20:49" x14ac:dyDescent="0.25">
      <c r="T78" s="11"/>
      <c r="U78" s="11"/>
      <c r="V78" s="11"/>
      <c r="W78" s="11"/>
    </row>
    <row r="79" spans="20:49" x14ac:dyDescent="0.25">
      <c r="T79" s="11"/>
      <c r="U79" s="11"/>
      <c r="V79" s="11"/>
      <c r="W79" s="11"/>
    </row>
    <row r="80" spans="20:49" x14ac:dyDescent="0.25">
      <c r="T80" s="11"/>
      <c r="U80" s="11"/>
      <c r="V80" s="11"/>
      <c r="W80" s="11"/>
    </row>
    <row r="81" spans="20:49" x14ac:dyDescent="0.25">
      <c r="T81" s="11"/>
      <c r="U81" s="11"/>
      <c r="V81" s="11"/>
      <c r="W81" s="11"/>
    </row>
    <row r="82" spans="20:49" x14ac:dyDescent="0.25">
      <c r="T82" s="11"/>
      <c r="U82" s="11"/>
      <c r="V82" s="11"/>
      <c r="W82" s="11"/>
    </row>
    <row r="83" spans="20:49" x14ac:dyDescent="0.25">
      <c r="T83" s="11"/>
      <c r="U83" s="11"/>
      <c r="V83" s="11"/>
      <c r="W83" s="11"/>
    </row>
    <row r="84" spans="20:49" x14ac:dyDescent="0.25">
      <c r="T84" s="11"/>
      <c r="U84" s="11"/>
      <c r="V84" s="11"/>
      <c r="W84" s="11"/>
    </row>
    <row r="85" spans="20:49" x14ac:dyDescent="0.25">
      <c r="T85" s="11"/>
      <c r="U85" s="11"/>
      <c r="V85" s="11"/>
      <c r="W85" s="11"/>
    </row>
    <row r="86" spans="20:49" x14ac:dyDescent="0.25">
      <c r="T86" s="11"/>
      <c r="U86" s="11"/>
      <c r="V86" s="11"/>
      <c r="W86" s="11"/>
    </row>
    <row r="87" spans="20:49" x14ac:dyDescent="0.25"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</row>
    <row r="88" spans="20:49" x14ac:dyDescent="0.25">
      <c r="T88" s="11"/>
      <c r="U88" s="11"/>
      <c r="V88" s="11"/>
      <c r="W88" s="11"/>
    </row>
    <row r="89" spans="20:49" x14ac:dyDescent="0.25">
      <c r="T89" s="11"/>
      <c r="U89" s="11"/>
      <c r="V89" s="11"/>
      <c r="W89" s="11"/>
    </row>
    <row r="90" spans="20:49" x14ac:dyDescent="0.25">
      <c r="T90" s="11"/>
      <c r="U90" s="11"/>
      <c r="V90" s="11"/>
      <c r="W90" s="11"/>
    </row>
    <row r="91" spans="20:49" x14ac:dyDescent="0.25">
      <c r="T91" s="11"/>
      <c r="U91" s="11"/>
      <c r="V91" s="11"/>
      <c r="W91" s="11"/>
    </row>
    <row r="92" spans="20:49" x14ac:dyDescent="0.25">
      <c r="T92" s="11"/>
      <c r="U92" s="11"/>
      <c r="V92" s="11"/>
      <c r="W92" s="11"/>
    </row>
    <row r="93" spans="20:49" x14ac:dyDescent="0.25">
      <c r="T93" s="11"/>
      <c r="U93" s="11"/>
      <c r="V93" s="11"/>
      <c r="W93" s="11"/>
    </row>
    <row r="94" spans="20:49" x14ac:dyDescent="0.25">
      <c r="T94" s="11"/>
      <c r="U94" s="11"/>
      <c r="V94" s="11"/>
      <c r="W94" s="11"/>
    </row>
    <row r="95" spans="20:49" x14ac:dyDescent="0.25">
      <c r="T95" s="11"/>
      <c r="U95" s="11"/>
      <c r="V95" s="11"/>
      <c r="W95" s="11"/>
    </row>
    <row r="96" spans="20:49" x14ac:dyDescent="0.25">
      <c r="T96" s="11"/>
      <c r="U96" s="11"/>
      <c r="V96" s="11"/>
      <c r="W96" s="11"/>
    </row>
    <row r="97" spans="20:23" x14ac:dyDescent="0.25">
      <c r="T97" s="11"/>
      <c r="U97" s="11"/>
      <c r="V97" s="11"/>
      <c r="W97" s="11"/>
    </row>
    <row r="98" spans="20:23" x14ac:dyDescent="0.25">
      <c r="T98" s="11"/>
      <c r="U98" s="11"/>
      <c r="V98" s="11"/>
      <c r="W98" s="11"/>
    </row>
    <row r="99" spans="20:23" x14ac:dyDescent="0.25">
      <c r="T99" s="11"/>
      <c r="U99" s="11"/>
      <c r="V99" s="11"/>
      <c r="W99" s="11"/>
    </row>
    <row r="100" spans="20:23" x14ac:dyDescent="0.25">
      <c r="T100" s="11"/>
      <c r="U100" s="11"/>
      <c r="V100" s="11"/>
      <c r="W100" s="11"/>
    </row>
    <row r="101" spans="20:23" x14ac:dyDescent="0.25">
      <c r="T101" s="11"/>
      <c r="U101" s="11"/>
      <c r="V101" s="11"/>
      <c r="W101" s="11"/>
    </row>
    <row r="102" spans="20:23" x14ac:dyDescent="0.25">
      <c r="T102" s="11"/>
      <c r="U102" s="11"/>
      <c r="V102" s="11"/>
      <c r="W102" s="11"/>
    </row>
    <row r="103" spans="20:23" x14ac:dyDescent="0.25">
      <c r="T103" s="11"/>
      <c r="U103" s="11"/>
      <c r="V103" s="11"/>
      <c r="W103" s="11"/>
    </row>
    <row r="104" spans="20:23" x14ac:dyDescent="0.25">
      <c r="T104" s="11"/>
      <c r="U104" s="11"/>
      <c r="V104" s="11"/>
      <c r="W104" s="11"/>
    </row>
    <row r="105" spans="20:23" x14ac:dyDescent="0.25">
      <c r="T105" s="11"/>
      <c r="U105" s="11"/>
      <c r="V105" s="11"/>
      <c r="W105" s="11"/>
    </row>
  </sheetData>
  <mergeCells count="26">
    <mergeCell ref="B9:D9"/>
    <mergeCell ref="B20:H20"/>
    <mergeCell ref="C18:D18"/>
    <mergeCell ref="J20:R20"/>
    <mergeCell ref="AB10:AI10"/>
    <mergeCell ref="X10:AA10"/>
    <mergeCell ref="T10:W10"/>
    <mergeCell ref="BP29:CG29"/>
    <mergeCell ref="AX10:BO10"/>
    <mergeCell ref="BP10:CG10"/>
    <mergeCell ref="AJ10:AW10"/>
    <mergeCell ref="AJ29:AW29"/>
    <mergeCell ref="F41:H41"/>
    <mergeCell ref="Q21:R23"/>
    <mergeCell ref="B41:D41"/>
    <mergeCell ref="B40:H40"/>
    <mergeCell ref="AX29:BO29"/>
    <mergeCell ref="AB29:AI29"/>
    <mergeCell ref="F21:H21"/>
    <mergeCell ref="B21:D21"/>
    <mergeCell ref="X29:AA29"/>
    <mergeCell ref="K21:L23"/>
    <mergeCell ref="J21:J23"/>
    <mergeCell ref="T29:W29"/>
    <mergeCell ref="O21:P23"/>
    <mergeCell ref="M21:N23"/>
  </mergeCells>
  <dataValidations count="1">
    <dataValidation type="list" allowBlank="1" showInputMessage="1" showErrorMessage="1" sqref="C18:D18" xr:uid="{C48F578B-762C-40C0-B1B5-B58585B2CB39}">
      <formula1>$U$2:$U$4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41" r:id="rId4" name="CommandButton1">
          <controlPr defaultSize="0" autoLine="0" r:id="rId5">
            <anchor moveWithCells="1">
              <from>
                <xdr:col>6</xdr:col>
                <xdr:colOff>0</xdr:colOff>
                <xdr:row>8</xdr:row>
                <xdr:rowOff>19050</xdr:rowOff>
              </from>
              <to>
                <xdr:col>6</xdr:col>
                <xdr:colOff>2114550</xdr:colOff>
                <xdr:row>11</xdr:row>
                <xdr:rowOff>47625</xdr:rowOff>
              </to>
            </anchor>
          </controlPr>
        </control>
      </mc:Choice>
      <mc:Fallback>
        <control shapeId="5141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3BB8652A-416C-49C3-8143-9C262926F1C3}">
            <x14:iconSet custom="1">
              <x14:cfvo type="percent">
                <xm:f>0</xm:f>
              </x14:cfvo>
              <x14:cfvo type="formula">
                <xm:f>0.97*$D$16</xm:f>
              </x14:cfvo>
              <x14:cfvo type="formula">
                <xm:f>1.03*$D$16</xm:f>
              </x14:cfvo>
              <x14:cfIcon iconSet="3Symbols" iconId="0"/>
              <x14:cfIcon iconSet="3Symbols" iconId="2"/>
              <x14:cfIcon iconSet="3Symbols" iconId="0"/>
            </x14:iconSet>
          </x14:cfRule>
          <xm:sqref>Q27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D6FDE0-8948-4CD6-9D73-02AFCF86061C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customXml/itemProps2.xml><?xml version="1.0" encoding="utf-8"?>
<ds:datastoreItem xmlns:ds="http://schemas.openxmlformats.org/officeDocument/2006/customXml" ds:itemID="{7B79FE24-2686-4034-B40E-027C75A409AE}"/>
</file>

<file path=customXml/itemProps3.xml><?xml version="1.0" encoding="utf-8"?>
<ds:datastoreItem xmlns:ds="http://schemas.openxmlformats.org/officeDocument/2006/customXml" ds:itemID="{A251543F-EA63-4B99-91EA-94DC424BE7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cover</vt:lpstr>
      <vt:lpstr>running_clearance_calc</vt:lpstr>
    </vt:vector>
  </TitlesOfParts>
  <Manager/>
  <Company>Trillium Flow Technologies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Marco Tremolada</cp:lastModifiedBy>
  <cp:revision/>
  <dcterms:created xsi:type="dcterms:W3CDTF">2023-07-05T10:01:51Z</dcterms:created>
  <dcterms:modified xsi:type="dcterms:W3CDTF">2024-09-19T06:15:45Z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