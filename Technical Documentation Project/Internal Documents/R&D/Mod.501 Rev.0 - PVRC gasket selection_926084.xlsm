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T:\IT005\Documentale\# Nuovo Documentale\Area di lavoro HSEQ\"/>
    </mc:Choice>
  </mc:AlternateContent>
  <xr:revisionPtr revIDLastSave="0" documentId="13_ncr:1_{564B3930-140A-4FC9-ABE5-97DBEB60CB0C}" xr6:coauthVersionLast="47" xr6:coauthVersionMax="47" xr10:uidLastSave="{00000000-0000-0000-0000-000000000000}"/>
  <bookViews>
    <workbookView xWindow="-19320" yWindow="-120" windowWidth="19440" windowHeight="15000" xr2:uid="{E8E91933-3A7B-4C5D-93BF-C2E1BC14F185}"/>
  </bookViews>
  <sheets>
    <sheet name="content" sheetId="4" r:id="rId1"/>
    <sheet name="PVRC iterative method" sheetId="3" r:id="rId2"/>
    <sheet name="gasket list" sheetId="2" r:id="rId3"/>
  </sheets>
  <definedNames>
    <definedName name="solver_adj" localSheetId="1" hidden="1">'PVRC iterative method'!$C$16</definedName>
    <definedName name="solver_cvg" localSheetId="1" hidden="1">0.0001</definedName>
    <definedName name="solver_drv" localSheetId="1" hidden="1">2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'PVRC iterative method'!$C$19</definedName>
    <definedName name="solver_lhs2" localSheetId="1" hidden="1">'PVRC iterative method'!$C$24</definedName>
    <definedName name="solver_lhs3" localSheetId="1" hidden="1">'PVRC iterative method'!$C$26</definedName>
    <definedName name="solver_lhs4" localSheetId="1" hidden="1">'PVRC iterative method'!$I$3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4</definedName>
    <definedName name="solver_nwt" localSheetId="1" hidden="1">1</definedName>
    <definedName name="solver_opt" localSheetId="1" hidden="1">'PVRC iterative method'!$I$3</definedName>
    <definedName name="solver_pre" localSheetId="1" hidden="1">0.000001</definedName>
    <definedName name="solver_rbv" localSheetId="1" hidden="1">2</definedName>
    <definedName name="solver_rel1" localSheetId="1" hidden="1">3</definedName>
    <definedName name="solver_rel2" localSheetId="1" hidden="1">3</definedName>
    <definedName name="solver_rel3" localSheetId="1" hidden="1">1</definedName>
    <definedName name="solver_rel4" localSheetId="1" hidden="1">3</definedName>
    <definedName name="solver_rhs1" localSheetId="1" hidden="1">'PVRC iterative method'!$C$21</definedName>
    <definedName name="solver_rhs2" localSheetId="1" hidden="1">'PVRC iterative method'!$C$12*'PVRC iterative method'!$C$5/10</definedName>
    <definedName name="solver_rhs3" localSheetId="1" hidden="1">'PVRC iterative method'!$C$10</definedName>
    <definedName name="solver_rhs4" localSheetId="1" hidden="1">0</definedName>
    <definedName name="solver_rlx" localSheetId="1" hidden="1">2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</definedNames>
  <calcPr calcId="191028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3" l="1"/>
  <c r="C20" i="3"/>
  <c r="L4" i="2"/>
  <c r="L5" i="2"/>
  <c r="L6" i="2"/>
  <c r="L7" i="2"/>
  <c r="L8" i="2"/>
  <c r="L9" i="2"/>
  <c r="L10" i="2"/>
  <c r="L11" i="2"/>
  <c r="L12" i="2"/>
  <c r="L13" i="2"/>
  <c r="L3" i="2"/>
  <c r="D12" i="2"/>
  <c r="D13" i="2"/>
  <c r="D11" i="2"/>
  <c r="E11" i="2"/>
  <c r="E12" i="2"/>
  <c r="E13" i="2"/>
  <c r="G13" i="2"/>
  <c r="J13" i="2"/>
  <c r="D6" i="2"/>
  <c r="D7" i="2"/>
  <c r="G12" i="2"/>
  <c r="J12" i="2"/>
  <c r="D9" i="2"/>
  <c r="D8" i="2"/>
  <c r="D3" i="2"/>
  <c r="E3" i="2"/>
  <c r="G3" i="2"/>
  <c r="J3" i="2"/>
  <c r="I8" i="3"/>
  <c r="I5" i="3"/>
  <c r="F43" i="3"/>
  <c r="F42" i="3"/>
  <c r="F41" i="3"/>
  <c r="F40" i="3"/>
  <c r="F39" i="3"/>
  <c r="F38" i="3"/>
  <c r="F37" i="3"/>
  <c r="F36" i="3"/>
  <c r="F35" i="3"/>
  <c r="F34" i="3"/>
  <c r="C24" i="3"/>
  <c r="F44" i="3"/>
  <c r="C19" i="3"/>
  <c r="C23" i="3"/>
  <c r="F45" i="3"/>
  <c r="C26" i="3"/>
  <c r="F46" i="3"/>
  <c r="C14" i="3" a="1"/>
  <c r="C14" i="3"/>
  <c r="C17" i="3"/>
  <c r="C15" i="3" a="1"/>
  <c r="C15" i="3"/>
  <c r="J10" i="2"/>
  <c r="G10" i="2"/>
  <c r="D10" i="2"/>
  <c r="E10" i="2"/>
  <c r="J9" i="2"/>
  <c r="J8" i="2"/>
  <c r="G9" i="2"/>
  <c r="G8" i="2"/>
  <c r="E9" i="2"/>
  <c r="E8" i="2"/>
  <c r="D5" i="2"/>
  <c r="D4" i="2"/>
  <c r="C18" i="3"/>
  <c r="I3" i="3"/>
  <c r="C28" i="3"/>
  <c r="I10" i="3"/>
  <c r="K12" i="3"/>
  <c r="M10" i="3"/>
  <c r="M9" i="3"/>
  <c r="I6" i="3"/>
  <c r="C25" i="3"/>
  <c r="J8" i="3"/>
  <c r="J9" i="3"/>
  <c r="H9" i="3"/>
  <c r="C21" i="3"/>
  <c r="C22" i="3"/>
  <c r="J5" i="2"/>
  <c r="J6" i="2"/>
  <c r="J7" i="2"/>
  <c r="J11" i="2"/>
  <c r="J4" i="2"/>
  <c r="G5" i="2"/>
  <c r="G6" i="2"/>
  <c r="G7" i="2"/>
  <c r="G11" i="2"/>
  <c r="G4" i="2"/>
  <c r="E7" i="2"/>
  <c r="E6" i="2"/>
  <c r="E5" i="2"/>
  <c r="E4" i="2"/>
  <c r="C29" i="3"/>
  <c r="H10" i="3"/>
  <c r="J12" i="3"/>
  <c r="C27" i="3"/>
  <c r="I14" i="3"/>
  <c r="I13" i="3"/>
  <c r="K13" i="3"/>
  <c r="L8" i="3"/>
  <c r="L9" i="3"/>
  <c r="H6" i="3"/>
  <c r="K9" i="3"/>
  <c r="K10" i="3"/>
  <c r="I9" i="3"/>
  <c r="H13" i="3"/>
  <c r="J13" i="3"/>
  <c r="H1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<sst xmlns="http://schemas.openxmlformats.org/spreadsheetml/2006/main" count="138" uniqueCount="119">
  <si>
    <t>First issue</t>
  </si>
  <si>
    <t>R&amp;D - F. Cademartori</t>
  </si>
  <si>
    <t>Rev.</t>
  </si>
  <si>
    <t>Date</t>
  </si>
  <si>
    <t>Description</t>
  </si>
  <si>
    <t>Prepared</t>
  </si>
  <si>
    <t>Checked</t>
  </si>
  <si>
    <t>Approved</t>
  </si>
  <si>
    <t>Gasket</t>
  </si>
  <si>
    <r>
      <t>A</t>
    </r>
    <r>
      <rPr>
        <b/>
        <vertAlign val="subscript"/>
        <sz val="11"/>
        <color theme="0"/>
        <rFont val="Calibri"/>
        <family val="2"/>
        <scheme val="minor"/>
      </rPr>
      <t>wet</t>
    </r>
    <r>
      <rPr>
        <b/>
        <sz val="11"/>
        <color theme="0"/>
        <rFont val="Calibri"/>
        <family val="2"/>
        <scheme val="minor"/>
      </rPr>
      <t xml:space="preserve"> [mm</t>
    </r>
    <r>
      <rPr>
        <b/>
        <vertAlign val="super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>]</t>
    </r>
  </si>
  <si>
    <t>(effective wet area of the pump)</t>
  </si>
  <si>
    <t>target</t>
  </si>
  <si>
    <r>
      <t>A</t>
    </r>
    <r>
      <rPr>
        <b/>
        <vertAlign val="subscript"/>
        <sz val="11"/>
        <color theme="0"/>
        <rFont val="Calibri"/>
        <family val="2"/>
        <scheme val="minor"/>
      </rPr>
      <t>gasket</t>
    </r>
    <r>
      <rPr>
        <b/>
        <sz val="11"/>
        <color theme="0"/>
        <rFont val="Calibri"/>
        <family val="2"/>
        <scheme val="minor"/>
      </rPr>
      <t xml:space="preserve"> [mm</t>
    </r>
    <r>
      <rPr>
        <b/>
        <vertAlign val="super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>]</t>
    </r>
  </si>
  <si>
    <t>(effective compressed area of the gasket)</t>
  </si>
  <si>
    <r>
      <t>T</t>
    </r>
    <r>
      <rPr>
        <vertAlign val="subscript"/>
        <sz val="11"/>
        <color theme="1"/>
        <rFont val="Calibri"/>
        <family val="2"/>
        <scheme val="minor"/>
      </rPr>
      <t>p</t>
    </r>
    <r>
      <rPr>
        <sz val="11"/>
        <color theme="1"/>
        <rFont val="Calibri"/>
        <family val="2"/>
        <scheme val="minor"/>
      </rPr>
      <t xml:space="preserve"> [-]</t>
    </r>
  </si>
  <si>
    <t>S [MPa]</t>
  </si>
  <si>
    <t>p [bar]</t>
  </si>
  <si>
    <t>(internal pressure)</t>
  </si>
  <si>
    <r>
      <t>p</t>
    </r>
    <r>
      <rPr>
        <b/>
        <vertAlign val="subscript"/>
        <sz val="11"/>
        <color theme="0"/>
        <rFont val="Calibri"/>
        <family val="2"/>
        <scheme val="minor"/>
      </rPr>
      <t>hydrotest</t>
    </r>
    <r>
      <rPr>
        <b/>
        <sz val="11"/>
        <color theme="0"/>
        <rFont val="Calibri"/>
        <family val="2"/>
        <scheme val="minor"/>
      </rPr>
      <t xml:space="preserve"> [bar]</t>
    </r>
  </si>
  <si>
    <t>(hydrotest pressure)</t>
  </si>
  <si>
    <r>
      <t>G</t>
    </r>
    <r>
      <rPr>
        <b/>
        <vertAlign val="subscript"/>
        <sz val="11"/>
        <color theme="0"/>
        <rFont val="Calibri"/>
        <family val="2"/>
        <scheme val="minor"/>
      </rPr>
      <t>b</t>
    </r>
    <r>
      <rPr>
        <b/>
        <sz val="11"/>
        <color theme="0"/>
        <rFont val="Calibri"/>
        <family val="2"/>
        <scheme val="minor"/>
      </rPr>
      <t xml:space="preserve"> [MPa]</t>
    </r>
  </si>
  <si>
    <t>(PVRC gasket parameter - loading curve)</t>
  </si>
  <si>
    <r>
      <t>T</t>
    </r>
    <r>
      <rPr>
        <vertAlign val="subscript"/>
        <sz val="11"/>
        <color theme="1"/>
        <rFont val="Calibri"/>
        <family val="2"/>
        <scheme val="minor"/>
      </rPr>
      <t>pmin</t>
    </r>
    <r>
      <rPr>
        <sz val="11"/>
        <color theme="1"/>
        <rFont val="Calibri"/>
        <family val="2"/>
        <scheme val="minor"/>
      </rPr>
      <t xml:space="preserve"> [-]</t>
    </r>
  </si>
  <si>
    <r>
      <t>T</t>
    </r>
    <r>
      <rPr>
        <vertAlign val="subscript"/>
        <sz val="11"/>
        <color theme="1"/>
        <rFont val="Calibri"/>
        <family val="2"/>
        <scheme val="minor"/>
      </rPr>
      <t>pa</t>
    </r>
    <r>
      <rPr>
        <sz val="11"/>
        <color theme="1"/>
        <rFont val="Calibri"/>
        <family val="2"/>
        <scheme val="minor"/>
      </rPr>
      <t xml:space="preserve"> [-]</t>
    </r>
  </si>
  <si>
    <t>a [-]</t>
  </si>
  <si>
    <t>(PVRC gasket parameter - exponent of loading curve)</t>
  </si>
  <si>
    <r>
      <t>G</t>
    </r>
    <r>
      <rPr>
        <b/>
        <vertAlign val="subscript"/>
        <sz val="11"/>
        <color theme="0"/>
        <rFont val="Calibri"/>
        <family val="2"/>
        <scheme val="minor"/>
      </rPr>
      <t>s</t>
    </r>
    <r>
      <rPr>
        <b/>
        <sz val="11"/>
        <color theme="0"/>
        <rFont val="Calibri"/>
        <family val="2"/>
        <scheme val="minor"/>
      </rPr>
      <t xml:space="preserve"> [MPa]</t>
    </r>
  </si>
  <si>
    <t>(PVRC gasket parameter - unloading curve)</t>
  </si>
  <si>
    <r>
      <t>S</t>
    </r>
    <r>
      <rPr>
        <b/>
        <vertAlign val="subscript"/>
        <sz val="11"/>
        <color theme="0"/>
        <rFont val="Calibri"/>
        <family val="2"/>
        <scheme val="minor"/>
      </rPr>
      <t>U</t>
    </r>
    <r>
      <rPr>
        <b/>
        <sz val="11"/>
        <color theme="0"/>
        <rFont val="Calibri"/>
        <family val="2"/>
        <scheme val="minor"/>
      </rPr>
      <t xml:space="preserve"> [MPa]</t>
    </r>
  </si>
  <si>
    <t>(maximum allowable gasket stress)</t>
  </si>
  <si>
    <r>
      <t>S</t>
    </r>
    <r>
      <rPr>
        <b/>
        <vertAlign val="subscript"/>
        <sz val="11"/>
        <color theme="0"/>
        <rFont val="Calibri"/>
        <family val="2"/>
        <scheme val="minor"/>
      </rPr>
      <t>L</t>
    </r>
    <r>
      <rPr>
        <b/>
        <sz val="11"/>
        <color theme="0"/>
        <rFont val="Calibri"/>
        <family val="2"/>
        <scheme val="minor"/>
      </rPr>
      <t xml:space="preserve"> [MPa]</t>
    </r>
  </si>
  <si>
    <t>(minimum allowable value of operating gasket stress)</t>
  </si>
  <si>
    <t>m [-]</t>
  </si>
  <si>
    <t>(minimum gasket stress factor - default value = 2)</t>
  </si>
  <si>
    <t>Tighteness class</t>
  </si>
  <si>
    <t>T2 - standard</t>
  </si>
  <si>
    <t>(tightness classification)</t>
  </si>
  <si>
    <r>
      <t>T</t>
    </r>
    <r>
      <rPr>
        <b/>
        <vertAlign val="subscript"/>
        <sz val="11"/>
        <color theme="0"/>
        <rFont val="Calibri"/>
        <family val="2"/>
        <scheme val="minor"/>
      </rPr>
      <t>c</t>
    </r>
    <r>
      <rPr>
        <b/>
        <sz val="11"/>
        <color theme="0"/>
        <rFont val="Calibri"/>
        <family val="2"/>
        <scheme val="minor"/>
      </rPr>
      <t xml:space="preserve"> [-]</t>
    </r>
  </si>
  <si>
    <t>(tightness class factor)</t>
  </si>
  <si>
    <r>
      <t>l</t>
    </r>
    <r>
      <rPr>
        <b/>
        <vertAlign val="subscript"/>
        <sz val="11"/>
        <color theme="0"/>
        <rFont val="Calibri"/>
        <family val="2"/>
        <scheme val="minor"/>
      </rPr>
      <t>rm</t>
    </r>
    <r>
      <rPr>
        <b/>
        <sz val="11"/>
        <color theme="0"/>
        <rFont val="Calibri"/>
        <family val="2"/>
        <scheme val="minor"/>
      </rPr>
      <t xml:space="preserve"> [mg/mm s]</t>
    </r>
  </si>
  <si>
    <t>(mass leak rate per unit diameter)</t>
  </si>
  <si>
    <r>
      <t>F</t>
    </r>
    <r>
      <rPr>
        <b/>
        <vertAlign val="subscript"/>
        <sz val="11"/>
        <color theme="0"/>
        <rFont val="Calibri"/>
        <family val="2"/>
        <scheme val="minor"/>
      </rPr>
      <t>min</t>
    </r>
    <r>
      <rPr>
        <b/>
        <sz val="11"/>
        <color theme="0"/>
        <rFont val="Calibri"/>
        <family val="2"/>
        <scheme val="minor"/>
      </rPr>
      <t xml:space="preserve"> [N]</t>
    </r>
  </si>
  <si>
    <t>(minimum bolt load for the gasket assembly)</t>
  </si>
  <si>
    <r>
      <t>T</t>
    </r>
    <r>
      <rPr>
        <b/>
        <vertAlign val="subscript"/>
        <sz val="11"/>
        <color theme="0"/>
        <rFont val="Calibri"/>
        <family val="2"/>
        <scheme val="minor"/>
      </rPr>
      <t>p min</t>
    </r>
    <r>
      <rPr>
        <b/>
        <sz val="11"/>
        <color theme="0"/>
        <rFont val="Calibri"/>
        <family val="2"/>
        <scheme val="minor"/>
      </rPr>
      <t xml:space="preserve"> [-]</t>
    </r>
  </si>
  <si>
    <t>(minimum required tightness to ensure satisfactoy leakage performance)</t>
  </si>
  <si>
    <r>
      <t>S</t>
    </r>
    <r>
      <rPr>
        <b/>
        <vertAlign val="subscript"/>
        <sz val="11"/>
        <color theme="0"/>
        <rFont val="Calibri"/>
        <family val="2"/>
        <scheme val="minor"/>
      </rPr>
      <t>m1</t>
    </r>
    <r>
      <rPr>
        <b/>
        <sz val="11"/>
        <color theme="0"/>
        <rFont val="Calibri"/>
        <family val="2"/>
        <scheme val="minor"/>
      </rPr>
      <t>' [MPa]</t>
    </r>
  </si>
  <si>
    <t>(minimum required gasket stress  for minimum bolt load calculation)</t>
  </si>
  <si>
    <r>
      <t>T</t>
    </r>
    <r>
      <rPr>
        <b/>
        <vertAlign val="subscript"/>
        <sz val="11"/>
        <color theme="0"/>
        <rFont val="Calibri"/>
        <family val="2"/>
        <scheme val="minor"/>
      </rPr>
      <t>pa</t>
    </r>
    <r>
      <rPr>
        <b/>
        <sz val="11"/>
        <color theme="0"/>
        <rFont val="Calibri"/>
        <family val="2"/>
        <scheme val="minor"/>
      </rPr>
      <t>'</t>
    </r>
    <r>
      <rPr>
        <b/>
        <vertAlign val="subscript"/>
        <sz val="11"/>
        <color theme="0"/>
        <rFont val="Calibri"/>
        <family val="2"/>
        <scheme val="minor"/>
      </rPr>
      <t xml:space="preserve"> </t>
    </r>
    <r>
      <rPr>
        <b/>
        <sz val="11"/>
        <color theme="0"/>
        <rFont val="Calibri"/>
        <family val="2"/>
        <scheme val="minor"/>
      </rPr>
      <t>[-]</t>
    </r>
  </si>
  <si>
    <t>(assembly tightness for minimum bolt load calculation)</t>
  </si>
  <si>
    <r>
      <t>S</t>
    </r>
    <r>
      <rPr>
        <b/>
        <vertAlign val="subscript"/>
        <sz val="11"/>
        <color theme="0"/>
        <rFont val="Calibri"/>
        <family val="2"/>
        <scheme val="minor"/>
      </rPr>
      <t>a</t>
    </r>
    <r>
      <rPr>
        <b/>
        <sz val="11"/>
        <color theme="0"/>
        <rFont val="Calibri"/>
        <family val="2"/>
        <scheme val="minor"/>
      </rPr>
      <t>' [MPa]</t>
    </r>
  </si>
  <si>
    <t>(assembly gasket stress for minimum bolt load calculation)</t>
  </si>
  <si>
    <r>
      <t>T</t>
    </r>
    <r>
      <rPr>
        <b/>
        <vertAlign val="subscript"/>
        <sz val="11"/>
        <color theme="0"/>
        <rFont val="Calibri"/>
        <family val="2"/>
        <scheme val="minor"/>
      </rPr>
      <t>pa min</t>
    </r>
    <r>
      <rPr>
        <b/>
        <sz val="11"/>
        <color theme="0"/>
        <rFont val="Calibri"/>
        <family val="2"/>
        <scheme val="minor"/>
      </rPr>
      <t>' [-]</t>
    </r>
  </si>
  <si>
    <t>(minimum assembly tightness)</t>
  </si>
  <si>
    <r>
      <t>S</t>
    </r>
    <r>
      <rPr>
        <b/>
        <vertAlign val="subscript"/>
        <sz val="11"/>
        <color theme="0"/>
        <rFont val="Calibri"/>
        <family val="2"/>
        <scheme val="minor"/>
      </rPr>
      <t>a min</t>
    </r>
    <r>
      <rPr>
        <b/>
        <sz val="11"/>
        <color theme="0"/>
        <rFont val="Calibri"/>
        <family val="2"/>
        <scheme val="minor"/>
      </rPr>
      <t>' [MPa]</t>
    </r>
  </si>
  <si>
    <t>(minimum assembly gasket stress)</t>
  </si>
  <si>
    <r>
      <t>T</t>
    </r>
    <r>
      <rPr>
        <b/>
        <vertAlign val="subscript"/>
        <sz val="11"/>
        <color theme="0"/>
        <rFont val="Calibri"/>
        <family val="2"/>
        <scheme val="minor"/>
      </rPr>
      <t>p2</t>
    </r>
    <r>
      <rPr>
        <b/>
        <sz val="11"/>
        <color theme="0"/>
        <rFont val="Calibri"/>
        <family val="2"/>
        <scheme val="minor"/>
      </rPr>
      <t>' [-]</t>
    </r>
  </si>
  <si>
    <t>(tightness after application of internal pressure  for minimum bolt load calculation)</t>
  </si>
  <si>
    <r>
      <t>S</t>
    </r>
    <r>
      <rPr>
        <b/>
        <vertAlign val="subscript"/>
        <sz val="11"/>
        <color theme="0"/>
        <rFont val="Calibri"/>
        <family val="2"/>
        <scheme val="minor"/>
      </rPr>
      <t>m2</t>
    </r>
    <r>
      <rPr>
        <b/>
        <sz val="11"/>
        <color theme="0"/>
        <rFont val="Calibri"/>
        <family val="2"/>
        <scheme val="minor"/>
      </rPr>
      <t>' [MPa]</t>
    </r>
  </si>
  <si>
    <t>(gasket stress after application of internal pressure  for minimum bolt load calculation)</t>
  </si>
  <si>
    <r>
      <t>T</t>
    </r>
    <r>
      <rPr>
        <b/>
        <vertAlign val="subscript"/>
        <sz val="11"/>
        <color theme="0"/>
        <rFont val="Calibri"/>
        <family val="2"/>
        <scheme val="minor"/>
      </rPr>
      <t xml:space="preserve">pa </t>
    </r>
    <r>
      <rPr>
        <b/>
        <sz val="11"/>
        <color theme="0"/>
        <rFont val="Calibri"/>
        <family val="2"/>
        <scheme val="minor"/>
      </rPr>
      <t>[-]</t>
    </r>
  </si>
  <si>
    <t>(assembly tightness)</t>
  </si>
  <si>
    <r>
      <t>S</t>
    </r>
    <r>
      <rPr>
        <b/>
        <vertAlign val="subscript"/>
        <sz val="11"/>
        <color theme="0"/>
        <rFont val="Calibri"/>
        <family val="2"/>
        <scheme val="minor"/>
      </rPr>
      <t>a</t>
    </r>
    <r>
      <rPr>
        <b/>
        <sz val="11"/>
        <color theme="0"/>
        <rFont val="Calibri"/>
        <family val="2"/>
        <scheme val="minor"/>
      </rPr>
      <t xml:space="preserve"> [MPa]</t>
    </r>
  </si>
  <si>
    <t>(assembly gasket stress)</t>
  </si>
  <si>
    <r>
      <t>S</t>
    </r>
    <r>
      <rPr>
        <b/>
        <vertAlign val="subscript"/>
        <sz val="11"/>
        <color theme="0"/>
        <rFont val="Calibri"/>
        <family val="2"/>
        <scheme val="minor"/>
      </rPr>
      <t>m</t>
    </r>
    <r>
      <rPr>
        <b/>
        <sz val="11"/>
        <color theme="0"/>
        <rFont val="Calibri"/>
        <family val="2"/>
        <scheme val="minor"/>
      </rPr>
      <t xml:space="preserve"> [MPa]</t>
    </r>
  </si>
  <si>
    <t>(minimum required gasket stress)</t>
  </si>
  <si>
    <r>
      <t>S</t>
    </r>
    <r>
      <rPr>
        <b/>
        <vertAlign val="subscript"/>
        <sz val="11"/>
        <color theme="0"/>
        <rFont val="Calibri"/>
        <family val="2"/>
        <scheme val="minor"/>
      </rPr>
      <t>p</t>
    </r>
    <r>
      <rPr>
        <b/>
        <sz val="11"/>
        <color theme="0"/>
        <rFont val="Calibri"/>
        <family val="2"/>
        <scheme val="minor"/>
      </rPr>
      <t xml:space="preserve"> [MPa]</t>
    </r>
  </si>
  <si>
    <t>(operating gasket stress)</t>
  </si>
  <si>
    <r>
      <t>T</t>
    </r>
    <r>
      <rPr>
        <b/>
        <vertAlign val="subscript"/>
        <sz val="11"/>
        <color theme="0"/>
        <rFont val="Calibri"/>
        <family val="2"/>
        <scheme val="minor"/>
      </rPr>
      <t>p</t>
    </r>
    <r>
      <rPr>
        <b/>
        <sz val="11"/>
        <color theme="0"/>
        <rFont val="Calibri"/>
        <family val="2"/>
        <scheme val="minor"/>
      </rPr>
      <t xml:space="preserve"> [-]</t>
    </r>
  </si>
  <si>
    <t>(operating tightness)</t>
  </si>
  <si>
    <t>Bolt</t>
  </si>
  <si>
    <t>tight ratio [-]</t>
  </si>
  <si>
    <r>
      <t>n</t>
    </r>
    <r>
      <rPr>
        <b/>
        <vertAlign val="subscript"/>
        <sz val="11"/>
        <color theme="0"/>
        <rFont val="Calibri"/>
        <family val="2"/>
        <scheme val="minor"/>
      </rPr>
      <t>bolt</t>
    </r>
    <r>
      <rPr>
        <b/>
        <sz val="11"/>
        <color theme="0"/>
        <rFont val="Calibri"/>
        <family val="2"/>
        <scheme val="minor"/>
      </rPr>
      <t xml:space="preserve"> [-]</t>
    </r>
  </si>
  <si>
    <r>
      <t>σ</t>
    </r>
    <r>
      <rPr>
        <b/>
        <vertAlign val="subscript"/>
        <sz val="11"/>
        <color theme="0"/>
        <rFont val="Calibri"/>
        <family val="2"/>
        <scheme val="minor"/>
      </rPr>
      <t>yield</t>
    </r>
    <r>
      <rPr>
        <b/>
        <sz val="11"/>
        <color theme="0"/>
        <rFont val="Calibri"/>
        <family val="2"/>
        <scheme val="minor"/>
      </rPr>
      <t xml:space="preserve"> [MPa]</t>
    </r>
  </si>
  <si>
    <r>
      <t>d</t>
    </r>
    <r>
      <rPr>
        <b/>
        <vertAlign val="subscript"/>
        <sz val="11"/>
        <color theme="0"/>
        <rFont val="Calibri"/>
        <family val="2"/>
        <scheme val="minor"/>
      </rPr>
      <t>res</t>
    </r>
    <r>
      <rPr>
        <b/>
        <sz val="11"/>
        <color theme="0"/>
        <rFont val="Calibri"/>
        <family val="2"/>
        <scheme val="minor"/>
      </rPr>
      <t xml:space="preserve"> [mm]</t>
    </r>
  </si>
  <si>
    <r>
      <t>F</t>
    </r>
    <r>
      <rPr>
        <b/>
        <vertAlign val="subscript"/>
        <sz val="11"/>
        <color theme="0"/>
        <rFont val="Calibri"/>
        <family val="2"/>
        <scheme val="minor"/>
      </rPr>
      <t>bolt</t>
    </r>
    <r>
      <rPr>
        <b/>
        <sz val="11"/>
        <color theme="0"/>
        <rFont val="Calibri"/>
        <family val="2"/>
        <scheme val="minor"/>
      </rPr>
      <t xml:space="preserve"> [N]</t>
    </r>
  </si>
  <si>
    <t>(ratio of axial vs yield stress at serration)</t>
  </si>
  <si>
    <t>(number of bolt/stud)</t>
  </si>
  <si>
    <t>(bolt material yield stress)</t>
  </si>
  <si>
    <t>(resistant diameter of bolt/stud)</t>
  </si>
  <si>
    <t>(tightening force of bolt/stud)</t>
  </si>
  <si>
    <t>Legend</t>
  </si>
  <si>
    <t>input data</t>
  </si>
  <si>
    <t>descriptor</t>
  </si>
  <si>
    <t>calculated</t>
  </si>
  <si>
    <t>annotation</t>
  </si>
  <si>
    <t>Warnings legend</t>
  </si>
  <si>
    <t>not allowable</t>
  </si>
  <si>
    <t>near to limit</t>
  </si>
  <si>
    <r>
      <t>F</t>
    </r>
    <r>
      <rPr>
        <b/>
        <vertAlign val="subscript"/>
        <sz val="11"/>
        <color theme="0"/>
        <rFont val="Calibri"/>
        <family val="2"/>
        <scheme val="minor"/>
      </rPr>
      <t>bolt</t>
    </r>
    <r>
      <rPr>
        <b/>
        <sz val="11"/>
        <color theme="0"/>
        <rFont val="Calibri"/>
        <family val="2"/>
        <scheme val="minor"/>
      </rPr>
      <t>/F</t>
    </r>
    <r>
      <rPr>
        <b/>
        <vertAlign val="subscript"/>
        <sz val="11"/>
        <color theme="0"/>
        <rFont val="Calibri"/>
        <family val="2"/>
        <scheme val="minor"/>
      </rPr>
      <t>min</t>
    </r>
    <r>
      <rPr>
        <b/>
        <sz val="11"/>
        <color theme="0"/>
        <rFont val="Calibri"/>
        <family val="2"/>
        <scheme val="minor"/>
      </rPr>
      <t>[-]</t>
    </r>
  </si>
  <si>
    <t>allowable</t>
  </si>
  <si>
    <r>
      <t>S</t>
    </r>
    <r>
      <rPr>
        <b/>
        <vertAlign val="subscript"/>
        <sz val="11"/>
        <color theme="0"/>
        <rFont val="Calibri"/>
        <family val="2"/>
        <scheme val="minor"/>
      </rPr>
      <t>a</t>
    </r>
    <r>
      <rPr>
        <b/>
        <sz val="11"/>
        <color theme="0"/>
        <rFont val="Calibri"/>
        <family val="2"/>
        <scheme val="minor"/>
      </rPr>
      <t>/S</t>
    </r>
    <r>
      <rPr>
        <b/>
        <vertAlign val="subscript"/>
        <sz val="11"/>
        <color theme="0"/>
        <rFont val="Calibri"/>
        <family val="2"/>
        <scheme val="minor"/>
      </rPr>
      <t>U</t>
    </r>
    <r>
      <rPr>
        <b/>
        <sz val="11"/>
        <color theme="0"/>
        <rFont val="Calibri"/>
        <family val="2"/>
        <scheme val="minor"/>
      </rPr>
      <t>[-]a</t>
    </r>
  </si>
  <si>
    <t>manufacturer</t>
  </si>
  <si>
    <t>name</t>
  </si>
  <si>
    <t>thickness [in]</t>
  </si>
  <si>
    <t>thickness [mm]</t>
  </si>
  <si>
    <r>
      <t>G</t>
    </r>
    <r>
      <rPr>
        <vertAlign val="subscript"/>
        <sz val="11"/>
        <color theme="1"/>
        <rFont val="Calibri"/>
        <family val="2"/>
        <scheme val="minor"/>
      </rPr>
      <t>b</t>
    </r>
    <r>
      <rPr>
        <sz val="11"/>
        <color theme="1"/>
        <rFont val="Calibri"/>
        <family val="2"/>
        <scheme val="minor"/>
      </rPr>
      <t xml:space="preserve"> [psi]</t>
    </r>
  </si>
  <si>
    <r>
      <t>G</t>
    </r>
    <r>
      <rPr>
        <vertAlign val="subscript"/>
        <sz val="11"/>
        <color theme="1"/>
        <rFont val="Calibri"/>
        <family val="2"/>
        <scheme val="minor"/>
      </rPr>
      <t>b</t>
    </r>
    <r>
      <rPr>
        <sz val="11"/>
        <color theme="1"/>
        <rFont val="Calibri"/>
        <family val="2"/>
        <scheme val="minor"/>
      </rPr>
      <t xml:space="preserve"> [MPa]</t>
    </r>
  </si>
  <si>
    <r>
      <t>G</t>
    </r>
    <r>
      <rPr>
        <vertAlign val="subscript"/>
        <sz val="11"/>
        <color theme="1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 xml:space="preserve"> [psi]</t>
    </r>
  </si>
  <si>
    <r>
      <t>G</t>
    </r>
    <r>
      <rPr>
        <vertAlign val="subscript"/>
        <sz val="11"/>
        <color theme="1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 xml:space="preserve"> [MPa]</t>
    </r>
  </si>
  <si>
    <r>
      <t>G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 xml:space="preserve"> [MPa]</t>
    </r>
  </si>
  <si>
    <t>Flexitallic</t>
  </si>
  <si>
    <t>Flexicarb ST 1/16</t>
  </si>
  <si>
    <t>Garlock</t>
  </si>
  <si>
    <t>BLUE-GARD® Style 3000 1/16</t>
  </si>
  <si>
    <r>
      <t>G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 xml:space="preserve"> [MPa]</t>
    </r>
  </si>
  <si>
    <t>BLUE-GARD® Style 3000 1/8</t>
  </si>
  <si>
    <t>GYLON® Style 3500 1/16</t>
  </si>
  <si>
    <t>GYLON® Style 3500 1/8</t>
  </si>
  <si>
    <t>GYLON® Style 3504 1/16</t>
  </si>
  <si>
    <t>GYLON® Style 3504 1/8</t>
  </si>
  <si>
    <t>Style 9900 1/16</t>
  </si>
  <si>
    <t>Klinger</t>
  </si>
  <si>
    <t>KLINGERSIL® C-4430</t>
  </si>
  <si>
    <t>KLINGERSIL® C-4433</t>
  </si>
  <si>
    <t>KLINGERSIL® C-4439</t>
  </si>
  <si>
    <t>Mod.501-0</t>
  </si>
  <si>
    <t>QA/HSEM C.Delli Quadri - M.Tremolada</t>
  </si>
  <si>
    <t>R&amp;D Manager / M.Borghetti</t>
  </si>
  <si>
    <t>PVRC Code for Bolted Flange Connections with Gasket
(linked to SOP-527)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</si>
</sst>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General_)"/>
    <numFmt numFmtId="166" formatCode="&quot;$&quot;#,##0.00;[Red]\-&quot;$&quot;#,##0.00"/>
  </numFmts>
  <fonts count="24" x14ac:knownFonts="1"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vertAlign val="subscript"/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vertAlign val="superscript"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bscript"/>
      <sz val="10"/>
      <color theme="1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2"/>
      <color indexed="9"/>
      <name val="Arial"/>
      <family val="2"/>
    </font>
    <font>
      <sz val="26"/>
      <name val="Arial"/>
      <family val="2"/>
    </font>
    <font>
      <b/>
      <sz val="26"/>
      <name val="Arial"/>
      <family val="2"/>
    </font>
    <font>
      <sz val="8"/>
      <name val="Arial"/>
      <family val="2"/>
    </font>
    <font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9" fontId="9" fillId="0" borderId="0" applyFont="0" applyFill="0" applyBorder="0" applyAlignment="0" applyProtection="0"/>
    <xf numFmtId="0" fontId="15" fillId="0" borderId="0"/>
    <xf numFmtId="165" fontId="16" fillId="0" borderId="0"/>
    <xf numFmtId="166" fontId="22" fillId="0" borderId="0" applyFont="0" applyFill="0" applyBorder="0" applyAlignment="0" applyProtection="0"/>
  </cellStyleXfs>
  <cellXfs count="11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/>
    </xf>
    <xf numFmtId="0" fontId="3" fillId="3" borderId="4" xfId="0" applyFont="1" applyFill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6" fillId="0" borderId="1" xfId="0" applyFont="1" applyBorder="1" applyAlignment="1">
      <alignment horizont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9" fontId="0" fillId="4" borderId="9" xfId="0" applyNumberFormat="1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7" fillId="0" borderId="11" xfId="0" applyFont="1" applyBorder="1" applyAlignment="1">
      <alignment horizontal="center"/>
    </xf>
    <xf numFmtId="9" fontId="0" fillId="4" borderId="12" xfId="0" applyNumberFormat="1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3" fillId="3" borderId="8" xfId="0" applyFont="1" applyFill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3" fillId="3" borderId="15" xfId="0" applyFont="1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3" fillId="3" borderId="19" xfId="0" applyFont="1" applyFill="1" applyBorder="1" applyAlignment="1">
      <alignment horizontal="center"/>
    </xf>
    <xf numFmtId="0" fontId="0" fillId="4" borderId="20" xfId="0" applyFill="1" applyBorder="1" applyAlignment="1">
      <alignment horizontal="center"/>
    </xf>
    <xf numFmtId="0" fontId="7" fillId="0" borderId="20" xfId="0" applyFont="1" applyBorder="1" applyAlignment="1">
      <alignment horizontal="center"/>
    </xf>
    <xf numFmtId="2" fontId="0" fillId="0" borderId="0" xfId="0" applyNumberFormat="1" applyAlignment="1">
      <alignment horizontal="center" vertical="center"/>
    </xf>
    <xf numFmtId="9" fontId="7" fillId="0" borderId="8" xfId="1" applyFont="1" applyFill="1" applyBorder="1" applyAlignment="1">
      <alignment horizontal="center"/>
    </xf>
    <xf numFmtId="0" fontId="3" fillId="3" borderId="24" xfId="0" applyFont="1" applyFill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3" fillId="3" borderId="27" xfId="0" applyFont="1" applyFill="1" applyBorder="1" applyAlignment="1">
      <alignment horizontal="center"/>
    </xf>
    <xf numFmtId="0" fontId="7" fillId="0" borderId="28" xfId="0" applyFont="1" applyBorder="1" applyAlignment="1">
      <alignment horizontal="center"/>
    </xf>
    <xf numFmtId="0" fontId="7" fillId="0" borderId="16" xfId="0" applyFont="1" applyBorder="1" applyAlignment="1">
      <alignment horizontal="center"/>
    </xf>
    <xf numFmtId="0" fontId="0" fillId="4" borderId="28" xfId="0" applyFill="1" applyBorder="1" applyAlignment="1">
      <alignment horizontal="center"/>
    </xf>
    <xf numFmtId="0" fontId="10" fillId="0" borderId="8" xfId="0" applyFont="1" applyBorder="1" applyAlignment="1">
      <alignment horizontal="center"/>
    </xf>
    <xf numFmtId="0" fontId="10" fillId="0" borderId="8" xfId="0" applyFont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0" fontId="13" fillId="0" borderId="0" xfId="0" applyFont="1"/>
    <xf numFmtId="0" fontId="7" fillId="0" borderId="0" xfId="0" applyFont="1" applyAlignment="1">
      <alignment horizontal="center"/>
    </xf>
    <xf numFmtId="0" fontId="15" fillId="0" borderId="31" xfId="2" applyBorder="1" applyAlignment="1">
      <alignment horizontal="center" vertical="center"/>
    </xf>
    <xf numFmtId="0" fontId="15" fillId="0" borderId="32" xfId="2" applyBorder="1" applyAlignment="1">
      <alignment horizontal="center" vertical="center"/>
    </xf>
    <xf numFmtId="0" fontId="15" fillId="0" borderId="33" xfId="2" applyBorder="1" applyAlignment="1">
      <alignment horizontal="center" vertical="center"/>
    </xf>
    <xf numFmtId="165" fontId="16" fillId="0" borderId="0" xfId="3"/>
    <xf numFmtId="0" fontId="15" fillId="0" borderId="34" xfId="2" applyBorder="1" applyAlignment="1">
      <alignment horizontal="center" vertical="center"/>
    </xf>
    <xf numFmtId="0" fontId="15" fillId="0" borderId="0" xfId="2" applyAlignment="1">
      <alignment horizontal="center" vertical="center"/>
    </xf>
    <xf numFmtId="0" fontId="15" fillId="0" borderId="35" xfId="2" applyBorder="1" applyAlignment="1">
      <alignment horizontal="center" vertical="center"/>
    </xf>
    <xf numFmtId="0" fontId="17" fillId="0" borderId="0" xfId="2" applyFont="1" applyAlignment="1">
      <alignment horizontal="center" vertical="top"/>
    </xf>
    <xf numFmtId="0" fontId="15" fillId="0" borderId="0" xfId="2" applyAlignment="1">
      <alignment horizontal="center"/>
    </xf>
    <xf numFmtId="0" fontId="18" fillId="0" borderId="0" xfId="2" applyFont="1" applyAlignment="1">
      <alignment horizontal="center" vertical="top"/>
    </xf>
    <xf numFmtId="0" fontId="19" fillId="0" borderId="35" xfId="2" applyFont="1" applyBorder="1" applyAlignment="1">
      <alignment horizontal="center" vertical="top"/>
    </xf>
    <xf numFmtId="0" fontId="20" fillId="0" borderId="34" xfId="2" applyFont="1" applyBorder="1" applyAlignment="1">
      <alignment horizontal="center" vertical="center"/>
    </xf>
    <xf numFmtId="0" fontId="20" fillId="0" borderId="0" xfId="2" applyFont="1" applyAlignment="1">
      <alignment horizontal="center" vertical="center"/>
    </xf>
    <xf numFmtId="0" fontId="21" fillId="0" borderId="0" xfId="2" applyFont="1" applyAlignment="1">
      <alignment horizontal="center" vertical="center"/>
    </xf>
    <xf numFmtId="0" fontId="20" fillId="0" borderId="35" xfId="2" applyFont="1" applyBorder="1" applyAlignment="1">
      <alignment horizontal="center" vertical="center"/>
    </xf>
    <xf numFmtId="0" fontId="20" fillId="0" borderId="31" xfId="2" applyFont="1" applyBorder="1" applyAlignment="1">
      <alignment horizontal="center" vertical="center" wrapText="1"/>
    </xf>
    <xf numFmtId="0" fontId="20" fillId="0" borderId="32" xfId="2" applyFont="1" applyBorder="1" applyAlignment="1">
      <alignment horizontal="center" vertical="center" wrapText="1"/>
    </xf>
    <xf numFmtId="0" fontId="20" fillId="0" borderId="33" xfId="2" applyFont="1" applyBorder="1" applyAlignment="1">
      <alignment horizontal="center" vertical="center" wrapText="1"/>
    </xf>
    <xf numFmtId="0" fontId="20" fillId="0" borderId="34" xfId="2" applyFont="1" applyBorder="1" applyAlignment="1">
      <alignment horizontal="center" vertical="center" wrapText="1"/>
    </xf>
    <xf numFmtId="0" fontId="20" fillId="0" borderId="0" xfId="2" applyFont="1" applyAlignment="1">
      <alignment horizontal="center" vertical="center" wrapText="1"/>
    </xf>
    <xf numFmtId="0" fontId="20" fillId="0" borderId="35" xfId="2" applyFont="1" applyBorder="1" applyAlignment="1">
      <alignment horizontal="center" vertical="center" wrapText="1"/>
    </xf>
    <xf numFmtId="0" fontId="20" fillId="0" borderId="36" xfId="2" applyFont="1" applyBorder="1" applyAlignment="1">
      <alignment horizontal="center" vertical="center" wrapText="1"/>
    </xf>
    <xf numFmtId="0" fontId="20" fillId="0" borderId="37" xfId="2" applyFont="1" applyBorder="1" applyAlignment="1">
      <alignment horizontal="center" vertical="center" wrapText="1"/>
    </xf>
    <xf numFmtId="0" fontId="20" fillId="0" borderId="38" xfId="2" applyFont="1" applyBorder="1" applyAlignment="1">
      <alignment horizontal="center" vertical="center" wrapText="1"/>
    </xf>
    <xf numFmtId="0" fontId="15" fillId="0" borderId="39" xfId="2" applyBorder="1" applyAlignment="1">
      <alignment horizontal="center" vertical="center"/>
    </xf>
    <xf numFmtId="0" fontId="15" fillId="0" borderId="40" xfId="2" applyBorder="1" applyAlignment="1">
      <alignment horizontal="center" vertical="center"/>
    </xf>
    <xf numFmtId="0" fontId="15" fillId="0" borderId="41" xfId="2" applyBorder="1" applyAlignment="1">
      <alignment horizontal="center" vertical="center"/>
    </xf>
    <xf numFmtId="0" fontId="15" fillId="0" borderId="42" xfId="2" applyBorder="1" applyAlignment="1">
      <alignment horizontal="center" vertical="center"/>
    </xf>
    <xf numFmtId="0" fontId="15" fillId="0" borderId="43" xfId="2" applyBorder="1" applyAlignment="1">
      <alignment horizontal="center" vertical="center"/>
    </xf>
    <xf numFmtId="0" fontId="15" fillId="0" borderId="1" xfId="2" applyBorder="1" applyAlignment="1">
      <alignment horizontal="center" vertical="center"/>
    </xf>
    <xf numFmtId="0" fontId="15" fillId="0" borderId="2" xfId="2" applyBorder="1" applyAlignment="1">
      <alignment horizontal="center" vertical="center"/>
    </xf>
    <xf numFmtId="0" fontId="15" fillId="0" borderId="45" xfId="2" applyBorder="1" applyAlignment="1">
      <alignment horizontal="center" vertical="center"/>
    </xf>
    <xf numFmtId="0" fontId="15" fillId="0" borderId="44" xfId="2" applyBorder="1" applyAlignment="1">
      <alignment horizontal="center" vertical="center"/>
    </xf>
    <xf numFmtId="0" fontId="15" fillId="0" borderId="3" xfId="2" applyBorder="1" applyAlignment="1">
      <alignment horizontal="center" vertical="center"/>
    </xf>
    <xf numFmtId="0" fontId="22" fillId="0" borderId="1" xfId="2" applyFont="1" applyBorder="1" applyAlignment="1">
      <alignment horizontal="center" vertical="center" wrapText="1"/>
    </xf>
    <xf numFmtId="0" fontId="22" fillId="0" borderId="2" xfId="2" applyFont="1" applyBorder="1" applyAlignment="1">
      <alignment horizontal="center" vertical="center" wrapText="1"/>
    </xf>
    <xf numFmtId="0" fontId="22" fillId="0" borderId="45" xfId="2" applyFont="1" applyBorder="1" applyAlignment="1">
      <alignment horizontal="center" vertical="center" wrapText="1"/>
    </xf>
    <xf numFmtId="0" fontId="22" fillId="0" borderId="44" xfId="2" applyFont="1" applyBorder="1" applyAlignment="1">
      <alignment horizontal="center" vertical="center"/>
    </xf>
    <xf numFmtId="0" fontId="22" fillId="0" borderId="3" xfId="2" applyFont="1" applyBorder="1" applyAlignment="1">
      <alignment horizontal="center" vertical="center"/>
    </xf>
    <xf numFmtId="14" fontId="22" fillId="0" borderId="1" xfId="2" applyNumberFormat="1" applyFont="1" applyBorder="1" applyAlignment="1">
      <alignment horizontal="center" vertical="center"/>
    </xf>
    <xf numFmtId="14" fontId="22" fillId="0" borderId="2" xfId="2" applyNumberFormat="1" applyFont="1" applyBorder="1" applyAlignment="1">
      <alignment horizontal="center" vertical="center"/>
    </xf>
    <xf numFmtId="14" fontId="22" fillId="0" borderId="3" xfId="2" applyNumberFormat="1" applyFont="1" applyBorder="1" applyAlignment="1">
      <alignment horizontal="center" vertical="center"/>
    </xf>
    <xf numFmtId="0" fontId="22" fillId="0" borderId="1" xfId="2" applyFont="1" applyBorder="1" applyAlignment="1">
      <alignment horizontal="center" vertical="center"/>
    </xf>
    <xf numFmtId="0" fontId="22" fillId="0" borderId="2" xfId="2" applyFont="1" applyBorder="1" applyAlignment="1">
      <alignment horizontal="center" vertical="center"/>
    </xf>
    <xf numFmtId="0" fontId="22" fillId="0" borderId="3" xfId="2" applyFont="1" applyBorder="1" applyAlignment="1">
      <alignment horizontal="center" vertical="center" wrapText="1"/>
    </xf>
    <xf numFmtId="166" fontId="15" fillId="0" borderId="36" xfId="4" applyFont="1" applyBorder="1" applyAlignment="1">
      <alignment horizontal="right" vertical="center"/>
    </xf>
    <xf numFmtId="166" fontId="16" fillId="0" borderId="37" xfId="4" applyFont="1" applyBorder="1" applyAlignment="1">
      <alignment horizontal="right" vertical="center"/>
    </xf>
    <xf numFmtId="166" fontId="16" fillId="0" borderId="38" xfId="4" applyFont="1" applyBorder="1" applyAlignment="1">
      <alignment horizontal="right" vertical="center"/>
    </xf>
    <xf numFmtId="166" fontId="15" fillId="0" borderId="46" xfId="4" applyFont="1" applyBorder="1" applyAlignment="1">
      <alignment horizontal="center" vertical="center"/>
    </xf>
    <xf numFmtId="166" fontId="15" fillId="0" borderId="47" xfId="4" applyFont="1" applyBorder="1" applyAlignment="1">
      <alignment horizontal="center" vertical="center"/>
    </xf>
    <xf numFmtId="0" fontId="23" fillId="0" borderId="48" xfId="2" applyFont="1" applyBorder="1" applyAlignment="1">
      <alignment horizontal="center" vertical="center"/>
    </xf>
    <xf numFmtId="0" fontId="23" fillId="0" borderId="49" xfId="2" applyFont="1" applyBorder="1" applyAlignment="1">
      <alignment horizontal="center" vertical="center"/>
    </xf>
    <xf numFmtId="0" fontId="23" fillId="0" borderId="47" xfId="2" applyFont="1" applyBorder="1" applyAlignment="1">
      <alignment horizontal="center" vertical="center"/>
    </xf>
    <xf numFmtId="0" fontId="23" fillId="0" borderId="50" xfId="2" applyFont="1" applyBorder="1" applyAlignment="1">
      <alignment horizontal="center" vertical="center"/>
    </xf>
    <xf numFmtId="0" fontId="6" fillId="0" borderId="19" xfId="0" applyFont="1" applyBorder="1" applyAlignment="1">
      <alignment horizontal="left"/>
    </xf>
    <xf numFmtId="0" fontId="6" fillId="0" borderId="21" xfId="0" applyFont="1" applyBorder="1" applyAlignment="1">
      <alignment horizontal="left"/>
    </xf>
    <xf numFmtId="0" fontId="6" fillId="0" borderId="22" xfId="0" applyFont="1" applyBorder="1" applyAlignment="1">
      <alignment horizontal="left"/>
    </xf>
    <xf numFmtId="2" fontId="12" fillId="0" borderId="1" xfId="0" applyNumberFormat="1" applyFont="1" applyBorder="1" applyAlignment="1">
      <alignment horizontal="center" vertical="center"/>
    </xf>
    <xf numFmtId="2" fontId="12" fillId="0" borderId="3" xfId="0" applyNumberFormat="1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8" xfId="0" quotePrefix="1" applyFont="1" applyBorder="1" applyAlignment="1">
      <alignment horizontal="center"/>
    </xf>
    <xf numFmtId="0" fontId="4" fillId="2" borderId="8" xfId="0" applyFont="1" applyFill="1" applyBorder="1" applyAlignment="1">
      <alignment horizontal="center" vertical="center"/>
    </xf>
    <xf numFmtId="0" fontId="6" fillId="0" borderId="15" xfId="0" applyFont="1" applyBorder="1" applyAlignment="1">
      <alignment horizontal="left"/>
    </xf>
    <xf numFmtId="0" fontId="6" fillId="0" borderId="17" xfId="0" applyFont="1" applyBorder="1" applyAlignment="1">
      <alignment horizontal="left"/>
    </xf>
    <xf numFmtId="0" fontId="6" fillId="0" borderId="18" xfId="0" applyFont="1" applyBorder="1" applyAlignment="1">
      <alignment horizontal="left"/>
    </xf>
    <xf numFmtId="0" fontId="6" fillId="0" borderId="27" xfId="0" applyFont="1" applyBorder="1" applyAlignment="1">
      <alignment horizontal="left"/>
    </xf>
    <xf numFmtId="0" fontId="6" fillId="0" borderId="29" xfId="0" applyFont="1" applyBorder="1" applyAlignment="1">
      <alignment horizontal="left"/>
    </xf>
    <xf numFmtId="0" fontId="6" fillId="0" borderId="30" xfId="0" applyFont="1" applyBorder="1" applyAlignment="1">
      <alignment horizontal="left"/>
    </xf>
    <xf numFmtId="0" fontId="6" fillId="0" borderId="8" xfId="0" quotePrefix="1" applyFont="1" applyBorder="1" applyAlignment="1">
      <alignment horizontal="center" vertical="center" wrapText="1"/>
    </xf>
    <xf numFmtId="2" fontId="11" fillId="4" borderId="8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6" fillId="0" borderId="24" xfId="0" applyFont="1" applyBorder="1" applyAlignment="1">
      <alignment horizontal="left"/>
    </xf>
    <xf numFmtId="0" fontId="6" fillId="0" borderId="25" xfId="0" applyFont="1" applyBorder="1" applyAlignment="1">
      <alignment horizontal="left"/>
    </xf>
    <xf numFmtId="0" fontId="6" fillId="0" borderId="26" xfId="0" applyFont="1" applyBorder="1" applyAlignment="1">
      <alignment horizontal="left"/>
    </xf>
  </cellXfs>
  <cellStyles count="5">
    <cellStyle name="Normale" xfId="0" builtinId="0"/>
    <cellStyle name="Normale 3" xfId="3" xr:uid="{76C9B356-7449-41D2-B2FD-D39A652596E0}"/>
    <cellStyle name="Normale 4" xfId="2" xr:uid="{DAC9B8CB-7642-4F59-A0AC-C4C194799C18}"/>
    <cellStyle name="Percentuale" xfId="1" builtinId="5"/>
    <cellStyle name="Valuta 2" xfId="4" xr:uid="{98BD19E5-C5BD-43EE-878B-36C58828D0B0}"/>
  </cellStyles>
  <dxfs count="11">
    <dxf>
      <alignment horizontal="center" vertical="bottom" textRotation="0" wrapText="0" indent="0" justifyLastLine="0" shrinkToFit="0" readingOrder="0"/>
    </dxf>
    <dxf>
      <numFmt numFmtId="164" formatCode="0.00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0.0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load</c:v>
          </c:tx>
          <c:spPr>
            <a:ln w="19050" cap="rnd" cmpd="sng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'PVRC iterative method'!$H$5:$H$6</c:f>
              <c:numCache>
                <c:formatCode>General</c:formatCode>
                <c:ptCount val="2"/>
                <c:pt idx="0">
                  <c:v>1</c:v>
                </c:pt>
                <c:pt idx="1">
                  <c:v>299723.00416919705</c:v>
                </c:pt>
              </c:numCache>
            </c:numRef>
          </c:xVal>
          <c:yVal>
            <c:numRef>
              <c:f>'PVRC iterative method'!$I$5:$I$6</c:f>
              <c:numCache>
                <c:formatCode>0.00</c:formatCode>
                <c:ptCount val="2"/>
                <c:pt idx="0" formatCode="General">
                  <c:v>16.009626434736933</c:v>
                </c:pt>
                <c:pt idx="1">
                  <c:v>85.661360662086125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6E-4603-909F-2AB31C3133AE}"/>
            </c:ext>
          </c:extLst>
        </c:ser>
        <c:ser>
          <c:idx val="1"/>
          <c:order val="1"/>
          <c:tx>
            <c:v>unload</c:v>
          </c:tx>
          <c:spPr>
            <a:ln w="19050" cap="rnd">
              <a:solidFill>
                <a:schemeClr val="tx1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'PVRC iterative method'!$H$8:$H$10</c:f>
              <c:numCache>
                <c:formatCode>0.00</c:formatCode>
                <c:ptCount val="3"/>
                <c:pt idx="0" formatCode="General">
                  <c:v>1</c:v>
                </c:pt>
                <c:pt idx="1">
                  <c:v>421.73819999999995</c:v>
                </c:pt>
                <c:pt idx="2" formatCode="General">
                  <c:v>299723.00416919705</c:v>
                </c:pt>
              </c:numCache>
            </c:numRef>
          </c:xVal>
          <c:yVal>
            <c:numRef>
              <c:f>'PVRC iterative method'!$I$8:$I$10</c:f>
              <c:numCache>
                <c:formatCode>0.00</c:formatCode>
                <c:ptCount val="3"/>
                <c:pt idx="0" formatCode="General">
                  <c:v>0.1241056312770305</c:v>
                </c:pt>
                <c:pt idx="1">
                  <c:v>2.8480493090215369</c:v>
                </c:pt>
                <c:pt idx="2">
                  <c:v>85.661360662086125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6E-4603-909F-2AB31C3133AE}"/>
            </c:ext>
          </c:extLst>
        </c:ser>
        <c:ser>
          <c:idx val="2"/>
          <c:order val="2"/>
          <c:tx>
            <c:v>Tp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b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86E-4603-909F-2AB31C3133A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'PVRC iterative method'!$H$12:$H$14</c:f>
              <c:numCache>
                <c:formatCode>General</c:formatCode>
                <c:ptCount val="3"/>
                <c:pt idx="0">
                  <c:v>149077.23201125511</c:v>
                </c:pt>
                <c:pt idx="1">
                  <c:v>149077.23201125511</c:v>
                </c:pt>
                <c:pt idx="2">
                  <c:v>1</c:v>
                </c:pt>
              </c:numCache>
            </c:numRef>
          </c:xVal>
          <c:yVal>
            <c:numRef>
              <c:f>'PVRC iterative method'!$I$12:$I$14</c:f>
              <c:numCache>
                <c:formatCode>General</c:formatCode>
                <c:ptCount val="3"/>
                <c:pt idx="0">
                  <c:v>1</c:v>
                </c:pt>
                <c:pt idx="1">
                  <c:v>59.642709299101909</c:v>
                </c:pt>
                <c:pt idx="2">
                  <c:v>59.642709299101909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86E-4603-909F-2AB31C3133AE}"/>
            </c:ext>
          </c:extLst>
        </c:ser>
        <c:ser>
          <c:idx val="3"/>
          <c:order val="3"/>
          <c:tx>
            <c:v>Tpmin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b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86E-4603-909F-2AB31C3133A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'PVRC iterative method'!$J$8:$J$10</c:f>
              <c:numCache>
                <c:formatCode>0.00</c:formatCode>
                <c:ptCount val="3"/>
                <c:pt idx="0">
                  <c:v>421.73819999999995</c:v>
                </c:pt>
                <c:pt idx="1">
                  <c:v>421.73819999999995</c:v>
                </c:pt>
                <c:pt idx="2" formatCode="General">
                  <c:v>1</c:v>
                </c:pt>
              </c:numCache>
            </c:numRef>
          </c:xVal>
          <c:yVal>
            <c:numRef>
              <c:f>'PVRC iterative method'!$K$8:$K$10</c:f>
              <c:numCache>
                <c:formatCode>0.00</c:formatCode>
                <c:ptCount val="3"/>
                <c:pt idx="0" formatCode="General">
                  <c:v>1</c:v>
                </c:pt>
                <c:pt idx="1">
                  <c:v>2.8480493090215369</c:v>
                </c:pt>
                <c:pt idx="2">
                  <c:v>2.8480493090215369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86E-4603-909F-2AB31C3133AE}"/>
            </c:ext>
          </c:extLst>
        </c:ser>
        <c:ser>
          <c:idx val="4"/>
          <c:order val="4"/>
          <c:tx>
            <c:v>Tpa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b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86E-4603-909F-2AB31C3133A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'PVRC iterative method'!$L$8:$L$10</c:f>
              <c:numCache>
                <c:formatCode>0.00</c:formatCode>
                <c:ptCount val="3"/>
                <c:pt idx="0">
                  <c:v>299723.00416919705</c:v>
                </c:pt>
                <c:pt idx="1">
                  <c:v>299723.00416919705</c:v>
                </c:pt>
                <c:pt idx="2" formatCode="General">
                  <c:v>1</c:v>
                </c:pt>
              </c:numCache>
            </c:numRef>
          </c:xVal>
          <c:yVal>
            <c:numRef>
              <c:f>'PVRC iterative method'!$M$8:$M$10</c:f>
              <c:numCache>
                <c:formatCode>0.00</c:formatCode>
                <c:ptCount val="3"/>
                <c:pt idx="0" formatCode="General">
                  <c:v>1</c:v>
                </c:pt>
                <c:pt idx="1">
                  <c:v>85.661360662086125</c:v>
                </c:pt>
                <c:pt idx="2">
                  <c:v>85.661360662086125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86E-4603-909F-2AB31C3133AE}"/>
            </c:ext>
          </c:extLst>
        </c:ser>
        <c:ser>
          <c:idx val="5"/>
          <c:order val="5"/>
          <c:tx>
            <c:v>op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plus"/>
              <c:size val="10"/>
              <c:spPr>
                <a:noFill/>
                <a:ln w="25400">
                  <a:solidFill>
                    <a:srgbClr val="FF0000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D71C-49DA-8FC1-4E557FFC041F}"/>
              </c:ext>
            </c:extLst>
          </c:dPt>
          <c:xVal>
            <c:numRef>
              <c:f>'PVRC iterative method'!$J$12:$J$13</c:f>
              <c:numCache>
                <c:formatCode>General</c:formatCode>
                <c:ptCount val="2"/>
                <c:pt idx="0">
                  <c:v>299723.00416919705</c:v>
                </c:pt>
                <c:pt idx="1">
                  <c:v>149077.23201125511</c:v>
                </c:pt>
              </c:numCache>
            </c:numRef>
          </c:xVal>
          <c:yVal>
            <c:numRef>
              <c:f>'PVRC iterative method'!$K$12:$K$13</c:f>
              <c:numCache>
                <c:formatCode>General</c:formatCode>
                <c:ptCount val="2"/>
                <c:pt idx="0">
                  <c:v>85.661360662086125</c:v>
                </c:pt>
                <c:pt idx="1">
                  <c:v>59.642709299101909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1C-49DA-8FC1-4E557FFC04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1116608"/>
        <c:axId val="1151103648"/>
      </c:scatterChart>
      <c:valAx>
        <c:axId val="115111660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Tp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51103648"/>
        <c:crosses val="autoZero"/>
        <c:crossBetween val="midCat"/>
      </c:valAx>
      <c:valAx>
        <c:axId val="1151103648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gasket stress 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51116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radarChart>
        <c:radarStyle val="marker"/>
        <c:varyColors val="0"/>
        <c:ser>
          <c:idx val="0"/>
          <c:order val="0"/>
          <c:tx>
            <c:strRef>
              <c:f>'gasket list'!$L$2</c:f>
              <c:strCache>
                <c:ptCount val="1"/>
                <c:pt idx="0">
                  <c:v>1</c:v>
                </c:pt>
              </c:strCache>
            </c:strRef>
          </c:tx>
          <c:spPr>
            <a:ln w="28575" cap="rnd">
              <a:solidFill>
                <a:schemeClr val="accent1"/>
              </a:solidFill>
            </a:ln>
            <a:effectLst>
              <a:glow rad="76200">
                <a:schemeClr val="accent1">
                  <a:satMod val="175000"/>
                  <a:alpha val="3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cat>
            <c:strRef>
              <c:f>'gasket list'!$C$3:$C$13</c:f>
              <c:strCache>
                <c:ptCount val="11"/>
                <c:pt idx="0">
                  <c:v>Flexicarb ST 1/16</c:v>
                </c:pt>
                <c:pt idx="1">
                  <c:v>BLUE-GARD® Style 3000 1/16</c:v>
                </c:pt>
                <c:pt idx="2">
                  <c:v>BLUE-GARD® Style 3000 1/8</c:v>
                </c:pt>
                <c:pt idx="3">
                  <c:v>GYLON® Style 3500 1/16</c:v>
                </c:pt>
                <c:pt idx="4">
                  <c:v>GYLON® Style 3500 1/8</c:v>
                </c:pt>
                <c:pt idx="5">
                  <c:v>GYLON® Style 3504 1/16</c:v>
                </c:pt>
                <c:pt idx="6">
                  <c:v>GYLON® Style 3504 1/8</c:v>
                </c:pt>
                <c:pt idx="7">
                  <c:v>Style 9900 1/16</c:v>
                </c:pt>
                <c:pt idx="8">
                  <c:v>KLINGERSIL® C-4430</c:v>
                </c:pt>
                <c:pt idx="9">
                  <c:v>KLINGERSIL® C-4433</c:v>
                </c:pt>
                <c:pt idx="10">
                  <c:v>KLINGERSIL® C-4439</c:v>
                </c:pt>
              </c:strCache>
            </c:strRef>
          </c:cat>
          <c:val>
            <c:numRef>
              <c:f>'gasket list'!$L$3:$L$13</c:f>
              <c:numCache>
                <c:formatCode>General</c:formatCode>
                <c:ptCount val="11"/>
                <c:pt idx="0">
                  <c:v>9.6526602104357071</c:v>
                </c:pt>
                <c:pt idx="1">
                  <c:v>15.906205075339409</c:v>
                </c:pt>
                <c:pt idx="2">
                  <c:v>16.264732454584163</c:v>
                </c:pt>
                <c:pt idx="3">
                  <c:v>6.5431246712167752</c:v>
                </c:pt>
                <c:pt idx="4">
                  <c:v>13.651619440473354</c:v>
                </c:pt>
                <c:pt idx="5">
                  <c:v>1.26174058464981</c:v>
                </c:pt>
                <c:pt idx="6">
                  <c:v>6.9499153515137087</c:v>
                </c:pt>
                <c:pt idx="7">
                  <c:v>16.009626434736933</c:v>
                </c:pt>
                <c:pt idx="8">
                  <c:v>9.4940807926928343</c:v>
                </c:pt>
                <c:pt idx="9">
                  <c:v>1.758163109757932</c:v>
                </c:pt>
                <c:pt idx="10">
                  <c:v>10.797189921101653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E8-406C-8ABD-0A9142523B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6303087"/>
        <c:axId val="1736295887"/>
      </c:radarChart>
      <c:catAx>
        <c:axId val="1736303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36295887"/>
        <c:crosses val="autoZero"/>
        <c:auto val="1"/>
        <c:lblAlgn val="ctr"/>
        <c:lblOffset val="100"/>
        <c:noMultiLvlLbl val="0"/>
      </c:catAx>
      <c:valAx>
        <c:axId val="1736295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Gb 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363030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0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75000"/>
      </a:schemeClr>
    </cs:fontRef>
    <cs:spPr>
      <a:solidFill>
        <a:schemeClr val="dk1">
          <a:lumMod val="75000"/>
          <a:lumOff val="25000"/>
        </a:schemeClr>
      </a:solidFill>
      <a:ln>
        <a:solidFill>
          <a:schemeClr val="lt1">
            <a:lumMod val="75000"/>
          </a:schemeClr>
        </a:solidFill>
      </a:ln>
      <a:effectLst>
        <a:glow rad="63500">
          <a:schemeClr val="lt1">
            <a:lumMod val="75000"/>
            <a:alpha val="15000"/>
          </a:schemeClr>
        </a:glow>
      </a:effectLst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69804"/>
        </a:schemeClr>
      </a:solidFill>
      <a:ln w="9525" cap="flat" cmpd="sng" algn="ctr">
        <a:solidFill>
          <a:schemeClr val="phClr">
            <a:alpha val="69804"/>
          </a:schemeClr>
        </a:solidFill>
        <a:miter lim="800000"/>
      </a:ln>
      <a:effectLst>
        <a:glow rad="76200">
          <a:schemeClr val="phClr">
            <a:satMod val="175000"/>
            <a:alpha val="34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69804"/>
        </a:schemeClr>
      </a:solidFill>
      <a:ln w="9525" cap="flat" cmpd="sng" algn="ctr">
        <a:solidFill>
          <a:schemeClr val="phClr">
            <a:alpha val="69804"/>
          </a:schemeClr>
        </a:solidFill>
        <a:miter lim="800000"/>
      </a:ln>
      <a:effectLst>
        <a:glow rad="76200">
          <a:schemeClr val="phClr">
            <a:satMod val="175000"/>
            <a:alpha val="34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8575" cap="rnd">
        <a:solidFill>
          <a:schemeClr val="phClr"/>
        </a:solidFill>
      </a:ln>
      <a:effectLst>
        <a:glow rad="76200">
          <a:schemeClr val="phClr">
            <a:satMod val="175000"/>
            <a:alpha val="3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0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0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Drop" dropStyle="combo" dx="22" fmlaLink="$L$2" fmlaRange="$M$2:$M$4" sel="1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209550</xdr:colOff>
      <xdr:row>1</xdr:row>
      <xdr:rowOff>114300</xdr:rowOff>
    </xdr:from>
    <xdr:to>
      <xdr:col>19</xdr:col>
      <xdr:colOff>95250</xdr:colOff>
      <xdr:row>4</xdr:row>
      <xdr:rowOff>145782</xdr:rowOff>
    </xdr:to>
    <xdr:pic>
      <xdr:nvPicPr>
        <xdr:cNvPr id="2" name="Picture 2" descr="trillium 2">
          <a:extLst>
            <a:ext uri="{FF2B5EF4-FFF2-40B4-BE49-F238E27FC236}">
              <a16:creationId xmlns:a16="http://schemas.microsoft.com/office/drawing/2014/main" id="{4591913A-EFE4-45A2-A53C-80141B99AA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3075" y="304800"/>
          <a:ext cx="2514600" cy="6029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29</xdr:row>
      <xdr:rowOff>9525</xdr:rowOff>
    </xdr:from>
    <xdr:to>
      <xdr:col>29</xdr:col>
      <xdr:colOff>19050</xdr:colOff>
      <xdr:row>38</xdr:row>
      <xdr:rowOff>104775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7E72ACFA-3F60-4BB4-8FE2-3284D39BA6ED}"/>
            </a:ext>
          </a:extLst>
        </xdr:cNvPr>
        <xdr:cNvSpPr txBox="1"/>
      </xdr:nvSpPr>
      <xdr:spPr>
        <a:xfrm>
          <a:off x="95250" y="5534025"/>
          <a:ext cx="6276975" cy="1809750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/>
            <a:t>INSTRUCTIONS</a:t>
          </a:r>
        </a:p>
        <a:p>
          <a:r>
            <a:rPr lang="en-US" sz="1100" b="0" u="none"/>
            <a:t>These worksheet</a:t>
          </a:r>
          <a:r>
            <a:rPr lang="en-US" sz="1100" b="0" u="none" baseline="0"/>
            <a:t> verify the gasket selection, based formulas of BPVC.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ref. Gasket and Gasket joint - John Bickford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ref. Industrial Gasket - Josè Carlos Veiga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u="none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u="none" baseline="0"/>
            <a:t>Sheet "PVRC iterative method"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Calculations are for circular gasket.</a:t>
          </a:r>
          <a:endParaRPr lang="en-US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"gasket list"</a:t>
          </a:r>
        </a:p>
        <a:p>
          <a:pPr eaLnBrk="1" fontAlgn="auto" latinLnBrk="0" hangingPunct="1"/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Typical gasket parameters.</a:t>
          </a:r>
          <a:endParaRPr lang="it-IT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it-IT">
            <a:effectLst/>
          </a:endParaRPr>
        </a:p>
        <a:p>
          <a:endParaRPr lang="it-IT">
            <a:effectLst/>
          </a:endParaRPr>
        </a:p>
        <a:p>
          <a:endParaRPr lang="en-US" sz="1100" b="0" u="none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18</xdr:col>
      <xdr:colOff>0</xdr:colOff>
      <xdr:row>29</xdr:row>
      <xdr:rowOff>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395D33D6-4392-D509-970F-371ED4296C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11</xdr:col>
      <xdr:colOff>0</xdr:colOff>
      <xdr:row>32</xdr:row>
      <xdr:rowOff>0</xdr:rowOff>
    </xdr:from>
    <xdr:to>
      <xdr:col>18</xdr:col>
      <xdr:colOff>0</xdr:colOff>
      <xdr:row>45</xdr:row>
      <xdr:rowOff>0</xdr:rowOff>
    </xdr:to>
    <xdr:sp macro="" textlink="">
      <xdr:nvSpPr>
        <xdr:cNvPr id="3" name="TextBox 1">
          <a:extLst>
            <a:ext uri="{FF2B5EF4-FFF2-40B4-BE49-F238E27FC236}">
              <a16:creationId xmlns:a16="http://schemas.microsoft.com/office/drawing/2014/main" id="{A00CA874-CA35-4E94-A710-66C418BC9A2A}"/>
            </a:ext>
            <a:ext uri="{147F2762-F138-4A5C-976F-8EAC2B608ADB}">
              <a16:predDERef xmlns:a16="http://schemas.microsoft.com/office/drawing/2014/main" pred="{00000000-0008-0000-0100-000002040000}"/>
            </a:ext>
          </a:extLst>
        </xdr:cNvPr>
        <xdr:cNvSpPr txBox="1"/>
      </xdr:nvSpPr>
      <xdr:spPr>
        <a:xfrm>
          <a:off x="11020425" y="6286500"/>
          <a:ext cx="4267200" cy="2924175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/>
            <a:t>INSTRUCTIONS: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u="none" baseline="0"/>
            <a:t>1) </a:t>
          </a:r>
          <a:r>
            <a:rPr lang="en-US" sz="1100" b="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compile the gasket input data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;</a:t>
          </a:r>
          <a:endParaRPr lang="it-IT" sz="1100" b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it-IT" sz="1100" b="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evaluate the minimum bolt load required pushing the button;</a:t>
          </a:r>
          <a:endParaRPr lang="it-IT">
            <a:effectLst/>
          </a:endParaRPr>
        </a:p>
        <a:p>
          <a:pPr eaLnBrk="1" fontAlgn="auto" latinLnBrk="0" hangingPunct="1"/>
          <a:r>
            <a:rPr lang="it-IT" sz="1100" b="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3) 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 bolt/stud number, dimension, material and tightness;</a:t>
          </a:r>
          <a:endParaRPr lang="it-IT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4) verify that bolt load is greater than minimum calculated at step 2;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5) verify that assembly gasket stress is not greater than the maximum allowable gasket stress.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to work with the solver in VBA, called by the button, it is necessary: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to install the add-in "solver" in Excel;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to set a reference in VBA (Tools/References/Solver).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it-IT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32</xdr:row>
          <xdr:rowOff>0</xdr:rowOff>
        </xdr:from>
        <xdr:to>
          <xdr:col>10</xdr:col>
          <xdr:colOff>0</xdr:colOff>
          <xdr:row>33</xdr:row>
          <xdr:rowOff>0</xdr:rowOff>
        </xdr:to>
        <xdr:sp macro="" textlink="">
          <xdr:nvSpPr>
            <xdr:cNvPr id="3077" name="CommandButton1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0</xdr:rowOff>
    </xdr:from>
    <xdr:to>
      <xdr:col>22</xdr:col>
      <xdr:colOff>456300</xdr:colOff>
      <xdr:row>31</xdr:row>
      <xdr:rowOff>6900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D98E666B-8D90-E997-0A83-C399E7AEC0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29</xdr:row>
          <xdr:rowOff>0</xdr:rowOff>
        </xdr:from>
        <xdr:to>
          <xdr:col>22</xdr:col>
          <xdr:colOff>209550</xdr:colOff>
          <xdr:row>30</xdr:row>
          <xdr:rowOff>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70E4879-FEF4-4591-B158-4F57F709E09D}" name="gasket" displayName="gasket" ref="B2:J13" totalsRowShown="0" headerRowDxfId="10" dataDxfId="9">
  <autoFilter ref="B2:J13" xr:uid="{E70E4879-FEF4-4591-B158-4F57F709E09D}"/>
  <tableColumns count="9">
    <tableColumn id="1" xr3:uid="{769CC325-100A-4F64-BC3E-77EE22037E78}" name="manufacturer" dataDxfId="8"/>
    <tableColumn id="2" xr3:uid="{32041D9A-DB08-43A5-B2F9-409DCAE0BEC0}" name="name" dataDxfId="7"/>
    <tableColumn id="3" xr3:uid="{72A028C6-6622-4F57-B37B-C68277265891}" name="thickness [in]" dataDxfId="6"/>
    <tableColumn id="4" xr3:uid="{B2FD9F37-B3EE-46B6-9950-6FDEB34289FE}" name="thickness [mm]" dataDxfId="5"/>
    <tableColumn id="5" xr3:uid="{C3B32EC4-E370-4B6F-A537-45BE173DF7D2}" name="Gb [psi]" dataDxfId="4"/>
    <tableColumn id="6" xr3:uid="{307A2BB2-78B3-4EDB-9CB3-068A67737402}" name="Gb [MPa]" dataDxfId="3">
      <calculatedColumnFormula>CONVERT(F3,"psi","MPa")</calculatedColumnFormula>
    </tableColumn>
    <tableColumn id="7" xr3:uid="{F7F5E673-381E-4097-BD30-6159B11631F8}" name="a [-]" dataDxfId="2"/>
    <tableColumn id="8" xr3:uid="{7FBFF574-F097-477A-A89B-1B569CB17091}" name="Gs [psi]" dataDxfId="1"/>
    <tableColumn id="9" xr3:uid="{DD2306FB-CC77-4AF4-B269-6FB5250EA300}" name="Gs [MPa]" dataDxfId="0">
      <calculatedColumnFormula>CONVERT(I3,"psi","MPa")</calculatedColumnFormula>
    </tableColumn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2013 - Tema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B75149-D8F2-43F2-92FF-42A4E80E494B}">
  <dimension ref="A1:AD48"/>
  <sheetViews>
    <sheetView tabSelected="1" topLeftCell="A25" zoomScaleNormal="100" zoomScaleSheetLayoutView="100" workbookViewId="0">
      <selection activeCell="A8" sqref="A8:AD39"/>
    </sheetView>
  </sheetViews>
  <sheetFormatPr defaultRowHeight="12" x14ac:dyDescent="0.2"/>
  <cols>
    <col min="1" max="30" width="3.28515625" style="41" customWidth="1"/>
    <col min="31" max="256" width="9.140625" style="41"/>
    <col min="257" max="286" width="3.28515625" style="41" customWidth="1"/>
    <col min="287" max="512" width="9.140625" style="41"/>
    <col min="513" max="542" width="3.28515625" style="41" customWidth="1"/>
    <col min="543" max="768" width="9.140625" style="41"/>
    <col min="769" max="798" width="3.28515625" style="41" customWidth="1"/>
    <col min="799" max="1024" width="9.140625" style="41"/>
    <col min="1025" max="1054" width="3.28515625" style="41" customWidth="1"/>
    <col min="1055" max="1280" width="9.140625" style="41"/>
    <col min="1281" max="1310" width="3.28515625" style="41" customWidth="1"/>
    <col min="1311" max="1536" width="9.140625" style="41"/>
    <col min="1537" max="1566" width="3.28515625" style="41" customWidth="1"/>
    <col min="1567" max="1792" width="9.140625" style="41"/>
    <col min="1793" max="1822" width="3.28515625" style="41" customWidth="1"/>
    <col min="1823" max="2048" width="9.140625" style="41"/>
    <col min="2049" max="2078" width="3.28515625" style="41" customWidth="1"/>
    <col min="2079" max="2304" width="9.140625" style="41"/>
    <col min="2305" max="2334" width="3.28515625" style="41" customWidth="1"/>
    <col min="2335" max="2560" width="9.140625" style="41"/>
    <col min="2561" max="2590" width="3.28515625" style="41" customWidth="1"/>
    <col min="2591" max="2816" width="9.140625" style="41"/>
    <col min="2817" max="2846" width="3.28515625" style="41" customWidth="1"/>
    <col min="2847" max="3072" width="9.140625" style="41"/>
    <col min="3073" max="3102" width="3.28515625" style="41" customWidth="1"/>
    <col min="3103" max="3328" width="9.140625" style="41"/>
    <col min="3329" max="3358" width="3.28515625" style="41" customWidth="1"/>
    <col min="3359" max="3584" width="9.140625" style="41"/>
    <col min="3585" max="3614" width="3.28515625" style="41" customWidth="1"/>
    <col min="3615" max="3840" width="9.140625" style="41"/>
    <col min="3841" max="3870" width="3.28515625" style="41" customWidth="1"/>
    <col min="3871" max="4096" width="9.140625" style="41"/>
    <col min="4097" max="4126" width="3.28515625" style="41" customWidth="1"/>
    <col min="4127" max="4352" width="9.140625" style="41"/>
    <col min="4353" max="4382" width="3.28515625" style="41" customWidth="1"/>
    <col min="4383" max="4608" width="9.140625" style="41"/>
    <col min="4609" max="4638" width="3.28515625" style="41" customWidth="1"/>
    <col min="4639" max="4864" width="9.140625" style="41"/>
    <col min="4865" max="4894" width="3.28515625" style="41" customWidth="1"/>
    <col min="4895" max="5120" width="9.140625" style="41"/>
    <col min="5121" max="5150" width="3.28515625" style="41" customWidth="1"/>
    <col min="5151" max="5376" width="9.140625" style="41"/>
    <col min="5377" max="5406" width="3.28515625" style="41" customWidth="1"/>
    <col min="5407" max="5632" width="9.140625" style="41"/>
    <col min="5633" max="5662" width="3.28515625" style="41" customWidth="1"/>
    <col min="5663" max="5888" width="9.140625" style="41"/>
    <col min="5889" max="5918" width="3.28515625" style="41" customWidth="1"/>
    <col min="5919" max="6144" width="9.140625" style="41"/>
    <col min="6145" max="6174" width="3.28515625" style="41" customWidth="1"/>
    <col min="6175" max="6400" width="9.140625" style="41"/>
    <col min="6401" max="6430" width="3.28515625" style="41" customWidth="1"/>
    <col min="6431" max="6656" width="9.140625" style="41"/>
    <col min="6657" max="6686" width="3.28515625" style="41" customWidth="1"/>
    <col min="6687" max="6912" width="9.140625" style="41"/>
    <col min="6913" max="6942" width="3.28515625" style="41" customWidth="1"/>
    <col min="6943" max="7168" width="9.140625" style="41"/>
    <col min="7169" max="7198" width="3.28515625" style="41" customWidth="1"/>
    <col min="7199" max="7424" width="9.140625" style="41"/>
    <col min="7425" max="7454" width="3.28515625" style="41" customWidth="1"/>
    <col min="7455" max="7680" width="9.140625" style="41"/>
    <col min="7681" max="7710" width="3.28515625" style="41" customWidth="1"/>
    <col min="7711" max="7936" width="9.140625" style="41"/>
    <col min="7937" max="7966" width="3.28515625" style="41" customWidth="1"/>
    <col min="7967" max="8192" width="9.140625" style="41"/>
    <col min="8193" max="8222" width="3.28515625" style="41" customWidth="1"/>
    <col min="8223" max="8448" width="9.140625" style="41"/>
    <col min="8449" max="8478" width="3.28515625" style="41" customWidth="1"/>
    <col min="8479" max="8704" width="9.140625" style="41"/>
    <col min="8705" max="8734" width="3.28515625" style="41" customWidth="1"/>
    <col min="8735" max="8960" width="9.140625" style="41"/>
    <col min="8961" max="8990" width="3.28515625" style="41" customWidth="1"/>
    <col min="8991" max="9216" width="9.140625" style="41"/>
    <col min="9217" max="9246" width="3.28515625" style="41" customWidth="1"/>
    <col min="9247" max="9472" width="9.140625" style="41"/>
    <col min="9473" max="9502" width="3.28515625" style="41" customWidth="1"/>
    <col min="9503" max="9728" width="9.140625" style="41"/>
    <col min="9729" max="9758" width="3.28515625" style="41" customWidth="1"/>
    <col min="9759" max="9984" width="9.140625" style="41"/>
    <col min="9985" max="10014" width="3.28515625" style="41" customWidth="1"/>
    <col min="10015" max="10240" width="9.140625" style="41"/>
    <col min="10241" max="10270" width="3.28515625" style="41" customWidth="1"/>
    <col min="10271" max="10496" width="9.140625" style="41"/>
    <col min="10497" max="10526" width="3.28515625" style="41" customWidth="1"/>
    <col min="10527" max="10752" width="9.140625" style="41"/>
    <col min="10753" max="10782" width="3.28515625" style="41" customWidth="1"/>
    <col min="10783" max="11008" width="9.140625" style="41"/>
    <col min="11009" max="11038" width="3.28515625" style="41" customWidth="1"/>
    <col min="11039" max="11264" width="9.140625" style="41"/>
    <col min="11265" max="11294" width="3.28515625" style="41" customWidth="1"/>
    <col min="11295" max="11520" width="9.140625" style="41"/>
    <col min="11521" max="11550" width="3.28515625" style="41" customWidth="1"/>
    <col min="11551" max="11776" width="9.140625" style="41"/>
    <col min="11777" max="11806" width="3.28515625" style="41" customWidth="1"/>
    <col min="11807" max="12032" width="9.140625" style="41"/>
    <col min="12033" max="12062" width="3.28515625" style="41" customWidth="1"/>
    <col min="12063" max="12288" width="9.140625" style="41"/>
    <col min="12289" max="12318" width="3.28515625" style="41" customWidth="1"/>
    <col min="12319" max="12544" width="9.140625" style="41"/>
    <col min="12545" max="12574" width="3.28515625" style="41" customWidth="1"/>
    <col min="12575" max="12800" width="9.140625" style="41"/>
    <col min="12801" max="12830" width="3.28515625" style="41" customWidth="1"/>
    <col min="12831" max="13056" width="9.140625" style="41"/>
    <col min="13057" max="13086" width="3.28515625" style="41" customWidth="1"/>
    <col min="13087" max="13312" width="9.140625" style="41"/>
    <col min="13313" max="13342" width="3.28515625" style="41" customWidth="1"/>
    <col min="13343" max="13568" width="9.140625" style="41"/>
    <col min="13569" max="13598" width="3.28515625" style="41" customWidth="1"/>
    <col min="13599" max="13824" width="9.140625" style="41"/>
    <col min="13825" max="13854" width="3.28515625" style="41" customWidth="1"/>
    <col min="13855" max="14080" width="9.140625" style="41"/>
    <col min="14081" max="14110" width="3.28515625" style="41" customWidth="1"/>
    <col min="14111" max="14336" width="9.140625" style="41"/>
    <col min="14337" max="14366" width="3.28515625" style="41" customWidth="1"/>
    <col min="14367" max="14592" width="9.140625" style="41"/>
    <col min="14593" max="14622" width="3.28515625" style="41" customWidth="1"/>
    <col min="14623" max="14848" width="9.140625" style="41"/>
    <col min="14849" max="14878" width="3.28515625" style="41" customWidth="1"/>
    <col min="14879" max="15104" width="9.140625" style="41"/>
    <col min="15105" max="15134" width="3.28515625" style="41" customWidth="1"/>
    <col min="15135" max="15360" width="9.140625" style="41"/>
    <col min="15361" max="15390" width="3.28515625" style="41" customWidth="1"/>
    <col min="15391" max="15616" width="9.140625" style="41"/>
    <col min="15617" max="15646" width="3.28515625" style="41" customWidth="1"/>
    <col min="15647" max="15872" width="9.140625" style="41"/>
    <col min="15873" max="15902" width="3.28515625" style="41" customWidth="1"/>
    <col min="15903" max="16128" width="9.140625" style="41"/>
    <col min="16129" max="16158" width="3.28515625" style="41" customWidth="1"/>
    <col min="16159" max="16384" width="9.140625" style="41"/>
  </cols>
  <sheetData>
    <row r="1" spans="1:30" ht="15" customHeight="1" x14ac:dyDescent="0.2">
      <c r="A1" s="38"/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40"/>
    </row>
    <row r="2" spans="1:30" ht="15" customHeight="1" x14ac:dyDescent="0.2">
      <c r="A2" s="42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43"/>
      <c r="AC2" s="43"/>
      <c r="AD2" s="44"/>
    </row>
    <row r="3" spans="1:30" ht="15" customHeight="1" x14ac:dyDescent="0.2">
      <c r="A3" s="42"/>
      <c r="B3" s="43"/>
      <c r="C3" s="43"/>
      <c r="D3" s="43"/>
      <c r="E3" s="43"/>
      <c r="F3" s="43"/>
      <c r="G3" s="43"/>
      <c r="H3" s="45"/>
      <c r="I3" s="45"/>
      <c r="J3" s="45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7"/>
      <c r="X3" s="47"/>
      <c r="Y3" s="47"/>
      <c r="Z3" s="47"/>
      <c r="AA3" s="47"/>
      <c r="AB3" s="47"/>
      <c r="AC3" s="47"/>
      <c r="AD3" s="48"/>
    </row>
    <row r="4" spans="1:30" ht="15" customHeight="1" x14ac:dyDescent="0.2">
      <c r="A4" s="42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43"/>
      <c r="AC4" s="43"/>
      <c r="AD4" s="44"/>
    </row>
    <row r="5" spans="1:30" ht="15" customHeight="1" x14ac:dyDescent="0.2">
      <c r="A5" s="42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3"/>
      <c r="AD5" s="44"/>
    </row>
    <row r="6" spans="1:30" ht="15" customHeight="1" x14ac:dyDescent="0.2">
      <c r="A6" s="42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4"/>
    </row>
    <row r="7" spans="1:30" ht="15" customHeight="1" thickBot="1" x14ac:dyDescent="0.25">
      <c r="A7" s="49"/>
      <c r="B7" s="50"/>
      <c r="C7" s="50"/>
      <c r="D7" s="50"/>
      <c r="E7" s="50"/>
      <c r="F7" s="51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50"/>
      <c r="AB7" s="50"/>
      <c r="AC7" s="50"/>
      <c r="AD7" s="52"/>
    </row>
    <row r="8" spans="1:30" ht="15" customHeight="1" x14ac:dyDescent="0.2">
      <c r="A8" s="53" t="s">
        <v>118</v>
      </c>
      <c r="B8" s="54"/>
      <c r="C8" s="54"/>
      <c r="D8" s="54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5"/>
    </row>
    <row r="9" spans="1:30" ht="15" customHeight="1" x14ac:dyDescent="0.2">
      <c r="A9" s="56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  <c r="AD9" s="58"/>
    </row>
    <row r="10" spans="1:30" ht="15" customHeight="1" x14ac:dyDescent="0.2">
      <c r="A10" s="56"/>
      <c r="B10" s="57"/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7"/>
      <c r="AC10" s="57"/>
      <c r="AD10" s="58"/>
    </row>
    <row r="11" spans="1:30" ht="15" customHeight="1" x14ac:dyDescent="0.2">
      <c r="A11" s="56"/>
      <c r="B11" s="57"/>
      <c r="C11" s="57"/>
      <c r="D11" s="57"/>
      <c r="E11" s="57"/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  <c r="AD11" s="58"/>
    </row>
    <row r="12" spans="1:30" ht="15" customHeight="1" x14ac:dyDescent="0.2">
      <c r="A12" s="56"/>
      <c r="B12" s="57"/>
      <c r="C12" s="57"/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  <c r="AD12" s="58"/>
    </row>
    <row r="13" spans="1:30" ht="15" customHeight="1" x14ac:dyDescent="0.2">
      <c r="A13" s="56"/>
      <c r="B13" s="57"/>
      <c r="C13" s="57"/>
      <c r="D13" s="57"/>
      <c r="E13" s="57"/>
      <c r="F13" s="57"/>
      <c r="G13" s="57"/>
      <c r="H13" s="57"/>
      <c r="I13" s="57"/>
      <c r="J13" s="57"/>
      <c r="K13" s="57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  <c r="AD13" s="58"/>
    </row>
    <row r="14" spans="1:30" ht="15" customHeight="1" x14ac:dyDescent="0.2">
      <c r="A14" s="56"/>
      <c r="B14" s="57"/>
      <c r="C14" s="57"/>
      <c r="D14" s="57"/>
      <c r="E14" s="57"/>
      <c r="F14" s="57"/>
      <c r="G14" s="57"/>
      <c r="H14" s="57"/>
      <c r="I14" s="57"/>
      <c r="J14" s="57"/>
      <c r="K14" s="57"/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  <c r="AD14" s="58"/>
    </row>
    <row r="15" spans="1:30" ht="15" customHeight="1" x14ac:dyDescent="0.2">
      <c r="A15" s="56"/>
      <c r="B15" s="57"/>
      <c r="C15" s="57"/>
      <c r="D15" s="57"/>
      <c r="E15" s="57"/>
      <c r="F15" s="57"/>
      <c r="G15" s="57"/>
      <c r="H15" s="57"/>
      <c r="I15" s="57"/>
      <c r="J15" s="57"/>
      <c r="K15" s="57"/>
      <c r="L15" s="57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8"/>
    </row>
    <row r="16" spans="1:30" ht="15" customHeight="1" x14ac:dyDescent="0.2">
      <c r="A16" s="56"/>
      <c r="B16" s="57"/>
      <c r="C16" s="57"/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8"/>
    </row>
    <row r="17" spans="1:30" ht="15" customHeight="1" x14ac:dyDescent="0.2">
      <c r="A17" s="56"/>
      <c r="B17" s="57"/>
      <c r="C17" s="57"/>
      <c r="D17" s="57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8"/>
    </row>
    <row r="18" spans="1:30" ht="15" customHeight="1" x14ac:dyDescent="0.2">
      <c r="A18" s="56"/>
      <c r="B18" s="57"/>
      <c r="C18" s="57"/>
      <c r="D18" s="57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8"/>
    </row>
    <row r="19" spans="1:30" ht="15" customHeight="1" x14ac:dyDescent="0.2">
      <c r="A19" s="56"/>
      <c r="B19" s="57"/>
      <c r="C19" s="57"/>
      <c r="D19" s="57"/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8"/>
    </row>
    <row r="20" spans="1:30" ht="15" customHeight="1" x14ac:dyDescent="0.2">
      <c r="A20" s="56"/>
      <c r="B20" s="57"/>
      <c r="C20" s="57"/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8"/>
    </row>
    <row r="21" spans="1:30" ht="15" customHeight="1" x14ac:dyDescent="0.2">
      <c r="A21" s="56"/>
      <c r="B21" s="57"/>
      <c r="C21" s="57"/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8"/>
    </row>
    <row r="22" spans="1:30" ht="15" customHeight="1" x14ac:dyDescent="0.2">
      <c r="A22" s="56"/>
      <c r="B22" s="57"/>
      <c r="C22" s="57"/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8"/>
    </row>
    <row r="23" spans="1:30" ht="15" customHeight="1" x14ac:dyDescent="0.2">
      <c r="A23" s="56"/>
      <c r="B23" s="57"/>
      <c r="C23" s="57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8"/>
    </row>
    <row r="24" spans="1:30" ht="15" customHeight="1" x14ac:dyDescent="0.2">
      <c r="A24" s="56"/>
      <c r="B24" s="57"/>
      <c r="C24" s="57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8"/>
    </row>
    <row r="25" spans="1:30" ht="15" customHeight="1" x14ac:dyDescent="0.2">
      <c r="A25" s="56"/>
      <c r="B25" s="57"/>
      <c r="C25" s="57"/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8"/>
    </row>
    <row r="26" spans="1:30" ht="15" customHeight="1" x14ac:dyDescent="0.2">
      <c r="A26" s="56"/>
      <c r="B26" s="57"/>
      <c r="C26" s="57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8"/>
    </row>
    <row r="27" spans="1:30" ht="15" customHeight="1" x14ac:dyDescent="0.2">
      <c r="A27" s="56"/>
      <c r="B27" s="57"/>
      <c r="C27" s="57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8"/>
    </row>
    <row r="28" spans="1:30" ht="15" customHeight="1" x14ac:dyDescent="0.2">
      <c r="A28" s="56"/>
      <c r="B28" s="57"/>
      <c r="C28" s="57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8"/>
    </row>
    <row r="29" spans="1:30" ht="15" customHeight="1" x14ac:dyDescent="0.2">
      <c r="A29" s="56"/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8"/>
    </row>
    <row r="30" spans="1:30" ht="15" customHeight="1" x14ac:dyDescent="0.2">
      <c r="A30" s="56"/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8"/>
    </row>
    <row r="31" spans="1:30" ht="15" customHeight="1" x14ac:dyDescent="0.2">
      <c r="A31" s="56"/>
      <c r="B31" s="57"/>
      <c r="C31" s="57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8"/>
    </row>
    <row r="32" spans="1:30" ht="15" customHeight="1" x14ac:dyDescent="0.2">
      <c r="A32" s="56"/>
      <c r="B32" s="57"/>
      <c r="C32" s="57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8"/>
    </row>
    <row r="33" spans="1:30" ht="15" customHeight="1" x14ac:dyDescent="0.2">
      <c r="A33" s="56"/>
      <c r="B33" s="57"/>
      <c r="C33" s="57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8"/>
    </row>
    <row r="34" spans="1:30" ht="15" customHeight="1" x14ac:dyDescent="0.2">
      <c r="A34" s="56"/>
      <c r="B34" s="57"/>
      <c r="C34" s="57"/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8"/>
    </row>
    <row r="35" spans="1:30" ht="15" customHeight="1" x14ac:dyDescent="0.2">
      <c r="A35" s="56"/>
      <c r="B35" s="57"/>
      <c r="C35" s="57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8"/>
    </row>
    <row r="36" spans="1:30" ht="15" customHeight="1" x14ac:dyDescent="0.2">
      <c r="A36" s="56"/>
      <c r="B36" s="57"/>
      <c r="C36" s="57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7"/>
      <c r="AC36" s="57"/>
      <c r="AD36" s="58"/>
    </row>
    <row r="37" spans="1:30" ht="15" customHeight="1" x14ac:dyDescent="0.2">
      <c r="A37" s="56"/>
      <c r="B37" s="57"/>
      <c r="C37" s="57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C37" s="57"/>
      <c r="AD37" s="58"/>
    </row>
    <row r="38" spans="1:30" ht="15" customHeight="1" x14ac:dyDescent="0.2">
      <c r="A38" s="56"/>
      <c r="B38" s="57"/>
      <c r="C38" s="57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  <c r="AC38" s="57"/>
      <c r="AD38" s="58"/>
    </row>
    <row r="39" spans="1:30" ht="15" customHeight="1" thickBot="1" x14ac:dyDescent="0.25">
      <c r="A39" s="59"/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  <c r="P39" s="60"/>
      <c r="Q39" s="60"/>
      <c r="R39" s="60"/>
      <c r="S39" s="60"/>
      <c r="T39" s="60"/>
      <c r="U39" s="60"/>
      <c r="V39" s="60"/>
      <c r="W39" s="60"/>
      <c r="X39" s="60"/>
      <c r="Y39" s="60"/>
      <c r="Z39" s="60"/>
      <c r="AA39" s="60"/>
      <c r="AB39" s="60"/>
      <c r="AC39" s="60"/>
      <c r="AD39" s="61"/>
    </row>
    <row r="40" spans="1:30" ht="30" customHeight="1" x14ac:dyDescent="0.2">
      <c r="A40" s="62"/>
      <c r="B40" s="63"/>
      <c r="C40" s="64"/>
      <c r="D40" s="65"/>
      <c r="E40" s="65"/>
      <c r="F40" s="63"/>
      <c r="G40" s="64"/>
      <c r="H40" s="65"/>
      <c r="I40" s="65"/>
      <c r="J40" s="65"/>
      <c r="K40" s="65"/>
      <c r="L40" s="65"/>
      <c r="M40" s="65"/>
      <c r="N40" s="65"/>
      <c r="O40" s="65"/>
      <c r="P40" s="64"/>
      <c r="Q40" s="65"/>
      <c r="R40" s="65"/>
      <c r="S40" s="65"/>
      <c r="T40" s="63"/>
      <c r="U40" s="64"/>
      <c r="V40" s="65"/>
      <c r="W40" s="65"/>
      <c r="X40" s="65"/>
      <c r="Y40" s="63"/>
      <c r="Z40" s="64"/>
      <c r="AA40" s="65"/>
      <c r="AB40" s="65"/>
      <c r="AC40" s="65"/>
      <c r="AD40" s="66"/>
    </row>
    <row r="41" spans="1:30" ht="30" customHeight="1" x14ac:dyDescent="0.2">
      <c r="A41" s="70"/>
      <c r="B41" s="71"/>
      <c r="C41" s="67"/>
      <c r="D41" s="68"/>
      <c r="E41" s="68"/>
      <c r="F41" s="71"/>
      <c r="G41" s="67"/>
      <c r="H41" s="68"/>
      <c r="I41" s="68"/>
      <c r="J41" s="68"/>
      <c r="K41" s="68"/>
      <c r="L41" s="68"/>
      <c r="M41" s="68"/>
      <c r="N41" s="68"/>
      <c r="O41" s="68"/>
      <c r="P41" s="67"/>
      <c r="Q41" s="68"/>
      <c r="R41" s="68"/>
      <c r="S41" s="68"/>
      <c r="T41" s="71"/>
      <c r="U41" s="67"/>
      <c r="V41" s="68"/>
      <c r="W41" s="68"/>
      <c r="X41" s="68"/>
      <c r="Y41" s="71"/>
      <c r="Z41" s="67"/>
      <c r="AA41" s="68"/>
      <c r="AB41" s="68"/>
      <c r="AC41" s="68"/>
      <c r="AD41" s="69"/>
    </row>
    <row r="42" spans="1:30" ht="30" customHeight="1" x14ac:dyDescent="0.2">
      <c r="A42" s="70"/>
      <c r="B42" s="71"/>
      <c r="C42" s="67"/>
      <c r="D42" s="68"/>
      <c r="E42" s="68"/>
      <c r="F42" s="71"/>
      <c r="G42" s="67"/>
      <c r="H42" s="68"/>
      <c r="I42" s="68"/>
      <c r="J42" s="68"/>
      <c r="K42" s="68"/>
      <c r="L42" s="68"/>
      <c r="M42" s="68"/>
      <c r="N42" s="68"/>
      <c r="O42" s="68"/>
      <c r="P42" s="67"/>
      <c r="Q42" s="68"/>
      <c r="R42" s="68"/>
      <c r="S42" s="68"/>
      <c r="T42" s="71"/>
      <c r="U42" s="67"/>
      <c r="V42" s="68"/>
      <c r="W42" s="68"/>
      <c r="X42" s="68"/>
      <c r="Y42" s="71"/>
      <c r="Z42" s="67"/>
      <c r="AA42" s="68"/>
      <c r="AB42" s="68"/>
      <c r="AC42" s="68"/>
      <c r="AD42" s="69"/>
    </row>
    <row r="43" spans="1:30" ht="30" customHeight="1" x14ac:dyDescent="0.2">
      <c r="A43" s="70"/>
      <c r="B43" s="71"/>
      <c r="C43" s="67"/>
      <c r="D43" s="68"/>
      <c r="E43" s="68"/>
      <c r="F43" s="71"/>
      <c r="G43" s="67"/>
      <c r="H43" s="68"/>
      <c r="I43" s="68"/>
      <c r="J43" s="68"/>
      <c r="K43" s="68"/>
      <c r="L43" s="68"/>
      <c r="M43" s="68"/>
      <c r="N43" s="68"/>
      <c r="O43" s="68"/>
      <c r="P43" s="67"/>
      <c r="Q43" s="68"/>
      <c r="R43" s="68"/>
      <c r="S43" s="68"/>
      <c r="T43" s="71"/>
      <c r="U43" s="67"/>
      <c r="V43" s="68"/>
      <c r="W43" s="68"/>
      <c r="X43" s="68"/>
      <c r="Y43" s="71"/>
      <c r="Z43" s="67"/>
      <c r="AA43" s="68"/>
      <c r="AB43" s="68"/>
      <c r="AC43" s="68"/>
      <c r="AD43" s="69"/>
    </row>
    <row r="44" spans="1:30" ht="30" customHeight="1" x14ac:dyDescent="0.2">
      <c r="A44" s="70"/>
      <c r="B44" s="71"/>
      <c r="C44" s="67"/>
      <c r="D44" s="68"/>
      <c r="E44" s="68"/>
      <c r="F44" s="71"/>
      <c r="G44" s="67"/>
      <c r="H44" s="68"/>
      <c r="I44" s="68"/>
      <c r="J44" s="68"/>
      <c r="K44" s="68"/>
      <c r="L44" s="68"/>
      <c r="M44" s="68"/>
      <c r="N44" s="68"/>
      <c r="O44" s="68"/>
      <c r="P44" s="67"/>
      <c r="Q44" s="68"/>
      <c r="R44" s="68"/>
      <c r="S44" s="68"/>
      <c r="T44" s="71"/>
      <c r="U44" s="67"/>
      <c r="V44" s="68"/>
      <c r="W44" s="68"/>
      <c r="X44" s="68"/>
      <c r="Y44" s="71"/>
      <c r="Z44" s="67"/>
      <c r="AA44" s="68"/>
      <c r="AB44" s="68"/>
      <c r="AC44" s="68"/>
      <c r="AD44" s="69"/>
    </row>
    <row r="45" spans="1:30" ht="30" customHeight="1" x14ac:dyDescent="0.2">
      <c r="A45" s="70"/>
      <c r="B45" s="71"/>
      <c r="C45" s="67"/>
      <c r="D45" s="68"/>
      <c r="E45" s="68"/>
      <c r="F45" s="71"/>
      <c r="G45" s="67"/>
      <c r="H45" s="68"/>
      <c r="I45" s="68"/>
      <c r="J45" s="68"/>
      <c r="K45" s="68"/>
      <c r="L45" s="68"/>
      <c r="M45" s="68"/>
      <c r="N45" s="68"/>
      <c r="O45" s="68"/>
      <c r="P45" s="67"/>
      <c r="Q45" s="68"/>
      <c r="R45" s="68"/>
      <c r="S45" s="68"/>
      <c r="T45" s="71"/>
      <c r="U45" s="67"/>
      <c r="V45" s="68"/>
      <c r="W45" s="68"/>
      <c r="X45" s="68"/>
      <c r="Y45" s="71"/>
      <c r="Z45" s="67"/>
      <c r="AA45" s="68"/>
      <c r="AB45" s="68"/>
      <c r="AC45" s="68"/>
      <c r="AD45" s="69"/>
    </row>
    <row r="46" spans="1:30" ht="30" customHeight="1" x14ac:dyDescent="0.2">
      <c r="A46" s="75">
        <v>0</v>
      </c>
      <c r="B46" s="76"/>
      <c r="C46" s="77">
        <v>45628</v>
      </c>
      <c r="D46" s="78"/>
      <c r="E46" s="78"/>
      <c r="F46" s="79"/>
      <c r="G46" s="80" t="s">
        <v>0</v>
      </c>
      <c r="H46" s="81"/>
      <c r="I46" s="81"/>
      <c r="J46" s="81"/>
      <c r="K46" s="81"/>
      <c r="L46" s="81"/>
      <c r="M46" s="81"/>
      <c r="N46" s="81"/>
      <c r="O46" s="81"/>
      <c r="P46" s="72" t="s">
        <v>1</v>
      </c>
      <c r="Q46" s="73"/>
      <c r="R46" s="73"/>
      <c r="S46" s="73"/>
      <c r="T46" s="82"/>
      <c r="U46" s="72" t="s">
        <v>116</v>
      </c>
      <c r="V46" s="73"/>
      <c r="W46" s="73"/>
      <c r="X46" s="73"/>
      <c r="Y46" s="82"/>
      <c r="Z46" s="72" t="s">
        <v>117</v>
      </c>
      <c r="AA46" s="73"/>
      <c r="AB46" s="73"/>
      <c r="AC46" s="73"/>
      <c r="AD46" s="74"/>
    </row>
    <row r="47" spans="1:30" ht="15" customHeight="1" thickBot="1" x14ac:dyDescent="0.25">
      <c r="A47" s="86" t="s">
        <v>2</v>
      </c>
      <c r="B47" s="87"/>
      <c r="C47" s="88" t="s">
        <v>3</v>
      </c>
      <c r="D47" s="89"/>
      <c r="E47" s="89"/>
      <c r="F47" s="90"/>
      <c r="G47" s="88" t="s">
        <v>4</v>
      </c>
      <c r="H47" s="89"/>
      <c r="I47" s="89"/>
      <c r="J47" s="89"/>
      <c r="K47" s="89"/>
      <c r="L47" s="89"/>
      <c r="M47" s="89"/>
      <c r="N47" s="89"/>
      <c r="O47" s="89"/>
      <c r="P47" s="88" t="s">
        <v>5</v>
      </c>
      <c r="Q47" s="89"/>
      <c r="R47" s="89"/>
      <c r="S47" s="89"/>
      <c r="T47" s="90"/>
      <c r="U47" s="88" t="s">
        <v>6</v>
      </c>
      <c r="V47" s="89"/>
      <c r="W47" s="89"/>
      <c r="X47" s="89"/>
      <c r="Y47" s="89"/>
      <c r="Z47" s="88" t="s">
        <v>7</v>
      </c>
      <c r="AA47" s="89"/>
      <c r="AB47" s="89"/>
      <c r="AC47" s="89"/>
      <c r="AD47" s="91"/>
    </row>
    <row r="48" spans="1:30" ht="15" customHeight="1" thickBot="1" x14ac:dyDescent="0.25">
      <c r="A48" s="83" t="s">
        <v>115</v>
      </c>
      <c r="B48" s="84"/>
      <c r="C48" s="84"/>
      <c r="D48" s="84"/>
      <c r="E48" s="84"/>
      <c r="F48" s="84"/>
      <c r="G48" s="84"/>
      <c r="H48" s="84"/>
      <c r="I48" s="84"/>
      <c r="J48" s="84"/>
      <c r="K48" s="84"/>
      <c r="L48" s="84"/>
      <c r="M48" s="84"/>
      <c r="N48" s="84"/>
      <c r="O48" s="84"/>
      <c r="P48" s="84"/>
      <c r="Q48" s="84"/>
      <c r="R48" s="84"/>
      <c r="S48" s="84"/>
      <c r="T48" s="84"/>
      <c r="U48" s="84"/>
      <c r="V48" s="84"/>
      <c r="W48" s="84"/>
      <c r="X48" s="84"/>
      <c r="Y48" s="84"/>
      <c r="Z48" s="84"/>
      <c r="AA48" s="84"/>
      <c r="AB48" s="84"/>
      <c r="AC48" s="84"/>
      <c r="AD48" s="85"/>
    </row>
  </sheetData>
  <mergeCells count="50">
    <mergeCell ref="A48:AD48"/>
    <mergeCell ref="A47:B47"/>
    <mergeCell ref="C47:F47"/>
    <mergeCell ref="G47:O47"/>
    <mergeCell ref="P47:T47"/>
    <mergeCell ref="U47:Y47"/>
    <mergeCell ref="Z47:AD47"/>
    <mergeCell ref="Z46:AD46"/>
    <mergeCell ref="A45:B45"/>
    <mergeCell ref="C45:F45"/>
    <mergeCell ref="G45:O45"/>
    <mergeCell ref="P45:T45"/>
    <mergeCell ref="U45:Y45"/>
    <mergeCell ref="Z45:AD45"/>
    <mergeCell ref="A46:B46"/>
    <mergeCell ref="C46:F46"/>
    <mergeCell ref="G46:O46"/>
    <mergeCell ref="P46:T46"/>
    <mergeCell ref="U46:Y46"/>
    <mergeCell ref="Z44:AD44"/>
    <mergeCell ref="A43:B43"/>
    <mergeCell ref="C43:F43"/>
    <mergeCell ref="G43:O43"/>
    <mergeCell ref="P43:T43"/>
    <mergeCell ref="U43:Y43"/>
    <mergeCell ref="Z43:AD43"/>
    <mergeCell ref="A44:B44"/>
    <mergeCell ref="C44:F44"/>
    <mergeCell ref="G44:O44"/>
    <mergeCell ref="P44:T44"/>
    <mergeCell ref="U44:Y44"/>
    <mergeCell ref="Z42:AD42"/>
    <mergeCell ref="A41:B41"/>
    <mergeCell ref="C41:F41"/>
    <mergeCell ref="G41:O41"/>
    <mergeCell ref="P41:T41"/>
    <mergeCell ref="U41:Y41"/>
    <mergeCell ref="Z41:AD41"/>
    <mergeCell ref="A42:B42"/>
    <mergeCell ref="C42:F42"/>
    <mergeCell ref="G42:O42"/>
    <mergeCell ref="P42:T42"/>
    <mergeCell ref="U42:Y42"/>
    <mergeCell ref="A8:AD39"/>
    <mergeCell ref="A40:B40"/>
    <mergeCell ref="C40:F40"/>
    <mergeCell ref="G40:O40"/>
    <mergeCell ref="P40:T40"/>
    <mergeCell ref="U40:Y40"/>
    <mergeCell ref="Z40:AD40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90" fitToWidth="3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8F298-243F-4521-B8B4-71F5C38FF114}">
  <sheetPr codeName="Foglio3"/>
  <dimension ref="B2:M46"/>
  <sheetViews>
    <sheetView topLeftCell="A4" zoomScale="80" zoomScaleNormal="80" workbookViewId="0"/>
  </sheetViews>
  <sheetFormatPr defaultRowHeight="15" x14ac:dyDescent="0.25"/>
  <cols>
    <col min="1" max="1" width="2.7109375" customWidth="1"/>
    <col min="2" max="2" width="18.42578125" bestFit="1" customWidth="1"/>
    <col min="3" max="3" width="18.7109375" customWidth="1"/>
    <col min="4" max="6" width="28.7109375" customWidth="1"/>
    <col min="7" max="7" width="2.7109375" customWidth="1"/>
    <col min="19" max="19" width="2.7109375" customWidth="1"/>
  </cols>
  <sheetData>
    <row r="2" spans="2:13" x14ac:dyDescent="0.25">
      <c r="B2" s="111" t="s">
        <v>8</v>
      </c>
      <c r="C2" s="112"/>
      <c r="D2" s="112"/>
      <c r="E2" s="112"/>
      <c r="F2" s="113"/>
    </row>
    <row r="3" spans="2:13" ht="15.6" customHeight="1" x14ac:dyDescent="0.35">
      <c r="B3" s="20" t="s">
        <v>9</v>
      </c>
      <c r="C3" s="21">
        <f>387500</f>
        <v>387500</v>
      </c>
      <c r="D3" s="103" t="s">
        <v>10</v>
      </c>
      <c r="E3" s="104"/>
      <c r="F3" s="105"/>
      <c r="H3" s="1" t="s">
        <v>11</v>
      </c>
      <c r="I3" s="25">
        <f>C24-C18</f>
        <v>43.143851190449823</v>
      </c>
    </row>
    <row r="4" spans="2:13" ht="15.6" customHeight="1" x14ac:dyDescent="0.35">
      <c r="B4" s="22" t="s">
        <v>12</v>
      </c>
      <c r="C4" s="23">
        <v>348500</v>
      </c>
      <c r="D4" s="92" t="s">
        <v>13</v>
      </c>
      <c r="E4" s="93"/>
      <c r="F4" s="94"/>
      <c r="H4" s="2" t="s">
        <v>14</v>
      </c>
      <c r="I4" s="2" t="s">
        <v>15</v>
      </c>
    </row>
    <row r="5" spans="2:13" ht="15.6" customHeight="1" x14ac:dyDescent="0.25">
      <c r="B5" s="22" t="s">
        <v>16</v>
      </c>
      <c r="C5" s="23">
        <v>234</v>
      </c>
      <c r="D5" s="92" t="s">
        <v>17</v>
      </c>
      <c r="E5" s="93"/>
      <c r="F5" s="94"/>
      <c r="H5" s="1">
        <v>1</v>
      </c>
      <c r="I5">
        <f>C7</f>
        <v>16.009626434736933</v>
      </c>
    </row>
    <row r="6" spans="2:13" ht="15.6" customHeight="1" x14ac:dyDescent="0.35">
      <c r="B6" s="22" t="s">
        <v>18</v>
      </c>
      <c r="C6" s="23">
        <v>351</v>
      </c>
      <c r="D6" s="92" t="s">
        <v>19</v>
      </c>
      <c r="E6" s="93"/>
      <c r="F6" s="94"/>
      <c r="H6">
        <f>C25</f>
        <v>299723.00416919705</v>
      </c>
      <c r="I6" s="3">
        <f>C26</f>
        <v>85.661360662086125</v>
      </c>
    </row>
    <row r="7" spans="2:13" ht="15.6" customHeight="1" x14ac:dyDescent="0.35">
      <c r="B7" s="22" t="s">
        <v>20</v>
      </c>
      <c r="C7" s="23">
        <v>16.009626434736933</v>
      </c>
      <c r="D7" s="92" t="s">
        <v>21</v>
      </c>
      <c r="E7" s="93"/>
      <c r="F7" s="94"/>
      <c r="H7" s="2" t="s">
        <v>14</v>
      </c>
      <c r="I7" s="2" t="s">
        <v>15</v>
      </c>
      <c r="J7" s="2" t="s">
        <v>22</v>
      </c>
      <c r="K7" s="2" t="s">
        <v>15</v>
      </c>
      <c r="L7" s="2" t="s">
        <v>23</v>
      </c>
      <c r="M7" s="2" t="s">
        <v>15</v>
      </c>
    </row>
    <row r="8" spans="2:13" ht="15.6" customHeight="1" x14ac:dyDescent="0.25">
      <c r="B8" s="22" t="s">
        <v>24</v>
      </c>
      <c r="C8" s="23">
        <v>0.13300000000000001</v>
      </c>
      <c r="D8" s="92" t="s">
        <v>25</v>
      </c>
      <c r="E8" s="93"/>
      <c r="F8" s="94"/>
      <c r="H8" s="1">
        <v>1</v>
      </c>
      <c r="I8" s="1">
        <f>C9</f>
        <v>0.1241056312770305</v>
      </c>
      <c r="J8" s="3">
        <f>C17</f>
        <v>421.73819999999995</v>
      </c>
      <c r="K8" s="1">
        <v>1</v>
      </c>
      <c r="L8" s="3">
        <f>C25</f>
        <v>299723.00416919705</v>
      </c>
      <c r="M8" s="1">
        <v>1</v>
      </c>
    </row>
    <row r="9" spans="2:13" ht="15.6" customHeight="1" x14ac:dyDescent="0.35">
      <c r="B9" s="22" t="s">
        <v>26</v>
      </c>
      <c r="C9" s="23">
        <v>0.1241056312770305</v>
      </c>
      <c r="D9" s="92" t="s">
        <v>27</v>
      </c>
      <c r="E9" s="93"/>
      <c r="F9" s="94"/>
      <c r="H9" s="3">
        <f>C17</f>
        <v>421.73819999999995</v>
      </c>
      <c r="I9" s="3">
        <f>C27</f>
        <v>2.8480493090215369</v>
      </c>
      <c r="J9" s="3">
        <f>C17</f>
        <v>421.73819999999995</v>
      </c>
      <c r="K9" s="3">
        <f>C27</f>
        <v>2.8480493090215369</v>
      </c>
      <c r="L9" s="3">
        <f>C25</f>
        <v>299723.00416919705</v>
      </c>
      <c r="M9" s="3">
        <f>C26</f>
        <v>85.661360662086125</v>
      </c>
    </row>
    <row r="10" spans="2:13" ht="15.6" customHeight="1" x14ac:dyDescent="0.35">
      <c r="B10" s="22" t="s">
        <v>28</v>
      </c>
      <c r="C10" s="23">
        <v>230</v>
      </c>
      <c r="D10" s="92" t="s">
        <v>29</v>
      </c>
      <c r="E10" s="93"/>
      <c r="F10" s="94"/>
      <c r="H10" s="1">
        <f>C25</f>
        <v>299723.00416919705</v>
      </c>
      <c r="I10" s="3">
        <f>C26</f>
        <v>85.661360662086125</v>
      </c>
      <c r="J10" s="1">
        <v>1</v>
      </c>
      <c r="K10" s="3">
        <f>C27</f>
        <v>2.8480493090215369</v>
      </c>
      <c r="L10" s="1">
        <v>1</v>
      </c>
      <c r="M10" s="3">
        <f>C26</f>
        <v>85.661360662086125</v>
      </c>
    </row>
    <row r="11" spans="2:13" ht="15.6" customHeight="1" x14ac:dyDescent="0.35">
      <c r="B11" s="22" t="s">
        <v>30</v>
      </c>
      <c r="C11" s="23">
        <v>5</v>
      </c>
      <c r="D11" s="92" t="s">
        <v>31</v>
      </c>
      <c r="E11" s="93"/>
      <c r="F11" s="94"/>
      <c r="H11" s="2" t="s">
        <v>14</v>
      </c>
      <c r="I11" s="2" t="s">
        <v>15</v>
      </c>
      <c r="J11" s="2" t="s">
        <v>14</v>
      </c>
      <c r="K11" s="2" t="s">
        <v>15</v>
      </c>
    </row>
    <row r="12" spans="2:13" ht="15.6" customHeight="1" x14ac:dyDescent="0.25">
      <c r="B12" s="22" t="s">
        <v>32</v>
      </c>
      <c r="C12" s="23">
        <v>2</v>
      </c>
      <c r="D12" s="92" t="s">
        <v>33</v>
      </c>
      <c r="E12" s="93"/>
      <c r="F12" s="94"/>
      <c r="H12" s="1">
        <f>C29</f>
        <v>149077.23201125511</v>
      </c>
      <c r="I12" s="1">
        <v>1</v>
      </c>
      <c r="J12" s="1">
        <f>H10</f>
        <v>299723.00416919705</v>
      </c>
      <c r="K12" s="1">
        <f>I10</f>
        <v>85.661360662086125</v>
      </c>
    </row>
    <row r="13" spans="2:13" ht="15.6" customHeight="1" x14ac:dyDescent="0.25">
      <c r="B13" s="29" t="s">
        <v>34</v>
      </c>
      <c r="C13" s="32" t="s">
        <v>35</v>
      </c>
      <c r="D13" s="106" t="s">
        <v>36</v>
      </c>
      <c r="E13" s="107"/>
      <c r="F13" s="108"/>
      <c r="H13" s="1">
        <f>C29</f>
        <v>149077.23201125511</v>
      </c>
      <c r="I13" s="1">
        <f>C28</f>
        <v>59.642709299101909</v>
      </c>
      <c r="J13" s="1">
        <f>H13</f>
        <v>149077.23201125511</v>
      </c>
      <c r="K13" s="1">
        <f>I13</f>
        <v>59.642709299101909</v>
      </c>
    </row>
    <row r="14" spans="2:13" ht="15.6" customHeight="1" x14ac:dyDescent="0.35">
      <c r="B14" s="20" t="s">
        <v>37</v>
      </c>
      <c r="C14" s="31" cm="1">
        <f t="array" ref="C14">_xlfn.IFS(C13="T1 - economy",0.1,C13="T2 - standard",1,C13="T3 - tight",10)</f>
        <v>1</v>
      </c>
      <c r="D14" s="103" t="s">
        <v>38</v>
      </c>
      <c r="E14" s="104"/>
      <c r="F14" s="105"/>
      <c r="H14" s="1">
        <v>1</v>
      </c>
      <c r="I14" s="1">
        <f>C28</f>
        <v>59.642709299101909</v>
      </c>
    </row>
    <row r="15" spans="2:13" ht="15.6" customHeight="1" x14ac:dyDescent="0.35">
      <c r="B15" s="22" t="s">
        <v>39</v>
      </c>
      <c r="C15" s="24" cm="1">
        <f t="array" ref="C15">_xlfn.IFS(C13="T1 - economy",0.2,C13="T2 - standard",0.002,C13="T3 - tight",0.00002)</f>
        <v>2E-3</v>
      </c>
      <c r="D15" s="92" t="s">
        <v>40</v>
      </c>
      <c r="E15" s="93"/>
      <c r="F15" s="94"/>
    </row>
    <row r="16" spans="2:13" ht="15.6" customHeight="1" x14ac:dyDescent="0.35">
      <c r="B16" s="22" t="s">
        <v>41</v>
      </c>
      <c r="C16" s="37">
        <v>25377299.999999993</v>
      </c>
      <c r="D16" s="92" t="s">
        <v>42</v>
      </c>
      <c r="E16" s="93"/>
      <c r="F16" s="94"/>
    </row>
    <row r="17" spans="2:6" ht="15.6" customHeight="1" x14ac:dyDescent="0.35">
      <c r="B17" s="29" t="s">
        <v>43</v>
      </c>
      <c r="C17" s="30">
        <f>18.023*C14*C5/10</f>
        <v>421.73819999999995</v>
      </c>
      <c r="D17" s="106" t="s">
        <v>44</v>
      </c>
      <c r="E17" s="107"/>
      <c r="F17" s="108"/>
    </row>
    <row r="18" spans="2:6" ht="15.6" customHeight="1" x14ac:dyDescent="0.35">
      <c r="B18" s="20" t="s">
        <v>45</v>
      </c>
      <c r="C18" s="31">
        <f>C9*(C20/C9)^(LOG10(C17)/LOG10(C19))</f>
        <v>3.6561488095501624</v>
      </c>
      <c r="D18" s="103" t="s">
        <v>46</v>
      </c>
      <c r="E18" s="104"/>
      <c r="F18" s="105"/>
    </row>
    <row r="19" spans="2:6" ht="15.6" customHeight="1" x14ac:dyDescent="0.35">
      <c r="B19" s="22" t="s">
        <v>47</v>
      </c>
      <c r="C19" s="24">
        <f>(C20/C7)^(1/C8)</f>
        <v>88374.417467024148</v>
      </c>
      <c r="D19" s="92" t="s">
        <v>48</v>
      </c>
      <c r="E19" s="93"/>
      <c r="F19" s="94"/>
    </row>
    <row r="20" spans="2:6" ht="15.6" customHeight="1" x14ac:dyDescent="0.35">
      <c r="B20" s="22" t="s">
        <v>49</v>
      </c>
      <c r="C20" s="24">
        <f>C16/C4</f>
        <v>72.818651362984198</v>
      </c>
      <c r="D20" s="92" t="s">
        <v>50</v>
      </c>
      <c r="E20" s="93"/>
      <c r="F20" s="94"/>
    </row>
    <row r="21" spans="2:6" ht="15.6" customHeight="1" x14ac:dyDescent="0.35">
      <c r="B21" s="22" t="s">
        <v>51</v>
      </c>
      <c r="C21" s="24">
        <f>C17*C6/C5</f>
        <v>632.6072999999999</v>
      </c>
      <c r="D21" s="92" t="s">
        <v>52</v>
      </c>
      <c r="E21" s="93"/>
      <c r="F21" s="94"/>
    </row>
    <row r="22" spans="2:6" ht="15.6" customHeight="1" x14ac:dyDescent="0.35">
      <c r="B22" s="22" t="s">
        <v>53</v>
      </c>
      <c r="C22" s="24">
        <f>C7*C21^C8</f>
        <v>37.75131175638797</v>
      </c>
      <c r="D22" s="92" t="s">
        <v>54</v>
      </c>
      <c r="E22" s="93"/>
      <c r="F22" s="94"/>
    </row>
    <row r="23" spans="2:6" ht="15.6" customHeight="1" x14ac:dyDescent="0.35">
      <c r="B23" s="22" t="s">
        <v>55</v>
      </c>
      <c r="C23" s="24">
        <f>C19^(LOG10(C24/C9)/LOG10(C20/C9))</f>
        <v>40113.488719698013</v>
      </c>
      <c r="D23" s="92" t="s">
        <v>56</v>
      </c>
      <c r="E23" s="93"/>
      <c r="F23" s="94"/>
    </row>
    <row r="24" spans="2:6" ht="15.6" customHeight="1" x14ac:dyDescent="0.35">
      <c r="B24" s="29" t="s">
        <v>57</v>
      </c>
      <c r="C24" s="30">
        <f>C20-C5/10*C3/C4</f>
        <v>46.799999999999983</v>
      </c>
      <c r="D24" s="106" t="s">
        <v>58</v>
      </c>
      <c r="E24" s="107"/>
      <c r="F24" s="108"/>
    </row>
    <row r="25" spans="2:6" ht="15.6" customHeight="1" x14ac:dyDescent="0.35">
      <c r="B25" s="20" t="s">
        <v>59</v>
      </c>
      <c r="C25" s="31">
        <f>(C26/C7)^(1/C8)</f>
        <v>299723.00416919705</v>
      </c>
      <c r="D25" s="103" t="s">
        <v>60</v>
      </c>
      <c r="E25" s="104"/>
      <c r="F25" s="105"/>
    </row>
    <row r="26" spans="2:6" ht="18" x14ac:dyDescent="0.35">
      <c r="B26" s="22" t="s">
        <v>61</v>
      </c>
      <c r="C26" s="24">
        <f>F44/C4</f>
        <v>85.661360662086125</v>
      </c>
      <c r="D26" s="92" t="s">
        <v>62</v>
      </c>
      <c r="E26" s="93"/>
      <c r="F26" s="94"/>
    </row>
    <row r="27" spans="2:6" ht="18" x14ac:dyDescent="0.35">
      <c r="B27" s="22" t="s">
        <v>63</v>
      </c>
      <c r="C27" s="24">
        <f>C9*(C26/C9)^(LOG10(C17)/LOG10(C25))</f>
        <v>2.8480493090215369</v>
      </c>
      <c r="D27" s="92" t="s">
        <v>64</v>
      </c>
      <c r="E27" s="93"/>
      <c r="F27" s="94"/>
    </row>
    <row r="28" spans="2:6" ht="18" x14ac:dyDescent="0.35">
      <c r="B28" s="22" t="s">
        <v>65</v>
      </c>
      <c r="C28" s="24">
        <f>C26-C5*C3/C4/10</f>
        <v>59.642709299101909</v>
      </c>
      <c r="D28" s="92" t="s">
        <v>66</v>
      </c>
      <c r="E28" s="93"/>
      <c r="F28" s="94"/>
    </row>
    <row r="29" spans="2:6" ht="18" x14ac:dyDescent="0.35">
      <c r="B29" s="27" t="s">
        <v>67</v>
      </c>
      <c r="C29" s="28">
        <f>C25^(LOG10(C28/C9)/LOG10(C26/C9))</f>
        <v>149077.23201125511</v>
      </c>
      <c r="D29" s="114" t="s">
        <v>68</v>
      </c>
      <c r="E29" s="115"/>
      <c r="F29" s="116"/>
    </row>
    <row r="30" spans="2:6" x14ac:dyDescent="0.25">
      <c r="B30" s="2"/>
      <c r="C30" s="3"/>
    </row>
    <row r="31" spans="2:6" x14ac:dyDescent="0.25">
      <c r="B31" s="111" t="s">
        <v>69</v>
      </c>
      <c r="C31" s="112"/>
      <c r="D31" s="112"/>
      <c r="E31" s="112"/>
      <c r="F31" s="113"/>
    </row>
    <row r="32" spans="2:6" ht="18" x14ac:dyDescent="0.35">
      <c r="B32" s="4" t="s">
        <v>70</v>
      </c>
      <c r="C32" s="5" t="s">
        <v>71</v>
      </c>
      <c r="D32" s="6" t="s">
        <v>72</v>
      </c>
      <c r="E32" s="5" t="s">
        <v>73</v>
      </c>
      <c r="F32" s="7" t="s">
        <v>74</v>
      </c>
    </row>
    <row r="33" spans="2:10" ht="45" x14ac:dyDescent="0.25">
      <c r="B33" s="8" t="s">
        <v>75</v>
      </c>
      <c r="C33" s="9" t="s">
        <v>76</v>
      </c>
      <c r="D33" s="9" t="s">
        <v>77</v>
      </c>
      <c r="E33" s="9" t="s">
        <v>78</v>
      </c>
      <c r="F33" s="10" t="s">
        <v>79</v>
      </c>
    </row>
    <row r="34" spans="2:10" x14ac:dyDescent="0.25">
      <c r="B34" s="11">
        <v>0.7</v>
      </c>
      <c r="C34" s="12">
        <v>30</v>
      </c>
      <c r="D34" s="13">
        <v>724</v>
      </c>
      <c r="E34" s="12">
        <v>50</v>
      </c>
      <c r="F34" s="14">
        <f>B34*C34*D34*PI()/4*E34^2</f>
        <v>29852984.190737013</v>
      </c>
    </row>
    <row r="35" spans="2:10" x14ac:dyDescent="0.25">
      <c r="B35" s="11">
        <v>0.7</v>
      </c>
      <c r="C35" s="12">
        <v>0</v>
      </c>
      <c r="D35" s="13">
        <v>724</v>
      </c>
      <c r="E35" s="12">
        <v>10</v>
      </c>
      <c r="F35" s="14">
        <f t="shared" ref="F35:F43" si="0">B35*C35*D35*PI()/4*E35^2</f>
        <v>0</v>
      </c>
    </row>
    <row r="36" spans="2:10" ht="14.45" customHeight="1" x14ac:dyDescent="0.25">
      <c r="B36" s="11">
        <v>0.7</v>
      </c>
      <c r="C36" s="12">
        <v>0</v>
      </c>
      <c r="D36" s="13">
        <v>724</v>
      </c>
      <c r="E36" s="12">
        <v>10</v>
      </c>
      <c r="F36" s="14">
        <f t="shared" si="0"/>
        <v>0</v>
      </c>
      <c r="H36" s="102" t="s">
        <v>80</v>
      </c>
      <c r="I36" s="102"/>
    </row>
    <row r="37" spans="2:10" x14ac:dyDescent="0.25">
      <c r="B37" s="11">
        <v>0.7</v>
      </c>
      <c r="C37" s="12">
        <v>0</v>
      </c>
      <c r="D37" s="13">
        <v>724</v>
      </c>
      <c r="E37" s="12">
        <v>10</v>
      </c>
      <c r="F37" s="14">
        <f t="shared" si="0"/>
        <v>0</v>
      </c>
      <c r="H37" s="110" t="s">
        <v>81</v>
      </c>
      <c r="I37" s="110"/>
    </row>
    <row r="38" spans="2:10" x14ac:dyDescent="0.25">
      <c r="B38" s="11">
        <v>0.7</v>
      </c>
      <c r="C38" s="12">
        <v>0</v>
      </c>
      <c r="D38" s="13">
        <v>724</v>
      </c>
      <c r="E38" s="12">
        <v>10</v>
      </c>
      <c r="F38" s="14">
        <f t="shared" si="0"/>
        <v>0</v>
      </c>
      <c r="H38" s="97" t="s">
        <v>82</v>
      </c>
      <c r="I38" s="98"/>
    </row>
    <row r="39" spans="2:10" x14ac:dyDescent="0.25">
      <c r="B39" s="11">
        <v>0.7</v>
      </c>
      <c r="C39" s="12">
        <v>0</v>
      </c>
      <c r="D39" s="13">
        <v>724</v>
      </c>
      <c r="E39" s="12">
        <v>10</v>
      </c>
      <c r="F39" s="14">
        <f t="shared" si="0"/>
        <v>0</v>
      </c>
      <c r="H39" s="95" t="s">
        <v>83</v>
      </c>
      <c r="I39" s="96"/>
    </row>
    <row r="40" spans="2:10" x14ac:dyDescent="0.25">
      <c r="B40" s="11">
        <v>0.7</v>
      </c>
      <c r="C40" s="12">
        <v>0</v>
      </c>
      <c r="D40" s="13">
        <v>724</v>
      </c>
      <c r="E40" s="12">
        <v>10</v>
      </c>
      <c r="F40" s="14">
        <f t="shared" si="0"/>
        <v>0</v>
      </c>
      <c r="H40" s="99" t="s">
        <v>84</v>
      </c>
      <c r="I40" s="100"/>
    </row>
    <row r="41" spans="2:10" x14ac:dyDescent="0.25">
      <c r="B41" s="11">
        <v>0.7</v>
      </c>
      <c r="C41" s="12">
        <v>0</v>
      </c>
      <c r="D41" s="13">
        <v>724</v>
      </c>
      <c r="E41" s="12">
        <v>10</v>
      </c>
      <c r="F41" s="14">
        <f t="shared" si="0"/>
        <v>0</v>
      </c>
    </row>
    <row r="42" spans="2:10" x14ac:dyDescent="0.25">
      <c r="B42" s="11">
        <v>0.7</v>
      </c>
      <c r="C42" s="12">
        <v>0</v>
      </c>
      <c r="D42" s="13">
        <v>724</v>
      </c>
      <c r="E42" s="12">
        <v>10</v>
      </c>
      <c r="F42" s="14">
        <f t="shared" si="0"/>
        <v>0</v>
      </c>
      <c r="H42" s="102" t="s">
        <v>85</v>
      </c>
      <c r="I42" s="102"/>
      <c r="J42" s="102"/>
    </row>
    <row r="43" spans="2:10" x14ac:dyDescent="0.25">
      <c r="B43" s="15">
        <v>0.7</v>
      </c>
      <c r="C43" s="16">
        <v>0</v>
      </c>
      <c r="D43" s="17">
        <v>724</v>
      </c>
      <c r="E43" s="16">
        <v>10</v>
      </c>
      <c r="F43" s="14">
        <f t="shared" si="0"/>
        <v>0</v>
      </c>
      <c r="H43" s="33">
        <v>0</v>
      </c>
      <c r="I43" s="101" t="s">
        <v>86</v>
      </c>
      <c r="J43" s="101"/>
    </row>
    <row r="44" spans="2:10" ht="18" x14ac:dyDescent="0.35">
      <c r="E44" s="18" t="s">
        <v>74</v>
      </c>
      <c r="F44" s="19">
        <f>SUM(F34:F43)</f>
        <v>29852984.190737013</v>
      </c>
      <c r="H44" s="34">
        <v>0.5</v>
      </c>
      <c r="I44" s="109" t="s">
        <v>87</v>
      </c>
      <c r="J44" s="109"/>
    </row>
    <row r="45" spans="2:10" ht="18" x14ac:dyDescent="0.35">
      <c r="E45" s="18" t="s">
        <v>88</v>
      </c>
      <c r="F45" s="26">
        <f>F44/C16</f>
        <v>1.176365657132044</v>
      </c>
      <c r="H45" s="34">
        <v>1</v>
      </c>
      <c r="I45" s="109" t="s">
        <v>89</v>
      </c>
      <c r="J45" s="109"/>
    </row>
    <row r="46" spans="2:10" ht="18" x14ac:dyDescent="0.35">
      <c r="E46" s="18" t="s">
        <v>90</v>
      </c>
      <c r="F46" s="26">
        <f>C26/C10</f>
        <v>0.37244069853080924</v>
      </c>
    </row>
  </sheetData>
  <mergeCells count="38">
    <mergeCell ref="D7:F7"/>
    <mergeCell ref="D8:F8"/>
    <mergeCell ref="D9:F9"/>
    <mergeCell ref="D10:F10"/>
    <mergeCell ref="D11:F11"/>
    <mergeCell ref="B2:F2"/>
    <mergeCell ref="D3:F3"/>
    <mergeCell ref="D4:F4"/>
    <mergeCell ref="D5:F5"/>
    <mergeCell ref="D6:F6"/>
    <mergeCell ref="I44:J44"/>
    <mergeCell ref="I45:J45"/>
    <mergeCell ref="H36:I36"/>
    <mergeCell ref="H37:I37"/>
    <mergeCell ref="D18:F18"/>
    <mergeCell ref="D19:F19"/>
    <mergeCell ref="D20:F20"/>
    <mergeCell ref="D21:F21"/>
    <mergeCell ref="B31:F31"/>
    <mergeCell ref="D27:F27"/>
    <mergeCell ref="D28:F28"/>
    <mergeCell ref="D29:F29"/>
    <mergeCell ref="D22:F22"/>
    <mergeCell ref="D24:F24"/>
    <mergeCell ref="D23:F23"/>
    <mergeCell ref="D26:F26"/>
    <mergeCell ref="D12:F12"/>
    <mergeCell ref="H39:I39"/>
    <mergeCell ref="H38:I38"/>
    <mergeCell ref="H40:I40"/>
    <mergeCell ref="I43:J43"/>
    <mergeCell ref="H42:J42"/>
    <mergeCell ref="D25:F25"/>
    <mergeCell ref="D16:F16"/>
    <mergeCell ref="D13:F13"/>
    <mergeCell ref="D14:F14"/>
    <mergeCell ref="D15:F15"/>
    <mergeCell ref="D17:F17"/>
  </mergeCells>
  <conditionalFormatting sqref="H43:H45">
    <cfRule type="iconSet" priority="3">
      <iconSet iconSet="3Symbols" showValue="0">
        <cfvo type="percent" val="0"/>
        <cfvo type="num" val="0.5"/>
        <cfvo type="num" val="1"/>
      </iconSet>
    </cfRule>
  </conditionalFormatting>
  <conditionalFormatting sqref="F46">
    <cfRule type="iconSet" priority="2">
      <iconSet iconSet="3Symbols" reverse="1">
        <cfvo type="percent" val="0"/>
        <cfvo type="num" val="0.7"/>
        <cfvo type="num" val="1"/>
      </iconSet>
    </cfRule>
  </conditionalFormatting>
  <conditionalFormatting sqref="F45">
    <cfRule type="iconSet" priority="1">
      <iconSet iconSet="3Symbols">
        <cfvo type="percent" val="0"/>
        <cfvo type="num" val="1"/>
        <cfvo type="num" val="1.1000000000000001"/>
      </iconSet>
    </cfRule>
  </conditionalFormatting>
  <dataValidations count="1">
    <dataValidation type="list" allowBlank="1" showInputMessage="1" showErrorMessage="1" sqref="C13" xr:uid="{C6D555A3-99C4-4CB1-A22E-8C55F5B9DA91}">
      <formula1>"T1 - economy,T2 - standard,T3 - tight"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7" r:id="rId3" name="CommandButton1">
          <controlPr defaultSize="0" autoLine="0" autoPict="0" r:id="rId4">
            <anchor moveWithCells="1">
              <from>
                <xdr:col>7</xdr:col>
                <xdr:colOff>0</xdr:colOff>
                <xdr:row>32</xdr:row>
                <xdr:rowOff>0</xdr:rowOff>
              </from>
              <to>
                <xdr:col>10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3077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DDB845-0855-488D-B8D6-CBD0BE2191FE}">
  <sheetPr codeName="Foglio1"/>
  <dimension ref="B2:M13"/>
  <sheetViews>
    <sheetView zoomScaleNormal="100" workbookViewId="0"/>
  </sheetViews>
  <sheetFormatPr defaultRowHeight="15" x14ac:dyDescent="0.25"/>
  <cols>
    <col min="1" max="1" width="2.7109375" customWidth="1"/>
    <col min="2" max="2" width="18.28515625" bestFit="1" customWidth="1"/>
    <col min="3" max="3" width="25.5703125" bestFit="1" customWidth="1"/>
    <col min="4" max="4" width="18" bestFit="1" customWidth="1"/>
    <col min="5" max="5" width="19.85546875" bestFit="1" customWidth="1"/>
    <col min="6" max="6" width="12.85546875" bestFit="1" customWidth="1"/>
    <col min="7" max="7" width="14.140625" customWidth="1"/>
    <col min="8" max="8" width="10" bestFit="1" customWidth="1"/>
    <col min="9" max="9" width="12.28515625" bestFit="1" customWidth="1"/>
    <col min="10" max="10" width="14" bestFit="1" customWidth="1"/>
    <col min="13" max="13" width="9.7109375" bestFit="1" customWidth="1"/>
  </cols>
  <sheetData>
    <row r="2" spans="2:13" ht="18" x14ac:dyDescent="0.35">
      <c r="B2" s="1" t="s">
        <v>91</v>
      </c>
      <c r="C2" s="1" t="s">
        <v>92</v>
      </c>
      <c r="D2" s="1" t="s">
        <v>93</v>
      </c>
      <c r="E2" s="1" t="s">
        <v>94</v>
      </c>
      <c r="F2" s="1" t="s">
        <v>95</v>
      </c>
      <c r="G2" s="1" t="s">
        <v>96</v>
      </c>
      <c r="H2" s="1" t="s">
        <v>24</v>
      </c>
      <c r="I2" s="1" t="s">
        <v>97</v>
      </c>
      <c r="J2" s="1" t="s">
        <v>98</v>
      </c>
      <c r="L2">
        <v>1</v>
      </c>
      <c r="M2" s="36" t="s">
        <v>99</v>
      </c>
    </row>
    <row r="3" spans="2:13" x14ac:dyDescent="0.25">
      <c r="B3" s="1" t="s">
        <v>100</v>
      </c>
      <c r="C3" s="1" t="s">
        <v>101</v>
      </c>
      <c r="D3" s="3">
        <f>1/16</f>
        <v>6.25E-2</v>
      </c>
      <c r="E3" s="3">
        <f t="shared" ref="E3" si="0">CONVERT(D3,"in","mm")</f>
        <v>1.5874999999999999</v>
      </c>
      <c r="F3" s="35">
        <v>1400</v>
      </c>
      <c r="G3" s="1">
        <f>CONVERT(F3,"psi","MPa")</f>
        <v>9.6526602104357071</v>
      </c>
      <c r="H3" s="1">
        <v>0.32</v>
      </c>
      <c r="I3" s="35">
        <v>0.01</v>
      </c>
      <c r="J3" s="1">
        <f>CONVERT(I3,"psi","MPa")</f>
        <v>6.8947572931683625E-5</v>
      </c>
      <c r="L3">
        <f>CHOOSE($L$2,gasket[[#This Row],[Gb '[MPa']]],gasket[[#This Row],[a '[-']]],gasket[[#This Row],[Gs '[MPa']]])</f>
        <v>9.6526602104357071</v>
      </c>
      <c r="M3" s="36" t="s">
        <v>24</v>
      </c>
    </row>
    <row r="4" spans="2:13" x14ac:dyDescent="0.25">
      <c r="B4" s="1" t="s">
        <v>102</v>
      </c>
      <c r="C4" s="1" t="s">
        <v>103</v>
      </c>
      <c r="D4" s="3">
        <f>1/16</f>
        <v>6.25E-2</v>
      </c>
      <c r="E4" s="3">
        <f t="shared" ref="E4:E13" si="1">CONVERT(D4,"in","mm")</f>
        <v>1.5874999999999999</v>
      </c>
      <c r="F4" s="35">
        <v>2307</v>
      </c>
      <c r="G4" s="1">
        <f t="shared" ref="G4:G11" si="2">CONVERT(F4,"psi","MPa")</f>
        <v>15.906205075339409</v>
      </c>
      <c r="H4" s="1">
        <v>0.20100000000000001</v>
      </c>
      <c r="I4" s="35">
        <v>0.41</v>
      </c>
      <c r="J4" s="1">
        <f t="shared" ref="J4:J11" si="3">CONVERT(I4,"psi","MPa")</f>
        <v>2.8268504901990282E-3</v>
      </c>
      <c r="L4">
        <f>CHOOSE($L$2,gasket[[#This Row],[Gb '[MPa']]],gasket[[#This Row],[a '[-']]],gasket[[#This Row],[Gs '[MPa']]])</f>
        <v>15.906205075339409</v>
      </c>
      <c r="M4" s="36" t="s">
        <v>104</v>
      </c>
    </row>
    <row r="5" spans="2:13" x14ac:dyDescent="0.25">
      <c r="B5" s="1" t="s">
        <v>102</v>
      </c>
      <c r="C5" s="1" t="s">
        <v>105</v>
      </c>
      <c r="D5" s="3">
        <f>1/8</f>
        <v>0.125</v>
      </c>
      <c r="E5" s="3">
        <f t="shared" si="1"/>
        <v>3.1749999999999998</v>
      </c>
      <c r="F5" s="35">
        <v>2359</v>
      </c>
      <c r="G5" s="1">
        <f t="shared" si="2"/>
        <v>16.264732454584163</v>
      </c>
      <c r="H5" s="1">
        <v>0.216</v>
      </c>
      <c r="I5" s="35">
        <v>2.87</v>
      </c>
      <c r="J5" s="1">
        <f t="shared" si="3"/>
        <v>1.9787953431393196E-2</v>
      </c>
      <c r="L5">
        <f>CHOOSE($L$2,gasket[[#This Row],[Gb '[MPa']]],gasket[[#This Row],[a '[-']]],gasket[[#This Row],[Gs '[MPa']]])</f>
        <v>16.264732454584163</v>
      </c>
    </row>
    <row r="6" spans="2:13" x14ac:dyDescent="0.25">
      <c r="B6" s="1" t="s">
        <v>102</v>
      </c>
      <c r="C6" s="1" t="s">
        <v>106</v>
      </c>
      <c r="D6" s="3">
        <f>1/16</f>
        <v>6.25E-2</v>
      </c>
      <c r="E6" s="3">
        <f t="shared" si="1"/>
        <v>1.5874999999999999</v>
      </c>
      <c r="F6" s="35">
        <v>949</v>
      </c>
      <c r="G6" s="1">
        <f t="shared" si="2"/>
        <v>6.5431246712167752</v>
      </c>
      <c r="H6" s="1">
        <v>0.253</v>
      </c>
      <c r="I6" s="35">
        <v>2.6</v>
      </c>
      <c r="J6" s="1">
        <f t="shared" si="3"/>
        <v>1.7926368962237742E-2</v>
      </c>
      <c r="L6">
        <f>CHOOSE($L$2,gasket[[#This Row],[Gb '[MPa']]],gasket[[#This Row],[a '[-']]],gasket[[#This Row],[Gs '[MPa']]])</f>
        <v>6.5431246712167752</v>
      </c>
    </row>
    <row r="7" spans="2:13" x14ac:dyDescent="0.25">
      <c r="B7" s="1" t="s">
        <v>102</v>
      </c>
      <c r="C7" s="1" t="s">
        <v>107</v>
      </c>
      <c r="D7" s="3">
        <f>1/8</f>
        <v>0.125</v>
      </c>
      <c r="E7" s="3">
        <f t="shared" si="1"/>
        <v>3.1749999999999998</v>
      </c>
      <c r="F7" s="35">
        <v>1980</v>
      </c>
      <c r="G7" s="1">
        <f t="shared" si="2"/>
        <v>13.651619440473354</v>
      </c>
      <c r="H7" s="1">
        <v>0.16900000000000001</v>
      </c>
      <c r="I7" s="35">
        <v>0.39300000000000002</v>
      </c>
      <c r="J7" s="1">
        <f t="shared" si="3"/>
        <v>2.7096396162151664E-3</v>
      </c>
      <c r="L7">
        <f>CHOOSE($L$2,gasket[[#This Row],[Gb '[MPa']]],gasket[[#This Row],[a '[-']]],gasket[[#This Row],[Gs '[MPa']]])</f>
        <v>13.651619440473354</v>
      </c>
    </row>
    <row r="8" spans="2:13" x14ac:dyDescent="0.25">
      <c r="B8" s="1" t="s">
        <v>102</v>
      </c>
      <c r="C8" s="1" t="s">
        <v>108</v>
      </c>
      <c r="D8" s="3">
        <f>1/16</f>
        <v>6.25E-2</v>
      </c>
      <c r="E8" s="3">
        <f t="shared" si="1"/>
        <v>1.5874999999999999</v>
      </c>
      <c r="F8" s="35">
        <v>183</v>
      </c>
      <c r="G8" s="1">
        <f t="shared" si="2"/>
        <v>1.26174058464981</v>
      </c>
      <c r="H8" s="1">
        <v>0.35699999999999998</v>
      </c>
      <c r="I8" s="35">
        <v>4.0099999999999997E-3</v>
      </c>
      <c r="J8" s="1">
        <f t="shared" si="3"/>
        <v>2.7647976745605127E-5</v>
      </c>
      <c r="L8">
        <f>CHOOSE($L$2,gasket[[#This Row],[Gb '[MPa']]],gasket[[#This Row],[a '[-']]],gasket[[#This Row],[Gs '[MPa']]])</f>
        <v>1.26174058464981</v>
      </c>
    </row>
    <row r="9" spans="2:13" x14ac:dyDescent="0.25">
      <c r="B9" s="1" t="s">
        <v>102</v>
      </c>
      <c r="C9" s="1" t="s">
        <v>109</v>
      </c>
      <c r="D9" s="3">
        <f>1/8</f>
        <v>0.125</v>
      </c>
      <c r="E9" s="3">
        <f t="shared" si="1"/>
        <v>3.1749999999999998</v>
      </c>
      <c r="F9" s="35">
        <v>1008</v>
      </c>
      <c r="G9" s="1">
        <f t="shared" si="2"/>
        <v>6.9499153515137087</v>
      </c>
      <c r="H9" s="1">
        <v>0.221</v>
      </c>
      <c r="I9" s="35">
        <v>2.23</v>
      </c>
      <c r="J9" s="1">
        <f t="shared" si="3"/>
        <v>1.5375308763765446E-2</v>
      </c>
      <c r="L9">
        <f>CHOOSE($L$2,gasket[[#This Row],[Gb '[MPa']]],gasket[[#This Row],[a '[-']]],gasket[[#This Row],[Gs '[MPa']]])</f>
        <v>6.9499153515137087</v>
      </c>
    </row>
    <row r="10" spans="2:13" x14ac:dyDescent="0.25">
      <c r="B10" s="1" t="s">
        <v>102</v>
      </c>
      <c r="C10" s="1" t="s">
        <v>110</v>
      </c>
      <c r="D10" s="3">
        <f>1/16</f>
        <v>6.25E-2</v>
      </c>
      <c r="E10" s="3">
        <f t="shared" si="1"/>
        <v>1.5874999999999999</v>
      </c>
      <c r="F10" s="35">
        <v>2322</v>
      </c>
      <c r="G10" s="1">
        <f t="shared" si="2"/>
        <v>16.009626434736933</v>
      </c>
      <c r="H10" s="1">
        <v>0.13300000000000001</v>
      </c>
      <c r="I10" s="35">
        <v>18</v>
      </c>
      <c r="J10" s="1">
        <f t="shared" si="3"/>
        <v>0.1241056312770305</v>
      </c>
      <c r="L10">
        <f>CHOOSE($L$2,gasket[[#This Row],[Gb '[MPa']]],gasket[[#This Row],[a '[-']]],gasket[[#This Row],[Gs '[MPa']]])</f>
        <v>16.009626434736933</v>
      </c>
    </row>
    <row r="11" spans="2:13" x14ac:dyDescent="0.25">
      <c r="B11" s="1" t="s">
        <v>111</v>
      </c>
      <c r="C11" s="1" t="s">
        <v>112</v>
      </c>
      <c r="D11" s="3" t="e">
        <f>NA()</f>
        <v>#N/A</v>
      </c>
      <c r="E11" s="3" t="e">
        <f t="shared" si="1"/>
        <v>#N/A</v>
      </c>
      <c r="F11" s="35">
        <v>1377</v>
      </c>
      <c r="G11" s="1">
        <f t="shared" si="2"/>
        <v>9.4940807926928343</v>
      </c>
      <c r="H11" s="1">
        <v>0.22</v>
      </c>
      <c r="I11" s="35">
        <v>3.4</v>
      </c>
      <c r="J11" s="1">
        <f t="shared" si="3"/>
        <v>2.3442174796772429E-2</v>
      </c>
      <c r="L11">
        <f>CHOOSE($L$2,gasket[[#This Row],[Gb '[MPa']]],gasket[[#This Row],[a '[-']]],gasket[[#This Row],[Gs '[MPa']]])</f>
        <v>9.4940807926928343</v>
      </c>
    </row>
    <row r="12" spans="2:13" x14ac:dyDescent="0.25">
      <c r="B12" s="1" t="s">
        <v>111</v>
      </c>
      <c r="C12" s="1" t="s">
        <v>113</v>
      </c>
      <c r="D12" s="3" t="e">
        <f>NA()</f>
        <v>#N/A</v>
      </c>
      <c r="E12" s="3" t="e">
        <f t="shared" si="1"/>
        <v>#N/A</v>
      </c>
      <c r="F12" s="35">
        <v>255</v>
      </c>
      <c r="G12" s="1">
        <f>CONVERT(F12,"psi","MPa")</f>
        <v>1.758163109757932</v>
      </c>
      <c r="H12" s="1">
        <v>0.43</v>
      </c>
      <c r="I12" s="35">
        <v>1.1000000000000001</v>
      </c>
      <c r="J12" s="1">
        <f>CONVERT(I12,"psi","MPa")</f>
        <v>7.5842330224851979E-3</v>
      </c>
      <c r="L12">
        <f>CHOOSE($L$2,gasket[[#This Row],[Gb '[MPa']]],gasket[[#This Row],[a '[-']]],gasket[[#This Row],[Gs '[MPa']]])</f>
        <v>1.758163109757932</v>
      </c>
    </row>
    <row r="13" spans="2:13" x14ac:dyDescent="0.25">
      <c r="B13" s="1" t="s">
        <v>111</v>
      </c>
      <c r="C13" s="1" t="s">
        <v>114</v>
      </c>
      <c r="D13" s="3" t="e">
        <f>NA()</f>
        <v>#N/A</v>
      </c>
      <c r="E13" s="3" t="e">
        <f t="shared" si="1"/>
        <v>#N/A</v>
      </c>
      <c r="F13" s="35">
        <v>1566</v>
      </c>
      <c r="G13" s="1">
        <f>CONVERT(F13,"psi","MPa")</f>
        <v>10.797189921101653</v>
      </c>
      <c r="H13" s="1">
        <v>0.30399999999999999</v>
      </c>
      <c r="I13" s="35">
        <v>0.5</v>
      </c>
      <c r="J13" s="1">
        <f>CONVERT(I13,"psi","MPa")</f>
        <v>3.4473786465841808E-3</v>
      </c>
      <c r="L13">
        <f>CHOOSE($L$2,gasket[[#This Row],[Gb '[MPa']]],gasket[[#This Row],[a '[-']]],gasket[[#This Row],[Gs '[MPa']]])</f>
        <v>10.797189921101653</v>
      </c>
    </row>
  </sheetData>
  <sortState xmlns:xlrd2="http://schemas.microsoft.com/office/spreadsheetml/2017/richdata2" ref="B4:J11">
    <sortCondition ref="B4:B1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Drop Down 1">
              <controlPr defaultSize="0" autoLine="0" autoPict="0">
                <anchor moveWithCells="1">
                  <from>
                    <xdr:col>21</xdr:col>
                    <xdr:colOff>0</xdr:colOff>
                    <xdr:row>29</xdr:row>
                    <xdr:rowOff>0</xdr:rowOff>
                  </from>
                  <to>
                    <xdr:col>22</xdr:col>
                    <xdr:colOff>209550</xdr:colOff>
                    <xdr:row>30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FF5BB9810E8454BA2B38D00B6D18848" ma:contentTypeVersion="3" ma:contentTypeDescription="Creare un nuovo documento." ma:contentTypeScope="" ma:versionID="85968c8a5930af966cb491cc87274750">
  <xsd:schema xmlns:xsd="http://www.w3.org/2001/XMLSchema" xmlns:xs="http://www.w3.org/2001/XMLSchema" xmlns:p="http://schemas.microsoft.com/office/2006/metadata/properties" xmlns:ns2="427a1db5-2437-44f3-a84b-464aead4a71a" targetNamespace="http://schemas.microsoft.com/office/2006/metadata/properties" ma:root="true" ma:fieldsID="d822db9e2d05bc620d08fbffa4bfffa8" ns2:_="">
    <xsd:import namespace="427a1db5-2437-44f3-a84b-464aead4a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7a1db5-2437-44f3-a84b-464aead4a71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A9D111B-E28B-4118-8F56-132A60CEE65E}">
  <ds:schemaRefs>
    <ds:schemaRef ds:uri="http://schemas.microsoft.com/office/2006/metadata/properties"/>
    <ds:schemaRef ds:uri="http://schemas.microsoft.com/office/infopath/2007/PartnerControls"/>
    <ds:schemaRef ds:uri="2710bc8b-17c9-4e36-a567-5a8748d28b44"/>
    <ds:schemaRef ds:uri="f16ae08e-32aa-43c4-955b-813e13c9303e"/>
  </ds:schemaRefs>
</ds:datastoreItem>
</file>

<file path=customXml/itemProps2.xml><?xml version="1.0" encoding="utf-8"?>
<ds:datastoreItem xmlns:ds="http://schemas.openxmlformats.org/officeDocument/2006/customXml" ds:itemID="{89AE1267-0474-4CE0-AC73-35DE7C6BDE8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BEC28F3-518F-4412-B34C-E8621FAA419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content</vt:lpstr>
      <vt:lpstr>PVRC iterative method</vt:lpstr>
      <vt:lpstr>gasket list</vt:lpstr>
    </vt:vector>
  </TitlesOfParts>
  <Manager/>
  <Company>Trillium Flow Technologies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Fabrizio Cademartori</dc:creator>
  <cp:keywords/>
  <dc:description/>
  <cp:lastModifiedBy>Carmine Delli Quadri</cp:lastModifiedBy>
  <cp:revision/>
  <dcterms:created xsi:type="dcterms:W3CDTF">2024-04-15T13:36:11Z</dcterms:created>
  <dcterms:modified xsi:type="dcterms:W3CDTF">2024-12-05T07:23:51Z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0x0101003FF5BB9810E8454BA2B38D00B6D18848</vt:lpwstr>
  </property>
  <property fmtid="{D5CDD505-2E9C-101B-9397-08002B2CF9AE}" pid="3" name="MediaServiceImageTags">
    <vt:lpwstr/>
  </property>
</Properties>
</file>