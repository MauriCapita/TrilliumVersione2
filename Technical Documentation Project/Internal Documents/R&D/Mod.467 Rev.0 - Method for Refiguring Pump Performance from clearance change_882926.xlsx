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453\Downloads\"/>
    </mc:Choice>
  </mc:AlternateContent>
  <xr:revisionPtr revIDLastSave="0" documentId="13_ncr:1_{F974171B-30A5-41F6-8222-03C1CB899F61}" xr6:coauthVersionLast="47" xr6:coauthVersionMax="47" xr10:uidLastSave="{00000000-0000-0000-0000-000000000000}"/>
  <bookViews>
    <workbookView xWindow="-120" yWindow="-120" windowWidth="19440" windowHeight="15000" xr2:uid="{F3FEE644-BC69-4BF2-BF91-9A3D60B9D5FC}"/>
  </bookViews>
  <sheets>
    <sheet name="cover" sheetId="3" r:id="rId1"/>
    <sheet name="input_output" sheetId="2" r:id="rId2"/>
    <sheet name="supporting_data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bga2">#REF!</definedName>
    <definedName name="_Col1" localSheetId="2">#REF!</definedName>
    <definedName name="_Col1">#REF!</definedName>
    <definedName name="_Col2" localSheetId="2">#REF!</definedName>
    <definedName name="_Col2">#REF!</definedName>
    <definedName name="_Col3" localSheetId="2">#REF!</definedName>
    <definedName name="_Col3">#REF!</definedName>
    <definedName name="_Col4" localSheetId="2">#REF!</definedName>
    <definedName name="_Col4">#REF!</definedName>
    <definedName name="a">#REF!</definedName>
    <definedName name="Ac">#REF!</definedName>
    <definedName name="adsv">#REF!</definedName>
    <definedName name="_xlnm.Print_Area" localSheetId="0">cover!$A$1:$AD$48</definedName>
    <definedName name="asdfg">[1]DAF!$F$17:$F$20</definedName>
    <definedName name="bga">#REF!</definedName>
    <definedName name="bp">#REF!</definedName>
    <definedName name="CARATTERISTICHE">#REF!</definedName>
    <definedName name="CK">#REF!</definedName>
    <definedName name="CURVA_RIFERIMENTO">#REF!</definedName>
    <definedName name="d">#REF!</definedName>
    <definedName name="das">#REF!</definedName>
    <definedName name="DATA">#REF!</definedName>
    <definedName name="ddd">'[2]From RPI'!$AB$90</definedName>
    <definedName name="DEN">'[3] '!$C$5:$C$37</definedName>
    <definedName name="Doc_type">#REF!</definedName>
    <definedName name="DOCID">[4]listes!$C$2:$C$150</definedName>
    <definedName name="dpt_code">#REF!</definedName>
    <definedName name="EQPT_LIST_UNIT_31">#REF!</definedName>
    <definedName name="FACTORS">#REF!</definedName>
    <definedName name="fm">#REF!</definedName>
    <definedName name="Impeller_Eye_Area" localSheetId="0">#REF!</definedName>
    <definedName name="Impeller_Eye_Area">#REF!</definedName>
    <definedName name="Impeller_Eye_Diameter" localSheetId="0">#REF!</definedName>
    <definedName name="Impeller_Eye_Diameter">#REF!</definedName>
    <definedName name="Impeller_Hub_Diameter" localSheetId="0">#REF!</definedName>
    <definedName name="Impeller_Hub_Diameter">#REF!</definedName>
    <definedName name="Impeller_Inlet_Diameter" localSheetId="0">#REF!</definedName>
    <definedName name="Impeller_Inlet_Diameter">#REF!</definedName>
    <definedName name="indx" localSheetId="2">#REF!</definedName>
    <definedName name="indx">#REF!</definedName>
    <definedName name="INT_DIAM">#REF!</definedName>
    <definedName name="Items" localSheetId="2">#REF!</definedName>
    <definedName name="Items">#REF!</definedName>
    <definedName name="kl">#REF!</definedName>
    <definedName name="KR">#REF!</definedName>
    <definedName name="LAG" localSheetId="2">#REF!</definedName>
    <definedName name="LAG">#REF!</definedName>
    <definedName name="Language">#REF!</definedName>
    <definedName name="Larghezza">#REF!</definedName>
    <definedName name="LENGHTS">#REF!</definedName>
    <definedName name="LINE_LIST_UNIT_31">#REF!</definedName>
    <definedName name="ListIndex" localSheetId="2">#REF!</definedName>
    <definedName name="ListIndex">#REF!</definedName>
    <definedName name="MAT">#REF!</definedName>
    <definedName name="Number">#REF!</definedName>
    <definedName name="pipesize">#REF!</definedName>
    <definedName name="Portata">#REF!</definedName>
    <definedName name="portatacalcolo">'[5]Basi di progetto'!$D$16</definedName>
    <definedName name="portataminima">'[5]Basi di progetto'!$D$10</definedName>
    <definedName name="portatanera">'[5]Basi di progetto'!$D$14</definedName>
    <definedName name="portcalcolo">#REF!</definedName>
    <definedName name="portnera">#REF!</definedName>
    <definedName name="Print_Area_MI">#REF!</definedName>
    <definedName name="prtpioggia">'[5]Basi di progetto'!$D$12</definedName>
    <definedName name="pump">#REF!</definedName>
    <definedName name="PUMPCALC">'[6]PUMP CALCULATION'!$J$4</definedName>
    <definedName name="PUMPDATA">'[6]PUMP CALCULATION'!$J$12</definedName>
    <definedName name="q">#REF!</definedName>
    <definedName name="references">#REF!</definedName>
    <definedName name="rev">#REF!</definedName>
    <definedName name="RevTable">#REF!</definedName>
    <definedName name="Rgas">#REF!</definedName>
    <definedName name="rhokl">#REF!</definedName>
    <definedName name="ROUGHNESS">#REF!</definedName>
    <definedName name="RPM">#REF!</definedName>
    <definedName name="s">'[2]From RPI'!$AB$88</definedName>
    <definedName name="solub">#REF!</definedName>
    <definedName name="Speed">#REF!</definedName>
    <definedName name="Suction_Diameter" localSheetId="0">#REF!</definedName>
    <definedName name="Suction_Diameter">#REF!</definedName>
    <definedName name="Sup">#REF!</definedName>
    <definedName name="title">#REF!</definedName>
    <definedName name="TRASPORTA">#REF!</definedName>
    <definedName name="uh">#REF!</definedName>
    <definedName name="UNIT">[4]listes!$D$2:$D$150</definedName>
    <definedName name="Unit_number">#REF!</definedName>
    <definedName name="units">#REF!</definedName>
    <definedName name="Values" localSheetId="2">#REF!</definedName>
    <definedName name="Values">#REF!</definedName>
    <definedName name="velocita_di_progetto">#REF!</definedName>
    <definedName name="velocità_di_progetto">#REF!</definedName>
    <definedName name="velocitamassima">#REF!</definedName>
    <definedName name="velocitaminima">#REF!</definedName>
    <definedName name="VH">#REF!</definedName>
    <definedName name="vt">#REF!</definedName>
    <definedName name="WC">[4]listes!$A$2:$A$25</definedName>
    <definedName name="work_cent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2" l="1"/>
  <c r="U31" i="1" s="1"/>
  <c r="H21" i="2"/>
  <c r="F12" i="1"/>
  <c r="L4" i="1"/>
  <c r="H6" i="1"/>
  <c r="H7" i="1" s="1"/>
  <c r="Y30" i="1"/>
  <c r="W30" i="1"/>
  <c r="F10" i="2"/>
  <c r="F11" i="2"/>
  <c r="H26" i="1"/>
  <c r="G26" i="1"/>
  <c r="Z25" i="1"/>
  <c r="Y25" i="1"/>
  <c r="X25" i="1"/>
  <c r="D24" i="1"/>
  <c r="C24" i="1"/>
  <c r="Z17" i="1"/>
  <c r="Y17" i="1"/>
  <c r="X17" i="1"/>
  <c r="Q10" i="1"/>
  <c r="Z9" i="1"/>
  <c r="Y9" i="1"/>
  <c r="X9" i="1"/>
  <c r="Q9" i="1"/>
  <c r="P9" i="1"/>
  <c r="Q8" i="1"/>
  <c r="P8" i="1"/>
  <c r="Y35" i="1" l="1"/>
  <c r="U33" i="1"/>
  <c r="U35" i="1" s="1"/>
  <c r="Z33" i="1"/>
  <c r="Y33" i="1"/>
  <c r="U34" i="1"/>
  <c r="W34" i="1"/>
  <c r="X34" i="1"/>
  <c r="Z34" i="1"/>
  <c r="W35" i="1"/>
  <c r="Y32" i="1"/>
  <c r="X35" i="1"/>
  <c r="Z32" i="1"/>
  <c r="W33" i="1" l="1"/>
  <c r="W36" i="1" s="1"/>
  <c r="X32" i="1"/>
  <c r="X36" i="1" s="1"/>
  <c r="Z36" i="1"/>
  <c r="Y36" i="1"/>
  <c r="AA36" i="1" l="1"/>
  <c r="G23" i="2" s="1"/>
  <c r="G25" i="2" s="1"/>
  <c r="F56" i="1" l="1"/>
  <c r="F17" i="1"/>
  <c r="F55" i="1" l="1"/>
  <c r="F51" i="1"/>
  <c r="F53" i="1"/>
  <c r="F58" i="1"/>
  <c r="F54" i="1"/>
  <c r="F52" i="1"/>
  <c r="F57" i="1"/>
  <c r="F19" i="1"/>
  <c r="F16" i="1"/>
  <c r="F14" i="1"/>
  <c r="F18" i="1"/>
  <c r="F15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sbradsha</author>
  </authors>
  <commentList>
    <comment ref="B23" authorId="0" shapeId="0" xr:uid="{C4456D14-68F7-480C-A29A-C24693D27F24}">
      <text>
        <r>
          <rPr>
            <b/>
            <sz val="9"/>
            <color indexed="81"/>
            <rFont val="Tahoma"/>
            <family val="2"/>
          </rPr>
          <t>Adjustment for clearances, based on HI Figure 1.78B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Mattia Biolo</author>
  </authors>
  <commentList>
    <comment ref="E17" authorId="0" shapeId="0" xr:uid="{53E0AA4F-B098-49F8-BF1A-4A658D8BD1DB}">
      <text>
        <r>
          <rPr>
            <b/>
            <sz val="9"/>
            <color indexed="81"/>
            <rFont val="Tahoma"/>
            <family val="2"/>
          </rPr>
          <t>For efficiency change according to cell AA36, power at other flows adjusted according to BEP efficiency ratio</t>
        </r>
      </text>
    </comment>
    <comment ref="E30" authorId="0" shapeId="0" xr:uid="{1F591C1D-8CC6-4A87-AE6C-FE4A879568A9}">
      <text>
        <r>
          <rPr>
            <b/>
            <sz val="9"/>
            <color indexed="81"/>
            <rFont val="Tahoma"/>
            <family val="2"/>
          </rPr>
          <t>For efficiency change according to cell AA36, power at other flows adjusted according to BEP efficiency ratio</t>
        </r>
      </text>
    </comment>
    <comment ref="E56" authorId="0" shapeId="0" xr:uid="{8E0F8CAA-8C9D-4B09-B2A3-940A1ED70977}">
      <text>
        <r>
          <rPr>
            <b/>
            <sz val="9"/>
            <color indexed="81"/>
            <rFont val="Tahoma"/>
            <family val="2"/>
          </rPr>
          <t>For efficiency change according to cell AA36, power at other flows adjusted according to BEP efficiency ratio</t>
        </r>
      </text>
    </comment>
  </commentList>
</comments>
</file>

<file path=xl/sharedStrings.xml><?xml version="1.0" encoding="utf-8"?>
<sst xmlns="http://schemas.openxmlformats.org/spreadsheetml/2006/main" count="190" uniqueCount="114">
  <si>
    <t>First issue</t>
  </si>
  <si>
    <t>R&amp;D - M.Biolo</t>
  </si>
  <si>
    <t>QA/HSEM C.Delli Quadri - M.Tremolada</t>
  </si>
  <si>
    <t>R&amp;D Manager / M.Borghetti</t>
  </si>
  <si>
    <t>Rev.</t>
  </si>
  <si>
    <t>Date</t>
  </si>
  <si>
    <t>Description</t>
  </si>
  <si>
    <t>Prepared</t>
  </si>
  <si>
    <t>Checked</t>
  </si>
  <si>
    <t>Approved</t>
  </si>
  <si>
    <t>Mod.xxx-0</t>
  </si>
  <si>
    <t>Efficiency Change due to clearances modification</t>
  </si>
  <si>
    <t>PUMP MODEL</t>
  </si>
  <si>
    <t>PUMP SIZE</t>
  </si>
  <si>
    <t>DRAWING NUMBER</t>
  </si>
  <si>
    <t>INPUT DATA</t>
  </si>
  <si>
    <t>System units</t>
  </si>
  <si>
    <t>SI</t>
  </si>
  <si>
    <t>Pump speed</t>
  </si>
  <si>
    <t>rpm</t>
  </si>
  <si>
    <t>BEP flow</t>
  </si>
  <si>
    <t>BEP head</t>
  </si>
  <si>
    <t>Current BEP efficiency</t>
  </si>
  <si>
    <t>Number of stages</t>
  </si>
  <si>
    <t>Current internal clearances</t>
  </si>
  <si>
    <t>API 610 clearances</t>
  </si>
  <si>
    <t>New internal clearances</t>
  </si>
  <si>
    <t>PEEK reduced clearances</t>
  </si>
  <si>
    <t>OUTPUT DATA</t>
  </si>
  <si>
    <t>Pump specific speed</t>
  </si>
  <si>
    <t>Efficiency change for the change in clearances</t>
  </si>
  <si>
    <t>New pump efficiency</t>
  </si>
  <si>
    <t>Limitations:</t>
  </si>
  <si>
    <t>This spreadsheet is intended as a general estimate of efficiency change that can be expected due to clearance modification.  For a more accurate prediction, detailed leakage flow calculation considering actual wear rings/drums geometry should be performed, particularly if the efficiency must be guaranteed.</t>
  </si>
  <si>
    <t>TMP data</t>
  </si>
  <si>
    <t>GAB data</t>
  </si>
  <si>
    <t>CLEARANCES EFFECT</t>
  </si>
  <si>
    <t>BEP</t>
  </si>
  <si>
    <t>Clearances</t>
  </si>
  <si>
    <t>Clearance effect</t>
  </si>
  <si>
    <t>Clearance effect (only front wear rings)</t>
  </si>
  <si>
    <t>Nq 27.8</t>
  </si>
  <si>
    <t>Q [m3/h]</t>
  </si>
  <si>
    <t>H/Hapi</t>
  </si>
  <si>
    <t>Data based on CFD analyses - Mes.RO_Nq32_ TMP</t>
  </si>
  <si>
    <t>Data based on test - AHPDS275200BV_Nq27.8_ GAB_BB3</t>
  </si>
  <si>
    <t>AHP DS 275/200 BV</t>
  </si>
  <si>
    <t>Flow</t>
  </si>
  <si>
    <t>Head</t>
  </si>
  <si>
    <t>eta</t>
  </si>
  <si>
    <t>Power</t>
  </si>
  <si>
    <t>Speed</t>
  </si>
  <si>
    <t>Density</t>
  </si>
  <si>
    <t>Coefficient for Head correction at Dmax k1</t>
  </si>
  <si>
    <t>H</t>
  </si>
  <si>
    <t>Nq</t>
  </si>
  <si>
    <t>r</t>
  </si>
  <si>
    <t>D2</t>
  </si>
  <si>
    <t>Mina Justa project</t>
  </si>
  <si>
    <r>
      <t>[m</t>
    </r>
    <r>
      <rPr>
        <vertAlign val="superscript"/>
        <sz val="10"/>
        <color rgb="FF000000"/>
        <rFont val="Franklin Gothic Book"/>
        <family val="2"/>
      </rPr>
      <t>3</t>
    </r>
    <r>
      <rPr>
        <sz val="10"/>
        <color rgb="FF000000"/>
        <rFont val="Franklin Gothic Book"/>
        <family val="2"/>
      </rPr>
      <t>/h]</t>
    </r>
  </si>
  <si>
    <t>[m]</t>
  </si>
  <si>
    <t>[%]</t>
  </si>
  <si>
    <t>[kW]</t>
  </si>
  <si>
    <t>s.g.</t>
  </si>
  <si>
    <t>k1=deltaH*Q^2</t>
  </si>
  <si>
    <t>delta H</t>
  </si>
  <si>
    <t>Test N-85860-3: front wear rings with API clearances</t>
  </si>
  <si>
    <t>H=Hori+k1*Q^2</t>
  </si>
  <si>
    <t>k1</t>
  </si>
  <si>
    <t>clearance (xAPI)</t>
  </si>
  <si>
    <t>delta.eta</t>
  </si>
  <si>
    <t>delta.h</t>
  </si>
  <si>
    <t>delta.Hbep</t>
  </si>
  <si>
    <t>delta.qbep</t>
  </si>
  <si>
    <t>delta.eta HI</t>
  </si>
  <si>
    <t>Test N-85860-2: front wear rings with 60% API clearances</t>
  </si>
  <si>
    <t>Deltas</t>
  </si>
  <si>
    <t>/</t>
  </si>
  <si>
    <t>set_1</t>
  </si>
  <si>
    <t>set_2</t>
  </si>
  <si>
    <t>set_3</t>
  </si>
  <si>
    <t>Nq 32</t>
  </si>
  <si>
    <t>Impeller diameter</t>
  </si>
  <si>
    <t>MAXIMUM</t>
  </si>
  <si>
    <t>AHP DS 275/200 AV</t>
  </si>
  <si>
    <t>Q [mc/h]</t>
  </si>
  <si>
    <t>H [m]</t>
  </si>
  <si>
    <t>P [kW]</t>
  </si>
  <si>
    <t>eff [%]</t>
  </si>
  <si>
    <t>H TMP formula</t>
  </si>
  <si>
    <t>Quebrada Blanca project</t>
  </si>
  <si>
    <t>Data based on test - AHPDS275200AV_Nq32_ GAB_BB3</t>
  </si>
  <si>
    <t>Test N-86265-2: front wear rings with API clearances</t>
  </si>
  <si>
    <t>NPSH [m]</t>
  </si>
  <si>
    <t>Test N-86265-1: front wear rings with 60% API clearances</t>
  </si>
  <si>
    <t>Nq 38</t>
  </si>
  <si>
    <t>AHP DS 325/250 BV</t>
  </si>
  <si>
    <t>Test N-85905: front wear rings with API clearances</t>
  </si>
  <si>
    <t>Test N-85905-6 (analyser): front wear rings with 60% API clearances</t>
  </si>
  <si>
    <t>RATED</t>
  </si>
  <si>
    <t>Efficiency change for the change in clearances from S. Bradshaw based on HI Figure 1.78B</t>
  </si>
  <si>
    <t>Original clearances</t>
  </si>
  <si>
    <t>New clearances</t>
  </si>
  <si>
    <t>0.75x API standard clearances</t>
  </si>
  <si>
    <t>Ave specific speed</t>
  </si>
  <si>
    <t>Clearance logic</t>
  </si>
  <si>
    <t>API 610 hot clearances</t>
  </si>
  <si>
    <t>Effy change to API clearances</t>
  </si>
  <si>
    <t>Effy change to API Hot clearances</t>
  </si>
  <si>
    <t>Effy change to PEEK clearances</t>
  </si>
  <si>
    <t>MINIMUM</t>
  </si>
  <si>
    <t>System Units</t>
  </si>
  <si>
    <t>US</t>
  </si>
  <si>
    <t>Efficiency Change due to Clearances Modification
(linked to SOP-485)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</si>
</sst>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%"/>
    <numFmt numFmtId="168" formatCode="0.0000000000000000%"/>
    <numFmt numFmtId="169" formatCode="General_)"/>
    <numFmt numFmtId="170" formatCode="&quot;$&quot;#,##0.00;[Red]\-&quot;$&quot;#,##0.00"/>
  </numFmts>
  <fonts count="23" x14ac:knownFonts="1">
    <font>
      <sz val="10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6"/>
      <color rgb="FF000000"/>
      <name val="Franklin Gothic Medium"/>
      <family val="2"/>
    </font>
    <font>
      <sz val="10"/>
      <color rgb="FF000000"/>
      <name val="Franklin Gothic Book"/>
      <family val="2"/>
    </font>
    <font>
      <b/>
      <sz val="8"/>
      <color indexed="12"/>
      <name val="Arial"/>
      <family val="2"/>
    </font>
    <font>
      <vertAlign val="superscript"/>
      <sz val="10"/>
      <color rgb="FF000000"/>
      <name val="Franklin Gothic Book"/>
      <family val="2"/>
    </font>
    <font>
      <sz val="8"/>
      <name val="Symbol"/>
      <family val="1"/>
      <charset val="2"/>
    </font>
    <font>
      <b/>
      <sz val="9"/>
      <name val="Arial"/>
      <family val="2"/>
    </font>
    <font>
      <b/>
      <sz val="6"/>
      <color rgb="FF000000"/>
      <name val="Franklin Gothic Book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9"/>
      <color indexed="81"/>
      <name val="Tahoma"/>
      <family val="2"/>
    </font>
    <font>
      <sz val="14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DC63F"/>
        <bgColor indexed="64"/>
      </patternFill>
    </fill>
    <fill>
      <patternFill patternType="solid">
        <fgColor rgb="FFBAC6CC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9" fontId="16" fillId="0" borderId="0"/>
    <xf numFmtId="170" fontId="4" fillId="0" borderId="0" applyFont="0" applyFill="0" applyBorder="0" applyAlignment="0" applyProtection="0"/>
  </cellStyleXfs>
  <cellXfs count="221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9" fontId="1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2" fontId="0" fillId="0" borderId="6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2" fontId="1" fillId="0" borderId="6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9" fontId="1" fillId="0" borderId="0" xfId="1" applyFont="1" applyBorder="1" applyAlignment="1">
      <alignment horizontal="center" vertical="center"/>
    </xf>
    <xf numFmtId="164" fontId="1" fillId="0" borderId="10" xfId="1" applyNumberFormat="1" applyFill="1" applyBorder="1" applyAlignment="1">
      <alignment horizontal="center" vertical="center"/>
    </xf>
    <xf numFmtId="49" fontId="4" fillId="0" borderId="0" xfId="2" applyNumberFormat="1" applyFont="1" applyAlignment="1">
      <alignment horizontal="left" vertical="center"/>
    </xf>
    <xf numFmtId="49" fontId="1" fillId="0" borderId="11" xfId="2" applyNumberFormat="1" applyBorder="1" applyAlignment="1">
      <alignment horizontal="left" vertical="center"/>
    </xf>
    <xf numFmtId="49" fontId="4" fillId="0" borderId="11" xfId="2" applyNumberFormat="1" applyFont="1" applyBorder="1" applyAlignment="1">
      <alignment horizontal="left" vertical="center"/>
    </xf>
    <xf numFmtId="165" fontId="4" fillId="0" borderId="12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13" xfId="0" applyNumberFormat="1" applyBorder="1" applyAlignment="1">
      <alignment vertical="center"/>
    </xf>
    <xf numFmtId="2" fontId="0" fillId="0" borderId="14" xfId="0" applyNumberFormat="1" applyBorder="1" applyAlignment="1">
      <alignment vertical="center"/>
    </xf>
    <xf numFmtId="2" fontId="1" fillId="0" borderId="13" xfId="0" applyNumberFormat="1" applyFont="1" applyBorder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top"/>
    </xf>
    <xf numFmtId="1" fontId="7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1" fontId="7" fillId="0" borderId="10" xfId="0" applyNumberFormat="1" applyFont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7" fillId="0" borderId="0" xfId="0" quotePrefix="1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10" xfId="0" quotePrefix="1" applyFont="1" applyBorder="1" applyAlignment="1" applyProtection="1">
      <alignment horizontal="center" vertical="center"/>
      <protection locked="0"/>
    </xf>
    <xf numFmtId="164" fontId="0" fillId="0" borderId="13" xfId="0" applyNumberFormat="1" applyBorder="1" applyAlignment="1">
      <alignment vertical="center"/>
    </xf>
    <xf numFmtId="1" fontId="0" fillId="0" borderId="0" xfId="0" applyNumberFormat="1" applyAlignment="1">
      <alignment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0" fillId="0" borderId="21" xfId="0" applyBorder="1" applyAlignment="1">
      <alignment horizontal="left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9" fontId="1" fillId="0" borderId="22" xfId="1" applyFont="1" applyBorder="1" applyAlignment="1">
      <alignment horizontal="center" vertical="center"/>
    </xf>
    <xf numFmtId="11" fontId="1" fillId="0" borderId="19" xfId="1" applyNumberFormat="1" applyFill="1" applyBorder="1" applyAlignment="1">
      <alignment horizontal="center" vertical="center"/>
    </xf>
    <xf numFmtId="0" fontId="7" fillId="0" borderId="1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3" fillId="0" borderId="22" xfId="0" quotePrefix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64" fontId="7" fillId="0" borderId="22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3" xfId="0" applyBorder="1" applyAlignment="1">
      <alignment vertical="center"/>
    </xf>
    <xf numFmtId="0" fontId="6" fillId="0" borderId="18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16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 wrapText="1"/>
    </xf>
    <xf numFmtId="0" fontId="4" fillId="0" borderId="23" xfId="0" applyFont="1" applyBorder="1" applyAlignment="1">
      <alignment horizontal="left" vertical="center"/>
    </xf>
    <xf numFmtId="0" fontId="9" fillId="0" borderId="23" xfId="0" applyFont="1" applyBorder="1" applyAlignment="1">
      <alignment horizontal="right" vertical="center"/>
    </xf>
    <xf numFmtId="2" fontId="10" fillId="3" borderId="0" xfId="0" quotePrefix="1" applyNumberFormat="1" applyFont="1" applyFill="1" applyAlignment="1">
      <alignment horizontal="center" vertical="center"/>
    </xf>
    <xf numFmtId="2" fontId="10" fillId="3" borderId="23" xfId="0" quotePrefix="1" applyNumberFormat="1" applyFont="1" applyFill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1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8" xfId="0" applyFont="1" applyBorder="1" applyAlignment="1">
      <alignment vertical="center" wrapText="1"/>
    </xf>
    <xf numFmtId="9" fontId="0" fillId="3" borderId="9" xfId="1" applyFont="1" applyFill="1" applyBorder="1" applyAlignment="1">
      <alignment vertical="center"/>
    </xf>
    <xf numFmtId="2" fontId="1" fillId="3" borderId="0" xfId="0" quotePrefix="1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2" fontId="1" fillId="0" borderId="0" xfId="1" applyNumberFormat="1" applyFont="1" applyBorder="1" applyAlignment="1">
      <alignment vertical="center" wrapText="1"/>
    </xf>
    <xf numFmtId="10" fontId="1" fillId="0" borderId="10" xfId="1" applyNumberFormat="1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 applyProtection="1">
      <alignment horizontal="center" vertical="center"/>
      <protection locked="0"/>
    </xf>
    <xf numFmtId="10" fontId="1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3" fillId="0" borderId="7" xfId="0" applyFont="1" applyBorder="1" applyAlignment="1">
      <alignment horizontal="center" vertical="center"/>
    </xf>
    <xf numFmtId="9" fontId="1" fillId="0" borderId="9" xfId="1" applyBorder="1" applyAlignment="1">
      <alignment vertical="center"/>
    </xf>
    <xf numFmtId="10" fontId="1" fillId="0" borderId="0" xfId="1" applyNumberFormat="1" applyFont="1" applyFill="1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2" fontId="0" fillId="0" borderId="24" xfId="0" applyNumberFormat="1" applyBorder="1" applyAlignment="1">
      <alignment vertical="center"/>
    </xf>
    <xf numFmtId="2" fontId="0" fillId="0" borderId="23" xfId="0" applyNumberForma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3" xfId="0" applyFont="1" applyBorder="1" applyAlignment="1">
      <alignment horizontal="left"/>
    </xf>
    <xf numFmtId="0" fontId="0" fillId="0" borderId="0" xfId="0" applyAlignment="1">
      <alignment horizontal="right"/>
    </xf>
    <xf numFmtId="1" fontId="1" fillId="3" borderId="11" xfId="0" applyNumberFormat="1" applyFont="1" applyFill="1" applyBorder="1"/>
    <xf numFmtId="0" fontId="1" fillId="0" borderId="26" xfId="0" applyFont="1" applyBorder="1"/>
    <xf numFmtId="0" fontId="0" fillId="0" borderId="27" xfId="0" applyBorder="1"/>
    <xf numFmtId="0" fontId="0" fillId="0" borderId="16" xfId="0" applyBorder="1"/>
    <xf numFmtId="167" fontId="0" fillId="0" borderId="9" xfId="1" applyNumberFormat="1" applyFont="1" applyBorder="1"/>
    <xf numFmtId="167" fontId="0" fillId="0" borderId="0" xfId="1" applyNumberFormat="1" applyFont="1" applyBorder="1"/>
    <xf numFmtId="167" fontId="0" fillId="0" borderId="10" xfId="1" applyNumberFormat="1" applyFont="1" applyBorder="1"/>
    <xf numFmtId="167" fontId="0" fillId="0" borderId="11" xfId="1" applyNumberFormat="1" applyFont="1" applyBorder="1"/>
    <xf numFmtId="167" fontId="0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167" fontId="0" fillId="0" borderId="10" xfId="1" applyNumberFormat="1" applyFont="1" applyBorder="1" applyAlignment="1">
      <alignment horizontal="center"/>
    </xf>
    <xf numFmtId="168" fontId="0" fillId="0" borderId="0" xfId="0" applyNumberFormat="1"/>
    <xf numFmtId="167" fontId="0" fillId="0" borderId="26" xfId="1" applyNumberFormat="1" applyFont="1" applyBorder="1"/>
    <xf numFmtId="167" fontId="0" fillId="0" borderId="27" xfId="1" applyNumberFormat="1" applyFont="1" applyBorder="1"/>
    <xf numFmtId="167" fontId="0" fillId="0" borderId="16" xfId="1" applyNumberFormat="1" applyFont="1" applyBorder="1"/>
    <xf numFmtId="10" fontId="0" fillId="0" borderId="28" xfId="0" applyNumberFormat="1" applyBorder="1"/>
    <xf numFmtId="10" fontId="0" fillId="0" borderId="14" xfId="0" applyNumberFormat="1" applyBorder="1" applyAlignment="1">
      <alignment vertical="center"/>
    </xf>
    <xf numFmtId="10" fontId="1" fillId="0" borderId="0" xfId="1" applyNumberFormat="1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9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1" fillId="0" borderId="0" xfId="0" applyFont="1"/>
    <xf numFmtId="0" fontId="1" fillId="0" borderId="29" xfId="0" applyFont="1" applyBorder="1"/>
    <xf numFmtId="0" fontId="1" fillId="0" borderId="30" xfId="0" applyFont="1" applyBorder="1"/>
    <xf numFmtId="0" fontId="1" fillId="0" borderId="31" xfId="0" applyFont="1" applyBorder="1"/>
    <xf numFmtId="0" fontId="1" fillId="2" borderId="11" xfId="0" applyFont="1" applyFill="1" applyBorder="1" applyAlignment="1">
      <alignment horizontal="center"/>
    </xf>
    <xf numFmtId="167" fontId="1" fillId="2" borderId="11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0" fontId="0" fillId="0" borderId="11" xfId="0" applyNumberFormat="1" applyBorder="1"/>
    <xf numFmtId="167" fontId="0" fillId="0" borderId="11" xfId="0" applyNumberFormat="1" applyBorder="1"/>
    <xf numFmtId="0" fontId="0" fillId="0" borderId="6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1" fillId="0" borderId="1" xfId="3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169" fontId="16" fillId="0" borderId="0" xfId="4"/>
    <xf numFmtId="0" fontId="1" fillId="0" borderId="9" xfId="3" applyBorder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10" xfId="3" applyBorder="1" applyAlignment="1">
      <alignment horizontal="center" vertical="center"/>
    </xf>
    <xf numFmtId="0" fontId="17" fillId="0" borderId="0" xfId="3" applyFont="1" applyAlignment="1">
      <alignment horizontal="center" vertical="top"/>
    </xf>
    <xf numFmtId="0" fontId="1" fillId="0" borderId="0" xfId="3" applyAlignment="1">
      <alignment horizontal="center"/>
    </xf>
    <xf numFmtId="0" fontId="18" fillId="0" borderId="0" xfId="3" applyFont="1" applyAlignment="1">
      <alignment horizontal="center" vertical="top"/>
    </xf>
    <xf numFmtId="0" fontId="19" fillId="0" borderId="10" xfId="3" applyFont="1" applyBorder="1" applyAlignment="1">
      <alignment horizontal="center" vertical="top"/>
    </xf>
    <xf numFmtId="0" fontId="20" fillId="0" borderId="9" xfId="3" applyFont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10" xfId="3" applyFont="1" applyBorder="1" applyAlignment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20" fillId="0" borderId="9" xfId="3" applyFont="1" applyBorder="1" applyAlignment="1">
      <alignment horizontal="center" vertical="center" wrapText="1"/>
    </xf>
    <xf numFmtId="0" fontId="20" fillId="0" borderId="0" xfId="3" applyFont="1" applyAlignment="1">
      <alignment horizontal="center" vertical="center" wrapText="1"/>
    </xf>
    <xf numFmtId="0" fontId="20" fillId="0" borderId="10" xfId="3" applyFont="1" applyBorder="1" applyAlignment="1">
      <alignment horizontal="center" vertical="center" wrapText="1"/>
    </xf>
    <xf numFmtId="0" fontId="20" fillId="0" borderId="21" xfId="3" applyFont="1" applyBorder="1" applyAlignment="1">
      <alignment horizontal="center" vertical="center" wrapText="1"/>
    </xf>
    <xf numFmtId="0" fontId="20" fillId="0" borderId="22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1" fillId="0" borderId="34" xfId="3" applyBorder="1" applyAlignment="1">
      <alignment horizontal="center" vertical="center"/>
    </xf>
    <xf numFmtId="0" fontId="1" fillId="0" borderId="35" xfId="3" applyBorder="1" applyAlignment="1">
      <alignment horizontal="center" vertical="center"/>
    </xf>
    <xf numFmtId="0" fontId="1" fillId="0" borderId="36" xfId="3" applyBorder="1" applyAlignment="1">
      <alignment horizontal="center" vertical="center"/>
    </xf>
    <xf numFmtId="0" fontId="1" fillId="0" borderId="37" xfId="3" applyBorder="1" applyAlignment="1">
      <alignment horizontal="center" vertical="center"/>
    </xf>
    <xf numFmtId="0" fontId="1" fillId="0" borderId="38" xfId="3" applyBorder="1" applyAlignment="1">
      <alignment horizontal="center" vertical="center"/>
    </xf>
    <xf numFmtId="0" fontId="1" fillId="0" borderId="29" xfId="3" applyBorder="1" applyAlignment="1">
      <alignment horizontal="center" vertical="center"/>
    </xf>
    <xf numFmtId="0" fontId="1" fillId="0" borderId="30" xfId="3" applyBorder="1" applyAlignment="1">
      <alignment horizontal="center" vertical="center"/>
    </xf>
    <xf numFmtId="0" fontId="1" fillId="0" borderId="40" xfId="3" applyBorder="1" applyAlignment="1">
      <alignment horizontal="center" vertical="center"/>
    </xf>
    <xf numFmtId="0" fontId="1" fillId="0" borderId="39" xfId="3" applyBorder="1" applyAlignment="1">
      <alignment horizontal="center" vertical="center"/>
    </xf>
    <xf numFmtId="0" fontId="1" fillId="0" borderId="31" xfId="3" applyBorder="1" applyAlignment="1">
      <alignment horizontal="center" vertical="center"/>
    </xf>
    <xf numFmtId="0" fontId="4" fillId="0" borderId="29" xfId="3" applyFont="1" applyBorder="1" applyAlignment="1">
      <alignment horizontal="center" vertical="center" wrapText="1"/>
    </xf>
    <xf numFmtId="0" fontId="4" fillId="0" borderId="30" xfId="3" applyFont="1" applyBorder="1" applyAlignment="1">
      <alignment horizontal="center" vertical="center" wrapText="1"/>
    </xf>
    <xf numFmtId="0" fontId="4" fillId="0" borderId="40" xfId="3" applyFont="1" applyBorder="1" applyAlignment="1">
      <alignment horizontal="center" vertical="center" wrapText="1"/>
    </xf>
    <xf numFmtId="0" fontId="4" fillId="0" borderId="39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14" fontId="4" fillId="0" borderId="29" xfId="3" applyNumberFormat="1" applyFont="1" applyBorder="1" applyAlignment="1">
      <alignment horizontal="center" vertical="center"/>
    </xf>
    <xf numFmtId="14" fontId="4" fillId="0" borderId="30" xfId="3" applyNumberFormat="1" applyFont="1" applyBorder="1" applyAlignment="1">
      <alignment horizontal="center" vertical="center"/>
    </xf>
    <xf numFmtId="14" fontId="4" fillId="0" borderId="31" xfId="3" applyNumberFormat="1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 wrapText="1"/>
    </xf>
    <xf numFmtId="170" fontId="1" fillId="0" borderId="21" xfId="5" applyFont="1" applyBorder="1" applyAlignment="1">
      <alignment horizontal="right" vertical="center"/>
    </xf>
    <xf numFmtId="170" fontId="16" fillId="0" borderId="22" xfId="5" applyFont="1" applyBorder="1" applyAlignment="1">
      <alignment horizontal="right" vertical="center"/>
    </xf>
    <xf numFmtId="170" fontId="16" fillId="0" borderId="19" xfId="5" applyFont="1" applyBorder="1" applyAlignment="1">
      <alignment horizontal="right" vertical="center"/>
    </xf>
    <xf numFmtId="170" fontId="1" fillId="0" borderId="41" xfId="5" applyFont="1" applyBorder="1" applyAlignment="1">
      <alignment horizontal="center" vertical="center"/>
    </xf>
    <xf numFmtId="170" fontId="1" fillId="0" borderId="42" xfId="5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1" fillId="0" borderId="11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center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31" xfId="0" applyFont="1" applyFill="1" applyBorder="1" applyAlignment="1" applyProtection="1">
      <alignment horizontal="center"/>
      <protection locked="0"/>
    </xf>
    <xf numFmtId="49" fontId="1" fillId="2" borderId="29" xfId="0" applyNumberFormat="1" applyFont="1" applyFill="1" applyBorder="1" applyAlignment="1" applyProtection="1">
      <alignment horizontal="center"/>
      <protection locked="0"/>
    </xf>
    <xf numFmtId="49" fontId="1" fillId="2" borderId="30" xfId="0" applyNumberFormat="1" applyFont="1" applyFill="1" applyBorder="1" applyAlignment="1" applyProtection="1">
      <alignment horizontal="center"/>
      <protection locked="0"/>
    </xf>
    <xf numFmtId="49" fontId="1" fillId="2" borderId="31" xfId="0" applyNumberFormat="1" applyFont="1" applyFill="1" applyBorder="1" applyAlignment="1" applyProtection="1">
      <alignment horizontal="center"/>
      <protection locked="0"/>
    </xf>
    <xf numFmtId="0" fontId="0" fillId="0" borderId="33" xfId="0" applyBorder="1" applyAlignment="1">
      <alignment horizontal="left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0" fontId="0" fillId="0" borderId="11" xfId="0" applyBorder="1"/>
    <xf numFmtId="0" fontId="1" fillId="0" borderId="32" xfId="0" applyFont="1" applyBorder="1"/>
    <xf numFmtId="0" fontId="0" fillId="0" borderId="32" xfId="0" applyBorder="1"/>
    <xf numFmtId="0" fontId="0" fillId="2" borderId="11" xfId="0" applyFill="1" applyBorder="1" applyAlignment="1">
      <alignment horizontal="left"/>
    </xf>
  </cellXfs>
  <cellStyles count="6">
    <cellStyle name="Normale" xfId="0" builtinId="0"/>
    <cellStyle name="Normale 2" xfId="2" xr:uid="{F020AB09-396B-4536-9417-9537C59AC9F6}"/>
    <cellStyle name="Normale 3" xfId="4" xr:uid="{0B7B379D-F7EA-4C71-AFB7-BE388D7352FF}"/>
    <cellStyle name="Normale 4" xfId="3" xr:uid="{D3D6F58D-F8CF-4303-93B9-F8EAF717C872}"/>
    <cellStyle name="Percentuale 6" xfId="1" xr:uid="{B2E9B150-8EBB-4945-B1E3-307C3DF5951B}"/>
    <cellStyle name="Valuta 2" xfId="5" xr:uid="{B2E32323-FDC3-467D-BA96-06E1558FA4AC}"/>
  </cellStyles>
  <dxfs count="0"/>
  <tableStyles count="0" defaultTableStyle="TableStyleMedium2" defaultPivotStyle="PivotStyleLight16"/>
  <colors>
    <mruColors>
      <color rgb="FF8DC63F"/>
      <color rgb="FF8D00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Head</a:t>
            </a:r>
          </a:p>
        </c:rich>
      </c:tx>
      <c:layout>
        <c:manualLayout>
          <c:xMode val="edge"/>
          <c:yMode val="edge"/>
          <c:x val="0.45644553371225954"/>
          <c:y val="3.65457936179030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65347872698859"/>
          <c:y val="0.12957219629066224"/>
          <c:w val="0.84373277529328805"/>
          <c:h val="0.73092008163963318"/>
        </c:manualLayout>
      </c:layout>
      <c:scatterChart>
        <c:scatterStyle val="smoothMarker"/>
        <c:varyColors val="0"/>
        <c:ser>
          <c:idx val="0"/>
          <c:order val="0"/>
          <c:tx>
            <c:v>Max diameter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4C2-430B-A8DC-0C1F209DD481}"/>
              </c:ext>
            </c:extLst>
          </c:dPt>
          <c:xVal>
            <c:numRef>
              <c:f>supporting_data!$C$12:$C$19</c:f>
              <c:numCache>
                <c:formatCode>0.00</c:formatCode>
                <c:ptCount val="8"/>
              </c:numCache>
            </c:numRef>
          </c:xVal>
          <c:yVal>
            <c:numRef>
              <c:f>supporting_data!$D$12:$D$19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C2-430B-A8DC-0C1F209DD481}"/>
            </c:ext>
          </c:extLst>
        </c:ser>
        <c:ser>
          <c:idx val="1"/>
          <c:order val="1"/>
          <c:tx>
            <c:v>Second diameter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4C2-430B-A8DC-0C1F209DD481}"/>
              </c:ext>
            </c:extLst>
          </c:dPt>
          <c:xVal>
            <c:numRef>
              <c:f>supporting_data!$C$25:$C$32</c:f>
              <c:numCache>
                <c:formatCode>0.00</c:formatCode>
                <c:ptCount val="8"/>
              </c:numCache>
            </c:numRef>
          </c:xVal>
          <c:yVal>
            <c:numRef>
              <c:f>supporting_data!$D$25:$D$32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4C2-430B-A8DC-0C1F209DD481}"/>
            </c:ext>
          </c:extLst>
        </c:ser>
        <c:ser>
          <c:idx val="3"/>
          <c:order val="2"/>
          <c:tx>
            <c:v>Min diameter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4C2-430B-A8DC-0C1F209DD481}"/>
              </c:ext>
            </c:extLst>
          </c:dPt>
          <c:xVal>
            <c:numRef>
              <c:f>supporting_data!$C$51:$C$58</c:f>
              <c:numCache>
                <c:formatCode>0.00</c:formatCode>
                <c:ptCount val="8"/>
              </c:numCache>
            </c:numRef>
          </c:xVal>
          <c:yVal>
            <c:numRef>
              <c:f>supporting_data!$D$51:$D$58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4C2-430B-A8DC-0C1F209DD481}"/>
            </c:ext>
          </c:extLst>
        </c:ser>
        <c:ser>
          <c:idx val="15"/>
          <c:order val="3"/>
          <c:tx>
            <c:v>Set 1</c:v>
          </c:tx>
          <c:spPr>
            <a:ln w="12700">
              <a:solidFill>
                <a:srgbClr val="BAC6CC"/>
              </a:solidFill>
            </a:ln>
          </c:spPr>
          <c:marker>
            <c:symbol val="none"/>
          </c:marker>
          <c:xVal>
            <c:numRef>
              <c:f>'[7]Ra+losses-set1'!$C$12:$C$19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'[7]Ra+losses-set1'!$D$12:$D$19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4C2-430B-A8DC-0C1F209DD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036416"/>
        <c:axId val="1"/>
      </c:scatterChart>
      <c:valAx>
        <c:axId val="20870364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m3/h</a:t>
                </a:r>
              </a:p>
            </c:rich>
          </c:tx>
          <c:layout>
            <c:manualLayout>
              <c:xMode val="edge"/>
              <c:yMode val="edge"/>
              <c:x val="0.51177236620256905"/>
              <c:y val="0.91697230280425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2.2130677373937528E-2"/>
              <c:y val="0.471775797762121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87036416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Power</a:t>
            </a:r>
          </a:p>
        </c:rich>
      </c:tx>
      <c:layout>
        <c:manualLayout>
          <c:xMode val="edge"/>
          <c:yMode val="edge"/>
          <c:x val="0.45644553371225954"/>
          <c:y val="3.65458278111275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20906386701664"/>
          <c:y val="0.13400197068389708"/>
          <c:w val="0.84373277529328805"/>
          <c:h val="0.73092008163963318"/>
        </c:manualLayout>
      </c:layout>
      <c:scatterChart>
        <c:scatterStyle val="smoothMarker"/>
        <c:varyColors val="0"/>
        <c:ser>
          <c:idx val="0"/>
          <c:order val="0"/>
          <c:tx>
            <c:v>Max diameter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683-4D2D-8504-F4508090E09F}"/>
              </c:ext>
            </c:extLst>
          </c:dPt>
          <c:xVal>
            <c:numRef>
              <c:f>supporting_data!$C$12:$C$19</c:f>
              <c:numCache>
                <c:formatCode>0.00</c:formatCode>
                <c:ptCount val="8"/>
              </c:numCache>
            </c:numRef>
          </c:xVal>
          <c:yVal>
            <c:numRef>
              <c:f>supporting_data!$E$12:$E$19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83-4D2D-8504-F4508090E09F}"/>
            </c:ext>
          </c:extLst>
        </c:ser>
        <c:ser>
          <c:idx val="1"/>
          <c:order val="1"/>
          <c:tx>
            <c:v>Second diameter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683-4D2D-8504-F4508090E09F}"/>
              </c:ext>
            </c:extLst>
          </c:dPt>
          <c:xVal>
            <c:numRef>
              <c:f>supporting_data!$C$25:$C$32</c:f>
              <c:numCache>
                <c:formatCode>0.00</c:formatCode>
                <c:ptCount val="8"/>
              </c:numCache>
            </c:numRef>
          </c:xVal>
          <c:yVal>
            <c:numRef>
              <c:f>supporting_data!$E$25:$E$32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83-4D2D-8504-F4508090E09F}"/>
            </c:ext>
          </c:extLst>
        </c:ser>
        <c:ser>
          <c:idx val="3"/>
          <c:order val="2"/>
          <c:tx>
            <c:v>Min diameter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683-4D2D-8504-F4508090E09F}"/>
              </c:ext>
            </c:extLst>
          </c:dPt>
          <c:xVal>
            <c:numRef>
              <c:f>supporting_data!$C$51:$C$58</c:f>
              <c:numCache>
                <c:formatCode>0.00</c:formatCode>
                <c:ptCount val="8"/>
              </c:numCache>
            </c:numRef>
          </c:xVal>
          <c:yVal>
            <c:numRef>
              <c:f>supporting_data!$E$51:$E$58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83-4D2D-8504-F4508090E09F}"/>
            </c:ext>
          </c:extLst>
        </c:ser>
        <c:ser>
          <c:idx val="12"/>
          <c:order val="3"/>
          <c:tx>
            <c:v>Set 1</c:v>
          </c:tx>
          <c:spPr>
            <a:ln w="12700">
              <a:solidFill>
                <a:srgbClr val="BAC6CC"/>
              </a:solidFill>
            </a:ln>
          </c:spPr>
          <c:marker>
            <c:symbol val="none"/>
          </c:marker>
          <c:xVal>
            <c:numRef>
              <c:f>'[7]Ra+losses-set1'!$C$12:$C$19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'[7]Ra+losses-set1'!$E$12:$E$19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83-4D2D-8504-F4508090E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012112"/>
        <c:axId val="1"/>
      </c:scatterChart>
      <c:valAx>
        <c:axId val="208701211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m3/h</a:t>
                </a:r>
              </a:p>
            </c:rich>
          </c:tx>
          <c:layout>
            <c:manualLayout>
              <c:xMode val="edge"/>
              <c:yMode val="edge"/>
              <c:x val="0.51177236620256905"/>
              <c:y val="0.9169723586531881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</a:t>
                </a:r>
              </a:p>
            </c:rich>
          </c:tx>
          <c:layout>
            <c:manualLayout>
              <c:xMode val="edge"/>
              <c:yMode val="edge"/>
              <c:x val="2.2130677373937528E-2"/>
              <c:y val="0.471775681505158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87012112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Efficiency</a:t>
            </a:r>
          </a:p>
        </c:rich>
      </c:tx>
      <c:layout>
        <c:manualLayout>
          <c:xMode val="edge"/>
          <c:yMode val="edge"/>
          <c:x val="0.45644553371225954"/>
          <c:y val="3.65458278111275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65347872698859"/>
          <c:y val="0.12957219629066224"/>
          <c:w val="0.84373277529328805"/>
          <c:h val="0.73092008163963318"/>
        </c:manualLayout>
      </c:layout>
      <c:scatterChart>
        <c:scatterStyle val="smoothMarker"/>
        <c:varyColors val="0"/>
        <c:ser>
          <c:idx val="0"/>
          <c:order val="0"/>
          <c:tx>
            <c:v>Max diameter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B0A2-48CB-8DD1-F903086127B0}"/>
              </c:ext>
            </c:extLst>
          </c:dPt>
          <c:xVal>
            <c:numRef>
              <c:f>supporting_data!$C$12:$C$19</c:f>
              <c:numCache>
                <c:formatCode>0.00</c:formatCode>
                <c:ptCount val="8"/>
              </c:numCache>
            </c:numRef>
          </c:xVal>
          <c:yVal>
            <c:numRef>
              <c:f>supporting_data!$F$12:$F$19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A2-48CB-8DD1-F903086127B0}"/>
            </c:ext>
          </c:extLst>
        </c:ser>
        <c:ser>
          <c:idx val="1"/>
          <c:order val="1"/>
          <c:tx>
            <c:v>Second diameter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0A2-48CB-8DD1-F903086127B0}"/>
              </c:ext>
            </c:extLst>
          </c:dPt>
          <c:xVal>
            <c:numRef>
              <c:f>supporting_data!$C$25:$C$32</c:f>
              <c:numCache>
                <c:formatCode>0.00</c:formatCode>
                <c:ptCount val="8"/>
              </c:numCache>
            </c:numRef>
          </c:xVal>
          <c:yVal>
            <c:numRef>
              <c:f>supporting_data!$F$25:$F$32</c:f>
              <c:numCache>
                <c:formatCode>0.00</c:formatCode>
                <c:ptCount val="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A2-48CB-8DD1-F903086127B0}"/>
            </c:ext>
          </c:extLst>
        </c:ser>
        <c:ser>
          <c:idx val="3"/>
          <c:order val="2"/>
          <c:tx>
            <c:v>Min diameter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0A2-48CB-8DD1-F903086127B0}"/>
              </c:ext>
            </c:extLst>
          </c:dPt>
          <c:xVal>
            <c:numRef>
              <c:f>supporting_data!$C$51:$C$58</c:f>
              <c:numCache>
                <c:formatCode>0.00</c:formatCode>
                <c:ptCount val="8"/>
              </c:numCache>
            </c:numRef>
          </c:xVal>
          <c:yVal>
            <c:numRef>
              <c:f>supporting_data!$F$51:$F$58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A2-48CB-8DD1-F903086127B0}"/>
            </c:ext>
          </c:extLst>
        </c:ser>
        <c:ser>
          <c:idx val="8"/>
          <c:order val="3"/>
          <c:tx>
            <c:v>Set 1</c:v>
          </c:tx>
          <c:spPr>
            <a:ln w="12700">
              <a:solidFill>
                <a:srgbClr val="BAC6CC"/>
              </a:solidFill>
            </a:ln>
          </c:spPr>
          <c:marker>
            <c:symbol val="none"/>
          </c:marker>
          <c:xVal>
            <c:numRef>
              <c:f>'[7]Ra+losses-set1'!$C$12:$C$19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xVal>
          <c:yVal>
            <c:numRef>
              <c:f>'[7]Ra+losses-set1'!$F$12:$F$19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A2-48CB-8DD1-F90308612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030464"/>
        <c:axId val="1"/>
      </c:scatterChart>
      <c:valAx>
        <c:axId val="208703046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m3/h</a:t>
                </a:r>
              </a:p>
            </c:rich>
          </c:tx>
          <c:layout>
            <c:manualLayout>
              <c:xMode val="edge"/>
              <c:yMode val="edge"/>
              <c:x val="0.51177236620256905"/>
              <c:y val="0.9169723586531881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2.2130677373937528E-2"/>
              <c:y val="0.471775681505158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87030464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NPSHr</a:t>
            </a:r>
          </a:p>
        </c:rich>
      </c:tx>
      <c:layout>
        <c:manualLayout>
          <c:xMode val="edge"/>
          <c:yMode val="edge"/>
          <c:x val="0.45644553371225954"/>
          <c:y val="3.65457936179030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65347872698859"/>
          <c:y val="0.12957219629066224"/>
          <c:w val="0.84373277529328805"/>
          <c:h val="0.73092008163963318"/>
        </c:manualLayout>
      </c:layout>
      <c:scatterChart>
        <c:scatterStyle val="smoothMarker"/>
        <c:varyColors val="0"/>
        <c:ser>
          <c:idx val="0"/>
          <c:order val="0"/>
          <c:tx>
            <c:v>Max diameter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85D-4C69-A869-B45BAC7D684B}"/>
              </c:ext>
            </c:extLst>
          </c:dPt>
          <c:xVal>
            <c:numRef>
              <c:f>supporting_data!$G$14:$G$19</c:f>
              <c:numCache>
                <c:formatCode>0.00</c:formatCode>
                <c:ptCount val="6"/>
              </c:numCache>
            </c:numRef>
          </c:xVal>
          <c:yVal>
            <c:numRef>
              <c:f>supporting_data!$H$14:$H$19</c:f>
              <c:numCache>
                <c:formatCode>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5D-4C69-A869-B45BAC7D684B}"/>
            </c:ext>
          </c:extLst>
        </c:ser>
        <c:ser>
          <c:idx val="1"/>
          <c:order val="1"/>
          <c:tx>
            <c:v>Second diameter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85D-4C69-A869-B45BAC7D684B}"/>
              </c:ext>
            </c:extLst>
          </c:dPt>
          <c:xVal>
            <c:numRef>
              <c:f>supporting_data!$G$27:$G$32</c:f>
              <c:numCache>
                <c:formatCode>0.00</c:formatCode>
                <c:ptCount val="6"/>
              </c:numCache>
            </c:numRef>
          </c:xVal>
          <c:yVal>
            <c:numRef>
              <c:f>supporting_data!$H$27:$H$32</c:f>
              <c:numCache>
                <c:formatCode>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5D-4C69-A869-B45BAC7D684B}"/>
            </c:ext>
          </c:extLst>
        </c:ser>
        <c:ser>
          <c:idx val="3"/>
          <c:order val="2"/>
          <c:tx>
            <c:v>Min diameter</c:v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dPt>
            <c:idx val="5"/>
            <c:marker>
              <c:symbol val="circle"/>
              <c:size val="7"/>
              <c:spPr>
                <a:noFill/>
                <a:ln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85D-4C69-A869-B45BAC7D684B}"/>
              </c:ext>
            </c:extLst>
          </c:dPt>
          <c:xVal>
            <c:numRef>
              <c:f>supporting_data!$G$53:$G$58</c:f>
              <c:numCache>
                <c:formatCode>0.00</c:formatCode>
                <c:ptCount val="6"/>
              </c:numCache>
            </c:numRef>
          </c:xVal>
          <c:yVal>
            <c:numRef>
              <c:f>supporting_data!$H$53:$H$58</c:f>
              <c:numCache>
                <c:formatCode>0.00</c:formatCode>
                <c:ptCount val="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5D-4C69-A869-B45BAC7D6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019056"/>
        <c:axId val="1"/>
      </c:scatterChart>
      <c:valAx>
        <c:axId val="208701905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m3/h</a:t>
                </a:r>
              </a:p>
            </c:rich>
          </c:tx>
          <c:layout>
            <c:manualLayout>
              <c:xMode val="edge"/>
              <c:yMode val="edge"/>
              <c:x val="0.51177236620256905"/>
              <c:y val="0.9169723028042547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</a:t>
                </a:r>
              </a:p>
            </c:rich>
          </c:tx>
          <c:layout>
            <c:manualLayout>
              <c:xMode val="edge"/>
              <c:yMode val="edge"/>
              <c:x val="2.2130677373937528E-2"/>
              <c:y val="0.471775797762121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087019056"/>
        <c:crosses val="autoZero"/>
        <c:crossBetween val="midCat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deltaEta</a:t>
            </a:r>
            <a:r>
              <a:rPr lang="en-US" baseline="0"/>
              <a:t> vs xAPI: CFD data for Nq 32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0.0000E+00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424242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it-IT"/>
                </a:p>
              </c:txPr>
            </c:trendlineLbl>
          </c:trendline>
          <c:xVal>
            <c:numRef>
              <c:f>supporting_data!$O$8:$O$11</c:f>
              <c:numCache>
                <c:formatCode>0.00</c:formatCode>
                <c:ptCount val="4"/>
                <c:pt idx="0">
                  <c:v>0.5</c:v>
                </c:pt>
                <c:pt idx="1">
                  <c:v>0.66</c:v>
                </c:pt>
                <c:pt idx="2">
                  <c:v>1</c:v>
                </c:pt>
                <c:pt idx="3">
                  <c:v>2</c:v>
                </c:pt>
              </c:numCache>
            </c:numRef>
          </c:xVal>
          <c:yVal>
            <c:numRef>
              <c:f>supporting_data!$P$8:$P$11</c:f>
              <c:numCache>
                <c:formatCode>0.000</c:formatCode>
                <c:ptCount val="4"/>
                <c:pt idx="0">
                  <c:v>1.0080831408775981</c:v>
                </c:pt>
                <c:pt idx="1">
                  <c:v>1.004618937644342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A-48D1-8644-C74DC7B36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7010624"/>
        <c:axId val="1"/>
      </c:scatterChart>
      <c:valAx>
        <c:axId val="208701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424242"/>
                </a:solidFill>
                <a:latin typeface="Calibri"/>
                <a:ea typeface="Calibri"/>
                <a:cs typeface="Calibri"/>
              </a:defRPr>
            </a:pPr>
            <a:endParaRPr lang="it-IT"/>
          </a:p>
        </c:txPr>
        <c:crossAx val="208701062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Nq_vs_deltaEta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(supporting_data!$W$6,supporting_data!$W$14,supporting_data!$W$22)</c:f>
              <c:numCache>
                <c:formatCode>0.0</c:formatCode>
                <c:ptCount val="3"/>
                <c:pt idx="0">
                  <c:v>27.8</c:v>
                </c:pt>
                <c:pt idx="1">
                  <c:v>32</c:v>
                </c:pt>
                <c:pt idx="2">
                  <c:v>38</c:v>
                </c:pt>
              </c:numCache>
            </c:numRef>
          </c:xVal>
          <c:yVal>
            <c:numRef>
              <c:f>(supporting_data!$X$9,supporting_data!$X$17,supporting_data!$X$25)</c:f>
              <c:numCache>
                <c:formatCode>0.0000</c:formatCode>
                <c:ptCount val="3"/>
                <c:pt idx="0">
                  <c:v>1.0294871794871794</c:v>
                </c:pt>
                <c:pt idx="1">
                  <c:v>1.0211442786069651</c:v>
                </c:pt>
                <c:pt idx="2">
                  <c:v>1.0105386416861826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97-4B7A-8654-27ABFC7CB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579343"/>
        <c:axId val="1377784415"/>
      </c:scatterChart>
      <c:valAx>
        <c:axId val="1372579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7784415"/>
        <c:crosses val="autoZero"/>
        <c:crossBetween val="midCat"/>
      </c:valAx>
      <c:valAx>
        <c:axId val="137778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72579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Efficiency Reduction due to Wear Ring Clearance Increase</a:t>
            </a:r>
          </a:p>
        </c:rich>
      </c:tx>
      <c:layout>
        <c:manualLayout>
          <c:xMode val="edge"/>
          <c:yMode val="edge"/>
          <c:x val="0.20707741322355336"/>
          <c:y val="2.8619544115149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22811260297589"/>
          <c:y val="7.2390691404098664E-2"/>
          <c:w val="0.8584540224993491"/>
          <c:h val="0.83670171227527967"/>
        </c:manualLayout>
      </c:layout>
      <c:scatterChart>
        <c:scatterStyle val="lineMarker"/>
        <c:varyColors val="0"/>
        <c:ser>
          <c:idx val="0"/>
          <c:order val="0"/>
          <c:tx>
            <c:v>API Clearances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300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7</c:v>
              </c:pt>
              <c:pt idx="1">
                <c:v>0.4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F0D-4EFF-B4E9-B002B1CCE82F}"/>
            </c:ext>
          </c:extLst>
        </c:ser>
        <c:ser>
          <c:idx val="1"/>
          <c:order val="1"/>
          <c:tx>
            <c:v>API Hot Clearances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335</c:v>
              </c:pt>
              <c:pt idx="1">
                <c:v>5000</c:v>
              </c:pt>
            </c:numLit>
          </c:xVal>
          <c:yVal>
            <c:numLit>
              <c:formatCode>General</c:formatCode>
              <c:ptCount val="2"/>
              <c:pt idx="0">
                <c:v>10</c:v>
              </c:pt>
              <c:pt idx="1">
                <c:v>0.55000000000000004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7F0D-4EFF-B4E9-B002B1CCE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023520"/>
        <c:axId val="1"/>
      </c:scatterChart>
      <c:valAx>
        <c:axId val="1050023520"/>
        <c:scaling>
          <c:logBase val="10"/>
          <c:orientation val="minMax"/>
          <c:min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Pump Specific Speed (US units)</a:t>
                </a:r>
              </a:p>
            </c:rich>
          </c:tx>
          <c:layout>
            <c:manualLayout>
              <c:xMode val="edge"/>
              <c:yMode val="edge"/>
              <c:x val="0.3813894174899311"/>
              <c:y val="0.946129541265395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0.1"/>
        <c:crossBetween val="midCat"/>
      </c:valAx>
      <c:valAx>
        <c:axId val="1"/>
        <c:scaling>
          <c:logBase val="10"/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Efficiency Reduction (%)</a:t>
                </a:r>
              </a:p>
            </c:rich>
          </c:tx>
          <c:layout>
            <c:manualLayout>
              <c:xMode val="edge"/>
              <c:yMode val="edge"/>
              <c:x val="2.0969918960999201E-2"/>
              <c:y val="0.34175138774360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05002352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87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1"/>
        <c:txPr>
          <a:bodyPr/>
          <a:lstStyle/>
          <a:p>
            <a:pPr>
              <a:defRPr sz="87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ayout>
        <c:manualLayout>
          <c:xMode val="edge"/>
          <c:yMode val="edge"/>
          <c:x val="0.66028465103437417"/>
          <c:y val="0.20168689967633954"/>
          <c:w val="0.26891593060309055"/>
          <c:h val="0.137819381445498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</xdr:row>
      <xdr:rowOff>114300</xdr:rowOff>
    </xdr:from>
    <xdr:to>
      <xdr:col>19</xdr:col>
      <xdr:colOff>95250</xdr:colOff>
      <xdr:row>4</xdr:row>
      <xdr:rowOff>145782</xdr:rowOff>
    </xdr:to>
    <xdr:pic>
      <xdr:nvPicPr>
        <xdr:cNvPr id="2" name="Picture 2" descr="trillium 2">
          <a:extLst>
            <a:ext uri="{FF2B5EF4-FFF2-40B4-BE49-F238E27FC236}">
              <a16:creationId xmlns:a16="http://schemas.microsoft.com/office/drawing/2014/main" id="{CE9CCDEA-ECB1-4E5F-9912-F3E92DE95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3075" y="304800"/>
          <a:ext cx="2514600" cy="6029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60</xdr:row>
      <xdr:rowOff>0</xdr:rowOff>
    </xdr:from>
    <xdr:to>
      <xdr:col>11</xdr:col>
      <xdr:colOff>581025</xdr:colOff>
      <xdr:row>74</xdr:row>
      <xdr:rowOff>66675</xdr:rowOff>
    </xdr:to>
    <xdr:graphicFrame macro="">
      <xdr:nvGraphicFramePr>
        <xdr:cNvPr id="2" name="Grafico 2">
          <a:extLst>
            <a:ext uri="{FF2B5EF4-FFF2-40B4-BE49-F238E27FC236}">
              <a16:creationId xmlns:a16="http://schemas.microsoft.com/office/drawing/2014/main" id="{DC038958-935A-4F91-9334-C778BE643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74</xdr:row>
      <xdr:rowOff>76200</xdr:rowOff>
    </xdr:from>
    <xdr:to>
      <xdr:col>11</xdr:col>
      <xdr:colOff>581025</xdr:colOff>
      <xdr:row>88</xdr:row>
      <xdr:rowOff>142875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20509302-DE1C-41FB-8C2B-31CE2D45B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88</xdr:row>
      <xdr:rowOff>152400</xdr:rowOff>
    </xdr:from>
    <xdr:to>
      <xdr:col>11</xdr:col>
      <xdr:colOff>581025</xdr:colOff>
      <xdr:row>103</xdr:row>
      <xdr:rowOff>19050</xdr:rowOff>
    </xdr:to>
    <xdr:graphicFrame macro="">
      <xdr:nvGraphicFramePr>
        <xdr:cNvPr id="4" name="Grafico 2">
          <a:extLst>
            <a:ext uri="{FF2B5EF4-FFF2-40B4-BE49-F238E27FC236}">
              <a16:creationId xmlns:a16="http://schemas.microsoft.com/office/drawing/2014/main" id="{ECB23A89-AAFC-4646-AC75-9E0557FB9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103</xdr:row>
      <xdr:rowOff>28575</xdr:rowOff>
    </xdr:from>
    <xdr:to>
      <xdr:col>11</xdr:col>
      <xdr:colOff>581025</xdr:colOff>
      <xdr:row>117</xdr:row>
      <xdr:rowOff>95250</xdr:rowOff>
    </xdr:to>
    <xdr:graphicFrame macro="">
      <xdr:nvGraphicFramePr>
        <xdr:cNvPr id="5" name="Grafico 2">
          <a:extLst>
            <a:ext uri="{FF2B5EF4-FFF2-40B4-BE49-F238E27FC236}">
              <a16:creationId xmlns:a16="http://schemas.microsoft.com/office/drawing/2014/main" id="{E174C1FC-13C3-4DB0-82AE-AC479A74E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47625</xdr:colOff>
      <xdr:row>12</xdr:row>
      <xdr:rowOff>55468</xdr:rowOff>
    </xdr:from>
    <xdr:to>
      <xdr:col>20</xdr:col>
      <xdr:colOff>390525</xdr:colOff>
      <xdr:row>25</xdr:row>
      <xdr:rowOff>169769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07154AC-DB26-4D49-A5B3-E8C13BAB0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371475</xdr:colOff>
      <xdr:row>11</xdr:row>
      <xdr:rowOff>190500</xdr:rowOff>
    </xdr:from>
    <xdr:to>
      <xdr:col>35</xdr:col>
      <xdr:colOff>409575</xdr:colOff>
      <xdr:row>25</xdr:row>
      <xdr:rowOff>171450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388190CD-D339-4B34-9138-38CB794D8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66675</xdr:colOff>
      <xdr:row>37</xdr:row>
      <xdr:rowOff>38100</xdr:rowOff>
    </xdr:from>
    <xdr:to>
      <xdr:col>25</xdr:col>
      <xdr:colOff>547255</xdr:colOff>
      <xdr:row>66</xdr:row>
      <xdr:rowOff>32904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78FCDBC4-5EF5-462E-A0CB-61D4D2E1EF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FWENVI\WWT%20Area\1-BH-0267A%20-%20prolungamento%20studio%20di%20fattibilit&#224;%20KRC\09%20Design%20calculations\calcoli%20finali\pfd%20nuovo%20impianto%20-%20falda%20+%20processo%20con%20biologic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milfs002\b1h00\PROJECTS\1-BH-0389A%20KJO-RWTF2\09%20Design%20calculations\Linee\Linee%2010_12_16%20sketch%20Bottazzi\Design%20flowrate\line%2012%20polli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wfsc003/1cd1213a/ZoneExchange/Equipment%20list/front%20pag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\Backup%2029-09-06\Seam%201-025%20Politecnico%20Merone\09.0%20-%20Design%20Calculation\Linea%20fanghi\Progettazione%20impianto%20civile\progetto%20impianto%20di%20depurazione%20civil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REAS\DIP110\APPLICAT\pumps\PUMP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illiumflow-my.sharepoint.com/personal/mattia_biolo_trilliumflow_com/Documents/lavori_in_corso/24_NPI_database_idraulico/debug_module3/MODULE_3_r02.xlsm" TargetMode="External"/><Relationship Id="rId1" Type="http://schemas.openxmlformats.org/officeDocument/2006/relationships/externalLinkPath" Target="https://trilliumflow.sharepoint.com/personal/mattia_biolo_trilliumflow_com/Documents/lavori_in_corso/24_NPI_database_idraulico/debug_module3/MODULE_3_r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c medie inquinanti "/>
      <sheetName val="Schema a blocchi"/>
      <sheetName val="calcolo servizi"/>
      <sheetName val="API"/>
      <sheetName val="DAF"/>
      <sheetName val="Caldensitàmiscela"/>
      <sheetName val="Basi di progetto biologico"/>
      <sheetName val="Biologico tradizionale"/>
      <sheetName val="Calcolo ossigeno"/>
      <sheetName val="Sedimentazione Secondaria"/>
      <sheetName val="Valutazione fanghi prodotti"/>
      <sheetName val="Ispessitore"/>
      <sheetName val="Ricalcolo acqua in ingresso API"/>
      <sheetName val="Calcolo apparecchiature"/>
      <sheetName val="Compressori"/>
      <sheetName val="CPI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m RPI"/>
      <sheetName val="From Surge Tank"/>
      <sheetName val="From CPI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Ra+losses_s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rev1"/>
      <sheetName val="listes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 di progetto"/>
      <sheetName val="Canaletta in ingresso"/>
      <sheetName val="Griglia grossolana"/>
      <sheetName val="Dissabbiatore"/>
      <sheetName val="Vasca di compenso"/>
      <sheetName val="Sedimentazione Primaria"/>
      <sheetName val="Biologico tradizionale"/>
      <sheetName val="Nitro"/>
      <sheetName val="Denitro"/>
      <sheetName val=" nitro denitro (T perm) e dim."/>
      <sheetName val="Sedimentazione Secondaria"/>
      <sheetName val="ossigeno in nitro"/>
      <sheetName val="Filtrazione"/>
      <sheetName val="Disinfezione"/>
      <sheetName val="Valutazione fanghi prodotti"/>
      <sheetName val="vasca di miscelazione fanghi"/>
      <sheetName val="Ispessitore"/>
      <sheetName val="Digestione Anaerobica"/>
      <sheetName val="Dimensionamento dig. anaer."/>
      <sheetName val="Filtropressatura"/>
      <sheetName val="Gasometr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MP CALCULATION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-output"/>
      <sheetName val="import-set1"/>
      <sheetName val="import-set2"/>
      <sheetName val="import-set3"/>
      <sheetName val="import_csv"/>
      <sheetName val="import_xlsx_set1"/>
      <sheetName val="import_xlsx_set2"/>
      <sheetName val="import_xlsx_set3"/>
      <sheetName val="model-test-set1"/>
      <sheetName val="model-test-set2"/>
      <sheetName val="model-test-set3"/>
      <sheetName val="affinity+trim-set1"/>
      <sheetName val="affinity+trim-set2"/>
      <sheetName val="affinity+trim-set3"/>
      <sheetName val="Ra+losses-set1"/>
      <sheetName val="Ra+losses-set2"/>
      <sheetName val="Ra+losses-set3"/>
      <sheetName val="assembly"/>
      <sheetName val="clearances"/>
      <sheetName val="dens+viscosity"/>
      <sheetName val="setup"/>
      <sheetName val="H2O_viscosity calculation"/>
      <sheetName val="#RIF"/>
    </sheetNames>
    <sheetDataSet>
      <sheetData sheetId="0">
        <row r="2">
          <cell r="P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2">
          <cell r="C12" t="e">
            <v>#DIV/0!</v>
          </cell>
          <cell r="D12" t="e">
            <v>#DIV/0!</v>
          </cell>
          <cell r="E12" t="e">
            <v>#DIV/0!</v>
          </cell>
          <cell r="F12" t="e">
            <v>#DIV/0!</v>
          </cell>
        </row>
        <row r="13">
          <cell r="C13" t="e">
            <v>#DIV/0!</v>
          </cell>
          <cell r="D13" t="e">
            <v>#DIV/0!</v>
          </cell>
          <cell r="E13" t="e">
            <v>#DIV/0!</v>
          </cell>
          <cell r="F13" t="e">
            <v>#DIV/0!</v>
          </cell>
        </row>
        <row r="14">
          <cell r="C14" t="e">
            <v>#DIV/0!</v>
          </cell>
          <cell r="D14" t="e">
            <v>#DIV/0!</v>
          </cell>
          <cell r="E14" t="e">
            <v>#DIV/0!</v>
          </cell>
          <cell r="F14" t="e">
            <v>#DIV/0!</v>
          </cell>
        </row>
        <row r="15">
          <cell r="C15" t="e">
            <v>#DIV/0!</v>
          </cell>
          <cell r="D15" t="e">
            <v>#DIV/0!</v>
          </cell>
          <cell r="E15" t="e">
            <v>#DIV/0!</v>
          </cell>
          <cell r="F15" t="e">
            <v>#DIV/0!</v>
          </cell>
        </row>
        <row r="16">
          <cell r="C16" t="e">
            <v>#DIV/0!</v>
          </cell>
          <cell r="D16" t="e">
            <v>#DIV/0!</v>
          </cell>
          <cell r="E16" t="e">
            <v>#DIV/0!</v>
          </cell>
          <cell r="F16" t="e">
            <v>#DIV/0!</v>
          </cell>
        </row>
        <row r="17">
          <cell r="C17" t="e">
            <v>#DIV/0!</v>
          </cell>
          <cell r="D17" t="e">
            <v>#DIV/0!</v>
          </cell>
          <cell r="E17" t="e">
            <v>#DIV/0!</v>
          </cell>
          <cell r="F17" t="e">
            <v>#DIV/0!</v>
          </cell>
        </row>
        <row r="18">
          <cell r="C18" t="e">
            <v>#DIV/0!</v>
          </cell>
          <cell r="D18" t="e">
            <v>#DIV/0!</v>
          </cell>
          <cell r="E18" t="e">
            <v>#DIV/0!</v>
          </cell>
          <cell r="F18" t="e">
            <v>#DIV/0!</v>
          </cell>
        </row>
        <row r="19">
          <cell r="C19" t="e">
            <v>#DIV/0!</v>
          </cell>
          <cell r="D19" t="e">
            <v>#DIV/0!</v>
          </cell>
          <cell r="E19" t="e">
            <v>#DIV/0!</v>
          </cell>
          <cell r="F19" t="e">
            <v>#DIV/0!</v>
          </cell>
        </row>
      </sheetData>
      <sheetData sheetId="15"/>
      <sheetData sheetId="16"/>
      <sheetData sheetId="17">
        <row r="10">
          <cell r="E10">
            <v>0</v>
          </cell>
        </row>
      </sheetData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0EEE-D194-4BDD-B59A-C0C9EB2BC660}">
  <dimension ref="A1:AD48"/>
  <sheetViews>
    <sheetView tabSelected="1" zoomScaleNormal="100" zoomScaleSheetLayoutView="100" workbookViewId="0">
      <selection activeCell="AI12" sqref="AI12"/>
    </sheetView>
  </sheetViews>
  <sheetFormatPr defaultRowHeight="12" x14ac:dyDescent="0.2"/>
  <cols>
    <col min="1" max="30" width="3.28515625" style="153" customWidth="1"/>
    <col min="31" max="256" width="9.140625" style="153"/>
    <col min="257" max="286" width="3.28515625" style="153" customWidth="1"/>
    <col min="287" max="512" width="9.140625" style="153"/>
    <col min="513" max="542" width="3.28515625" style="153" customWidth="1"/>
    <col min="543" max="768" width="9.140625" style="153"/>
    <col min="769" max="798" width="3.28515625" style="153" customWidth="1"/>
    <col min="799" max="1024" width="9.140625" style="153"/>
    <col min="1025" max="1054" width="3.28515625" style="153" customWidth="1"/>
    <col min="1055" max="1280" width="9.140625" style="153"/>
    <col min="1281" max="1310" width="3.28515625" style="153" customWidth="1"/>
    <col min="1311" max="1536" width="9.140625" style="153"/>
    <col min="1537" max="1566" width="3.28515625" style="153" customWidth="1"/>
    <col min="1567" max="1792" width="9.140625" style="153"/>
    <col min="1793" max="1822" width="3.28515625" style="153" customWidth="1"/>
    <col min="1823" max="2048" width="9.140625" style="153"/>
    <col min="2049" max="2078" width="3.28515625" style="153" customWidth="1"/>
    <col min="2079" max="2304" width="9.140625" style="153"/>
    <col min="2305" max="2334" width="3.28515625" style="153" customWidth="1"/>
    <col min="2335" max="2560" width="9.140625" style="153"/>
    <col min="2561" max="2590" width="3.28515625" style="153" customWidth="1"/>
    <col min="2591" max="2816" width="9.140625" style="153"/>
    <col min="2817" max="2846" width="3.28515625" style="153" customWidth="1"/>
    <col min="2847" max="3072" width="9.140625" style="153"/>
    <col min="3073" max="3102" width="3.28515625" style="153" customWidth="1"/>
    <col min="3103" max="3328" width="9.140625" style="153"/>
    <col min="3329" max="3358" width="3.28515625" style="153" customWidth="1"/>
    <col min="3359" max="3584" width="9.140625" style="153"/>
    <col min="3585" max="3614" width="3.28515625" style="153" customWidth="1"/>
    <col min="3615" max="3840" width="9.140625" style="153"/>
    <col min="3841" max="3870" width="3.28515625" style="153" customWidth="1"/>
    <col min="3871" max="4096" width="9.140625" style="153"/>
    <col min="4097" max="4126" width="3.28515625" style="153" customWidth="1"/>
    <col min="4127" max="4352" width="9.140625" style="153"/>
    <col min="4353" max="4382" width="3.28515625" style="153" customWidth="1"/>
    <col min="4383" max="4608" width="9.140625" style="153"/>
    <col min="4609" max="4638" width="3.28515625" style="153" customWidth="1"/>
    <col min="4639" max="4864" width="9.140625" style="153"/>
    <col min="4865" max="4894" width="3.28515625" style="153" customWidth="1"/>
    <col min="4895" max="5120" width="9.140625" style="153"/>
    <col min="5121" max="5150" width="3.28515625" style="153" customWidth="1"/>
    <col min="5151" max="5376" width="9.140625" style="153"/>
    <col min="5377" max="5406" width="3.28515625" style="153" customWidth="1"/>
    <col min="5407" max="5632" width="9.140625" style="153"/>
    <col min="5633" max="5662" width="3.28515625" style="153" customWidth="1"/>
    <col min="5663" max="5888" width="9.140625" style="153"/>
    <col min="5889" max="5918" width="3.28515625" style="153" customWidth="1"/>
    <col min="5919" max="6144" width="9.140625" style="153"/>
    <col min="6145" max="6174" width="3.28515625" style="153" customWidth="1"/>
    <col min="6175" max="6400" width="9.140625" style="153"/>
    <col min="6401" max="6430" width="3.28515625" style="153" customWidth="1"/>
    <col min="6431" max="6656" width="9.140625" style="153"/>
    <col min="6657" max="6686" width="3.28515625" style="153" customWidth="1"/>
    <col min="6687" max="6912" width="9.140625" style="153"/>
    <col min="6913" max="6942" width="3.28515625" style="153" customWidth="1"/>
    <col min="6943" max="7168" width="9.140625" style="153"/>
    <col min="7169" max="7198" width="3.28515625" style="153" customWidth="1"/>
    <col min="7199" max="7424" width="9.140625" style="153"/>
    <col min="7425" max="7454" width="3.28515625" style="153" customWidth="1"/>
    <col min="7455" max="7680" width="9.140625" style="153"/>
    <col min="7681" max="7710" width="3.28515625" style="153" customWidth="1"/>
    <col min="7711" max="7936" width="9.140625" style="153"/>
    <col min="7937" max="7966" width="3.28515625" style="153" customWidth="1"/>
    <col min="7967" max="8192" width="9.140625" style="153"/>
    <col min="8193" max="8222" width="3.28515625" style="153" customWidth="1"/>
    <col min="8223" max="8448" width="9.140625" style="153"/>
    <col min="8449" max="8478" width="3.28515625" style="153" customWidth="1"/>
    <col min="8479" max="8704" width="9.140625" style="153"/>
    <col min="8705" max="8734" width="3.28515625" style="153" customWidth="1"/>
    <col min="8735" max="8960" width="9.140625" style="153"/>
    <col min="8961" max="8990" width="3.28515625" style="153" customWidth="1"/>
    <col min="8991" max="9216" width="9.140625" style="153"/>
    <col min="9217" max="9246" width="3.28515625" style="153" customWidth="1"/>
    <col min="9247" max="9472" width="9.140625" style="153"/>
    <col min="9473" max="9502" width="3.28515625" style="153" customWidth="1"/>
    <col min="9503" max="9728" width="9.140625" style="153"/>
    <col min="9729" max="9758" width="3.28515625" style="153" customWidth="1"/>
    <col min="9759" max="9984" width="9.140625" style="153"/>
    <col min="9985" max="10014" width="3.28515625" style="153" customWidth="1"/>
    <col min="10015" max="10240" width="9.140625" style="153"/>
    <col min="10241" max="10270" width="3.28515625" style="153" customWidth="1"/>
    <col min="10271" max="10496" width="9.140625" style="153"/>
    <col min="10497" max="10526" width="3.28515625" style="153" customWidth="1"/>
    <col min="10527" max="10752" width="9.140625" style="153"/>
    <col min="10753" max="10782" width="3.28515625" style="153" customWidth="1"/>
    <col min="10783" max="11008" width="9.140625" style="153"/>
    <col min="11009" max="11038" width="3.28515625" style="153" customWidth="1"/>
    <col min="11039" max="11264" width="9.140625" style="153"/>
    <col min="11265" max="11294" width="3.28515625" style="153" customWidth="1"/>
    <col min="11295" max="11520" width="9.140625" style="153"/>
    <col min="11521" max="11550" width="3.28515625" style="153" customWidth="1"/>
    <col min="11551" max="11776" width="9.140625" style="153"/>
    <col min="11777" max="11806" width="3.28515625" style="153" customWidth="1"/>
    <col min="11807" max="12032" width="9.140625" style="153"/>
    <col min="12033" max="12062" width="3.28515625" style="153" customWidth="1"/>
    <col min="12063" max="12288" width="9.140625" style="153"/>
    <col min="12289" max="12318" width="3.28515625" style="153" customWidth="1"/>
    <col min="12319" max="12544" width="9.140625" style="153"/>
    <col min="12545" max="12574" width="3.28515625" style="153" customWidth="1"/>
    <col min="12575" max="12800" width="9.140625" style="153"/>
    <col min="12801" max="12830" width="3.28515625" style="153" customWidth="1"/>
    <col min="12831" max="13056" width="9.140625" style="153"/>
    <col min="13057" max="13086" width="3.28515625" style="153" customWidth="1"/>
    <col min="13087" max="13312" width="9.140625" style="153"/>
    <col min="13313" max="13342" width="3.28515625" style="153" customWidth="1"/>
    <col min="13343" max="13568" width="9.140625" style="153"/>
    <col min="13569" max="13598" width="3.28515625" style="153" customWidth="1"/>
    <col min="13599" max="13824" width="9.140625" style="153"/>
    <col min="13825" max="13854" width="3.28515625" style="153" customWidth="1"/>
    <col min="13855" max="14080" width="9.140625" style="153"/>
    <col min="14081" max="14110" width="3.28515625" style="153" customWidth="1"/>
    <col min="14111" max="14336" width="9.140625" style="153"/>
    <col min="14337" max="14366" width="3.28515625" style="153" customWidth="1"/>
    <col min="14367" max="14592" width="9.140625" style="153"/>
    <col min="14593" max="14622" width="3.28515625" style="153" customWidth="1"/>
    <col min="14623" max="14848" width="9.140625" style="153"/>
    <col min="14849" max="14878" width="3.28515625" style="153" customWidth="1"/>
    <col min="14879" max="15104" width="9.140625" style="153"/>
    <col min="15105" max="15134" width="3.28515625" style="153" customWidth="1"/>
    <col min="15135" max="15360" width="9.140625" style="153"/>
    <col min="15361" max="15390" width="3.28515625" style="153" customWidth="1"/>
    <col min="15391" max="15616" width="9.140625" style="153"/>
    <col min="15617" max="15646" width="3.28515625" style="153" customWidth="1"/>
    <col min="15647" max="15872" width="9.140625" style="153"/>
    <col min="15873" max="15902" width="3.28515625" style="153" customWidth="1"/>
    <col min="15903" max="16128" width="9.140625" style="153"/>
    <col min="16129" max="16158" width="3.28515625" style="153" customWidth="1"/>
    <col min="16159" max="16384" width="9.140625" style="153"/>
  </cols>
  <sheetData>
    <row r="1" spans="1:30" ht="15" customHeight="1" x14ac:dyDescent="0.2">
      <c r="A1" s="150"/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2"/>
    </row>
    <row r="2" spans="1:30" ht="15" customHeight="1" x14ac:dyDescent="0.2">
      <c r="A2" s="154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6"/>
    </row>
    <row r="3" spans="1:30" ht="15" customHeight="1" x14ac:dyDescent="0.2">
      <c r="A3" s="154"/>
      <c r="B3" s="155"/>
      <c r="C3" s="155"/>
      <c r="D3" s="155"/>
      <c r="E3" s="155"/>
      <c r="F3" s="155"/>
      <c r="G3" s="155"/>
      <c r="H3" s="157"/>
      <c r="I3" s="157"/>
      <c r="J3" s="157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9"/>
      <c r="X3" s="159"/>
      <c r="Y3" s="159"/>
      <c r="Z3" s="159"/>
      <c r="AA3" s="159"/>
      <c r="AB3" s="159"/>
      <c r="AC3" s="159"/>
      <c r="AD3" s="160"/>
    </row>
    <row r="4" spans="1:30" ht="15" customHeigh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  <c r="AC4" s="155"/>
      <c r="AD4" s="156"/>
    </row>
    <row r="5" spans="1:30" ht="15" customHeigh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6"/>
    </row>
    <row r="6" spans="1:30" ht="15" customHeight="1" x14ac:dyDescent="0.2">
      <c r="A6" s="154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6"/>
    </row>
    <row r="7" spans="1:30" ht="15" customHeight="1" thickBot="1" x14ac:dyDescent="0.25">
      <c r="A7" s="161"/>
      <c r="B7" s="162"/>
      <c r="C7" s="162"/>
      <c r="D7" s="162"/>
      <c r="E7" s="162"/>
      <c r="F7" s="163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62"/>
      <c r="AB7" s="162"/>
      <c r="AC7" s="162"/>
      <c r="AD7" s="164"/>
    </row>
    <row r="8" spans="1:30" ht="15" customHeight="1" x14ac:dyDescent="0.2">
      <c r="A8" s="165" t="s">
        <v>113</v>
      </c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7"/>
    </row>
    <row r="9" spans="1:30" ht="15" customHeight="1" x14ac:dyDescent="0.2">
      <c r="A9" s="168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70"/>
    </row>
    <row r="10" spans="1:30" ht="15" customHeight="1" x14ac:dyDescent="0.2">
      <c r="A10" s="168"/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70"/>
    </row>
    <row r="11" spans="1:30" ht="15" customHeight="1" x14ac:dyDescent="0.2">
      <c r="A11" s="168"/>
      <c r="B11" s="169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70"/>
    </row>
    <row r="12" spans="1:30" ht="15" customHeight="1" x14ac:dyDescent="0.2">
      <c r="A12" s="168"/>
      <c r="B12" s="169"/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70"/>
    </row>
    <row r="13" spans="1:30" ht="15" customHeight="1" x14ac:dyDescent="0.2">
      <c r="A13" s="168"/>
      <c r="B13" s="169"/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70"/>
    </row>
    <row r="14" spans="1:30" ht="15" customHeight="1" x14ac:dyDescent="0.2">
      <c r="A14" s="168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70"/>
    </row>
    <row r="15" spans="1:30" ht="15" customHeight="1" x14ac:dyDescent="0.2">
      <c r="A15" s="168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70"/>
    </row>
    <row r="16" spans="1:30" ht="15" customHeight="1" x14ac:dyDescent="0.2">
      <c r="A16" s="168"/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70"/>
    </row>
    <row r="17" spans="1:30" ht="15" customHeight="1" x14ac:dyDescent="0.2">
      <c r="A17" s="168"/>
      <c r="B17" s="169"/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70"/>
    </row>
    <row r="18" spans="1:30" ht="15" customHeight="1" x14ac:dyDescent="0.2">
      <c r="A18" s="168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70"/>
    </row>
    <row r="19" spans="1:30" ht="15" customHeight="1" x14ac:dyDescent="0.2">
      <c r="A19" s="168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70"/>
    </row>
    <row r="20" spans="1:30" ht="15" customHeight="1" x14ac:dyDescent="0.2">
      <c r="A20" s="168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70"/>
    </row>
    <row r="21" spans="1:30" ht="15" customHeight="1" x14ac:dyDescent="0.2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70"/>
    </row>
    <row r="22" spans="1:30" ht="15" customHeight="1" x14ac:dyDescent="0.2">
      <c r="A22" s="168"/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70"/>
    </row>
    <row r="23" spans="1:30" ht="15" customHeight="1" x14ac:dyDescent="0.2">
      <c r="A23" s="168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70"/>
    </row>
    <row r="24" spans="1:30" ht="15" customHeight="1" x14ac:dyDescent="0.2">
      <c r="A24" s="168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70"/>
    </row>
    <row r="25" spans="1:30" ht="15" customHeight="1" x14ac:dyDescent="0.2">
      <c r="A25" s="168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70"/>
    </row>
    <row r="26" spans="1:30" ht="15" customHeight="1" x14ac:dyDescent="0.2">
      <c r="A26" s="168"/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70"/>
    </row>
    <row r="27" spans="1:30" ht="15" customHeight="1" x14ac:dyDescent="0.2">
      <c r="A27" s="168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70"/>
    </row>
    <row r="28" spans="1:30" ht="15" customHeight="1" x14ac:dyDescent="0.2">
      <c r="A28" s="168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70"/>
    </row>
    <row r="29" spans="1:30" ht="15" customHeight="1" x14ac:dyDescent="0.2">
      <c r="A29" s="168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70"/>
    </row>
    <row r="30" spans="1:30" ht="15" customHeight="1" x14ac:dyDescent="0.2">
      <c r="A30" s="168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70"/>
    </row>
    <row r="31" spans="1:30" ht="15" customHeight="1" x14ac:dyDescent="0.2">
      <c r="A31" s="168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70"/>
    </row>
    <row r="32" spans="1:30" ht="15" customHeight="1" x14ac:dyDescent="0.2">
      <c r="A32" s="168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  <c r="AA32" s="169"/>
      <c r="AB32" s="169"/>
      <c r="AC32" s="169"/>
      <c r="AD32" s="170"/>
    </row>
    <row r="33" spans="1:30" ht="15" customHeight="1" x14ac:dyDescent="0.2">
      <c r="A33" s="168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70"/>
    </row>
    <row r="34" spans="1:30" ht="15" customHeight="1" x14ac:dyDescent="0.2">
      <c r="A34" s="168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  <c r="AA34" s="169"/>
      <c r="AB34" s="169"/>
      <c r="AC34" s="169"/>
      <c r="AD34" s="170"/>
    </row>
    <row r="35" spans="1:30" ht="15" customHeight="1" x14ac:dyDescent="0.2">
      <c r="A35" s="168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70"/>
    </row>
    <row r="36" spans="1:30" ht="15" customHeight="1" x14ac:dyDescent="0.2">
      <c r="A36" s="168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70"/>
    </row>
    <row r="37" spans="1:30" ht="15" customHeight="1" x14ac:dyDescent="0.2">
      <c r="A37" s="168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70"/>
    </row>
    <row r="38" spans="1:30" ht="15" customHeight="1" x14ac:dyDescent="0.2">
      <c r="A38" s="168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70"/>
    </row>
    <row r="39" spans="1:30" ht="15" customHeight="1" thickBot="1" x14ac:dyDescent="0.25">
      <c r="A39" s="171"/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3"/>
    </row>
    <row r="40" spans="1:30" ht="30" customHeight="1" x14ac:dyDescent="0.2">
      <c r="A40" s="174"/>
      <c r="B40" s="175"/>
      <c r="C40" s="176"/>
      <c r="D40" s="177"/>
      <c r="E40" s="177"/>
      <c r="F40" s="175"/>
      <c r="G40" s="176"/>
      <c r="H40" s="177"/>
      <c r="I40" s="177"/>
      <c r="J40" s="177"/>
      <c r="K40" s="177"/>
      <c r="L40" s="177"/>
      <c r="M40" s="177"/>
      <c r="N40" s="177"/>
      <c r="O40" s="177"/>
      <c r="P40" s="176"/>
      <c r="Q40" s="177"/>
      <c r="R40" s="177"/>
      <c r="S40" s="177"/>
      <c r="T40" s="175"/>
      <c r="U40" s="176"/>
      <c r="V40" s="177"/>
      <c r="W40" s="177"/>
      <c r="X40" s="177"/>
      <c r="Y40" s="175"/>
      <c r="Z40" s="176"/>
      <c r="AA40" s="177"/>
      <c r="AB40" s="177"/>
      <c r="AC40" s="177"/>
      <c r="AD40" s="178"/>
    </row>
    <row r="41" spans="1:30" ht="30" customHeight="1" x14ac:dyDescent="0.2">
      <c r="A41" s="182"/>
      <c r="B41" s="183"/>
      <c r="C41" s="179"/>
      <c r="D41" s="180"/>
      <c r="E41" s="180"/>
      <c r="F41" s="183"/>
      <c r="G41" s="179"/>
      <c r="H41" s="180"/>
      <c r="I41" s="180"/>
      <c r="J41" s="180"/>
      <c r="K41" s="180"/>
      <c r="L41" s="180"/>
      <c r="M41" s="180"/>
      <c r="N41" s="180"/>
      <c r="O41" s="180"/>
      <c r="P41" s="179"/>
      <c r="Q41" s="180"/>
      <c r="R41" s="180"/>
      <c r="S41" s="180"/>
      <c r="T41" s="183"/>
      <c r="U41" s="179"/>
      <c r="V41" s="180"/>
      <c r="W41" s="180"/>
      <c r="X41" s="180"/>
      <c r="Y41" s="183"/>
      <c r="Z41" s="179"/>
      <c r="AA41" s="180"/>
      <c r="AB41" s="180"/>
      <c r="AC41" s="180"/>
      <c r="AD41" s="181"/>
    </row>
    <row r="42" spans="1:30" ht="30" customHeight="1" x14ac:dyDescent="0.2">
      <c r="A42" s="182"/>
      <c r="B42" s="183"/>
      <c r="C42" s="179"/>
      <c r="D42" s="180"/>
      <c r="E42" s="180"/>
      <c r="F42" s="183"/>
      <c r="G42" s="179"/>
      <c r="H42" s="180"/>
      <c r="I42" s="180"/>
      <c r="J42" s="180"/>
      <c r="K42" s="180"/>
      <c r="L42" s="180"/>
      <c r="M42" s="180"/>
      <c r="N42" s="180"/>
      <c r="O42" s="180"/>
      <c r="P42" s="179"/>
      <c r="Q42" s="180"/>
      <c r="R42" s="180"/>
      <c r="S42" s="180"/>
      <c r="T42" s="183"/>
      <c r="U42" s="179"/>
      <c r="V42" s="180"/>
      <c r="W42" s="180"/>
      <c r="X42" s="180"/>
      <c r="Y42" s="183"/>
      <c r="Z42" s="179"/>
      <c r="AA42" s="180"/>
      <c r="AB42" s="180"/>
      <c r="AC42" s="180"/>
      <c r="AD42" s="181"/>
    </row>
    <row r="43" spans="1:30" ht="30" customHeight="1" x14ac:dyDescent="0.2">
      <c r="A43" s="182"/>
      <c r="B43" s="183"/>
      <c r="C43" s="179"/>
      <c r="D43" s="180"/>
      <c r="E43" s="180"/>
      <c r="F43" s="183"/>
      <c r="G43" s="179"/>
      <c r="H43" s="180"/>
      <c r="I43" s="180"/>
      <c r="J43" s="180"/>
      <c r="K43" s="180"/>
      <c r="L43" s="180"/>
      <c r="M43" s="180"/>
      <c r="N43" s="180"/>
      <c r="O43" s="180"/>
      <c r="P43" s="179"/>
      <c r="Q43" s="180"/>
      <c r="R43" s="180"/>
      <c r="S43" s="180"/>
      <c r="T43" s="183"/>
      <c r="U43" s="179"/>
      <c r="V43" s="180"/>
      <c r="W43" s="180"/>
      <c r="X43" s="180"/>
      <c r="Y43" s="183"/>
      <c r="Z43" s="179"/>
      <c r="AA43" s="180"/>
      <c r="AB43" s="180"/>
      <c r="AC43" s="180"/>
      <c r="AD43" s="181"/>
    </row>
    <row r="44" spans="1:30" ht="30" customHeight="1" x14ac:dyDescent="0.2">
      <c r="A44" s="182"/>
      <c r="B44" s="183"/>
      <c r="C44" s="179"/>
      <c r="D44" s="180"/>
      <c r="E44" s="180"/>
      <c r="F44" s="183"/>
      <c r="G44" s="179"/>
      <c r="H44" s="180"/>
      <c r="I44" s="180"/>
      <c r="J44" s="180"/>
      <c r="K44" s="180"/>
      <c r="L44" s="180"/>
      <c r="M44" s="180"/>
      <c r="N44" s="180"/>
      <c r="O44" s="180"/>
      <c r="P44" s="179"/>
      <c r="Q44" s="180"/>
      <c r="R44" s="180"/>
      <c r="S44" s="180"/>
      <c r="T44" s="183"/>
      <c r="U44" s="179"/>
      <c r="V44" s="180"/>
      <c r="W44" s="180"/>
      <c r="X44" s="180"/>
      <c r="Y44" s="183"/>
      <c r="Z44" s="179"/>
      <c r="AA44" s="180"/>
      <c r="AB44" s="180"/>
      <c r="AC44" s="180"/>
      <c r="AD44" s="181"/>
    </row>
    <row r="45" spans="1:30" ht="30" customHeight="1" x14ac:dyDescent="0.2">
      <c r="A45" s="182"/>
      <c r="B45" s="183"/>
      <c r="C45" s="179"/>
      <c r="D45" s="180"/>
      <c r="E45" s="180"/>
      <c r="F45" s="183"/>
      <c r="G45" s="179"/>
      <c r="H45" s="180"/>
      <c r="I45" s="180"/>
      <c r="J45" s="180"/>
      <c r="K45" s="180"/>
      <c r="L45" s="180"/>
      <c r="M45" s="180"/>
      <c r="N45" s="180"/>
      <c r="O45" s="180"/>
      <c r="P45" s="179"/>
      <c r="Q45" s="180"/>
      <c r="R45" s="180"/>
      <c r="S45" s="180"/>
      <c r="T45" s="183"/>
      <c r="U45" s="179"/>
      <c r="V45" s="180"/>
      <c r="W45" s="180"/>
      <c r="X45" s="180"/>
      <c r="Y45" s="183"/>
      <c r="Z45" s="179"/>
      <c r="AA45" s="180"/>
      <c r="AB45" s="180"/>
      <c r="AC45" s="180"/>
      <c r="AD45" s="181"/>
    </row>
    <row r="46" spans="1:30" ht="30" customHeight="1" x14ac:dyDescent="0.2">
      <c r="A46" s="187">
        <v>0</v>
      </c>
      <c r="B46" s="188"/>
      <c r="C46" s="189">
        <v>45415</v>
      </c>
      <c r="D46" s="190"/>
      <c r="E46" s="190"/>
      <c r="F46" s="191"/>
      <c r="G46" s="192" t="s">
        <v>0</v>
      </c>
      <c r="H46" s="193"/>
      <c r="I46" s="193"/>
      <c r="J46" s="193"/>
      <c r="K46" s="193"/>
      <c r="L46" s="193"/>
      <c r="M46" s="193"/>
      <c r="N46" s="193"/>
      <c r="O46" s="193"/>
      <c r="P46" s="184" t="s">
        <v>1</v>
      </c>
      <c r="Q46" s="185"/>
      <c r="R46" s="185"/>
      <c r="S46" s="185"/>
      <c r="T46" s="194"/>
      <c r="U46" s="184" t="s">
        <v>2</v>
      </c>
      <c r="V46" s="185"/>
      <c r="W46" s="185"/>
      <c r="X46" s="185"/>
      <c r="Y46" s="194"/>
      <c r="Z46" s="184" t="s">
        <v>3</v>
      </c>
      <c r="AA46" s="185"/>
      <c r="AB46" s="185"/>
      <c r="AC46" s="185"/>
      <c r="AD46" s="186"/>
    </row>
    <row r="47" spans="1:30" ht="15" customHeight="1" thickBot="1" x14ac:dyDescent="0.25">
      <c r="A47" s="198" t="s">
        <v>4</v>
      </c>
      <c r="B47" s="199"/>
      <c r="C47" s="200" t="s">
        <v>5</v>
      </c>
      <c r="D47" s="201"/>
      <c r="E47" s="201"/>
      <c r="F47" s="202"/>
      <c r="G47" s="200" t="s">
        <v>6</v>
      </c>
      <c r="H47" s="201"/>
      <c r="I47" s="201"/>
      <c r="J47" s="201"/>
      <c r="K47" s="201"/>
      <c r="L47" s="201"/>
      <c r="M47" s="201"/>
      <c r="N47" s="201"/>
      <c r="O47" s="201"/>
      <c r="P47" s="200" t="s">
        <v>7</v>
      </c>
      <c r="Q47" s="201"/>
      <c r="R47" s="201"/>
      <c r="S47" s="201"/>
      <c r="T47" s="202"/>
      <c r="U47" s="200" t="s">
        <v>8</v>
      </c>
      <c r="V47" s="201"/>
      <c r="W47" s="201"/>
      <c r="X47" s="201"/>
      <c r="Y47" s="201"/>
      <c r="Z47" s="200" t="s">
        <v>9</v>
      </c>
      <c r="AA47" s="201"/>
      <c r="AB47" s="201"/>
      <c r="AC47" s="201"/>
      <c r="AD47" s="203"/>
    </row>
    <row r="48" spans="1:30" ht="15" customHeight="1" thickBot="1" x14ac:dyDescent="0.25">
      <c r="A48" s="195" t="s">
        <v>10</v>
      </c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7"/>
    </row>
  </sheetData>
  <mergeCells count="50">
    <mergeCell ref="A48:AD48"/>
    <mergeCell ref="A47:B47"/>
    <mergeCell ref="C47:F47"/>
    <mergeCell ref="G47:O47"/>
    <mergeCell ref="P47:T47"/>
    <mergeCell ref="U47:Y47"/>
    <mergeCell ref="Z47:AD47"/>
    <mergeCell ref="Z46:AD46"/>
    <mergeCell ref="A45:B45"/>
    <mergeCell ref="C45:F45"/>
    <mergeCell ref="G45:O45"/>
    <mergeCell ref="P45:T45"/>
    <mergeCell ref="U45:Y45"/>
    <mergeCell ref="Z45:AD45"/>
    <mergeCell ref="A46:B46"/>
    <mergeCell ref="C46:F46"/>
    <mergeCell ref="G46:O46"/>
    <mergeCell ref="P46:T46"/>
    <mergeCell ref="U46:Y46"/>
    <mergeCell ref="Z44:AD44"/>
    <mergeCell ref="A43:B43"/>
    <mergeCell ref="C43:F43"/>
    <mergeCell ref="G43:O43"/>
    <mergeCell ref="P43:T43"/>
    <mergeCell ref="U43:Y43"/>
    <mergeCell ref="Z43:AD43"/>
    <mergeCell ref="A44:B44"/>
    <mergeCell ref="C44:F44"/>
    <mergeCell ref="G44:O44"/>
    <mergeCell ref="P44:T44"/>
    <mergeCell ref="U44:Y44"/>
    <mergeCell ref="Z42:AD42"/>
    <mergeCell ref="A41:B41"/>
    <mergeCell ref="C41:F41"/>
    <mergeCell ref="G41:O41"/>
    <mergeCell ref="P41:T41"/>
    <mergeCell ref="U41:Y41"/>
    <mergeCell ref="Z41:AD41"/>
    <mergeCell ref="A42:B42"/>
    <mergeCell ref="C42:F42"/>
    <mergeCell ref="G42:O42"/>
    <mergeCell ref="P42:T42"/>
    <mergeCell ref="U42:Y42"/>
    <mergeCell ref="A8:AD39"/>
    <mergeCell ref="A40:B40"/>
    <mergeCell ref="C40:F40"/>
    <mergeCell ref="G40:O40"/>
    <mergeCell ref="P40:T40"/>
    <mergeCell ref="U40:Y40"/>
    <mergeCell ref="Z40:AD4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fitToWidth="3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F5E4-80C3-4272-A4F5-1634B19730E1}">
  <sheetPr>
    <tabColor rgb="FF8DC63F"/>
  </sheetPr>
  <dimension ref="A1:I32"/>
  <sheetViews>
    <sheetView zoomScale="115" zoomScaleNormal="115" workbookViewId="0">
      <selection activeCell="E15" sqref="E15:G15"/>
    </sheetView>
  </sheetViews>
  <sheetFormatPr defaultRowHeight="12.75" x14ac:dyDescent="0.2"/>
  <cols>
    <col min="1" max="1" width="4.28515625" customWidth="1"/>
    <col min="6" max="6" width="9.140625" customWidth="1"/>
    <col min="9" max="9" width="4.28515625" customWidth="1"/>
  </cols>
  <sheetData>
    <row r="1" spans="1:9" ht="18" x14ac:dyDescent="0.25">
      <c r="A1" s="146"/>
      <c r="B1" s="206" t="s">
        <v>11</v>
      </c>
      <c r="C1" s="206"/>
      <c r="D1" s="206"/>
      <c r="E1" s="206"/>
      <c r="F1" s="206"/>
      <c r="G1" s="206"/>
      <c r="H1" s="206"/>
      <c r="I1" s="147"/>
    </row>
    <row r="2" spans="1:9" x14ac:dyDescent="0.2">
      <c r="A2" s="148"/>
      <c r="I2" s="149"/>
    </row>
    <row r="3" spans="1:9" x14ac:dyDescent="0.2">
      <c r="A3" s="148"/>
      <c r="B3" s="137" t="s">
        <v>12</v>
      </c>
      <c r="C3" s="138"/>
      <c r="D3" s="139"/>
      <c r="E3" s="207"/>
      <c r="F3" s="208"/>
      <c r="G3" s="208"/>
      <c r="H3" s="209"/>
      <c r="I3" s="149"/>
    </row>
    <row r="4" spans="1:9" x14ac:dyDescent="0.2">
      <c r="A4" s="148"/>
      <c r="B4" s="137" t="s">
        <v>13</v>
      </c>
      <c r="C4" s="138"/>
      <c r="D4" s="139"/>
      <c r="E4" s="207"/>
      <c r="F4" s="208"/>
      <c r="G4" s="208"/>
      <c r="H4" s="209"/>
      <c r="I4" s="149"/>
    </row>
    <row r="5" spans="1:9" x14ac:dyDescent="0.2">
      <c r="A5" s="148"/>
      <c r="B5" s="137" t="s">
        <v>14</v>
      </c>
      <c r="C5" s="138"/>
      <c r="D5" s="139"/>
      <c r="E5" s="210"/>
      <c r="F5" s="211"/>
      <c r="G5" s="211"/>
      <c r="H5" s="212"/>
      <c r="I5" s="149"/>
    </row>
    <row r="6" spans="1:9" x14ac:dyDescent="0.2">
      <c r="A6" s="148"/>
      <c r="I6" s="149"/>
    </row>
    <row r="7" spans="1:9" x14ac:dyDescent="0.2">
      <c r="A7" s="148"/>
      <c r="B7" s="214" t="s">
        <v>15</v>
      </c>
      <c r="C7" s="214"/>
      <c r="D7" s="214"/>
      <c r="E7" s="214"/>
      <c r="I7" s="149"/>
    </row>
    <row r="8" spans="1:9" x14ac:dyDescent="0.2">
      <c r="A8" s="148"/>
      <c r="B8" s="213" t="s">
        <v>16</v>
      </c>
      <c r="C8" s="213"/>
      <c r="D8" s="213"/>
      <c r="E8" s="142" t="s">
        <v>17</v>
      </c>
      <c r="I8" s="149"/>
    </row>
    <row r="9" spans="1:9" x14ac:dyDescent="0.2">
      <c r="A9" s="148"/>
      <c r="B9" s="216" t="s">
        <v>18</v>
      </c>
      <c r="C9" s="217"/>
      <c r="D9" s="217"/>
      <c r="E9" s="140">
        <v>5220</v>
      </c>
      <c r="F9" s="136" t="s">
        <v>19</v>
      </c>
      <c r="I9" s="149"/>
    </row>
    <row r="10" spans="1:9" x14ac:dyDescent="0.2">
      <c r="A10" s="148"/>
      <c r="B10" s="216" t="s">
        <v>20</v>
      </c>
      <c r="C10" s="217"/>
      <c r="D10" s="217"/>
      <c r="E10" s="140">
        <v>212</v>
      </c>
      <c r="F10" s="136" t="str">
        <f>IF(E8="SI","m3/h","USgpm")</f>
        <v>m3/h</v>
      </c>
      <c r="I10" s="149"/>
    </row>
    <row r="11" spans="1:9" x14ac:dyDescent="0.2">
      <c r="A11" s="148"/>
      <c r="B11" s="216" t="s">
        <v>21</v>
      </c>
      <c r="C11" s="217"/>
      <c r="D11" s="217"/>
      <c r="E11" s="140">
        <v>2500</v>
      </c>
      <c r="F11" s="136" t="str">
        <f>IF(E8="SI","m","ft")</f>
        <v>m</v>
      </c>
      <c r="I11" s="149"/>
    </row>
    <row r="12" spans="1:9" x14ac:dyDescent="0.2">
      <c r="A12" s="148"/>
      <c r="B12" s="218" t="s">
        <v>22</v>
      </c>
      <c r="C12" s="219"/>
      <c r="D12" s="219"/>
      <c r="E12" s="141">
        <v>0.7</v>
      </c>
      <c r="F12" s="136"/>
      <c r="I12" s="149"/>
    </row>
    <row r="13" spans="1:9" x14ac:dyDescent="0.2">
      <c r="A13" s="148"/>
      <c r="B13" s="216" t="s">
        <v>23</v>
      </c>
      <c r="C13" s="217"/>
      <c r="D13" s="217"/>
      <c r="E13" s="140">
        <v>10</v>
      </c>
      <c r="F13" s="136"/>
      <c r="I13" s="149"/>
    </row>
    <row r="14" spans="1:9" x14ac:dyDescent="0.2">
      <c r="A14" s="148"/>
      <c r="I14" s="149"/>
    </row>
    <row r="15" spans="1:9" x14ac:dyDescent="0.2">
      <c r="A15" s="148"/>
      <c r="B15" s="216" t="s">
        <v>24</v>
      </c>
      <c r="C15" s="217"/>
      <c r="D15" s="217"/>
      <c r="E15" s="220" t="s">
        <v>25</v>
      </c>
      <c r="F15" s="220"/>
      <c r="G15" s="220"/>
      <c r="I15" s="149"/>
    </row>
    <row r="16" spans="1:9" x14ac:dyDescent="0.2">
      <c r="A16" s="148"/>
      <c r="I16" s="149"/>
    </row>
    <row r="17" spans="1:9" x14ac:dyDescent="0.2">
      <c r="A17" s="148"/>
      <c r="B17" s="216" t="s">
        <v>26</v>
      </c>
      <c r="C17" s="217"/>
      <c r="D17" s="217"/>
      <c r="E17" s="220" t="s">
        <v>27</v>
      </c>
      <c r="F17" s="220"/>
      <c r="G17" s="220"/>
      <c r="I17" s="149"/>
    </row>
    <row r="18" spans="1:9" x14ac:dyDescent="0.2">
      <c r="A18" s="148"/>
      <c r="I18" s="149"/>
    </row>
    <row r="19" spans="1:9" x14ac:dyDescent="0.2">
      <c r="A19" s="148"/>
      <c r="I19" s="149"/>
    </row>
    <row r="20" spans="1:9" x14ac:dyDescent="0.2">
      <c r="A20" s="148"/>
      <c r="B20" s="214" t="s">
        <v>28</v>
      </c>
      <c r="C20" s="214"/>
      <c r="D20" s="214"/>
      <c r="E20" s="214"/>
      <c r="F20" s="214"/>
      <c r="G20" s="214"/>
      <c r="I20" s="149"/>
    </row>
    <row r="21" spans="1:9" x14ac:dyDescent="0.2">
      <c r="A21" s="148"/>
      <c r="B21" s="204" t="s">
        <v>29</v>
      </c>
      <c r="C21" s="204"/>
      <c r="D21" s="204"/>
      <c r="E21" s="204"/>
      <c r="F21" s="204"/>
      <c r="G21" s="143">
        <f>IF(E8="SI",E9*(E10/3600)^0.5/(E11/E13)^0.75,E9*E10^0.5/(E11/E13)^0.75)</f>
        <v>20.148010874090112</v>
      </c>
      <c r="H21" t="str">
        <f>IF(E8="SI","rpm,m3/s,m","US units")</f>
        <v>rpm,m3/s,m</v>
      </c>
      <c r="I21" s="149"/>
    </row>
    <row r="22" spans="1:9" x14ac:dyDescent="0.2">
      <c r="A22" s="148"/>
      <c r="B22" s="148"/>
      <c r="G22" s="149"/>
      <c r="I22" s="149"/>
    </row>
    <row r="23" spans="1:9" x14ac:dyDescent="0.2">
      <c r="A23" s="148"/>
      <c r="B23" s="215" t="s">
        <v>30</v>
      </c>
      <c r="C23" s="215"/>
      <c r="D23" s="215"/>
      <c r="E23" s="215"/>
      <c r="F23" s="215"/>
      <c r="G23" s="144">
        <f>supporting_data!AA36</f>
        <v>3.296782576340887E-2</v>
      </c>
      <c r="I23" s="149"/>
    </row>
    <row r="24" spans="1:9" x14ac:dyDescent="0.2">
      <c r="A24" s="148"/>
      <c r="B24" s="148"/>
      <c r="G24" s="149"/>
      <c r="I24" s="149"/>
    </row>
    <row r="25" spans="1:9" x14ac:dyDescent="0.2">
      <c r="A25" s="148"/>
      <c r="B25" s="215" t="s">
        <v>31</v>
      </c>
      <c r="C25" s="215"/>
      <c r="D25" s="215"/>
      <c r="E25" s="215"/>
      <c r="F25" s="215"/>
      <c r="G25" s="145">
        <f>E12+G23</f>
        <v>0.7329678257634088</v>
      </c>
      <c r="I25" s="149"/>
    </row>
    <row r="26" spans="1:9" x14ac:dyDescent="0.2">
      <c r="A26" s="148"/>
      <c r="I26" s="149"/>
    </row>
    <row r="27" spans="1:9" x14ac:dyDescent="0.2">
      <c r="A27" s="148"/>
      <c r="I27" s="149"/>
    </row>
    <row r="28" spans="1:9" ht="12.75" customHeight="1" x14ac:dyDescent="0.2">
      <c r="A28" s="204" t="s">
        <v>32</v>
      </c>
      <c r="B28" s="204"/>
      <c r="C28" s="204"/>
      <c r="D28" s="204"/>
      <c r="E28" s="204"/>
      <c r="F28" s="204"/>
      <c r="G28" s="204"/>
      <c r="H28" s="204"/>
      <c r="I28" s="204"/>
    </row>
    <row r="29" spans="1:9" x14ac:dyDescent="0.2">
      <c r="A29" s="205" t="s">
        <v>33</v>
      </c>
      <c r="B29" s="205"/>
      <c r="C29" s="205"/>
      <c r="D29" s="205"/>
      <c r="E29" s="205"/>
      <c r="F29" s="205"/>
      <c r="G29" s="205"/>
      <c r="H29" s="205"/>
      <c r="I29" s="205"/>
    </row>
    <row r="30" spans="1:9" x14ac:dyDescent="0.2">
      <c r="A30" s="205"/>
      <c r="B30" s="205"/>
      <c r="C30" s="205"/>
      <c r="D30" s="205"/>
      <c r="E30" s="205"/>
      <c r="F30" s="205"/>
      <c r="G30" s="205"/>
      <c r="H30" s="205"/>
      <c r="I30" s="205"/>
    </row>
    <row r="31" spans="1:9" x14ac:dyDescent="0.2">
      <c r="A31" s="205"/>
      <c r="B31" s="205"/>
      <c r="C31" s="205"/>
      <c r="D31" s="205"/>
      <c r="E31" s="205"/>
      <c r="F31" s="205"/>
      <c r="G31" s="205"/>
      <c r="H31" s="205"/>
      <c r="I31" s="205"/>
    </row>
    <row r="32" spans="1:9" x14ac:dyDescent="0.2">
      <c r="A32" s="205"/>
      <c r="B32" s="205"/>
      <c r="C32" s="205"/>
      <c r="D32" s="205"/>
      <c r="E32" s="205"/>
      <c r="F32" s="205"/>
      <c r="G32" s="205"/>
      <c r="H32" s="205"/>
      <c r="I32" s="205"/>
    </row>
  </sheetData>
  <mergeCells count="21">
    <mergeCell ref="B15:D15"/>
    <mergeCell ref="E15:G15"/>
    <mergeCell ref="B17:D17"/>
    <mergeCell ref="E17:G17"/>
    <mergeCell ref="B23:F23"/>
    <mergeCell ref="A28:I28"/>
    <mergeCell ref="A29:I32"/>
    <mergeCell ref="B1:H1"/>
    <mergeCell ref="E3:H3"/>
    <mergeCell ref="E4:H4"/>
    <mergeCell ref="E5:H5"/>
    <mergeCell ref="B8:D8"/>
    <mergeCell ref="B7:E7"/>
    <mergeCell ref="B25:F25"/>
    <mergeCell ref="B21:F21"/>
    <mergeCell ref="B9:D9"/>
    <mergeCell ref="B10:D10"/>
    <mergeCell ref="B11:D11"/>
    <mergeCell ref="B12:D12"/>
    <mergeCell ref="B13:D13"/>
    <mergeCell ref="B20:G20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9ECE7FF-F3F2-4CC7-97EE-5C89A312A45A}">
          <x14:formula1>
            <xm:f>supporting_data!$O$31:$O$34</xm:f>
          </x14:formula1>
          <xm:sqref>E15 E17</xm:sqref>
        </x14:dataValidation>
        <x14:dataValidation type="list" allowBlank="1" showInputMessage="1" showErrorMessage="1" xr:uid="{607378A4-DC90-42E3-9764-1738FA6CC8A1}">
          <x14:formula1>
            <xm:f>supporting_data!$O$70:$O$71</xm:f>
          </x14:formula1>
          <xm:sqref>E8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12B4-3E28-44FA-BA15-5118B8709646}">
  <sheetPr codeName="Foglio31"/>
  <dimension ref="A1:CW73"/>
  <sheetViews>
    <sheetView zoomScaleNormal="100" workbookViewId="0">
      <selection activeCell="P36" sqref="P36"/>
    </sheetView>
  </sheetViews>
  <sheetFormatPr defaultColWidth="9.140625" defaultRowHeight="15.75" customHeight="1" x14ac:dyDescent="0.2"/>
  <cols>
    <col min="1" max="1" width="13.5703125" style="1" customWidth="1"/>
    <col min="2" max="3" width="9.28515625" style="1" bestFit="1" customWidth="1"/>
    <col min="4" max="4" width="10" style="1" bestFit="1" customWidth="1"/>
    <col min="5" max="6" width="9.28515625" style="1" bestFit="1" customWidth="1"/>
    <col min="7" max="7" width="10.28515625" style="1" bestFit="1" customWidth="1"/>
    <col min="8" max="8" width="14.140625" style="1" bestFit="1" customWidth="1"/>
    <col min="9" max="9" width="9.28515625" style="1" bestFit="1" customWidth="1"/>
    <col min="10" max="10" width="10.140625" style="1" bestFit="1" customWidth="1"/>
    <col min="11" max="11" width="10.42578125" style="1" bestFit="1" customWidth="1"/>
    <col min="12" max="12" width="9.28515625" style="1" bestFit="1" customWidth="1"/>
    <col min="13" max="13" width="3.7109375" style="1" customWidth="1"/>
    <col min="14" max="14" width="9.7109375" style="1" customWidth="1"/>
    <col min="15" max="15" width="14.7109375" style="1" customWidth="1"/>
    <col min="16" max="101" width="9.7109375" style="1" customWidth="1"/>
    <col min="102" max="16384" width="9.140625" style="1"/>
  </cols>
  <sheetData>
    <row r="1" spans="1:101" ht="15.75" customHeight="1" x14ac:dyDescent="0.2"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</row>
    <row r="2" spans="1:101" ht="15.75" customHeight="1" thickBot="1" x14ac:dyDescent="0.25">
      <c r="B2" s="3"/>
      <c r="C2" s="3"/>
      <c r="N2" s="2"/>
      <c r="O2" s="4" t="s">
        <v>34</v>
      </c>
      <c r="P2" s="2"/>
      <c r="Q2" s="2"/>
      <c r="R2" s="2"/>
      <c r="S2" s="2"/>
      <c r="T2" s="2"/>
      <c r="U2" s="2"/>
      <c r="V2" s="2"/>
      <c r="W2" s="4" t="s">
        <v>35</v>
      </c>
      <c r="X2" s="2"/>
      <c r="Y2" s="2"/>
      <c r="Z2" s="2"/>
      <c r="AA2" s="2"/>
      <c r="AB2" s="2"/>
      <c r="AC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</row>
    <row r="3" spans="1:101" ht="15.75" customHeight="1" thickBot="1" x14ac:dyDescent="0.25">
      <c r="B3" s="5" t="s">
        <v>36</v>
      </c>
      <c r="C3" s="6"/>
      <c r="D3" s="6"/>
      <c r="E3" s="6"/>
      <c r="F3" s="6"/>
      <c r="G3" s="7"/>
      <c r="H3" s="8" t="s">
        <v>37</v>
      </c>
      <c r="I3" s="9"/>
      <c r="J3" s="10" t="s">
        <v>38</v>
      </c>
      <c r="K3" s="11"/>
      <c r="L3" s="12"/>
      <c r="N3" s="2"/>
      <c r="O3" s="13" t="s">
        <v>39</v>
      </c>
      <c r="P3" s="14"/>
      <c r="Q3" s="14"/>
      <c r="R3" s="14"/>
      <c r="S3" s="14"/>
      <c r="T3" s="14"/>
      <c r="U3" s="15"/>
      <c r="V3" s="2"/>
      <c r="W3" s="16" t="s">
        <v>40</v>
      </c>
      <c r="X3" s="14"/>
      <c r="Y3" s="14"/>
      <c r="Z3" s="14"/>
      <c r="AA3" s="14"/>
      <c r="AB3" s="14"/>
      <c r="AC3" s="14"/>
      <c r="AD3" s="17" t="s">
        <v>41</v>
      </c>
      <c r="AE3" s="14"/>
      <c r="AF3" s="14"/>
      <c r="AG3" s="14"/>
      <c r="AH3" s="14"/>
      <c r="AI3" s="14"/>
      <c r="AJ3" s="1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</row>
    <row r="4" spans="1:101" ht="15.75" customHeight="1" thickBot="1" x14ac:dyDescent="0.25">
      <c r="B4" s="18"/>
      <c r="G4" s="19" t="s">
        <v>42</v>
      </c>
      <c r="H4" s="20"/>
      <c r="I4" s="21"/>
      <c r="J4" s="22" t="s">
        <v>43</v>
      </c>
      <c r="K4" s="23"/>
      <c r="L4" s="24" t="e">
        <f>(9.9994/10)*L3^(-0.011574)</f>
        <v>#DIV/0!</v>
      </c>
      <c r="M4" s="25"/>
      <c r="N4" s="2"/>
      <c r="O4" s="26" t="s">
        <v>44</v>
      </c>
      <c r="P4" s="2"/>
      <c r="Q4" s="2"/>
      <c r="R4" s="2"/>
      <c r="S4" s="2"/>
      <c r="T4" s="2"/>
      <c r="U4" s="27"/>
      <c r="V4" s="2"/>
      <c r="W4" s="28" t="s">
        <v>45</v>
      </c>
      <c r="X4" s="2"/>
      <c r="Y4" s="2"/>
      <c r="Z4" s="2"/>
      <c r="AA4" s="2"/>
      <c r="AB4" s="2"/>
      <c r="AC4" s="2"/>
      <c r="AD4" s="29" t="s">
        <v>46</v>
      </c>
      <c r="AE4" s="30" t="s">
        <v>47</v>
      </c>
      <c r="AF4" s="30" t="s">
        <v>48</v>
      </c>
      <c r="AG4" s="30" t="s">
        <v>49</v>
      </c>
      <c r="AH4" s="30" t="s">
        <v>50</v>
      </c>
      <c r="AI4" s="30" t="s">
        <v>51</v>
      </c>
      <c r="AJ4" s="31" t="s">
        <v>52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</row>
    <row r="5" spans="1:101" ht="15.75" customHeight="1" thickBot="1" x14ac:dyDescent="0.25">
      <c r="B5" s="32" t="s">
        <v>53</v>
      </c>
      <c r="E5" s="33"/>
      <c r="G5" s="19" t="s">
        <v>54</v>
      </c>
      <c r="H5" s="20"/>
      <c r="I5" s="34"/>
      <c r="J5" s="35"/>
      <c r="K5" s="36"/>
      <c r="L5" s="37"/>
      <c r="M5" s="33"/>
      <c r="N5" s="2"/>
      <c r="O5" s="26" t="s">
        <v>55</v>
      </c>
      <c r="P5" s="2" t="s">
        <v>56</v>
      </c>
      <c r="Q5" s="2" t="s">
        <v>57</v>
      </c>
      <c r="R5" s="2"/>
      <c r="S5" s="2"/>
      <c r="T5" s="2"/>
      <c r="U5" s="27"/>
      <c r="V5" s="2"/>
      <c r="W5" s="26" t="s">
        <v>55</v>
      </c>
      <c r="X5" s="2" t="s">
        <v>56</v>
      </c>
      <c r="Y5" s="2" t="s">
        <v>57</v>
      </c>
      <c r="Z5" s="2"/>
      <c r="AA5" s="2"/>
      <c r="AB5" s="2"/>
      <c r="AC5" s="2"/>
      <c r="AD5" s="38" t="s">
        <v>58</v>
      </c>
      <c r="AE5" s="39" t="s">
        <v>59</v>
      </c>
      <c r="AF5" s="39" t="s">
        <v>60</v>
      </c>
      <c r="AG5" s="39" t="s">
        <v>61</v>
      </c>
      <c r="AH5" s="39" t="s">
        <v>62</v>
      </c>
      <c r="AI5" s="39" t="s">
        <v>19</v>
      </c>
      <c r="AJ5" s="40" t="s">
        <v>63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</row>
    <row r="6" spans="1:101" ht="15.75" customHeight="1" thickBot="1" x14ac:dyDescent="0.25">
      <c r="B6" s="41" t="s">
        <v>64</v>
      </c>
      <c r="E6" s="42"/>
      <c r="G6" s="19" t="s">
        <v>65</v>
      </c>
      <c r="H6" s="20" t="e">
        <f>+H5*(L4-1)</f>
        <v>#DIV/0!</v>
      </c>
      <c r="I6" s="43"/>
      <c r="J6" s="44"/>
      <c r="K6" s="45"/>
      <c r="L6" s="46"/>
      <c r="M6" s="42"/>
      <c r="N6" s="2"/>
      <c r="O6" s="26">
        <v>32</v>
      </c>
      <c r="P6" s="2">
        <v>2950</v>
      </c>
      <c r="Q6" s="2">
        <v>567</v>
      </c>
      <c r="R6" s="2"/>
      <c r="S6" s="2"/>
      <c r="T6" s="2"/>
      <c r="U6" s="27"/>
      <c r="V6" s="2"/>
      <c r="W6" s="47">
        <v>27.8</v>
      </c>
      <c r="X6" s="48">
        <v>3582</v>
      </c>
      <c r="Y6" s="2">
        <v>275</v>
      </c>
      <c r="Z6" s="2"/>
      <c r="AA6" s="2"/>
      <c r="AB6" s="2"/>
      <c r="AC6" s="2"/>
      <c r="AD6" s="49" t="s">
        <v>66</v>
      </c>
      <c r="AE6" s="50">
        <v>312.10000000000002</v>
      </c>
      <c r="AF6" s="50">
        <v>1229.7</v>
      </c>
      <c r="AG6" s="50">
        <v>78</v>
      </c>
      <c r="AH6" s="50">
        <v>1372.2</v>
      </c>
      <c r="AI6" s="50">
        <v>3582</v>
      </c>
      <c r="AJ6" s="51">
        <v>1.0249999999999999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</row>
    <row r="7" spans="1:101" ht="15.75" customHeight="1" thickBot="1" x14ac:dyDescent="0.25">
      <c r="B7" s="52" t="s">
        <v>67</v>
      </c>
      <c r="C7" s="53"/>
      <c r="D7" s="53"/>
      <c r="E7" s="53"/>
      <c r="F7" s="53"/>
      <c r="G7" s="54" t="s">
        <v>68</v>
      </c>
      <c r="H7" s="55" t="e">
        <f>+H6/H4^2</f>
        <v>#DIV/0!</v>
      </c>
      <c r="I7" s="43"/>
      <c r="J7" s="44"/>
      <c r="K7" s="45"/>
      <c r="L7" s="56"/>
      <c r="M7" s="57"/>
      <c r="N7" s="2"/>
      <c r="O7" s="26" t="s">
        <v>69</v>
      </c>
      <c r="P7" s="2" t="s">
        <v>70</v>
      </c>
      <c r="Q7" s="2" t="s">
        <v>71</v>
      </c>
      <c r="R7" s="2"/>
      <c r="S7" s="2"/>
      <c r="T7" s="2"/>
      <c r="U7" s="27"/>
      <c r="V7" s="2"/>
      <c r="W7" s="26" t="s">
        <v>69</v>
      </c>
      <c r="X7" s="2" t="s">
        <v>70</v>
      </c>
      <c r="Y7" s="4" t="s">
        <v>72</v>
      </c>
      <c r="Z7" s="4" t="s">
        <v>73</v>
      </c>
      <c r="AA7" s="2"/>
      <c r="AB7" s="4" t="s">
        <v>74</v>
      </c>
      <c r="AC7" s="2"/>
      <c r="AD7" s="49" t="s">
        <v>75</v>
      </c>
      <c r="AE7" s="50">
        <v>313</v>
      </c>
      <c r="AF7" s="50">
        <v>1252.5999999999999</v>
      </c>
      <c r="AG7" s="50">
        <v>80.3</v>
      </c>
      <c r="AH7" s="50">
        <v>1362.2</v>
      </c>
      <c r="AI7" s="50">
        <v>3582</v>
      </c>
      <c r="AJ7" s="51">
        <v>1.0249999999999999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</row>
    <row r="8" spans="1:101" ht="15.75" customHeight="1" thickBot="1" x14ac:dyDescent="0.25">
      <c r="B8" s="58"/>
      <c r="C8" s="59"/>
      <c r="D8" s="59"/>
      <c r="E8" s="60"/>
      <c r="F8" s="61"/>
      <c r="G8" s="61"/>
      <c r="H8" s="62"/>
      <c r="I8" s="59"/>
      <c r="J8" s="59"/>
      <c r="K8" s="63"/>
      <c r="L8" s="64"/>
      <c r="M8" s="25"/>
      <c r="N8" s="2"/>
      <c r="O8" s="26">
        <v>0.5</v>
      </c>
      <c r="P8" s="65">
        <f>87.3/86.6</f>
        <v>1.0080831408775981</v>
      </c>
      <c r="Q8" s="65">
        <f>390/387.4</f>
        <v>1.0067114093959733</v>
      </c>
      <c r="R8" s="2"/>
      <c r="S8" s="2"/>
      <c r="T8" s="2"/>
      <c r="U8" s="27"/>
      <c r="V8" s="2"/>
      <c r="W8" s="66">
        <v>0.5</v>
      </c>
      <c r="Z8" s="2"/>
      <c r="AA8" s="2"/>
      <c r="AB8" s="4"/>
      <c r="AC8" s="2"/>
      <c r="AD8" s="67" t="s">
        <v>76</v>
      </c>
      <c r="AE8" s="50">
        <v>0.9</v>
      </c>
      <c r="AF8" s="50">
        <v>22.8</v>
      </c>
      <c r="AG8" s="50">
        <v>2.2999999999999998</v>
      </c>
      <c r="AH8" s="50">
        <v>-10</v>
      </c>
      <c r="AI8" s="50" t="s">
        <v>77</v>
      </c>
      <c r="AJ8" s="51" t="s">
        <v>77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</row>
    <row r="9" spans="1:101" ht="15.75" customHeight="1" thickBot="1" x14ac:dyDescent="0.25">
      <c r="B9" s="18"/>
      <c r="E9" s="1" t="s">
        <v>78</v>
      </c>
      <c r="F9" s="1" t="s">
        <v>79</v>
      </c>
      <c r="G9" s="1" t="s">
        <v>80</v>
      </c>
      <c r="L9" s="68"/>
      <c r="N9" s="2"/>
      <c r="O9" s="26">
        <v>0.66</v>
      </c>
      <c r="P9" s="65">
        <f>87/86.6</f>
        <v>1.004618937644342</v>
      </c>
      <c r="Q9" s="65">
        <f>388.7/387.4</f>
        <v>1.0033557046979866</v>
      </c>
      <c r="R9" s="2"/>
      <c r="S9" s="2"/>
      <c r="T9" s="2"/>
      <c r="U9" s="27"/>
      <c r="V9" s="2"/>
      <c r="W9" s="26">
        <v>0.6</v>
      </c>
      <c r="X9" s="69">
        <f>AG7/AG6</f>
        <v>1.0294871794871794</v>
      </c>
      <c r="Y9" s="69">
        <f>AF7/AF6</f>
        <v>1.0186224282345286</v>
      </c>
      <c r="Z9" s="69">
        <f>AE7/AE6</f>
        <v>1.0028836911246395</v>
      </c>
      <c r="AA9" s="2"/>
      <c r="AB9" s="70">
        <v>2.3699999999999999E-2</v>
      </c>
      <c r="AC9" s="2"/>
      <c r="AD9" s="4" t="s">
        <v>81</v>
      </c>
      <c r="AJ9" s="71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</row>
    <row r="10" spans="1:101" ht="15.75" customHeight="1" thickBot="1" x14ac:dyDescent="0.25">
      <c r="A10" s="72"/>
      <c r="B10" s="18"/>
      <c r="C10" s="73" t="s">
        <v>82</v>
      </c>
      <c r="D10" s="74"/>
      <c r="E10" s="75"/>
      <c r="F10" s="76"/>
      <c r="G10" s="76"/>
      <c r="H10" s="77" t="s">
        <v>83</v>
      </c>
      <c r="I10" s="78"/>
      <c r="J10" s="78"/>
      <c r="K10" s="78"/>
      <c r="L10" s="68"/>
      <c r="N10" s="2"/>
      <c r="O10" s="26">
        <v>1</v>
      </c>
      <c r="P10" s="65">
        <v>1</v>
      </c>
      <c r="Q10" s="65">
        <f>387.4/387.4</f>
        <v>1</v>
      </c>
      <c r="R10" s="2"/>
      <c r="S10" s="2"/>
      <c r="T10" s="2"/>
      <c r="U10" s="27"/>
      <c r="V10" s="2"/>
      <c r="W10" s="26">
        <v>1</v>
      </c>
      <c r="X10" s="69">
        <v>1</v>
      </c>
      <c r="Y10" s="69">
        <v>1</v>
      </c>
      <c r="Z10" s="69">
        <v>1</v>
      </c>
      <c r="AA10" s="2"/>
      <c r="AB10" s="2"/>
      <c r="AC10" s="2"/>
      <c r="AD10" s="79" t="s">
        <v>84</v>
      </c>
      <c r="AE10" s="30" t="s">
        <v>47</v>
      </c>
      <c r="AF10" s="30" t="s">
        <v>48</v>
      </c>
      <c r="AG10" s="30" t="s">
        <v>49</v>
      </c>
      <c r="AH10" s="30" t="s">
        <v>50</v>
      </c>
      <c r="AI10" s="30" t="s">
        <v>51</v>
      </c>
      <c r="AJ10" s="31" t="s">
        <v>52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</row>
    <row r="11" spans="1:101" ht="15.75" customHeight="1" thickBot="1" x14ac:dyDescent="0.25">
      <c r="A11" s="72"/>
      <c r="B11" s="80"/>
      <c r="C11" s="25" t="s">
        <v>85</v>
      </c>
      <c r="D11" s="25" t="s">
        <v>86</v>
      </c>
      <c r="E11" s="81" t="s">
        <v>87</v>
      </c>
      <c r="F11" s="25" t="s">
        <v>88</v>
      </c>
      <c r="G11" s="3"/>
      <c r="H11" s="3"/>
      <c r="J11" s="25" t="s">
        <v>89</v>
      </c>
      <c r="K11" s="82"/>
      <c r="L11" s="68"/>
      <c r="N11" s="2"/>
      <c r="O11" s="26">
        <v>2</v>
      </c>
      <c r="P11" s="2"/>
      <c r="Q11" s="2"/>
      <c r="R11" s="2"/>
      <c r="S11" s="2"/>
      <c r="T11" s="2"/>
      <c r="U11" s="27"/>
      <c r="V11" s="2"/>
      <c r="W11" s="26">
        <v>2</v>
      </c>
      <c r="X11" s="2"/>
      <c r="Y11" s="2"/>
      <c r="Z11" s="2"/>
      <c r="AA11" s="2"/>
      <c r="AB11" s="2"/>
      <c r="AC11" s="2"/>
      <c r="AD11" s="83" t="s">
        <v>90</v>
      </c>
      <c r="AE11" s="39" t="s">
        <v>59</v>
      </c>
      <c r="AF11" s="39" t="s">
        <v>60</v>
      </c>
      <c r="AG11" s="39" t="s">
        <v>61</v>
      </c>
      <c r="AH11" s="39" t="s">
        <v>62</v>
      </c>
      <c r="AI11" s="39" t="s">
        <v>19</v>
      </c>
      <c r="AJ11" s="40" t="s">
        <v>63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</row>
    <row r="12" spans="1:101" ht="15.75" customHeight="1" thickBot="1" x14ac:dyDescent="0.25">
      <c r="A12" s="84"/>
      <c r="B12" s="18"/>
      <c r="C12" s="85"/>
      <c r="D12" s="85"/>
      <c r="E12" s="85"/>
      <c r="F12" s="85" t="e">
        <f>1000*9.80665/3600*C12*D12/E12/10</f>
        <v>#DIV/0!</v>
      </c>
      <c r="G12" s="3"/>
      <c r="H12" s="3"/>
      <c r="I12" s="86"/>
      <c r="J12" s="87"/>
      <c r="K12" s="88"/>
      <c r="L12" s="89"/>
      <c r="O12" s="66"/>
      <c r="U12" s="71"/>
      <c r="W12" s="28" t="s">
        <v>91</v>
      </c>
      <c r="X12" s="2"/>
      <c r="Y12" s="2"/>
      <c r="AD12" s="49" t="s">
        <v>92</v>
      </c>
      <c r="AE12" s="50">
        <v>334</v>
      </c>
      <c r="AF12" s="50">
        <v>618.20000000000005</v>
      </c>
      <c r="AG12" s="50">
        <v>80.400000000000006</v>
      </c>
      <c r="AH12" s="50">
        <v>699.5</v>
      </c>
      <c r="AI12" s="50">
        <v>2970</v>
      </c>
      <c r="AJ12" s="51">
        <v>1</v>
      </c>
    </row>
    <row r="13" spans="1:101" ht="15.75" customHeight="1" thickBot="1" x14ac:dyDescent="0.25">
      <c r="A13" s="84"/>
      <c r="B13" s="18"/>
      <c r="C13" s="85"/>
      <c r="D13" s="85"/>
      <c r="E13" s="85"/>
      <c r="F13" s="85" t="e">
        <f t="shared" ref="F13:F19" si="0">1000*9.80665/3600*C13*D13/E13/10</f>
        <v>#DIV/0!</v>
      </c>
      <c r="G13" s="90" t="s">
        <v>85</v>
      </c>
      <c r="H13" s="91" t="s">
        <v>93</v>
      </c>
      <c r="I13" s="86"/>
      <c r="J13" s="82"/>
      <c r="K13" s="88"/>
      <c r="L13" s="89"/>
      <c r="O13" s="66"/>
      <c r="U13" s="71"/>
      <c r="W13" s="26" t="s">
        <v>55</v>
      </c>
      <c r="X13" s="2" t="s">
        <v>56</v>
      </c>
      <c r="Y13" s="2" t="s">
        <v>57</v>
      </c>
      <c r="AD13" s="49" t="s">
        <v>94</v>
      </c>
      <c r="AE13" s="50">
        <v>336</v>
      </c>
      <c r="AF13" s="50">
        <v>624</v>
      </c>
      <c r="AG13" s="50">
        <v>82.1</v>
      </c>
      <c r="AH13" s="50">
        <v>695.8</v>
      </c>
      <c r="AI13" s="50">
        <v>2970</v>
      </c>
      <c r="AJ13" s="51">
        <v>1</v>
      </c>
    </row>
    <row r="14" spans="1:101" ht="15.75" customHeight="1" thickBot="1" x14ac:dyDescent="0.25">
      <c r="A14" s="84"/>
      <c r="B14" s="18"/>
      <c r="C14" s="85"/>
      <c r="D14" s="85"/>
      <c r="E14" s="85"/>
      <c r="F14" s="85" t="e">
        <f t="shared" si="0"/>
        <v>#DIV/0!</v>
      </c>
      <c r="G14" s="85"/>
      <c r="H14" s="85"/>
      <c r="I14" s="86"/>
      <c r="J14" s="82"/>
      <c r="K14" s="88"/>
      <c r="L14" s="89"/>
      <c r="O14" s="66"/>
      <c r="U14" s="71"/>
      <c r="W14" s="47">
        <v>32</v>
      </c>
      <c r="X14" s="2">
        <v>2970</v>
      </c>
      <c r="Y14" s="2">
        <v>275</v>
      </c>
      <c r="AD14" s="67" t="s">
        <v>76</v>
      </c>
      <c r="AE14" s="50">
        <v>2</v>
      </c>
      <c r="AF14" s="50">
        <v>5.8</v>
      </c>
      <c r="AG14" s="50">
        <v>1.7</v>
      </c>
      <c r="AH14" s="50">
        <v>-3.7</v>
      </c>
      <c r="AI14" s="50" t="s">
        <v>77</v>
      </c>
      <c r="AJ14" s="51" t="s">
        <v>77</v>
      </c>
    </row>
    <row r="15" spans="1:101" ht="12.75" x14ac:dyDescent="0.2">
      <c r="A15" s="84"/>
      <c r="B15" s="18"/>
      <c r="C15" s="85"/>
      <c r="D15" s="85"/>
      <c r="E15" s="85"/>
      <c r="F15" s="85" t="e">
        <f t="shared" si="0"/>
        <v>#DIV/0!</v>
      </c>
      <c r="G15" s="85"/>
      <c r="H15" s="85"/>
      <c r="I15" s="86"/>
      <c r="J15" s="82"/>
      <c r="K15" s="88"/>
      <c r="L15" s="89"/>
      <c r="O15" s="66"/>
      <c r="U15" s="71"/>
      <c r="W15" s="26" t="s">
        <v>69</v>
      </c>
      <c r="X15" s="2" t="s">
        <v>70</v>
      </c>
      <c r="Y15" s="4" t="s">
        <v>72</v>
      </c>
      <c r="Z15" s="4" t="s">
        <v>73</v>
      </c>
      <c r="AB15" s="4" t="s">
        <v>74</v>
      </c>
      <c r="AJ15" s="71"/>
    </row>
    <row r="16" spans="1:101" ht="15.75" customHeight="1" thickBot="1" x14ac:dyDescent="0.25">
      <c r="A16" s="84"/>
      <c r="B16" s="18"/>
      <c r="C16" s="85"/>
      <c r="D16" s="85"/>
      <c r="E16" s="85"/>
      <c r="F16" s="85" t="e">
        <f t="shared" si="0"/>
        <v>#DIV/0!</v>
      </c>
      <c r="G16" s="85"/>
      <c r="H16" s="85"/>
      <c r="I16" s="86"/>
      <c r="J16" s="82"/>
      <c r="K16" s="88"/>
      <c r="L16" s="89"/>
      <c r="O16" s="66"/>
      <c r="U16" s="71"/>
      <c r="W16" s="66">
        <v>0.5</v>
      </c>
      <c r="AD16" s="17" t="s">
        <v>95</v>
      </c>
      <c r="AE16" s="14"/>
      <c r="AF16" s="14"/>
      <c r="AG16" s="14"/>
      <c r="AH16" s="14"/>
      <c r="AI16" s="14"/>
      <c r="AJ16" s="15"/>
    </row>
    <row r="17" spans="1:36" ht="15.75" customHeight="1" thickBot="1" x14ac:dyDescent="0.25">
      <c r="A17" s="84"/>
      <c r="B17" s="18"/>
      <c r="C17" s="85"/>
      <c r="D17" s="85"/>
      <c r="E17" s="85"/>
      <c r="F17" s="85" t="e">
        <f t="shared" si="0"/>
        <v>#DIV/0!</v>
      </c>
      <c r="G17" s="85"/>
      <c r="H17" s="85"/>
      <c r="I17" s="86"/>
      <c r="J17" s="82"/>
      <c r="K17" s="88"/>
      <c r="L17" s="89"/>
      <c r="O17" s="66"/>
      <c r="U17" s="71"/>
      <c r="W17" s="26">
        <v>0.6</v>
      </c>
      <c r="X17" s="69">
        <f>AG13/AG12</f>
        <v>1.0211442786069651</v>
      </c>
      <c r="Y17" s="69">
        <f>AF13/AF12</f>
        <v>1.0093820769977353</v>
      </c>
      <c r="Z17" s="69">
        <f>AE13/AE12</f>
        <v>1.0059880239520957</v>
      </c>
      <c r="AB17" s="70">
        <v>2.06E-2</v>
      </c>
      <c r="AD17" s="29" t="s">
        <v>96</v>
      </c>
      <c r="AE17" s="30" t="s">
        <v>47</v>
      </c>
      <c r="AF17" s="30" t="s">
        <v>48</v>
      </c>
      <c r="AG17" s="30" t="s">
        <v>49</v>
      </c>
      <c r="AH17" s="30" t="s">
        <v>50</v>
      </c>
      <c r="AI17" s="30" t="s">
        <v>51</v>
      </c>
      <c r="AJ17" s="31" t="s">
        <v>52</v>
      </c>
    </row>
    <row r="18" spans="1:36" ht="15.75" customHeight="1" thickBot="1" x14ac:dyDescent="0.25">
      <c r="A18" s="84"/>
      <c r="B18" s="18"/>
      <c r="C18" s="85"/>
      <c r="D18" s="85"/>
      <c r="E18" s="85"/>
      <c r="F18" s="85" t="e">
        <f t="shared" si="0"/>
        <v>#DIV/0!</v>
      </c>
      <c r="G18" s="85"/>
      <c r="H18" s="85"/>
      <c r="I18" s="86"/>
      <c r="J18" s="82"/>
      <c r="K18" s="88"/>
      <c r="L18" s="89"/>
      <c r="O18" s="66"/>
      <c r="U18" s="71"/>
      <c r="W18" s="26">
        <v>1</v>
      </c>
      <c r="X18" s="69">
        <v>1</v>
      </c>
      <c r="Y18" s="69">
        <v>1</v>
      </c>
      <c r="Z18" s="69">
        <v>1</v>
      </c>
      <c r="AD18" s="38" t="s">
        <v>90</v>
      </c>
      <c r="AE18" s="39" t="s">
        <v>59</v>
      </c>
      <c r="AF18" s="39" t="s">
        <v>60</v>
      </c>
      <c r="AG18" s="39" t="s">
        <v>61</v>
      </c>
      <c r="AH18" s="39" t="s">
        <v>62</v>
      </c>
      <c r="AI18" s="39" t="s">
        <v>19</v>
      </c>
      <c r="AJ18" s="40" t="s">
        <v>63</v>
      </c>
    </row>
    <row r="19" spans="1:36" ht="15.75" customHeight="1" thickBot="1" x14ac:dyDescent="0.25">
      <c r="A19" s="84"/>
      <c r="B19" s="18"/>
      <c r="C19" s="85"/>
      <c r="D19" s="85"/>
      <c r="E19" s="85"/>
      <c r="F19" s="85" t="e">
        <f t="shared" si="0"/>
        <v>#DIV/0!</v>
      </c>
      <c r="G19" s="85"/>
      <c r="H19" s="85"/>
      <c r="I19" s="86"/>
      <c r="J19" s="82"/>
      <c r="K19" s="88"/>
      <c r="L19" s="89"/>
      <c r="O19" s="66"/>
      <c r="U19" s="71"/>
      <c r="W19" s="26">
        <v>2</v>
      </c>
      <c r="X19" s="2"/>
      <c r="Y19" s="2"/>
      <c r="AD19" s="49" t="s">
        <v>97</v>
      </c>
      <c r="AE19" s="50">
        <v>804.9</v>
      </c>
      <c r="AF19" s="50">
        <v>1042.5</v>
      </c>
      <c r="AG19" s="50">
        <v>85.4</v>
      </c>
      <c r="AH19" s="50">
        <v>2674.4</v>
      </c>
      <c r="AI19" s="50">
        <v>3380</v>
      </c>
      <c r="AJ19" s="51">
        <v>0.999</v>
      </c>
    </row>
    <row r="20" spans="1:36" ht="15.75" customHeight="1" thickBot="1" x14ac:dyDescent="0.25">
      <c r="B20" s="18"/>
      <c r="C20" s="3"/>
      <c r="D20" s="3"/>
      <c r="E20" s="3"/>
      <c r="F20" s="3"/>
      <c r="G20" s="86"/>
      <c r="H20" s="3"/>
      <c r="J20" s="82"/>
      <c r="K20" s="92"/>
      <c r="L20" s="89"/>
      <c r="O20" s="66"/>
      <c r="U20" s="71"/>
      <c r="W20" s="28" t="s">
        <v>91</v>
      </c>
      <c r="X20" s="2"/>
      <c r="Y20" s="2"/>
      <c r="AB20" s="4" t="s">
        <v>74</v>
      </c>
      <c r="AD20" s="49" t="s">
        <v>98</v>
      </c>
      <c r="AE20" s="50">
        <v>813.8</v>
      </c>
      <c r="AF20" s="50">
        <v>1050.9000000000001</v>
      </c>
      <c r="AG20" s="50">
        <v>86.3</v>
      </c>
      <c r="AH20" s="50">
        <v>2699.5</v>
      </c>
      <c r="AI20" s="50">
        <v>3380</v>
      </c>
      <c r="AJ20" s="51">
        <v>0.999</v>
      </c>
    </row>
    <row r="21" spans="1:36" ht="15.75" customHeight="1" thickBot="1" x14ac:dyDescent="0.25">
      <c r="B21" s="18"/>
      <c r="C21" s="3"/>
      <c r="D21" s="3"/>
      <c r="E21" s="3"/>
      <c r="F21" s="3"/>
      <c r="G21" s="86"/>
      <c r="H21" s="3"/>
      <c r="J21" s="93"/>
      <c r="K21" s="93"/>
      <c r="L21" s="68"/>
      <c r="O21" s="66"/>
      <c r="U21" s="71"/>
      <c r="W21" s="26" t="s">
        <v>55</v>
      </c>
      <c r="X21" s="2" t="s">
        <v>56</v>
      </c>
      <c r="Y21" s="2" t="s">
        <v>57</v>
      </c>
      <c r="AD21" s="67" t="s">
        <v>76</v>
      </c>
      <c r="AE21" s="50">
        <v>8.9</v>
      </c>
      <c r="AF21" s="50">
        <v>8.3000000000000007</v>
      </c>
      <c r="AG21" s="50">
        <v>0.9</v>
      </c>
      <c r="AH21" s="50">
        <v>25</v>
      </c>
      <c r="AI21" s="50" t="s">
        <v>77</v>
      </c>
      <c r="AJ21" s="51" t="s">
        <v>77</v>
      </c>
    </row>
    <row r="22" spans="1:36" ht="15.75" customHeight="1" x14ac:dyDescent="0.2">
      <c r="B22" s="18"/>
      <c r="C22" s="3"/>
      <c r="D22" s="3"/>
      <c r="E22" s="1" t="s">
        <v>78</v>
      </c>
      <c r="F22" s="1" t="s">
        <v>79</v>
      </c>
      <c r="G22" s="1" t="s">
        <v>80</v>
      </c>
      <c r="H22" s="3"/>
      <c r="J22" s="93"/>
      <c r="K22" s="93"/>
      <c r="L22" s="68"/>
      <c r="O22" s="66"/>
      <c r="U22" s="71"/>
      <c r="W22" s="47">
        <v>38</v>
      </c>
      <c r="X22" s="2">
        <v>3380</v>
      </c>
      <c r="Y22" s="2">
        <v>325</v>
      </c>
      <c r="AJ22" s="71"/>
    </row>
    <row r="23" spans="1:36" ht="15.75" customHeight="1" x14ac:dyDescent="0.2">
      <c r="B23" s="18"/>
      <c r="C23" s="73" t="s">
        <v>82</v>
      </c>
      <c r="D23" s="74"/>
      <c r="E23" s="75"/>
      <c r="F23" s="76"/>
      <c r="G23" s="75"/>
      <c r="H23" s="77" t="s">
        <v>99</v>
      </c>
      <c r="I23" s="78"/>
      <c r="J23" s="94"/>
      <c r="K23" s="94"/>
      <c r="L23" s="68"/>
      <c r="O23" s="66"/>
      <c r="U23" s="71"/>
      <c r="W23" s="26" t="s">
        <v>69</v>
      </c>
      <c r="X23" s="2" t="s">
        <v>70</v>
      </c>
      <c r="Y23" s="2" t="s">
        <v>71</v>
      </c>
      <c r="AJ23" s="71"/>
    </row>
    <row r="24" spans="1:36" ht="15.75" customHeight="1" x14ac:dyDescent="0.2">
      <c r="B24" s="80"/>
      <c r="C24" s="81" t="str">
        <f>IF('[7]input-output'!$P$2="SI","Q [mc/h]","Q [USgpm]")</f>
        <v>Q [USgpm]</v>
      </c>
      <c r="D24" s="81" t="str">
        <f>IF('[7]input-output'!$P$2="SI","H [m]","H [ft]")</f>
        <v>H [ft]</v>
      </c>
      <c r="E24" s="81" t="s">
        <v>87</v>
      </c>
      <c r="F24" s="25" t="s">
        <v>88</v>
      </c>
      <c r="G24" s="95"/>
      <c r="H24" s="96"/>
      <c r="I24" s="97"/>
      <c r="J24" s="25" t="s">
        <v>89</v>
      </c>
      <c r="K24" s="98"/>
      <c r="L24" s="68"/>
      <c r="O24" s="66"/>
      <c r="U24" s="71"/>
      <c r="W24" s="66">
        <v>0.5</v>
      </c>
      <c r="AJ24" s="71"/>
    </row>
    <row r="25" spans="1:36" ht="15.75" customHeight="1" x14ac:dyDescent="0.2">
      <c r="A25" s="84"/>
      <c r="B25" s="99"/>
      <c r="C25" s="85"/>
      <c r="D25" s="85"/>
      <c r="E25" s="85"/>
      <c r="F25" s="85"/>
      <c r="G25" s="86"/>
      <c r="H25" s="100"/>
      <c r="J25" s="87"/>
      <c r="K25" s="88"/>
      <c r="L25" s="89"/>
      <c r="O25" s="66"/>
      <c r="U25" s="71"/>
      <c r="W25" s="26">
        <v>0.6</v>
      </c>
      <c r="X25" s="69">
        <f>AG20/AG19</f>
        <v>1.0105386416861826</v>
      </c>
      <c r="Y25" s="69">
        <f>AF20/AF19</f>
        <v>1.0080575539568346</v>
      </c>
      <c r="Z25" s="69">
        <f>AE20/AE19</f>
        <v>1.0110572741955521</v>
      </c>
      <c r="AB25" s="70">
        <v>1.72E-2</v>
      </c>
      <c r="AJ25" s="71"/>
    </row>
    <row r="26" spans="1:36" ht="15.75" customHeight="1" x14ac:dyDescent="0.2">
      <c r="A26" s="84"/>
      <c r="B26" s="99"/>
      <c r="C26" s="85"/>
      <c r="D26" s="85"/>
      <c r="E26" s="85"/>
      <c r="F26" s="85"/>
      <c r="G26" s="90" t="str">
        <f>IF('[7]input-output'!$P$2="SI","Q [mc/h]","Q [USgpm]")</f>
        <v>Q [USgpm]</v>
      </c>
      <c r="H26" s="91" t="str">
        <f>IF('[7]input-output'!$P$2="SI","NPSH [m]","NPSH [ft]")</f>
        <v>NPSH [ft]</v>
      </c>
      <c r="J26" s="82"/>
      <c r="K26" s="88"/>
      <c r="L26" s="89"/>
      <c r="O26" s="66"/>
      <c r="U26" s="71"/>
      <c r="W26" s="26">
        <v>1</v>
      </c>
      <c r="X26" s="69">
        <v>1</v>
      </c>
      <c r="Y26" s="69">
        <v>1</v>
      </c>
      <c r="Z26" s="69">
        <v>1</v>
      </c>
      <c r="AJ26" s="71"/>
    </row>
    <row r="27" spans="1:36" ht="15.75" customHeight="1" x14ac:dyDescent="0.2">
      <c r="A27" s="84"/>
      <c r="B27" s="99"/>
      <c r="C27" s="85"/>
      <c r="D27" s="85"/>
      <c r="E27" s="85"/>
      <c r="F27" s="85"/>
      <c r="G27" s="85"/>
      <c r="H27" s="85"/>
      <c r="J27" s="82"/>
      <c r="K27" s="88"/>
      <c r="L27" s="89"/>
      <c r="O27" s="101"/>
      <c r="P27" s="78"/>
      <c r="Q27" s="78"/>
      <c r="R27" s="78"/>
      <c r="S27" s="78"/>
      <c r="T27" s="78"/>
      <c r="U27" s="102"/>
      <c r="W27" s="103">
        <v>2</v>
      </c>
      <c r="X27" s="104"/>
      <c r="Y27" s="104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102"/>
    </row>
    <row r="28" spans="1:36" ht="15.75" customHeight="1" x14ac:dyDescent="0.2">
      <c r="A28" s="84"/>
      <c r="B28" s="99"/>
      <c r="C28" s="85"/>
      <c r="D28" s="85"/>
      <c r="E28" s="85"/>
      <c r="F28" s="85"/>
      <c r="G28" s="85"/>
      <c r="H28" s="85"/>
      <c r="J28" s="82"/>
      <c r="K28" s="88"/>
      <c r="L28" s="89"/>
    </row>
    <row r="29" spans="1:36" ht="15.75" customHeight="1" x14ac:dyDescent="0.2">
      <c r="A29" s="84"/>
      <c r="B29" s="99"/>
      <c r="C29" s="85"/>
      <c r="D29" s="85"/>
      <c r="E29" s="85"/>
      <c r="F29" s="85"/>
      <c r="G29" s="85"/>
      <c r="H29" s="85"/>
      <c r="J29" s="82"/>
      <c r="K29" s="88"/>
      <c r="L29" s="89"/>
      <c r="O29" s="105" t="s">
        <v>100</v>
      </c>
      <c r="P29" s="97"/>
      <c r="Q29" s="97"/>
      <c r="R29" s="97"/>
      <c r="S29" s="97"/>
      <c r="T29" s="97"/>
      <c r="U29" s="97"/>
      <c r="V29" s="97"/>
      <c r="W29" s="96" t="s">
        <v>101</v>
      </c>
      <c r="X29" s="97"/>
      <c r="Y29" s="96" t="s">
        <v>102</v>
      </c>
      <c r="Z29" s="97"/>
      <c r="AA29" s="97"/>
      <c r="AB29" s="106"/>
    </row>
    <row r="30" spans="1:36" ht="15.75" customHeight="1" thickBot="1" x14ac:dyDescent="0.25">
      <c r="A30" s="84"/>
      <c r="B30" s="99"/>
      <c r="C30" s="85"/>
      <c r="D30" s="85"/>
      <c r="E30" s="85"/>
      <c r="F30" s="85"/>
      <c r="G30" s="85"/>
      <c r="H30" s="85"/>
      <c r="J30" s="82"/>
      <c r="K30" s="88"/>
      <c r="L30" s="89"/>
      <c r="O30" s="66"/>
      <c r="W30" s="1">
        <f>IF(input_output!E15=O31,1,IF(input_output!E15=O32,2,IF(input_output!E15=O33,3,IF(input_output!E15=O34,4))))</f>
        <v>2</v>
      </c>
      <c r="Y30" s="1">
        <f>IF(input_output!E17=O31,1,IF(input_output!E17=O32,2,IF(input_output!E17=O33,3,IF(input_output!E17=O34,4))))</f>
        <v>4</v>
      </c>
      <c r="AB30" s="71"/>
    </row>
    <row r="31" spans="1:36" ht="15.75" customHeight="1" thickBot="1" x14ac:dyDescent="0.25">
      <c r="A31" s="84"/>
      <c r="B31" s="99"/>
      <c r="C31" s="85"/>
      <c r="D31" s="85"/>
      <c r="E31" s="85"/>
      <c r="F31" s="85"/>
      <c r="G31" s="85"/>
      <c r="H31" s="85"/>
      <c r="J31" s="82"/>
      <c r="K31" s="88"/>
      <c r="L31" s="89"/>
      <c r="O31" s="107" t="s">
        <v>103</v>
      </c>
      <c r="Q31" s="1">
        <v>1</v>
      </c>
      <c r="T31" s="108" t="s">
        <v>104</v>
      </c>
      <c r="U31" s="109">
        <f>IF(input_output!E8="SI",input_output!G21*51.64,input_output!G21)</f>
        <v>1040.4432815380135</v>
      </c>
      <c r="V31"/>
      <c r="W31" s="110" t="s">
        <v>105</v>
      </c>
      <c r="X31" s="111"/>
      <c r="Y31" s="111"/>
      <c r="Z31" s="112"/>
      <c r="AA31"/>
      <c r="AB31" s="71"/>
    </row>
    <row r="32" spans="1:36" ht="15.75" customHeight="1" x14ac:dyDescent="0.2">
      <c r="A32" s="84"/>
      <c r="B32" s="99"/>
      <c r="C32" s="85"/>
      <c r="D32" s="85"/>
      <c r="E32" s="85"/>
      <c r="F32" s="85"/>
      <c r="G32" s="85"/>
      <c r="H32" s="85"/>
      <c r="J32" s="82"/>
      <c r="K32" s="88"/>
      <c r="L32" s="89"/>
      <c r="O32" s="107" t="s">
        <v>25</v>
      </c>
      <c r="Q32" s="1">
        <v>2</v>
      </c>
      <c r="T32"/>
      <c r="U32"/>
      <c r="V32"/>
      <c r="W32" s="113"/>
      <c r="X32" s="114">
        <f>IF($W$30=2,IF(Y30=1,-U33,0),0)</f>
        <v>0</v>
      </c>
      <c r="Y32" s="114">
        <f>IF(W30=3,IF(Y30=1,-U34,0),0)</f>
        <v>0</v>
      </c>
      <c r="Z32" s="115">
        <f>IF(W30=4,IF(Y30=1,-U35,0),0)</f>
        <v>0</v>
      </c>
      <c r="AA32"/>
      <c r="AB32" s="71"/>
    </row>
    <row r="33" spans="2:28" ht="15.75" customHeight="1" x14ac:dyDescent="0.2">
      <c r="B33" s="18"/>
      <c r="C33" s="3"/>
      <c r="D33" s="3"/>
      <c r="E33" s="3"/>
      <c r="F33" s="3"/>
      <c r="G33" s="86"/>
      <c r="H33" s="3"/>
      <c r="J33" s="93"/>
      <c r="K33" s="93"/>
      <c r="L33" s="68"/>
      <c r="O33" s="107" t="s">
        <v>106</v>
      </c>
      <c r="Q33" s="1">
        <v>3</v>
      </c>
      <c r="T33" s="108" t="s">
        <v>107</v>
      </c>
      <c r="U33" s="116">
        <f>-0.01*2344.4*U31^-1.0216</f>
        <v>-1.9392838684358159E-2</v>
      </c>
      <c r="V33"/>
      <c r="W33" s="113">
        <f>IF(W30=1,IF(Y30=2,U33,0),0)</f>
        <v>0</v>
      </c>
      <c r="X33" s="117"/>
      <c r="Y33" s="114">
        <f>IF(W30=3,IF(Y30=2,$U33-$U34,0),0)</f>
        <v>0</v>
      </c>
      <c r="Z33" s="115">
        <f>IF(W30=4,IF(Y30=2,$U33-$U35,0),0)</f>
        <v>0</v>
      </c>
      <c r="AA33"/>
      <c r="AB33" s="71"/>
    </row>
    <row r="34" spans="2:28" ht="15.75" customHeight="1" x14ac:dyDescent="0.2">
      <c r="B34" s="18"/>
      <c r="C34" s="3"/>
      <c r="D34" s="3"/>
      <c r="E34" s="3"/>
      <c r="F34" s="3"/>
      <c r="G34" s="86"/>
      <c r="H34" s="3"/>
      <c r="J34" s="93"/>
      <c r="K34" s="93"/>
      <c r="L34" s="68"/>
      <c r="O34" s="107" t="s">
        <v>27</v>
      </c>
      <c r="Q34" s="1">
        <v>4</v>
      </c>
      <c r="T34" s="108" t="s">
        <v>108</v>
      </c>
      <c r="U34" s="116">
        <f>-0.015*2344.4*U31^-1.0216</f>
        <v>-2.9089258026537234E-2</v>
      </c>
      <c r="V34"/>
      <c r="W34" s="113">
        <f>IF(W30=1,IF(Y30=3,U34,0),0)</f>
        <v>0</v>
      </c>
      <c r="X34" s="114">
        <f>IF(W30=2,IF(Y30=3,U34-U33,0),0)</f>
        <v>0</v>
      </c>
      <c r="Y34" s="117"/>
      <c r="Z34" s="115">
        <f>IF(W30=4,IF(Y30=3,$U34-$U35,0),0)</f>
        <v>0</v>
      </c>
      <c r="AA34"/>
      <c r="AB34" s="71"/>
    </row>
    <row r="35" spans="2:28" ht="15.75" customHeight="1" thickBot="1" x14ac:dyDescent="0.25">
      <c r="B35" s="18"/>
      <c r="C35" s="3"/>
      <c r="D35" s="3"/>
      <c r="E35" s="3"/>
      <c r="F35" s="3"/>
      <c r="G35" s="86"/>
      <c r="H35" s="3"/>
      <c r="J35" s="93"/>
      <c r="K35" s="93"/>
      <c r="L35" s="68"/>
      <c r="O35" s="66"/>
      <c r="T35" s="118" t="s">
        <v>109</v>
      </c>
      <c r="U35" s="116">
        <f>U33*-0.7</f>
        <v>1.3574987079050711E-2</v>
      </c>
      <c r="V35"/>
      <c r="W35" s="113">
        <f>IF(W30=1,IF(Y30=4,U35,0),0)</f>
        <v>0</v>
      </c>
      <c r="X35" s="114">
        <f>IF(W30=2,IF(Y30=4,$U35-U33,0),0)</f>
        <v>3.296782576340887E-2</v>
      </c>
      <c r="Y35" s="114">
        <f>IF(W30=3,IF(Y30=4,$U35-$U34,0),0)</f>
        <v>0</v>
      </c>
      <c r="Z35" s="119"/>
      <c r="AA35"/>
      <c r="AB35" s="71"/>
    </row>
    <row r="36" spans="2:28" ht="15.75" customHeight="1" thickBot="1" x14ac:dyDescent="0.25">
      <c r="B36" s="18"/>
      <c r="C36" s="94"/>
      <c r="D36" s="94"/>
      <c r="E36" s="94"/>
      <c r="F36" s="94"/>
      <c r="G36" s="94"/>
      <c r="H36" s="94"/>
      <c r="I36" s="94"/>
      <c r="J36" s="94"/>
      <c r="K36" s="94"/>
      <c r="L36" s="68"/>
      <c r="O36" s="66"/>
      <c r="T36"/>
      <c r="U36" s="120"/>
      <c r="V36"/>
      <c r="W36" s="121">
        <f>SUM(W32:W35)</f>
        <v>0</v>
      </c>
      <c r="X36" s="122">
        <f>SUM(X32:X35)</f>
        <v>3.296782576340887E-2</v>
      </c>
      <c r="Y36" s="122">
        <f>SUM(Y32:Y35)</f>
        <v>0</v>
      </c>
      <c r="Z36" s="123">
        <f>SUM(Z32:Z35)</f>
        <v>0</v>
      </c>
      <c r="AA36" s="124">
        <f>SUM(W36:Z36)</f>
        <v>3.296782576340887E-2</v>
      </c>
      <c r="AB36" s="71"/>
    </row>
    <row r="37" spans="2:28" ht="15.75" customHeight="1" x14ac:dyDescent="0.2">
      <c r="B37" s="99"/>
      <c r="C37" s="93"/>
      <c r="D37" s="93"/>
      <c r="E37" s="93"/>
      <c r="F37" s="93"/>
      <c r="G37" s="93"/>
      <c r="H37" s="93"/>
      <c r="I37" s="93"/>
      <c r="J37" s="93"/>
      <c r="K37" s="93"/>
      <c r="L37" s="68"/>
      <c r="O37" s="66"/>
      <c r="AB37" s="125"/>
    </row>
    <row r="38" spans="2:28" ht="15.75" customHeight="1" x14ac:dyDescent="0.2">
      <c r="B38" s="99"/>
      <c r="C38" s="126"/>
      <c r="D38" s="126"/>
      <c r="E38" s="126"/>
      <c r="F38" s="126"/>
      <c r="G38" s="126"/>
      <c r="H38" s="126"/>
      <c r="I38" s="126"/>
      <c r="J38" s="126"/>
      <c r="K38" s="126"/>
      <c r="L38" s="89"/>
      <c r="O38" s="66"/>
      <c r="AB38" s="71"/>
    </row>
    <row r="39" spans="2:28" ht="15.75" customHeight="1" x14ac:dyDescent="0.2">
      <c r="B39" s="99"/>
      <c r="C39" s="126"/>
      <c r="D39" s="126"/>
      <c r="E39" s="126"/>
      <c r="F39" s="126"/>
      <c r="G39" s="126"/>
      <c r="H39" s="126"/>
      <c r="I39" s="126"/>
      <c r="J39" s="126"/>
      <c r="K39" s="126"/>
      <c r="L39" s="89"/>
      <c r="O39" s="66"/>
      <c r="AB39" s="71"/>
    </row>
    <row r="40" spans="2:28" ht="15.75" customHeight="1" x14ac:dyDescent="0.2">
      <c r="B40" s="99"/>
      <c r="C40" s="126"/>
      <c r="D40" s="126"/>
      <c r="E40" s="126"/>
      <c r="F40" s="126"/>
      <c r="G40" s="126"/>
      <c r="H40" s="126"/>
      <c r="I40" s="126"/>
      <c r="J40" s="126"/>
      <c r="K40" s="126"/>
      <c r="L40" s="89"/>
      <c r="O40" s="66"/>
      <c r="AB40" s="71"/>
    </row>
    <row r="41" spans="2:28" ht="15.75" customHeight="1" x14ac:dyDescent="0.2">
      <c r="B41" s="99"/>
      <c r="C41" s="126"/>
      <c r="D41" s="126"/>
      <c r="E41" s="126"/>
      <c r="F41" s="126"/>
      <c r="G41" s="126"/>
      <c r="H41" s="126"/>
      <c r="I41" s="126"/>
      <c r="J41" s="126"/>
      <c r="K41" s="126"/>
      <c r="L41" s="89"/>
      <c r="O41" s="66"/>
      <c r="AB41" s="71"/>
    </row>
    <row r="42" spans="2:28" ht="15.75" customHeight="1" x14ac:dyDescent="0.2">
      <c r="B42" s="99"/>
      <c r="C42" s="126"/>
      <c r="D42" s="126"/>
      <c r="E42" s="126"/>
      <c r="F42" s="126"/>
      <c r="G42" s="126"/>
      <c r="H42" s="126"/>
      <c r="I42" s="126"/>
      <c r="J42" s="126"/>
      <c r="K42" s="126"/>
      <c r="L42" s="89"/>
      <c r="O42" s="66"/>
      <c r="AB42" s="71"/>
    </row>
    <row r="43" spans="2:28" ht="15.75" customHeight="1" x14ac:dyDescent="0.2">
      <c r="B43" s="99"/>
      <c r="C43" s="126"/>
      <c r="D43" s="126"/>
      <c r="E43" s="126"/>
      <c r="F43" s="126"/>
      <c r="G43" s="126"/>
      <c r="H43" s="126"/>
      <c r="I43" s="126"/>
      <c r="J43" s="126"/>
      <c r="K43" s="126"/>
      <c r="L43" s="89"/>
      <c r="O43" s="66"/>
      <c r="AB43" s="71"/>
    </row>
    <row r="44" spans="2:28" ht="15.75" customHeight="1" x14ac:dyDescent="0.2">
      <c r="B44" s="99"/>
      <c r="C44" s="126"/>
      <c r="D44" s="126"/>
      <c r="E44" s="126"/>
      <c r="F44" s="126"/>
      <c r="G44" s="126"/>
      <c r="H44" s="126"/>
      <c r="I44" s="126"/>
      <c r="J44" s="126"/>
      <c r="K44" s="126"/>
      <c r="L44" s="89"/>
      <c r="O44" s="66"/>
      <c r="AB44" s="71"/>
    </row>
    <row r="45" spans="2:28" ht="15.75" customHeight="1" x14ac:dyDescent="0.2">
      <c r="B45" s="99"/>
      <c r="C45" s="126"/>
      <c r="D45" s="126"/>
      <c r="E45" s="126"/>
      <c r="F45" s="126"/>
      <c r="G45" s="126"/>
      <c r="H45" s="126"/>
      <c r="I45" s="126"/>
      <c r="J45" s="126"/>
      <c r="K45" s="126"/>
      <c r="L45" s="89"/>
      <c r="O45" s="66"/>
      <c r="AB45" s="71"/>
    </row>
    <row r="46" spans="2:28" ht="15.75" customHeight="1" x14ac:dyDescent="0.2">
      <c r="B46" s="18"/>
      <c r="C46" s="3"/>
      <c r="D46" s="3"/>
      <c r="E46" s="3"/>
      <c r="F46" s="3"/>
      <c r="G46" s="86"/>
      <c r="H46" s="3"/>
      <c r="J46" s="93"/>
      <c r="K46" s="93"/>
      <c r="L46" s="68"/>
      <c r="O46" s="66"/>
      <c r="AB46" s="71"/>
    </row>
    <row r="47" spans="2:28" ht="15.75" customHeight="1" x14ac:dyDescent="0.2">
      <c r="B47" s="18"/>
      <c r="C47" s="3"/>
      <c r="D47" s="3"/>
      <c r="E47" s="3"/>
      <c r="F47" s="3"/>
      <c r="G47" s="86"/>
      <c r="H47" s="3"/>
      <c r="J47" s="93"/>
      <c r="K47" s="93"/>
      <c r="L47" s="68"/>
      <c r="O47" s="66"/>
      <c r="AB47" s="71"/>
    </row>
    <row r="48" spans="2:28" ht="15.75" customHeight="1" x14ac:dyDescent="0.2">
      <c r="B48" s="18"/>
      <c r="C48" s="3"/>
      <c r="D48" s="3"/>
      <c r="E48" s="1" t="s">
        <v>78</v>
      </c>
      <c r="F48" s="1" t="s">
        <v>79</v>
      </c>
      <c r="G48" s="1" t="s">
        <v>80</v>
      </c>
      <c r="H48" s="3"/>
      <c r="J48" s="93"/>
      <c r="K48" s="93"/>
      <c r="L48" s="68"/>
      <c r="O48" s="66"/>
      <c r="AB48" s="71"/>
    </row>
    <row r="49" spans="1:101" ht="15.75" customHeight="1" x14ac:dyDescent="0.2">
      <c r="B49" s="18"/>
      <c r="C49" s="73" t="s">
        <v>82</v>
      </c>
      <c r="D49" s="74"/>
      <c r="E49" s="75"/>
      <c r="F49" s="75"/>
      <c r="G49" s="76"/>
      <c r="H49" s="77" t="s">
        <v>110</v>
      </c>
      <c r="I49" s="78"/>
      <c r="J49" s="94"/>
      <c r="K49" s="94"/>
      <c r="L49" s="68"/>
      <c r="O49" s="66"/>
      <c r="AB49" s="71"/>
    </row>
    <row r="50" spans="1:101" ht="15.75" customHeight="1" x14ac:dyDescent="0.2">
      <c r="B50" s="80"/>
      <c r="C50" s="25" t="s">
        <v>85</v>
      </c>
      <c r="D50" s="25" t="s">
        <v>86</v>
      </c>
      <c r="E50" s="81" t="s">
        <v>87</v>
      </c>
      <c r="F50" s="81" t="s">
        <v>88</v>
      </c>
      <c r="G50" s="86"/>
      <c r="H50" s="3"/>
      <c r="J50" s="25" t="s">
        <v>89</v>
      </c>
      <c r="K50" s="126"/>
      <c r="L50" s="89"/>
      <c r="O50" s="66"/>
      <c r="AB50" s="71"/>
    </row>
    <row r="51" spans="1:101" ht="15.75" customHeight="1" x14ac:dyDescent="0.2">
      <c r="A51" s="84"/>
      <c r="B51" s="80"/>
      <c r="C51" s="85"/>
      <c r="D51" s="85"/>
      <c r="E51" s="85"/>
      <c r="F51" s="85" t="e">
        <f>1000*9.80665/3600*C51*D51/E51/10</f>
        <v>#DIV/0!</v>
      </c>
      <c r="G51" s="86"/>
      <c r="H51" s="3"/>
      <c r="J51" s="87"/>
      <c r="K51" s="88"/>
      <c r="L51" s="89"/>
      <c r="O51" s="66"/>
      <c r="AB51" s="71"/>
    </row>
    <row r="52" spans="1:101" ht="15.75" customHeight="1" x14ac:dyDescent="0.2">
      <c r="A52" s="84"/>
      <c r="B52" s="99"/>
      <c r="C52" s="85"/>
      <c r="D52" s="85"/>
      <c r="E52" s="85"/>
      <c r="F52" s="85" t="e">
        <f t="shared" ref="F52:F58" si="1">1000*9.80665/3600*C52*D52/E52/10</f>
        <v>#DIV/0!</v>
      </c>
      <c r="G52" s="91" t="s">
        <v>85</v>
      </c>
      <c r="H52" s="91" t="s">
        <v>93</v>
      </c>
      <c r="J52" s="82"/>
      <c r="K52" s="88"/>
      <c r="L52" s="89"/>
      <c r="O52" s="66"/>
      <c r="AB52" s="71"/>
    </row>
    <row r="53" spans="1:101" ht="15.75" customHeight="1" x14ac:dyDescent="0.2">
      <c r="A53" s="84"/>
      <c r="B53" s="99"/>
      <c r="C53" s="85"/>
      <c r="D53" s="85"/>
      <c r="E53" s="85"/>
      <c r="F53" s="85" t="e">
        <f t="shared" si="1"/>
        <v>#DIV/0!</v>
      </c>
      <c r="G53" s="85"/>
      <c r="H53" s="85"/>
      <c r="J53" s="82"/>
      <c r="K53" s="88"/>
      <c r="L53" s="89"/>
      <c r="O53" s="66"/>
      <c r="AB53" s="71"/>
    </row>
    <row r="54" spans="1:101" ht="15.75" customHeight="1" x14ac:dyDescent="0.2">
      <c r="A54" s="84"/>
      <c r="B54" s="99"/>
      <c r="C54" s="85"/>
      <c r="D54" s="85"/>
      <c r="E54" s="85"/>
      <c r="F54" s="85" t="e">
        <f t="shared" si="1"/>
        <v>#DIV/0!</v>
      </c>
      <c r="G54" s="85"/>
      <c r="H54" s="85"/>
      <c r="J54" s="82"/>
      <c r="K54" s="88"/>
      <c r="L54" s="89"/>
      <c r="O54" s="66"/>
      <c r="AB54" s="71"/>
    </row>
    <row r="55" spans="1:101" ht="15.75" customHeight="1" x14ac:dyDescent="0.2">
      <c r="A55" s="84"/>
      <c r="B55" s="99"/>
      <c r="C55" s="85"/>
      <c r="D55" s="85"/>
      <c r="E55" s="85"/>
      <c r="F55" s="85" t="e">
        <f t="shared" si="1"/>
        <v>#DIV/0!</v>
      </c>
      <c r="G55" s="85"/>
      <c r="H55" s="85"/>
      <c r="J55" s="82"/>
      <c r="K55" s="88"/>
      <c r="L55" s="89"/>
      <c r="O55" s="66"/>
      <c r="AB55" s="71"/>
    </row>
    <row r="56" spans="1:101" ht="15.75" customHeight="1" x14ac:dyDescent="0.2">
      <c r="A56" s="84"/>
      <c r="B56" s="99"/>
      <c r="C56" s="85"/>
      <c r="D56" s="85"/>
      <c r="E56" s="85"/>
      <c r="F56" s="85" t="e">
        <f t="shared" si="1"/>
        <v>#DIV/0!</v>
      </c>
      <c r="G56" s="85"/>
      <c r="H56" s="85"/>
      <c r="J56" s="82"/>
      <c r="K56" s="88"/>
      <c r="L56" s="89"/>
      <c r="O56" s="66"/>
      <c r="AB56" s="71"/>
    </row>
    <row r="57" spans="1:101" ht="15.75" customHeight="1" x14ac:dyDescent="0.2">
      <c r="A57" s="84"/>
      <c r="B57" s="99"/>
      <c r="C57" s="85"/>
      <c r="D57" s="85"/>
      <c r="E57" s="85"/>
      <c r="F57" s="85" t="e">
        <f t="shared" si="1"/>
        <v>#DIV/0!</v>
      </c>
      <c r="G57" s="85"/>
      <c r="H57" s="85"/>
      <c r="J57" s="82"/>
      <c r="K57" s="88"/>
      <c r="L57" s="89"/>
      <c r="O57" s="66"/>
      <c r="AB57" s="71"/>
    </row>
    <row r="58" spans="1:101" ht="15.75" customHeight="1" x14ac:dyDescent="0.2">
      <c r="A58" s="84"/>
      <c r="B58" s="99"/>
      <c r="C58" s="85"/>
      <c r="D58" s="85"/>
      <c r="E58" s="85"/>
      <c r="F58" s="85" t="e">
        <f t="shared" si="1"/>
        <v>#DIV/0!</v>
      </c>
      <c r="G58" s="85"/>
      <c r="H58" s="85"/>
      <c r="J58" s="82"/>
      <c r="K58" s="88"/>
      <c r="L58" s="89"/>
      <c r="O58" s="66"/>
      <c r="AB58" s="71"/>
    </row>
    <row r="59" spans="1:101" ht="15.75" customHeight="1" thickBot="1" x14ac:dyDescent="0.25">
      <c r="B59" s="127"/>
      <c r="C59" s="128"/>
      <c r="D59" s="128"/>
      <c r="E59" s="128"/>
      <c r="F59" s="128"/>
      <c r="G59" s="128"/>
      <c r="H59" s="128"/>
      <c r="I59" s="128"/>
      <c r="J59" s="128"/>
      <c r="K59" s="128"/>
      <c r="L59" s="129"/>
      <c r="O59" s="66"/>
      <c r="AB59" s="71"/>
    </row>
    <row r="60" spans="1:101" ht="12.75" x14ac:dyDescent="0.2">
      <c r="O60" s="66"/>
      <c r="AB60" s="71"/>
    </row>
    <row r="61" spans="1:101" ht="15.75" customHeight="1" x14ac:dyDescent="0.2">
      <c r="O61" s="66"/>
      <c r="AB61" s="71"/>
    </row>
    <row r="62" spans="1:101" ht="15.75" customHeight="1" x14ac:dyDescent="0.2">
      <c r="O62" s="66"/>
      <c r="AB62" s="71"/>
    </row>
    <row r="63" spans="1:101" ht="15.75" customHeight="1" x14ac:dyDescent="0.2">
      <c r="N63" s="130"/>
      <c r="O63" s="131"/>
      <c r="P63" s="130"/>
      <c r="Q63" s="130"/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2"/>
      <c r="AC63" s="130"/>
      <c r="AD63" s="130"/>
      <c r="AE63" s="130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  <c r="BN63" s="130"/>
      <c r="BO63" s="130"/>
      <c r="BP63" s="130"/>
      <c r="BQ63" s="130"/>
      <c r="BR63" s="130"/>
      <c r="BS63" s="130"/>
      <c r="BT63" s="130"/>
      <c r="BU63" s="130"/>
      <c r="BV63" s="130"/>
      <c r="BW63" s="130"/>
      <c r="BX63" s="130"/>
      <c r="BY63" s="130"/>
      <c r="BZ63" s="130"/>
      <c r="CA63" s="130"/>
      <c r="CB63" s="130"/>
      <c r="CC63" s="130"/>
      <c r="CD63" s="130"/>
      <c r="CE63" s="130"/>
      <c r="CF63" s="130"/>
      <c r="CG63" s="130"/>
      <c r="CH63" s="130"/>
      <c r="CI63" s="130"/>
      <c r="CJ63" s="130"/>
      <c r="CK63" s="130"/>
      <c r="CL63" s="130"/>
      <c r="CM63" s="130"/>
      <c r="CN63" s="130"/>
      <c r="CO63" s="130"/>
      <c r="CP63" s="130"/>
      <c r="CQ63" s="130"/>
      <c r="CR63" s="130"/>
      <c r="CS63" s="130"/>
      <c r="CT63" s="130"/>
      <c r="CU63" s="130"/>
      <c r="CV63" s="130"/>
      <c r="CW63" s="130"/>
    </row>
    <row r="64" spans="1:101" ht="15.75" customHeight="1" x14ac:dyDescent="0.2">
      <c r="N64" s="130"/>
      <c r="O64" s="131"/>
      <c r="P64" s="130"/>
      <c r="Q64" s="130"/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2"/>
      <c r="AC64" s="130"/>
      <c r="AD64" s="130"/>
      <c r="AE64" s="130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  <c r="BN64" s="130"/>
      <c r="BO64" s="130"/>
      <c r="BP64" s="130"/>
      <c r="BQ64" s="130"/>
      <c r="BR64" s="130"/>
      <c r="BS64" s="130"/>
      <c r="BT64" s="130"/>
      <c r="BU64" s="130"/>
      <c r="BV64" s="130"/>
      <c r="BW64" s="130"/>
      <c r="BX64" s="130"/>
      <c r="BY64" s="130"/>
      <c r="BZ64" s="130"/>
      <c r="CA64" s="130"/>
      <c r="CB64" s="130"/>
      <c r="CC64" s="130"/>
      <c r="CD64" s="130"/>
      <c r="CE64" s="130"/>
      <c r="CF64" s="130"/>
      <c r="CG64" s="130"/>
      <c r="CH64" s="130"/>
      <c r="CI64" s="130"/>
      <c r="CJ64" s="130"/>
      <c r="CK64" s="130"/>
      <c r="CL64" s="130"/>
      <c r="CM64" s="130"/>
      <c r="CN64" s="130"/>
      <c r="CO64" s="130"/>
      <c r="CP64" s="130"/>
      <c r="CQ64" s="130"/>
      <c r="CR64" s="130"/>
      <c r="CS64" s="130"/>
      <c r="CT64" s="130"/>
      <c r="CU64" s="130"/>
      <c r="CV64" s="130"/>
      <c r="CW64" s="130"/>
    </row>
    <row r="65" spans="14:101" ht="15.75" customHeight="1" x14ac:dyDescent="0.2">
      <c r="N65" s="130"/>
      <c r="O65" s="131"/>
      <c r="P65" s="130"/>
      <c r="Q65" s="130"/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2"/>
      <c r="AC65" s="130"/>
      <c r="AD65" s="130"/>
      <c r="AE65" s="130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  <c r="BN65" s="130"/>
      <c r="BO65" s="130"/>
      <c r="BP65" s="130"/>
      <c r="BQ65" s="130"/>
      <c r="BR65" s="130"/>
      <c r="BS65" s="130"/>
      <c r="BT65" s="130"/>
      <c r="BU65" s="130"/>
      <c r="BV65" s="130"/>
      <c r="BW65" s="130"/>
      <c r="BX65" s="130"/>
      <c r="BY65" s="130"/>
      <c r="BZ65" s="130"/>
      <c r="CA65" s="130"/>
      <c r="CB65" s="130"/>
      <c r="CC65" s="130"/>
      <c r="CD65" s="130"/>
      <c r="CE65" s="130"/>
      <c r="CF65" s="130"/>
      <c r="CG65" s="130"/>
      <c r="CH65" s="130"/>
      <c r="CI65" s="130"/>
      <c r="CJ65" s="130"/>
      <c r="CK65" s="130"/>
      <c r="CL65" s="130"/>
      <c r="CM65" s="130"/>
      <c r="CN65" s="130"/>
      <c r="CO65" s="130"/>
      <c r="CP65" s="130"/>
      <c r="CQ65" s="130"/>
      <c r="CR65" s="130"/>
      <c r="CS65" s="130"/>
      <c r="CT65" s="130"/>
      <c r="CU65" s="130"/>
      <c r="CV65" s="130"/>
      <c r="CW65" s="130"/>
    </row>
    <row r="66" spans="14:101" ht="15.75" customHeight="1" x14ac:dyDescent="0.2">
      <c r="N66" s="130"/>
      <c r="O66" s="131"/>
      <c r="P66" s="130"/>
      <c r="Q66" s="130"/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2"/>
      <c r="AC66" s="130"/>
      <c r="AD66" s="130"/>
      <c r="AE66" s="130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  <c r="BN66" s="130"/>
      <c r="BO66" s="130"/>
      <c r="BP66" s="130"/>
      <c r="BQ66" s="130"/>
      <c r="BR66" s="130"/>
      <c r="BS66" s="130"/>
      <c r="BT66" s="130"/>
      <c r="BU66" s="130"/>
      <c r="BV66" s="130"/>
      <c r="BW66" s="130"/>
      <c r="BX66" s="130"/>
      <c r="BY66" s="130"/>
      <c r="BZ66" s="130"/>
      <c r="CA66" s="130"/>
      <c r="CB66" s="130"/>
      <c r="CC66" s="130"/>
      <c r="CD66" s="130"/>
      <c r="CE66" s="130"/>
      <c r="CF66" s="130"/>
      <c r="CG66" s="130"/>
      <c r="CH66" s="130"/>
      <c r="CI66" s="130"/>
      <c r="CJ66" s="130"/>
      <c r="CK66" s="130"/>
      <c r="CL66" s="130"/>
      <c r="CM66" s="130"/>
      <c r="CN66" s="130"/>
      <c r="CO66" s="130"/>
      <c r="CP66" s="130"/>
      <c r="CQ66" s="130"/>
      <c r="CR66" s="130"/>
      <c r="CS66" s="130"/>
      <c r="CT66" s="130"/>
      <c r="CU66" s="130"/>
      <c r="CV66" s="130"/>
      <c r="CW66" s="130"/>
    </row>
    <row r="67" spans="14:101" ht="15.75" customHeight="1" x14ac:dyDescent="0.2">
      <c r="N67" s="130"/>
      <c r="O67" s="133"/>
      <c r="P67" s="134"/>
      <c r="Q67" s="134"/>
      <c r="R67" s="134"/>
      <c r="S67" s="134"/>
      <c r="T67" s="134"/>
      <c r="U67" s="134"/>
      <c r="V67" s="134"/>
      <c r="W67" s="134"/>
      <c r="X67" s="134"/>
      <c r="Y67" s="134"/>
      <c r="Z67" s="134"/>
      <c r="AA67" s="134"/>
      <c r="AB67" s="135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30"/>
      <c r="CC67" s="130"/>
      <c r="CD67" s="130"/>
      <c r="CE67" s="130"/>
      <c r="CF67" s="130"/>
      <c r="CG67" s="130"/>
      <c r="CH67" s="130"/>
      <c r="CI67" s="130"/>
      <c r="CJ67" s="130"/>
      <c r="CK67" s="130"/>
      <c r="CL67" s="130"/>
      <c r="CM67" s="130"/>
      <c r="CN67" s="130"/>
      <c r="CO67" s="130"/>
      <c r="CP67" s="130"/>
      <c r="CQ67" s="130"/>
      <c r="CR67" s="130"/>
      <c r="CS67" s="130"/>
      <c r="CT67" s="130"/>
      <c r="CU67" s="130"/>
      <c r="CV67" s="130"/>
      <c r="CW67" s="130"/>
    </row>
    <row r="68" spans="14:101" ht="15.75" customHeight="1" x14ac:dyDescent="0.2">
      <c r="N68" s="130"/>
      <c r="O68" s="130"/>
      <c r="P68" s="130"/>
      <c r="Q68" s="130"/>
      <c r="R68" s="130"/>
      <c r="S68" s="130"/>
      <c r="T68" s="130"/>
      <c r="U68" s="130"/>
      <c r="V68" s="130"/>
      <c r="W68" s="130"/>
      <c r="X68" s="13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  <c r="BN68" s="130"/>
      <c r="BO68" s="130"/>
      <c r="BP68" s="130"/>
      <c r="BQ68" s="130"/>
      <c r="BR68" s="130"/>
      <c r="BS68" s="130"/>
      <c r="BT68" s="130"/>
      <c r="BU68" s="130"/>
      <c r="BV68" s="130"/>
      <c r="BW68" s="130"/>
      <c r="BX68" s="130"/>
      <c r="BY68" s="130"/>
      <c r="BZ68" s="130"/>
      <c r="CA68" s="130"/>
      <c r="CB68" s="130"/>
      <c r="CC68" s="130"/>
      <c r="CD68" s="130"/>
      <c r="CE68" s="130"/>
      <c r="CF68" s="130"/>
      <c r="CG68" s="130"/>
      <c r="CH68" s="130"/>
      <c r="CI68" s="130"/>
      <c r="CJ68" s="130"/>
      <c r="CK68" s="130"/>
      <c r="CL68" s="130"/>
      <c r="CM68" s="130"/>
      <c r="CN68" s="130"/>
      <c r="CO68" s="130"/>
      <c r="CP68" s="130"/>
      <c r="CQ68" s="130"/>
      <c r="CR68" s="130"/>
      <c r="CS68" s="130"/>
      <c r="CT68" s="130"/>
      <c r="CU68" s="130"/>
      <c r="CV68" s="130"/>
      <c r="CW68" s="130"/>
    </row>
    <row r="69" spans="14:101" ht="15.75" customHeight="1" x14ac:dyDescent="0.2">
      <c r="N69" s="130"/>
      <c r="O69" t="s">
        <v>111</v>
      </c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  <c r="BN69" s="130"/>
      <c r="BO69" s="130"/>
      <c r="BP69" s="130"/>
      <c r="BQ69" s="130"/>
      <c r="BR69" s="130"/>
      <c r="BS69" s="130"/>
      <c r="BT69" s="130"/>
      <c r="BU69" s="130"/>
      <c r="BV69" s="130"/>
      <c r="BW69" s="130"/>
      <c r="BX69" s="130"/>
      <c r="BY69" s="130"/>
      <c r="BZ69" s="130"/>
      <c r="CA69" s="130"/>
      <c r="CB69" s="130"/>
      <c r="CC69" s="130"/>
      <c r="CD69" s="130"/>
      <c r="CE69" s="130"/>
      <c r="CF69" s="130"/>
      <c r="CG69" s="130"/>
      <c r="CH69" s="130"/>
      <c r="CI69" s="130"/>
      <c r="CJ69" s="130"/>
      <c r="CK69" s="130"/>
      <c r="CL69" s="130"/>
      <c r="CM69" s="130"/>
      <c r="CN69" s="130"/>
      <c r="CO69" s="130"/>
      <c r="CP69" s="130"/>
      <c r="CQ69" s="130"/>
      <c r="CR69" s="130"/>
      <c r="CS69" s="130"/>
      <c r="CT69" s="130"/>
      <c r="CU69" s="130"/>
      <c r="CV69" s="130"/>
      <c r="CW69" s="130"/>
    </row>
    <row r="70" spans="14:101" ht="15.75" customHeight="1" x14ac:dyDescent="0.2">
      <c r="N70" s="130"/>
      <c r="O70" s="136" t="s">
        <v>17</v>
      </c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  <c r="BN70" s="130"/>
      <c r="BO70" s="130"/>
      <c r="BP70" s="130"/>
      <c r="BQ70" s="130"/>
      <c r="BR70" s="130"/>
      <c r="BS70" s="130"/>
      <c r="BT70" s="130"/>
      <c r="BU70" s="130"/>
      <c r="BV70" s="130"/>
      <c r="BW70" s="130"/>
      <c r="BX70" s="130"/>
      <c r="BY70" s="130"/>
      <c r="BZ70" s="130"/>
      <c r="CA70" s="130"/>
      <c r="CB70" s="130"/>
      <c r="CC70" s="130"/>
      <c r="CD70" s="130"/>
      <c r="CE70" s="130"/>
      <c r="CF70" s="130"/>
      <c r="CG70" s="130"/>
      <c r="CH70" s="130"/>
      <c r="CI70" s="130"/>
      <c r="CJ70" s="130"/>
      <c r="CK70" s="130"/>
      <c r="CL70" s="130"/>
      <c r="CM70" s="130"/>
      <c r="CN70" s="130"/>
      <c r="CO70" s="130"/>
      <c r="CP70" s="130"/>
      <c r="CQ70" s="130"/>
      <c r="CR70" s="130"/>
      <c r="CS70" s="130"/>
      <c r="CT70" s="130"/>
      <c r="CU70" s="130"/>
      <c r="CV70" s="130"/>
      <c r="CW70" s="130"/>
    </row>
    <row r="71" spans="14:101" ht="15.75" customHeight="1" x14ac:dyDescent="0.2">
      <c r="N71" s="130"/>
      <c r="O71" t="s">
        <v>112</v>
      </c>
      <c r="P71" s="130"/>
      <c r="Q71" s="130"/>
      <c r="R71" s="130"/>
      <c r="S71" s="130"/>
      <c r="T71" s="130"/>
      <c r="U71" s="130"/>
      <c r="V71" s="130"/>
      <c r="W71" s="130"/>
      <c r="X71" s="130"/>
      <c r="Y71" s="130"/>
      <c r="Z71" s="130"/>
      <c r="AA71" s="130"/>
      <c r="AB71" s="130"/>
      <c r="AC71" s="130"/>
      <c r="AD71" s="130"/>
      <c r="AE71" s="130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30"/>
      <c r="CC71" s="130"/>
      <c r="CD71" s="130"/>
      <c r="CE71" s="130"/>
      <c r="CF71" s="130"/>
      <c r="CG71" s="130"/>
      <c r="CH71" s="130"/>
      <c r="CI71" s="130"/>
      <c r="CJ71" s="130"/>
      <c r="CK71" s="130"/>
      <c r="CL71" s="130"/>
      <c r="CM71" s="130"/>
      <c r="CN71" s="130"/>
      <c r="CO71" s="130"/>
      <c r="CP71" s="130"/>
      <c r="CQ71" s="130"/>
      <c r="CR71" s="130"/>
      <c r="CS71" s="130"/>
      <c r="CT71" s="130"/>
      <c r="CU71" s="130"/>
      <c r="CV71" s="130"/>
      <c r="CW71" s="130"/>
    </row>
    <row r="72" spans="14:101" ht="15.75" customHeight="1" x14ac:dyDescent="0.2">
      <c r="N72" s="130"/>
      <c r="O72" s="130"/>
      <c r="P72" s="130"/>
      <c r="Q72" s="130"/>
      <c r="R72" s="130"/>
      <c r="S72" s="130"/>
      <c r="T72" s="130"/>
      <c r="U72" s="130"/>
      <c r="V72" s="130"/>
      <c r="W72" s="130"/>
      <c r="X72" s="130"/>
      <c r="Y72" s="130"/>
      <c r="Z72" s="130"/>
      <c r="AA72" s="130"/>
      <c r="AB72" s="130"/>
      <c r="AC72" s="130"/>
      <c r="AD72" s="130"/>
      <c r="AE72" s="130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  <c r="BN72" s="130"/>
      <c r="BO72" s="130"/>
      <c r="BP72" s="130"/>
      <c r="BQ72" s="130"/>
      <c r="BR72" s="130"/>
      <c r="BS72" s="130"/>
      <c r="BT72" s="130"/>
      <c r="BU72" s="130"/>
      <c r="BV72" s="130"/>
      <c r="BW72" s="130"/>
      <c r="BX72" s="130"/>
      <c r="BY72" s="130"/>
      <c r="BZ72" s="130"/>
      <c r="CA72" s="130"/>
      <c r="CB72" s="130"/>
      <c r="CC72" s="130"/>
      <c r="CD72" s="130"/>
      <c r="CE72" s="130"/>
      <c r="CF72" s="130"/>
      <c r="CG72" s="130"/>
      <c r="CH72" s="130"/>
      <c r="CI72" s="130"/>
      <c r="CJ72" s="130"/>
      <c r="CK72" s="130"/>
      <c r="CL72" s="130"/>
      <c r="CM72" s="130"/>
      <c r="CN72" s="130"/>
      <c r="CO72" s="130"/>
      <c r="CP72" s="130"/>
      <c r="CQ72" s="130"/>
      <c r="CR72" s="130"/>
      <c r="CS72" s="130"/>
      <c r="CT72" s="130"/>
      <c r="CU72" s="130"/>
      <c r="CV72" s="130"/>
      <c r="CW72" s="130"/>
    </row>
    <row r="73" spans="14:101" ht="15.75" customHeight="1" x14ac:dyDescent="0.2"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0"/>
      <c r="BV73" s="130"/>
      <c r="BW73" s="130"/>
      <c r="BX73" s="130"/>
      <c r="BY73" s="130"/>
      <c r="BZ73" s="130"/>
      <c r="CA73" s="130"/>
      <c r="CB73" s="130"/>
      <c r="CC73" s="130"/>
      <c r="CD73" s="130"/>
      <c r="CE73" s="130"/>
      <c r="CF73" s="130"/>
      <c r="CG73" s="130"/>
      <c r="CH73" s="130"/>
      <c r="CI73" s="130"/>
      <c r="CJ73" s="130"/>
      <c r="CK73" s="130"/>
      <c r="CL73" s="130"/>
      <c r="CM73" s="130"/>
      <c r="CN73" s="130"/>
      <c r="CO73" s="130"/>
      <c r="CP73" s="130"/>
      <c r="CQ73" s="130"/>
      <c r="CR73" s="130"/>
      <c r="CS73" s="130"/>
      <c r="CT73" s="130"/>
      <c r="CU73" s="130"/>
      <c r="CV73" s="130"/>
      <c r="CW73" s="130"/>
    </row>
  </sheetData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FF5BB9810E8454BA2B38D00B6D18848" ma:contentTypeVersion="3" ma:contentTypeDescription="Creare un nuovo documento." ma:contentTypeScope="" ma:versionID="85968c8a5930af966cb491cc87274750">
  <xsd:schema xmlns:xsd="http://www.w3.org/2001/XMLSchema" xmlns:xs="http://www.w3.org/2001/XMLSchema" xmlns:p="http://schemas.microsoft.com/office/2006/metadata/properties" xmlns:ns2="427a1db5-2437-44f3-a84b-464aead4a71a" targetNamespace="http://schemas.microsoft.com/office/2006/metadata/properties" ma:root="true" ma:fieldsID="d822db9e2d05bc620d08fbffa4bfffa8" ns2:_="">
    <xsd:import namespace="427a1db5-2437-44f3-a84b-464aead4a7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a1db5-2437-44f3-a84b-464aead4a7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9A232C7-2FEB-48AF-808E-7895457166A7}"/>
</file>

<file path=customXml/itemProps2.xml><?xml version="1.0" encoding="utf-8"?>
<ds:datastoreItem xmlns:ds="http://schemas.openxmlformats.org/officeDocument/2006/customXml" ds:itemID="{9535F028-8FCF-46C4-8114-2A7EDA4520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5FDED7-FB62-4EA7-8F8B-28D7EDBF14BC}">
  <ds:schemaRefs>
    <ds:schemaRef ds:uri="http://schemas.microsoft.com/office/2006/metadata/properties"/>
    <ds:schemaRef ds:uri="http://schemas.microsoft.com/office/infopath/2007/PartnerControls"/>
    <ds:schemaRef ds:uri="2710bc8b-17c9-4e36-a567-5a8748d28b44"/>
    <ds:schemaRef ds:uri="f16ae08e-32aa-43c4-955b-813e13c9303e"/>
  </ds:schemaRefs>
</ds:datastoreItem>
</file>

<file path=customXml/itemProps4.xml><?xml version="1.0" encoding="utf-8"?>
<ds:datastoreItem xmlns:ds="http://schemas.openxmlformats.org/officeDocument/2006/customXml" ds:itemID="{5695B2F8-9AEA-45DC-BE4A-2B6D7FBB33D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ac69433e-9fbc-4566-9c7b-2629ed8b780f}" enabled="0" method="" siteId="{ac69433e-9fbc-4566-9c7b-2629ed8b78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cover</vt:lpstr>
      <vt:lpstr>input_output</vt:lpstr>
      <vt:lpstr>supporting_data</vt:lpstr>
      <vt:lpstr>cover!Area_stampa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Mattia Biolo</dc:creator>
  <cp:keywords/>
  <dc:description/>
  <cp:lastModifiedBy>Carmine Delli Quadri</cp:lastModifiedBy>
  <cp:revision/>
  <dcterms:created xsi:type="dcterms:W3CDTF">2024-04-17T15:02:09Z</dcterms:created>
  <dcterms:modified xsi:type="dcterms:W3CDTF">2024-05-16T09:08:44Z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0x0101003FF5BB9810E8454BA2B38D00B6D18848</vt:lpwstr>
  </property>
  <property fmtid="{D5CDD505-2E9C-101B-9397-08002B2CF9AE}" pid="3" name="MediaServiceImageTags">
    <vt:lpwstr/>
  </property>
</Properties>
</file>