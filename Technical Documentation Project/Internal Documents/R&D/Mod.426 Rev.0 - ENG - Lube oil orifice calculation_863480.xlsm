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Questa_cartella_di_lavoro" defaultThemeVersion="166925"/>
  <mc:AlternateContent xmlns:mc="http://schemas.openxmlformats.org/markup-compatibility/2006">
    <mc:Choice Requires="x15">
      <x15ac:absPath xmlns:x15ac="http://schemas.microsoft.com/office/spreadsheetml/2010/11/ac" url="C:\Users\400090\Downloads\"/>
    </mc:Choice>
  </mc:AlternateContent>
  <xr:revisionPtr revIDLastSave="0" documentId="13_ncr:1_{BF9AABA8-9298-40DB-A298-2577F03EAC6D}" xr6:coauthVersionLast="47" xr6:coauthVersionMax="47" xr10:uidLastSave="{00000000-0000-0000-0000-000000000000}"/>
  <bookViews>
    <workbookView xWindow="-120" yWindow="-120" windowWidth="29040" windowHeight="15840" xr2:uid="{06AFC2D6-E21C-428B-9A62-2068037C557A}"/>
  </bookViews>
  <sheets>
    <sheet name="cover" sheetId="7" r:id="rId1"/>
    <sheet name="orifice_calc" sheetId="4" r:id="rId2"/>
    <sheet name="oil_prop" sheetId="5" r:id="rId3"/>
    <sheet name="piping_dimension" sheetId="6"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4" l="1" a="1"/>
  <c r="D13" i="4" l="1"/>
  <c r="D166" i="4" l="1"/>
  <c r="D165" i="4"/>
  <c r="D143" i="4"/>
  <c r="D142" i="4"/>
  <c r="D115" i="4"/>
  <c r="D114" i="4"/>
  <c r="D87" i="4"/>
  <c r="D86" i="4"/>
  <c r="D58" i="4"/>
  <c r="D59" i="4"/>
  <c r="D31" i="4"/>
  <c r="D30" i="4"/>
  <c r="O18" i="4"/>
  <c r="R18" i="4" s="1"/>
  <c r="N17" i="4"/>
  <c r="Q17" i="4" s="1"/>
  <c r="N16" i="4"/>
  <c r="Q16" i="4" s="1"/>
  <c r="N15" i="4"/>
  <c r="S15" i="4" s="1"/>
  <c r="M15" i="4"/>
  <c r="P15" i="4" s="1"/>
  <c r="N14" i="4"/>
  <c r="Q14" i="4" s="1"/>
  <c r="M14" i="4"/>
  <c r="P14" i="4" s="1"/>
  <c r="N13" i="4"/>
  <c r="S13" i="4" s="1"/>
  <c r="M13" i="4"/>
  <c r="P13" i="4" s="1"/>
  <c r="N12" i="4"/>
  <c r="S12" i="4" s="1"/>
  <c r="M12" i="4"/>
  <c r="P12" i="4" s="1"/>
  <c r="S16" i="4" l="1"/>
  <c r="S17" i="4"/>
  <c r="Q15" i="4"/>
  <c r="S14" i="4"/>
  <c r="Q12" i="4"/>
  <c r="Q13" i="4"/>
  <c r="D157" i="4" l="1"/>
  <c r="D134" i="4"/>
  <c r="D106" i="4"/>
  <c r="D78" i="4"/>
  <c r="D50" i="4"/>
  <c r="D21" i="4"/>
  <c r="D22" i="4"/>
  <c r="D156" i="4"/>
  <c r="D133" i="4"/>
  <c r="D105" i="4"/>
  <c r="D77" i="4"/>
  <c r="D49" i="4"/>
  <c r="B35" i="6"/>
  <c r="L35" i="6" s="1" a="1"/>
  <c r="L35" i="6" s="1"/>
  <c r="B34" i="6"/>
  <c r="J34" i="6" s="1" a="1"/>
  <c r="J34" i="6" s="1"/>
  <c r="B33" i="6"/>
  <c r="M33" i="6" s="1" a="1"/>
  <c r="M33" i="6" s="1"/>
  <c r="B32" i="6"/>
  <c r="O32" i="6" s="1" a="1"/>
  <c r="O32" i="6" s="1"/>
  <c r="B31" i="6"/>
  <c r="H31" i="6" s="1" a="1"/>
  <c r="H31" i="6" s="1"/>
  <c r="B30" i="6"/>
  <c r="O30" i="6" s="1" a="1"/>
  <c r="O30" i="6" s="1"/>
  <c r="D135" i="4" l="1"/>
  <c r="D158" i="4"/>
  <c r="D107" i="4"/>
  <c r="D79" i="4"/>
  <c r="D51" i="4"/>
  <c r="L31" i="6" a="1"/>
  <c r="L31" i="6" s="1"/>
  <c r="G31" i="6" a="1"/>
  <c r="G31" i="6" s="1"/>
  <c r="G32" i="6" a="1"/>
  <c r="G32" i="6" s="1"/>
  <c r="D35" i="6" a="1"/>
  <c r="D35" i="6" s="1"/>
  <c r="C31" i="6" a="1"/>
  <c r="C31" i="6" s="1"/>
  <c r="M35" i="6" a="1"/>
  <c r="M35" i="6" s="1"/>
  <c r="M31" i="6" a="1"/>
  <c r="M31" i="6" s="1"/>
  <c r="N31" i="6" a="1"/>
  <c r="N31" i="6" s="1"/>
  <c r="E31" i="6" a="1"/>
  <c r="E31" i="6" s="1"/>
  <c r="G35" i="6" a="1"/>
  <c r="G35" i="6" s="1"/>
  <c r="D32" i="6" a="1"/>
  <c r="D32" i="6" s="1"/>
  <c r="J35" i="6" a="1"/>
  <c r="J35" i="6" s="1"/>
  <c r="D30" i="6" a="1"/>
  <c r="D30" i="6" s="1"/>
  <c r="G30" i="6" a="1"/>
  <c r="G30" i="6" s="1"/>
  <c r="J30" i="6" a="1"/>
  <c r="J30" i="6" s="1"/>
  <c r="M30" i="6" a="1"/>
  <c r="M30" i="6" s="1"/>
  <c r="J32" i="6" a="1"/>
  <c r="J32" i="6" s="1"/>
  <c r="E30" i="6" a="1"/>
  <c r="E30" i="6" s="1"/>
  <c r="H30" i="6" a="1"/>
  <c r="H30" i="6" s="1"/>
  <c r="K30" i="6" a="1"/>
  <c r="K30" i="6" s="1"/>
  <c r="N30" i="6" a="1"/>
  <c r="N30" i="6" s="1"/>
  <c r="I31" i="6" a="1"/>
  <c r="I31" i="6" s="1"/>
  <c r="M32" i="6" a="1"/>
  <c r="M32" i="6" s="1"/>
  <c r="C30" i="6" a="1"/>
  <c r="C30" i="6" s="1"/>
  <c r="F30" i="6" a="1"/>
  <c r="F30" i="6" s="1"/>
  <c r="I30" i="6" a="1"/>
  <c r="I30" i="6" s="1"/>
  <c r="L30" i="6" a="1"/>
  <c r="L30" i="6" s="1"/>
  <c r="H33" i="6" a="1"/>
  <c r="H33" i="6" s="1"/>
  <c r="K31" i="6" a="1"/>
  <c r="K31" i="6" s="1"/>
  <c r="E32" i="6" a="1"/>
  <c r="E32" i="6" s="1"/>
  <c r="K32" i="6" a="1"/>
  <c r="K32" i="6" s="1"/>
  <c r="C33" i="6" a="1"/>
  <c r="C33" i="6" s="1"/>
  <c r="I33" i="6" a="1"/>
  <c r="I33" i="6" s="1"/>
  <c r="O33" i="6" a="1"/>
  <c r="O33" i="6" s="1"/>
  <c r="H35" i="6" a="1"/>
  <c r="H35" i="6" s="1"/>
  <c r="N35" i="6" a="1"/>
  <c r="N35" i="6" s="1"/>
  <c r="K33" i="6" a="1"/>
  <c r="K33" i="6" s="1"/>
  <c r="N33" i="6" a="1"/>
  <c r="N33" i="6" s="1"/>
  <c r="O31" i="6" a="1"/>
  <c r="O31" i="6" s="1"/>
  <c r="J31" i="6" a="1"/>
  <c r="J31" i="6" s="1"/>
  <c r="F31" i="6" a="1"/>
  <c r="F31" i="6" s="1"/>
  <c r="F32" i="6" a="1"/>
  <c r="F32" i="6" s="1"/>
  <c r="L32" i="6" a="1"/>
  <c r="L32" i="6" s="1"/>
  <c r="D33" i="6" a="1"/>
  <c r="D33" i="6" s="1"/>
  <c r="J33" i="6" a="1"/>
  <c r="J33" i="6" s="1"/>
  <c r="C35" i="6" a="1"/>
  <c r="C35" i="6" s="1"/>
  <c r="I35" i="6" a="1"/>
  <c r="I35" i="6" s="1"/>
  <c r="O35" i="6" a="1"/>
  <c r="O35" i="6" s="1"/>
  <c r="E33" i="6" a="1"/>
  <c r="E33" i="6" s="1"/>
  <c r="D31" i="6" a="1"/>
  <c r="D31" i="6" s="1"/>
  <c r="H32" i="6" a="1"/>
  <c r="H32" i="6" s="1"/>
  <c r="N32" i="6" a="1"/>
  <c r="N32" i="6" s="1"/>
  <c r="F33" i="6" a="1"/>
  <c r="F33" i="6" s="1"/>
  <c r="L33" i="6" a="1"/>
  <c r="L33" i="6" s="1"/>
  <c r="E35" i="6" a="1"/>
  <c r="E35" i="6" s="1"/>
  <c r="K35" i="6" a="1"/>
  <c r="K35" i="6" s="1"/>
  <c r="C32" i="6" a="1"/>
  <c r="C32" i="6" s="1"/>
  <c r="I32" i="6" a="1"/>
  <c r="I32" i="6" s="1"/>
  <c r="G33" i="6" a="1"/>
  <c r="G33" i="6" s="1"/>
  <c r="F35" i="6" a="1"/>
  <c r="F35" i="6" s="1"/>
  <c r="D23" i="4"/>
  <c r="L34" i="6" a="1"/>
  <c r="L34" i="6" s="1"/>
  <c r="C34" i="6" a="1"/>
  <c r="C34" i="6" s="1"/>
  <c r="H34" i="6" a="1"/>
  <c r="H34" i="6" s="1"/>
  <c r="N34" i="6" a="1"/>
  <c r="N34" i="6" s="1"/>
  <c r="K34" i="6" a="1"/>
  <c r="K34" i="6" s="1"/>
  <c r="F34" i="6" a="1"/>
  <c r="F34" i="6" s="1"/>
  <c r="M34" i="6" a="1"/>
  <c r="M34" i="6" s="1"/>
  <c r="I34" i="6" a="1"/>
  <c r="I34" i="6" s="1"/>
  <c r="O34" i="6" a="1"/>
  <c r="O34" i="6" s="1"/>
  <c r="E34" i="6" a="1"/>
  <c r="E34" i="6" s="1"/>
  <c r="G34" i="6" a="1"/>
  <c r="G34" i="6" s="1"/>
  <c r="D34" i="6" a="1"/>
  <c r="D34" i="6" s="1"/>
  <c r="K2" i="5" l="1"/>
  <c r="P1" i="5" s="1" a="1"/>
  <c r="P1" i="5" s="1"/>
  <c r="D153" i="4"/>
  <c r="M17" i="4" s="1"/>
  <c r="P17" i="4" s="1"/>
  <c r="D129" i="4"/>
  <c r="D152" i="4"/>
  <c r="D168" i="4"/>
  <c r="D167" i="4" s="1"/>
  <c r="D159" i="4"/>
  <c r="D130" i="4"/>
  <c r="M16" i="4" s="1"/>
  <c r="D145" i="4"/>
  <c r="D144" i="4" s="1"/>
  <c r="D136" i="4"/>
  <c r="P16" i="4" l="1"/>
  <c r="M18" i="4"/>
  <c r="P18" i="4" s="1"/>
  <c r="D137" i="4"/>
  <c r="K4" i="5"/>
  <c r="L23" i="5"/>
  <c r="L21" i="5"/>
  <c r="L19" i="5"/>
  <c r="L17" i="5"/>
  <c r="L15" i="5"/>
  <c r="L13" i="5"/>
  <c r="L11" i="5"/>
  <c r="L9" i="5"/>
  <c r="L7" i="5"/>
  <c r="L5" i="5"/>
  <c r="K23" i="5"/>
  <c r="K21" i="5"/>
  <c r="K19" i="5"/>
  <c r="K17" i="5"/>
  <c r="K15" i="5"/>
  <c r="K13" i="5"/>
  <c r="K11" i="5"/>
  <c r="K9" i="5"/>
  <c r="K7" i="5"/>
  <c r="K5" i="5"/>
  <c r="M24" i="5"/>
  <c r="M22" i="5"/>
  <c r="M20" i="5"/>
  <c r="M18" i="5"/>
  <c r="M16" i="5"/>
  <c r="M14" i="5"/>
  <c r="M12" i="5"/>
  <c r="M10" i="5"/>
  <c r="M8" i="5"/>
  <c r="M6" i="5"/>
  <c r="M4" i="5"/>
  <c r="L4" i="5"/>
  <c r="K22" i="5"/>
  <c r="K20" i="5"/>
  <c r="K18" i="5"/>
  <c r="K16" i="5"/>
  <c r="K14" i="5"/>
  <c r="K12" i="5"/>
  <c r="K10" i="5"/>
  <c r="K8" i="5"/>
  <c r="K6" i="5"/>
  <c r="M23" i="5"/>
  <c r="M21" i="5"/>
  <c r="M19" i="5"/>
  <c r="M17" i="5"/>
  <c r="M15" i="5"/>
  <c r="M13" i="5"/>
  <c r="M11" i="5"/>
  <c r="M9" i="5"/>
  <c r="M7" i="5"/>
  <c r="M5" i="5"/>
  <c r="L24" i="5"/>
  <c r="L22" i="5"/>
  <c r="L20" i="5"/>
  <c r="L18" i="5"/>
  <c r="L16" i="5"/>
  <c r="L14" i="5"/>
  <c r="L12" i="5"/>
  <c r="L10" i="5"/>
  <c r="L8" i="5"/>
  <c r="L6" i="5"/>
  <c r="K24" i="5"/>
  <c r="D160" i="4"/>
  <c r="D12" i="4" a="1"/>
  <c r="D12" i="4" l="1"/>
  <c r="D161" i="4"/>
  <c r="D122" i="4"/>
  <c r="D117" i="4"/>
  <c r="D108" i="4"/>
  <c r="D109" i="4" s="1"/>
  <c r="D94" i="4"/>
  <c r="D89" i="4"/>
  <c r="D80" i="4"/>
  <c r="D81" i="4" s="1"/>
  <c r="D66" i="4"/>
  <c r="D61" i="4"/>
  <c r="D52" i="4"/>
  <c r="D33" i="4"/>
  <c r="D24" i="4"/>
  <c r="D38" i="4"/>
  <c r="D138" i="4" l="1"/>
  <c r="D162" i="4"/>
  <c r="D169" i="4" s="1"/>
  <c r="D171" i="4" s="1"/>
  <c r="D172" i="4" s="1"/>
  <c r="O17" i="4" s="1"/>
  <c r="D82" i="4"/>
  <c r="D110" i="4"/>
  <c r="R17" i="4" l="1"/>
  <c r="T17" i="4"/>
  <c r="D139" i="4"/>
  <c r="D146" i="4" s="1"/>
  <c r="D148" i="4" s="1"/>
  <c r="D111" i="4"/>
  <c r="D118" i="4" s="1"/>
  <c r="D120" i="4" s="1"/>
  <c r="D83" i="4"/>
  <c r="D95" i="4" s="1"/>
  <c r="D97" i="4" s="1"/>
  <c r="D149" i="4" l="1"/>
  <c r="O16" i="4" s="1"/>
  <c r="D98" i="4"/>
  <c r="O14" i="4" s="1"/>
  <c r="D90" i="4"/>
  <c r="D92" i="4" s="1"/>
  <c r="D123" i="4"/>
  <c r="D125" i="4" s="1"/>
  <c r="D126" i="4" s="1"/>
  <c r="O15" i="4" s="1"/>
  <c r="T16" i="4" l="1"/>
  <c r="R16" i="4"/>
  <c r="R14" i="4"/>
  <c r="T14" i="4"/>
  <c r="R15" i="4"/>
  <c r="T15" i="4"/>
  <c r="D53" i="4"/>
  <c r="D54" i="4" s="1"/>
  <c r="D25" i="4"/>
  <c r="D26" i="4" s="1"/>
  <c r="D27" i="4" s="1"/>
  <c r="D39" i="4" l="1"/>
  <c r="D55" i="4"/>
  <c r="D67" i="4" s="1"/>
  <c r="D41" i="4" l="1"/>
  <c r="D42" i="4" s="1"/>
  <c r="O12" i="4" s="1"/>
  <c r="D34" i="4"/>
  <c r="D36" i="4" s="1"/>
  <c r="D62" i="4"/>
  <c r="D64" i="4" s="1"/>
  <c r="D69" i="4"/>
  <c r="D70" i="4" s="1"/>
  <c r="O13" i="4" s="1"/>
  <c r="T13" i="4" l="1"/>
  <c r="R13" i="4"/>
  <c r="R12" i="4"/>
  <c r="T12" i="4"/>
  <c r="D65" i="4"/>
  <c r="D121" i="4"/>
  <c r="D93" i="4"/>
  <c r="D37" i="4"/>
  <c r="I12"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<sst xmlns="http://schemas.openxmlformats.org/spreadsheetml/2006/main" count="627" uniqueCount="140">
  <si>
    <t>[mm]</t>
  </si>
  <si>
    <t>ISO VG</t>
  </si>
  <si>
    <t>[°C]</t>
  </si>
  <si>
    <t>[inch]</t>
  </si>
  <si>
    <t>[lpm]</t>
  </si>
  <si>
    <t>A</t>
  </si>
  <si>
    <t>L1</t>
  </si>
  <si>
    <t>L2</t>
  </si>
  <si>
    <t>M2</t>
  </si>
  <si>
    <t>C</t>
  </si>
  <si>
    <t>[m/s]</t>
  </si>
  <si>
    <t>∆P</t>
  </si>
  <si>
    <t>[bar]</t>
  </si>
  <si>
    <t>[barg]</t>
  </si>
  <si>
    <t>Oil type</t>
  </si>
  <si>
    <t>ν</t>
  </si>
  <si>
    <t>ρ</t>
  </si>
  <si>
    <t>Oil supply pressure</t>
  </si>
  <si>
    <t>Q</t>
  </si>
  <si>
    <t>Oil flowrate</t>
  </si>
  <si>
    <t>d</t>
  </si>
  <si>
    <t>Restriction orifice diameter</t>
  </si>
  <si>
    <t>Internal pipe diameter</t>
  </si>
  <si>
    <t>p</t>
  </si>
  <si>
    <t>Pipe area</t>
  </si>
  <si>
    <t>Ratio between orifice and pipe diameters</t>
  </si>
  <si>
    <t>Reynolds number referred to pipe diameter</t>
  </si>
  <si>
    <t>Ratio between orifice-tapping point distance and orifice diameter</t>
  </si>
  <si>
    <t>β</t>
  </si>
  <si>
    <t>Fluid speed in piping</t>
  </si>
  <si>
    <t>LINE 1: EXTERNAL SIDE THRUST BEARING</t>
  </si>
  <si>
    <t>LINE 2: INTERNAL SIDE THRUST BEARING</t>
  </si>
  <si>
    <t>LINE 3: NDE JOURNAL BEARING</t>
  </si>
  <si>
    <t>LINE 4: DE JOURNAL BEARING</t>
  </si>
  <si>
    <t>LINE 5</t>
  </si>
  <si>
    <t>LINE 6</t>
  </si>
  <si>
    <t>T [°C]</t>
  </si>
  <si>
    <t>μ [cP]</t>
  </si>
  <si>
    <t>ν [cSt]</t>
  </si>
  <si>
    <r>
      <t>ρ [g/m</t>
    </r>
    <r>
      <rPr>
        <vertAlign val="superscript"/>
        <sz val="11"/>
        <color theme="1"/>
        <rFont val="Calibri"/>
        <family val="2"/>
      </rPr>
      <t>3</t>
    </r>
    <r>
      <rPr>
        <sz val="11"/>
        <color theme="1"/>
        <rFont val="Calibri"/>
        <family val="2"/>
      </rPr>
      <t>]</t>
    </r>
  </si>
  <si>
    <t>Oil ID</t>
  </si>
  <si>
    <t>Oil pressure at bearing inlet</t>
  </si>
  <si>
    <t>#</t>
  </si>
  <si>
    <t>DN</t>
  </si>
  <si>
    <t>D_ext</t>
  </si>
  <si>
    <t>Std</t>
  </si>
  <si>
    <t>XS</t>
  </si>
  <si>
    <t>XXS</t>
  </si>
  <si>
    <t>1/8"</t>
  </si>
  <si>
    <t>N/A</t>
  </si>
  <si>
    <t>1/4"</t>
  </si>
  <si>
    <t>3/8"</t>
  </si>
  <si>
    <t>1/2"</t>
  </si>
  <si>
    <t>3/4"</t>
  </si>
  <si>
    <t>1"</t>
  </si>
  <si>
    <t>1"1/4</t>
  </si>
  <si>
    <t>1"1/2</t>
  </si>
  <si>
    <t>2"</t>
  </si>
  <si>
    <t>2"1/2</t>
  </si>
  <si>
    <t>3"</t>
  </si>
  <si>
    <t>3"1/2</t>
  </si>
  <si>
    <t>4"</t>
  </si>
  <si>
    <t>5"</t>
  </si>
  <si>
    <t>6"</t>
  </si>
  <si>
    <t>8"</t>
  </si>
  <si>
    <t>10"</t>
  </si>
  <si>
    <t>12"</t>
  </si>
  <si>
    <t>14"</t>
  </si>
  <si>
    <t>16"</t>
  </si>
  <si>
    <t>18"</t>
  </si>
  <si>
    <t>20"</t>
  </si>
  <si>
    <t>24"</t>
  </si>
  <si>
    <t>30"</t>
  </si>
  <si>
    <t>Schedule</t>
  </si>
  <si>
    <t>Pipe schedule</t>
  </si>
  <si>
    <t>Sch.</t>
  </si>
  <si>
    <t>t</t>
  </si>
  <si>
    <t>Pipe thickness</t>
  </si>
  <si>
    <t>External pipe diameter</t>
  </si>
  <si>
    <t>Line</t>
  </si>
  <si>
    <t>Selcted piping</t>
  </si>
  <si>
    <t>Text</t>
  </si>
  <si>
    <t>[nr]</t>
  </si>
  <si>
    <t>Max number of iterations</t>
  </si>
  <si>
    <t>Notes diameter</t>
  </si>
  <si>
    <t>Notes pressure</t>
  </si>
  <si>
    <t>Legend</t>
  </si>
  <si>
    <t>Actual accuracy</t>
  </si>
  <si>
    <t>Actual accuracy of calculated data</t>
  </si>
  <si>
    <t>Required accuracy in pressures' calculations</t>
  </si>
  <si>
    <t>Accuracy</t>
  </si>
  <si>
    <t>Iteration</t>
  </si>
  <si>
    <t>Revision</t>
  </si>
  <si>
    <t>By</t>
  </si>
  <si>
    <t>Approved</t>
  </si>
  <si>
    <t>Date</t>
  </si>
  <si>
    <t>Detail of revision</t>
  </si>
  <si>
    <t>Mattia Di Somma</t>
  </si>
  <si>
    <t>Lube oil orifice calculation</t>
  </si>
  <si>
    <t>OPERATING DATA</t>
  </si>
  <si>
    <t>input data</t>
  </si>
  <si>
    <t>descriptor</t>
  </si>
  <si>
    <t>calculated formula</t>
  </si>
  <si>
    <r>
      <t>ν</t>
    </r>
    <r>
      <rPr>
        <vertAlign val="subscript"/>
        <sz val="11"/>
        <color theme="0"/>
        <rFont val="Calibri"/>
        <family val="2"/>
      </rPr>
      <t>nominal</t>
    </r>
  </si>
  <si>
    <r>
      <t>T</t>
    </r>
    <r>
      <rPr>
        <vertAlign val="subscript"/>
        <sz val="11"/>
        <color theme="0"/>
        <rFont val="Calibri"/>
        <family val="2"/>
        <scheme val="minor"/>
      </rPr>
      <t>inlet</t>
    </r>
  </si>
  <si>
    <r>
      <t>p</t>
    </r>
    <r>
      <rPr>
        <vertAlign val="subscript"/>
        <sz val="11"/>
        <color theme="0"/>
        <rFont val="Calibri"/>
        <family val="2"/>
        <scheme val="minor"/>
      </rPr>
      <t>7</t>
    </r>
  </si>
  <si>
    <r>
      <t>D</t>
    </r>
    <r>
      <rPr>
        <vertAlign val="subscript"/>
        <sz val="11"/>
        <color theme="0"/>
        <rFont val="Calibri"/>
        <family val="2"/>
        <scheme val="minor"/>
      </rPr>
      <t>ext</t>
    </r>
  </si>
  <si>
    <r>
      <t>D</t>
    </r>
    <r>
      <rPr>
        <vertAlign val="subscript"/>
        <sz val="11"/>
        <color theme="0"/>
        <rFont val="Calibri"/>
        <family val="2"/>
        <scheme val="minor"/>
      </rPr>
      <t>int</t>
    </r>
  </si>
  <si>
    <r>
      <t>A</t>
    </r>
    <r>
      <rPr>
        <vertAlign val="subscript"/>
        <sz val="11"/>
        <color theme="0"/>
        <rFont val="Calibri"/>
        <family val="2"/>
        <scheme val="minor"/>
      </rPr>
      <t>pipe</t>
    </r>
  </si>
  <si>
    <r>
      <t>c</t>
    </r>
    <r>
      <rPr>
        <vertAlign val="subscript"/>
        <sz val="11"/>
        <color theme="0"/>
        <rFont val="Calibri"/>
        <family val="2"/>
        <scheme val="minor"/>
      </rPr>
      <t>pipe</t>
    </r>
  </si>
  <si>
    <r>
      <t>Re</t>
    </r>
    <r>
      <rPr>
        <vertAlign val="subscript"/>
        <sz val="11"/>
        <color theme="0"/>
        <rFont val="Calibri"/>
        <family val="2"/>
        <scheme val="minor"/>
      </rPr>
      <t>D</t>
    </r>
  </si>
  <si>
    <r>
      <t>d</t>
    </r>
    <r>
      <rPr>
        <vertAlign val="subscript"/>
        <sz val="11"/>
        <color theme="0"/>
        <rFont val="Calibri"/>
        <family val="2"/>
        <scheme val="minor"/>
      </rPr>
      <t>orifice</t>
    </r>
    <r>
      <rPr>
        <sz val="11"/>
        <color theme="0"/>
        <rFont val="Calibri"/>
        <family val="2"/>
        <scheme val="minor"/>
      </rPr>
      <t>*</t>
    </r>
  </si>
  <si>
    <r>
      <t>p</t>
    </r>
    <r>
      <rPr>
        <vertAlign val="subscript"/>
        <sz val="11"/>
        <color theme="0"/>
        <rFont val="Calibri"/>
        <family val="2"/>
        <scheme val="minor"/>
      </rPr>
      <t>1</t>
    </r>
  </si>
  <si>
    <r>
      <t>p</t>
    </r>
    <r>
      <rPr>
        <vertAlign val="subscript"/>
        <sz val="11"/>
        <color theme="0"/>
        <rFont val="Calibri"/>
        <family val="2"/>
        <scheme val="minor"/>
      </rPr>
      <t>2</t>
    </r>
  </si>
  <si>
    <r>
      <t>p</t>
    </r>
    <r>
      <rPr>
        <vertAlign val="subscript"/>
        <sz val="11"/>
        <color theme="0"/>
        <rFont val="Calibri"/>
        <family val="2"/>
        <scheme val="minor"/>
      </rPr>
      <t>3</t>
    </r>
  </si>
  <si>
    <r>
      <t>p</t>
    </r>
    <r>
      <rPr>
        <vertAlign val="subscript"/>
        <sz val="11"/>
        <color theme="0"/>
        <rFont val="Calibri"/>
        <family val="2"/>
        <scheme val="minor"/>
      </rPr>
      <t>4</t>
    </r>
  </si>
  <si>
    <r>
      <t>p</t>
    </r>
    <r>
      <rPr>
        <vertAlign val="subscript"/>
        <sz val="11"/>
        <color theme="0"/>
        <rFont val="Calibri"/>
        <family val="2"/>
        <scheme val="minor"/>
      </rPr>
      <t>5</t>
    </r>
  </si>
  <si>
    <r>
      <t>p</t>
    </r>
    <r>
      <rPr>
        <vertAlign val="subscript"/>
        <sz val="11"/>
        <color theme="0"/>
        <rFont val="Calibri"/>
        <family val="2"/>
        <scheme val="minor"/>
      </rPr>
      <t>6</t>
    </r>
  </si>
  <si>
    <r>
      <t>[mm</t>
    </r>
    <r>
      <rPr>
        <vertAlign val="superscript"/>
        <sz val="11"/>
        <color theme="0"/>
        <rFont val="Calibri"/>
        <family val="2"/>
        <scheme val="minor"/>
      </rPr>
      <t>2</t>
    </r>
    <r>
      <rPr>
        <sz val="11"/>
        <color theme="0"/>
        <rFont val="Calibri"/>
        <family val="2"/>
        <scheme val="minor"/>
      </rPr>
      <t>]</t>
    </r>
  </si>
  <si>
    <r>
      <t>[kg/m</t>
    </r>
    <r>
      <rPr>
        <vertAlign val="superscript"/>
        <sz val="11"/>
        <color theme="0"/>
        <rFont val="Calibri"/>
        <family val="2"/>
        <scheme val="minor"/>
      </rPr>
      <t>3</t>
    </r>
    <r>
      <rPr>
        <sz val="11"/>
        <color theme="0"/>
        <rFont val="Calibri"/>
        <family val="2"/>
        <scheme val="minor"/>
      </rPr>
      <t>]</t>
    </r>
  </si>
  <si>
    <r>
      <t>[mm</t>
    </r>
    <r>
      <rPr>
        <vertAlign val="superscript"/>
        <sz val="11"/>
        <color theme="0"/>
        <rFont val="Calibri"/>
        <family val="2"/>
        <scheme val="minor"/>
      </rPr>
      <t>2</t>
    </r>
    <r>
      <rPr>
        <sz val="11"/>
        <color theme="0"/>
        <rFont val="Calibri"/>
        <family val="2"/>
        <scheme val="minor"/>
      </rPr>
      <t>/s]</t>
    </r>
  </si>
  <si>
    <t>Discharge coefficient (ref. ISO 5167-2 sect. 5.3.2.1)</t>
  </si>
  <si>
    <t>Pressure drop across balancing orifice (ref. ISO 5167-2 sect. 4)</t>
  </si>
  <si>
    <t>Restriction orifice diameter (exact calculation)</t>
  </si>
  <si>
    <t>= Acceptable data.</t>
  </si>
  <si>
    <t>= Not optimal data. User shall modify input data to have fully acceptable solution (green). If not possibile, yellow fields can be accepted as well.</t>
  </si>
  <si>
    <t>= Not acceptable data. User shall modify input data to find an acceptable solution.</t>
  </si>
  <si>
    <t>Warnings legend</t>
  </si>
  <si>
    <t>CALCULATION PARAMETERS</t>
  </si>
  <si>
    <t>CALCULATED DATA</t>
  </si>
  <si>
    <t>Oil supply temperature (45 - 60°C)</t>
  </si>
  <si>
    <t>Distance of the upstream tapping point from the upstream face of the orifice plate</t>
  </si>
  <si>
    <t>Distance of the downstream tapping point from the downstream face of the orifice plate</t>
  </si>
  <si>
    <r>
      <t>l</t>
    </r>
    <r>
      <rPr>
        <vertAlign val="subscript"/>
        <sz val="11"/>
        <color theme="0"/>
        <rFont val="Calibri"/>
        <family val="2"/>
        <scheme val="minor"/>
      </rPr>
      <t>1</t>
    </r>
  </si>
  <si>
    <r>
      <t>l</t>
    </r>
    <r>
      <rPr>
        <vertAlign val="subscript"/>
        <sz val="11"/>
        <color theme="0"/>
        <rFont val="Calibri"/>
        <family val="2"/>
        <scheme val="minor"/>
      </rPr>
      <t>2</t>
    </r>
  </si>
  <si>
    <t>Required oil supply pressure at bearing inlet (commonly 0.6 - 1.0 barg)</t>
  </si>
  <si>
    <t>Pipe external diameter</t>
  </si>
  <si>
    <t>Oil density at inlet temperature</t>
  </si>
  <si>
    <t>Oil viscosity at inlet temperature</t>
  </si>
  <si>
    <t>Mod.426 Lube oil orifice calculation - Linked to SOP-476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</si>
</sst>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
  </numFmts>
  <fonts count="15" x14ac:knownFonts="1">
    <font>
      <sz val="11"/>
      <color theme="1"/>
      <name val="Calibri"/>
      <family val="2"/>
      <scheme val="minor"/>
    </font>
    <font>
      <sz val="11"/>
      <color theme="1"/>
      <name val="Calibri"/>
      <family val="2"/>
    </font>
    <font>
      <b/>
      <sz val="11"/>
      <color theme="1"/>
      <name val="Calibri"/>
      <family val="2"/>
      <scheme val="minor"/>
    </font>
    <font>
      <vertAlign val="superscript"/>
      <sz val="11"/>
      <color theme="1"/>
      <name val="Calibri"/>
      <family val="2"/>
    </font>
    <font>
      <b/>
      <sz val="11"/>
      <name val="Calibri"/>
      <family val="2"/>
      <scheme val="minor"/>
    </font>
    <font>
      <sz val="11"/>
      <name val="Calibri"/>
      <family val="2"/>
      <scheme val="minor"/>
    </font>
    <font>
      <sz val="18"/>
      <color theme="3"/>
      <name val="Calibri Light"/>
      <family val="2"/>
      <scheme val="major"/>
    </font>
    <font>
      <b/>
      <sz val="11"/>
      <color theme="0"/>
      <name val="Calibri"/>
      <family val="2"/>
      <scheme val="minor"/>
    </font>
    <font>
      <sz val="11"/>
      <color theme="0"/>
      <name val="Calibri"/>
      <family val="2"/>
      <scheme val="minor"/>
    </font>
    <font>
      <b/>
      <sz val="18"/>
      <color theme="3"/>
      <name val="Calibri Light"/>
      <family val="2"/>
      <scheme val="major"/>
    </font>
    <font>
      <b/>
      <sz val="11"/>
      <color theme="1"/>
      <name val="Calibri"/>
      <family val="2"/>
    </font>
    <font>
      <b/>
      <u/>
      <sz val="11"/>
      <color theme="1"/>
      <name val="Calibri"/>
      <family val="2"/>
      <scheme val="minor"/>
    </font>
    <font>
      <vertAlign val="subscript"/>
      <sz val="11"/>
      <color theme="0"/>
      <name val="Calibri"/>
      <family val="2"/>
    </font>
    <font>
      <vertAlign val="subscript"/>
      <sz val="11"/>
      <color theme="0"/>
      <name val="Calibri"/>
      <family val="2"/>
      <scheme val="minor"/>
    </font>
    <font>
      <vertAlign val="superscript"/>
      <sz val="11"/>
      <color theme="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rgb="FFFFFF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96">
    <xf numFmtId="0" fontId="0" fillId="0" borderId="0" xfId="0"/>
    <xf numFmtId="0" fontId="0" fillId="0" borderId="1" xfId="0" applyBorder="1" applyAlignment="1">
      <alignment horizontal="left"/>
    </xf>
    <xf numFmtId="0" fontId="0" fillId="0" borderId="1" xfId="0" applyBorder="1"/>
    <xf numFmtId="0" fontId="0" fillId="0" borderId="0" xfId="0" applyAlignment="1">
      <alignment horizontal="center"/>
    </xf>
    <xf numFmtId="0" fontId="2" fillId="0" borderId="0" xfId="0" applyFont="1"/>
    <xf numFmtId="0" fontId="1" fillId="0" borderId="7" xfId="0" applyFont="1" applyBorder="1" applyAlignment="1">
      <alignment horizontal="center"/>
    </xf>
    <xf numFmtId="0" fontId="1" fillId="0" borderId="0" xfId="0" applyFont="1" applyAlignment="1">
      <alignment horizontal="center"/>
    </xf>
    <xf numFmtId="0" fontId="1" fillId="0" borderId="8"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applyAlignment="1">
      <alignment horizontal="center"/>
    </xf>
    <xf numFmtId="0" fontId="4" fillId="0" borderId="3" xfId="0" applyFont="1" applyBorder="1" applyAlignment="1">
      <alignment horizontal="left" vertical="center" wrapText="1"/>
    </xf>
    <xf numFmtId="0" fontId="4" fillId="0" borderId="1" xfId="0" applyFont="1" applyBorder="1" applyAlignment="1">
      <alignment horizontal="left" vertical="center" wrapText="1"/>
    </xf>
    <xf numFmtId="0" fontId="5" fillId="0" borderId="1" xfId="0" applyFont="1" applyBorder="1" applyAlignment="1">
      <alignment horizontal="left" vertical="center" wrapText="1"/>
    </xf>
    <xf numFmtId="0" fontId="2" fillId="0" borderId="1" xfId="0" applyFont="1" applyBorder="1"/>
    <xf numFmtId="0" fontId="4" fillId="0" borderId="1" xfId="0" applyFont="1" applyBorder="1" applyAlignment="1">
      <alignment horizontal="left" wrapText="1"/>
    </xf>
    <xf numFmtId="0" fontId="4"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 fillId="0" borderId="1" xfId="0" applyFont="1" applyBorder="1" applyAlignment="1">
      <alignment horizontal="center"/>
    </xf>
    <xf numFmtId="0" fontId="0" fillId="0" borderId="1" xfId="0" applyBorder="1" applyAlignment="1">
      <alignment horizontal="center"/>
    </xf>
    <xf numFmtId="0" fontId="5" fillId="0" borderId="0" xfId="0" applyFont="1" applyAlignment="1">
      <alignment horizontal="center" vertical="center"/>
    </xf>
    <xf numFmtId="0" fontId="11" fillId="2" borderId="1"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20" xfId="0" applyFont="1" applyFill="1" applyBorder="1" applyAlignment="1">
      <alignment horizontal="center" vertical="center"/>
    </xf>
    <xf numFmtId="0" fontId="0" fillId="0" borderId="19" xfId="0" applyBorder="1" applyAlignment="1">
      <alignment horizontal="center"/>
    </xf>
    <xf numFmtId="0" fontId="0" fillId="0" borderId="20" xfId="0" applyBorder="1" applyAlignment="1">
      <alignment horizontal="center"/>
    </xf>
    <xf numFmtId="0" fontId="8" fillId="0" borderId="1" xfId="0" applyFont="1" applyBorder="1" applyAlignment="1">
      <alignment horizontal="left"/>
    </xf>
    <xf numFmtId="0" fontId="11" fillId="2" borderId="1" xfId="0" applyFont="1" applyFill="1" applyBorder="1" applyAlignment="1">
      <alignment horizontal="center"/>
    </xf>
    <xf numFmtId="0" fontId="5" fillId="0" borderId="0" xfId="0" applyFont="1" applyAlignment="1">
      <alignment horizontal="left" vertical="center"/>
    </xf>
    <xf numFmtId="0" fontId="5" fillId="0" borderId="0" xfId="0" applyFont="1" applyAlignment="1">
      <alignment horizontal="left"/>
    </xf>
    <xf numFmtId="2" fontId="5" fillId="4" borderId="19" xfId="0" applyNumberFormat="1" applyFont="1" applyFill="1" applyBorder="1" applyAlignment="1" applyProtection="1">
      <alignment horizontal="center" vertical="center"/>
      <protection locked="0"/>
    </xf>
    <xf numFmtId="2" fontId="5" fillId="4" borderId="20" xfId="0" applyNumberFormat="1" applyFont="1" applyFill="1" applyBorder="1" applyAlignment="1" applyProtection="1">
      <alignment horizontal="center" vertical="center"/>
      <protection locked="0"/>
    </xf>
    <xf numFmtId="2" fontId="5" fillId="0" borderId="20" xfId="0" applyNumberFormat="1" applyFont="1" applyBorder="1" applyAlignment="1">
      <alignment horizontal="center" vertical="center"/>
    </xf>
    <xf numFmtId="2" fontId="5" fillId="0" borderId="20" xfId="0" applyNumberFormat="1" applyFont="1" applyBorder="1" applyAlignment="1" applyProtection="1">
      <alignment horizontal="center" vertical="center"/>
      <protection locked="0"/>
    </xf>
    <xf numFmtId="165" fontId="5" fillId="0" borderId="20" xfId="0" applyNumberFormat="1" applyFont="1" applyBorder="1" applyAlignment="1">
      <alignment horizontal="center" vertical="center"/>
    </xf>
    <xf numFmtId="164" fontId="5" fillId="0" borderId="20" xfId="0" applyNumberFormat="1" applyFont="1" applyBorder="1" applyAlignment="1">
      <alignment horizontal="center" vertical="center"/>
    </xf>
    <xf numFmtId="166" fontId="5" fillId="4" borderId="20" xfId="0" applyNumberFormat="1" applyFont="1" applyFill="1" applyBorder="1" applyAlignment="1" applyProtection="1">
      <alignment horizontal="center" vertical="center"/>
      <protection locked="0"/>
    </xf>
    <xf numFmtId="166" fontId="5" fillId="0" borderId="20" xfId="0" applyNumberFormat="1" applyFont="1" applyBorder="1" applyAlignment="1">
      <alignment horizontal="center"/>
    </xf>
    <xf numFmtId="0" fontId="5" fillId="0" borderId="19" xfId="0" applyFont="1" applyBorder="1" applyAlignment="1">
      <alignment horizontal="center"/>
    </xf>
    <xf numFmtId="164" fontId="5" fillId="0" borderId="19" xfId="0" applyNumberFormat="1" applyFont="1" applyBorder="1" applyAlignment="1">
      <alignment horizontal="center"/>
    </xf>
    <xf numFmtId="165" fontId="5" fillId="0" borderId="19" xfId="0" applyNumberFormat="1" applyFont="1" applyBorder="1" applyAlignment="1">
      <alignment horizontal="center" vertical="center"/>
    </xf>
    <xf numFmtId="164" fontId="5" fillId="0" borderId="19" xfId="0" applyNumberFormat="1" applyFont="1" applyBorder="1" applyAlignment="1">
      <alignment horizontal="center" vertical="center"/>
    </xf>
    <xf numFmtId="164" fontId="5" fillId="0" borderId="19" xfId="0" applyNumberFormat="1"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center"/>
    </xf>
    <xf numFmtId="164" fontId="5" fillId="0" borderId="20" xfId="0" applyNumberFormat="1" applyFont="1" applyBorder="1" applyAlignment="1">
      <alignment horizontal="center"/>
    </xf>
    <xf numFmtId="164" fontId="5" fillId="0" borderId="20" xfId="0" applyNumberFormat="1" applyFont="1" applyBorder="1" applyAlignment="1">
      <alignment horizontal="left"/>
    </xf>
    <xf numFmtId="0" fontId="5" fillId="0" borderId="20" xfId="0" applyFont="1" applyBorder="1" applyAlignment="1">
      <alignment horizontal="left"/>
    </xf>
    <xf numFmtId="2" fontId="5" fillId="4" borderId="1" xfId="0" applyNumberFormat="1" applyFont="1" applyFill="1" applyBorder="1" applyAlignment="1">
      <alignment horizontal="center" vertical="center"/>
    </xf>
    <xf numFmtId="2" fontId="5" fillId="0" borderId="1" xfId="0" applyNumberFormat="1" applyFont="1" applyBorder="1" applyAlignment="1">
      <alignment horizontal="center" vertical="center"/>
    </xf>
    <xf numFmtId="0" fontId="9" fillId="4" borderId="0" xfId="1" applyFont="1" applyFill="1"/>
    <xf numFmtId="0" fontId="0" fillId="4" borderId="0" xfId="0" applyFill="1"/>
    <xf numFmtId="0" fontId="1" fillId="0" borderId="2" xfId="0" applyFont="1" applyBorder="1" applyAlignment="1">
      <alignment horizontal="center"/>
    </xf>
    <xf numFmtId="0" fontId="1" fillId="0" borderId="18" xfId="0" applyFont="1" applyBorder="1" applyAlignment="1">
      <alignment horizontal="center"/>
    </xf>
    <xf numFmtId="0" fontId="1" fillId="0" borderId="3" xfId="0" applyFont="1" applyBorder="1" applyAlignment="1">
      <alignment horizontal="center"/>
    </xf>
    <xf numFmtId="0" fontId="0" fillId="0" borderId="2" xfId="0" applyBorder="1" applyAlignment="1">
      <alignment horizontal="center"/>
    </xf>
    <xf numFmtId="0" fontId="0" fillId="0" borderId="18"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10" fillId="0" borderId="2" xfId="0" applyFont="1" applyBorder="1" applyAlignment="1">
      <alignment horizontal="left"/>
    </xf>
    <xf numFmtId="0" fontId="10" fillId="0" borderId="18" xfId="0" applyFont="1" applyBorder="1" applyAlignment="1">
      <alignment horizontal="left"/>
    </xf>
    <xf numFmtId="0" fontId="10" fillId="0" borderId="3" xfId="0" applyFont="1" applyBorder="1" applyAlignment="1">
      <alignment horizontal="left"/>
    </xf>
    <xf numFmtId="0" fontId="2" fillId="0" borderId="2" xfId="0" applyFont="1" applyBorder="1" applyAlignment="1">
      <alignment horizontal="left"/>
    </xf>
    <xf numFmtId="0" fontId="2" fillId="0" borderId="18" xfId="0" applyFont="1" applyBorder="1" applyAlignment="1">
      <alignment horizontal="left"/>
    </xf>
    <xf numFmtId="0" fontId="2" fillId="0" borderId="3" xfId="0" applyFont="1" applyBorder="1" applyAlignment="1">
      <alignment horizontal="left"/>
    </xf>
    <xf numFmtId="0" fontId="2" fillId="0" borderId="2" xfId="0" applyFont="1" applyBorder="1" applyAlignment="1">
      <alignment horizontal="center"/>
    </xf>
    <xf numFmtId="0" fontId="2" fillId="0" borderId="3" xfId="0" applyFont="1" applyBorder="1" applyAlignment="1">
      <alignment horizontal="center"/>
    </xf>
    <xf numFmtId="0" fontId="2" fillId="0" borderId="18" xfId="0" applyFont="1" applyBorder="1" applyAlignment="1">
      <alignment horizontal="center"/>
    </xf>
    <xf numFmtId="14" fontId="0" fillId="0" borderId="1" xfId="0" applyNumberFormat="1" applyBorder="1" applyAlignment="1">
      <alignment horizontal="center"/>
    </xf>
    <xf numFmtId="0" fontId="11" fillId="2" borderId="1" xfId="0" applyFont="1" applyFill="1" applyBorder="1" applyAlignment="1">
      <alignment horizontal="center" vertical="center"/>
    </xf>
    <xf numFmtId="0" fontId="11" fillId="2" borderId="21" xfId="0" applyFont="1" applyFill="1" applyBorder="1" applyAlignment="1">
      <alignment horizontal="center" vertical="center"/>
    </xf>
    <xf numFmtId="0" fontId="11" fillId="2" borderId="22"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18" xfId="0" applyFont="1" applyFill="1" applyBorder="1" applyAlignment="1">
      <alignment horizontal="center" vertical="center"/>
    </xf>
    <xf numFmtId="0" fontId="11" fillId="2" borderId="3" xfId="0" applyFont="1" applyFill="1" applyBorder="1" applyAlignment="1">
      <alignment horizontal="center" vertical="center"/>
    </xf>
    <xf numFmtId="0" fontId="11" fillId="2" borderId="2" xfId="0" applyFont="1" applyFill="1" applyBorder="1" applyAlignment="1">
      <alignment horizontal="left" vertical="center"/>
    </xf>
    <xf numFmtId="0" fontId="11" fillId="2" borderId="18" xfId="0" applyFont="1" applyFill="1" applyBorder="1" applyAlignment="1">
      <alignment horizontal="left" vertical="center"/>
    </xf>
    <xf numFmtId="0" fontId="11" fillId="2" borderId="3" xfId="0" applyFont="1" applyFill="1" applyBorder="1" applyAlignment="1">
      <alignment horizontal="left" vertical="center"/>
    </xf>
    <xf numFmtId="0" fontId="0" fillId="0" borderId="2" xfId="0" quotePrefix="1" applyBorder="1" applyAlignment="1">
      <alignment horizontal="left"/>
    </xf>
    <xf numFmtId="0" fontId="0" fillId="0" borderId="18" xfId="0" quotePrefix="1" applyBorder="1" applyAlignment="1">
      <alignment horizontal="left"/>
    </xf>
    <xf numFmtId="0" fontId="0" fillId="0" borderId="3" xfId="0" quotePrefix="1" applyBorder="1" applyAlignment="1">
      <alignment horizontal="left"/>
    </xf>
    <xf numFmtId="0" fontId="9" fillId="0" borderId="0" xfId="1" applyFont="1" applyAlignment="1">
      <alignment horizontal="left"/>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1" xfId="0" applyFont="1" applyBorder="1" applyAlignment="1">
      <alignment horizontal="center"/>
    </xf>
  </cellXfs>
  <cellStyles count="2">
    <cellStyle name="Normal" xfId="0" builtinId="0"/>
    <cellStyle name="Title" xfId="1" builtinId="15"/>
  </cellStyles>
  <dxfs count="15">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s>
  <tableStyles count="0" defaultTableStyle="TableStyleMedium2" defaultPivotStyle="PivotStyleLight16"/>
  <colors>
    <mruColors>
      <color rgb="FFE74D41"/>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13</xdr:col>
      <xdr:colOff>0</xdr:colOff>
      <xdr:row>27</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80975" y="676275"/>
          <a:ext cx="7315200" cy="457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INSTRUCTIONS</a:t>
          </a:r>
          <a:endParaRPr lang="it-IT">
            <a:effectLst/>
          </a:endParaRPr>
        </a:p>
        <a:p>
          <a:r>
            <a:rPr lang="en-US" sz="1100" b="0">
              <a:solidFill>
                <a:schemeClr val="dk1"/>
              </a:solidFill>
              <a:effectLst/>
              <a:latin typeface="+mn-lt"/>
              <a:ea typeface="+mn-ea"/>
              <a:cs typeface="+mn-cs"/>
            </a:rPr>
            <a:t>This</a:t>
          </a:r>
          <a:r>
            <a:rPr lang="en-US" sz="1100" b="0" baseline="0">
              <a:solidFill>
                <a:schemeClr val="dk1"/>
              </a:solidFill>
              <a:effectLst/>
              <a:latin typeface="+mn-lt"/>
              <a:ea typeface="+mn-ea"/>
              <a:cs typeface="+mn-cs"/>
            </a:rPr>
            <a:t> worksheet provides the procedure to define and select the restriction orfices to be installed in lube oil's supply circuit, in order to properly distribute the oil flowrate to the pump bearings.</a:t>
          </a:r>
        </a:p>
        <a:p>
          <a:endParaRPr lang="it-IT">
            <a:effectLst/>
          </a:endParaRPr>
        </a:p>
        <a:p>
          <a:r>
            <a:rPr lang="en-US" sz="1100" b="1" baseline="0">
              <a:solidFill>
                <a:schemeClr val="dk1"/>
              </a:solidFill>
              <a:effectLst/>
              <a:latin typeface="+mn-lt"/>
              <a:ea typeface="+mn-ea"/>
              <a:cs typeface="+mn-cs"/>
            </a:rPr>
            <a:t>orifce_calc</a:t>
          </a:r>
          <a:endParaRPr lang="it-IT">
            <a:effectLst/>
          </a:endParaRPr>
        </a:p>
        <a:p>
          <a:r>
            <a:rPr lang="en-US" sz="1100" b="0" baseline="0">
              <a:solidFill>
                <a:schemeClr val="dk1"/>
              </a:solidFill>
              <a:effectLst/>
              <a:latin typeface="+mn-lt"/>
              <a:ea typeface="+mn-ea"/>
              <a:cs typeface="+mn-cs"/>
            </a:rPr>
            <a:t>It calculates the diameters of the restriction orifices for the proper oil distribution to the utilites, given the input data from the bearings and the oil operating data.</a:t>
          </a:r>
        </a:p>
        <a:p>
          <a:endParaRPr lang="it-IT">
            <a:effectLst/>
          </a:endParaRPr>
        </a:p>
        <a:p>
          <a:r>
            <a:rPr lang="it-IT" sz="1100" b="1" baseline="0">
              <a:solidFill>
                <a:schemeClr val="dk1"/>
              </a:solidFill>
              <a:effectLst/>
              <a:latin typeface="+mn-lt"/>
              <a:ea typeface="+mn-ea"/>
              <a:cs typeface="+mn-cs"/>
            </a:rPr>
            <a:t>oil_prop</a:t>
          </a:r>
          <a:endParaRPr lang="it-IT">
            <a:effectLst/>
          </a:endParaRPr>
        </a:p>
        <a:p>
          <a:r>
            <a:rPr lang="en-US" sz="1100" b="0" baseline="0">
              <a:solidFill>
                <a:schemeClr val="dk1"/>
              </a:solidFill>
              <a:effectLst/>
              <a:latin typeface="+mn-lt"/>
              <a:ea typeface="+mn-ea"/>
              <a:cs typeface="+mn-cs"/>
            </a:rPr>
            <a:t>It reports the reference data (dynamic and kinematic viscosity, density) for lubricant oils at difference viscosity (ISO VG 32, 46, 68). They are used as inputs for the estimation of effective oil characteristics at operating conditions in the sheet "orifice_calc".</a:t>
          </a:r>
        </a:p>
        <a:p>
          <a:endParaRPr lang="it-IT">
            <a:effectLst/>
          </a:endParaRPr>
        </a:p>
        <a:p>
          <a:r>
            <a:rPr lang="it-IT" sz="1100" b="1" baseline="0">
              <a:solidFill>
                <a:schemeClr val="dk1"/>
              </a:solidFill>
              <a:effectLst/>
              <a:latin typeface="+mn-lt"/>
              <a:ea typeface="+mn-ea"/>
              <a:cs typeface="+mn-cs"/>
            </a:rPr>
            <a:t>piping_dimension</a:t>
          </a:r>
          <a:endParaRPr lang="it-IT">
            <a:effectLst/>
          </a:endParaRPr>
        </a:p>
        <a:p>
          <a:r>
            <a:rPr lang="en-US" sz="1100" b="0" baseline="0">
              <a:solidFill>
                <a:schemeClr val="dk1"/>
              </a:solidFill>
              <a:effectLst/>
              <a:latin typeface="+mn-lt"/>
              <a:ea typeface="+mn-ea"/>
              <a:cs typeface="+mn-cs"/>
            </a:rPr>
            <a:t>It reports the reference data (diameter and thickness) for piping. They are used as inputs for the piping selection in the sheet "orifice_calc".</a:t>
          </a:r>
          <a:endParaRPr lang="it-IT">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7</xdr:col>
          <xdr:colOff>0</xdr:colOff>
          <xdr:row>18</xdr:row>
          <xdr:rowOff>76200</xdr:rowOff>
        </xdr:to>
        <xdr:sp macro="" textlink="">
          <xdr:nvSpPr>
            <xdr:cNvPr id="3091" name="CommandButton1"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120334</xdr:colOff>
      <xdr:row>70</xdr:row>
      <xdr:rowOff>154782</xdr:rowOff>
    </xdr:from>
    <xdr:to>
      <xdr:col>18</xdr:col>
      <xdr:colOff>3725386</xdr:colOff>
      <xdr:row>172</xdr:row>
      <xdr:rowOff>84615</xdr:rowOff>
    </xdr:to>
    <xdr:grpSp>
      <xdr:nvGrpSpPr>
        <xdr:cNvPr id="57" name="Gruppo 56">
          <a:extLst>
            <a:ext uri="{FF2B5EF4-FFF2-40B4-BE49-F238E27FC236}">
              <a16:creationId xmlns:a16="http://schemas.microsoft.com/office/drawing/2014/main" id="{00000000-0008-0000-0100-000039000000}"/>
            </a:ext>
          </a:extLst>
        </xdr:cNvPr>
        <xdr:cNvGrpSpPr/>
      </xdr:nvGrpSpPr>
      <xdr:grpSpPr>
        <a:xfrm>
          <a:off x="9038115" y="6727032"/>
          <a:ext cx="13915865" cy="7216458"/>
          <a:chOff x="9221709" y="2682204"/>
          <a:chExt cx="13499018" cy="7251807"/>
        </a:xfrm>
      </xdr:grpSpPr>
      <xdr:grpSp>
        <xdr:nvGrpSpPr>
          <xdr:cNvPr id="39" name="Gruppo 38">
            <a:extLst>
              <a:ext uri="{FF2B5EF4-FFF2-40B4-BE49-F238E27FC236}">
                <a16:creationId xmlns:a16="http://schemas.microsoft.com/office/drawing/2014/main" id="{00000000-0008-0000-0100-000027000000}"/>
              </a:ext>
            </a:extLst>
          </xdr:cNvPr>
          <xdr:cNvGrpSpPr/>
        </xdr:nvGrpSpPr>
        <xdr:grpSpPr>
          <a:xfrm>
            <a:off x="9221709" y="2682204"/>
            <a:ext cx="13499018" cy="7251807"/>
            <a:chOff x="9332968" y="5154704"/>
            <a:chExt cx="12518503" cy="7194177"/>
          </a:xfrm>
        </xdr:grpSpPr>
        <xdr:grpSp>
          <xdr:nvGrpSpPr>
            <xdr:cNvPr id="27" name="Gruppo 26">
              <a:extLst>
                <a:ext uri="{FF2B5EF4-FFF2-40B4-BE49-F238E27FC236}">
                  <a16:creationId xmlns:a16="http://schemas.microsoft.com/office/drawing/2014/main" id="{00000000-0008-0000-0100-00001B000000}"/>
                </a:ext>
              </a:extLst>
            </xdr:cNvPr>
            <xdr:cNvGrpSpPr/>
          </xdr:nvGrpSpPr>
          <xdr:grpSpPr>
            <a:xfrm>
              <a:off x="9332968" y="5154704"/>
              <a:ext cx="12518503" cy="7194177"/>
              <a:chOff x="8878129" y="3540338"/>
              <a:chExt cx="7734641" cy="4494955"/>
            </a:xfrm>
          </xdr:grpSpPr>
          <xdr:pic>
            <xdr:nvPicPr>
              <xdr:cNvPr id="5" name="Immagine 4" descr="Immagine che contiene diagramma, testo, Disegno tecnico, Piano&#10;&#10;Descrizione generata automaticamente">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8878129" y="3540338"/>
                <a:ext cx="7734641" cy="4494955"/>
              </a:xfrm>
              <a:prstGeom prst="rect">
                <a:avLst/>
              </a:prstGeom>
              <a:ln w="19050">
                <a:solidFill>
                  <a:schemeClr val="tx1"/>
                </a:solidFill>
              </a:ln>
            </xdr:spPr>
          </xdr:pic>
          <xdr:sp macro="" textlink="$R$12">
            <xdr:nvSpPr>
              <xdr:cNvPr id="20" name="CasellaDiTesto 19">
                <a:extLst>
                  <a:ext uri="{FF2B5EF4-FFF2-40B4-BE49-F238E27FC236}">
                    <a16:creationId xmlns:a16="http://schemas.microsoft.com/office/drawing/2014/main" id="{00000000-0008-0000-0100-000014000000}"/>
                  </a:ext>
                </a:extLst>
              </xdr:cNvPr>
              <xdr:cNvSpPr txBox="1"/>
            </xdr:nvSpPr>
            <xdr:spPr>
              <a:xfrm>
                <a:off x="9377577" y="6297524"/>
                <a:ext cx="714848" cy="169437"/>
              </a:xfrm>
              <a:prstGeom prst="rect">
                <a:avLst/>
              </a:prstGeom>
              <a:solidFill>
                <a:schemeClr val="lt1"/>
              </a:solidFill>
              <a:ln w="19050" cmpd="sng">
                <a:solidFill>
                  <a:schemeClr val="accent4">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0F0D2F4-700B-4AC3-925D-15608095355C}" type="TxLink">
                  <a:rPr lang="en-US" sz="1100" b="0" i="0" u="none" strike="noStrike">
                    <a:solidFill>
                      <a:srgbClr val="000000"/>
                    </a:solidFill>
                    <a:latin typeface="Calibri"/>
                    <a:cs typeface="Calibri"/>
                  </a:rPr>
                  <a:pPr/>
                  <a:t>p1 = 1.958 [barg]</a:t>
                </a:fld>
                <a:endParaRPr lang="it-IT" sz="1100" b="1">
                  <a:solidFill>
                    <a:schemeClr val="accent1">
                      <a:lumMod val="75000"/>
                    </a:schemeClr>
                  </a:solidFill>
                </a:endParaRPr>
              </a:p>
            </xdr:txBody>
          </xdr:sp>
          <xdr:sp macro="" textlink="$R$16">
            <xdr:nvSpPr>
              <xdr:cNvPr id="25" name="CasellaDiTesto 24">
                <a:extLst>
                  <a:ext uri="{FF2B5EF4-FFF2-40B4-BE49-F238E27FC236}">
                    <a16:creationId xmlns:a16="http://schemas.microsoft.com/office/drawing/2014/main" id="{00000000-0008-0000-0100-000019000000}"/>
                  </a:ext>
                </a:extLst>
              </xdr:cNvPr>
              <xdr:cNvSpPr txBox="1"/>
            </xdr:nvSpPr>
            <xdr:spPr>
              <a:xfrm>
                <a:off x="10937164" y="4346405"/>
                <a:ext cx="759828" cy="181145"/>
              </a:xfrm>
              <a:prstGeom prst="rect">
                <a:avLst/>
              </a:prstGeom>
              <a:solidFill>
                <a:schemeClr val="lt1"/>
              </a:solidFill>
              <a:ln w="19050" cmpd="sng">
                <a:solidFill>
                  <a:schemeClr val="accent4">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AD02F8-E787-4B10-A88E-4BFB92C8A754}" type="TxLink">
                  <a:rPr lang="en-US" sz="1100" b="0" i="0" u="none" strike="noStrike">
                    <a:solidFill>
                      <a:srgbClr val="000000"/>
                    </a:solidFill>
                    <a:latin typeface="Calibri"/>
                    <a:cs typeface="Calibri"/>
                  </a:rPr>
                  <a:pPr/>
                  <a:t>p5 = 5 [barg]</a:t>
                </a:fld>
                <a:endParaRPr lang="en-US" sz="1100"/>
              </a:p>
            </xdr:txBody>
          </xdr:sp>
        </xdr:grpSp>
        <xdr:sp macro="" textlink="$R$13">
          <xdr:nvSpPr>
            <xdr:cNvPr id="2" name="CasellaDiTesto 1">
              <a:extLst>
                <a:ext uri="{FF2B5EF4-FFF2-40B4-BE49-F238E27FC236}">
                  <a16:creationId xmlns:a16="http://schemas.microsoft.com/office/drawing/2014/main" id="{00000000-0008-0000-0100-000002000000}"/>
                </a:ext>
              </a:extLst>
            </xdr:cNvPr>
            <xdr:cNvSpPr txBox="1"/>
          </xdr:nvSpPr>
          <xdr:spPr>
            <a:xfrm>
              <a:off x="13535174" y="9558616"/>
              <a:ext cx="1156980" cy="271184"/>
            </a:xfrm>
            <a:prstGeom prst="rect">
              <a:avLst/>
            </a:prstGeom>
            <a:solidFill>
              <a:schemeClr val="lt1"/>
            </a:solidFill>
            <a:ln w="19050" cmpd="sng">
              <a:solidFill>
                <a:schemeClr val="accent4">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FB0DFD8-59C5-42BA-B0D0-E107088C4F2A}" type="TxLink">
                <a:rPr lang="en-US" sz="1100" b="0" i="0" u="none" strike="noStrike">
                  <a:solidFill>
                    <a:srgbClr val="000000"/>
                  </a:solidFill>
                  <a:latin typeface="Calibri"/>
                  <a:cs typeface="Calibri"/>
                </a:rPr>
                <a:pPr/>
                <a:t>p2 = 1.911 [barg]</a:t>
              </a:fld>
              <a:endParaRPr lang="it-IT" sz="1100" b="1">
                <a:solidFill>
                  <a:schemeClr val="accent1">
                    <a:lumMod val="75000"/>
                  </a:schemeClr>
                </a:solidFill>
              </a:endParaRPr>
            </a:p>
          </xdr:txBody>
        </xdr:sp>
        <xdr:sp macro="" textlink="$R$14">
          <xdr:nvSpPr>
            <xdr:cNvPr id="3" name="CasellaDiTesto 2">
              <a:extLst>
                <a:ext uri="{FF2B5EF4-FFF2-40B4-BE49-F238E27FC236}">
                  <a16:creationId xmlns:a16="http://schemas.microsoft.com/office/drawing/2014/main" id="{00000000-0008-0000-0100-000003000000}"/>
                </a:ext>
              </a:extLst>
            </xdr:cNvPr>
            <xdr:cNvSpPr txBox="1"/>
          </xdr:nvSpPr>
          <xdr:spPr>
            <a:xfrm>
              <a:off x="16197692" y="9565340"/>
              <a:ext cx="1156980" cy="271184"/>
            </a:xfrm>
            <a:prstGeom prst="rect">
              <a:avLst/>
            </a:prstGeom>
            <a:solidFill>
              <a:schemeClr val="lt1"/>
            </a:solidFill>
            <a:ln w="19050" cmpd="sng">
              <a:solidFill>
                <a:schemeClr val="accent4">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457C29C-39C3-460E-8ABC-8C183B5EC7E4}" type="TxLink">
                <a:rPr lang="en-US" sz="1100" b="0" i="0" u="none" strike="noStrike">
                  <a:solidFill>
                    <a:srgbClr val="000000"/>
                  </a:solidFill>
                  <a:latin typeface="Calibri"/>
                  <a:cs typeface="Calibri"/>
                </a:rPr>
                <a:pPr/>
                <a:t>p3 = 2.541 [barg]</a:t>
              </a:fld>
              <a:endParaRPr lang="it-IT" sz="1100" b="1">
                <a:solidFill>
                  <a:schemeClr val="accent1">
                    <a:lumMod val="75000"/>
                  </a:schemeClr>
                </a:solidFill>
              </a:endParaRPr>
            </a:p>
          </xdr:txBody>
        </xdr:sp>
        <xdr:sp macro="" textlink="$R$15">
          <xdr:nvSpPr>
            <xdr:cNvPr id="4" name="CasellaDiTesto 3">
              <a:extLst>
                <a:ext uri="{FF2B5EF4-FFF2-40B4-BE49-F238E27FC236}">
                  <a16:creationId xmlns:a16="http://schemas.microsoft.com/office/drawing/2014/main" id="{00000000-0008-0000-0100-000004000000}"/>
                </a:ext>
              </a:extLst>
            </xdr:cNvPr>
            <xdr:cNvSpPr txBox="1"/>
          </xdr:nvSpPr>
          <xdr:spPr>
            <a:xfrm>
              <a:off x="18086295" y="9558619"/>
              <a:ext cx="1156979" cy="271184"/>
            </a:xfrm>
            <a:prstGeom prst="rect">
              <a:avLst/>
            </a:prstGeom>
            <a:solidFill>
              <a:schemeClr val="lt1"/>
            </a:solidFill>
            <a:ln w="19050" cmpd="sng">
              <a:solidFill>
                <a:schemeClr val="accent4">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34A8AA8-F73D-4F69-9022-D3AAE329AAC3}" type="TxLink">
                <a:rPr lang="en-US" sz="1100" b="0" i="0" u="none" strike="noStrike">
                  <a:solidFill>
                    <a:srgbClr val="000000"/>
                  </a:solidFill>
                  <a:latin typeface="Calibri"/>
                  <a:cs typeface="Calibri"/>
                </a:rPr>
                <a:pPr/>
                <a:t>p4 = 2.539 [barg]</a:t>
              </a:fld>
              <a:endParaRPr lang="it-IT" sz="1100" b="1">
                <a:solidFill>
                  <a:schemeClr val="accent1">
                    <a:lumMod val="75000"/>
                  </a:schemeClr>
                </a:solidFill>
              </a:endParaRPr>
            </a:p>
          </xdr:txBody>
        </xdr:sp>
        <xdr:sp macro="" textlink="$P$12">
          <xdr:nvSpPr>
            <xdr:cNvPr id="6" name="CasellaDiTesto 5">
              <a:extLst>
                <a:ext uri="{FF2B5EF4-FFF2-40B4-BE49-F238E27FC236}">
                  <a16:creationId xmlns:a16="http://schemas.microsoft.com/office/drawing/2014/main" id="{00000000-0008-0000-0100-000006000000}"/>
                </a:ext>
              </a:extLst>
            </xdr:cNvPr>
            <xdr:cNvSpPr txBox="1"/>
          </xdr:nvSpPr>
          <xdr:spPr>
            <a:xfrm>
              <a:off x="10139791" y="9256057"/>
              <a:ext cx="1156980" cy="271184"/>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202DC6-09B2-46E1-8F31-9D775522F325}" type="TxLink">
                <a:rPr lang="en-US" sz="1100" b="0" i="0" u="none" strike="noStrike">
                  <a:solidFill>
                    <a:srgbClr val="000000"/>
                  </a:solidFill>
                  <a:latin typeface="Calibri"/>
                  <a:cs typeface="Calibri"/>
                </a:rPr>
                <a:pPr/>
                <a:t>Q1 = 10 [lpm]</a:t>
              </a:fld>
              <a:endParaRPr lang="it-IT" sz="1100" b="1">
                <a:solidFill>
                  <a:schemeClr val="accent1">
                    <a:lumMod val="75000"/>
                  </a:schemeClr>
                </a:solidFill>
              </a:endParaRPr>
            </a:p>
          </xdr:txBody>
        </xdr:sp>
        <xdr:sp macro="" textlink="$Q$12">
          <xdr:nvSpPr>
            <xdr:cNvPr id="7" name="CasellaDiTesto 6">
              <a:extLst>
                <a:ext uri="{FF2B5EF4-FFF2-40B4-BE49-F238E27FC236}">
                  <a16:creationId xmlns:a16="http://schemas.microsoft.com/office/drawing/2014/main" id="{00000000-0008-0000-0100-000007000000}"/>
                </a:ext>
              </a:extLst>
            </xdr:cNvPr>
            <xdr:cNvSpPr txBox="1"/>
          </xdr:nvSpPr>
          <xdr:spPr>
            <a:xfrm>
              <a:off x="10107705" y="8247529"/>
              <a:ext cx="1156980" cy="271184"/>
            </a:xfrm>
            <a:prstGeom prst="rect">
              <a:avLst/>
            </a:prstGeom>
            <a:solidFill>
              <a:schemeClr val="lt1"/>
            </a:solidFill>
            <a:ln w="19050"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500807-194B-4BB8-9D11-55A1669B83FC}" type="TxLink">
                <a:rPr lang="en-US" sz="1100" b="0" i="0" u="none" strike="noStrike">
                  <a:solidFill>
                    <a:srgbClr val="000000"/>
                  </a:solidFill>
                  <a:latin typeface="Calibri"/>
                  <a:cs typeface="Calibri"/>
                </a:rPr>
                <a:pPr/>
                <a:t>d1 = 3.5 [mm]</a:t>
              </a:fld>
              <a:endParaRPr lang="it-IT" sz="1100" b="1">
                <a:solidFill>
                  <a:schemeClr val="accent1">
                    <a:lumMod val="75000"/>
                  </a:schemeClr>
                </a:solidFill>
              </a:endParaRPr>
            </a:p>
          </xdr:txBody>
        </xdr:sp>
        <xdr:sp macro="" textlink="$Q$13">
          <xdr:nvSpPr>
            <xdr:cNvPr id="9" name="CasellaDiTesto 8">
              <a:extLst>
                <a:ext uri="{FF2B5EF4-FFF2-40B4-BE49-F238E27FC236}">
                  <a16:creationId xmlns:a16="http://schemas.microsoft.com/office/drawing/2014/main" id="{00000000-0008-0000-0100-000009000000}"/>
                </a:ext>
              </a:extLst>
            </xdr:cNvPr>
            <xdr:cNvSpPr txBox="1"/>
          </xdr:nvSpPr>
          <xdr:spPr>
            <a:xfrm>
              <a:off x="12203205" y="8258736"/>
              <a:ext cx="1156980" cy="271184"/>
            </a:xfrm>
            <a:prstGeom prst="rect">
              <a:avLst/>
            </a:prstGeom>
            <a:solidFill>
              <a:schemeClr val="lt1"/>
            </a:solidFill>
            <a:ln w="19050"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AB1E2B-FCE8-49B8-9BC3-F605934B2C75}" type="TxLink">
                <a:rPr lang="en-US" sz="1100" b="0" i="0" u="none" strike="noStrike">
                  <a:solidFill>
                    <a:srgbClr val="000000"/>
                  </a:solidFill>
                  <a:latin typeface="Calibri"/>
                  <a:cs typeface="Calibri"/>
                </a:rPr>
                <a:pPr/>
                <a:t>d2 = 3.5 [mm]</a:t>
              </a:fld>
              <a:endParaRPr lang="it-IT" sz="1100" b="1">
                <a:solidFill>
                  <a:schemeClr val="accent1">
                    <a:lumMod val="75000"/>
                  </a:schemeClr>
                </a:solidFill>
              </a:endParaRPr>
            </a:p>
          </xdr:txBody>
        </xdr:sp>
        <xdr:sp macro="" textlink="$Q$14">
          <xdr:nvSpPr>
            <xdr:cNvPr id="15" name="CasellaDiTesto 14">
              <a:extLst>
                <a:ext uri="{FF2B5EF4-FFF2-40B4-BE49-F238E27FC236}">
                  <a16:creationId xmlns:a16="http://schemas.microsoft.com/office/drawing/2014/main" id="{00000000-0008-0000-0100-00000F000000}"/>
                </a:ext>
              </a:extLst>
            </xdr:cNvPr>
            <xdr:cNvSpPr txBox="1"/>
          </xdr:nvSpPr>
          <xdr:spPr>
            <a:xfrm>
              <a:off x="14377150" y="8247528"/>
              <a:ext cx="1089742" cy="271184"/>
            </a:xfrm>
            <a:prstGeom prst="rect">
              <a:avLst/>
            </a:prstGeom>
            <a:solidFill>
              <a:schemeClr val="lt1"/>
            </a:solidFill>
            <a:ln w="19050"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B7167E9-DE89-42EC-AF46-7084FC6F41B7}" type="TxLink">
                <a:rPr lang="en-US" sz="1100" b="0" i="0" u="none" strike="noStrike">
                  <a:solidFill>
                    <a:srgbClr val="000000"/>
                  </a:solidFill>
                  <a:latin typeface="Calibri"/>
                  <a:cs typeface="Calibri"/>
                </a:rPr>
                <a:pPr/>
                <a:t>d3 = 2 [mm]</a:t>
              </a:fld>
              <a:endParaRPr lang="it-IT" sz="1100" b="1">
                <a:solidFill>
                  <a:schemeClr val="accent1">
                    <a:lumMod val="75000"/>
                  </a:schemeClr>
                </a:solidFill>
              </a:endParaRPr>
            </a:p>
          </xdr:txBody>
        </xdr:sp>
        <xdr:sp macro="" textlink="$Q$15">
          <xdr:nvSpPr>
            <xdr:cNvPr id="28" name="CasellaDiTesto 27">
              <a:extLst>
                <a:ext uri="{FF2B5EF4-FFF2-40B4-BE49-F238E27FC236}">
                  <a16:creationId xmlns:a16="http://schemas.microsoft.com/office/drawing/2014/main" id="{00000000-0008-0000-0100-00001C000000}"/>
                </a:ext>
              </a:extLst>
            </xdr:cNvPr>
            <xdr:cNvSpPr txBox="1"/>
          </xdr:nvSpPr>
          <xdr:spPr>
            <a:xfrm>
              <a:off x="18680205" y="8269940"/>
              <a:ext cx="1022510" cy="271184"/>
            </a:xfrm>
            <a:prstGeom prst="rect">
              <a:avLst/>
            </a:prstGeom>
            <a:solidFill>
              <a:schemeClr val="lt1"/>
            </a:solidFill>
            <a:ln w="19050"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C49EAD-E7F1-4AED-AE5D-63258BE32941}" type="TxLink">
                <a:rPr lang="en-US" sz="1100" b="0" i="0" u="none" strike="noStrike">
                  <a:solidFill>
                    <a:srgbClr val="000000"/>
                  </a:solidFill>
                  <a:latin typeface="Calibri"/>
                  <a:cs typeface="Calibri"/>
                </a:rPr>
                <a:pPr/>
                <a:t>d4 = 2 [mm]</a:t>
              </a:fld>
              <a:endParaRPr lang="it-IT" sz="1100" b="1">
                <a:solidFill>
                  <a:schemeClr val="accent1">
                    <a:lumMod val="75000"/>
                  </a:schemeClr>
                </a:solidFill>
              </a:endParaRPr>
            </a:p>
          </xdr:txBody>
        </xdr:sp>
        <xdr:sp macro="" textlink="$R$18">
          <xdr:nvSpPr>
            <xdr:cNvPr id="29" name="CasellaDiTesto 28">
              <a:extLst>
                <a:ext uri="{FF2B5EF4-FFF2-40B4-BE49-F238E27FC236}">
                  <a16:creationId xmlns:a16="http://schemas.microsoft.com/office/drawing/2014/main" id="{00000000-0008-0000-0100-00001D000000}"/>
                </a:ext>
              </a:extLst>
            </xdr:cNvPr>
            <xdr:cNvSpPr txBox="1"/>
          </xdr:nvSpPr>
          <xdr:spPr>
            <a:xfrm>
              <a:off x="16270941" y="5602940"/>
              <a:ext cx="1229780" cy="289923"/>
            </a:xfrm>
            <a:prstGeom prst="rect">
              <a:avLst/>
            </a:prstGeom>
            <a:solidFill>
              <a:schemeClr val="lt1"/>
            </a:solidFill>
            <a:ln w="19050" cmpd="sng">
              <a:solidFill>
                <a:schemeClr val="accent4">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9C2B40-0BB9-4417-AB0D-DA91A8435EA8}" type="TxLink">
                <a:rPr lang="en-US" sz="1100" b="0" i="0" u="none" strike="noStrike">
                  <a:solidFill>
                    <a:srgbClr val="000000"/>
                  </a:solidFill>
                  <a:latin typeface="Calibri"/>
                  <a:cs typeface="Calibri"/>
                </a:rPr>
                <a:pPr/>
                <a:t>p7 = 5 [barg]</a:t>
              </a:fld>
              <a:endParaRPr lang="en-US" sz="1100"/>
            </a:p>
          </xdr:txBody>
        </xdr:sp>
        <xdr:sp macro="" textlink="$P$18">
          <xdr:nvSpPr>
            <xdr:cNvPr id="30" name="CasellaDiTesto 29">
              <a:extLst>
                <a:ext uri="{FF2B5EF4-FFF2-40B4-BE49-F238E27FC236}">
                  <a16:creationId xmlns:a16="http://schemas.microsoft.com/office/drawing/2014/main" id="{00000000-0008-0000-0100-00001E000000}"/>
                </a:ext>
              </a:extLst>
            </xdr:cNvPr>
            <xdr:cNvSpPr txBox="1"/>
          </xdr:nvSpPr>
          <xdr:spPr>
            <a:xfrm>
              <a:off x="16270941" y="5961529"/>
              <a:ext cx="1229780" cy="289923"/>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C24D6BC-8ECE-45AF-860D-7C5898B3D13F}" type="TxLink">
                <a:rPr lang="en-US" sz="1100" b="0" i="0" u="none" strike="noStrike">
                  <a:solidFill>
                    <a:srgbClr val="000000"/>
                  </a:solidFill>
                  <a:latin typeface="Calibri"/>
                  <a:cs typeface="Calibri"/>
                </a:rPr>
                <a:pPr/>
                <a:t>Q7 = 39.45 [lpm]</a:t>
              </a:fld>
              <a:endParaRPr lang="en-US" sz="1100"/>
            </a:p>
          </xdr:txBody>
        </xdr:sp>
        <xdr:sp macro="" textlink="$Q$16">
          <xdr:nvSpPr>
            <xdr:cNvPr id="31" name="CasellaDiTesto 30">
              <a:extLst>
                <a:ext uri="{FF2B5EF4-FFF2-40B4-BE49-F238E27FC236}">
                  <a16:creationId xmlns:a16="http://schemas.microsoft.com/office/drawing/2014/main" id="{00000000-0008-0000-0100-00001F000000}"/>
                </a:ext>
              </a:extLst>
            </xdr:cNvPr>
            <xdr:cNvSpPr txBox="1"/>
          </xdr:nvSpPr>
          <xdr:spPr>
            <a:xfrm>
              <a:off x="13696207" y="7235283"/>
              <a:ext cx="1229780" cy="289923"/>
            </a:xfrm>
            <a:prstGeom prst="rect">
              <a:avLst/>
            </a:prstGeom>
            <a:solidFill>
              <a:schemeClr val="lt1"/>
            </a:solidFill>
            <a:ln w="19050"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B1C3256-42CE-446C-92B9-D89B1A1C0969}" type="TxLink">
                <a:rPr lang="en-US" sz="1100" b="0" i="0" u="none" strike="noStrike">
                  <a:solidFill>
                    <a:srgbClr val="000000"/>
                  </a:solidFill>
                  <a:latin typeface="Calibri"/>
                  <a:cs typeface="Calibri"/>
                </a:rPr>
                <a:pPr/>
                <a:t>d5 = 30 [mm]</a:t>
              </a:fld>
              <a:endParaRPr lang="en-US" sz="1100"/>
            </a:p>
          </xdr:txBody>
        </xdr:sp>
        <xdr:sp macro="" textlink="$P$16">
          <xdr:nvSpPr>
            <xdr:cNvPr id="32" name="CasellaDiTesto 31">
              <a:extLst>
                <a:ext uri="{FF2B5EF4-FFF2-40B4-BE49-F238E27FC236}">
                  <a16:creationId xmlns:a16="http://schemas.microsoft.com/office/drawing/2014/main" id="{00000000-0008-0000-0100-000020000000}"/>
                </a:ext>
              </a:extLst>
            </xdr:cNvPr>
            <xdr:cNvSpPr txBox="1"/>
          </xdr:nvSpPr>
          <xdr:spPr>
            <a:xfrm>
              <a:off x="14847794" y="6488207"/>
              <a:ext cx="1229780" cy="289923"/>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5E7340B-71F0-4A8D-A2AE-E64BDA888BB8}" type="TxLink">
                <a:rPr lang="en-US" sz="1100" b="0" i="0" u="none" strike="noStrike">
                  <a:solidFill>
                    <a:srgbClr val="000000"/>
                  </a:solidFill>
                  <a:latin typeface="Calibri"/>
                  <a:cs typeface="Calibri"/>
                </a:rPr>
                <a:pPr/>
                <a:t>Q5 = 36.45 [lpm]</a:t>
              </a:fld>
              <a:endParaRPr lang="en-US" sz="1100"/>
            </a:p>
          </xdr:txBody>
        </xdr:sp>
        <xdr:sp macro="" textlink="$P$17">
          <xdr:nvSpPr>
            <xdr:cNvPr id="33" name="CasellaDiTesto 32">
              <a:extLst>
                <a:ext uri="{FF2B5EF4-FFF2-40B4-BE49-F238E27FC236}">
                  <a16:creationId xmlns:a16="http://schemas.microsoft.com/office/drawing/2014/main" id="{00000000-0008-0000-0100-000021000000}"/>
                </a:ext>
              </a:extLst>
            </xdr:cNvPr>
            <xdr:cNvSpPr txBox="1"/>
          </xdr:nvSpPr>
          <xdr:spPr>
            <a:xfrm>
              <a:off x="16259735" y="6488207"/>
              <a:ext cx="1229780" cy="289923"/>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0DEA210-4366-442D-ADDA-E1A21B268314}" type="TxLink">
                <a:rPr lang="en-US" sz="1100" b="0" i="0" u="none" strike="noStrike">
                  <a:solidFill>
                    <a:srgbClr val="000000"/>
                  </a:solidFill>
                  <a:latin typeface="Calibri"/>
                  <a:cs typeface="Calibri"/>
                </a:rPr>
                <a:pPr/>
                <a:t>Q6 = 3 [lpm]</a:t>
              </a:fld>
              <a:endParaRPr lang="en-US" sz="1100"/>
            </a:p>
          </xdr:txBody>
        </xdr:sp>
        <xdr:sp macro="" textlink="$Q$17">
          <xdr:nvSpPr>
            <xdr:cNvPr id="34" name="CasellaDiTesto 33">
              <a:extLst>
                <a:ext uri="{FF2B5EF4-FFF2-40B4-BE49-F238E27FC236}">
                  <a16:creationId xmlns:a16="http://schemas.microsoft.com/office/drawing/2014/main" id="{00000000-0008-0000-0100-000022000000}"/>
                </a:ext>
              </a:extLst>
            </xdr:cNvPr>
            <xdr:cNvSpPr txBox="1"/>
          </xdr:nvSpPr>
          <xdr:spPr>
            <a:xfrm>
              <a:off x="17424018" y="7239609"/>
              <a:ext cx="1229780" cy="289923"/>
            </a:xfrm>
            <a:prstGeom prst="rect">
              <a:avLst/>
            </a:prstGeom>
            <a:solidFill>
              <a:schemeClr val="lt1"/>
            </a:solidFill>
            <a:ln w="19050"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A348F3-D244-43ED-A141-BF7B2A02CB3E}" type="TxLink">
                <a:rPr lang="en-US" sz="1100" b="0" i="0" u="none" strike="noStrike">
                  <a:solidFill>
                    <a:srgbClr val="000000"/>
                  </a:solidFill>
                  <a:latin typeface="Calibri"/>
                  <a:cs typeface="Calibri"/>
                </a:rPr>
                <a:pPr/>
                <a:t>d6 = 10 [mm]</a:t>
              </a:fld>
              <a:endParaRPr lang="en-US" sz="1100"/>
            </a:p>
          </xdr:txBody>
        </xdr:sp>
        <xdr:sp macro="" textlink="$R$17">
          <xdr:nvSpPr>
            <xdr:cNvPr id="35" name="CasellaDiTesto 34">
              <a:extLst>
                <a:ext uri="{FF2B5EF4-FFF2-40B4-BE49-F238E27FC236}">
                  <a16:creationId xmlns:a16="http://schemas.microsoft.com/office/drawing/2014/main" id="{00000000-0008-0000-0100-000023000000}"/>
                </a:ext>
              </a:extLst>
            </xdr:cNvPr>
            <xdr:cNvSpPr txBox="1"/>
          </xdr:nvSpPr>
          <xdr:spPr>
            <a:xfrm>
              <a:off x="18612970" y="6510618"/>
              <a:ext cx="1229780" cy="289923"/>
            </a:xfrm>
            <a:prstGeom prst="rect">
              <a:avLst/>
            </a:prstGeom>
            <a:solidFill>
              <a:schemeClr val="lt1"/>
            </a:solidFill>
            <a:ln w="19050" cmpd="sng">
              <a:solidFill>
                <a:schemeClr val="accent4">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653849-6F66-4A48-9960-7402068D84F1}" type="TxLink">
                <a:rPr lang="en-US" sz="1100" b="0" i="0" u="none" strike="noStrike">
                  <a:solidFill>
                    <a:srgbClr val="000000"/>
                  </a:solidFill>
                  <a:latin typeface="Calibri"/>
                  <a:cs typeface="Calibri"/>
                </a:rPr>
                <a:pPr/>
                <a:t>p6 = 4.998 [barg]</a:t>
              </a:fld>
              <a:endParaRPr lang="en-US" sz="1100"/>
            </a:p>
          </xdr:txBody>
        </xdr:sp>
        <xdr:sp macro="" textlink="$P$13">
          <xdr:nvSpPr>
            <xdr:cNvPr id="36" name="CasellaDiTesto 35">
              <a:extLst>
                <a:ext uri="{FF2B5EF4-FFF2-40B4-BE49-F238E27FC236}">
                  <a16:creationId xmlns:a16="http://schemas.microsoft.com/office/drawing/2014/main" id="{00000000-0008-0000-0100-000024000000}"/>
                </a:ext>
              </a:extLst>
            </xdr:cNvPr>
            <xdr:cNvSpPr txBox="1"/>
          </xdr:nvSpPr>
          <xdr:spPr>
            <a:xfrm>
              <a:off x="13530691" y="9240369"/>
              <a:ext cx="1156980" cy="271184"/>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DB6D71A-8756-4259-BB3A-BC7CE745A533}" type="TxLink">
                <a:rPr lang="en-US" sz="1100" b="0" i="0" u="none" strike="noStrike">
                  <a:solidFill>
                    <a:srgbClr val="000000"/>
                  </a:solidFill>
                  <a:latin typeface="Calibri"/>
                  <a:cs typeface="Calibri"/>
                </a:rPr>
                <a:pPr/>
                <a:t>Q2 = 10 [lpm]</a:t>
              </a:fld>
              <a:endParaRPr lang="it-IT" sz="1100" b="1">
                <a:solidFill>
                  <a:schemeClr val="accent1">
                    <a:lumMod val="75000"/>
                  </a:schemeClr>
                </a:solidFill>
              </a:endParaRPr>
            </a:p>
          </xdr:txBody>
        </xdr:sp>
        <xdr:sp macro="" textlink="$P$14">
          <xdr:nvSpPr>
            <xdr:cNvPr id="37" name="CasellaDiTesto 36">
              <a:extLst>
                <a:ext uri="{FF2B5EF4-FFF2-40B4-BE49-F238E27FC236}">
                  <a16:creationId xmlns:a16="http://schemas.microsoft.com/office/drawing/2014/main" id="{00000000-0008-0000-0100-000025000000}"/>
                </a:ext>
              </a:extLst>
            </xdr:cNvPr>
            <xdr:cNvSpPr txBox="1"/>
          </xdr:nvSpPr>
          <xdr:spPr>
            <a:xfrm>
              <a:off x="16193209" y="9247093"/>
              <a:ext cx="1156980" cy="271184"/>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C2F9CE-084B-497E-8731-83FFE9DA12D5}" type="TxLink">
                <a:rPr lang="en-US" sz="1100" b="0" i="0" u="none" strike="noStrike">
                  <a:solidFill>
                    <a:srgbClr val="000000"/>
                  </a:solidFill>
                  <a:latin typeface="Calibri"/>
                  <a:cs typeface="Calibri"/>
                </a:rPr>
                <a:pPr/>
                <a:t>Q3 = 3 [lpm]</a:t>
              </a:fld>
              <a:endParaRPr lang="it-IT" sz="1100" b="1">
                <a:solidFill>
                  <a:schemeClr val="accent1">
                    <a:lumMod val="75000"/>
                  </a:schemeClr>
                </a:solidFill>
              </a:endParaRPr>
            </a:p>
          </xdr:txBody>
        </xdr:sp>
        <xdr:sp macro="" textlink="$P$15">
          <xdr:nvSpPr>
            <xdr:cNvPr id="38" name="CasellaDiTesto 37">
              <a:extLst>
                <a:ext uri="{FF2B5EF4-FFF2-40B4-BE49-F238E27FC236}">
                  <a16:creationId xmlns:a16="http://schemas.microsoft.com/office/drawing/2014/main" id="{00000000-0008-0000-0100-000026000000}"/>
                </a:ext>
              </a:extLst>
            </xdr:cNvPr>
            <xdr:cNvSpPr txBox="1"/>
          </xdr:nvSpPr>
          <xdr:spPr>
            <a:xfrm>
              <a:off x="18081812" y="9240372"/>
              <a:ext cx="1156979" cy="271184"/>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303A83-DB7F-47A3-8CC8-212AC8515635}" type="TxLink">
                <a:rPr lang="en-US" sz="1100" b="0" i="0" u="none" strike="noStrike">
                  <a:solidFill>
                    <a:srgbClr val="000000"/>
                  </a:solidFill>
                  <a:latin typeface="Calibri"/>
                  <a:cs typeface="Calibri"/>
                </a:rPr>
                <a:pPr/>
                <a:t>Q4 = 3 [lpm]</a:t>
              </a:fld>
              <a:endParaRPr lang="it-IT" sz="1100" b="1">
                <a:solidFill>
                  <a:schemeClr val="accent1">
                    <a:lumMod val="75000"/>
                  </a:schemeClr>
                </a:solidFill>
              </a:endParaRPr>
            </a:p>
          </xdr:txBody>
        </xdr:sp>
      </xdr:grpSp>
      <xdr:sp macro="" textlink="">
        <xdr:nvSpPr>
          <xdr:cNvPr id="8" name="CasellaDiTesto 7">
            <a:extLst>
              <a:ext uri="{FF2B5EF4-FFF2-40B4-BE49-F238E27FC236}">
                <a16:creationId xmlns:a16="http://schemas.microsoft.com/office/drawing/2014/main" id="{00000000-0008-0000-0100-000008000000}"/>
              </a:ext>
            </a:extLst>
          </xdr:cNvPr>
          <xdr:cNvSpPr txBox="1"/>
        </xdr:nvSpPr>
        <xdr:spPr>
          <a:xfrm>
            <a:off x="11407589" y="3664326"/>
            <a:ext cx="612321" cy="29135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rgbClr val="000000"/>
                </a:solidFill>
                <a:latin typeface="Calibri"/>
                <a:cs typeface="Calibri"/>
              </a:rPr>
              <a:t>Line 5</a:t>
            </a:r>
          </a:p>
        </xdr:txBody>
      </xdr:sp>
      <xdr:cxnSp macro="">
        <xdr:nvCxnSpPr>
          <xdr:cNvPr id="11" name="Connettore 2 10">
            <a:extLst>
              <a:ext uri="{FF2B5EF4-FFF2-40B4-BE49-F238E27FC236}">
                <a16:creationId xmlns:a16="http://schemas.microsoft.com/office/drawing/2014/main" id="{00000000-0008-0000-0100-00000B000000}"/>
              </a:ext>
            </a:extLst>
          </xdr:cNvPr>
          <xdr:cNvCxnSpPr>
            <a:stCxn id="8" idx="2"/>
          </xdr:cNvCxnSpPr>
        </xdr:nvCxnSpPr>
        <xdr:spPr>
          <a:xfrm>
            <a:off x="11717351" y="3955678"/>
            <a:ext cx="832437" cy="489055"/>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CasellaDiTesto 12">
            <a:extLst>
              <a:ext uri="{FF2B5EF4-FFF2-40B4-BE49-F238E27FC236}">
                <a16:creationId xmlns:a16="http://schemas.microsoft.com/office/drawing/2014/main" id="{00000000-0008-0000-0100-00000D000000}"/>
              </a:ext>
            </a:extLst>
          </xdr:cNvPr>
          <xdr:cNvSpPr txBox="1"/>
        </xdr:nvSpPr>
        <xdr:spPr>
          <a:xfrm>
            <a:off x="11929775" y="6640877"/>
            <a:ext cx="620013" cy="29135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rgbClr val="000000"/>
                </a:solidFill>
                <a:latin typeface="Calibri"/>
                <a:cs typeface="Calibri"/>
              </a:rPr>
              <a:t>Line 1</a:t>
            </a:r>
          </a:p>
        </xdr:txBody>
      </xdr:sp>
      <xdr:cxnSp macro="">
        <xdr:nvCxnSpPr>
          <xdr:cNvPr id="14" name="Connettore 2 13">
            <a:extLst>
              <a:ext uri="{FF2B5EF4-FFF2-40B4-BE49-F238E27FC236}">
                <a16:creationId xmlns:a16="http://schemas.microsoft.com/office/drawing/2014/main" id="{00000000-0008-0000-0100-00000E000000}"/>
              </a:ext>
            </a:extLst>
          </xdr:cNvPr>
          <xdr:cNvCxnSpPr>
            <a:stCxn id="13" idx="1"/>
          </xdr:cNvCxnSpPr>
        </xdr:nvCxnSpPr>
        <xdr:spPr>
          <a:xfrm flipH="1">
            <a:off x="11446566" y="6786553"/>
            <a:ext cx="483209" cy="318150"/>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 name="CasellaDiTesto 16">
            <a:extLst>
              <a:ext uri="{FF2B5EF4-FFF2-40B4-BE49-F238E27FC236}">
                <a16:creationId xmlns:a16="http://schemas.microsoft.com/office/drawing/2014/main" id="{00000000-0008-0000-0100-000011000000}"/>
              </a:ext>
            </a:extLst>
          </xdr:cNvPr>
          <xdr:cNvSpPr txBox="1"/>
        </xdr:nvSpPr>
        <xdr:spPr>
          <a:xfrm>
            <a:off x="12665185" y="6659875"/>
            <a:ext cx="605118" cy="29135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rgbClr val="000000"/>
                </a:solidFill>
                <a:latin typeface="Calibri"/>
                <a:cs typeface="Calibri"/>
              </a:rPr>
              <a:t>Line 2</a:t>
            </a:r>
          </a:p>
        </xdr:txBody>
      </xdr:sp>
      <xdr:cxnSp macro="">
        <xdr:nvCxnSpPr>
          <xdr:cNvPr id="18" name="Connettore 2 17">
            <a:extLst>
              <a:ext uri="{FF2B5EF4-FFF2-40B4-BE49-F238E27FC236}">
                <a16:creationId xmlns:a16="http://schemas.microsoft.com/office/drawing/2014/main" id="{00000000-0008-0000-0100-000012000000}"/>
              </a:ext>
            </a:extLst>
          </xdr:cNvPr>
          <xdr:cNvCxnSpPr>
            <a:stCxn id="17" idx="3"/>
          </xdr:cNvCxnSpPr>
        </xdr:nvCxnSpPr>
        <xdr:spPr>
          <a:xfrm>
            <a:off x="13270303" y="6805551"/>
            <a:ext cx="394226" cy="224609"/>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CasellaDiTesto 20">
            <a:extLst>
              <a:ext uri="{FF2B5EF4-FFF2-40B4-BE49-F238E27FC236}">
                <a16:creationId xmlns:a16="http://schemas.microsoft.com/office/drawing/2014/main" id="{00000000-0008-0000-0100-000015000000}"/>
              </a:ext>
            </a:extLst>
          </xdr:cNvPr>
          <xdr:cNvSpPr txBox="1"/>
        </xdr:nvSpPr>
        <xdr:spPr>
          <a:xfrm>
            <a:off x="15115936" y="6722728"/>
            <a:ext cx="605118" cy="29135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rgbClr val="000000"/>
                </a:solidFill>
                <a:latin typeface="Calibri"/>
                <a:cs typeface="Calibri"/>
              </a:rPr>
              <a:t>Line 3</a:t>
            </a:r>
          </a:p>
        </xdr:txBody>
      </xdr:sp>
      <xdr:cxnSp macro="">
        <xdr:nvCxnSpPr>
          <xdr:cNvPr id="22" name="Connettore 2 21">
            <a:extLst>
              <a:ext uri="{FF2B5EF4-FFF2-40B4-BE49-F238E27FC236}">
                <a16:creationId xmlns:a16="http://schemas.microsoft.com/office/drawing/2014/main" id="{00000000-0008-0000-0100-000016000000}"/>
              </a:ext>
            </a:extLst>
          </xdr:cNvPr>
          <xdr:cNvCxnSpPr/>
        </xdr:nvCxnSpPr>
        <xdr:spPr>
          <a:xfrm>
            <a:off x="15726899" y="6881073"/>
            <a:ext cx="215348" cy="248478"/>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4" name="CasellaDiTesto 23">
            <a:extLst>
              <a:ext uri="{FF2B5EF4-FFF2-40B4-BE49-F238E27FC236}">
                <a16:creationId xmlns:a16="http://schemas.microsoft.com/office/drawing/2014/main" id="{00000000-0008-0000-0100-000018000000}"/>
              </a:ext>
            </a:extLst>
          </xdr:cNvPr>
          <xdr:cNvSpPr txBox="1"/>
        </xdr:nvSpPr>
        <xdr:spPr>
          <a:xfrm>
            <a:off x="21547632" y="6807893"/>
            <a:ext cx="612321" cy="29135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rgbClr val="000000"/>
                </a:solidFill>
                <a:latin typeface="Calibri"/>
                <a:cs typeface="Calibri"/>
              </a:rPr>
              <a:t>Line 4</a:t>
            </a:r>
          </a:p>
        </xdr:txBody>
      </xdr:sp>
      <xdr:cxnSp macro="">
        <xdr:nvCxnSpPr>
          <xdr:cNvPr id="26" name="Connettore 2 25">
            <a:extLst>
              <a:ext uri="{FF2B5EF4-FFF2-40B4-BE49-F238E27FC236}">
                <a16:creationId xmlns:a16="http://schemas.microsoft.com/office/drawing/2014/main" id="{00000000-0008-0000-0100-00001A000000}"/>
              </a:ext>
            </a:extLst>
          </xdr:cNvPr>
          <xdr:cNvCxnSpPr>
            <a:stCxn id="24" idx="1"/>
          </xdr:cNvCxnSpPr>
        </xdr:nvCxnSpPr>
        <xdr:spPr>
          <a:xfrm flipH="1">
            <a:off x="20558792" y="6953569"/>
            <a:ext cx="988840" cy="3810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3" name="CasellaDiTesto 52">
            <a:extLst>
              <a:ext uri="{FF2B5EF4-FFF2-40B4-BE49-F238E27FC236}">
                <a16:creationId xmlns:a16="http://schemas.microsoft.com/office/drawing/2014/main" id="{00000000-0008-0000-0100-000035000000}"/>
              </a:ext>
            </a:extLst>
          </xdr:cNvPr>
          <xdr:cNvSpPr txBox="1"/>
        </xdr:nvSpPr>
        <xdr:spPr>
          <a:xfrm>
            <a:off x="20962107" y="4151775"/>
            <a:ext cx="617292" cy="294073"/>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rgbClr val="000000"/>
                </a:solidFill>
                <a:latin typeface="Calibri"/>
                <a:cs typeface="Calibri"/>
              </a:rPr>
              <a:t>Line 6</a:t>
            </a:r>
          </a:p>
        </xdr:txBody>
      </xdr:sp>
      <xdr:cxnSp macro="">
        <xdr:nvCxnSpPr>
          <xdr:cNvPr id="54" name="Connettore 2 53">
            <a:extLst>
              <a:ext uri="{FF2B5EF4-FFF2-40B4-BE49-F238E27FC236}">
                <a16:creationId xmlns:a16="http://schemas.microsoft.com/office/drawing/2014/main" id="{00000000-0008-0000-0100-000036000000}"/>
              </a:ext>
            </a:extLst>
          </xdr:cNvPr>
          <xdr:cNvCxnSpPr>
            <a:stCxn id="53" idx="1"/>
          </xdr:cNvCxnSpPr>
        </xdr:nvCxnSpPr>
        <xdr:spPr>
          <a:xfrm flipH="1">
            <a:off x="20481619" y="4297451"/>
            <a:ext cx="480488" cy="32087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120332</xdr:colOff>
      <xdr:row>19</xdr:row>
      <xdr:rowOff>35719</xdr:rowOff>
    </xdr:from>
    <xdr:to>
      <xdr:col>14</xdr:col>
      <xdr:colOff>522605</xdr:colOff>
      <xdr:row>50</xdr:row>
      <xdr:rowOff>190500</xdr:rowOff>
    </xdr:to>
    <xdr:sp macro="" textlink="">
      <xdr:nvSpPr>
        <xdr:cNvPr id="10" name="TextBox 1">
          <a:extLst>
            <a:ext uri="{FF2B5EF4-FFF2-40B4-BE49-F238E27FC236}">
              <a16:creationId xmlns:a16="http://schemas.microsoft.com/office/drawing/2014/main" id="{00000000-0008-0000-0100-00000A000000}"/>
            </a:ext>
          </a:extLst>
        </xdr:cNvPr>
        <xdr:cNvSpPr txBox="1"/>
      </xdr:nvSpPr>
      <xdr:spPr>
        <a:xfrm>
          <a:off x="9036843" y="3952875"/>
          <a:ext cx="10072688" cy="258365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INSTRUCTIONS</a:t>
          </a:r>
        </a:p>
        <a:p>
          <a:r>
            <a:rPr lang="en-US" sz="1100" b="0" u="none"/>
            <a:t>Follow the steps</a:t>
          </a:r>
          <a:r>
            <a:rPr lang="en-US" sz="1100" b="0" u="none" baseline="0"/>
            <a:t> to allow calculation to be initialized:</a:t>
          </a:r>
        </a:p>
        <a:p>
          <a:r>
            <a:rPr lang="en-US" sz="1100" b="0" u="none" baseline="0"/>
            <a:t>1) </a:t>
          </a:r>
          <a:r>
            <a:rPr lang="en-US" sz="1100" b="0">
              <a:solidFill>
                <a:schemeClr val="dk1"/>
              </a:solidFill>
              <a:effectLst/>
              <a:latin typeface="+mn-lt"/>
              <a:ea typeface="+mn-ea"/>
              <a:cs typeface="+mn-cs"/>
            </a:rPr>
            <a:t>Compile</a:t>
          </a:r>
          <a:r>
            <a:rPr lang="en-US" sz="1100" b="0" baseline="0">
              <a:solidFill>
                <a:schemeClr val="dk1"/>
              </a:solidFill>
              <a:effectLst/>
              <a:latin typeface="+mn-lt"/>
              <a:ea typeface="+mn-ea"/>
              <a:cs typeface="+mn-cs"/>
            </a:rPr>
            <a:t> input data in OPERATING DATA.</a:t>
          </a:r>
          <a:endParaRPr lang="en-US" sz="1100" b="0" u="none" baseline="0"/>
        </a:p>
        <a:p>
          <a:r>
            <a:rPr lang="en-US" sz="1100" b="0" u="none" baseline="0"/>
            <a:t>2) </a:t>
          </a:r>
          <a:r>
            <a:rPr lang="en-US" sz="1100" b="0">
              <a:solidFill>
                <a:schemeClr val="dk1"/>
              </a:solidFill>
              <a:effectLst/>
              <a:latin typeface="+mn-lt"/>
              <a:ea typeface="+mn-ea"/>
              <a:cs typeface="+mn-cs"/>
            </a:rPr>
            <a:t>Compile</a:t>
          </a:r>
          <a:r>
            <a:rPr lang="en-US" sz="1100" b="0" baseline="0">
              <a:solidFill>
                <a:schemeClr val="dk1"/>
              </a:solidFill>
              <a:effectLst/>
              <a:latin typeface="+mn-lt"/>
              <a:ea typeface="+mn-ea"/>
              <a:cs typeface="+mn-cs"/>
            </a:rPr>
            <a:t> input data in LINE 1: EXTERNAL SIDE THRUST BEARING</a:t>
          </a:r>
          <a:r>
            <a:rPr lang="en-US" sz="1100" b="0" u="none"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a:t>
          </a:r>
          <a:r>
            <a:rPr lang="en-US" sz="1100" b="0">
              <a:solidFill>
                <a:schemeClr val="dk1"/>
              </a:solidFill>
              <a:effectLst/>
              <a:latin typeface="+mn-lt"/>
              <a:ea typeface="+mn-ea"/>
              <a:cs typeface="+mn-cs"/>
            </a:rPr>
            <a:t>Compile</a:t>
          </a:r>
          <a:r>
            <a:rPr lang="en-US" sz="1100" b="0" baseline="0">
              <a:solidFill>
                <a:schemeClr val="dk1"/>
              </a:solidFill>
              <a:effectLst/>
              <a:latin typeface="+mn-lt"/>
              <a:ea typeface="+mn-ea"/>
              <a:cs typeface="+mn-cs"/>
            </a:rPr>
            <a:t> input data in LINE 2: INTERNAL SIDE THRUST BEARING.</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4) </a:t>
          </a:r>
          <a:r>
            <a:rPr lang="en-US" sz="1100" b="0">
              <a:solidFill>
                <a:schemeClr val="dk1"/>
              </a:solidFill>
              <a:effectLst/>
              <a:latin typeface="+mn-lt"/>
              <a:ea typeface="+mn-ea"/>
              <a:cs typeface="+mn-cs"/>
            </a:rPr>
            <a:t>Compile</a:t>
          </a:r>
          <a:r>
            <a:rPr lang="en-US" sz="1100" b="0" baseline="0">
              <a:solidFill>
                <a:schemeClr val="dk1"/>
              </a:solidFill>
              <a:effectLst/>
              <a:latin typeface="+mn-lt"/>
              <a:ea typeface="+mn-ea"/>
              <a:cs typeface="+mn-cs"/>
            </a:rPr>
            <a:t> input data in LINE 3: NDE JOURNAL BEARING.</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5) </a:t>
          </a:r>
          <a:r>
            <a:rPr lang="en-US" sz="1100" b="0">
              <a:solidFill>
                <a:schemeClr val="dk1"/>
              </a:solidFill>
              <a:effectLst/>
              <a:latin typeface="+mn-lt"/>
              <a:ea typeface="+mn-ea"/>
              <a:cs typeface="+mn-cs"/>
            </a:rPr>
            <a:t>Compile</a:t>
          </a:r>
          <a:r>
            <a:rPr lang="en-US" sz="1100" b="0" baseline="0">
              <a:solidFill>
                <a:schemeClr val="dk1"/>
              </a:solidFill>
              <a:effectLst/>
              <a:latin typeface="+mn-lt"/>
              <a:ea typeface="+mn-ea"/>
              <a:cs typeface="+mn-cs"/>
            </a:rPr>
            <a:t> input data in LINE 4: DE JOURNAL BEARING.</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6) </a:t>
          </a:r>
          <a:r>
            <a:rPr lang="en-US" sz="1100" b="0">
              <a:solidFill>
                <a:schemeClr val="dk1"/>
              </a:solidFill>
              <a:effectLst/>
              <a:latin typeface="+mn-lt"/>
              <a:ea typeface="+mn-ea"/>
              <a:cs typeface="+mn-cs"/>
            </a:rPr>
            <a:t>Compile</a:t>
          </a:r>
          <a:r>
            <a:rPr lang="en-US" sz="1100" b="0" baseline="0">
              <a:solidFill>
                <a:schemeClr val="dk1"/>
              </a:solidFill>
              <a:effectLst/>
              <a:latin typeface="+mn-lt"/>
              <a:ea typeface="+mn-ea"/>
              <a:cs typeface="+mn-cs"/>
            </a:rPr>
            <a:t> input data in LINE 5.</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7) </a:t>
          </a:r>
          <a:r>
            <a:rPr lang="en-US" sz="1100" b="0">
              <a:solidFill>
                <a:schemeClr val="dk1"/>
              </a:solidFill>
              <a:effectLst/>
              <a:latin typeface="+mn-lt"/>
              <a:ea typeface="+mn-ea"/>
              <a:cs typeface="+mn-cs"/>
            </a:rPr>
            <a:t>Compile</a:t>
          </a:r>
          <a:r>
            <a:rPr lang="en-US" sz="1100" b="0" baseline="0">
              <a:solidFill>
                <a:schemeClr val="dk1"/>
              </a:solidFill>
              <a:effectLst/>
              <a:latin typeface="+mn-lt"/>
              <a:ea typeface="+mn-ea"/>
              <a:cs typeface="+mn-cs"/>
            </a:rPr>
            <a:t> input data in LINE 6.</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8)  Run the calculation with the dedicated button.</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8) Check the results in the CALCULATED DATA section on the basis of the warnings legend.</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9) If all the results are acceptable, the calculation is completed. Otherwise, input data shall be modified as indicated in the notes and the calculation shall be run again.</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10) Accuracy can be updated, if necessary. If the result is not aligned with the set accuracy, the number of iterations shall be increased.</a:t>
          </a:r>
          <a:endParaRPr lang="en-US" sz="1100" b="0" u="none"/>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65738-1B80-4681-B4F7-BAA63194D149}">
  <sheetPr codeName="Foglio4"/>
  <dimension ref="B2:M36"/>
  <sheetViews>
    <sheetView tabSelected="1" workbookViewId="0">
      <selection activeCell="I31" sqref="I31:J31"/>
    </sheetView>
  </sheetViews>
  <sheetFormatPr defaultRowHeight="15" x14ac:dyDescent="0.25"/>
  <cols>
    <col min="1" max="1" width="2.7109375" customWidth="1"/>
  </cols>
  <sheetData>
    <row r="2" spans="2:13" ht="23.25" x14ac:dyDescent="0.35">
      <c r="B2" s="57" t="s">
        <v>139</v>
      </c>
      <c r="C2" s="58"/>
      <c r="D2" s="58"/>
      <c r="E2" s="58"/>
      <c r="F2" s="58"/>
      <c r="G2" s="58"/>
      <c r="H2" s="58"/>
      <c r="I2" s="58"/>
      <c r="J2" s="58"/>
      <c r="K2" s="58"/>
      <c r="L2" s="58"/>
      <c r="M2" s="58"/>
    </row>
    <row r="29" spans="2:13" x14ac:dyDescent="0.25">
      <c r="B29" s="24" t="s">
        <v>92</v>
      </c>
      <c r="C29" s="66" t="s">
        <v>93</v>
      </c>
      <c r="D29" s="67"/>
      <c r="E29" s="68"/>
      <c r="F29" s="69" t="s">
        <v>94</v>
      </c>
      <c r="G29" s="70"/>
      <c r="H29" s="71"/>
      <c r="I29" s="72" t="s">
        <v>95</v>
      </c>
      <c r="J29" s="73"/>
      <c r="K29" s="72" t="s">
        <v>96</v>
      </c>
      <c r="L29" s="74"/>
      <c r="M29" s="73"/>
    </row>
    <row r="30" spans="2:13" x14ac:dyDescent="0.25">
      <c r="B30" s="25">
        <v>0</v>
      </c>
      <c r="C30" s="59" t="s">
        <v>97</v>
      </c>
      <c r="D30" s="60"/>
      <c r="E30" s="61"/>
      <c r="F30" s="62"/>
      <c r="G30" s="63"/>
      <c r="H30" s="64"/>
      <c r="I30" s="75">
        <v>45347</v>
      </c>
      <c r="J30" s="65"/>
      <c r="K30" s="62"/>
      <c r="L30" s="63"/>
      <c r="M30" s="64"/>
    </row>
    <row r="31" spans="2:13" x14ac:dyDescent="0.25">
      <c r="B31" s="25"/>
      <c r="C31" s="59"/>
      <c r="D31" s="60"/>
      <c r="E31" s="61"/>
      <c r="F31" s="62"/>
      <c r="G31" s="63"/>
      <c r="H31" s="64"/>
      <c r="I31" s="65"/>
      <c r="J31" s="65"/>
      <c r="K31" s="62"/>
      <c r="L31" s="63"/>
      <c r="M31" s="64"/>
    </row>
    <row r="32" spans="2:13" x14ac:dyDescent="0.25">
      <c r="B32" s="25"/>
      <c r="C32" s="59"/>
      <c r="D32" s="60"/>
      <c r="E32" s="61"/>
      <c r="F32" s="62"/>
      <c r="G32" s="63"/>
      <c r="H32" s="64"/>
      <c r="I32" s="65"/>
      <c r="J32" s="65"/>
      <c r="K32" s="62"/>
      <c r="L32" s="63"/>
      <c r="M32" s="64"/>
    </row>
    <row r="33" spans="2:13" x14ac:dyDescent="0.25">
      <c r="B33" s="25"/>
      <c r="C33" s="59"/>
      <c r="D33" s="60"/>
      <c r="E33" s="61"/>
      <c r="F33" s="62"/>
      <c r="G33" s="63"/>
      <c r="H33" s="64"/>
      <c r="I33" s="65"/>
      <c r="J33" s="65"/>
      <c r="K33" s="62"/>
      <c r="L33" s="63"/>
      <c r="M33" s="64"/>
    </row>
    <row r="34" spans="2:13" x14ac:dyDescent="0.25">
      <c r="B34" s="25"/>
      <c r="C34" s="59"/>
      <c r="D34" s="60"/>
      <c r="E34" s="61"/>
      <c r="F34" s="62"/>
      <c r="G34" s="63"/>
      <c r="H34" s="64"/>
      <c r="I34" s="65"/>
      <c r="J34" s="65"/>
      <c r="K34" s="62"/>
      <c r="L34" s="63"/>
      <c r="M34" s="64"/>
    </row>
    <row r="35" spans="2:13" x14ac:dyDescent="0.25">
      <c r="B35" s="25"/>
      <c r="C35" s="59"/>
      <c r="D35" s="60"/>
      <c r="E35" s="61"/>
      <c r="F35" s="62"/>
      <c r="G35" s="63"/>
      <c r="H35" s="64"/>
      <c r="I35" s="65"/>
      <c r="J35" s="65"/>
      <c r="K35" s="62"/>
      <c r="L35" s="63"/>
      <c r="M35" s="64"/>
    </row>
    <row r="36" spans="2:13" x14ac:dyDescent="0.25">
      <c r="B36" s="25"/>
      <c r="C36" s="59"/>
      <c r="D36" s="60"/>
      <c r="E36" s="61"/>
      <c r="F36" s="62"/>
      <c r="G36" s="63"/>
      <c r="H36" s="64"/>
      <c r="I36" s="65"/>
      <c r="J36" s="65"/>
      <c r="K36" s="62"/>
      <c r="L36" s="63"/>
      <c r="M36" s="64"/>
    </row>
  </sheetData>
  <mergeCells count="32">
    <mergeCell ref="C29:E29"/>
    <mergeCell ref="F29:H29"/>
    <mergeCell ref="I29:J29"/>
    <mergeCell ref="K29:M29"/>
    <mergeCell ref="C30:E30"/>
    <mergeCell ref="F30:H30"/>
    <mergeCell ref="I30:J30"/>
    <mergeCell ref="K30:M30"/>
    <mergeCell ref="C31:E31"/>
    <mergeCell ref="F31:H31"/>
    <mergeCell ref="I31:J31"/>
    <mergeCell ref="K31:M31"/>
    <mergeCell ref="C32:E32"/>
    <mergeCell ref="F32:H32"/>
    <mergeCell ref="I32:J32"/>
    <mergeCell ref="K32:M32"/>
    <mergeCell ref="C33:E33"/>
    <mergeCell ref="F33:H33"/>
    <mergeCell ref="I33:J33"/>
    <mergeCell ref="K33:M33"/>
    <mergeCell ref="C34:E34"/>
    <mergeCell ref="F34:H34"/>
    <mergeCell ref="I34:J34"/>
    <mergeCell ref="K34:M34"/>
    <mergeCell ref="C35:E35"/>
    <mergeCell ref="F35:H35"/>
    <mergeCell ref="I35:J35"/>
    <mergeCell ref="K35:M35"/>
    <mergeCell ref="C36:E36"/>
    <mergeCell ref="F36:H36"/>
    <mergeCell ref="I36:J36"/>
    <mergeCell ref="K36:M3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FA374-2487-40F8-AEC5-5A6D73CD2985}">
  <sheetPr codeName="Foglio3"/>
  <dimension ref="A1:T173"/>
  <sheetViews>
    <sheetView zoomScale="80" zoomScaleNormal="80" workbookViewId="0">
      <selection activeCell="E14" sqref="E14"/>
    </sheetView>
  </sheetViews>
  <sheetFormatPr defaultColWidth="9.140625" defaultRowHeight="15" outlineLevelRow="1" outlineLevelCol="1" x14ac:dyDescent="0.25"/>
  <cols>
    <col min="1" max="1" width="2.7109375" customWidth="1"/>
    <col min="2" max="2" width="20" style="22" bestFit="1" customWidth="1"/>
    <col min="3" max="3" width="9.140625" style="22"/>
    <col min="4" max="4" width="11.42578125" style="36" bestFit="1" customWidth="1"/>
    <col min="5" max="5" width="90.5703125" style="3" bestFit="1" customWidth="1"/>
    <col min="6" max="6" width="3.5703125" style="22" customWidth="1"/>
    <col min="7" max="7" width="44.42578125" style="22" bestFit="1" customWidth="1"/>
    <col min="8" max="8" width="9.140625" style="22"/>
    <col min="9" max="9" width="12.5703125" style="22" bestFit="1" customWidth="1"/>
    <col min="10" max="10" width="44.42578125" style="22" bestFit="1" customWidth="1"/>
    <col min="11" max="11" width="3.5703125" style="22" customWidth="1"/>
    <col min="12" max="14" width="9.140625" style="22"/>
    <col min="15" max="15" width="9.7109375" style="22" bestFit="1" customWidth="1"/>
    <col min="16" max="18" width="0" style="22" hidden="1" customWidth="1" outlineLevel="1"/>
    <col min="19" max="19" width="57.7109375" style="22" bestFit="1" customWidth="1" collapsed="1"/>
    <col min="20" max="20" width="43.42578125" style="22" customWidth="1"/>
    <col min="21" max="16384" width="9.140625" style="22"/>
  </cols>
  <sheetData>
    <row r="1" spans="1:20" s="23" customFormat="1" x14ac:dyDescent="0.25">
      <c r="A1"/>
      <c r="C1" s="26"/>
      <c r="D1" s="35"/>
      <c r="E1" s="3"/>
      <c r="I1"/>
      <c r="M1"/>
    </row>
    <row r="2" spans="1:20" s="23" customFormat="1" ht="23.25" x14ac:dyDescent="0.35">
      <c r="A2"/>
      <c r="B2" s="88" t="s">
        <v>98</v>
      </c>
      <c r="C2" s="88"/>
      <c r="D2" s="88"/>
      <c r="E2" s="88"/>
      <c r="I2"/>
      <c r="M2"/>
    </row>
    <row r="3" spans="1:20" s="23" customFormat="1" x14ac:dyDescent="0.25">
      <c r="A3"/>
      <c r="C3" s="26"/>
      <c r="D3" s="35"/>
      <c r="E3" s="3"/>
      <c r="I3"/>
      <c r="M3"/>
    </row>
    <row r="4" spans="1:20" s="23" customFormat="1" x14ac:dyDescent="0.25">
      <c r="A4"/>
      <c r="B4" s="27" t="s">
        <v>86</v>
      </c>
      <c r="C4" s="26"/>
      <c r="D4" s="35"/>
      <c r="E4" s="3"/>
      <c r="I4"/>
      <c r="L4" s="82" t="s">
        <v>127</v>
      </c>
      <c r="M4" s="83"/>
      <c r="N4" s="83"/>
      <c r="O4" s="83"/>
      <c r="P4" s="83"/>
      <c r="Q4" s="83"/>
      <c r="R4" s="83"/>
      <c r="S4" s="83"/>
      <c r="T4" s="84"/>
    </row>
    <row r="5" spans="1:20" s="23" customFormat="1" x14ac:dyDescent="0.25">
      <c r="A5"/>
      <c r="B5" s="55" t="s">
        <v>100</v>
      </c>
      <c r="C5" s="26"/>
      <c r="D5" s="35"/>
      <c r="E5" s="3"/>
      <c r="I5"/>
      <c r="L5" s="33">
        <v>1</v>
      </c>
      <c r="M5" s="85" t="s">
        <v>124</v>
      </c>
      <c r="N5" s="86"/>
      <c r="O5" s="86"/>
      <c r="P5" s="86"/>
      <c r="Q5" s="86"/>
      <c r="R5" s="86"/>
      <c r="S5" s="86"/>
      <c r="T5" s="87"/>
    </row>
    <row r="6" spans="1:20" s="23" customFormat="1" x14ac:dyDescent="0.25">
      <c r="A6"/>
      <c r="B6" s="28" t="s">
        <v>101</v>
      </c>
      <c r="C6" s="26"/>
      <c r="D6" s="35"/>
      <c r="E6" s="3"/>
      <c r="I6"/>
      <c r="L6" s="33">
        <v>0.5</v>
      </c>
      <c r="M6" s="85" t="s">
        <v>125</v>
      </c>
      <c r="N6" s="86"/>
      <c r="O6" s="86"/>
      <c r="P6" s="86"/>
      <c r="Q6" s="86"/>
      <c r="R6" s="86"/>
      <c r="S6" s="86"/>
      <c r="T6" s="87"/>
    </row>
    <row r="7" spans="1:20" s="23" customFormat="1" x14ac:dyDescent="0.25">
      <c r="A7"/>
      <c r="B7" s="56" t="s">
        <v>102</v>
      </c>
      <c r="C7" s="26"/>
      <c r="D7" s="35"/>
      <c r="E7" s="3"/>
      <c r="I7"/>
      <c r="L7" s="33">
        <v>0</v>
      </c>
      <c r="M7" s="85" t="s">
        <v>126</v>
      </c>
      <c r="N7" s="86"/>
      <c r="O7" s="86"/>
      <c r="P7" s="86"/>
      <c r="Q7" s="86"/>
      <c r="R7" s="86"/>
      <c r="S7" s="86"/>
      <c r="T7" s="87"/>
    </row>
    <row r="8" spans="1:20" x14ac:dyDescent="0.25">
      <c r="F8" s="23"/>
      <c r="K8" s="23"/>
      <c r="S8" s="23"/>
      <c r="T8" s="23"/>
    </row>
    <row r="9" spans="1:20" x14ac:dyDescent="0.25">
      <c r="B9" s="76" t="s">
        <v>99</v>
      </c>
      <c r="C9" s="76"/>
      <c r="D9" s="76"/>
      <c r="E9" s="76"/>
      <c r="G9" s="76" t="s">
        <v>128</v>
      </c>
      <c r="H9" s="76"/>
      <c r="I9" s="76"/>
      <c r="J9" s="76"/>
      <c r="K9" s="23"/>
      <c r="L9" s="76" t="s">
        <v>129</v>
      </c>
      <c r="M9" s="76"/>
      <c r="N9" s="76"/>
      <c r="O9" s="76"/>
      <c r="P9" s="76"/>
      <c r="Q9" s="76"/>
      <c r="R9" s="76"/>
      <c r="S9" s="76"/>
      <c r="T9" s="76"/>
    </row>
    <row r="10" spans="1:20" ht="18" x14ac:dyDescent="0.25">
      <c r="B10" s="29" t="s">
        <v>103</v>
      </c>
      <c r="C10" s="29" t="s">
        <v>1</v>
      </c>
      <c r="D10" s="37">
        <v>46</v>
      </c>
      <c r="E10" s="31" t="s">
        <v>14</v>
      </c>
      <c r="F10" s="3"/>
      <c r="G10" s="30" t="s">
        <v>91</v>
      </c>
      <c r="H10" s="30" t="s">
        <v>82</v>
      </c>
      <c r="I10" s="38">
        <v>1000</v>
      </c>
      <c r="J10" s="32" t="s">
        <v>83</v>
      </c>
      <c r="L10" s="34" t="s">
        <v>79</v>
      </c>
      <c r="M10" s="34" t="s">
        <v>18</v>
      </c>
      <c r="N10" s="34" t="s">
        <v>20</v>
      </c>
      <c r="O10" s="27" t="s">
        <v>23</v>
      </c>
      <c r="P10" s="27" t="s">
        <v>81</v>
      </c>
      <c r="Q10" s="27" t="s">
        <v>81</v>
      </c>
      <c r="R10" s="27" t="s">
        <v>81</v>
      </c>
      <c r="S10" s="77" t="s">
        <v>84</v>
      </c>
      <c r="T10" s="77" t="s">
        <v>85</v>
      </c>
    </row>
    <row r="11" spans="1:20" ht="18" x14ac:dyDescent="0.25">
      <c r="B11" s="30" t="s">
        <v>104</v>
      </c>
      <c r="C11" s="30" t="s">
        <v>2</v>
      </c>
      <c r="D11" s="38">
        <v>60</v>
      </c>
      <c r="E11" s="32" t="s">
        <v>130</v>
      </c>
      <c r="G11" s="30" t="s">
        <v>90</v>
      </c>
      <c r="H11" s="30" t="s">
        <v>13</v>
      </c>
      <c r="I11" s="43">
        <v>0.5</v>
      </c>
      <c r="J11" s="32" t="s">
        <v>89</v>
      </c>
      <c r="K11" s="3"/>
      <c r="L11" s="34" t="s">
        <v>42</v>
      </c>
      <c r="M11" s="34" t="s">
        <v>4</v>
      </c>
      <c r="N11" s="34" t="s">
        <v>0</v>
      </c>
      <c r="O11" s="34" t="s">
        <v>13</v>
      </c>
      <c r="P11" s="34"/>
      <c r="Q11" s="34"/>
      <c r="R11" s="34"/>
      <c r="S11" s="78"/>
      <c r="T11" s="78"/>
    </row>
    <row r="12" spans="1:20" ht="17.25" x14ac:dyDescent="0.25">
      <c r="B12" s="30" t="s">
        <v>16</v>
      </c>
      <c r="C12" s="30" t="s">
        <v>119</v>
      </c>
      <c r="D12" s="39" cm="1">
        <f t="array" ref="D12">interp(D11,oil_prop!A4:A24,oil_prop!M4:M24)*1000</f>
        <v>843.30000000000007</v>
      </c>
      <c r="E12" s="32" t="s">
        <v>137</v>
      </c>
      <c r="G12" s="30" t="s">
        <v>87</v>
      </c>
      <c r="H12" s="30" t="s">
        <v>13</v>
      </c>
      <c r="I12" s="44">
        <f>+(ABS(D37-D17)+ABS(D65-D45)+ABS(D93-D73)+ABS(D121-D101))/3</f>
        <v>0.28704115625016041</v>
      </c>
      <c r="J12" s="32" t="s">
        <v>88</v>
      </c>
      <c r="L12" s="45">
        <v>1</v>
      </c>
      <c r="M12" s="46">
        <f>+D18</f>
        <v>10</v>
      </c>
      <c r="N12" s="47">
        <f>+D40</f>
        <v>3.5</v>
      </c>
      <c r="O12" s="48">
        <f>+D42</f>
        <v>1.9585134625417124</v>
      </c>
      <c r="P12" s="49" t="str">
        <f t="shared" ref="P12:P18" si="0">"Q"&amp;L12&amp;" = "&amp;TRUNC(M12,3)&amp;" "&amp;$M$11</f>
        <v>Q1 = 10 [lpm]</v>
      </c>
      <c r="Q12" s="49" t="str">
        <f t="shared" ref="Q12:Q17" si="1">"d"&amp;L12&amp;" = "&amp;TRUNC(N12,1)&amp;" "&amp;$N$11</f>
        <v>d1 = 3.5 [mm]</v>
      </c>
      <c r="R12" s="49" t="str">
        <f t="shared" ref="R12:R18" si="2">"p"&amp;L12&amp;" = "&amp;TRUNC(O12,3)&amp;" "&amp;$O$11</f>
        <v>p1 = 1.958 [barg]</v>
      </c>
      <c r="S12" s="50" t="str">
        <f>+IF(N12&lt;2,"Orifice diameter not acceptable (&lt; 2 mm). Reduce orifice 5.",IF(N12&gt;=3,"Orifice diameter acceptable","Orifice diameter lower than 3 mm. If possible, increase orifice 5."))</f>
        <v>Orifice diameter acceptable</v>
      </c>
      <c r="T12" s="50" t="str">
        <f>+IF(O12&lt;D17,"Pressure too low. Increase orifice 5.",IF(O12&gt;=D17,"Pressure acceptable",""))</f>
        <v>Pressure acceptable</v>
      </c>
    </row>
    <row r="13" spans="1:20" ht="17.25" x14ac:dyDescent="0.25">
      <c r="B13" s="30" t="s">
        <v>15</v>
      </c>
      <c r="C13" s="30" t="s">
        <v>120</v>
      </c>
      <c r="D13" s="39" cm="1">
        <f t="array" ref="D13">interp(D11,oil_prop!A4:A24,oil_prop!L4:L24)</f>
        <v>20.158000000000001</v>
      </c>
      <c r="E13" s="32" t="s">
        <v>138</v>
      </c>
      <c r="L13" s="51">
        <v>2</v>
      </c>
      <c r="M13" s="52">
        <f>+D46</f>
        <v>10</v>
      </c>
      <c r="N13" s="41">
        <f>+D68</f>
        <v>3.5</v>
      </c>
      <c r="O13" s="42">
        <f>+D70</f>
        <v>1.9114071976099316</v>
      </c>
      <c r="P13" s="53" t="str">
        <f t="shared" si="0"/>
        <v>Q2 = 10 [lpm]</v>
      </c>
      <c r="Q13" s="53" t="str">
        <f t="shared" si="1"/>
        <v>d2 = 3.5 [mm]</v>
      </c>
      <c r="R13" s="53" t="str">
        <f t="shared" si="2"/>
        <v>p2 = 1.911 [barg]</v>
      </c>
      <c r="S13" s="54" t="str">
        <f>+IF(N13&lt;2,"Orifice diameter not acceptable (&lt; 2 mm). Reduce orifice 5.",IF(N13&gt;=3,"Orifice diameter acceptable","Orifice diameter lower than 3 mm. If possible, increase orifice 5."))</f>
        <v>Orifice diameter acceptable</v>
      </c>
      <c r="T13" s="54" t="str">
        <f>+IF(O13&lt;D45,"Pressure too low. Increase orifice 5.",IF(O13&gt;=D45,"Pressure acceptable",""))</f>
        <v>Pressure acceptable</v>
      </c>
    </row>
    <row r="14" spans="1:20" ht="18" x14ac:dyDescent="0.25">
      <c r="B14" s="30" t="s">
        <v>105</v>
      </c>
      <c r="C14" s="30" t="s">
        <v>13</v>
      </c>
      <c r="D14" s="38">
        <v>5</v>
      </c>
      <c r="E14" s="32" t="s">
        <v>17</v>
      </c>
      <c r="L14" s="51">
        <v>3</v>
      </c>
      <c r="M14" s="52">
        <f>+D74</f>
        <v>3</v>
      </c>
      <c r="N14" s="41">
        <f>+D96</f>
        <v>2</v>
      </c>
      <c r="O14" s="42">
        <f>+D98</f>
        <v>2.5416838004621591</v>
      </c>
      <c r="P14" s="53" t="str">
        <f t="shared" si="0"/>
        <v>Q3 = 3 [lpm]</v>
      </c>
      <c r="Q14" s="53" t="str">
        <f t="shared" si="1"/>
        <v>d3 = 2 [mm]</v>
      </c>
      <c r="R14" s="53" t="str">
        <f t="shared" si="2"/>
        <v>p3 = 2.541 [barg]</v>
      </c>
      <c r="S14" s="54" t="str">
        <f>+IF(N14&lt;2,"Orifice diameter not acceptable (&lt; 2 mm). Reduce orifice 5.",IF(N14&gt;=3,"Orifice diameter acceptable","Orifice diameter lower than 3 mm. If possible, increase orifice 5."))</f>
        <v>Orifice diameter lower than 3 mm. If possible, increase orifice 5.</v>
      </c>
      <c r="T14" s="54" t="str">
        <f>+IF(O14&lt;D73,"Pressure too low. Increase orifice 5.",IF(O14&gt;=D73,"Pressure acceptable",""))</f>
        <v>Pressure acceptable</v>
      </c>
    </row>
    <row r="15" spans="1:20" x14ac:dyDescent="0.25">
      <c r="L15" s="51">
        <v>4</v>
      </c>
      <c r="M15" s="52">
        <f>+D102</f>
        <v>3</v>
      </c>
      <c r="N15" s="41">
        <f>+D124</f>
        <v>2</v>
      </c>
      <c r="O15" s="42">
        <f>+D126</f>
        <v>2.5398913057681978</v>
      </c>
      <c r="P15" s="53" t="str">
        <f t="shared" si="0"/>
        <v>Q4 = 3 [lpm]</v>
      </c>
      <c r="Q15" s="53" t="str">
        <f t="shared" si="1"/>
        <v>d4 = 2 [mm]</v>
      </c>
      <c r="R15" s="53" t="str">
        <f t="shared" si="2"/>
        <v>p4 = 2.539 [barg]</v>
      </c>
      <c r="S15" s="54" t="str">
        <f>+IF(N15&lt;2,"Orifice diameter not acceptable (&lt; 2 mm). Reduce orifice 6.",IF(N15&gt;=3,"Orifice diameter acceptable","Orifice diameter lower than 3 mm. If possible, increase orifice 6."))</f>
        <v>Orifice diameter lower than 3 mm. If possible, increase orifice 6.</v>
      </c>
      <c r="T15" s="54" t="str">
        <f>+IF(O15&lt;D101,"Pressure too low. Increase orifice 5.",IF(O15&gt;=D101,"Pressure acceptable",""))</f>
        <v>Pressure acceptable</v>
      </c>
    </row>
    <row r="16" spans="1:20" x14ac:dyDescent="0.25">
      <c r="B16" s="76" t="s">
        <v>30</v>
      </c>
      <c r="C16" s="76"/>
      <c r="D16" s="76"/>
      <c r="E16" s="76"/>
      <c r="L16" s="51">
        <v>5</v>
      </c>
      <c r="M16" s="52">
        <f>+D130</f>
        <v>36.450000000000003</v>
      </c>
      <c r="N16" s="41">
        <f>+D147</f>
        <v>30</v>
      </c>
      <c r="O16" s="42">
        <f>+D149</f>
        <v>5</v>
      </c>
      <c r="P16" s="53" t="str">
        <f t="shared" si="0"/>
        <v>Q5 = 36.45 [lpm]</v>
      </c>
      <c r="Q16" s="53" t="str">
        <f t="shared" si="1"/>
        <v>d5 = 30 [mm]</v>
      </c>
      <c r="R16" s="53" t="str">
        <f t="shared" si="2"/>
        <v>p5 = 5 [barg]</v>
      </c>
      <c r="S16" s="54" t="str">
        <f>+IF(N16&lt;2,"Orifice diameter not acceptable (&lt; 2 mm).",IF(N16&gt;=3,"Orifice diameter acceptable","Orifice diameter lower than 3 mm. If possible, increase to diameter &gt; 3 mm."))</f>
        <v>Orifice diameter acceptable</v>
      </c>
      <c r="T16" s="54" t="str">
        <f>+IF(O16&lt;D129,"Pressure too low. Increase orifice 5.",IF(O16&gt;=D129,"Pressure acceptable",""))</f>
        <v>Pressure acceptable</v>
      </c>
    </row>
    <row r="17" spans="2:20" x14ac:dyDescent="0.25">
      <c r="B17" s="30" t="s">
        <v>23</v>
      </c>
      <c r="C17" s="30" t="s">
        <v>13</v>
      </c>
      <c r="D17" s="38">
        <v>1</v>
      </c>
      <c r="E17" s="32" t="s">
        <v>135</v>
      </c>
      <c r="L17" s="51">
        <v>6</v>
      </c>
      <c r="M17" s="52">
        <f>+D153</f>
        <v>3</v>
      </c>
      <c r="N17" s="41">
        <f>+D170</f>
        <v>10</v>
      </c>
      <c r="O17" s="42">
        <f>+D172</f>
        <v>4.9982075053060386</v>
      </c>
      <c r="P17" s="53" t="str">
        <f t="shared" si="0"/>
        <v>Q6 = 3 [lpm]</v>
      </c>
      <c r="Q17" s="53" t="str">
        <f t="shared" si="1"/>
        <v>d6 = 10 [mm]</v>
      </c>
      <c r="R17" s="53" t="str">
        <f t="shared" si="2"/>
        <v>p6 = 4.998 [barg]</v>
      </c>
      <c r="S17" s="54" t="str">
        <f>+IF(N17&lt;2,"Orifice diameter not acceptable (&lt; 2 mm).",IF(N17&gt;=3,"Orifice diameter acceptable","Orifice diameter lower than 3 mm. If possible, increase to diameter &gt; 3 mm."))</f>
        <v>Orifice diameter acceptable</v>
      </c>
      <c r="T17" s="54" t="str">
        <f>+IF(O17&lt;D101,"Pressure too low. Increase orifice 6.",IF(O17&gt;=D101,"Pressure acceptable",""))</f>
        <v>Pressure acceptable</v>
      </c>
    </row>
    <row r="18" spans="2:20" x14ac:dyDescent="0.25">
      <c r="B18" s="30" t="s">
        <v>18</v>
      </c>
      <c r="C18" s="30" t="s">
        <v>4</v>
      </c>
      <c r="D18" s="38">
        <v>10</v>
      </c>
      <c r="E18" s="32" t="s">
        <v>19</v>
      </c>
      <c r="L18" s="51">
        <v>7</v>
      </c>
      <c r="M18" s="52">
        <f>+M17+M16</f>
        <v>39.450000000000003</v>
      </c>
      <c r="N18" s="41" t="s">
        <v>49</v>
      </c>
      <c r="O18" s="52">
        <f>+D14</f>
        <v>5</v>
      </c>
      <c r="P18" s="53" t="str">
        <f t="shared" si="0"/>
        <v>Q7 = 39.45 [lpm]</v>
      </c>
      <c r="Q18" s="53" t="s">
        <v>49</v>
      </c>
      <c r="R18" s="53" t="str">
        <f t="shared" si="2"/>
        <v>p7 = 5 [barg]</v>
      </c>
      <c r="S18" s="54" t="s">
        <v>49</v>
      </c>
      <c r="T18" s="54" t="s">
        <v>49</v>
      </c>
    </row>
    <row r="19" spans="2:20" ht="18" x14ac:dyDescent="0.25">
      <c r="B19" s="30" t="s">
        <v>106</v>
      </c>
      <c r="C19" s="30" t="s">
        <v>3</v>
      </c>
      <c r="D19" s="38" t="s">
        <v>51</v>
      </c>
      <c r="E19" s="32" t="s">
        <v>78</v>
      </c>
    </row>
    <row r="20" spans="2:20" x14ac:dyDescent="0.25">
      <c r="B20" s="30" t="s">
        <v>75</v>
      </c>
      <c r="C20" s="30"/>
      <c r="D20" s="38" t="s">
        <v>45</v>
      </c>
      <c r="E20" s="32" t="s">
        <v>74</v>
      </c>
    </row>
    <row r="21" spans="2:20" ht="18" x14ac:dyDescent="0.25">
      <c r="B21" s="30" t="s">
        <v>106</v>
      </c>
      <c r="C21" s="30" t="s">
        <v>0</v>
      </c>
      <c r="D21" s="39">
        <f>INDEX(piping_dimension!$A$2:$O$26,MATCH(D19,piping_dimension!$A$2:$A$26,0),MATCH("D_ext",piping_dimension!$A$2:$O$2,0))</f>
        <v>17.14</v>
      </c>
      <c r="E21" s="32" t="s">
        <v>78</v>
      </c>
    </row>
    <row r="22" spans="2:20" x14ac:dyDescent="0.25">
      <c r="B22" s="30" t="s">
        <v>76</v>
      </c>
      <c r="C22" s="30" t="s">
        <v>0</v>
      </c>
      <c r="D22" s="39">
        <f>INDEX(piping_dimension!$A$2:$O$26,MATCH(D19,piping_dimension!$A$2:$A$26,0),MATCH(D20,piping_dimension!$A$2:$O$2,0))</f>
        <v>2.31</v>
      </c>
      <c r="E22" s="32" t="s">
        <v>77</v>
      </c>
    </row>
    <row r="23" spans="2:20" ht="18" x14ac:dyDescent="0.25">
      <c r="B23" s="30" t="s">
        <v>107</v>
      </c>
      <c r="C23" s="30" t="s">
        <v>0</v>
      </c>
      <c r="D23" s="39">
        <f>+D21-2*D22</f>
        <v>12.52</v>
      </c>
      <c r="E23" s="32" t="s">
        <v>22</v>
      </c>
    </row>
    <row r="24" spans="2:20" ht="18" hidden="1" outlineLevel="1" x14ac:dyDescent="0.25">
      <c r="B24" s="30" t="s">
        <v>108</v>
      </c>
      <c r="C24" s="30" t="s">
        <v>118</v>
      </c>
      <c r="D24" s="39">
        <f>+D23^2*PI()/4</f>
        <v>123.11147627181536</v>
      </c>
      <c r="E24" s="32" t="s">
        <v>24</v>
      </c>
    </row>
    <row r="25" spans="2:20" ht="18" hidden="1" outlineLevel="1" x14ac:dyDescent="0.25">
      <c r="B25" s="30" t="s">
        <v>109</v>
      </c>
      <c r="C25" s="30" t="s">
        <v>10</v>
      </c>
      <c r="D25" s="39">
        <f>(D18/60/1000)/(D24/10^6)</f>
        <v>1.3537865982427721</v>
      </c>
      <c r="E25" s="32" t="s">
        <v>29</v>
      </c>
    </row>
    <row r="26" spans="2:20" ht="18" hidden="1" outlineLevel="1" x14ac:dyDescent="0.25">
      <c r="B26" s="30" t="s">
        <v>110</v>
      </c>
      <c r="C26" s="30"/>
      <c r="D26" s="39">
        <f>D23/1000*D25/($D$13/10^6)</f>
        <v>840.8278703244124</v>
      </c>
      <c r="E26" s="32" t="s">
        <v>26</v>
      </c>
    </row>
    <row r="27" spans="2:20" hidden="1" outlineLevel="1" x14ac:dyDescent="0.25">
      <c r="B27" s="30" t="s">
        <v>5</v>
      </c>
      <c r="C27" s="30"/>
      <c r="D27" s="39">
        <f>+(19000*D33/D26)^0.8</f>
        <v>4.0668930986681744</v>
      </c>
      <c r="E27" s="32"/>
    </row>
    <row r="28" spans="2:20" ht="18" hidden="1" outlineLevel="1" x14ac:dyDescent="0.25">
      <c r="B28" s="30" t="s">
        <v>133</v>
      </c>
      <c r="C28" s="30" t="s">
        <v>0</v>
      </c>
      <c r="D28" s="40">
        <v>0</v>
      </c>
      <c r="E28" s="32" t="s">
        <v>131</v>
      </c>
    </row>
    <row r="29" spans="2:20" ht="18" hidden="1" outlineLevel="1" x14ac:dyDescent="0.25">
      <c r="B29" s="30" t="s">
        <v>134</v>
      </c>
      <c r="C29" s="30" t="s">
        <v>0</v>
      </c>
      <c r="D29" s="40">
        <v>0</v>
      </c>
      <c r="E29" s="32" t="s">
        <v>132</v>
      </c>
    </row>
    <row r="30" spans="2:20" hidden="1" outlineLevel="1" x14ac:dyDescent="0.25">
      <c r="B30" s="30" t="s">
        <v>6</v>
      </c>
      <c r="C30" s="30"/>
      <c r="D30" s="39">
        <f>+D28/D35</f>
        <v>0</v>
      </c>
      <c r="E30" s="32" t="s">
        <v>27</v>
      </c>
    </row>
    <row r="31" spans="2:20" hidden="1" outlineLevel="1" x14ac:dyDescent="0.25">
      <c r="B31" s="30" t="s">
        <v>7</v>
      </c>
      <c r="C31" s="30"/>
      <c r="D31" s="39">
        <f>+D29/D35</f>
        <v>0</v>
      </c>
      <c r="E31" s="32" t="s">
        <v>27</v>
      </c>
    </row>
    <row r="32" spans="2:20" hidden="1" outlineLevel="1" x14ac:dyDescent="0.25">
      <c r="B32" s="30" t="s">
        <v>8</v>
      </c>
      <c r="C32" s="30"/>
      <c r="D32" s="39">
        <v>2</v>
      </c>
      <c r="E32" s="32"/>
    </row>
    <row r="33" spans="2:5" hidden="1" outlineLevel="1" x14ac:dyDescent="0.25">
      <c r="B33" s="30" t="s">
        <v>28</v>
      </c>
      <c r="C33" s="30"/>
      <c r="D33" s="39">
        <f>+D35/D23</f>
        <v>0.25558298824779346</v>
      </c>
      <c r="E33" s="32" t="s">
        <v>25</v>
      </c>
    </row>
    <row r="34" spans="2:5" hidden="1" outlineLevel="1" x14ac:dyDescent="0.25">
      <c r="B34" s="30" t="s">
        <v>9</v>
      </c>
      <c r="C34" s="30"/>
      <c r="D34" s="39">
        <f xml:space="preserve"> 0.5961+0.0261*D33^2-0.216*D33^8+0.000521*(D33*10^6/D26)^0.7+(0.0188+0.0063*D27)*D33^3.5*(10^6/D26)^0.3+(0.043+0.08*EXP(-10*D30)-0.123*EXP(-7*D30))*(1-0.11*D27)*D33^4/(1-D33^4)-0.031*(D32-0.8*D32^1.1)*D33^1.3+IF(D23&lt;71.12,0.011*(0.75-D33)*(2.8-D23/25.4),0)</f>
        <v>0.64048299499526029</v>
      </c>
      <c r="E34" s="32" t="s">
        <v>121</v>
      </c>
    </row>
    <row r="35" spans="2:5" ht="18" hidden="1" outlineLevel="1" x14ac:dyDescent="0.25">
      <c r="B35" s="30" t="s">
        <v>111</v>
      </c>
      <c r="C35" s="30" t="s">
        <v>0</v>
      </c>
      <c r="D35" s="39">
        <v>3.1998990128623741</v>
      </c>
      <c r="E35" s="32" t="s">
        <v>123</v>
      </c>
    </row>
    <row r="36" spans="2:5" hidden="1" outlineLevel="1" x14ac:dyDescent="0.25">
      <c r="B36" s="30" t="s">
        <v>11</v>
      </c>
      <c r="C36" s="30" t="s">
        <v>12</v>
      </c>
      <c r="D36" s="39">
        <f>IF(D35&gt;=D23,0,((D18/1000/60)/D34/(PI()/4*(D35/1000)^2))^2*(1-D33^4)/2*$D$12/100000)</f>
        <v>4.3959467478113972</v>
      </c>
      <c r="E36" s="32" t="s">
        <v>122</v>
      </c>
    </row>
    <row r="37" spans="2:5" ht="18" hidden="1" outlineLevel="1" x14ac:dyDescent="0.25">
      <c r="B37" s="30" t="s">
        <v>112</v>
      </c>
      <c r="C37" s="30" t="s">
        <v>13</v>
      </c>
      <c r="D37" s="39">
        <f>$D$149-D36</f>
        <v>0.60405325218860284</v>
      </c>
      <c r="E37" s="32" t="s">
        <v>17</v>
      </c>
    </row>
    <row r="38" spans="2:5" hidden="1" outlineLevel="1" x14ac:dyDescent="0.25">
      <c r="B38" s="30" t="s">
        <v>28</v>
      </c>
      <c r="C38" s="30"/>
      <c r="D38" s="39">
        <f>+D40/D23</f>
        <v>0.2795527156549521</v>
      </c>
      <c r="E38" s="32" t="s">
        <v>25</v>
      </c>
    </row>
    <row r="39" spans="2:5" hidden="1" outlineLevel="1" x14ac:dyDescent="0.25">
      <c r="B39" s="30" t="s">
        <v>9</v>
      </c>
      <c r="C39" s="30"/>
      <c r="D39" s="39">
        <f xml:space="preserve"> 0.5961+0.0261*D38^2-0.216*D38^8+0.000521*(D38*10^6/D26)^0.7+(0.0188+0.0063*D27)*D38^3.5*(10^6/D26)^0.3+(0.043+0.08*EXP(-10*D30)-0.123*EXP(-7*D30))*(1-0.11*D27)*D38^4/(1-D38^4)-0.031*(D32-0.8*D32^1.1)*D38^1.3+IF(D23&lt;71.12,0.011*(0.75-D38)*(2.8-D23/25.4),0)</f>
        <v>0.64302168005346538</v>
      </c>
      <c r="E39" s="32" t="s">
        <v>121</v>
      </c>
    </row>
    <row r="40" spans="2:5" hidden="1" outlineLevel="1" x14ac:dyDescent="0.25">
      <c r="B40" s="30" t="s">
        <v>20</v>
      </c>
      <c r="C40" s="30" t="s">
        <v>0</v>
      </c>
      <c r="D40" s="41">
        <v>3.5</v>
      </c>
      <c r="E40" s="32" t="s">
        <v>21</v>
      </c>
    </row>
    <row r="41" spans="2:5" hidden="1" outlineLevel="1" x14ac:dyDescent="0.25">
      <c r="B41" s="30" t="s">
        <v>11</v>
      </c>
      <c r="C41" s="30" t="s">
        <v>12</v>
      </c>
      <c r="D41" s="42">
        <f>IF(D40&gt;=D23,0,((D18/1000/60)/D39/(PI()/4*(D40/1000)^2))^2*(1-D38^4)/2*$D$12/100000)</f>
        <v>3.0414865374582876</v>
      </c>
      <c r="E41" s="32" t="s">
        <v>122</v>
      </c>
    </row>
    <row r="42" spans="2:5" ht="18" hidden="1" outlineLevel="1" x14ac:dyDescent="0.25">
      <c r="B42" s="30" t="s">
        <v>112</v>
      </c>
      <c r="C42" s="30" t="s">
        <v>13</v>
      </c>
      <c r="D42" s="42">
        <f>$D$149-D41</f>
        <v>1.9585134625417124</v>
      </c>
      <c r="E42" s="32" t="s">
        <v>41</v>
      </c>
    </row>
    <row r="43" spans="2:5" collapsed="1" x14ac:dyDescent="0.25"/>
    <row r="44" spans="2:5" x14ac:dyDescent="0.25">
      <c r="B44" s="79" t="s">
        <v>31</v>
      </c>
      <c r="C44" s="80"/>
      <c r="D44" s="80"/>
      <c r="E44" s="81"/>
    </row>
    <row r="45" spans="2:5" x14ac:dyDescent="0.25">
      <c r="B45" s="30" t="s">
        <v>23</v>
      </c>
      <c r="C45" s="30" t="s">
        <v>13</v>
      </c>
      <c r="D45" s="38">
        <v>1</v>
      </c>
      <c r="E45" s="32" t="s">
        <v>135</v>
      </c>
    </row>
    <row r="46" spans="2:5" x14ac:dyDescent="0.25">
      <c r="B46" s="30" t="s">
        <v>18</v>
      </c>
      <c r="C46" s="30" t="s">
        <v>4</v>
      </c>
      <c r="D46" s="38">
        <v>10</v>
      </c>
      <c r="E46" s="32" t="s">
        <v>19</v>
      </c>
    </row>
    <row r="47" spans="2:5" ht="18" x14ac:dyDescent="0.25">
      <c r="B47" s="30" t="s">
        <v>106</v>
      </c>
      <c r="C47" s="30" t="s">
        <v>3</v>
      </c>
      <c r="D47" s="38" t="s">
        <v>53</v>
      </c>
      <c r="E47" s="32" t="s">
        <v>78</v>
      </c>
    </row>
    <row r="48" spans="2:5" x14ac:dyDescent="0.25">
      <c r="B48" s="30" t="s">
        <v>75</v>
      </c>
      <c r="C48" s="30"/>
      <c r="D48" s="38" t="s">
        <v>45</v>
      </c>
      <c r="E48" s="32" t="s">
        <v>74</v>
      </c>
    </row>
    <row r="49" spans="2:5" ht="18" x14ac:dyDescent="0.25">
      <c r="B49" s="30" t="s">
        <v>106</v>
      </c>
      <c r="C49" s="30" t="s">
        <v>0</v>
      </c>
      <c r="D49" s="39">
        <f>INDEX(piping_dimension!$A$2:$O$26,MATCH(D47,piping_dimension!$A$2:$A$26,0),MATCH("D_ext",piping_dimension!$A$2:$O$2,0))</f>
        <v>26.67</v>
      </c>
      <c r="E49" s="32" t="s">
        <v>78</v>
      </c>
    </row>
    <row r="50" spans="2:5" x14ac:dyDescent="0.25">
      <c r="B50" s="30" t="s">
        <v>76</v>
      </c>
      <c r="C50" s="30" t="s">
        <v>0</v>
      </c>
      <c r="D50" s="39">
        <f>INDEX(piping_dimension!$A$2:$O$26,MATCH(D47,piping_dimension!$A$2:$A$26,0),MATCH(D48,piping_dimension!$A$2:$O$2,0))</f>
        <v>2.87</v>
      </c>
      <c r="E50" s="32" t="s">
        <v>77</v>
      </c>
    </row>
    <row r="51" spans="2:5" ht="18" x14ac:dyDescent="0.25">
      <c r="B51" s="30" t="s">
        <v>107</v>
      </c>
      <c r="C51" s="30" t="s">
        <v>0</v>
      </c>
      <c r="D51" s="39">
        <f>+D49-2*D50</f>
        <v>20.93</v>
      </c>
      <c r="E51" s="32" t="s">
        <v>22</v>
      </c>
    </row>
    <row r="52" spans="2:5" ht="18" hidden="1" outlineLevel="1" x14ac:dyDescent="0.25">
      <c r="B52" s="30" t="s">
        <v>108</v>
      </c>
      <c r="C52" s="30" t="s">
        <v>118</v>
      </c>
      <c r="D52" s="39">
        <f>+D51^2*PI()/4</f>
        <v>344.05536790888681</v>
      </c>
      <c r="E52" s="32" t="s">
        <v>24</v>
      </c>
    </row>
    <row r="53" spans="2:5" ht="18" hidden="1" outlineLevel="1" x14ac:dyDescent="0.25">
      <c r="B53" s="30" t="s">
        <v>109</v>
      </c>
      <c r="C53" s="30" t="s">
        <v>10</v>
      </c>
      <c r="D53" s="39">
        <f>(D46/60/1000)/(D52/10^6)</f>
        <v>0.48441815536737548</v>
      </c>
      <c r="E53" s="32" t="s">
        <v>29</v>
      </c>
    </row>
    <row r="54" spans="2:5" ht="18" hidden="1" outlineLevel="1" x14ac:dyDescent="0.25">
      <c r="B54" s="30" t="s">
        <v>110</v>
      </c>
      <c r="C54" s="30"/>
      <c r="D54" s="39">
        <f>D51/1000*D53/($D$13/10^6)</f>
        <v>502.97013552133978</v>
      </c>
      <c r="E54" s="32" t="s">
        <v>26</v>
      </c>
    </row>
    <row r="55" spans="2:5" hidden="1" outlineLevel="1" x14ac:dyDescent="0.25">
      <c r="B55" s="30" t="s">
        <v>5</v>
      </c>
      <c r="C55" s="30"/>
      <c r="D55" s="39">
        <f>+(19000*D61/D54)^0.8</f>
        <v>4.0774616291816361</v>
      </c>
      <c r="E55" s="32"/>
    </row>
    <row r="56" spans="2:5" ht="18" hidden="1" outlineLevel="1" x14ac:dyDescent="0.25">
      <c r="B56" s="30" t="s">
        <v>133</v>
      </c>
      <c r="C56" s="30" t="s">
        <v>0</v>
      </c>
      <c r="D56" s="40">
        <v>0</v>
      </c>
      <c r="E56" s="32" t="s">
        <v>131</v>
      </c>
    </row>
    <row r="57" spans="2:5" ht="18" hidden="1" outlineLevel="1" x14ac:dyDescent="0.25">
      <c r="B57" s="30" t="s">
        <v>134</v>
      </c>
      <c r="C57" s="30" t="s">
        <v>0</v>
      </c>
      <c r="D57" s="40">
        <v>0</v>
      </c>
      <c r="E57" s="32" t="s">
        <v>132</v>
      </c>
    </row>
    <row r="58" spans="2:5" hidden="1" outlineLevel="1" x14ac:dyDescent="0.25">
      <c r="B58" s="30" t="s">
        <v>6</v>
      </c>
      <c r="C58" s="30"/>
      <c r="D58" s="39">
        <f>+D56/D63</f>
        <v>0</v>
      </c>
      <c r="E58" s="32" t="s">
        <v>27</v>
      </c>
    </row>
    <row r="59" spans="2:5" hidden="1" outlineLevel="1" x14ac:dyDescent="0.25">
      <c r="B59" s="30" t="s">
        <v>7</v>
      </c>
      <c r="C59" s="30"/>
      <c r="D59" s="39">
        <f>+D57/D63</f>
        <v>0</v>
      </c>
      <c r="E59" s="32" t="s">
        <v>27</v>
      </c>
    </row>
    <row r="60" spans="2:5" hidden="1" outlineLevel="1" x14ac:dyDescent="0.25">
      <c r="B60" s="30" t="s">
        <v>8</v>
      </c>
      <c r="C60" s="30"/>
      <c r="D60" s="39">
        <v>2</v>
      </c>
      <c r="E60" s="32"/>
    </row>
    <row r="61" spans="2:5" hidden="1" outlineLevel="1" x14ac:dyDescent="0.25">
      <c r="B61" s="30" t="s">
        <v>28</v>
      </c>
      <c r="C61" s="30"/>
      <c r="D61" s="39">
        <f>+D63/D51</f>
        <v>0.15338254926975853</v>
      </c>
      <c r="E61" s="32" t="s">
        <v>25</v>
      </c>
    </row>
    <row r="62" spans="2:5" hidden="1" outlineLevel="1" x14ac:dyDescent="0.25">
      <c r="B62" s="30" t="s">
        <v>9</v>
      </c>
      <c r="C62" s="30"/>
      <c r="D62" s="39">
        <f xml:space="preserve"> 0.5961+0.0261*D61^2-0.216*D61^8+0.000521*(D61*10^6/D54)^0.7+(0.0188+0.0063*D55)*D61^3.5*(10^6/D54)^0.3+(0.043+0.08*EXP(-10*D58)-0.123*EXP(-7*D58))*(1-0.11*D55)*D61^4/(1-D61^4)-0.031*(D60-0.8*D60^1.1)*D61^1.3+IF(D51&lt;71.12,0.011*(0.75-D61)*(2.8-D51/25.4),0)</f>
        <v>0.63808592110938045</v>
      </c>
      <c r="E62" s="32" t="s">
        <v>121</v>
      </c>
    </row>
    <row r="63" spans="2:5" ht="18" hidden="1" outlineLevel="1" x14ac:dyDescent="0.25">
      <c r="B63" s="30" t="s">
        <v>111</v>
      </c>
      <c r="C63" s="30" t="s">
        <v>0</v>
      </c>
      <c r="D63" s="39">
        <v>3.2102967562160458</v>
      </c>
      <c r="E63" s="32" t="s">
        <v>123</v>
      </c>
    </row>
    <row r="64" spans="2:5" hidden="1" outlineLevel="1" x14ac:dyDescent="0.25">
      <c r="B64" s="30" t="s">
        <v>11</v>
      </c>
      <c r="C64" s="30" t="s">
        <v>12</v>
      </c>
      <c r="D64" s="39">
        <f>IF(D63&gt;=D51,0,((D46/1000/60)/D62/(PI()/4*(D63/1000)^2))^2*(1-D61^4)/2*$D$12/100000)</f>
        <v>4.3882398377685643</v>
      </c>
      <c r="E64" s="32" t="s">
        <v>122</v>
      </c>
    </row>
    <row r="65" spans="2:5" ht="15.75" hidden="1" customHeight="1" outlineLevel="1" x14ac:dyDescent="0.25">
      <c r="B65" s="30" t="s">
        <v>113</v>
      </c>
      <c r="C65" s="30" t="s">
        <v>13</v>
      </c>
      <c r="D65" s="39">
        <f>$D$149-D64</f>
        <v>0.6117601622314357</v>
      </c>
      <c r="E65" s="32" t="s">
        <v>17</v>
      </c>
    </row>
    <row r="66" spans="2:5" hidden="1" outlineLevel="1" x14ac:dyDescent="0.25">
      <c r="B66" s="30" t="s">
        <v>28</v>
      </c>
      <c r="C66" s="30"/>
      <c r="D66" s="39">
        <f>+D68/D51</f>
        <v>0.16722408026755853</v>
      </c>
      <c r="E66" s="32" t="s">
        <v>25</v>
      </c>
    </row>
    <row r="67" spans="2:5" hidden="1" outlineLevel="1" x14ac:dyDescent="0.25">
      <c r="B67" s="30" t="s">
        <v>9</v>
      </c>
      <c r="C67" s="30"/>
      <c r="D67" s="39">
        <f xml:space="preserve"> 0.5961+0.0261*D66^2-0.216*D66^8+0.000521*(D66*10^6/D54)^0.7+(0.0188+0.0063*D55)*D66^3.5*(10^6/D54)^0.3+(0.043+0.08*EXP(-10*D58)-0.123*EXP(-7*D58))*(1-0.11*D55)*D66^4/(1-D66^4)-0.031*(D60-0.8*D60^1.1)*D66^1.3+IF(D51&lt;71.12,0.011*(0.75-D66)*(2.8-D51/25.4),0)</f>
        <v>0.63980647845844485</v>
      </c>
      <c r="E67" s="32" t="s">
        <v>121</v>
      </c>
    </row>
    <row r="68" spans="2:5" hidden="1" outlineLevel="1" x14ac:dyDescent="0.25">
      <c r="B68" s="30" t="s">
        <v>20</v>
      </c>
      <c r="C68" s="30" t="s">
        <v>0</v>
      </c>
      <c r="D68" s="41">
        <v>3.5</v>
      </c>
      <c r="E68" s="32" t="s">
        <v>21</v>
      </c>
    </row>
    <row r="69" spans="2:5" hidden="1" outlineLevel="1" x14ac:dyDescent="0.25">
      <c r="B69" s="30" t="s">
        <v>11</v>
      </c>
      <c r="C69" s="30" t="s">
        <v>12</v>
      </c>
      <c r="D69" s="42">
        <f>IF(D68&gt;=D51,0,((D46/1000/60)/D67/(PI()/4*(D68/1000)^2))^2*(1-D66^4)/2*$D$12/100000)</f>
        <v>3.0885928023900684</v>
      </c>
      <c r="E69" s="32" t="s">
        <v>122</v>
      </c>
    </row>
    <row r="70" spans="2:5" ht="18" hidden="1" outlineLevel="1" x14ac:dyDescent="0.25">
      <c r="B70" s="30" t="s">
        <v>113</v>
      </c>
      <c r="C70" s="30" t="s">
        <v>13</v>
      </c>
      <c r="D70" s="42">
        <f>$D$149-D69</f>
        <v>1.9114071976099316</v>
      </c>
      <c r="E70" s="32" t="s">
        <v>41</v>
      </c>
    </row>
    <row r="71" spans="2:5" collapsed="1" x14ac:dyDescent="0.25"/>
    <row r="72" spans="2:5" x14ac:dyDescent="0.25">
      <c r="B72" s="79" t="s">
        <v>32</v>
      </c>
      <c r="C72" s="80"/>
      <c r="D72" s="80"/>
      <c r="E72" s="81"/>
    </row>
    <row r="73" spans="2:5" x14ac:dyDescent="0.25">
      <c r="B73" s="30" t="s">
        <v>23</v>
      </c>
      <c r="C73" s="30" t="s">
        <v>13</v>
      </c>
      <c r="D73" s="38">
        <v>1</v>
      </c>
      <c r="E73" s="32" t="s">
        <v>135</v>
      </c>
    </row>
    <row r="74" spans="2:5" x14ac:dyDescent="0.25">
      <c r="B74" s="30" t="s">
        <v>18</v>
      </c>
      <c r="C74" s="30" t="s">
        <v>4</v>
      </c>
      <c r="D74" s="38">
        <v>3</v>
      </c>
      <c r="E74" s="32" t="s">
        <v>19</v>
      </c>
    </row>
    <row r="75" spans="2:5" ht="18" x14ac:dyDescent="0.25">
      <c r="B75" s="30" t="s">
        <v>106</v>
      </c>
      <c r="C75" s="30" t="s">
        <v>3</v>
      </c>
      <c r="D75" s="38" t="s">
        <v>52</v>
      </c>
      <c r="E75" s="32" t="s">
        <v>136</v>
      </c>
    </row>
    <row r="76" spans="2:5" x14ac:dyDescent="0.25">
      <c r="B76" s="30" t="s">
        <v>75</v>
      </c>
      <c r="C76" s="30"/>
      <c r="D76" s="38" t="s">
        <v>45</v>
      </c>
      <c r="E76" s="32" t="s">
        <v>74</v>
      </c>
    </row>
    <row r="77" spans="2:5" ht="18" x14ac:dyDescent="0.25">
      <c r="B77" s="30" t="s">
        <v>106</v>
      </c>
      <c r="C77" s="30" t="s">
        <v>0</v>
      </c>
      <c r="D77" s="39">
        <f>INDEX(piping_dimension!$A$2:$O$26,MATCH(D75,piping_dimension!$A$2:$A$26,0),MATCH("D_ext",piping_dimension!$A$2:$O$2,0))</f>
        <v>21.34</v>
      </c>
      <c r="E77" s="32" t="s">
        <v>136</v>
      </c>
    </row>
    <row r="78" spans="2:5" x14ac:dyDescent="0.25">
      <c r="B78" s="30" t="s">
        <v>76</v>
      </c>
      <c r="C78" s="30" t="s">
        <v>0</v>
      </c>
      <c r="D78" s="39">
        <f>INDEX(piping_dimension!$A$2:$O$26,MATCH(D75,piping_dimension!$A$2:$A$26,0),MATCH(D76,piping_dimension!$A$2:$O$2,0))</f>
        <v>2.77</v>
      </c>
      <c r="E78" s="32" t="s">
        <v>77</v>
      </c>
    </row>
    <row r="79" spans="2:5" ht="18" x14ac:dyDescent="0.25">
      <c r="B79" s="30" t="s">
        <v>107</v>
      </c>
      <c r="C79" s="30" t="s">
        <v>0</v>
      </c>
      <c r="D79" s="39">
        <f>+D77-2*D78</f>
        <v>15.8</v>
      </c>
      <c r="E79" s="32" t="s">
        <v>22</v>
      </c>
    </row>
    <row r="80" spans="2:5" ht="18" hidden="1" outlineLevel="1" x14ac:dyDescent="0.25">
      <c r="B80" s="30" t="s">
        <v>108</v>
      </c>
      <c r="C80" s="30" t="s">
        <v>118</v>
      </c>
      <c r="D80" s="39">
        <f>+D79^2*PI()/4</f>
        <v>196.066797510539</v>
      </c>
      <c r="E80" s="32" t="s">
        <v>24</v>
      </c>
    </row>
    <row r="81" spans="2:5" ht="18" hidden="1" outlineLevel="1" x14ac:dyDescent="0.25">
      <c r="B81" s="30" t="s">
        <v>109</v>
      </c>
      <c r="C81" s="30" t="s">
        <v>10</v>
      </c>
      <c r="D81" s="39">
        <f>(D74/60/1000)/(D80/10^6)</f>
        <v>0.25501513073529136</v>
      </c>
      <c r="E81" s="32" t="s">
        <v>29</v>
      </c>
    </row>
    <row r="82" spans="2:5" ht="18" hidden="1" outlineLevel="1" x14ac:dyDescent="0.25">
      <c r="B82" s="30" t="s">
        <v>110</v>
      </c>
      <c r="C82" s="30"/>
      <c r="D82" s="39">
        <f>D79/1000*D81/($D$13/10^6)</f>
        <v>199.88287854041093</v>
      </c>
      <c r="E82" s="32" t="s">
        <v>26</v>
      </c>
    </row>
    <row r="83" spans="2:5" hidden="1" outlineLevel="1" x14ac:dyDescent="0.25">
      <c r="B83" s="30" t="s">
        <v>5</v>
      </c>
      <c r="C83" s="30"/>
      <c r="D83" s="39">
        <f>+(19000*D89/D82)^0.8</f>
        <v>6.6648861769878112</v>
      </c>
      <c r="E83" s="32"/>
    </row>
    <row r="84" spans="2:5" ht="18" hidden="1" outlineLevel="1" x14ac:dyDescent="0.25">
      <c r="B84" s="30" t="s">
        <v>133</v>
      </c>
      <c r="C84" s="30" t="s">
        <v>0</v>
      </c>
      <c r="D84" s="40">
        <v>0</v>
      </c>
      <c r="E84" s="32" t="s">
        <v>131</v>
      </c>
    </row>
    <row r="85" spans="2:5" ht="18" hidden="1" outlineLevel="1" x14ac:dyDescent="0.25">
      <c r="B85" s="30" t="s">
        <v>134</v>
      </c>
      <c r="C85" s="30" t="s">
        <v>0</v>
      </c>
      <c r="D85" s="40">
        <v>0</v>
      </c>
      <c r="E85" s="32" t="s">
        <v>132</v>
      </c>
    </row>
    <row r="86" spans="2:5" hidden="1" outlineLevel="1" x14ac:dyDescent="0.25">
      <c r="B86" s="30" t="s">
        <v>6</v>
      </c>
      <c r="C86" s="30"/>
      <c r="D86" s="39">
        <f>+D84/D91</f>
        <v>0</v>
      </c>
      <c r="E86" s="32" t="s">
        <v>27</v>
      </c>
    </row>
    <row r="87" spans="2:5" hidden="1" outlineLevel="1" x14ac:dyDescent="0.25">
      <c r="B87" s="30" t="s">
        <v>7</v>
      </c>
      <c r="C87" s="30"/>
      <c r="D87" s="39">
        <f>+D85/D91</f>
        <v>0</v>
      </c>
      <c r="E87" s="32" t="s">
        <v>27</v>
      </c>
    </row>
    <row r="88" spans="2:5" hidden="1" outlineLevel="1" x14ac:dyDescent="0.25">
      <c r="B88" s="30" t="s">
        <v>8</v>
      </c>
      <c r="C88" s="30"/>
      <c r="D88" s="39">
        <v>2</v>
      </c>
      <c r="E88" s="32"/>
    </row>
    <row r="89" spans="2:5" hidden="1" outlineLevel="1" x14ac:dyDescent="0.25">
      <c r="B89" s="30" t="s">
        <v>28</v>
      </c>
      <c r="C89" s="30"/>
      <c r="D89" s="39">
        <f>+D91/D79</f>
        <v>0.11265822784810126</v>
      </c>
      <c r="E89" s="32" t="s">
        <v>25</v>
      </c>
    </row>
    <row r="90" spans="2:5" hidden="1" outlineLevel="1" x14ac:dyDescent="0.25">
      <c r="B90" s="30" t="s">
        <v>9</v>
      </c>
      <c r="C90" s="30"/>
      <c r="D90" s="39">
        <f xml:space="preserve"> 0.5961+0.0261*D89^2-0.216*D89^8+0.000521*(D89*10^6/D82)^0.7+(0.0188+0.0063*D83)*D89^3.5*(10^6/D82)^0.3+(0.043+0.08*EXP(-10*D86)-0.123*EXP(-7*D86))*(1-0.11*D83)*D89^4/(1-D89^4)-0.031*(D88-0.8*D88^1.1)*D89^1.3+IF(D79&lt;71.12,0.011*(0.75-D89)*(2.8-D79/25.4),0)</f>
        <v>0.65546518483475291</v>
      </c>
      <c r="E90" s="32" t="s">
        <v>121</v>
      </c>
    </row>
    <row r="91" spans="2:5" ht="18" hidden="1" outlineLevel="1" x14ac:dyDescent="0.25">
      <c r="B91" s="30" t="s">
        <v>111</v>
      </c>
      <c r="C91" s="30" t="s">
        <v>0</v>
      </c>
      <c r="D91" s="39">
        <v>1.78</v>
      </c>
      <c r="E91" s="32" t="s">
        <v>123</v>
      </c>
    </row>
    <row r="92" spans="2:5" hidden="1" outlineLevel="1" x14ac:dyDescent="0.25">
      <c r="B92" s="30" t="s">
        <v>11</v>
      </c>
      <c r="C92" s="30" t="s">
        <v>12</v>
      </c>
      <c r="D92" s="39">
        <f>IF(D91&gt;=D79,0,((D74/1000/60)/D90/(PI()/4*(D91/1000)^2))^2*(1-D89^4)/2*$D$12/100000)</f>
        <v>3.9615315584147401</v>
      </c>
      <c r="E92" s="32" t="s">
        <v>122</v>
      </c>
    </row>
    <row r="93" spans="2:5" ht="18" hidden="1" outlineLevel="1" x14ac:dyDescent="0.25">
      <c r="B93" s="30" t="s">
        <v>114</v>
      </c>
      <c r="C93" s="30" t="s">
        <v>13</v>
      </c>
      <c r="D93" s="39">
        <f>$D$149-D92</f>
        <v>1.0384684415852599</v>
      </c>
      <c r="E93" s="32" t="s">
        <v>17</v>
      </c>
    </row>
    <row r="94" spans="2:5" hidden="1" outlineLevel="1" x14ac:dyDescent="0.25">
      <c r="B94" s="30" t="s">
        <v>28</v>
      </c>
      <c r="C94" s="30"/>
      <c r="D94" s="39">
        <f>+D96/D79</f>
        <v>0.12658227848101264</v>
      </c>
      <c r="E94" s="32" t="s">
        <v>25</v>
      </c>
    </row>
    <row r="95" spans="2:5" hidden="1" outlineLevel="1" x14ac:dyDescent="0.25">
      <c r="B95" s="30" t="s">
        <v>9</v>
      </c>
      <c r="C95" s="30"/>
      <c r="D95" s="39">
        <f xml:space="preserve"> 0.5961+0.0261*D94^2-0.216*D94^8+0.000521*(D94*10^6/D82)^0.7+(0.0188+0.0063*D83)*D94^3.5*(10^6/D82)^0.3+(0.043+0.08*EXP(-10*D86)-0.123*EXP(-7*D86))*(1-0.11*D83)*D94^4/(1-D94^4)-0.031*(D88-0.8*D88^1.1)*D94^1.3+IF(D79&lt;71.12,0.011*(0.75-D94)*(2.8-D79/25.4),0)</f>
        <v>0.65905484211172516</v>
      </c>
      <c r="E95" s="32" t="s">
        <v>121</v>
      </c>
    </row>
    <row r="96" spans="2:5" hidden="1" outlineLevel="1" x14ac:dyDescent="0.25">
      <c r="B96" s="30" t="s">
        <v>20</v>
      </c>
      <c r="C96" s="30" t="s">
        <v>0</v>
      </c>
      <c r="D96" s="41">
        <v>2</v>
      </c>
      <c r="E96" s="32" t="s">
        <v>21</v>
      </c>
    </row>
    <row r="97" spans="2:5" hidden="1" outlineLevel="1" x14ac:dyDescent="0.25">
      <c r="B97" s="30" t="s">
        <v>11</v>
      </c>
      <c r="C97" s="30" t="s">
        <v>12</v>
      </c>
      <c r="D97" s="42">
        <f>IF(D96&gt;=D79,0,((D74/1000/60)/D95/(PI()/4*(D96/1000)^2))^2*(1-D94^4)/2*$D$12/100000)</f>
        <v>2.4583161995378409</v>
      </c>
      <c r="E97" s="32" t="s">
        <v>122</v>
      </c>
    </row>
    <row r="98" spans="2:5" ht="18" hidden="1" outlineLevel="1" x14ac:dyDescent="0.25">
      <c r="B98" s="30" t="s">
        <v>114</v>
      </c>
      <c r="C98" s="30" t="s">
        <v>13</v>
      </c>
      <c r="D98" s="42">
        <f>$D$149-D97</f>
        <v>2.5416838004621591</v>
      </c>
      <c r="E98" s="32" t="s">
        <v>41</v>
      </c>
    </row>
    <row r="99" spans="2:5" collapsed="1" x14ac:dyDescent="0.25"/>
    <row r="100" spans="2:5" x14ac:dyDescent="0.25">
      <c r="B100" s="79" t="s">
        <v>33</v>
      </c>
      <c r="C100" s="80"/>
      <c r="D100" s="80"/>
      <c r="E100" s="81"/>
    </row>
    <row r="101" spans="2:5" x14ac:dyDescent="0.25">
      <c r="B101" s="30" t="s">
        <v>23</v>
      </c>
      <c r="C101" s="30" t="s">
        <v>13</v>
      </c>
      <c r="D101" s="38">
        <v>1</v>
      </c>
      <c r="E101" s="32" t="s">
        <v>135</v>
      </c>
    </row>
    <row r="102" spans="2:5" x14ac:dyDescent="0.25">
      <c r="B102" s="30" t="s">
        <v>18</v>
      </c>
      <c r="C102" s="30" t="s">
        <v>4</v>
      </c>
      <c r="D102" s="38">
        <v>3</v>
      </c>
      <c r="E102" s="32" t="s">
        <v>19</v>
      </c>
    </row>
    <row r="103" spans="2:5" ht="18" x14ac:dyDescent="0.25">
      <c r="B103" s="30" t="s">
        <v>106</v>
      </c>
      <c r="C103" s="30" t="s">
        <v>3</v>
      </c>
      <c r="D103" s="38" t="s">
        <v>52</v>
      </c>
      <c r="E103" s="32" t="s">
        <v>136</v>
      </c>
    </row>
    <row r="104" spans="2:5" x14ac:dyDescent="0.25">
      <c r="B104" s="30" t="s">
        <v>75</v>
      </c>
      <c r="C104" s="30"/>
      <c r="D104" s="38" t="s">
        <v>45</v>
      </c>
      <c r="E104" s="32" t="s">
        <v>74</v>
      </c>
    </row>
    <row r="105" spans="2:5" ht="18" x14ac:dyDescent="0.25">
      <c r="B105" s="30" t="s">
        <v>106</v>
      </c>
      <c r="C105" s="30" t="s">
        <v>0</v>
      </c>
      <c r="D105" s="39">
        <f>INDEX(piping_dimension!$A$2:$O$26,MATCH(D103,piping_dimension!$A$2:$A$26,0),MATCH("D_ext",piping_dimension!$A$2:$O$2,0))</f>
        <v>21.34</v>
      </c>
      <c r="E105" s="32" t="s">
        <v>136</v>
      </c>
    </row>
    <row r="106" spans="2:5" x14ac:dyDescent="0.25">
      <c r="B106" s="30" t="s">
        <v>76</v>
      </c>
      <c r="C106" s="30" t="s">
        <v>0</v>
      </c>
      <c r="D106" s="39">
        <f>INDEX(piping_dimension!$A$2:$O$26,MATCH(D103,piping_dimension!$A$2:$A$26,0),MATCH(D104,piping_dimension!$A$2:$O$2,0))</f>
        <v>2.77</v>
      </c>
      <c r="E106" s="32" t="s">
        <v>77</v>
      </c>
    </row>
    <row r="107" spans="2:5" ht="18" x14ac:dyDescent="0.25">
      <c r="B107" s="30" t="s">
        <v>107</v>
      </c>
      <c r="C107" s="30" t="s">
        <v>0</v>
      </c>
      <c r="D107" s="39">
        <f>+D105-2*D106</f>
        <v>15.8</v>
      </c>
      <c r="E107" s="32" t="s">
        <v>22</v>
      </c>
    </row>
    <row r="108" spans="2:5" ht="18" hidden="1" outlineLevel="1" x14ac:dyDescent="0.25">
      <c r="B108" s="30" t="s">
        <v>108</v>
      </c>
      <c r="C108" s="30" t="s">
        <v>118</v>
      </c>
      <c r="D108" s="39">
        <f>+D107^2*PI()/4</f>
        <v>196.066797510539</v>
      </c>
      <c r="E108" s="32" t="s">
        <v>24</v>
      </c>
    </row>
    <row r="109" spans="2:5" ht="18" hidden="1" outlineLevel="1" x14ac:dyDescent="0.25">
      <c r="B109" s="30" t="s">
        <v>109</v>
      </c>
      <c r="C109" s="30" t="s">
        <v>10</v>
      </c>
      <c r="D109" s="39">
        <f>(D102/60/1000)/(D108/10^6)</f>
        <v>0.25501513073529136</v>
      </c>
      <c r="E109" s="32" t="s">
        <v>29</v>
      </c>
    </row>
    <row r="110" spans="2:5" ht="18" hidden="1" outlineLevel="1" x14ac:dyDescent="0.25">
      <c r="B110" s="30" t="s">
        <v>110</v>
      </c>
      <c r="C110" s="30"/>
      <c r="D110" s="39">
        <f>D107/1000*D109/($D$13/10^6)</f>
        <v>199.88287854041093</v>
      </c>
      <c r="E110" s="32" t="s">
        <v>26</v>
      </c>
    </row>
    <row r="111" spans="2:5" hidden="1" outlineLevel="1" x14ac:dyDescent="0.25">
      <c r="B111" s="30" t="s">
        <v>5</v>
      </c>
      <c r="C111" s="30"/>
      <c r="D111" s="39">
        <f>+(19000*D117/D110)^0.8</f>
        <v>6.6648861769878112</v>
      </c>
      <c r="E111" s="32"/>
    </row>
    <row r="112" spans="2:5" ht="18" hidden="1" outlineLevel="1" x14ac:dyDescent="0.25">
      <c r="B112" s="30" t="s">
        <v>133</v>
      </c>
      <c r="C112" s="30" t="s">
        <v>0</v>
      </c>
      <c r="D112" s="40">
        <v>0</v>
      </c>
      <c r="E112" s="32" t="s">
        <v>131</v>
      </c>
    </row>
    <row r="113" spans="2:5" ht="18" hidden="1" outlineLevel="1" x14ac:dyDescent="0.25">
      <c r="B113" s="30" t="s">
        <v>134</v>
      </c>
      <c r="C113" s="30" t="s">
        <v>0</v>
      </c>
      <c r="D113" s="40">
        <v>0</v>
      </c>
      <c r="E113" s="32" t="s">
        <v>132</v>
      </c>
    </row>
    <row r="114" spans="2:5" hidden="1" outlineLevel="1" x14ac:dyDescent="0.25">
      <c r="B114" s="30" t="s">
        <v>6</v>
      </c>
      <c r="C114" s="30"/>
      <c r="D114" s="39">
        <f>+D112/D119</f>
        <v>0</v>
      </c>
      <c r="E114" s="32" t="s">
        <v>27</v>
      </c>
    </row>
    <row r="115" spans="2:5" hidden="1" outlineLevel="1" x14ac:dyDescent="0.25">
      <c r="B115" s="30" t="s">
        <v>7</v>
      </c>
      <c r="C115" s="30"/>
      <c r="D115" s="39">
        <f>+D113/D119</f>
        <v>0</v>
      </c>
      <c r="E115" s="32" t="s">
        <v>27</v>
      </c>
    </row>
    <row r="116" spans="2:5" hidden="1" outlineLevel="1" x14ac:dyDescent="0.25">
      <c r="B116" s="30" t="s">
        <v>8</v>
      </c>
      <c r="C116" s="30"/>
      <c r="D116" s="39">
        <v>2</v>
      </c>
      <c r="E116" s="32"/>
    </row>
    <row r="117" spans="2:5" hidden="1" outlineLevel="1" x14ac:dyDescent="0.25">
      <c r="B117" s="30" t="s">
        <v>28</v>
      </c>
      <c r="C117" s="30"/>
      <c r="D117" s="39">
        <f>+D119/D107</f>
        <v>0.11265822784810126</v>
      </c>
      <c r="E117" s="32" t="s">
        <v>25</v>
      </c>
    </row>
    <row r="118" spans="2:5" hidden="1" outlineLevel="1" x14ac:dyDescent="0.25">
      <c r="B118" s="30" t="s">
        <v>9</v>
      </c>
      <c r="C118" s="30"/>
      <c r="D118" s="39">
        <f xml:space="preserve"> 0.5961+0.0261*D117^2-0.216*D117^8+0.000521*(D117*10^6/D110)^0.7+(0.0188+0.0063*D111)*D117^3.5*(10^6/D110)^0.3+(0.043+0.08*EXP(-10*D114)-0.123*EXP(-7*D114))*(1-0.11*D111)*D117^4/(1-D117^4)-0.031*(D116-0.8*D116^1.1)*D117^1.3+IF(D107&lt;71.12,0.011*(0.75-D117)*(2.8-D107/25.4),0)</f>
        <v>0.65546518483475291</v>
      </c>
      <c r="E118" s="32" t="s">
        <v>121</v>
      </c>
    </row>
    <row r="119" spans="2:5" ht="18" hidden="1" outlineLevel="1" x14ac:dyDescent="0.25">
      <c r="B119" s="30" t="s">
        <v>111</v>
      </c>
      <c r="C119" s="30" t="s">
        <v>0</v>
      </c>
      <c r="D119" s="39">
        <v>1.78</v>
      </c>
      <c r="E119" s="32" t="s">
        <v>123</v>
      </c>
    </row>
    <row r="120" spans="2:5" hidden="1" outlineLevel="1" x14ac:dyDescent="0.25">
      <c r="B120" s="30" t="s">
        <v>11</v>
      </c>
      <c r="C120" s="30" t="s">
        <v>12</v>
      </c>
      <c r="D120" s="39">
        <f>IF(D119&gt;=D107,0,((D102/1000/60)/D118/(PI()/4*(D119/1000)^2))^2*(1-D117^4)/2*$D$12/100000)</f>
        <v>3.9615315584147401</v>
      </c>
      <c r="E120" s="32" t="s">
        <v>122</v>
      </c>
    </row>
    <row r="121" spans="2:5" ht="18" hidden="1" outlineLevel="1" x14ac:dyDescent="0.25">
      <c r="B121" s="30" t="s">
        <v>115</v>
      </c>
      <c r="C121" s="30" t="s">
        <v>13</v>
      </c>
      <c r="D121" s="39">
        <f>$D$149-D120</f>
        <v>1.0384684415852599</v>
      </c>
      <c r="E121" s="32" t="s">
        <v>17</v>
      </c>
    </row>
    <row r="122" spans="2:5" hidden="1" outlineLevel="1" x14ac:dyDescent="0.25">
      <c r="B122" s="30" t="s">
        <v>28</v>
      </c>
      <c r="C122" s="30"/>
      <c r="D122" s="39">
        <f>+D124/D107</f>
        <v>0.12658227848101264</v>
      </c>
      <c r="E122" s="32" t="s">
        <v>25</v>
      </c>
    </row>
    <row r="123" spans="2:5" hidden="1" outlineLevel="1" x14ac:dyDescent="0.25">
      <c r="B123" s="30" t="s">
        <v>9</v>
      </c>
      <c r="C123" s="30"/>
      <c r="D123" s="39">
        <f xml:space="preserve"> 0.5961+0.0261*D122^2-0.216*D122^8+0.000521*(D122*10^6/D110)^0.7+(0.0188+0.0063*D111)*D122^3.5*(10^6/D110)^0.3+(0.043+0.08*EXP(-10*D114)-0.123*EXP(-7*D114))*(1-0.11*D111)*D122^4/(1-D122^4)-0.031*(D116-0.8*D116^1.1)*D122^1.3+IF(D107&lt;71.12,0.011*(0.75-D122)*(2.8-D107/25.4),0)</f>
        <v>0.65905484211172516</v>
      </c>
      <c r="E123" s="32" t="s">
        <v>121</v>
      </c>
    </row>
    <row r="124" spans="2:5" hidden="1" outlineLevel="1" x14ac:dyDescent="0.25">
      <c r="B124" s="30" t="s">
        <v>20</v>
      </c>
      <c r="C124" s="30" t="s">
        <v>0</v>
      </c>
      <c r="D124" s="41">
        <v>2</v>
      </c>
      <c r="E124" s="32" t="s">
        <v>21</v>
      </c>
    </row>
    <row r="125" spans="2:5" hidden="1" outlineLevel="1" x14ac:dyDescent="0.25">
      <c r="B125" s="30" t="s">
        <v>11</v>
      </c>
      <c r="C125" s="30" t="s">
        <v>12</v>
      </c>
      <c r="D125" s="42">
        <f>IF(D124&gt;=D107,0,((D102/1000/60)/D123/(PI()/4*(D124/1000)^2))^2*(1-D122^4)/2*$D$12/100000)</f>
        <v>2.4583161995378409</v>
      </c>
      <c r="E125" s="32" t="s">
        <v>122</v>
      </c>
    </row>
    <row r="126" spans="2:5" ht="18" hidden="1" outlineLevel="1" x14ac:dyDescent="0.25">
      <c r="B126" s="30" t="s">
        <v>115</v>
      </c>
      <c r="C126" s="30" t="s">
        <v>13</v>
      </c>
      <c r="D126" s="42">
        <f>$D$172-D125</f>
        <v>2.5398913057681978</v>
      </c>
      <c r="E126" s="32" t="s">
        <v>41</v>
      </c>
    </row>
    <row r="127" spans="2:5" collapsed="1" x14ac:dyDescent="0.25"/>
    <row r="128" spans="2:5" x14ac:dyDescent="0.25">
      <c r="B128" s="79" t="s">
        <v>34</v>
      </c>
      <c r="C128" s="80"/>
      <c r="D128" s="80"/>
      <c r="E128" s="81"/>
    </row>
    <row r="129" spans="2:5" x14ac:dyDescent="0.25">
      <c r="B129" s="30" t="s">
        <v>23</v>
      </c>
      <c r="C129" s="30" t="s">
        <v>13</v>
      </c>
      <c r="D129" s="39">
        <f>$D$14</f>
        <v>5</v>
      </c>
      <c r="E129" s="32" t="s">
        <v>17</v>
      </c>
    </row>
    <row r="130" spans="2:5" x14ac:dyDescent="0.25">
      <c r="B130" s="30" t="s">
        <v>18</v>
      </c>
      <c r="C130" s="30" t="s">
        <v>4</v>
      </c>
      <c r="D130" s="39">
        <f>+D23+D51+D74</f>
        <v>36.450000000000003</v>
      </c>
      <c r="E130" s="32" t="s">
        <v>19</v>
      </c>
    </row>
    <row r="131" spans="2:5" ht="18" x14ac:dyDescent="0.25">
      <c r="B131" s="30" t="s">
        <v>106</v>
      </c>
      <c r="C131" s="30" t="s">
        <v>3</v>
      </c>
      <c r="D131" s="38" t="s">
        <v>54</v>
      </c>
      <c r="E131" s="32" t="s">
        <v>136</v>
      </c>
    </row>
    <row r="132" spans="2:5" x14ac:dyDescent="0.25">
      <c r="B132" s="30" t="s">
        <v>75</v>
      </c>
      <c r="C132" s="30"/>
      <c r="D132" s="38" t="s">
        <v>45</v>
      </c>
      <c r="E132" s="32" t="s">
        <v>74</v>
      </c>
    </row>
    <row r="133" spans="2:5" ht="18" x14ac:dyDescent="0.25">
      <c r="B133" s="30" t="s">
        <v>106</v>
      </c>
      <c r="C133" s="30" t="s">
        <v>0</v>
      </c>
      <c r="D133" s="39">
        <f>INDEX(piping_dimension!$A$2:$O$26,MATCH(D131,piping_dimension!$A$2:$A$26,0),MATCH("D_ext",piping_dimension!$A$2:$O$2,0))</f>
        <v>33.4</v>
      </c>
      <c r="E133" s="32" t="s">
        <v>136</v>
      </c>
    </row>
    <row r="134" spans="2:5" x14ac:dyDescent="0.25">
      <c r="B134" s="30" t="s">
        <v>76</v>
      </c>
      <c r="C134" s="30" t="s">
        <v>0</v>
      </c>
      <c r="D134" s="39">
        <f>INDEX(piping_dimension!$A$2:$O$26,MATCH(D131,piping_dimension!$A$2:$A$26,0),MATCH(D132,piping_dimension!$A$2:$O$2,0))</f>
        <v>3.38</v>
      </c>
      <c r="E134" s="32" t="s">
        <v>77</v>
      </c>
    </row>
    <row r="135" spans="2:5" ht="18" x14ac:dyDescent="0.25">
      <c r="B135" s="30" t="s">
        <v>107</v>
      </c>
      <c r="C135" s="30" t="s">
        <v>0</v>
      </c>
      <c r="D135" s="39">
        <f>+D133-2*D134</f>
        <v>26.64</v>
      </c>
      <c r="E135" s="32" t="s">
        <v>22</v>
      </c>
    </row>
    <row r="136" spans="2:5" ht="18" hidden="1" outlineLevel="1" x14ac:dyDescent="0.25">
      <c r="B136" s="30" t="s">
        <v>108</v>
      </c>
      <c r="C136" s="30" t="s">
        <v>118</v>
      </c>
      <c r="D136" s="39">
        <f>+D135^2*PI()/4</f>
        <v>557.38890842226976</v>
      </c>
      <c r="E136" s="32" t="s">
        <v>24</v>
      </c>
    </row>
    <row r="137" spans="2:5" ht="18" hidden="1" outlineLevel="1" x14ac:dyDescent="0.25">
      <c r="B137" s="30" t="s">
        <v>109</v>
      </c>
      <c r="C137" s="30" t="s">
        <v>10</v>
      </c>
      <c r="D137" s="39">
        <f>(D130/60/1000)/(D136/10^6)</f>
        <v>1.0899032808520956</v>
      </c>
      <c r="E137" s="32" t="s">
        <v>29</v>
      </c>
    </row>
    <row r="138" spans="2:5" ht="18" hidden="1" outlineLevel="1" x14ac:dyDescent="0.25">
      <c r="B138" s="30" t="s">
        <v>110</v>
      </c>
      <c r="C138" s="30"/>
      <c r="D138" s="39">
        <f>D135/1000*D137/($D$13/10^6)</f>
        <v>1440.3722294820827</v>
      </c>
      <c r="E138" s="32" t="s">
        <v>26</v>
      </c>
    </row>
    <row r="139" spans="2:5" hidden="1" outlineLevel="1" x14ac:dyDescent="0.25">
      <c r="B139" s="30" t="s">
        <v>5</v>
      </c>
      <c r="C139" s="30"/>
      <c r="D139" s="39">
        <f>+(19000*D145/D138)^0.8</f>
        <v>8.6594980051450712</v>
      </c>
      <c r="E139" s="32"/>
    </row>
    <row r="140" spans="2:5" ht="18" hidden="1" outlineLevel="1" x14ac:dyDescent="0.25">
      <c r="B140" s="30" t="s">
        <v>133</v>
      </c>
      <c r="C140" s="30" t="s">
        <v>0</v>
      </c>
      <c r="D140" s="40">
        <v>0</v>
      </c>
      <c r="E140" s="32" t="s">
        <v>131</v>
      </c>
    </row>
    <row r="141" spans="2:5" ht="18" hidden="1" outlineLevel="1" x14ac:dyDescent="0.25">
      <c r="B141" s="30" t="s">
        <v>134</v>
      </c>
      <c r="C141" s="30" t="s">
        <v>0</v>
      </c>
      <c r="D141" s="40">
        <v>0</v>
      </c>
      <c r="E141" s="32" t="s">
        <v>132</v>
      </c>
    </row>
    <row r="142" spans="2:5" hidden="1" outlineLevel="1" x14ac:dyDescent="0.25">
      <c r="B142" s="30" t="s">
        <v>6</v>
      </c>
      <c r="C142" s="30"/>
      <c r="D142" s="39">
        <f>+D140/D147</f>
        <v>0</v>
      </c>
      <c r="E142" s="32" t="s">
        <v>27</v>
      </c>
    </row>
    <row r="143" spans="2:5" hidden="1" outlineLevel="1" x14ac:dyDescent="0.25">
      <c r="B143" s="30" t="s">
        <v>7</v>
      </c>
      <c r="C143" s="30"/>
      <c r="D143" s="39">
        <f>+D141/D147</f>
        <v>0</v>
      </c>
      <c r="E143" s="32" t="s">
        <v>27</v>
      </c>
    </row>
    <row r="144" spans="2:5" hidden="1" outlineLevel="1" x14ac:dyDescent="0.25">
      <c r="B144" s="30" t="s">
        <v>8</v>
      </c>
      <c r="C144" s="30"/>
      <c r="D144" s="39">
        <f>2*D143/(1-D145)</f>
        <v>0</v>
      </c>
      <c r="E144" s="32"/>
    </row>
    <row r="145" spans="2:5" hidden="1" outlineLevel="1" x14ac:dyDescent="0.25">
      <c r="B145" s="30" t="s">
        <v>28</v>
      </c>
      <c r="C145" s="30"/>
      <c r="D145" s="39">
        <f>+D147/D135</f>
        <v>1.1261261261261262</v>
      </c>
      <c r="E145" s="32" t="s">
        <v>25</v>
      </c>
    </row>
    <row r="146" spans="2:5" hidden="1" outlineLevel="1" x14ac:dyDescent="0.25">
      <c r="B146" s="30" t="s">
        <v>9</v>
      </c>
      <c r="C146" s="30"/>
      <c r="D146" s="39">
        <f xml:space="preserve"> 0.5961+0.0261*D145^2-0.216*D145^8+0.000521*(D145*10^6/D138)^0.7+(0.0188+0.0063*D139)*D145^3.5*(10^6/D138)^0.3+(0.043+0.08*EXP(-10*D142)-0.123*EXP(-7*D142))*(1-0.11*D139)*D145^4/(1-D145^4)-0.031*(D144-0.8*D144^1.1)*D145^1.3+IF(D135&lt;71.12,0.011*(0.75-D145)*(2.8-D135/25.4),0)</f>
        <v>0.90998217755983779</v>
      </c>
      <c r="E146" s="32" t="s">
        <v>121</v>
      </c>
    </row>
    <row r="147" spans="2:5" ht="18" hidden="1" outlineLevel="1" x14ac:dyDescent="0.25">
      <c r="B147" s="30" t="s">
        <v>111</v>
      </c>
      <c r="C147" s="30" t="s">
        <v>0</v>
      </c>
      <c r="D147" s="41">
        <v>30</v>
      </c>
      <c r="E147" s="32" t="s">
        <v>21</v>
      </c>
    </row>
    <row r="148" spans="2:5" hidden="1" outlineLevel="1" x14ac:dyDescent="0.25">
      <c r="B148" s="30" t="s">
        <v>11</v>
      </c>
      <c r="C148" s="30" t="s">
        <v>12</v>
      </c>
      <c r="D148" s="42">
        <f>IF(D147&gt;=D135,0,((D130/1000/60)/D146/(PI()/4*(D147/1000)^2))^2*(1-D145^4)/2*$D$12/100000)</f>
        <v>0</v>
      </c>
      <c r="E148" s="32" t="s">
        <v>122</v>
      </c>
    </row>
    <row r="149" spans="2:5" ht="18" hidden="1" outlineLevel="1" x14ac:dyDescent="0.25">
      <c r="B149" s="30" t="s">
        <v>116</v>
      </c>
      <c r="C149" s="30" t="s">
        <v>13</v>
      </c>
      <c r="D149" s="42">
        <f>$D$14-D148</f>
        <v>5</v>
      </c>
      <c r="E149" s="32" t="s">
        <v>17</v>
      </c>
    </row>
    <row r="150" spans="2:5" collapsed="1" x14ac:dyDescent="0.25"/>
    <row r="151" spans="2:5" x14ac:dyDescent="0.25">
      <c r="B151" s="79" t="s">
        <v>35</v>
      </c>
      <c r="C151" s="80"/>
      <c r="D151" s="80"/>
      <c r="E151" s="81"/>
    </row>
    <row r="152" spans="2:5" x14ac:dyDescent="0.25">
      <c r="B152" s="30" t="s">
        <v>23</v>
      </c>
      <c r="C152" s="30" t="s">
        <v>13</v>
      </c>
      <c r="D152" s="39">
        <f>$D$14</f>
        <v>5</v>
      </c>
      <c r="E152" s="32" t="s">
        <v>17</v>
      </c>
    </row>
    <row r="153" spans="2:5" x14ac:dyDescent="0.25">
      <c r="B153" s="30" t="s">
        <v>18</v>
      </c>
      <c r="C153" s="30" t="s">
        <v>4</v>
      </c>
      <c r="D153" s="39">
        <f>+D102</f>
        <v>3</v>
      </c>
      <c r="E153" s="32" t="s">
        <v>19</v>
      </c>
    </row>
    <row r="154" spans="2:5" ht="18" x14ac:dyDescent="0.25">
      <c r="B154" s="30" t="s">
        <v>106</v>
      </c>
      <c r="C154" s="30" t="s">
        <v>3</v>
      </c>
      <c r="D154" s="38" t="s">
        <v>53</v>
      </c>
      <c r="E154" s="32" t="s">
        <v>136</v>
      </c>
    </row>
    <row r="155" spans="2:5" x14ac:dyDescent="0.25">
      <c r="B155" s="30" t="s">
        <v>75</v>
      </c>
      <c r="C155" s="30"/>
      <c r="D155" s="38" t="s">
        <v>45</v>
      </c>
      <c r="E155" s="32" t="s">
        <v>74</v>
      </c>
    </row>
    <row r="156" spans="2:5" ht="18" x14ac:dyDescent="0.25">
      <c r="B156" s="30" t="s">
        <v>106</v>
      </c>
      <c r="C156" s="30" t="s">
        <v>0</v>
      </c>
      <c r="D156" s="39">
        <f>INDEX(piping_dimension!$A$2:$O$26,MATCH(D154,piping_dimension!$A$2:$A$26,0),MATCH("D_ext",piping_dimension!$A$2:$O$2,0))</f>
        <v>26.67</v>
      </c>
      <c r="E156" s="32" t="s">
        <v>136</v>
      </c>
    </row>
    <row r="157" spans="2:5" x14ac:dyDescent="0.25">
      <c r="B157" s="30" t="s">
        <v>76</v>
      </c>
      <c r="C157" s="30" t="s">
        <v>0</v>
      </c>
      <c r="D157" s="39">
        <f>INDEX(piping_dimension!$A$2:$O$26,MATCH(D154,piping_dimension!$A$2:$A$26,0),MATCH(D155,piping_dimension!$A$2:$O$2,0))</f>
        <v>2.87</v>
      </c>
      <c r="E157" s="32" t="s">
        <v>77</v>
      </c>
    </row>
    <row r="158" spans="2:5" ht="18" x14ac:dyDescent="0.25">
      <c r="B158" s="30" t="s">
        <v>107</v>
      </c>
      <c r="C158" s="30" t="s">
        <v>0</v>
      </c>
      <c r="D158" s="39">
        <f>+D156-2*D157</f>
        <v>20.93</v>
      </c>
      <c r="E158" s="32" t="s">
        <v>22</v>
      </c>
    </row>
    <row r="159" spans="2:5" ht="18" hidden="1" outlineLevel="1" x14ac:dyDescent="0.25">
      <c r="B159" s="30" t="s">
        <v>108</v>
      </c>
      <c r="C159" s="30" t="s">
        <v>118</v>
      </c>
      <c r="D159" s="39">
        <f>+D158^2*PI()/4</f>
        <v>344.05536790888681</v>
      </c>
      <c r="E159" s="32" t="s">
        <v>24</v>
      </c>
    </row>
    <row r="160" spans="2:5" ht="18" hidden="1" outlineLevel="1" x14ac:dyDescent="0.25">
      <c r="B160" s="30" t="s">
        <v>109</v>
      </c>
      <c r="C160" s="30" t="s">
        <v>10</v>
      </c>
      <c r="D160" s="39">
        <f>(D153/60/1000)/(D159/10^6)</f>
        <v>0.14532544661021266</v>
      </c>
      <c r="E160" s="32" t="s">
        <v>29</v>
      </c>
    </row>
    <row r="161" spans="2:5" ht="18" hidden="1" outlineLevel="1" x14ac:dyDescent="0.25">
      <c r="B161" s="30" t="s">
        <v>110</v>
      </c>
      <c r="C161" s="30"/>
      <c r="D161" s="39">
        <f>D158/1000*D160/($D$13/10^6)</f>
        <v>150.89104065640194</v>
      </c>
      <c r="E161" s="32" t="s">
        <v>26</v>
      </c>
    </row>
    <row r="162" spans="2:5" hidden="1" outlineLevel="1" x14ac:dyDescent="0.25">
      <c r="B162" s="30" t="s">
        <v>5</v>
      </c>
      <c r="C162" s="30"/>
      <c r="D162" s="39">
        <f>+(19000*D168/D161)^0.8</f>
        <v>26.512869555668829</v>
      </c>
      <c r="E162" s="32"/>
    </row>
    <row r="163" spans="2:5" ht="18" hidden="1" outlineLevel="1" x14ac:dyDescent="0.25">
      <c r="B163" s="30" t="s">
        <v>133</v>
      </c>
      <c r="C163" s="30" t="s">
        <v>0</v>
      </c>
      <c r="D163" s="40">
        <v>0</v>
      </c>
      <c r="E163" s="32" t="s">
        <v>131</v>
      </c>
    </row>
    <row r="164" spans="2:5" ht="18" hidden="1" outlineLevel="1" x14ac:dyDescent="0.25">
      <c r="B164" s="30" t="s">
        <v>134</v>
      </c>
      <c r="C164" s="30" t="s">
        <v>0</v>
      </c>
      <c r="D164" s="40">
        <v>0</v>
      </c>
      <c r="E164" s="32" t="s">
        <v>132</v>
      </c>
    </row>
    <row r="165" spans="2:5" hidden="1" outlineLevel="1" x14ac:dyDescent="0.25">
      <c r="B165" s="30" t="s">
        <v>6</v>
      </c>
      <c r="C165" s="30"/>
      <c r="D165" s="39">
        <f>+D163/D170</f>
        <v>0</v>
      </c>
      <c r="E165" s="32" t="s">
        <v>27</v>
      </c>
    </row>
    <row r="166" spans="2:5" hidden="1" outlineLevel="1" x14ac:dyDescent="0.25">
      <c r="B166" s="30" t="s">
        <v>7</v>
      </c>
      <c r="C166" s="30"/>
      <c r="D166" s="39">
        <f>+D164/D170</f>
        <v>0</v>
      </c>
      <c r="E166" s="32" t="s">
        <v>27</v>
      </c>
    </row>
    <row r="167" spans="2:5" hidden="1" outlineLevel="1" x14ac:dyDescent="0.25">
      <c r="B167" s="30" t="s">
        <v>8</v>
      </c>
      <c r="C167" s="30"/>
      <c r="D167" s="39">
        <f>2*D166/(1-D168)</f>
        <v>0</v>
      </c>
      <c r="E167" s="32"/>
    </row>
    <row r="168" spans="2:5" hidden="1" outlineLevel="1" x14ac:dyDescent="0.25">
      <c r="B168" s="30" t="s">
        <v>28</v>
      </c>
      <c r="C168" s="30"/>
      <c r="D168" s="39">
        <f>+D170/D158</f>
        <v>0.47778308647873868</v>
      </c>
      <c r="E168" s="32" t="s">
        <v>25</v>
      </c>
    </row>
    <row r="169" spans="2:5" hidden="1" outlineLevel="1" x14ac:dyDescent="0.25">
      <c r="B169" s="30" t="s">
        <v>9</v>
      </c>
      <c r="C169" s="30"/>
      <c r="D169" s="39">
        <f xml:space="preserve"> 0.5961+0.0261*D168^2-0.216*D168^8+0.000521*(D168*10^6/D161)^0.7+(0.0188+0.0063*D162)*D168^3.5*(10^6/D161)^0.3+(0.043+0.08*EXP(-10*D165)-0.123*EXP(-7*D165))*(1-0.11*D162)*D168^4/(1-D168^4)-0.031*(D167-0.8*D167^1.1)*D168^1.3+IF(D158&lt;71.12,0.011*(0.75-D168)*(2.8-D158/25.4),0)</f>
        <v>0.95061825816626788</v>
      </c>
      <c r="E169" s="32" t="s">
        <v>121</v>
      </c>
    </row>
    <row r="170" spans="2:5" ht="18" hidden="1" outlineLevel="1" x14ac:dyDescent="0.25">
      <c r="B170" s="30" t="s">
        <v>111</v>
      </c>
      <c r="C170" s="30" t="s">
        <v>0</v>
      </c>
      <c r="D170" s="41">
        <v>10</v>
      </c>
      <c r="E170" s="32" t="s">
        <v>21</v>
      </c>
    </row>
    <row r="171" spans="2:5" hidden="1" outlineLevel="1" x14ac:dyDescent="0.25">
      <c r="B171" s="30" t="s">
        <v>11</v>
      </c>
      <c r="C171" s="30" t="s">
        <v>12</v>
      </c>
      <c r="D171" s="42">
        <f>IF(D170&gt;=D158,0,((D153/1000/60)/D169/(PI()/4*(D170/1000)^2))^2*(1-D168^4)/2*$D$12/100000)</f>
        <v>1.7924946939612868E-3</v>
      </c>
      <c r="E171" s="32" t="s">
        <v>122</v>
      </c>
    </row>
    <row r="172" spans="2:5" ht="18" hidden="1" outlineLevel="1" x14ac:dyDescent="0.25">
      <c r="B172" s="30" t="s">
        <v>117</v>
      </c>
      <c r="C172" s="30" t="s">
        <v>13</v>
      </c>
      <c r="D172" s="42">
        <f>$D$14-D171</f>
        <v>4.9982075053060386</v>
      </c>
      <c r="E172" s="32" t="s">
        <v>17</v>
      </c>
    </row>
    <row r="173" spans="2:5" collapsed="1" x14ac:dyDescent="0.25"/>
  </sheetData>
  <dataConsolidate/>
  <mergeCells count="16">
    <mergeCell ref="L4:T4"/>
    <mergeCell ref="G9:J9"/>
    <mergeCell ref="M5:T5"/>
    <mergeCell ref="B9:E9"/>
    <mergeCell ref="B2:E2"/>
    <mergeCell ref="M6:T6"/>
    <mergeCell ref="M7:T7"/>
    <mergeCell ref="B16:E16"/>
    <mergeCell ref="S10:S11"/>
    <mergeCell ref="T10:T11"/>
    <mergeCell ref="L9:T9"/>
    <mergeCell ref="B151:E151"/>
    <mergeCell ref="B128:E128"/>
    <mergeCell ref="B100:E100"/>
    <mergeCell ref="B72:E72"/>
    <mergeCell ref="B44:E44"/>
  </mergeCells>
  <conditionalFormatting sqref="D40">
    <cfRule type="iconSet" priority="48">
      <iconSet>
        <cfvo type="percent" val="0"/>
        <cfvo type="num" val="2"/>
        <cfvo type="num" val="3"/>
      </iconSet>
    </cfRule>
  </conditionalFormatting>
  <conditionalFormatting sqref="D42">
    <cfRule type="iconSet" priority="30">
      <iconSet>
        <cfvo type="percent" val="0"/>
        <cfvo type="formula" val="$D$17"/>
        <cfvo type="formula" val="$D$17" gte="0"/>
      </iconSet>
    </cfRule>
  </conditionalFormatting>
  <conditionalFormatting sqref="S12:S17">
    <cfRule type="expression" dxfId="14" priority="56">
      <formula>$N12&gt;=3</formula>
    </cfRule>
    <cfRule type="expression" dxfId="13" priority="57">
      <formula>$N12&lt;2</formula>
    </cfRule>
    <cfRule type="expression" dxfId="12" priority="58">
      <formula>$N12&lt;3</formula>
    </cfRule>
  </conditionalFormatting>
  <conditionalFormatting sqref="D68">
    <cfRule type="iconSet" priority="11">
      <iconSet>
        <cfvo type="percent" val="0"/>
        <cfvo type="num" val="2"/>
        <cfvo type="num" val="3"/>
      </iconSet>
    </cfRule>
  </conditionalFormatting>
  <conditionalFormatting sqref="D70">
    <cfRule type="iconSet" priority="10">
      <iconSet>
        <cfvo type="percent" val="0"/>
        <cfvo type="formula" val="$D$17"/>
        <cfvo type="formula" val="$D$17" gte="0"/>
      </iconSet>
    </cfRule>
  </conditionalFormatting>
  <conditionalFormatting sqref="D96">
    <cfRule type="iconSet" priority="9">
      <iconSet>
        <cfvo type="percent" val="0"/>
        <cfvo type="num" val="2"/>
        <cfvo type="num" val="3"/>
      </iconSet>
    </cfRule>
  </conditionalFormatting>
  <conditionalFormatting sqref="D98">
    <cfRule type="iconSet" priority="8">
      <iconSet>
        <cfvo type="percent" val="0"/>
        <cfvo type="formula" val="$D$17"/>
        <cfvo type="formula" val="$D$17" gte="0"/>
      </iconSet>
    </cfRule>
  </conditionalFormatting>
  <conditionalFormatting sqref="D124">
    <cfRule type="iconSet" priority="7">
      <iconSet>
        <cfvo type="percent" val="0"/>
        <cfvo type="num" val="2"/>
        <cfvo type="num" val="3"/>
      </iconSet>
    </cfRule>
  </conditionalFormatting>
  <conditionalFormatting sqref="D126">
    <cfRule type="iconSet" priority="6">
      <iconSet>
        <cfvo type="percent" val="0"/>
        <cfvo type="formula" val="$D$17"/>
        <cfvo type="formula" val="$D$17" gte="0"/>
      </iconSet>
    </cfRule>
  </conditionalFormatting>
  <conditionalFormatting sqref="D147">
    <cfRule type="iconSet" priority="5">
      <iconSet>
        <cfvo type="percent" val="0"/>
        <cfvo type="formula" val="$D$17"/>
        <cfvo type="formula" val="$D$17" gte="0"/>
      </iconSet>
    </cfRule>
  </conditionalFormatting>
  <conditionalFormatting sqref="D149">
    <cfRule type="iconSet" priority="4">
      <iconSet>
        <cfvo type="percent" val="0"/>
        <cfvo type="formula" val="$D$17"/>
        <cfvo type="formula" val="$D$17" gte="0"/>
      </iconSet>
    </cfRule>
  </conditionalFormatting>
  <conditionalFormatting sqref="D170">
    <cfRule type="iconSet" priority="3">
      <iconSet>
        <cfvo type="percent" val="0"/>
        <cfvo type="formula" val="$D$17"/>
        <cfvo type="formula" val="$D$17" gte="0"/>
      </iconSet>
    </cfRule>
  </conditionalFormatting>
  <conditionalFormatting sqref="D172">
    <cfRule type="iconSet" priority="2">
      <iconSet>
        <cfvo type="percent" val="0"/>
        <cfvo type="formula" val="$D$17"/>
        <cfvo type="formula" val="$D$17" gte="0"/>
      </iconSet>
    </cfRule>
  </conditionalFormatting>
  <conditionalFormatting sqref="L5:L7">
    <cfRule type="iconSet" priority="1">
      <iconSet>
        <cfvo type="percent" val="0"/>
        <cfvo type="num" val="0.5"/>
        <cfvo type="num" val="1"/>
      </iconSet>
    </cfRule>
  </conditionalFormatting>
  <conditionalFormatting sqref="N12:N18">
    <cfRule type="iconSet" priority="65">
      <iconSet>
        <cfvo type="percent" val="0"/>
        <cfvo type="num" val="2"/>
        <cfvo type="num" val="3"/>
      </iconSet>
    </cfRule>
  </conditionalFormatting>
  <conditionalFormatting sqref="O12">
    <cfRule type="iconSet" priority="119">
      <iconSet>
        <cfvo type="percent" val="0"/>
        <cfvo type="formula" val="$D$17"/>
        <cfvo type="formula" val="$D$17" gte="0"/>
      </iconSet>
    </cfRule>
  </conditionalFormatting>
  <conditionalFormatting sqref="T12">
    <cfRule type="expression" dxfId="11" priority="120">
      <formula>$O12&gt;=$D17</formula>
    </cfRule>
    <cfRule type="expression" dxfId="10" priority="121">
      <formula>$O12&lt;$D17</formula>
    </cfRule>
  </conditionalFormatting>
  <conditionalFormatting sqref="O13">
    <cfRule type="iconSet" priority="122">
      <iconSet>
        <cfvo type="percent" val="0"/>
        <cfvo type="formula" val="$D$45"/>
        <cfvo type="formula" val="$D$45" gte="0"/>
      </iconSet>
    </cfRule>
  </conditionalFormatting>
  <conditionalFormatting sqref="T13">
    <cfRule type="expression" dxfId="9" priority="123">
      <formula>$O$13&lt;$D$45</formula>
    </cfRule>
    <cfRule type="expression" dxfId="8" priority="124">
      <formula>$O$13&gt;=$D$45</formula>
    </cfRule>
  </conditionalFormatting>
  <conditionalFormatting sqref="O14">
    <cfRule type="iconSet" priority="125">
      <iconSet>
        <cfvo type="percent" val="0"/>
        <cfvo type="formula" val="$D$73"/>
        <cfvo type="formula" val="$D$73" gte="0"/>
      </iconSet>
    </cfRule>
  </conditionalFormatting>
  <conditionalFormatting sqref="O16">
    <cfRule type="iconSet" priority="126">
      <iconSet>
        <cfvo type="percent" val="0"/>
        <cfvo type="formula" val="MAX($D$17,$D$45,$D$73)"/>
        <cfvo type="formula" val="MAX($D$17,$D$45,$D$73)" gte="0"/>
      </iconSet>
    </cfRule>
  </conditionalFormatting>
  <conditionalFormatting sqref="T14">
    <cfRule type="expression" dxfId="7" priority="127">
      <formula>$O$14&lt;$D$73</formula>
    </cfRule>
    <cfRule type="expression" dxfId="6" priority="128">
      <formula>$O$14&gt;=$D$73</formula>
    </cfRule>
  </conditionalFormatting>
  <conditionalFormatting sqref="T16">
    <cfRule type="expression" dxfId="5" priority="129">
      <formula>$O$16&lt;MAX($D$17,$D$45,$D$73)</formula>
    </cfRule>
    <cfRule type="expression" dxfId="4" priority="130">
      <formula>$O$16&gt;=MAX($D$17,$D$45,$D$73)</formula>
    </cfRule>
  </conditionalFormatting>
  <conditionalFormatting sqref="T15">
    <cfRule type="expression" dxfId="3" priority="131">
      <formula>$O$15&gt;=$D$101</formula>
    </cfRule>
    <cfRule type="expression" dxfId="2" priority="132">
      <formula>$O$15&lt;$D$101</formula>
    </cfRule>
  </conditionalFormatting>
  <conditionalFormatting sqref="O15">
    <cfRule type="iconSet" priority="133">
      <iconSet>
        <cfvo type="percent" val="0"/>
        <cfvo type="formula" val="$D$101"/>
        <cfvo type="formula" val="$D$101" gte="0"/>
      </iconSet>
    </cfRule>
  </conditionalFormatting>
  <conditionalFormatting sqref="O17">
    <cfRule type="iconSet" priority="134">
      <iconSet>
        <cfvo type="percent" val="0"/>
        <cfvo type="formula" val="$D$101"/>
        <cfvo type="formula" val="$D$101" gte="0"/>
      </iconSet>
    </cfRule>
  </conditionalFormatting>
  <conditionalFormatting sqref="T17">
    <cfRule type="expression" dxfId="1" priority="135">
      <formula>$O$17&lt;$D$101</formula>
    </cfRule>
    <cfRule type="expression" dxfId="0" priority="136">
      <formula>$O$17&gt;=$D$101</formula>
    </cfRule>
  </conditionalFormatting>
  <dataValidations count="2">
    <dataValidation type="list" allowBlank="1" showInputMessage="1" showErrorMessage="1" sqref="D10" xr:uid="{AEC8D376-A0BF-4805-BA35-687EB75CC6E3}">
      <formula1>"32, 46, 68"</formula1>
    </dataValidation>
    <dataValidation type="whole" allowBlank="1" showInputMessage="1" showErrorMessage="1" sqref="D11" xr:uid="{3F7D7D62-6FD2-48A8-BE6D-D35AAB415725}">
      <formula1>45</formula1>
      <formula2>60</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91" r:id="rId4" name="CommandButton1">
          <controlPr defaultSize="0" autoLine="0" autoPict="0" r:id="rId5">
            <anchor moveWithCells="1">
              <from>
                <xdr:col>6</xdr:col>
                <xdr:colOff>0</xdr:colOff>
                <xdr:row>13</xdr:row>
                <xdr:rowOff>0</xdr:rowOff>
              </from>
              <to>
                <xdr:col>7</xdr:col>
                <xdr:colOff>0</xdr:colOff>
                <xdr:row>18</xdr:row>
                <xdr:rowOff>76200</xdr:rowOff>
              </to>
            </anchor>
          </controlPr>
        </control>
      </mc:Choice>
      <mc:Fallback>
        <control shapeId="3091"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iconSet" priority="12" id="{FDDDD151-6BA3-41B3-822F-A96939EE6826}">
            <x14:iconSet custom="1">
              <x14:cfvo type="percent">
                <xm:f>0</xm:f>
              </x14:cfvo>
              <x14:cfvo type="formula" gte="0">
                <xm:f>$I$11</xm:f>
              </x14:cfvo>
              <x14:cfvo type="formula" gte="0">
                <xm:f>$I$11</xm:f>
              </x14:cfvo>
              <x14:cfIcon iconSet="3TrafficLights1" iconId="2"/>
              <x14:cfIcon iconSet="NoIcons" iconId="0"/>
              <x14:cfIcon iconSet="3TrafficLights1" iconId="0"/>
            </x14:iconSet>
          </x14:cfRule>
          <xm:sqref>I12</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4CBE8B6E-2229-4CB8-A7AC-04AB6D3DD42D}">
          <x14:formula1>
            <xm:f>piping_dimension!$A$3:$A$26</xm:f>
          </x14:formula1>
          <xm:sqref>D19 D47 D75 D103 D131 D154</xm:sqref>
        </x14:dataValidation>
        <x14:dataValidation type="list" allowBlank="1" showInputMessage="1" showErrorMessage="1" xr:uid="{E7B4D870-36F3-4E47-8A74-0D071715AD84}">
          <x14:formula1>
            <xm:f>OFFSET(piping_dimension!$C$30,,,,(COUNTA(piping_dimension!$C$30:$O$30)-COUNTBLANK(piping_dimension!$C$30:$O$30)))</xm:f>
          </x14:formula1>
          <xm:sqref>D20</xm:sqref>
        </x14:dataValidation>
        <x14:dataValidation type="list" allowBlank="1" showInputMessage="1" showErrorMessage="1" xr:uid="{F10CFF2F-5333-407B-8C57-F676746166D3}">
          <x14:formula1>
            <xm:f>OFFSET(piping_dimension!$C$31,,,,(COUNTA(piping_dimension!$C$31:$O$31)-COUNTBLANK(piping_dimension!$C$31:$O$31)))</xm:f>
          </x14:formula1>
          <xm:sqref>D48</xm:sqref>
        </x14:dataValidation>
        <x14:dataValidation type="list" allowBlank="1" showInputMessage="1" showErrorMessage="1" xr:uid="{A25B2AC9-F435-4F97-92B7-67B9CB1A2B51}">
          <x14:formula1>
            <xm:f>OFFSET(piping_dimension!$C$34,,,,(COUNTA(piping_dimension!$C$34:$O$34)-COUNTBLANK(piping_dimension!$C$34:$O$34)))</xm:f>
          </x14:formula1>
          <xm:sqref>D132</xm:sqref>
        </x14:dataValidation>
        <x14:dataValidation type="list" allowBlank="1" showInputMessage="1" showErrorMessage="1" xr:uid="{EC79AF3A-9350-488A-8473-5A1932DB3C86}">
          <x14:formula1>
            <xm:f>OFFSET(piping_dimension!$C$33,,,,(COUNTA(piping_dimension!$C$33:$O$33)-COUNTBLANK(piping_dimension!$C$33:$O$33)))</xm:f>
          </x14:formula1>
          <xm:sqref>D104</xm:sqref>
        </x14:dataValidation>
        <x14:dataValidation type="list" allowBlank="1" showInputMessage="1" showErrorMessage="1" xr:uid="{99650722-CF59-4D38-A541-5631CB4FB2BD}">
          <x14:formula1>
            <xm:f>OFFSET(piping_dimension!$C$32,,,,(COUNTA(piping_dimension!$C$32:$O$32)-COUNTBLANK(piping_dimension!$C$32:$O$32)))</xm:f>
          </x14:formula1>
          <xm:sqref>D76</xm:sqref>
        </x14:dataValidation>
        <x14:dataValidation type="list" allowBlank="1" showInputMessage="1" showErrorMessage="1" xr:uid="{D9B02DAA-58A7-4043-8E6A-1DF9986A3142}">
          <x14:formula1>
            <xm:f>OFFSET(piping_dimension!$C$35,,,,(COUNTA(piping_dimension!$C$35:$O$35)-COUNTBLANK(piping_dimension!$C$35:$O$35)))</xm:f>
          </x14:formula1>
          <xm:sqref>D155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98E42-7E8C-42E8-943D-C3D614E49977}">
  <sheetPr codeName="Foglio1"/>
  <dimension ref="A1:P24"/>
  <sheetViews>
    <sheetView workbookViewId="0">
      <selection activeCell="Z29" sqref="Z29"/>
    </sheetView>
  </sheetViews>
  <sheetFormatPr defaultRowHeight="15" x14ac:dyDescent="0.25"/>
  <sheetData>
    <row r="1" spans="1:16" ht="15.75" thickBot="1" x14ac:dyDescent="0.3">
      <c r="A1" s="92" t="s">
        <v>1</v>
      </c>
      <c r="B1" s="93"/>
      <c r="C1" s="93"/>
      <c r="D1" s="93"/>
      <c r="E1" s="93"/>
      <c r="F1" s="93"/>
      <c r="G1" s="93"/>
      <c r="H1" s="93"/>
      <c r="I1" s="93"/>
      <c r="J1" s="93"/>
      <c r="K1" s="93"/>
      <c r="L1" s="93"/>
      <c r="M1" s="94"/>
      <c r="O1" s="4" t="s">
        <v>40</v>
      </c>
      <c r="P1" s="3" cm="1">
        <f t="array" ref="P1">_xlfn.IFS(K2=B2,1,K2=E2,2,K2=H2,3)</f>
        <v>2</v>
      </c>
    </row>
    <row r="2" spans="1:16" x14ac:dyDescent="0.25">
      <c r="A2" s="13"/>
      <c r="B2" s="89">
        <v>32</v>
      </c>
      <c r="C2" s="90"/>
      <c r="D2" s="91"/>
      <c r="E2" s="89">
        <v>46</v>
      </c>
      <c r="F2" s="90"/>
      <c r="G2" s="91"/>
      <c r="H2" s="89">
        <v>68</v>
      </c>
      <c r="I2" s="90"/>
      <c r="J2" s="91"/>
      <c r="K2" s="89">
        <f>+orifice_calc!D10</f>
        <v>46</v>
      </c>
      <c r="L2" s="90"/>
      <c r="M2" s="91"/>
    </row>
    <row r="3" spans="1:16" ht="17.25" x14ac:dyDescent="0.25">
      <c r="A3" s="14" t="s">
        <v>36</v>
      </c>
      <c r="B3" s="5" t="s">
        <v>37</v>
      </c>
      <c r="C3" s="6" t="s">
        <v>38</v>
      </c>
      <c r="D3" s="7" t="s">
        <v>39</v>
      </c>
      <c r="E3" s="5" t="s">
        <v>37</v>
      </c>
      <c r="F3" s="6" t="s">
        <v>38</v>
      </c>
      <c r="G3" s="7" t="s">
        <v>39</v>
      </c>
      <c r="H3" s="5" t="s">
        <v>37</v>
      </c>
      <c r="I3" s="6" t="s">
        <v>38</v>
      </c>
      <c r="J3" s="7" t="s">
        <v>39</v>
      </c>
      <c r="K3" s="5" t="s">
        <v>37</v>
      </c>
      <c r="L3" s="6" t="s">
        <v>38</v>
      </c>
      <c r="M3" s="7" t="s">
        <v>39</v>
      </c>
    </row>
    <row r="4" spans="1:16" x14ac:dyDescent="0.25">
      <c r="A4" s="14">
        <v>10</v>
      </c>
      <c r="B4" s="8">
        <v>148.42939999999999</v>
      </c>
      <c r="C4" s="3">
        <v>169.25470000000001</v>
      </c>
      <c r="D4" s="9">
        <v>0.877</v>
      </c>
      <c r="E4" s="8">
        <v>245.05680000000001</v>
      </c>
      <c r="F4" s="3">
        <v>279.7568</v>
      </c>
      <c r="G4" s="9">
        <v>0.876</v>
      </c>
      <c r="H4" s="8">
        <v>411.77929999999998</v>
      </c>
      <c r="I4" s="3">
        <v>465.32819999999998</v>
      </c>
      <c r="J4" s="9">
        <v>0.88490000000000002</v>
      </c>
      <c r="K4" s="8">
        <f t="shared" ref="K4:K24" si="0">CHOOSE($P$1,B4,E4,H4)</f>
        <v>245.05680000000001</v>
      </c>
      <c r="L4" s="3">
        <f t="shared" ref="L4:L24" si="1">CHOOSE($P$1,C4,F4,I4)</f>
        <v>279.7568</v>
      </c>
      <c r="M4" s="9">
        <f t="shared" ref="M4:M24" si="2">CHOOSE($P$1,D4,G4,J4)</f>
        <v>0.876</v>
      </c>
    </row>
    <row r="5" spans="1:16" x14ac:dyDescent="0.25">
      <c r="A5" s="14">
        <v>15.555555555555555</v>
      </c>
      <c r="B5" s="8">
        <v>101.9464</v>
      </c>
      <c r="C5" s="3">
        <v>116.7486</v>
      </c>
      <c r="D5" s="9">
        <v>0.87319999999999998</v>
      </c>
      <c r="E5" s="8">
        <v>163.149</v>
      </c>
      <c r="F5" s="3">
        <v>187.0515</v>
      </c>
      <c r="G5" s="9">
        <v>0.87219999999999998</v>
      </c>
      <c r="H5" s="8">
        <v>267.3109</v>
      </c>
      <c r="I5" s="3">
        <v>303.34660000000002</v>
      </c>
      <c r="J5" s="9">
        <v>0.88119999999999998</v>
      </c>
      <c r="K5" s="8">
        <f t="shared" si="0"/>
        <v>163.149</v>
      </c>
      <c r="L5" s="3">
        <f t="shared" si="1"/>
        <v>187.0515</v>
      </c>
      <c r="M5" s="9">
        <f t="shared" si="2"/>
        <v>0.87219999999999998</v>
      </c>
    </row>
    <row r="6" spans="1:16" x14ac:dyDescent="0.25">
      <c r="A6" s="14">
        <v>21.111111111111111</v>
      </c>
      <c r="B6" s="8">
        <v>72.322900000000004</v>
      </c>
      <c r="C6" s="3">
        <v>83.177599999999998</v>
      </c>
      <c r="D6" s="9">
        <v>0.86950000000000005</v>
      </c>
      <c r="E6" s="8">
        <v>112.48950000000001</v>
      </c>
      <c r="F6" s="3">
        <v>129.52199999999999</v>
      </c>
      <c r="G6" s="9">
        <v>0.86850000000000005</v>
      </c>
      <c r="H6" s="8">
        <v>180.01660000000001</v>
      </c>
      <c r="I6" s="3">
        <v>205.1422</v>
      </c>
      <c r="J6" s="9">
        <v>0.87749999999999995</v>
      </c>
      <c r="K6" s="8">
        <f t="shared" si="0"/>
        <v>112.48950000000001</v>
      </c>
      <c r="L6" s="3">
        <f t="shared" si="1"/>
        <v>129.52199999999999</v>
      </c>
      <c r="M6" s="9">
        <f t="shared" si="2"/>
        <v>0.86850000000000005</v>
      </c>
    </row>
    <row r="7" spans="1:16" x14ac:dyDescent="0.25">
      <c r="A7" s="14">
        <v>26.666666666666668</v>
      </c>
      <c r="B7" s="8">
        <v>52.807200000000002</v>
      </c>
      <c r="C7" s="3">
        <v>60.991100000000003</v>
      </c>
      <c r="D7" s="9">
        <v>0.86580000000000001</v>
      </c>
      <c r="E7" s="8">
        <v>80.0214</v>
      </c>
      <c r="F7" s="3">
        <v>92.530500000000004</v>
      </c>
      <c r="G7" s="9">
        <v>0.86480000000000001</v>
      </c>
      <c r="H7" s="8">
        <v>125.27589999999999</v>
      </c>
      <c r="I7" s="3">
        <v>143.35820000000001</v>
      </c>
      <c r="J7" s="9">
        <v>0.87390000000000001</v>
      </c>
      <c r="K7" s="8">
        <f t="shared" si="0"/>
        <v>80.0214</v>
      </c>
      <c r="L7" s="3">
        <f t="shared" si="1"/>
        <v>92.530500000000004</v>
      </c>
      <c r="M7" s="9">
        <f t="shared" si="2"/>
        <v>0.86480000000000001</v>
      </c>
    </row>
    <row r="8" spans="1:16" x14ac:dyDescent="0.25">
      <c r="A8" s="14">
        <v>32.222222222222221</v>
      </c>
      <c r="B8" s="8">
        <v>39.561199999999999</v>
      </c>
      <c r="C8" s="3">
        <v>45.885800000000003</v>
      </c>
      <c r="D8" s="9">
        <v>0.86219999999999997</v>
      </c>
      <c r="E8" s="8">
        <v>58.535600000000002</v>
      </c>
      <c r="F8" s="3">
        <v>67.973200000000006</v>
      </c>
      <c r="G8" s="9">
        <v>0.86119999999999997</v>
      </c>
      <c r="H8" s="8">
        <v>89.783199999999994</v>
      </c>
      <c r="I8" s="3">
        <v>103.1703</v>
      </c>
      <c r="J8" s="9">
        <v>0.87019999999999997</v>
      </c>
      <c r="K8" s="8">
        <f t="shared" si="0"/>
        <v>58.535600000000002</v>
      </c>
      <c r="L8" s="3">
        <f t="shared" si="1"/>
        <v>67.973200000000006</v>
      </c>
      <c r="M8" s="9">
        <f t="shared" si="2"/>
        <v>0.86119999999999997</v>
      </c>
    </row>
    <row r="9" spans="1:16" x14ac:dyDescent="0.25">
      <c r="A9" s="14">
        <v>37.777777777777779</v>
      </c>
      <c r="B9" s="8">
        <v>30.326000000000001</v>
      </c>
      <c r="C9" s="3">
        <v>35.322499999999998</v>
      </c>
      <c r="D9" s="9">
        <v>0.85850000000000004</v>
      </c>
      <c r="E9" s="8">
        <v>43.901200000000003</v>
      </c>
      <c r="F9" s="3">
        <v>51.194800000000001</v>
      </c>
      <c r="G9" s="9">
        <v>0.85750000000000004</v>
      </c>
      <c r="H9" s="8">
        <v>66.066199999999995</v>
      </c>
      <c r="I9" s="3">
        <v>76.231800000000007</v>
      </c>
      <c r="J9" s="9">
        <v>0.86660000000000004</v>
      </c>
      <c r="K9" s="8">
        <f t="shared" si="0"/>
        <v>43.901200000000003</v>
      </c>
      <c r="L9" s="3">
        <f t="shared" si="1"/>
        <v>51.194800000000001</v>
      </c>
      <c r="M9" s="9">
        <f t="shared" si="2"/>
        <v>0.85750000000000004</v>
      </c>
    </row>
    <row r="10" spans="1:16" x14ac:dyDescent="0.25">
      <c r="A10" s="14">
        <v>43.333333333333336</v>
      </c>
      <c r="B10" s="8">
        <v>23.728999999999999</v>
      </c>
      <c r="C10" s="3">
        <v>27.7546</v>
      </c>
      <c r="D10" s="9">
        <v>0.85499999999999998</v>
      </c>
      <c r="E10" s="8">
        <v>33.670400000000001</v>
      </c>
      <c r="F10" s="3">
        <v>39.429499999999997</v>
      </c>
      <c r="G10" s="9">
        <v>0.85389999999999999</v>
      </c>
      <c r="H10" s="8">
        <v>49.78</v>
      </c>
      <c r="I10" s="3">
        <v>57.676900000000003</v>
      </c>
      <c r="J10" s="9">
        <v>0.86309999999999998</v>
      </c>
      <c r="K10" s="8">
        <f t="shared" si="0"/>
        <v>33.670400000000001</v>
      </c>
      <c r="L10" s="3">
        <f t="shared" si="1"/>
        <v>39.429499999999997</v>
      </c>
      <c r="M10" s="9">
        <f t="shared" si="2"/>
        <v>0.85389999999999999</v>
      </c>
    </row>
    <row r="11" spans="1:16" x14ac:dyDescent="0.25">
      <c r="A11" s="14">
        <v>48.888888888888886</v>
      </c>
      <c r="B11" s="8">
        <v>18.912099999999999</v>
      </c>
      <c r="C11" s="3">
        <v>22.213000000000001</v>
      </c>
      <c r="D11" s="9">
        <v>0.85140000000000005</v>
      </c>
      <c r="E11" s="8">
        <v>26.3475</v>
      </c>
      <c r="F11" s="3">
        <v>30.9833</v>
      </c>
      <c r="G11" s="9">
        <v>0.85040000000000004</v>
      </c>
      <c r="H11" s="8">
        <v>38.316699999999997</v>
      </c>
      <c r="I11" s="3">
        <v>44.5777</v>
      </c>
      <c r="J11" s="9">
        <v>0.85950000000000004</v>
      </c>
      <c r="K11" s="8">
        <f t="shared" si="0"/>
        <v>26.3475</v>
      </c>
      <c r="L11" s="3">
        <f t="shared" si="1"/>
        <v>30.9833</v>
      </c>
      <c r="M11" s="9">
        <f t="shared" si="2"/>
        <v>0.85040000000000004</v>
      </c>
    </row>
    <row r="12" spans="1:16" x14ac:dyDescent="0.25">
      <c r="A12" s="14">
        <v>54.444444444444443</v>
      </c>
      <c r="B12" s="8">
        <v>15.3241</v>
      </c>
      <c r="C12" s="3">
        <v>18.073799999999999</v>
      </c>
      <c r="D12" s="9">
        <v>0.84789999999999999</v>
      </c>
      <c r="E12" s="8">
        <v>20.992599999999999</v>
      </c>
      <c r="F12" s="3">
        <v>24.789300000000001</v>
      </c>
      <c r="G12" s="9">
        <v>0.8468</v>
      </c>
      <c r="H12" s="8">
        <v>30.065000000000001</v>
      </c>
      <c r="I12" s="3">
        <v>35.121000000000002</v>
      </c>
      <c r="J12" s="9">
        <v>0.85599999999999998</v>
      </c>
      <c r="K12" s="8">
        <f t="shared" si="0"/>
        <v>20.992599999999999</v>
      </c>
      <c r="L12" s="3">
        <f t="shared" si="1"/>
        <v>24.789300000000001</v>
      </c>
      <c r="M12" s="9">
        <f t="shared" si="2"/>
        <v>0.8468</v>
      </c>
    </row>
    <row r="13" spans="1:16" x14ac:dyDescent="0.25">
      <c r="A13" s="14">
        <v>60</v>
      </c>
      <c r="B13" s="8">
        <v>12.6029</v>
      </c>
      <c r="C13" s="3">
        <v>14.926</v>
      </c>
      <c r="D13" s="9">
        <v>0.84440000000000004</v>
      </c>
      <c r="E13" s="8">
        <v>17</v>
      </c>
      <c r="F13" s="3">
        <v>20.158000000000001</v>
      </c>
      <c r="G13" s="9">
        <v>0.84330000000000005</v>
      </c>
      <c r="H13" s="8">
        <v>24.002600000000001</v>
      </c>
      <c r="I13" s="3">
        <v>28.153500000000001</v>
      </c>
      <c r="J13" s="9">
        <v>0.85260000000000002</v>
      </c>
      <c r="K13" s="8">
        <f t="shared" si="0"/>
        <v>17</v>
      </c>
      <c r="L13" s="3">
        <f t="shared" si="1"/>
        <v>20.158000000000001</v>
      </c>
      <c r="M13" s="9">
        <f t="shared" si="2"/>
        <v>0.84330000000000005</v>
      </c>
    </row>
    <row r="14" spans="1:16" x14ac:dyDescent="0.25">
      <c r="A14" s="14">
        <v>65.555555555555557</v>
      </c>
      <c r="B14" s="8">
        <v>10.504799999999999</v>
      </c>
      <c r="C14" s="3">
        <v>12.4925</v>
      </c>
      <c r="D14" s="9">
        <v>0.84089999999999998</v>
      </c>
      <c r="E14" s="8">
        <v>13.969900000000001</v>
      </c>
      <c r="F14" s="3">
        <v>16.633600000000001</v>
      </c>
      <c r="G14" s="9">
        <v>0.83989999999999998</v>
      </c>
      <c r="H14" s="8">
        <v>19.4651</v>
      </c>
      <c r="I14" s="3">
        <v>22.923999999999999</v>
      </c>
      <c r="J14" s="9">
        <v>0.84909999999999997</v>
      </c>
      <c r="K14" s="8">
        <f t="shared" si="0"/>
        <v>13.969900000000001</v>
      </c>
      <c r="L14" s="3">
        <f t="shared" si="1"/>
        <v>16.633600000000001</v>
      </c>
      <c r="M14" s="9">
        <f t="shared" si="2"/>
        <v>0.83989999999999998</v>
      </c>
    </row>
    <row r="15" spans="1:16" x14ac:dyDescent="0.25">
      <c r="A15" s="14">
        <v>71.111111111111114</v>
      </c>
      <c r="B15" s="8">
        <v>8.8626000000000005</v>
      </c>
      <c r="C15" s="3">
        <v>10.5829</v>
      </c>
      <c r="D15" s="9">
        <v>0.83740000000000003</v>
      </c>
      <c r="E15" s="8">
        <v>11.632899999999999</v>
      </c>
      <c r="F15" s="3">
        <v>13.908099999999999</v>
      </c>
      <c r="G15" s="9">
        <v>0.83640000000000003</v>
      </c>
      <c r="H15" s="8">
        <v>16.0105</v>
      </c>
      <c r="I15" s="3">
        <v>18.931899999999999</v>
      </c>
      <c r="J15" s="9">
        <v>0.84570000000000001</v>
      </c>
      <c r="K15" s="8">
        <f t="shared" si="0"/>
        <v>11.632899999999999</v>
      </c>
      <c r="L15" s="3">
        <f t="shared" si="1"/>
        <v>13.908099999999999</v>
      </c>
      <c r="M15" s="9">
        <f t="shared" si="2"/>
        <v>0.83640000000000003</v>
      </c>
    </row>
    <row r="16" spans="1:16" x14ac:dyDescent="0.25">
      <c r="A16" s="14">
        <v>76.666666666666671</v>
      </c>
      <c r="B16" s="8">
        <v>7.5595999999999997</v>
      </c>
      <c r="C16" s="3">
        <v>9.0639000000000003</v>
      </c>
      <c r="D16" s="9">
        <v>0.83399999999999996</v>
      </c>
      <c r="E16" s="8">
        <v>9.8036999999999992</v>
      </c>
      <c r="F16" s="3">
        <v>11.7692</v>
      </c>
      <c r="G16" s="9">
        <v>0.83299999999999996</v>
      </c>
      <c r="H16" s="8">
        <v>13.3393</v>
      </c>
      <c r="I16" s="3">
        <v>15.8369</v>
      </c>
      <c r="J16" s="9">
        <v>0.84230000000000005</v>
      </c>
      <c r="K16" s="8">
        <f t="shared" si="0"/>
        <v>9.8036999999999992</v>
      </c>
      <c r="L16" s="3">
        <f t="shared" si="1"/>
        <v>11.7692</v>
      </c>
      <c r="M16" s="9">
        <f t="shared" si="2"/>
        <v>0.83299999999999996</v>
      </c>
    </row>
    <row r="17" spans="1:13" x14ac:dyDescent="0.25">
      <c r="A17" s="14">
        <v>82.222222222222229</v>
      </c>
      <c r="B17" s="8">
        <v>6.5125000000000002</v>
      </c>
      <c r="C17" s="3">
        <v>7.8403</v>
      </c>
      <c r="D17" s="9">
        <v>0.8306</v>
      </c>
      <c r="E17" s="8">
        <v>8.3523999999999994</v>
      </c>
      <c r="F17" s="3">
        <v>10.0679</v>
      </c>
      <c r="G17" s="9">
        <v>0.8296</v>
      </c>
      <c r="H17" s="8">
        <v>11.244199999999999</v>
      </c>
      <c r="I17" s="3">
        <v>13.403</v>
      </c>
      <c r="J17" s="9">
        <v>0.83889999999999998</v>
      </c>
      <c r="K17" s="8">
        <f t="shared" si="0"/>
        <v>8.3523999999999994</v>
      </c>
      <c r="L17" s="3">
        <f t="shared" si="1"/>
        <v>10.0679</v>
      </c>
      <c r="M17" s="9">
        <f t="shared" si="2"/>
        <v>0.8296</v>
      </c>
    </row>
    <row r="18" spans="1:13" x14ac:dyDescent="0.25">
      <c r="A18" s="14">
        <v>87.777777777777771</v>
      </c>
      <c r="B18" s="8">
        <v>5.6614000000000004</v>
      </c>
      <c r="C18" s="3">
        <v>6.8433999999999999</v>
      </c>
      <c r="D18" s="9">
        <v>0.82730000000000004</v>
      </c>
      <c r="E18" s="8">
        <v>7.1866000000000003</v>
      </c>
      <c r="F18" s="3">
        <v>8.6979000000000006</v>
      </c>
      <c r="G18" s="9">
        <v>0.82620000000000005</v>
      </c>
      <c r="H18" s="8">
        <v>9.5792000000000002</v>
      </c>
      <c r="I18" s="3">
        <v>11.464</v>
      </c>
      <c r="J18" s="9">
        <v>0.83560000000000001</v>
      </c>
      <c r="K18" s="8">
        <f t="shared" si="0"/>
        <v>7.1866000000000003</v>
      </c>
      <c r="L18" s="3">
        <f t="shared" si="1"/>
        <v>8.6979000000000006</v>
      </c>
      <c r="M18" s="9">
        <f t="shared" si="2"/>
        <v>0.82620000000000005</v>
      </c>
    </row>
    <row r="19" spans="1:13" x14ac:dyDescent="0.25">
      <c r="A19" s="14">
        <v>93.333333333333329</v>
      </c>
      <c r="B19" s="8">
        <v>4.9622000000000002</v>
      </c>
      <c r="C19" s="3">
        <v>6.0225</v>
      </c>
      <c r="D19" s="9">
        <v>0.82389999999999997</v>
      </c>
      <c r="E19" s="8">
        <v>6.2393999999999998</v>
      </c>
      <c r="F19" s="3">
        <v>7.5820999999999996</v>
      </c>
      <c r="G19" s="9">
        <v>0.82289999999999996</v>
      </c>
      <c r="H19" s="8">
        <v>8.2401</v>
      </c>
      <c r="I19" s="3">
        <v>9.9007000000000005</v>
      </c>
      <c r="J19" s="9">
        <v>0.83230000000000004</v>
      </c>
      <c r="K19" s="8">
        <f t="shared" si="0"/>
        <v>6.2393999999999998</v>
      </c>
      <c r="L19" s="3">
        <f t="shared" si="1"/>
        <v>7.5820999999999996</v>
      </c>
      <c r="M19" s="9">
        <f t="shared" si="2"/>
        <v>0.82289999999999996</v>
      </c>
    </row>
    <row r="20" spans="1:13" x14ac:dyDescent="0.25">
      <c r="A20" s="14">
        <v>98.888888888888886</v>
      </c>
      <c r="B20" s="8">
        <v>4.3822000000000001</v>
      </c>
      <c r="C20" s="3">
        <v>5.34</v>
      </c>
      <c r="D20" s="9">
        <v>0.8206</v>
      </c>
      <c r="E20" s="8">
        <v>5.4617000000000004</v>
      </c>
      <c r="F20" s="3">
        <v>6.6638999999999999</v>
      </c>
      <c r="G20" s="9">
        <v>0.8196</v>
      </c>
      <c r="H20" s="8">
        <v>7.1509999999999998</v>
      </c>
      <c r="I20" s="3">
        <v>8.6262000000000008</v>
      </c>
      <c r="J20" s="9">
        <v>0.82899999999999996</v>
      </c>
      <c r="K20" s="8">
        <f t="shared" si="0"/>
        <v>5.4617000000000004</v>
      </c>
      <c r="L20" s="3">
        <f t="shared" si="1"/>
        <v>6.6638999999999999</v>
      </c>
      <c r="M20" s="9">
        <f t="shared" si="2"/>
        <v>0.8196</v>
      </c>
    </row>
    <row r="21" spans="1:13" x14ac:dyDescent="0.25">
      <c r="A21" s="14">
        <v>104.44444444444444</v>
      </c>
      <c r="B21" s="8">
        <v>3.8967999999999998</v>
      </c>
      <c r="C21" s="3">
        <v>4.7675000000000001</v>
      </c>
      <c r="D21" s="9">
        <v>0.81740000000000002</v>
      </c>
      <c r="E21" s="8">
        <v>4.8169000000000004</v>
      </c>
      <c r="F21" s="3">
        <v>5.9009</v>
      </c>
      <c r="G21" s="9">
        <v>0.81630000000000003</v>
      </c>
      <c r="H21" s="8">
        <v>6.2561999999999998</v>
      </c>
      <c r="I21" s="3">
        <v>7.5766</v>
      </c>
      <c r="J21" s="9">
        <v>0.82569999999999999</v>
      </c>
      <c r="K21" s="8">
        <f t="shared" si="0"/>
        <v>4.8169000000000004</v>
      </c>
      <c r="L21" s="3">
        <f t="shared" si="1"/>
        <v>5.9009</v>
      </c>
      <c r="M21" s="9">
        <f t="shared" si="2"/>
        <v>0.81630000000000003</v>
      </c>
    </row>
    <row r="22" spans="1:13" x14ac:dyDescent="0.25">
      <c r="A22" s="14">
        <v>110</v>
      </c>
      <c r="B22" s="8">
        <v>3.4870000000000001</v>
      </c>
      <c r="C22" s="3">
        <v>4.2832999999999997</v>
      </c>
      <c r="D22" s="9">
        <v>0.81410000000000005</v>
      </c>
      <c r="E22" s="8">
        <v>4.2777000000000003</v>
      </c>
      <c r="F22" s="3">
        <v>5.2613000000000003</v>
      </c>
      <c r="G22" s="9">
        <v>0.81310000000000004</v>
      </c>
      <c r="H22" s="8">
        <v>5.5140000000000002</v>
      </c>
      <c r="I22" s="3">
        <v>6.7041000000000004</v>
      </c>
      <c r="J22" s="9">
        <v>0.82250000000000001</v>
      </c>
      <c r="K22" s="8">
        <f t="shared" si="0"/>
        <v>4.2777000000000003</v>
      </c>
      <c r="L22" s="3">
        <f t="shared" si="1"/>
        <v>5.2613000000000003</v>
      </c>
      <c r="M22" s="9">
        <f t="shared" si="2"/>
        <v>0.81310000000000004</v>
      </c>
    </row>
    <row r="23" spans="1:13" x14ac:dyDescent="0.25">
      <c r="A23" s="14">
        <v>115.55555555555556</v>
      </c>
      <c r="B23" s="8">
        <v>3.1385999999999998</v>
      </c>
      <c r="C23" s="3">
        <v>3.8706</v>
      </c>
      <c r="D23" s="9">
        <v>0.81089999999999995</v>
      </c>
      <c r="E23" s="8">
        <v>3.8229000000000002</v>
      </c>
      <c r="F23" s="3">
        <v>4.7206000000000001</v>
      </c>
      <c r="G23" s="9">
        <v>0.80979999999999996</v>
      </c>
      <c r="H23" s="8">
        <v>4.8929999999999998</v>
      </c>
      <c r="I23" s="3">
        <v>5.9724000000000004</v>
      </c>
      <c r="J23" s="9">
        <v>0.81930000000000003</v>
      </c>
      <c r="K23" s="8">
        <f t="shared" si="0"/>
        <v>3.8229000000000002</v>
      </c>
      <c r="L23" s="3">
        <f t="shared" si="1"/>
        <v>4.7206000000000001</v>
      </c>
      <c r="M23" s="9">
        <f t="shared" si="2"/>
        <v>0.80979999999999996</v>
      </c>
    </row>
    <row r="24" spans="1:13" ht="15.75" thickBot="1" x14ac:dyDescent="0.3">
      <c r="A24" s="15">
        <v>121.11111111111111</v>
      </c>
      <c r="B24" s="10">
        <v>2.8401000000000001</v>
      </c>
      <c r="C24" s="11">
        <v>3.5164</v>
      </c>
      <c r="D24" s="12">
        <v>0.80769999999999997</v>
      </c>
      <c r="E24" s="10">
        <v>3.4363999999999999</v>
      </c>
      <c r="F24" s="11">
        <v>4.2602000000000002</v>
      </c>
      <c r="G24" s="12">
        <v>0.80659999999999998</v>
      </c>
      <c r="H24" s="10">
        <v>4.3692000000000002</v>
      </c>
      <c r="I24" s="11">
        <v>5.3539000000000003</v>
      </c>
      <c r="J24" s="12">
        <v>0.81610000000000005</v>
      </c>
      <c r="K24" s="10">
        <f t="shared" si="0"/>
        <v>3.4363999999999999</v>
      </c>
      <c r="L24" s="11">
        <f t="shared" si="1"/>
        <v>4.2602000000000002</v>
      </c>
      <c r="M24" s="12">
        <f t="shared" si="2"/>
        <v>0.80659999999999998</v>
      </c>
    </row>
  </sheetData>
  <mergeCells count="5">
    <mergeCell ref="B2:D2"/>
    <mergeCell ref="E2:G2"/>
    <mergeCell ref="H2:J2"/>
    <mergeCell ref="A1:M1"/>
    <mergeCell ref="K2:M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890CA-8765-4086-9827-5F4A382D07C0}">
  <sheetPr codeName="Foglio2"/>
  <dimension ref="A1:O35"/>
  <sheetViews>
    <sheetView workbookViewId="0">
      <selection activeCell="H29" sqref="H29"/>
    </sheetView>
  </sheetViews>
  <sheetFormatPr defaultRowHeight="15" x14ac:dyDescent="0.25"/>
  <sheetData>
    <row r="1" spans="1:15" x14ac:dyDescent="0.25">
      <c r="A1" s="19" t="s">
        <v>0</v>
      </c>
      <c r="B1" s="95" t="s">
        <v>73</v>
      </c>
      <c r="C1" s="95"/>
      <c r="D1" s="95"/>
      <c r="E1" s="95"/>
      <c r="F1" s="95"/>
      <c r="G1" s="95"/>
      <c r="H1" s="95"/>
      <c r="I1" s="95"/>
      <c r="J1" s="95"/>
      <c r="K1" s="95"/>
      <c r="L1" s="95"/>
      <c r="M1" s="95"/>
      <c r="N1" s="95"/>
      <c r="O1" s="95"/>
    </row>
    <row r="2" spans="1:15" x14ac:dyDescent="0.25">
      <c r="A2" s="16" t="s">
        <v>43</v>
      </c>
      <c r="B2" s="17" t="s">
        <v>44</v>
      </c>
      <c r="C2" s="17" t="s">
        <v>45</v>
      </c>
      <c r="D2" s="17" t="s">
        <v>46</v>
      </c>
      <c r="E2" s="17" t="s">
        <v>47</v>
      </c>
      <c r="F2" s="17">
        <v>10</v>
      </c>
      <c r="G2" s="17">
        <v>20</v>
      </c>
      <c r="H2" s="17">
        <v>30</v>
      </c>
      <c r="I2" s="17">
        <v>40</v>
      </c>
      <c r="J2" s="17">
        <v>60</v>
      </c>
      <c r="K2" s="17">
        <v>80</v>
      </c>
      <c r="L2" s="17">
        <v>100</v>
      </c>
      <c r="M2" s="17">
        <v>120</v>
      </c>
      <c r="N2" s="17">
        <v>140</v>
      </c>
      <c r="O2" s="17">
        <v>160</v>
      </c>
    </row>
    <row r="3" spans="1:15" x14ac:dyDescent="0.25">
      <c r="A3" s="16" t="s">
        <v>48</v>
      </c>
      <c r="B3" s="18">
        <v>10.29</v>
      </c>
      <c r="C3" s="18">
        <v>1.73</v>
      </c>
      <c r="D3" s="18">
        <v>2.41</v>
      </c>
      <c r="E3" s="18" t="s">
        <v>49</v>
      </c>
      <c r="F3" s="18" t="s">
        <v>49</v>
      </c>
      <c r="G3" s="18" t="s">
        <v>49</v>
      </c>
      <c r="H3" s="18" t="s">
        <v>49</v>
      </c>
      <c r="I3" s="18">
        <v>1.73</v>
      </c>
      <c r="J3" s="18" t="s">
        <v>49</v>
      </c>
      <c r="K3" s="18">
        <v>2.41</v>
      </c>
      <c r="L3" s="18" t="s">
        <v>49</v>
      </c>
      <c r="M3" s="18" t="s">
        <v>49</v>
      </c>
      <c r="N3" s="18" t="s">
        <v>49</v>
      </c>
      <c r="O3" s="18" t="s">
        <v>49</v>
      </c>
    </row>
    <row r="4" spans="1:15" x14ac:dyDescent="0.25">
      <c r="A4" s="17" t="s">
        <v>50</v>
      </c>
      <c r="B4" s="18">
        <v>13.72</v>
      </c>
      <c r="C4" s="18">
        <v>2.23</v>
      </c>
      <c r="D4" s="18">
        <v>3.02</v>
      </c>
      <c r="E4" s="18" t="s">
        <v>49</v>
      </c>
      <c r="F4" s="18" t="s">
        <v>49</v>
      </c>
      <c r="G4" s="18" t="s">
        <v>49</v>
      </c>
      <c r="H4" s="18" t="s">
        <v>49</v>
      </c>
      <c r="I4" s="18">
        <v>2.23</v>
      </c>
      <c r="J4" s="18" t="s">
        <v>49</v>
      </c>
      <c r="K4" s="18">
        <v>3.02</v>
      </c>
      <c r="L4" s="18" t="s">
        <v>49</v>
      </c>
      <c r="M4" s="18" t="s">
        <v>49</v>
      </c>
      <c r="N4" s="18" t="s">
        <v>49</v>
      </c>
      <c r="O4" s="18" t="s">
        <v>49</v>
      </c>
    </row>
    <row r="5" spans="1:15" x14ac:dyDescent="0.25">
      <c r="A5" s="17" t="s">
        <v>51</v>
      </c>
      <c r="B5" s="18">
        <v>17.14</v>
      </c>
      <c r="C5" s="18">
        <v>2.31</v>
      </c>
      <c r="D5" s="18">
        <v>3.2</v>
      </c>
      <c r="E5" s="18" t="s">
        <v>49</v>
      </c>
      <c r="F5" s="18" t="s">
        <v>49</v>
      </c>
      <c r="G5" s="18" t="s">
        <v>49</v>
      </c>
      <c r="H5" s="18" t="s">
        <v>49</v>
      </c>
      <c r="I5" s="18">
        <v>2.31</v>
      </c>
      <c r="J5" s="18" t="s">
        <v>49</v>
      </c>
      <c r="K5" s="18">
        <v>3.2</v>
      </c>
      <c r="L5" s="18" t="s">
        <v>49</v>
      </c>
      <c r="M5" s="18" t="s">
        <v>49</v>
      </c>
      <c r="N5" s="18" t="s">
        <v>49</v>
      </c>
      <c r="O5" s="18" t="s">
        <v>49</v>
      </c>
    </row>
    <row r="6" spans="1:15" x14ac:dyDescent="0.25">
      <c r="A6" s="17" t="s">
        <v>52</v>
      </c>
      <c r="B6" s="18">
        <v>21.34</v>
      </c>
      <c r="C6" s="18">
        <v>2.77</v>
      </c>
      <c r="D6" s="18">
        <v>3.73</v>
      </c>
      <c r="E6" s="18">
        <v>7.47</v>
      </c>
      <c r="F6" s="18" t="s">
        <v>49</v>
      </c>
      <c r="G6" s="18" t="s">
        <v>49</v>
      </c>
      <c r="H6" s="18" t="s">
        <v>49</v>
      </c>
      <c r="I6" s="18">
        <v>2.77</v>
      </c>
      <c r="J6" s="18" t="s">
        <v>49</v>
      </c>
      <c r="K6" s="18">
        <v>3.73</v>
      </c>
      <c r="L6" s="18" t="s">
        <v>49</v>
      </c>
      <c r="M6" s="18" t="s">
        <v>49</v>
      </c>
      <c r="N6" s="18" t="s">
        <v>49</v>
      </c>
      <c r="O6" s="18">
        <v>4.75</v>
      </c>
    </row>
    <row r="7" spans="1:15" x14ac:dyDescent="0.25">
      <c r="A7" s="17" t="s">
        <v>53</v>
      </c>
      <c r="B7" s="18">
        <v>26.67</v>
      </c>
      <c r="C7" s="18">
        <v>2.87</v>
      </c>
      <c r="D7" s="18">
        <v>3.91</v>
      </c>
      <c r="E7" s="18">
        <v>7.82</v>
      </c>
      <c r="F7" s="18" t="s">
        <v>49</v>
      </c>
      <c r="G7" s="18" t="s">
        <v>49</v>
      </c>
      <c r="H7" s="18" t="s">
        <v>49</v>
      </c>
      <c r="I7" s="18">
        <v>2.87</v>
      </c>
      <c r="J7" s="18" t="s">
        <v>49</v>
      </c>
      <c r="K7" s="18">
        <v>3.91</v>
      </c>
      <c r="L7" s="18" t="s">
        <v>49</v>
      </c>
      <c r="M7" s="18" t="s">
        <v>49</v>
      </c>
      <c r="N7" s="18" t="s">
        <v>49</v>
      </c>
      <c r="O7" s="18">
        <v>5.54</v>
      </c>
    </row>
    <row r="8" spans="1:15" x14ac:dyDescent="0.25">
      <c r="A8" s="17" t="s">
        <v>54</v>
      </c>
      <c r="B8" s="18">
        <v>33.4</v>
      </c>
      <c r="C8" s="18">
        <v>3.38</v>
      </c>
      <c r="D8" s="18">
        <v>4.55</v>
      </c>
      <c r="E8" s="18">
        <v>9.09</v>
      </c>
      <c r="F8" s="18" t="s">
        <v>49</v>
      </c>
      <c r="G8" s="18" t="s">
        <v>49</v>
      </c>
      <c r="H8" s="18" t="s">
        <v>49</v>
      </c>
      <c r="I8" s="18">
        <v>3.38</v>
      </c>
      <c r="J8" s="18" t="s">
        <v>49</v>
      </c>
      <c r="K8" s="18">
        <v>4.55</v>
      </c>
      <c r="L8" s="18" t="s">
        <v>49</v>
      </c>
      <c r="M8" s="18" t="s">
        <v>49</v>
      </c>
      <c r="N8" s="18" t="s">
        <v>49</v>
      </c>
      <c r="O8" s="18">
        <v>6.35</v>
      </c>
    </row>
    <row r="9" spans="1:15" x14ac:dyDescent="0.25">
      <c r="A9" s="17" t="s">
        <v>55</v>
      </c>
      <c r="B9" s="18">
        <v>42.16</v>
      </c>
      <c r="C9" s="18">
        <v>3.56</v>
      </c>
      <c r="D9" s="18">
        <v>4.8499999999999996</v>
      </c>
      <c r="E9" s="18">
        <v>9.6999999999999993</v>
      </c>
      <c r="F9" s="18" t="s">
        <v>49</v>
      </c>
      <c r="G9" s="18" t="s">
        <v>49</v>
      </c>
      <c r="H9" s="18" t="s">
        <v>49</v>
      </c>
      <c r="I9" s="18">
        <v>3.56</v>
      </c>
      <c r="J9" s="18" t="s">
        <v>49</v>
      </c>
      <c r="K9" s="18">
        <v>4.8499999999999996</v>
      </c>
      <c r="L9" s="18" t="s">
        <v>49</v>
      </c>
      <c r="M9" s="18" t="s">
        <v>49</v>
      </c>
      <c r="N9" s="18" t="s">
        <v>49</v>
      </c>
      <c r="O9" s="18">
        <v>6.35</v>
      </c>
    </row>
    <row r="10" spans="1:15" x14ac:dyDescent="0.25">
      <c r="A10" s="17" t="s">
        <v>56</v>
      </c>
      <c r="B10" s="18">
        <v>48.26</v>
      </c>
      <c r="C10" s="18">
        <v>3.68</v>
      </c>
      <c r="D10" s="18">
        <v>5.08</v>
      </c>
      <c r="E10" s="18">
        <v>10.16</v>
      </c>
      <c r="F10" s="18" t="s">
        <v>49</v>
      </c>
      <c r="G10" s="18" t="s">
        <v>49</v>
      </c>
      <c r="H10" s="18" t="s">
        <v>49</v>
      </c>
      <c r="I10" s="18">
        <v>3.68</v>
      </c>
      <c r="J10" s="18" t="s">
        <v>49</v>
      </c>
      <c r="K10" s="18">
        <v>5.08</v>
      </c>
      <c r="L10" s="18" t="s">
        <v>49</v>
      </c>
      <c r="M10" s="18" t="s">
        <v>49</v>
      </c>
      <c r="N10" s="18" t="s">
        <v>49</v>
      </c>
      <c r="O10" s="18">
        <v>7.14</v>
      </c>
    </row>
    <row r="11" spans="1:15" x14ac:dyDescent="0.25">
      <c r="A11" s="17" t="s">
        <v>57</v>
      </c>
      <c r="B11" s="18">
        <v>60.32</v>
      </c>
      <c r="C11" s="18">
        <v>3.91</v>
      </c>
      <c r="D11" s="18">
        <v>5.54</v>
      </c>
      <c r="E11" s="18">
        <v>11.07</v>
      </c>
      <c r="F11" s="18" t="s">
        <v>49</v>
      </c>
      <c r="G11" s="18" t="s">
        <v>49</v>
      </c>
      <c r="H11" s="18" t="s">
        <v>49</v>
      </c>
      <c r="I11" s="18">
        <v>3.91</v>
      </c>
      <c r="J11" s="18" t="s">
        <v>49</v>
      </c>
      <c r="K11" s="18">
        <v>5.54</v>
      </c>
      <c r="L11" s="18" t="s">
        <v>49</v>
      </c>
      <c r="M11" s="18" t="s">
        <v>49</v>
      </c>
      <c r="N11" s="18" t="s">
        <v>49</v>
      </c>
      <c r="O11" s="18">
        <v>8.7100000000000009</v>
      </c>
    </row>
    <row r="12" spans="1:15" x14ac:dyDescent="0.25">
      <c r="A12" s="17" t="s">
        <v>58</v>
      </c>
      <c r="B12" s="18">
        <v>73.02</v>
      </c>
      <c r="C12" s="18">
        <v>5.16</v>
      </c>
      <c r="D12" s="18">
        <v>7.01</v>
      </c>
      <c r="E12" s="18">
        <v>14.02</v>
      </c>
      <c r="F12" s="18" t="s">
        <v>49</v>
      </c>
      <c r="G12" s="18" t="s">
        <v>49</v>
      </c>
      <c r="H12" s="18" t="s">
        <v>49</v>
      </c>
      <c r="I12" s="18">
        <v>5.16</v>
      </c>
      <c r="J12" s="18" t="s">
        <v>49</v>
      </c>
      <c r="K12" s="18">
        <v>7.01</v>
      </c>
      <c r="L12" s="18" t="s">
        <v>49</v>
      </c>
      <c r="M12" s="18" t="s">
        <v>49</v>
      </c>
      <c r="N12" s="18" t="s">
        <v>49</v>
      </c>
      <c r="O12" s="18">
        <v>9.52</v>
      </c>
    </row>
    <row r="13" spans="1:15" x14ac:dyDescent="0.25">
      <c r="A13" s="17" t="s">
        <v>59</v>
      </c>
      <c r="B13" s="18">
        <v>88.9</v>
      </c>
      <c r="C13" s="18">
        <v>5.49</v>
      </c>
      <c r="D13" s="18">
        <v>7.62</v>
      </c>
      <c r="E13" s="18">
        <v>15.24</v>
      </c>
      <c r="F13" s="18" t="s">
        <v>49</v>
      </c>
      <c r="G13" s="18" t="s">
        <v>49</v>
      </c>
      <c r="H13" s="18" t="s">
        <v>49</v>
      </c>
      <c r="I13" s="18">
        <v>5.49</v>
      </c>
      <c r="J13" s="18" t="s">
        <v>49</v>
      </c>
      <c r="K13" s="18">
        <v>7.62</v>
      </c>
      <c r="L13" s="18" t="s">
        <v>49</v>
      </c>
      <c r="M13" s="18" t="s">
        <v>49</v>
      </c>
      <c r="N13" s="18" t="s">
        <v>49</v>
      </c>
      <c r="O13" s="18">
        <v>11.12</v>
      </c>
    </row>
    <row r="14" spans="1:15" x14ac:dyDescent="0.25">
      <c r="A14" s="17" t="s">
        <v>60</v>
      </c>
      <c r="B14" s="18">
        <v>101.6</v>
      </c>
      <c r="C14" s="18">
        <v>5.74</v>
      </c>
      <c r="D14" s="18">
        <v>8.08</v>
      </c>
      <c r="E14" s="18" t="s">
        <v>49</v>
      </c>
      <c r="F14" s="18" t="s">
        <v>49</v>
      </c>
      <c r="G14" s="18" t="s">
        <v>49</v>
      </c>
      <c r="H14" s="18" t="s">
        <v>49</v>
      </c>
      <c r="I14" s="18">
        <v>5.74</v>
      </c>
      <c r="J14" s="18" t="s">
        <v>49</v>
      </c>
      <c r="K14" s="18">
        <v>8.07</v>
      </c>
      <c r="L14" s="18" t="s">
        <v>49</v>
      </c>
      <c r="M14" s="18" t="s">
        <v>49</v>
      </c>
      <c r="N14" s="18" t="s">
        <v>49</v>
      </c>
      <c r="O14" s="18" t="s">
        <v>49</v>
      </c>
    </row>
    <row r="15" spans="1:15" x14ac:dyDescent="0.25">
      <c r="A15" s="17" t="s">
        <v>61</v>
      </c>
      <c r="B15" s="18">
        <v>114.3</v>
      </c>
      <c r="C15" s="18">
        <v>6.02</v>
      </c>
      <c r="D15" s="18">
        <v>8.56</v>
      </c>
      <c r="E15" s="18">
        <v>17.12</v>
      </c>
      <c r="F15" s="18" t="s">
        <v>49</v>
      </c>
      <c r="G15" s="18" t="s">
        <v>49</v>
      </c>
      <c r="H15" s="18" t="s">
        <v>49</v>
      </c>
      <c r="I15" s="18">
        <v>6.02</v>
      </c>
      <c r="J15" s="18" t="s">
        <v>49</v>
      </c>
      <c r="K15" s="18">
        <v>8.56</v>
      </c>
      <c r="L15" s="18" t="s">
        <v>49</v>
      </c>
      <c r="M15" s="18">
        <v>11.12</v>
      </c>
      <c r="N15" s="18" t="s">
        <v>49</v>
      </c>
      <c r="O15" s="18">
        <v>13.49</v>
      </c>
    </row>
    <row r="16" spans="1:15" x14ac:dyDescent="0.25">
      <c r="A16" s="17" t="s">
        <v>62</v>
      </c>
      <c r="B16" s="18">
        <v>141.30000000000001</v>
      </c>
      <c r="C16" s="18">
        <v>6.55</v>
      </c>
      <c r="D16" s="18">
        <v>9.52</v>
      </c>
      <c r="E16" s="18">
        <v>19.05</v>
      </c>
      <c r="F16" s="18" t="s">
        <v>49</v>
      </c>
      <c r="G16" s="18" t="s">
        <v>49</v>
      </c>
      <c r="H16" s="18" t="s">
        <v>49</v>
      </c>
      <c r="I16" s="18">
        <v>6.55</v>
      </c>
      <c r="J16" s="18" t="s">
        <v>49</v>
      </c>
      <c r="K16" s="18">
        <v>9.52</v>
      </c>
      <c r="L16" s="18" t="s">
        <v>49</v>
      </c>
      <c r="M16" s="18">
        <v>12.7</v>
      </c>
      <c r="N16" s="18" t="s">
        <v>49</v>
      </c>
      <c r="O16" s="18">
        <v>15.87</v>
      </c>
    </row>
    <row r="17" spans="1:15" x14ac:dyDescent="0.25">
      <c r="A17" s="17" t="s">
        <v>63</v>
      </c>
      <c r="B17" s="18">
        <v>168.27</v>
      </c>
      <c r="C17" s="18">
        <v>7.11</v>
      </c>
      <c r="D17" s="18">
        <v>10.97</v>
      </c>
      <c r="E17" s="18">
        <v>21.94</v>
      </c>
      <c r="F17" s="18" t="s">
        <v>49</v>
      </c>
      <c r="G17" s="18" t="s">
        <v>49</v>
      </c>
      <c r="H17" s="18" t="s">
        <v>49</v>
      </c>
      <c r="I17" s="18">
        <v>7.11</v>
      </c>
      <c r="J17" s="18" t="s">
        <v>49</v>
      </c>
      <c r="K17" s="18">
        <v>10.97</v>
      </c>
      <c r="L17" s="18" t="s">
        <v>49</v>
      </c>
      <c r="M17" s="18">
        <v>14.27</v>
      </c>
      <c r="N17" s="18" t="s">
        <v>49</v>
      </c>
      <c r="O17" s="18">
        <v>18.239999999999998</v>
      </c>
    </row>
    <row r="18" spans="1:15" x14ac:dyDescent="0.25">
      <c r="A18" s="17" t="s">
        <v>64</v>
      </c>
      <c r="B18" s="18">
        <v>219.07</v>
      </c>
      <c r="C18" s="18">
        <v>8.18</v>
      </c>
      <c r="D18" s="18">
        <v>12.7</v>
      </c>
      <c r="E18" s="18">
        <v>22.22</v>
      </c>
      <c r="F18" s="18" t="s">
        <v>49</v>
      </c>
      <c r="G18" s="18">
        <v>6.35</v>
      </c>
      <c r="H18" s="18">
        <v>7.04</v>
      </c>
      <c r="I18" s="18">
        <v>8.18</v>
      </c>
      <c r="J18" s="18">
        <v>10.31</v>
      </c>
      <c r="K18" s="18">
        <v>12.7</v>
      </c>
      <c r="L18" s="18">
        <v>15.06</v>
      </c>
      <c r="M18" s="18">
        <v>18.239999999999998</v>
      </c>
      <c r="N18" s="18">
        <v>20.62</v>
      </c>
      <c r="O18" s="18">
        <v>23.01</v>
      </c>
    </row>
    <row r="19" spans="1:15" x14ac:dyDescent="0.25">
      <c r="A19" s="17" t="s">
        <v>65</v>
      </c>
      <c r="B19" s="18">
        <v>273.05</v>
      </c>
      <c r="C19" s="18">
        <v>9.27</v>
      </c>
      <c r="D19" s="18">
        <v>12.7</v>
      </c>
      <c r="E19" s="18" t="s">
        <v>49</v>
      </c>
      <c r="F19" s="18" t="s">
        <v>49</v>
      </c>
      <c r="G19" s="18">
        <v>6.35</v>
      </c>
      <c r="H19" s="18">
        <v>7.8</v>
      </c>
      <c r="I19" s="18">
        <v>9.27</v>
      </c>
      <c r="J19" s="18">
        <v>12.7</v>
      </c>
      <c r="K19" s="18">
        <v>15.06</v>
      </c>
      <c r="L19" s="18">
        <v>18.239999999999998</v>
      </c>
      <c r="M19" s="18">
        <v>21.41</v>
      </c>
      <c r="N19" s="18">
        <v>25.4</v>
      </c>
      <c r="O19" s="18">
        <v>28.57</v>
      </c>
    </row>
    <row r="20" spans="1:15" x14ac:dyDescent="0.25">
      <c r="A20" s="17" t="s">
        <v>66</v>
      </c>
      <c r="B20" s="18">
        <v>323.85000000000002</v>
      </c>
      <c r="C20" s="18">
        <v>9.52</v>
      </c>
      <c r="D20" s="18">
        <v>12.7</v>
      </c>
      <c r="E20" s="18" t="s">
        <v>49</v>
      </c>
      <c r="F20" s="18" t="s">
        <v>49</v>
      </c>
      <c r="G20" s="18">
        <v>6.35</v>
      </c>
      <c r="H20" s="18">
        <v>8.3800000000000008</v>
      </c>
      <c r="I20" s="18">
        <v>10.31</v>
      </c>
      <c r="J20" s="18">
        <v>14.27</v>
      </c>
      <c r="K20" s="18">
        <v>17.45</v>
      </c>
      <c r="L20" s="18">
        <v>21.41</v>
      </c>
      <c r="M20" s="18">
        <v>25.4</v>
      </c>
      <c r="N20" s="18">
        <v>28.57</v>
      </c>
      <c r="O20" s="18">
        <v>33.32</v>
      </c>
    </row>
    <row r="21" spans="1:15" x14ac:dyDescent="0.25">
      <c r="A21" s="17" t="s">
        <v>67</v>
      </c>
      <c r="B21" s="18">
        <v>355.6</v>
      </c>
      <c r="C21" s="18">
        <v>9.52</v>
      </c>
      <c r="D21" s="18">
        <v>12.7</v>
      </c>
      <c r="E21" s="18" t="s">
        <v>49</v>
      </c>
      <c r="F21" s="18">
        <v>6.35</v>
      </c>
      <c r="G21" s="18">
        <v>7.92</v>
      </c>
      <c r="H21" s="18">
        <v>9.52</v>
      </c>
      <c r="I21" s="18">
        <v>11.12</v>
      </c>
      <c r="J21" s="18">
        <v>15.06</v>
      </c>
      <c r="K21" s="18">
        <v>19.05</v>
      </c>
      <c r="L21" s="18">
        <v>23.8</v>
      </c>
      <c r="M21" s="18">
        <v>27.76</v>
      </c>
      <c r="N21" s="18">
        <v>31.75</v>
      </c>
      <c r="O21" s="18">
        <v>35.71</v>
      </c>
    </row>
    <row r="22" spans="1:15" x14ac:dyDescent="0.25">
      <c r="A22" s="17" t="s">
        <v>68</v>
      </c>
      <c r="B22" s="18">
        <v>406.4</v>
      </c>
      <c r="C22" s="18">
        <v>9.52</v>
      </c>
      <c r="D22" s="18">
        <v>12.7</v>
      </c>
      <c r="E22" s="18" t="s">
        <v>49</v>
      </c>
      <c r="F22" s="18">
        <v>6.35</v>
      </c>
      <c r="G22" s="18">
        <v>7.92</v>
      </c>
      <c r="H22" s="18">
        <v>9.52</v>
      </c>
      <c r="I22" s="18">
        <v>12.7</v>
      </c>
      <c r="J22" s="18">
        <v>16.66</v>
      </c>
      <c r="K22" s="18">
        <v>21.41</v>
      </c>
      <c r="L22" s="18">
        <v>26.19</v>
      </c>
      <c r="M22" s="18">
        <v>30.94</v>
      </c>
      <c r="N22" s="18">
        <v>36.520000000000003</v>
      </c>
      <c r="O22" s="18">
        <v>40.46</v>
      </c>
    </row>
    <row r="23" spans="1:15" x14ac:dyDescent="0.25">
      <c r="A23" s="17" t="s">
        <v>69</v>
      </c>
      <c r="B23" s="18">
        <v>457.2</v>
      </c>
      <c r="C23" s="18">
        <v>9.52</v>
      </c>
      <c r="D23" s="18">
        <v>12.7</v>
      </c>
      <c r="E23" s="18" t="s">
        <v>49</v>
      </c>
      <c r="F23" s="18">
        <v>6.35</v>
      </c>
      <c r="G23" s="18">
        <v>7.92</v>
      </c>
      <c r="H23" s="18">
        <v>11.12</v>
      </c>
      <c r="I23" s="18">
        <v>14.27</v>
      </c>
      <c r="J23" s="18">
        <v>19.05</v>
      </c>
      <c r="K23" s="18">
        <v>23.8</v>
      </c>
      <c r="L23" s="18">
        <v>29.36</v>
      </c>
      <c r="M23" s="18">
        <v>34.92</v>
      </c>
      <c r="N23" s="18">
        <v>39.67</v>
      </c>
      <c r="O23" s="18">
        <v>45.24</v>
      </c>
    </row>
    <row r="24" spans="1:15" x14ac:dyDescent="0.25">
      <c r="A24" s="17" t="s">
        <v>70</v>
      </c>
      <c r="B24" s="18">
        <v>508</v>
      </c>
      <c r="C24" s="18">
        <v>9.52</v>
      </c>
      <c r="D24" s="18">
        <v>12.7</v>
      </c>
      <c r="E24" s="18" t="s">
        <v>49</v>
      </c>
      <c r="F24" s="18">
        <v>6.35</v>
      </c>
      <c r="G24" s="18">
        <v>9.52</v>
      </c>
      <c r="H24" s="18">
        <v>12.7</v>
      </c>
      <c r="I24" s="18">
        <v>15.06</v>
      </c>
      <c r="J24" s="18">
        <v>20.62</v>
      </c>
      <c r="K24" s="18">
        <v>26.19</v>
      </c>
      <c r="L24" s="18">
        <v>32.54</v>
      </c>
      <c r="M24" s="18">
        <v>38.1</v>
      </c>
      <c r="N24" s="18">
        <v>44.45</v>
      </c>
      <c r="O24" s="18">
        <v>49.99</v>
      </c>
    </row>
    <row r="25" spans="1:15" x14ac:dyDescent="0.25">
      <c r="A25" s="17" t="s">
        <v>71</v>
      </c>
      <c r="B25" s="18">
        <v>609.6</v>
      </c>
      <c r="C25" s="18">
        <v>9.52</v>
      </c>
      <c r="D25" s="18">
        <v>12.7</v>
      </c>
      <c r="E25" s="18" t="s">
        <v>49</v>
      </c>
      <c r="F25" s="18">
        <v>6.35</v>
      </c>
      <c r="G25" s="18">
        <v>9.52</v>
      </c>
      <c r="H25" s="18">
        <v>14.27</v>
      </c>
      <c r="I25" s="18">
        <v>17.45</v>
      </c>
      <c r="J25" s="18">
        <v>24.59</v>
      </c>
      <c r="K25" s="18">
        <v>30.94</v>
      </c>
      <c r="L25" s="18">
        <v>38.89</v>
      </c>
      <c r="M25" s="18">
        <v>46.02</v>
      </c>
      <c r="N25" s="18">
        <v>52.37</v>
      </c>
      <c r="O25" s="18">
        <v>59.51</v>
      </c>
    </row>
    <row r="26" spans="1:15" x14ac:dyDescent="0.25">
      <c r="A26" s="17" t="s">
        <v>72</v>
      </c>
      <c r="B26" s="18">
        <v>762</v>
      </c>
      <c r="C26" s="18" t="s">
        <v>49</v>
      </c>
      <c r="D26" s="18" t="s">
        <v>49</v>
      </c>
      <c r="E26" s="18" t="s">
        <v>49</v>
      </c>
      <c r="F26" s="18">
        <v>7.92</v>
      </c>
      <c r="G26" s="18">
        <v>12.7</v>
      </c>
      <c r="H26" s="18">
        <v>15.87</v>
      </c>
      <c r="I26" s="18" t="s">
        <v>49</v>
      </c>
      <c r="J26" s="18" t="s">
        <v>49</v>
      </c>
      <c r="K26" s="18" t="s">
        <v>49</v>
      </c>
      <c r="L26" s="18" t="s">
        <v>49</v>
      </c>
      <c r="M26" s="18" t="s">
        <v>49</v>
      </c>
      <c r="N26" s="18" t="s">
        <v>49</v>
      </c>
      <c r="O26" s="18" t="s">
        <v>49</v>
      </c>
    </row>
    <row r="28" spans="1:15" x14ac:dyDescent="0.25">
      <c r="A28" s="21" t="s">
        <v>80</v>
      </c>
    </row>
    <row r="29" spans="1:15" x14ac:dyDescent="0.25">
      <c r="A29" s="20" t="s">
        <v>79</v>
      </c>
      <c r="B29" s="19" t="s">
        <v>43</v>
      </c>
      <c r="C29" s="2"/>
      <c r="D29" s="2"/>
      <c r="E29" s="2"/>
      <c r="F29" s="2"/>
      <c r="G29" s="2"/>
      <c r="H29" s="2"/>
      <c r="I29" s="2"/>
      <c r="J29" s="2"/>
      <c r="K29" s="2"/>
      <c r="L29" s="2"/>
      <c r="M29" s="2"/>
      <c r="N29" s="2"/>
      <c r="O29" s="2"/>
    </row>
    <row r="30" spans="1:15" x14ac:dyDescent="0.25">
      <c r="A30" s="1">
        <v>1</v>
      </c>
      <c r="B30" s="2" t="str">
        <f>+orifice_calc!D19</f>
        <v>3/8"</v>
      </c>
      <c r="C30" s="2" t="str" cm="1">
        <f t="array" ref="C30">IFERROR(_xlfn.SINGLE(INDEX($A$2:$O$2,,_xlfn.AGGREGATE(15,6,(COLUMN($C$2:$O$2))/(INDEX($C$3:$O$26,MATCH($B30,$A$3:$A$26,0),)&lt;&gt;"N/A"),COLUMN(C30)-COLUMN($B30)))),"")</f>
        <v>Std</v>
      </c>
      <c r="D30" s="2" t="str" cm="1">
        <f t="array" ref="D30">IFERROR(_xlfn.SINGLE(INDEX($A$2:$O$2,,_xlfn.AGGREGATE(15,6,(COLUMN($C$2:$O$2))/(INDEX($C$3:$O$26,MATCH($B30,$A$3:$A$26,0),)&lt;&gt;"N/A"),COLUMN(D30)-COLUMN($B30)))),"")</f>
        <v>XS</v>
      </c>
      <c r="E30" s="2" cm="1">
        <f t="array" ref="E30">IFERROR(_xlfn.SINGLE(INDEX($A$2:$O$2,,_xlfn.AGGREGATE(15,6,(COLUMN($C$2:$O$2))/(INDEX($C$3:$O$26,MATCH($B30,$A$3:$A$26,0),)&lt;&gt;"N/A"),COLUMN(E30)-COLUMN($B30)))),"")</f>
        <v>40</v>
      </c>
      <c r="F30" s="2" cm="1">
        <f t="array" ref="F30">IFERROR(_xlfn.SINGLE(INDEX($A$2:$O$2,,_xlfn.AGGREGATE(15,6,(COLUMN($C$2:$O$2))/(INDEX($C$3:$O$26,MATCH($B30,$A$3:$A$26,0),)&lt;&gt;"N/A"),COLUMN(F30)-COLUMN($B30)))),"")</f>
        <v>80</v>
      </c>
      <c r="G30" s="2" t="str" cm="1">
        <f t="array" ref="G30">IFERROR(_xlfn.SINGLE(INDEX($A$2:$O$2,,_xlfn.AGGREGATE(15,6,(COLUMN($C$2:$O$2))/(INDEX($C$3:$O$26,MATCH($B30,$A$3:$A$26,0),)&lt;&gt;"N/A"),COLUMN(G30)-COLUMN($B30)))),"")</f>
        <v/>
      </c>
      <c r="H30" s="2" t="str" cm="1">
        <f t="array" ref="H30">IFERROR(_xlfn.SINGLE(INDEX($A$2:$O$2,,_xlfn.AGGREGATE(15,6,(COLUMN($C$2:$O$2))/(INDEX($C$3:$O$26,MATCH($B30,$A$3:$A$26,0),)&lt;&gt;"N/A"),COLUMN(H30)-COLUMN($B30)))),"")</f>
        <v/>
      </c>
      <c r="I30" s="2" t="str" cm="1">
        <f t="array" ref="I30">IFERROR(_xlfn.SINGLE(INDEX($A$2:$O$2,,_xlfn.AGGREGATE(15,6,(COLUMN($C$2:$O$2))/(INDEX($C$3:$O$26,MATCH($B30,$A$3:$A$26,0),)&lt;&gt;"N/A"),COLUMN(I30)-COLUMN($B30)))),"")</f>
        <v/>
      </c>
      <c r="J30" s="2" t="str" cm="1">
        <f t="array" ref="J30">IFERROR(_xlfn.SINGLE(INDEX($A$2:$O$2,,_xlfn.AGGREGATE(15,6,(COLUMN($C$2:$O$2))/(INDEX($C$3:$O$26,MATCH($B30,$A$3:$A$26,0),)&lt;&gt;"N/A"),COLUMN(J30)-COLUMN($B30)))),"")</f>
        <v/>
      </c>
      <c r="K30" s="2" t="str" cm="1">
        <f t="array" ref="K30">IFERROR(_xlfn.SINGLE(INDEX($A$2:$O$2,,_xlfn.AGGREGATE(15,6,(COLUMN($C$2:$O$2))/(INDEX($C$3:$O$26,MATCH($B30,$A$3:$A$26,0),)&lt;&gt;"N/A"),COLUMN(K30)-COLUMN($B30)))),"")</f>
        <v/>
      </c>
      <c r="L30" s="2" t="str" cm="1">
        <f t="array" ref="L30">IFERROR(_xlfn.SINGLE(INDEX($A$2:$O$2,,_xlfn.AGGREGATE(15,6,(COLUMN($C$2:$O$2))/(INDEX($C$3:$O$26,MATCH($B30,$A$3:$A$26,0),)&lt;&gt;"N/A"),COLUMN(L30)-COLUMN($B30)))),"")</f>
        <v/>
      </c>
      <c r="M30" s="2" t="str" cm="1">
        <f t="array" ref="M30">IFERROR(_xlfn.SINGLE(INDEX($A$2:$O$2,,_xlfn.AGGREGATE(15,6,(COLUMN($C$2:$O$2))/(INDEX($C$3:$O$26,MATCH($B30,$A$3:$A$26,0),)&lt;&gt;"N/A"),COLUMN(M30)-COLUMN($B30)))),"")</f>
        <v/>
      </c>
      <c r="N30" s="2" t="str" cm="1">
        <f t="array" ref="N30">IFERROR(_xlfn.SINGLE(INDEX($A$2:$O$2,,_xlfn.AGGREGATE(15,6,(COLUMN($C$2:$O$2))/(INDEX($C$3:$O$26,MATCH($B30,$A$3:$A$26,0),)&lt;&gt;"N/A"),COLUMN(N30)-COLUMN($B30)))),"")</f>
        <v/>
      </c>
      <c r="O30" s="2" t="str" cm="1">
        <f t="array" ref="O30">IFERROR(_xlfn.SINGLE(INDEX($A$2:$O$2,,_xlfn.AGGREGATE(15,6,(COLUMN($C$2:$O$2))/(INDEX($C$3:$O$26,MATCH($B30,$A$3:$A$26,0),)&lt;&gt;"N/A"),COLUMN(O30)-COLUMN($B30)))),"")</f>
        <v/>
      </c>
    </row>
    <row r="31" spans="1:15" x14ac:dyDescent="0.25">
      <c r="A31" s="1">
        <v>2</v>
      </c>
      <c r="B31" s="2" t="str">
        <f>+orifice_calc!D47</f>
        <v>3/4"</v>
      </c>
      <c r="C31" s="2" t="str" cm="1">
        <f t="array" ref="C31">IFERROR(_xlfn.SINGLE(INDEX($A$2:$O$2,,_xlfn.AGGREGATE(15,6,(COLUMN($C$2:$O$2))/(INDEX($C$3:$O$26,MATCH($B31,$A$3:$A$26,0),)&lt;&gt;"N/A"),COLUMN(C31)-COLUMN($B31)))),"")</f>
        <v>Std</v>
      </c>
      <c r="D31" s="2" t="str" cm="1">
        <f t="array" ref="D31">IFERROR(_xlfn.SINGLE(INDEX($A$2:$O$2,,_xlfn.AGGREGATE(15,6,(COLUMN($C$2:$O$2))/(INDEX($C$3:$O$26,MATCH($B31,$A$3:$A$26,0),)&lt;&gt;"N/A"),COLUMN(D31)-COLUMN($B31)))),"")</f>
        <v>XS</v>
      </c>
      <c r="E31" s="2" t="str" cm="1">
        <f t="array" ref="E31">IFERROR(_xlfn.SINGLE(INDEX($A$2:$O$2,,_xlfn.AGGREGATE(15,6,(COLUMN($C$2:$O$2))/(INDEX($C$3:$O$26,MATCH($B31,$A$3:$A$26,0),)&lt;&gt;"N/A"),COLUMN(E31)-COLUMN($B31)))),"")</f>
        <v>XXS</v>
      </c>
      <c r="F31" s="2" cm="1">
        <f t="array" ref="F31">IFERROR(_xlfn.SINGLE(INDEX($A$2:$O$2,,_xlfn.AGGREGATE(15,6,(COLUMN($C$2:$O$2))/(INDEX($C$3:$O$26,MATCH($B31,$A$3:$A$26,0),)&lt;&gt;"N/A"),COLUMN(F31)-COLUMN($B31)))),"")</f>
        <v>40</v>
      </c>
      <c r="G31" s="2" cm="1">
        <f t="array" ref="G31">IFERROR(_xlfn.SINGLE(INDEX($A$2:$O$2,,_xlfn.AGGREGATE(15,6,(COLUMN($C$2:$O$2))/(INDEX($C$3:$O$26,MATCH($B31,$A$3:$A$26,0),)&lt;&gt;"N/A"),COLUMN(G31)-COLUMN($B31)))),"")</f>
        <v>80</v>
      </c>
      <c r="H31" s="2" cm="1">
        <f t="array" ref="H31">IFERROR(_xlfn.SINGLE(INDEX($A$2:$O$2,,_xlfn.AGGREGATE(15,6,(COLUMN($C$2:$O$2))/(INDEX($C$3:$O$26,MATCH($B31,$A$3:$A$26,0),)&lt;&gt;"N/A"),COLUMN(H31)-COLUMN($B31)))),"")</f>
        <v>160</v>
      </c>
      <c r="I31" s="2" t="str" cm="1">
        <f t="array" ref="I31">IFERROR(_xlfn.SINGLE(INDEX($A$2:$O$2,,_xlfn.AGGREGATE(15,6,(COLUMN($C$2:$O$2))/(INDEX($C$3:$O$26,MATCH($B31,$A$3:$A$26,0),)&lt;&gt;"N/A"),COLUMN(I31)-COLUMN($B31)))),"")</f>
        <v/>
      </c>
      <c r="J31" s="2" t="str" cm="1">
        <f t="array" ref="J31">IFERROR(_xlfn.SINGLE(INDEX($A$2:$O$2,,_xlfn.AGGREGATE(15,6,(COLUMN($C$2:$O$2))/(INDEX($C$3:$O$26,MATCH($B31,$A$3:$A$26,0),)&lt;&gt;"N/A"),COLUMN(J31)-COLUMN($B31)))),"")</f>
        <v/>
      </c>
      <c r="K31" s="2" t="str" cm="1">
        <f t="array" ref="K31">IFERROR(_xlfn.SINGLE(INDEX($A$2:$O$2,,_xlfn.AGGREGATE(15,6,(COLUMN($C$2:$O$2))/(INDEX($C$3:$O$26,MATCH($B31,$A$3:$A$26,0),)&lt;&gt;"N/A"),COLUMN(K31)-COLUMN($B31)))),"")</f>
        <v/>
      </c>
      <c r="L31" s="2" t="str" cm="1">
        <f t="array" ref="L31">IFERROR(_xlfn.SINGLE(INDEX($A$2:$O$2,,_xlfn.AGGREGATE(15,6,(COLUMN($C$2:$O$2))/(INDEX($C$3:$O$26,MATCH($B31,$A$3:$A$26,0),)&lt;&gt;"N/A"),COLUMN(L31)-COLUMN($B31)))),"")</f>
        <v/>
      </c>
      <c r="M31" s="2" t="str" cm="1">
        <f t="array" ref="M31">IFERROR(_xlfn.SINGLE(INDEX($A$2:$O$2,,_xlfn.AGGREGATE(15,6,(COLUMN($C$2:$O$2))/(INDEX($C$3:$O$26,MATCH($B31,$A$3:$A$26,0),)&lt;&gt;"N/A"),COLUMN(M31)-COLUMN($B31)))),"")</f>
        <v/>
      </c>
      <c r="N31" s="2" t="str" cm="1">
        <f t="array" ref="N31">IFERROR(_xlfn.SINGLE(INDEX($A$2:$O$2,,_xlfn.AGGREGATE(15,6,(COLUMN($C$2:$O$2))/(INDEX($C$3:$O$26,MATCH($B31,$A$3:$A$26,0),)&lt;&gt;"N/A"),COLUMN(N31)-COLUMN($B31)))),"")</f>
        <v/>
      </c>
      <c r="O31" s="2" t="str" cm="1">
        <f t="array" ref="O31">IFERROR(_xlfn.SINGLE(INDEX($A$2:$O$2,,_xlfn.AGGREGATE(15,6,(COLUMN($C$2:$O$2))/(INDEX($C$3:$O$26,MATCH($B31,$A$3:$A$26,0),)&lt;&gt;"N/A"),COLUMN(O31)-COLUMN($B31)))),"")</f>
        <v/>
      </c>
    </row>
    <row r="32" spans="1:15" x14ac:dyDescent="0.25">
      <c r="A32" s="1">
        <v>3</v>
      </c>
      <c r="B32" s="2" t="str">
        <f>+orifice_calc!D75</f>
        <v>1/2"</v>
      </c>
      <c r="C32" s="2" t="str" cm="1">
        <f t="array" ref="C32">IFERROR(_xlfn.SINGLE(INDEX($A$2:$O$2,,_xlfn.AGGREGATE(15,6,(COLUMN($C$2:$O$2))/(INDEX($C$3:$O$26,MATCH($B32,$A$3:$A$26,0),)&lt;&gt;"N/A"),COLUMN(C32)-COLUMN($B32)))),"")</f>
        <v>Std</v>
      </c>
      <c r="D32" s="2" t="str" cm="1">
        <f t="array" ref="D32">IFERROR(_xlfn.SINGLE(INDEX($A$2:$O$2,,_xlfn.AGGREGATE(15,6,(COLUMN($C$2:$O$2))/(INDEX($C$3:$O$26,MATCH($B32,$A$3:$A$26,0),)&lt;&gt;"N/A"),COLUMN(D32)-COLUMN($B32)))),"")</f>
        <v>XS</v>
      </c>
      <c r="E32" s="2" t="str" cm="1">
        <f t="array" ref="E32">IFERROR(_xlfn.SINGLE(INDEX($A$2:$O$2,,_xlfn.AGGREGATE(15,6,(COLUMN($C$2:$O$2))/(INDEX($C$3:$O$26,MATCH($B32,$A$3:$A$26,0),)&lt;&gt;"N/A"),COLUMN(E32)-COLUMN($B32)))),"")</f>
        <v>XXS</v>
      </c>
      <c r="F32" s="2" cm="1">
        <f t="array" ref="F32">IFERROR(_xlfn.SINGLE(INDEX($A$2:$O$2,,_xlfn.AGGREGATE(15,6,(COLUMN($C$2:$O$2))/(INDEX($C$3:$O$26,MATCH($B32,$A$3:$A$26,0),)&lt;&gt;"N/A"),COLUMN(F32)-COLUMN($B32)))),"")</f>
        <v>40</v>
      </c>
      <c r="G32" s="2" cm="1">
        <f t="array" ref="G32">IFERROR(_xlfn.SINGLE(INDEX($A$2:$O$2,,_xlfn.AGGREGATE(15,6,(COLUMN($C$2:$O$2))/(INDEX($C$3:$O$26,MATCH($B32,$A$3:$A$26,0),)&lt;&gt;"N/A"),COLUMN(G32)-COLUMN($B32)))),"")</f>
        <v>80</v>
      </c>
      <c r="H32" s="2" cm="1">
        <f t="array" ref="H32">IFERROR(_xlfn.SINGLE(INDEX($A$2:$O$2,,_xlfn.AGGREGATE(15,6,(COLUMN($C$2:$O$2))/(INDEX($C$3:$O$26,MATCH($B32,$A$3:$A$26,0),)&lt;&gt;"N/A"),COLUMN(H32)-COLUMN($B32)))),"")</f>
        <v>160</v>
      </c>
      <c r="I32" s="2" t="str" cm="1">
        <f t="array" ref="I32">IFERROR(_xlfn.SINGLE(INDEX($A$2:$O$2,,_xlfn.AGGREGATE(15,6,(COLUMN($C$2:$O$2))/(INDEX($C$3:$O$26,MATCH($B32,$A$3:$A$26,0),)&lt;&gt;"N/A"),COLUMN(I32)-COLUMN($B32)))),"")</f>
        <v/>
      </c>
      <c r="J32" s="2" t="str" cm="1">
        <f t="array" ref="J32">IFERROR(_xlfn.SINGLE(INDEX($A$2:$O$2,,_xlfn.AGGREGATE(15,6,(COLUMN($C$2:$O$2))/(INDEX($C$3:$O$26,MATCH($B32,$A$3:$A$26,0),)&lt;&gt;"N/A"),COLUMN(J32)-COLUMN($B32)))),"")</f>
        <v/>
      </c>
      <c r="K32" s="2" t="str" cm="1">
        <f t="array" ref="K32">IFERROR(_xlfn.SINGLE(INDEX($A$2:$O$2,,_xlfn.AGGREGATE(15,6,(COLUMN($C$2:$O$2))/(INDEX($C$3:$O$26,MATCH($B32,$A$3:$A$26,0),)&lt;&gt;"N/A"),COLUMN(K32)-COLUMN($B32)))),"")</f>
        <v/>
      </c>
      <c r="L32" s="2" t="str" cm="1">
        <f t="array" ref="L32">IFERROR(_xlfn.SINGLE(INDEX($A$2:$O$2,,_xlfn.AGGREGATE(15,6,(COLUMN($C$2:$O$2))/(INDEX($C$3:$O$26,MATCH($B32,$A$3:$A$26,0),)&lt;&gt;"N/A"),COLUMN(L32)-COLUMN($B32)))),"")</f>
        <v/>
      </c>
      <c r="M32" s="2" t="str" cm="1">
        <f t="array" ref="M32">IFERROR(_xlfn.SINGLE(INDEX($A$2:$O$2,,_xlfn.AGGREGATE(15,6,(COLUMN($C$2:$O$2))/(INDEX($C$3:$O$26,MATCH($B32,$A$3:$A$26,0),)&lt;&gt;"N/A"),COLUMN(M32)-COLUMN($B32)))),"")</f>
        <v/>
      </c>
      <c r="N32" s="2" t="str" cm="1">
        <f t="array" ref="N32">IFERROR(_xlfn.SINGLE(INDEX($A$2:$O$2,,_xlfn.AGGREGATE(15,6,(COLUMN($C$2:$O$2))/(INDEX($C$3:$O$26,MATCH($B32,$A$3:$A$26,0),)&lt;&gt;"N/A"),COLUMN(N32)-COLUMN($B32)))),"")</f>
        <v/>
      </c>
      <c r="O32" s="2" t="str" cm="1">
        <f t="array" ref="O32">IFERROR(_xlfn.SINGLE(INDEX($A$2:$O$2,,_xlfn.AGGREGATE(15,6,(COLUMN($C$2:$O$2))/(INDEX($C$3:$O$26,MATCH($B32,$A$3:$A$26,0),)&lt;&gt;"N/A"),COLUMN(O32)-COLUMN($B32)))),"")</f>
        <v/>
      </c>
    </row>
    <row r="33" spans="1:15" x14ac:dyDescent="0.25">
      <c r="A33" s="1">
        <v>4</v>
      </c>
      <c r="B33" s="2" t="str">
        <f>+orifice_calc!D103</f>
        <v>1/2"</v>
      </c>
      <c r="C33" s="2" t="str" cm="1">
        <f t="array" ref="C33">IFERROR(_xlfn.SINGLE(INDEX($A$2:$O$2,,_xlfn.AGGREGATE(15,6,(COLUMN($C$2:$O$2))/(INDEX($C$3:$O$26,MATCH($B33,$A$3:$A$26,0),)&lt;&gt;"N/A"),COLUMN(C33)-COLUMN($B33)))),"")</f>
        <v>Std</v>
      </c>
      <c r="D33" s="2" t="str" cm="1">
        <f t="array" ref="D33">IFERROR(_xlfn.SINGLE(INDEX($A$2:$O$2,,_xlfn.AGGREGATE(15,6,(COLUMN($C$2:$O$2))/(INDEX($C$3:$O$26,MATCH($B33,$A$3:$A$26,0),)&lt;&gt;"N/A"),COLUMN(D33)-COLUMN($B33)))),"")</f>
        <v>XS</v>
      </c>
      <c r="E33" s="2" t="str" cm="1">
        <f t="array" ref="E33">IFERROR(_xlfn.SINGLE(INDEX($A$2:$O$2,,_xlfn.AGGREGATE(15,6,(COLUMN($C$2:$O$2))/(INDEX($C$3:$O$26,MATCH($B33,$A$3:$A$26,0),)&lt;&gt;"N/A"),COLUMN(E33)-COLUMN($B33)))),"")</f>
        <v>XXS</v>
      </c>
      <c r="F33" s="2" cm="1">
        <f t="array" ref="F33">IFERROR(_xlfn.SINGLE(INDEX($A$2:$O$2,,_xlfn.AGGREGATE(15,6,(COLUMN($C$2:$O$2))/(INDEX($C$3:$O$26,MATCH($B33,$A$3:$A$26,0),)&lt;&gt;"N/A"),COLUMN(F33)-COLUMN($B33)))),"")</f>
        <v>40</v>
      </c>
      <c r="G33" s="2" cm="1">
        <f t="array" ref="G33">IFERROR(_xlfn.SINGLE(INDEX($A$2:$O$2,,_xlfn.AGGREGATE(15,6,(COLUMN($C$2:$O$2))/(INDEX($C$3:$O$26,MATCH($B33,$A$3:$A$26,0),)&lt;&gt;"N/A"),COLUMN(G33)-COLUMN($B33)))),"")</f>
        <v>80</v>
      </c>
      <c r="H33" s="2" cm="1">
        <f t="array" ref="H33">IFERROR(_xlfn.SINGLE(INDEX($A$2:$O$2,,_xlfn.AGGREGATE(15,6,(COLUMN($C$2:$O$2))/(INDEX($C$3:$O$26,MATCH($B33,$A$3:$A$26,0),)&lt;&gt;"N/A"),COLUMN(H33)-COLUMN($B33)))),"")</f>
        <v>160</v>
      </c>
      <c r="I33" s="2" t="str" cm="1">
        <f t="array" ref="I33">IFERROR(_xlfn.SINGLE(INDEX($A$2:$O$2,,_xlfn.AGGREGATE(15,6,(COLUMN($C$2:$O$2))/(INDEX($C$3:$O$26,MATCH($B33,$A$3:$A$26,0),)&lt;&gt;"N/A"),COLUMN(I33)-COLUMN($B33)))),"")</f>
        <v/>
      </c>
      <c r="J33" s="2" t="str" cm="1">
        <f t="array" ref="J33">IFERROR(_xlfn.SINGLE(INDEX($A$2:$O$2,,_xlfn.AGGREGATE(15,6,(COLUMN($C$2:$O$2))/(INDEX($C$3:$O$26,MATCH($B33,$A$3:$A$26,0),)&lt;&gt;"N/A"),COLUMN(J33)-COLUMN($B33)))),"")</f>
        <v/>
      </c>
      <c r="K33" s="2" t="str" cm="1">
        <f t="array" ref="K33">IFERROR(_xlfn.SINGLE(INDEX($A$2:$O$2,,_xlfn.AGGREGATE(15,6,(COLUMN($C$2:$O$2))/(INDEX($C$3:$O$26,MATCH($B33,$A$3:$A$26,0),)&lt;&gt;"N/A"),COLUMN(K33)-COLUMN($B33)))),"")</f>
        <v/>
      </c>
      <c r="L33" s="2" t="str" cm="1">
        <f t="array" ref="L33">IFERROR(_xlfn.SINGLE(INDEX($A$2:$O$2,,_xlfn.AGGREGATE(15,6,(COLUMN($C$2:$O$2))/(INDEX($C$3:$O$26,MATCH($B33,$A$3:$A$26,0),)&lt;&gt;"N/A"),COLUMN(L33)-COLUMN($B33)))),"")</f>
        <v/>
      </c>
      <c r="M33" s="2" t="str" cm="1">
        <f t="array" ref="M33">IFERROR(_xlfn.SINGLE(INDEX($A$2:$O$2,,_xlfn.AGGREGATE(15,6,(COLUMN($C$2:$O$2))/(INDEX($C$3:$O$26,MATCH($B33,$A$3:$A$26,0),)&lt;&gt;"N/A"),COLUMN(M33)-COLUMN($B33)))),"")</f>
        <v/>
      </c>
      <c r="N33" s="2" t="str" cm="1">
        <f t="array" ref="N33">IFERROR(_xlfn.SINGLE(INDEX($A$2:$O$2,,_xlfn.AGGREGATE(15,6,(COLUMN($C$2:$O$2))/(INDEX($C$3:$O$26,MATCH($B33,$A$3:$A$26,0),)&lt;&gt;"N/A"),COLUMN(N33)-COLUMN($B33)))),"")</f>
        <v/>
      </c>
      <c r="O33" s="2" t="str" cm="1">
        <f t="array" ref="O33">IFERROR(_xlfn.SINGLE(INDEX($A$2:$O$2,,_xlfn.AGGREGATE(15,6,(COLUMN($C$2:$O$2))/(INDEX($C$3:$O$26,MATCH($B33,$A$3:$A$26,0),)&lt;&gt;"N/A"),COLUMN(O33)-COLUMN($B33)))),"")</f>
        <v/>
      </c>
    </row>
    <row r="34" spans="1:15" x14ac:dyDescent="0.25">
      <c r="A34" s="1">
        <v>5</v>
      </c>
      <c r="B34" s="2" t="str">
        <f>+orifice_calc!D131</f>
        <v>1"</v>
      </c>
      <c r="C34" s="2" t="str" cm="1">
        <f t="array" ref="C34">IFERROR(_xlfn.SINGLE(INDEX($A$2:$O$2,,_xlfn.AGGREGATE(15,6,(COLUMN($C$2:$O$2))/(INDEX($C$3:$O$26,MATCH($B34,$A$3:$A$26,0),)&lt;&gt;"N/A"),COLUMN(C34)-COLUMN($B34)))),"")</f>
        <v>Std</v>
      </c>
      <c r="D34" s="2" t="str" cm="1">
        <f t="array" ref="D34">IFERROR(_xlfn.SINGLE(INDEX($A$2:$O$2,,_xlfn.AGGREGATE(15,6,(COLUMN($C$2:$O$2))/(INDEX($C$3:$O$26,MATCH($B34,$A$3:$A$26,0),)&lt;&gt;"N/A"),COLUMN(D34)-COLUMN($B34)))),"")</f>
        <v>XS</v>
      </c>
      <c r="E34" s="2" t="str" cm="1">
        <f t="array" ref="E34">IFERROR(_xlfn.SINGLE(INDEX($A$2:$O$2,,_xlfn.AGGREGATE(15,6,(COLUMN($C$2:$O$2))/(INDEX($C$3:$O$26,MATCH($B34,$A$3:$A$26,0),)&lt;&gt;"N/A"),COLUMN(E34)-COLUMN($B34)))),"")</f>
        <v>XXS</v>
      </c>
      <c r="F34" s="2" cm="1">
        <f t="array" ref="F34">IFERROR(_xlfn.SINGLE(INDEX($A$2:$O$2,,_xlfn.AGGREGATE(15,6,(COLUMN($C$2:$O$2))/(INDEX($C$3:$O$26,MATCH($B34,$A$3:$A$26,0),)&lt;&gt;"N/A"),COLUMN(F34)-COLUMN($B34)))),"")</f>
        <v>40</v>
      </c>
      <c r="G34" s="2" cm="1">
        <f t="array" ref="G34">IFERROR(_xlfn.SINGLE(INDEX($A$2:$O$2,,_xlfn.AGGREGATE(15,6,(COLUMN($C$2:$O$2))/(INDEX($C$3:$O$26,MATCH($B34,$A$3:$A$26,0),)&lt;&gt;"N/A"),COLUMN(G34)-COLUMN($B34)))),"")</f>
        <v>80</v>
      </c>
      <c r="H34" s="2" cm="1">
        <f t="array" ref="H34">IFERROR(_xlfn.SINGLE(INDEX($A$2:$O$2,,_xlfn.AGGREGATE(15,6,(COLUMN($C$2:$O$2))/(INDEX($C$3:$O$26,MATCH($B34,$A$3:$A$26,0),)&lt;&gt;"N/A"),COLUMN(H34)-COLUMN($B34)))),"")</f>
        <v>160</v>
      </c>
      <c r="I34" s="2" t="str" cm="1">
        <f t="array" ref="I34">IFERROR(_xlfn.SINGLE(INDEX($A$2:$O$2,,_xlfn.AGGREGATE(15,6,(COLUMN($C$2:$O$2))/(INDEX($C$3:$O$26,MATCH($B34,$A$3:$A$26,0),)&lt;&gt;"N/A"),COLUMN(I34)-COLUMN($B34)))),"")</f>
        <v/>
      </c>
      <c r="J34" s="2" t="str" cm="1">
        <f t="array" ref="J34">IFERROR(_xlfn.SINGLE(INDEX($A$2:$O$2,,_xlfn.AGGREGATE(15,6,(COLUMN($C$2:$O$2))/(INDEX($C$3:$O$26,MATCH($B34,$A$3:$A$26,0),)&lt;&gt;"N/A"),COLUMN(J34)-COLUMN($B34)))),"")</f>
        <v/>
      </c>
      <c r="K34" s="2" t="str" cm="1">
        <f t="array" ref="K34">IFERROR(_xlfn.SINGLE(INDEX($A$2:$O$2,,_xlfn.AGGREGATE(15,6,(COLUMN($C$2:$O$2))/(INDEX($C$3:$O$26,MATCH($B34,$A$3:$A$26,0),)&lt;&gt;"N/A"),COLUMN(K34)-COLUMN($B34)))),"")</f>
        <v/>
      </c>
      <c r="L34" s="2" t="str" cm="1">
        <f t="array" ref="L34">IFERROR(_xlfn.SINGLE(INDEX($A$2:$O$2,,_xlfn.AGGREGATE(15,6,(COLUMN($C$2:$O$2))/(INDEX($C$3:$O$26,MATCH($B34,$A$3:$A$26,0),)&lt;&gt;"N/A"),COLUMN(L34)-COLUMN($B34)))),"")</f>
        <v/>
      </c>
      <c r="M34" s="2" t="str" cm="1">
        <f t="array" ref="M34">IFERROR(_xlfn.SINGLE(INDEX($A$2:$O$2,,_xlfn.AGGREGATE(15,6,(COLUMN($C$2:$O$2))/(INDEX($C$3:$O$26,MATCH($B34,$A$3:$A$26,0),)&lt;&gt;"N/A"),COLUMN(M34)-COLUMN($B34)))),"")</f>
        <v/>
      </c>
      <c r="N34" s="2" t="str" cm="1">
        <f t="array" ref="N34">IFERROR(_xlfn.SINGLE(INDEX($A$2:$O$2,,_xlfn.AGGREGATE(15,6,(COLUMN($C$2:$O$2))/(INDEX($C$3:$O$26,MATCH($B34,$A$3:$A$26,0),)&lt;&gt;"N/A"),COLUMN(N34)-COLUMN($B34)))),"")</f>
        <v/>
      </c>
      <c r="O34" s="2" t="str" cm="1">
        <f t="array" ref="O34">IFERROR(_xlfn.SINGLE(INDEX($A$2:$O$2,,_xlfn.AGGREGATE(15,6,(COLUMN($C$2:$O$2))/(INDEX($C$3:$O$26,MATCH($B34,$A$3:$A$26,0),)&lt;&gt;"N/A"),COLUMN(O34)-COLUMN($B34)))),"")</f>
        <v/>
      </c>
    </row>
    <row r="35" spans="1:15" x14ac:dyDescent="0.25">
      <c r="A35" s="1">
        <v>6</v>
      </c>
      <c r="B35" s="2" t="str">
        <f>+orifice_calc!D154</f>
        <v>3/4"</v>
      </c>
      <c r="C35" s="2" t="str" cm="1">
        <f t="array" ref="C35">IFERROR(_xlfn.SINGLE(INDEX($A$2:$O$2,,_xlfn.AGGREGATE(15,6,(COLUMN($C$2:$O$2))/(INDEX($C$3:$O$26,MATCH($B35,$A$3:$A$26,0),)&lt;&gt;"N/A"),COLUMN(C35)-COLUMN($B35)))),"")</f>
        <v>Std</v>
      </c>
      <c r="D35" s="2" t="str" cm="1">
        <f t="array" ref="D35">IFERROR(_xlfn.SINGLE(INDEX($A$2:$O$2,,_xlfn.AGGREGATE(15,6,(COLUMN($C$2:$O$2))/(INDEX($C$3:$O$26,MATCH($B35,$A$3:$A$26,0),)&lt;&gt;"N/A"),COLUMN(D35)-COLUMN($B35)))),"")</f>
        <v>XS</v>
      </c>
      <c r="E35" s="2" t="str" cm="1">
        <f t="array" ref="E35">IFERROR(_xlfn.SINGLE(INDEX($A$2:$O$2,,_xlfn.AGGREGATE(15,6,(COLUMN($C$2:$O$2))/(INDEX($C$3:$O$26,MATCH($B35,$A$3:$A$26,0),)&lt;&gt;"N/A"),COLUMN(E35)-COLUMN($B35)))),"")</f>
        <v>XXS</v>
      </c>
      <c r="F35" s="2" cm="1">
        <f t="array" ref="F35">IFERROR(_xlfn.SINGLE(INDEX($A$2:$O$2,,_xlfn.AGGREGATE(15,6,(COLUMN($C$2:$O$2))/(INDEX($C$3:$O$26,MATCH($B35,$A$3:$A$26,0),)&lt;&gt;"N/A"),COLUMN(F35)-COLUMN($B35)))),"")</f>
        <v>40</v>
      </c>
      <c r="G35" s="2" cm="1">
        <f t="array" ref="G35">IFERROR(_xlfn.SINGLE(INDEX($A$2:$O$2,,_xlfn.AGGREGATE(15,6,(COLUMN($C$2:$O$2))/(INDEX($C$3:$O$26,MATCH($B35,$A$3:$A$26,0),)&lt;&gt;"N/A"),COLUMN(G35)-COLUMN($B35)))),"")</f>
        <v>80</v>
      </c>
      <c r="H35" s="2" cm="1">
        <f t="array" ref="H35">IFERROR(_xlfn.SINGLE(INDEX($A$2:$O$2,,_xlfn.AGGREGATE(15,6,(COLUMN($C$2:$O$2))/(INDEX($C$3:$O$26,MATCH($B35,$A$3:$A$26,0),)&lt;&gt;"N/A"),COLUMN(H35)-COLUMN($B35)))),"")</f>
        <v>160</v>
      </c>
      <c r="I35" s="2" t="str" cm="1">
        <f t="array" ref="I35">IFERROR(_xlfn.SINGLE(INDEX($A$2:$O$2,,_xlfn.AGGREGATE(15,6,(COLUMN($C$2:$O$2))/(INDEX($C$3:$O$26,MATCH($B35,$A$3:$A$26,0),)&lt;&gt;"N/A"),COLUMN(I35)-COLUMN($B35)))),"")</f>
        <v/>
      </c>
      <c r="J35" s="2" t="str" cm="1">
        <f t="array" ref="J35">IFERROR(_xlfn.SINGLE(INDEX($A$2:$O$2,,_xlfn.AGGREGATE(15,6,(COLUMN($C$2:$O$2))/(INDEX($C$3:$O$26,MATCH($B35,$A$3:$A$26,0),)&lt;&gt;"N/A"),COLUMN(J35)-COLUMN($B35)))),"")</f>
        <v/>
      </c>
      <c r="K35" s="2" t="str" cm="1">
        <f t="array" ref="K35">IFERROR(_xlfn.SINGLE(INDEX($A$2:$O$2,,_xlfn.AGGREGATE(15,6,(COLUMN($C$2:$O$2))/(INDEX($C$3:$O$26,MATCH($B35,$A$3:$A$26,0),)&lt;&gt;"N/A"),COLUMN(K35)-COLUMN($B35)))),"")</f>
        <v/>
      </c>
      <c r="L35" s="2" t="str" cm="1">
        <f t="array" ref="L35">IFERROR(_xlfn.SINGLE(INDEX($A$2:$O$2,,_xlfn.AGGREGATE(15,6,(COLUMN($C$2:$O$2))/(INDEX($C$3:$O$26,MATCH($B35,$A$3:$A$26,0),)&lt;&gt;"N/A"),COLUMN(L35)-COLUMN($B35)))),"")</f>
        <v/>
      </c>
      <c r="M35" s="2" t="str" cm="1">
        <f t="array" ref="M35">IFERROR(_xlfn.SINGLE(INDEX($A$2:$O$2,,_xlfn.AGGREGATE(15,6,(COLUMN($C$2:$O$2))/(INDEX($C$3:$O$26,MATCH($B35,$A$3:$A$26,0),)&lt;&gt;"N/A"),COLUMN(M35)-COLUMN($B35)))),"")</f>
        <v/>
      </c>
      <c r="N35" s="2" t="str" cm="1">
        <f t="array" ref="N35">IFERROR(_xlfn.SINGLE(INDEX($A$2:$O$2,,_xlfn.AGGREGATE(15,6,(COLUMN($C$2:$O$2))/(INDEX($C$3:$O$26,MATCH($B35,$A$3:$A$26,0),)&lt;&gt;"N/A"),COLUMN(N35)-COLUMN($B35)))),"")</f>
        <v/>
      </c>
      <c r="O35" s="2" t="str" cm="1">
        <f t="array" ref="O35">IFERROR(_xlfn.SINGLE(INDEX($A$2:$O$2,,_xlfn.AGGREGATE(15,6,(COLUMN($C$2:$O$2))/(INDEX($C$3:$O$26,MATCH($B35,$A$3:$A$26,0),)&lt;&gt;"N/A"),COLUMN(O35)-COLUMN($B35)))),"")</f>
        <v/>
      </c>
    </row>
  </sheetData>
  <mergeCells count="1">
    <mergeCell ref="B1:O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FF5BB9810E8454BA2B38D00B6D18848" ma:contentTypeVersion="3" ma:contentTypeDescription="Creare un nuovo documento." ma:contentTypeScope="" ma:versionID="85968c8a5930af966cb491cc87274750">
  <xsd:schema xmlns:xsd="http://www.w3.org/2001/XMLSchema" xmlns:xs="http://www.w3.org/2001/XMLSchema" xmlns:p="http://schemas.microsoft.com/office/2006/metadata/properties" xmlns:ns2="427a1db5-2437-44f3-a84b-464aead4a71a" targetNamespace="http://schemas.microsoft.com/office/2006/metadata/properties" ma:root="true" ma:fieldsID="d822db9e2d05bc620d08fbffa4bfffa8" ns2:_="">
    <xsd:import namespace="427a1db5-2437-44f3-a84b-464aead4a7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7a1db5-2437-44f3-a84b-464aead4a7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86DDBA-131B-4A8A-BB24-0835B016AF1F}"/>
</file>

<file path=customXml/itemProps2.xml><?xml version="1.0" encoding="utf-8"?>
<ds:datastoreItem xmlns:ds="http://schemas.openxmlformats.org/officeDocument/2006/customXml" ds:itemID="{EB83ADCD-D649-47F4-A7CD-75FFD709A992}">
  <ds:schemaRefs>
    <ds:schemaRef ds:uri="http://schemas.microsoft.com/office/2006/metadata/properties"/>
    <ds:schemaRef ds:uri="http://schemas.microsoft.com/office/infopath/2007/PartnerControls"/>
    <ds:schemaRef ds:uri="2710bc8b-17c9-4e36-a567-5a8748d28b44"/>
    <ds:schemaRef ds:uri="f16ae08e-32aa-43c4-955b-813e13c9303e"/>
  </ds:schemaRefs>
</ds:datastoreItem>
</file>

<file path=customXml/itemProps3.xml><?xml version="1.0" encoding="utf-8"?>
<ds:datastoreItem xmlns:ds="http://schemas.openxmlformats.org/officeDocument/2006/customXml" ds:itemID="{45B7A25C-F685-4EC5-8A8A-679A353A4CA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vt:lpstr>
      <vt:lpstr>orifice_calc</vt:lpstr>
      <vt:lpstr>oil_prop</vt:lpstr>
      <vt:lpstr>piping_dimension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Mattia Di Somma</dc:creator>
  <cp:lastModifiedBy>Massimiliano Borghetti</cp:lastModifiedBy>
  <dcterms:created xsi:type="dcterms:W3CDTF">2023-10-23T10:26:57Z</dcterms:created>
  <dcterms:modified xsi:type="dcterms:W3CDTF">2024-02-27T14:11:09Z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0x0101003FF5BB9810E8454BA2B38D00B6D18848</vt:lpwstr>
  </property>
</Properties>
</file>