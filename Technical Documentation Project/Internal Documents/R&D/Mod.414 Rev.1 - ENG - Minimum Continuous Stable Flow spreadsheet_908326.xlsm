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3.xml" ContentType="application/vnd.openxmlformats-officedocument.drawing+xml"/>
  <Override PartName="/xl/ctrlProps/ctrlProp2.xml" ContentType="application/vnd.ms-excel.controlproperties+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drawings/drawing5.xml" ContentType="application/vnd.openxmlformats-officedocument.drawing+xml"/>
  <Override PartName="/xl/charts/chart4.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372AB895-14C1-FC20-EB20-F1B4BCFD95AE}"/>
  <workbookPr updateLinks="never" codeName="ThisWorkbook" defaultThemeVersion="124226"/>
  <mc:AlternateContent xmlns:mc="http://schemas.openxmlformats.org/markup-compatibility/2006">
    <mc:Choice Requires="x15">
      <x15ac:absPath xmlns:x15ac="http://schemas.microsoft.com/office/spreadsheetml/2010/11/ac" url="C:\Users\110453\Downloads\"/>
    </mc:Choice>
  </mc:AlternateContent>
  <xr:revisionPtr revIDLastSave="0" documentId="13_ncr:1_{4CC91BDC-2BC7-4B2D-A3AC-36C86CF685A0}" xr6:coauthVersionLast="47" xr6:coauthVersionMax="47" xr10:uidLastSave="{00000000-0000-0000-0000-000000000000}"/>
  <bookViews>
    <workbookView xWindow="-120" yWindow="-120" windowWidth="19440" windowHeight="15000" xr2:uid="{00000000-000D-0000-FFFF-FFFF00000000}"/>
  </bookViews>
  <sheets>
    <sheet name="Cover" sheetId="7" r:id="rId1"/>
    <sheet name="Input_Output_US_units" sheetId="4" r:id="rId2"/>
    <sheet name="Input_Output_SI_units" sheetId="5" r:id="rId3"/>
    <sheet name="Supporting data_US_units" sheetId="1" r:id="rId4"/>
    <sheet name="Supporting data_SI_units" sheetId="6" r:id="rId5"/>
  </sheets>
  <functionGroups builtInGroupCount="19"/>
  <externalReferences>
    <externalReference r:id="rId6"/>
    <externalReference r:id="rId7"/>
    <externalReference r:id="rId8"/>
    <externalReference r:id="rId9"/>
    <externalReference r:id="rId10"/>
  </externalReferences>
  <definedNames>
    <definedName name="_bga2">#REF!</definedName>
    <definedName name="a">#REF!</definedName>
    <definedName name="Ac">#REF!</definedName>
    <definedName name="adsv">#REF!</definedName>
    <definedName name="_xlnm.Print_Area" localSheetId="0">Cover!$A$1:$AD$48</definedName>
    <definedName name="_xlnm.Print_Area" localSheetId="2">Input_Output_SI_units!$A$1:$H$34</definedName>
    <definedName name="_xlnm.Print_Area" localSheetId="1">Input_Output_US_units!$A$1:$H$34</definedName>
    <definedName name="asdfg">[1]DAF!$F$17:$F$20</definedName>
    <definedName name="bga">#REF!</definedName>
    <definedName name="bp">#REF!</definedName>
    <definedName name="CK">#REF!</definedName>
    <definedName name="d">#REF!</definedName>
    <definedName name="das">#REF!</definedName>
    <definedName name="ddd">'[2]From RPI'!$AB$90</definedName>
    <definedName name="Doc_type">#REF!</definedName>
    <definedName name="DOCID">[3]listes!$C$2:$C$150</definedName>
    <definedName name="dpt_code">#REF!</definedName>
    <definedName name="EQPT_LIST_UNIT_31">#REF!</definedName>
    <definedName name="FACTORS">#REF!</definedName>
    <definedName name="fm">#REF!</definedName>
    <definedName name="Impeller_Eye_Area" localSheetId="2">Input_Output_SI_units!#REF!</definedName>
    <definedName name="Impeller_Eye_Area" localSheetId="1">Input_Output_US_units!#REF!</definedName>
    <definedName name="Impeller_Eye_Area">#REF!</definedName>
    <definedName name="Impeller_Eye_Diameter" localSheetId="2">Input_Output_SI_units!#REF!</definedName>
    <definedName name="Impeller_Eye_Diameter" localSheetId="1">Input_Output_US_units!#REF!</definedName>
    <definedName name="Impeller_Eye_Diameter">#REF!</definedName>
    <definedName name="Impeller_Hub_Diameter" localSheetId="2">Input_Output_SI_units!#REF!</definedName>
    <definedName name="Impeller_Hub_Diameter" localSheetId="1">Input_Output_US_units!#REF!</definedName>
    <definedName name="Impeller_Hub_Diameter">#REF!</definedName>
    <definedName name="Impeller_Inlet_Diameter" localSheetId="2">Input_Output_SI_units!#REF!</definedName>
    <definedName name="Impeller_Inlet_Diameter" localSheetId="1">Input_Output_US_units!#REF!</definedName>
    <definedName name="Impeller_Inlet_Diameter">#REF!</definedName>
    <definedName name="INT_DIAM">#REF!</definedName>
    <definedName name="kl">#REF!</definedName>
    <definedName name="KR">#REF!</definedName>
    <definedName name="Language">#REF!</definedName>
    <definedName name="Larghezza">#REF!</definedName>
    <definedName name="LENGHTS">#REF!</definedName>
    <definedName name="LINE_LIST_UNIT_31">#REF!</definedName>
    <definedName name="Number">#REF!</definedName>
    <definedName name="pipesize">#REF!</definedName>
    <definedName name="Portata">#REF!</definedName>
    <definedName name="portatacalcolo">'[4]Basi di progetto'!$D$16</definedName>
    <definedName name="portataminima">'[4]Basi di progetto'!$D$10</definedName>
    <definedName name="portatanera">'[4]Basi di progetto'!$D$14</definedName>
    <definedName name="portcalcolo">#REF!</definedName>
    <definedName name="portnera">#REF!</definedName>
    <definedName name="Print_Area_MI">#REF!</definedName>
    <definedName name="prtpioggia">'[4]Basi di progetto'!$D$12</definedName>
    <definedName name="pump">#REF!</definedName>
    <definedName name="PUMPCALC">'[5]PUMP CALCULATION'!$J$4</definedName>
    <definedName name="PUMPDATA">'[5]PUMP CALCULATION'!$J$12</definedName>
    <definedName name="q">#REF!</definedName>
    <definedName name="references">#REF!</definedName>
    <definedName name="rev">#REF!</definedName>
    <definedName name="RevTable">#REF!</definedName>
    <definedName name="Rgas">#REF!</definedName>
    <definedName name="rhokl">#REF!</definedName>
    <definedName name="ROUGHNESS">#REF!</definedName>
    <definedName name="s">'[2]From RPI'!$AB$88</definedName>
    <definedName name="solub">#REF!</definedName>
    <definedName name="Suction_Diameter" localSheetId="2">Input_Output_SI_units!$J$11</definedName>
    <definedName name="Suction_Diameter" localSheetId="1">Input_Output_US_units!$E$11</definedName>
    <definedName name="Suction_Diameter">#REF!</definedName>
    <definedName name="Sup">#REF!</definedName>
    <definedName name="title">#REF!</definedName>
    <definedName name="uh">#REF!</definedName>
    <definedName name="UNIT">[3]listes!$D$2:$D$150</definedName>
    <definedName name="Unit_number">#REF!</definedName>
    <definedName name="units">#REF!</definedName>
    <definedName name="velocita_di_progetto">#REF!</definedName>
    <definedName name="velocità_di_progetto">#REF!</definedName>
    <definedName name="velocitamassima">#REF!</definedName>
    <definedName name="velocitaminima">#REF!</definedName>
    <definedName name="VH">#REF!</definedName>
    <definedName name="vt">#REF!</definedName>
    <definedName name="WC">[3]listes!$A$2:$A$25</definedName>
    <definedName name="work_center">#REF!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5" i="5" l="1"/>
  <c r="A4" i="5"/>
  <c r="E29" i="6" l="1"/>
  <c r="E30" i="6"/>
  <c r="E31" i="6"/>
  <c r="E32" i="6"/>
  <c r="E33" i="6"/>
  <c r="E34" i="6"/>
  <c r="E35" i="6"/>
  <c r="E36" i="6"/>
  <c r="E37" i="6"/>
  <c r="E38" i="6"/>
  <c r="E39" i="6"/>
  <c r="E40" i="6"/>
  <c r="E41" i="6"/>
  <c r="E42" i="6"/>
  <c r="E28" i="6"/>
  <c r="S7" i="6"/>
  <c r="S8" i="6"/>
  <c r="S9" i="6"/>
  <c r="S10" i="6"/>
  <c r="S11" i="6"/>
  <c r="S12" i="6"/>
  <c r="S13" i="6"/>
  <c r="S14" i="6"/>
  <c r="S15" i="6"/>
  <c r="S16" i="6"/>
  <c r="S17" i="6"/>
  <c r="S18" i="6"/>
  <c r="S19" i="6"/>
  <c r="S20" i="6"/>
  <c r="S21" i="6"/>
  <c r="S22" i="6"/>
  <c r="S23" i="6"/>
  <c r="S24" i="6"/>
  <c r="S25" i="6"/>
  <c r="S6" i="6"/>
  <c r="B7" i="6"/>
  <c r="G48" i="6" s="1"/>
  <c r="E26" i="5" s="1"/>
  <c r="D59" i="6"/>
  <c r="D58" i="6"/>
  <c r="D57" i="6"/>
  <c r="D56" i="6"/>
  <c r="D55" i="6"/>
  <c r="D54" i="6"/>
  <c r="D53" i="6"/>
  <c r="D52" i="6"/>
  <c r="D37" i="6"/>
  <c r="G25" i="6"/>
  <c r="L25" i="6" s="1"/>
  <c r="R25" i="6" s="1"/>
  <c r="L24" i="6"/>
  <c r="R24" i="6" s="1"/>
  <c r="J24" i="6"/>
  <c r="P24" i="6" s="1"/>
  <c r="I24" i="6"/>
  <c r="O24" i="6" s="1"/>
  <c r="G24" i="6"/>
  <c r="K24" i="6" s="1"/>
  <c r="Q24" i="6" s="1"/>
  <c r="R23" i="6"/>
  <c r="L23" i="6"/>
  <c r="K23" i="6"/>
  <c r="Q23" i="6" s="1"/>
  <c r="J23" i="6"/>
  <c r="P23" i="6" s="1"/>
  <c r="I23" i="6"/>
  <c r="O23" i="6" s="1"/>
  <c r="H23" i="6"/>
  <c r="N23" i="6" s="1"/>
  <c r="G23" i="6"/>
  <c r="G22" i="6"/>
  <c r="L22" i="6" s="1"/>
  <c r="R22" i="6" s="1"/>
  <c r="I21" i="6"/>
  <c r="O21" i="6" s="1"/>
  <c r="G21" i="6"/>
  <c r="L21" i="6" s="1"/>
  <c r="R21" i="6" s="1"/>
  <c r="O20" i="6"/>
  <c r="I20" i="6"/>
  <c r="H20" i="6"/>
  <c r="N20" i="6" s="1"/>
  <c r="G20" i="6"/>
  <c r="L20" i="6" s="1"/>
  <c r="R20" i="6" s="1"/>
  <c r="G19" i="6"/>
  <c r="K19" i="6" s="1"/>
  <c r="Q19" i="6" s="1"/>
  <c r="L18" i="6"/>
  <c r="R18" i="6" s="1"/>
  <c r="G18" i="6"/>
  <c r="J18" i="6" s="1"/>
  <c r="P18" i="6" s="1"/>
  <c r="R17" i="6"/>
  <c r="L17" i="6"/>
  <c r="K17" i="6"/>
  <c r="Q17" i="6" s="1"/>
  <c r="H17" i="6"/>
  <c r="N17" i="6" s="1"/>
  <c r="G17" i="6"/>
  <c r="I17" i="6" s="1"/>
  <c r="O17" i="6" s="1"/>
  <c r="J16" i="6"/>
  <c r="P16" i="6" s="1"/>
  <c r="G16" i="6"/>
  <c r="H16" i="6" s="1"/>
  <c r="N16" i="6" s="1"/>
  <c r="Q15" i="6"/>
  <c r="P15" i="6"/>
  <c r="N15" i="6"/>
  <c r="L15" i="6"/>
  <c r="R15" i="6" s="1"/>
  <c r="K15" i="6"/>
  <c r="J15" i="6"/>
  <c r="I15" i="6"/>
  <c r="O15" i="6" s="1"/>
  <c r="H15" i="6"/>
  <c r="G15" i="6"/>
  <c r="O14" i="6"/>
  <c r="L14" i="6"/>
  <c r="R14" i="6" s="1"/>
  <c r="K14" i="6"/>
  <c r="Q14" i="6" s="1"/>
  <c r="I14" i="6"/>
  <c r="H14" i="6"/>
  <c r="N14" i="6" s="1"/>
  <c r="G14" i="6"/>
  <c r="J14" i="6" s="1"/>
  <c r="P14" i="6" s="1"/>
  <c r="G13" i="6"/>
  <c r="L13" i="6" s="1"/>
  <c r="R13" i="6" s="1"/>
  <c r="L12" i="6"/>
  <c r="R12" i="6" s="1"/>
  <c r="J12" i="6"/>
  <c r="P12" i="6" s="1"/>
  <c r="I12" i="6"/>
  <c r="O12" i="6" s="1"/>
  <c r="G12" i="6"/>
  <c r="K12" i="6" s="1"/>
  <c r="Q12" i="6" s="1"/>
  <c r="R11" i="6"/>
  <c r="L11" i="6"/>
  <c r="K11" i="6"/>
  <c r="Q11" i="6" s="1"/>
  <c r="J11" i="6"/>
  <c r="P11" i="6" s="1"/>
  <c r="I11" i="6"/>
  <c r="O11" i="6" s="1"/>
  <c r="H11" i="6"/>
  <c r="N11" i="6" s="1"/>
  <c r="G11" i="6"/>
  <c r="G10" i="6"/>
  <c r="L10" i="6" s="1"/>
  <c r="R10" i="6" s="1"/>
  <c r="G9" i="6"/>
  <c r="K9" i="6" s="1"/>
  <c r="Q9" i="6" s="1"/>
  <c r="G8" i="6"/>
  <c r="J8" i="6" s="1"/>
  <c r="P8" i="6" s="1"/>
  <c r="G7" i="6"/>
  <c r="L7" i="6" s="1"/>
  <c r="R7" i="6" s="1"/>
  <c r="R6" i="6"/>
  <c r="L6" i="6"/>
  <c r="K6" i="6"/>
  <c r="Q6" i="6" s="1"/>
  <c r="J6" i="6"/>
  <c r="P6" i="6" s="1"/>
  <c r="I6" i="6"/>
  <c r="O6" i="6" s="1"/>
  <c r="H6" i="6"/>
  <c r="N6" i="6" s="1"/>
  <c r="G6" i="6"/>
  <c r="J12" i="5"/>
  <c r="J11" i="5"/>
  <c r="B6" i="6" s="1"/>
  <c r="D6" i="6" s="1"/>
  <c r="L10" i="5"/>
  <c r="J10" i="5"/>
  <c r="J9" i="5"/>
  <c r="G24" i="1"/>
  <c r="I24" i="1"/>
  <c r="O24" i="1"/>
  <c r="I23" i="1"/>
  <c r="O23" i="1" s="1"/>
  <c r="G23" i="1"/>
  <c r="J23" i="1" s="1"/>
  <c r="P23" i="1" s="1"/>
  <c r="G22" i="1"/>
  <c r="H22" i="1" s="1"/>
  <c r="N22" i="1" s="1"/>
  <c r="G21" i="1"/>
  <c r="I21" i="1" s="1"/>
  <c r="O21" i="1" s="1"/>
  <c r="H21" i="1"/>
  <c r="N21" i="1" s="1"/>
  <c r="J21" i="1"/>
  <c r="P21" i="1" s="1"/>
  <c r="G20" i="1"/>
  <c r="H20" i="1"/>
  <c r="N20" i="1"/>
  <c r="I20" i="1"/>
  <c r="O20" i="1"/>
  <c r="J20" i="1"/>
  <c r="P20" i="1"/>
  <c r="K20" i="1"/>
  <c r="Q20" i="1" s="1"/>
  <c r="L20" i="1"/>
  <c r="R20" i="1" s="1"/>
  <c r="G13" i="1"/>
  <c r="I13" i="1" s="1"/>
  <c r="O13" i="1" s="1"/>
  <c r="G25" i="1"/>
  <c r="J25" i="1" s="1"/>
  <c r="P25" i="1" s="1"/>
  <c r="G19" i="1"/>
  <c r="G18" i="1"/>
  <c r="L18" i="1" s="1"/>
  <c r="R18" i="1" s="1"/>
  <c r="G17" i="1"/>
  <c r="J17" i="1" s="1"/>
  <c r="P17" i="1" s="1"/>
  <c r="G16" i="1"/>
  <c r="J16" i="1" s="1"/>
  <c r="P16" i="1" s="1"/>
  <c r="G15" i="1"/>
  <c r="G14" i="1"/>
  <c r="G12" i="1"/>
  <c r="J12" i="1" s="1"/>
  <c r="P12" i="1" s="1"/>
  <c r="G11" i="1"/>
  <c r="G10" i="1"/>
  <c r="G9" i="1"/>
  <c r="G8" i="1"/>
  <c r="J8" i="1" s="1"/>
  <c r="P8" i="1" s="1"/>
  <c r="G7" i="1"/>
  <c r="L7" i="1" s="1"/>
  <c r="R7" i="1" s="1"/>
  <c r="G6" i="1"/>
  <c r="J24" i="1"/>
  <c r="P24" i="1"/>
  <c r="K24" i="1"/>
  <c r="Q24" i="1" s="1"/>
  <c r="K23" i="1"/>
  <c r="Q23" i="1"/>
  <c r="H24" i="1"/>
  <c r="N24" i="1" s="1"/>
  <c r="L24" i="1"/>
  <c r="R24" i="1"/>
  <c r="H23" i="1"/>
  <c r="N23" i="1" s="1"/>
  <c r="K22" i="1"/>
  <c r="Q22" i="1"/>
  <c r="I22" i="1"/>
  <c r="O22" i="1" s="1"/>
  <c r="L22" i="1"/>
  <c r="R22" i="1"/>
  <c r="J22" i="1"/>
  <c r="P22" i="1" s="1"/>
  <c r="J13" i="1"/>
  <c r="P13" i="1"/>
  <c r="K13" i="1"/>
  <c r="Q13" i="1" s="1"/>
  <c r="H13" i="1"/>
  <c r="N13" i="1"/>
  <c r="L13" i="1"/>
  <c r="R13" i="1" s="1"/>
  <c r="B7" i="1"/>
  <c r="D7" i="1" s="1"/>
  <c r="E17" i="4" s="1"/>
  <c r="D59" i="1"/>
  <c r="D58" i="1"/>
  <c r="D57" i="1"/>
  <c r="D56" i="1"/>
  <c r="D55" i="1"/>
  <c r="D54" i="1"/>
  <c r="D53" i="1"/>
  <c r="D52" i="1"/>
  <c r="C31" i="4"/>
  <c r="B5" i="1" s="1"/>
  <c r="H15" i="1"/>
  <c r="N15" i="1" s="1"/>
  <c r="I15" i="1"/>
  <c r="O15" i="1" s="1"/>
  <c r="J15" i="1"/>
  <c r="P15" i="1"/>
  <c r="K15" i="1"/>
  <c r="Q15" i="1"/>
  <c r="L15" i="1"/>
  <c r="R15" i="1" s="1"/>
  <c r="L19" i="1"/>
  <c r="R19" i="1" s="1"/>
  <c r="K19" i="1"/>
  <c r="Q19" i="1" s="1"/>
  <c r="J19" i="1"/>
  <c r="P19" i="1"/>
  <c r="I19" i="1"/>
  <c r="O19" i="1"/>
  <c r="K18" i="1"/>
  <c r="Q18" i="1" s="1"/>
  <c r="J18" i="1"/>
  <c r="P18" i="1" s="1"/>
  <c r="I18" i="1"/>
  <c r="O18" i="1" s="1"/>
  <c r="I17" i="1"/>
  <c r="O17" i="1" s="1"/>
  <c r="L16" i="1"/>
  <c r="R16" i="1" s="1"/>
  <c r="K16" i="1"/>
  <c r="Q16" i="1" s="1"/>
  <c r="L14" i="1"/>
  <c r="R14" i="1"/>
  <c r="K14" i="1"/>
  <c r="Q14" i="1" s="1"/>
  <c r="J14" i="1"/>
  <c r="P14" i="1" s="1"/>
  <c r="I14" i="1"/>
  <c r="O14" i="1" s="1"/>
  <c r="I12" i="1"/>
  <c r="O12" i="1" s="1"/>
  <c r="L11" i="1"/>
  <c r="R11" i="1" s="1"/>
  <c r="K11" i="1"/>
  <c r="Q11" i="1" s="1"/>
  <c r="J11" i="1"/>
  <c r="P11" i="1"/>
  <c r="I11" i="1"/>
  <c r="O11" i="1"/>
  <c r="L10" i="1"/>
  <c r="R10" i="1"/>
  <c r="K10" i="1"/>
  <c r="Q10" i="1" s="1"/>
  <c r="J10" i="1"/>
  <c r="P10" i="1" s="1"/>
  <c r="I10" i="1"/>
  <c r="O10" i="1" s="1"/>
  <c r="L9" i="1"/>
  <c r="R9" i="1"/>
  <c r="K9" i="1"/>
  <c r="Q9" i="1"/>
  <c r="J9" i="1"/>
  <c r="P9" i="1"/>
  <c r="I9" i="1"/>
  <c r="O9" i="1" s="1"/>
  <c r="L8" i="1"/>
  <c r="R8" i="1" s="1"/>
  <c r="K8" i="1"/>
  <c r="Q8" i="1" s="1"/>
  <c r="K7" i="1"/>
  <c r="Q7" i="1" s="1"/>
  <c r="L6" i="1"/>
  <c r="R6" i="1"/>
  <c r="K6" i="1"/>
  <c r="Q6" i="1" s="1"/>
  <c r="J6" i="1"/>
  <c r="P6" i="1" s="1"/>
  <c r="I6" i="1"/>
  <c r="O6" i="1"/>
  <c r="H19" i="1"/>
  <c r="N19" i="1" s="1"/>
  <c r="H17" i="1"/>
  <c r="N17" i="1" s="1"/>
  <c r="H16" i="1"/>
  <c r="N16" i="1" s="1"/>
  <c r="H14" i="1"/>
  <c r="N14" i="1"/>
  <c r="H11" i="1"/>
  <c r="N11" i="1" s="1"/>
  <c r="H10" i="1"/>
  <c r="N10" i="1" s="1"/>
  <c r="H9" i="1"/>
  <c r="N9" i="1" s="1"/>
  <c r="H8" i="1"/>
  <c r="N8" i="1" s="1"/>
  <c r="H6" i="1"/>
  <c r="N6" i="1"/>
  <c r="B6" i="1"/>
  <c r="D6" i="1" s="1"/>
  <c r="D37" i="1"/>
  <c r="C32" i="4" s="1"/>
  <c r="D67" i="1" s="1"/>
  <c r="M31" i="5" l="1"/>
  <c r="G31" i="5" s="1"/>
  <c r="G48" i="1"/>
  <c r="E26" i="4" s="1"/>
  <c r="J32" i="5"/>
  <c r="J7" i="6"/>
  <c r="P7" i="6" s="1"/>
  <c r="J9" i="6"/>
  <c r="P9" i="6" s="1"/>
  <c r="J10" i="6"/>
  <c r="P10" i="6" s="1"/>
  <c r="K10" i="6"/>
  <c r="Q10" i="6" s="1"/>
  <c r="I16" i="6"/>
  <c r="O16" i="6" s="1"/>
  <c r="J17" i="6"/>
  <c r="P17" i="6" s="1"/>
  <c r="K18" i="6"/>
  <c r="Q18" i="6" s="1"/>
  <c r="L19" i="6"/>
  <c r="R19" i="6" s="1"/>
  <c r="H13" i="6"/>
  <c r="N13" i="6" s="1"/>
  <c r="K16" i="6"/>
  <c r="Q16" i="6" s="1"/>
  <c r="H25" i="6"/>
  <c r="N25" i="6" s="1"/>
  <c r="D7" i="6"/>
  <c r="E17" i="5" s="1"/>
  <c r="H12" i="6"/>
  <c r="N12" i="6" s="1"/>
  <c r="I13" i="6"/>
  <c r="O13" i="6" s="1"/>
  <c r="L16" i="6"/>
  <c r="R16" i="6" s="1"/>
  <c r="H24" i="6"/>
  <c r="N24" i="6" s="1"/>
  <c r="I25" i="6"/>
  <c r="O25" i="6" s="1"/>
  <c r="J13" i="6"/>
  <c r="P13" i="6" s="1"/>
  <c r="J25" i="6"/>
  <c r="P25" i="6" s="1"/>
  <c r="H8" i="6"/>
  <c r="N8" i="6" s="1"/>
  <c r="H7" i="6"/>
  <c r="N7" i="6" s="1"/>
  <c r="H9" i="6"/>
  <c r="N9" i="6" s="1"/>
  <c r="H10" i="6"/>
  <c r="N10" i="6" s="1"/>
  <c r="K13" i="6"/>
  <c r="Q13" i="6" s="1"/>
  <c r="H22" i="6"/>
  <c r="N22" i="6" s="1"/>
  <c r="K25" i="6"/>
  <c r="Q25" i="6" s="1"/>
  <c r="I7" i="6"/>
  <c r="O7" i="6" s="1"/>
  <c r="I8" i="6"/>
  <c r="O8" i="6" s="1"/>
  <c r="I9" i="6"/>
  <c r="O9" i="6" s="1"/>
  <c r="I10" i="6"/>
  <c r="O10" i="6" s="1"/>
  <c r="H21" i="6"/>
  <c r="N21" i="6" s="1"/>
  <c r="I22" i="6"/>
  <c r="O22" i="6" s="1"/>
  <c r="J22" i="6"/>
  <c r="P22" i="6" s="1"/>
  <c r="K7" i="6"/>
  <c r="Q7" i="6" s="1"/>
  <c r="K8" i="6"/>
  <c r="Q8" i="6" s="1"/>
  <c r="H19" i="6"/>
  <c r="N19" i="6" s="1"/>
  <c r="J21" i="6"/>
  <c r="P21" i="6" s="1"/>
  <c r="K22" i="6"/>
  <c r="Q22" i="6" s="1"/>
  <c r="L8" i="6"/>
  <c r="R8" i="6" s="1"/>
  <c r="L9" i="6"/>
  <c r="R9" i="6" s="1"/>
  <c r="H18" i="6"/>
  <c r="N18" i="6" s="1"/>
  <c r="I19" i="6"/>
  <c r="O19" i="6" s="1"/>
  <c r="J20" i="6"/>
  <c r="P20" i="6" s="1"/>
  <c r="K21" i="6"/>
  <c r="Q21" i="6" s="1"/>
  <c r="I18" i="6"/>
  <c r="O18" i="6" s="1"/>
  <c r="J19" i="6"/>
  <c r="P19" i="6" s="1"/>
  <c r="K20" i="6"/>
  <c r="Q20" i="6" s="1"/>
  <c r="J31" i="5"/>
  <c r="I45" i="1"/>
  <c r="D5" i="1"/>
  <c r="B8" i="1" s="1"/>
  <c r="B9" i="1" s="1"/>
  <c r="D69" i="1"/>
  <c r="G45" i="1"/>
  <c r="I44" i="1"/>
  <c r="D66" i="1"/>
  <c r="D68" i="1" s="1"/>
  <c r="G44" i="1"/>
  <c r="G31" i="4"/>
  <c r="I8" i="1"/>
  <c r="O8" i="1" s="1"/>
  <c r="K12" i="1"/>
  <c r="Q12" i="1" s="1"/>
  <c r="I16" i="1"/>
  <c r="O16" i="1" s="1"/>
  <c r="K17" i="1"/>
  <c r="Q17" i="1" s="1"/>
  <c r="K25" i="1"/>
  <c r="Q25" i="1" s="1"/>
  <c r="L21" i="1"/>
  <c r="R21" i="1" s="1"/>
  <c r="L12" i="1"/>
  <c r="R12" i="1" s="1"/>
  <c r="L17" i="1"/>
  <c r="R17" i="1" s="1"/>
  <c r="L25" i="1"/>
  <c r="R25" i="1" s="1"/>
  <c r="K21" i="1"/>
  <c r="Q21" i="1" s="1"/>
  <c r="L23" i="1"/>
  <c r="R23" i="1" s="1"/>
  <c r="I25" i="1"/>
  <c r="O25" i="1" s="1"/>
  <c r="H18" i="1"/>
  <c r="N18" i="1" s="1"/>
  <c r="I7" i="1"/>
  <c r="O7" i="1" s="1"/>
  <c r="J7" i="1"/>
  <c r="P7" i="1" s="1"/>
  <c r="H12" i="1"/>
  <c r="N12" i="1" s="1"/>
  <c r="H25" i="1"/>
  <c r="N25" i="1" s="1"/>
  <c r="H7" i="1"/>
  <c r="N7" i="1" s="1"/>
  <c r="C32" i="5" l="1"/>
  <c r="D67" i="6"/>
  <c r="C31" i="5"/>
  <c r="B5" i="6"/>
  <c r="G47" i="1"/>
  <c r="G49" i="1" s="1"/>
  <c r="E27" i="4" s="1"/>
  <c r="I47" i="1"/>
  <c r="I49" i="1" s="1"/>
  <c r="E29" i="4" s="1"/>
  <c r="D70" i="1"/>
  <c r="D71" i="1" s="1"/>
  <c r="E18" i="4" s="1"/>
  <c r="B10" i="1"/>
  <c r="E16" i="4"/>
  <c r="D69" i="6" l="1"/>
  <c r="G44" i="6"/>
  <c r="I44" i="6"/>
  <c r="I45" i="6"/>
  <c r="G45" i="6"/>
  <c r="D66" i="6"/>
  <c r="D68" i="6" s="1"/>
  <c r="D70" i="6" s="1"/>
  <c r="D5" i="6"/>
  <c r="B8" i="6" s="1"/>
  <c r="B9" i="6" s="1"/>
  <c r="E25" i="4"/>
  <c r="E19" i="4"/>
  <c r="E22" i="4" l="1"/>
  <c r="C20" i="4"/>
  <c r="G20" i="4"/>
  <c r="D71" i="6"/>
  <c r="E18" i="5" s="1"/>
  <c r="I47" i="6"/>
  <c r="I49" i="6" s="1"/>
  <c r="E29" i="5" s="1"/>
  <c r="G47" i="6"/>
  <c r="G49" i="6" s="1"/>
  <c r="E27" i="5" s="1"/>
  <c r="B10" i="6"/>
  <c r="E16" i="5"/>
  <c r="G23" i="4" l="1"/>
  <c r="C23" i="4"/>
  <c r="E19" i="5"/>
  <c r="E25" i="5"/>
  <c r="G20" i="5" l="1"/>
  <c r="E22" i="5"/>
  <c r="C20" i="5"/>
  <c r="C23" i="5" l="1"/>
  <c r="G23" i="5"/>
</calcChain>
</file>

<file path=xl/sharedStrings.xml><?xml version="1.0" encoding="utf-8"?>
<sst xmlns="http://schemas.openxmlformats.org/spreadsheetml/2006/main" count="205" uniqueCount="89">
  <si>
    <t>Pump allowable operating region and MCSF (US units)</t>
  </si>
  <si>
    <t>PUMP MODEL</t>
  </si>
  <si>
    <t>Test</t>
  </si>
  <si>
    <t>PUMP SIZE</t>
  </si>
  <si>
    <t>DRAWING NUMBER</t>
  </si>
  <si>
    <t>INPUT DATA</t>
  </si>
  <si>
    <t>Pump speed</t>
  </si>
  <si>
    <t>RPM</t>
  </si>
  <si>
    <t>Pump BEP head/stage @ max diameter</t>
  </si>
  <si>
    <t>ft</t>
  </si>
  <si>
    <t>Pump BEP flow @max diameter:</t>
  </si>
  <si>
    <t>@min diameter:</t>
  </si>
  <si>
    <t>USGPM</t>
  </si>
  <si>
    <t>Pump BEP power @ max diameter</t>
  </si>
  <si>
    <t>HP</t>
  </si>
  <si>
    <t>Pump NPSHr @ BEP, max diameter</t>
  </si>
  <si>
    <t>OUTPUT DATA</t>
  </si>
  <si>
    <t xml:space="preserve">Pump MCSF based on specific speed and power </t>
  </si>
  <si>
    <t>% of BEP</t>
  </si>
  <si>
    <t>MCSF adjustment for high speed operation</t>
  </si>
  <si>
    <t>MCSF adjustment for high Nss</t>
  </si>
  <si>
    <t>Pump MCSF</t>
  </si>
  <si>
    <t>Pump MCSF @ max diameter</t>
  </si>
  <si>
    <t>Pump MCSF @ min diameter</t>
  </si>
  <si>
    <t>Pump maximum flow based on specific speed</t>
  </si>
  <si>
    <t>Maximum flow adjustment for high speed operation</t>
  </si>
  <si>
    <t>Pump maximum flow</t>
  </si>
  <si>
    <t>Firepump maximum flow (short term operation)</t>
  </si>
  <si>
    <t>Pump specific speed US method</t>
  </si>
  <si>
    <t>USGPM, ft</t>
  </si>
  <si>
    <t>Pump specific speed EU method</t>
  </si>
  <si>
    <t>Pump suction specific speed</t>
  </si>
  <si>
    <t>Limitations:</t>
  </si>
  <si>
    <t>For pumps with a pronounced saddle, MCSF should always be to the right of the saddle peak.
Some older pump designs may require even more restrictive flow limits than those defined here.
Unstable NPSHr curves at low flow or asymtotic NPSHr at high flow may further limit usable operating range.</t>
  </si>
  <si>
    <t>Pump allowable operating region and MCSF (SI units)</t>
  </si>
  <si>
    <t>m</t>
  </si>
  <si>
    <t>m^3/h</t>
  </si>
  <si>
    <t>kW</t>
  </si>
  <si>
    <t>m^3/h, m</t>
  </si>
  <si>
    <t>MCSF Bradshaw method</t>
  </si>
  <si>
    <t>Ns</t>
  </si>
  <si>
    <t>MCSF factor for Ns</t>
  </si>
  <si>
    <t>Base MCSF</t>
  </si>
  <si>
    <t>BEP Power max dia</t>
  </si>
  <si>
    <t>MCSF factor for power</t>
  </si>
  <si>
    <t>Speed</t>
  </si>
  <si>
    <t>MCSF adjustment for speed</t>
  </si>
  <si>
    <t>MCSF</t>
  </si>
  <si>
    <t>Without high speed adjustment</t>
  </si>
  <si>
    <t xml:space="preserve">MCSF </t>
  </si>
  <si>
    <t>Limiter</t>
  </si>
  <si>
    <t>With high speed adjustment</t>
  </si>
  <si>
    <r>
      <t>y = 0.000000000117330x</t>
    </r>
    <r>
      <rPr>
        <vertAlign val="superscript"/>
        <sz val="10"/>
        <color indexed="8"/>
        <rFont val="Arial"/>
        <family val="2"/>
      </rPr>
      <t>3</t>
    </r>
    <r>
      <rPr>
        <sz val="10"/>
        <color indexed="8"/>
        <rFont val="Arial"/>
        <family val="2"/>
      </rPr>
      <t xml:space="preserve"> + 0.000000180577282x</t>
    </r>
    <r>
      <rPr>
        <vertAlign val="superscript"/>
        <sz val="10"/>
        <color indexed="8"/>
        <rFont val="Arial"/>
        <family val="2"/>
      </rPr>
      <t>2</t>
    </r>
    <r>
      <rPr>
        <sz val="10"/>
        <color indexed="8"/>
        <rFont val="Arial"/>
        <family val="2"/>
      </rPr>
      <t xml:space="preserve"> + 0.000123889879549x + 25.070251801889200</t>
    </r>
  </si>
  <si>
    <t>Max flow table</t>
  </si>
  <si>
    <t>Normal</t>
  </si>
  <si>
    <t>Firepump</t>
  </si>
  <si>
    <t>Is double suction impeller</t>
  </si>
  <si>
    <t>low limit</t>
  </si>
  <si>
    <t>high limit</t>
  </si>
  <si>
    <t>Max flow based on specific speed</t>
  </si>
  <si>
    <t>High speed adjustment for max flow</t>
  </si>
  <si>
    <t>Max flow</t>
  </si>
  <si>
    <t>Nss</t>
  </si>
  <si>
    <t>Limiting Nss</t>
  </si>
  <si>
    <t>Calculated Nss</t>
  </si>
  <si>
    <t>Derate for Nss (2% per 1000 excess Nss)</t>
  </si>
  <si>
    <t>%</t>
  </si>
  <si>
    <t>Limiter for pumps &gt; 5000 Ns</t>
  </si>
  <si>
    <t>Limiter for negative values</t>
  </si>
  <si>
    <t>Final Derate for Nss</t>
  </si>
  <si>
    <t>First issue</t>
  </si>
  <si>
    <t>QA/HSEM C.Delli Quadri - M.Tremolada</t>
  </si>
  <si>
    <t>Rev.</t>
  </si>
  <si>
    <t>Date</t>
  </si>
  <si>
    <t>Description</t>
  </si>
  <si>
    <t>Prepared</t>
  </si>
  <si>
    <t>Checked</t>
  </si>
  <si>
    <t>Approved</t>
  </si>
  <si>
    <t>R&amp;D Manager / M.Borghetti</t>
  </si>
  <si>
    <t>R&amp;D - A.Biolo</t>
  </si>
  <si>
    <t>Mod.414-0</t>
  </si>
  <si>
    <t>MOD.414</t>
  </si>
  <si>
    <t>Minimum Continuous Stable Flow spreadsheet
(linked to SOP-461)</t>
  </si>
  <si>
    <t>Date: 26/06/2024</t>
  </si>
  <si>
    <t>Revision: 1</t>
  </si>
  <si>
    <t>Fix SSS reference cell of SI units sheet, MCSF for non-API VS pumps added</t>
  </si>
  <si>
    <r>
      <t>Pump MCSF</t>
    </r>
    <r>
      <rPr>
        <vertAlign val="subscript"/>
        <sz val="10"/>
        <rFont val="Arial"/>
        <family val="2"/>
      </rPr>
      <t>VS non-API</t>
    </r>
    <r>
      <rPr>
        <sz val="10"/>
        <rFont val="Arial"/>
        <family val="2"/>
      </rPr>
      <t xml:space="preserve"> @ max dia.</t>
    </r>
  </si>
  <si>
    <r>
      <t>Pump MCSF</t>
    </r>
    <r>
      <rPr>
        <vertAlign val="subscript"/>
        <sz val="10"/>
        <rFont val="Arial"/>
        <family val="2"/>
      </rPr>
      <t>VS non-API</t>
    </r>
    <r>
      <rPr>
        <sz val="10"/>
        <rFont val="Arial"/>
        <family val="2"/>
      </rPr>
      <t xml:space="preserve"> @ min dia.</t>
    </r>
  </si>
  <si>
    <r>
      <rPr>
        <b/>
        <sz val="10"/>
        <rFont val="Arial"/>
        <family val="2"/>
      </rPr>
      <t>Option:</t>
    </r>
    <r>
      <rPr>
        <sz val="10"/>
        <rFont val="Arial"/>
        <family val="2"/>
      </rPr>
      <t xml:space="preserve"> Pump MCSF for low energy non-API VS product lines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</si>
</sst>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00"/>
    <numFmt numFmtId="166" formatCode="General_)"/>
    <numFmt numFmtId="167" formatCode="&quot;$&quot;#,##0.00;[Red]\-&quot;$&quot;#,##0.00"/>
  </numFmts>
  <fonts count="20" x14ac:knownFonts="1">
    <font>
      <sz val="10"/>
      <name val="Arial"/>
    </font>
    <font>
      <sz val="10"/>
      <name val="Arial"/>
      <family val="2"/>
    </font>
    <font>
      <sz val="8"/>
      <name val="Arial"/>
      <family val="2"/>
    </font>
    <font>
      <b/>
      <sz val="12"/>
      <name val="Arial"/>
      <family val="2"/>
    </font>
    <font>
      <sz val="14"/>
      <name val="Arial"/>
      <family val="2"/>
    </font>
    <font>
      <sz val="12"/>
      <name val="Arial"/>
      <family val="2"/>
    </font>
    <font>
      <sz val="7"/>
      <name val="Arial"/>
      <family val="2"/>
    </font>
    <font>
      <sz val="10"/>
      <color indexed="8"/>
      <name val="Arial"/>
      <family val="2"/>
    </font>
    <font>
      <vertAlign val="superscript"/>
      <sz val="10"/>
      <color indexed="8"/>
      <name val="Arial"/>
      <family val="2"/>
    </font>
    <font>
      <b/>
      <sz val="10"/>
      <color rgb="FFC00000"/>
      <name val="Arial"/>
      <family val="2"/>
    </font>
    <font>
      <sz val="10"/>
      <color rgb="FF000000"/>
      <name val="Arial"/>
      <family val="2"/>
    </font>
    <font>
      <sz val="9"/>
      <name val="Arial"/>
      <family val="2"/>
    </font>
    <font>
      <sz val="8"/>
      <color rgb="FF000000"/>
      <name val="Tahoma"/>
      <family val="2"/>
    </font>
    <font>
      <b/>
      <sz val="14"/>
      <name val="Arial"/>
      <family val="2"/>
    </font>
    <font>
      <b/>
      <sz val="12"/>
      <color indexed="9"/>
      <name val="Arial"/>
      <family val="2"/>
    </font>
    <font>
      <sz val="26"/>
      <name val="Arial"/>
      <family val="2"/>
    </font>
    <font>
      <b/>
      <sz val="26"/>
      <name val="Arial"/>
      <family val="2"/>
    </font>
    <font>
      <i/>
      <sz val="10"/>
      <name val="Arial"/>
      <family val="2"/>
    </font>
    <font>
      <vertAlign val="subscript"/>
      <sz val="10"/>
      <name val="Arial"/>
      <family val="2"/>
    </font>
    <font>
      <b/>
      <sz val="10"/>
      <name val="Arial"/>
      <family val="2"/>
    </font>
  </fonts>
  <fills count="6">
    <fill>
      <patternFill patternType="none"/>
    </fill>
    <fill>
      <patternFill patternType="gray125"/>
    </fill>
    <fill>
      <patternFill patternType="solid">
        <fgColor indexed="2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s>
  <borders count="4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style="thin">
        <color indexed="64"/>
      </left>
      <right/>
      <top style="thin">
        <color indexed="64"/>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thin">
        <color indexed="64"/>
      </right>
      <top/>
      <bottom/>
      <diagonal/>
    </border>
    <border>
      <left/>
      <right style="thin">
        <color indexed="64"/>
      </right>
      <top/>
      <bottom style="thin">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medium">
        <color indexed="64"/>
      </top>
      <bottom style="medium">
        <color indexed="64"/>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medium">
        <color indexed="64"/>
      </top>
      <bottom/>
      <diagonal/>
    </border>
  </borders>
  <cellStyleXfs count="6">
    <xf numFmtId="0" fontId="0" fillId="0" borderId="0"/>
    <xf numFmtId="9" fontId="1" fillId="0" borderId="0" applyFont="0" applyFill="0" applyBorder="0" applyAlignment="0" applyProtection="0"/>
    <xf numFmtId="0" fontId="1" fillId="0" borderId="0"/>
    <xf numFmtId="0" fontId="1" fillId="0" borderId="0"/>
    <xf numFmtId="166" fontId="11" fillId="0" borderId="0"/>
    <xf numFmtId="167" fontId="2" fillId="0" borderId="0" applyFont="0" applyFill="0" applyBorder="0" applyAlignment="0" applyProtection="0"/>
  </cellStyleXfs>
  <cellXfs count="274">
    <xf numFmtId="0" fontId="0" fillId="0" borderId="0" xfId="0"/>
    <xf numFmtId="0" fontId="0" fillId="0" borderId="0" xfId="0" applyAlignment="1">
      <alignment horizontal="center"/>
    </xf>
    <xf numFmtId="0" fontId="0" fillId="2" borderId="4" xfId="0" applyFill="1" applyBorder="1"/>
    <xf numFmtId="0" fontId="0" fillId="0" borderId="0" xfId="0" applyAlignment="1">
      <alignment horizontal="right"/>
    </xf>
    <xf numFmtId="0" fontId="0" fillId="0" borderId="3" xfId="0" applyBorder="1"/>
    <xf numFmtId="0" fontId="0" fillId="0" borderId="4" xfId="0" applyBorder="1"/>
    <xf numFmtId="0" fontId="4" fillId="2" borderId="2" xfId="0" applyFont="1" applyFill="1" applyBorder="1"/>
    <xf numFmtId="0" fontId="0" fillId="2" borderId="3" xfId="0" applyFill="1" applyBorder="1"/>
    <xf numFmtId="0" fontId="0" fillId="0" borderId="5" xfId="0" applyBorder="1"/>
    <xf numFmtId="0" fontId="0" fillId="0" borderId="6" xfId="0" applyBorder="1"/>
    <xf numFmtId="0" fontId="0" fillId="0" borderId="7" xfId="0" applyBorder="1"/>
    <xf numFmtId="2" fontId="0" fillId="0" borderId="0" xfId="0" applyNumberFormat="1" applyAlignment="1">
      <alignment horizontal="center"/>
    </xf>
    <xf numFmtId="164" fontId="0" fillId="0" borderId="1" xfId="1" applyNumberFormat="1" applyFont="1" applyBorder="1" applyAlignment="1" applyProtection="1">
      <alignment horizontal="center"/>
    </xf>
    <xf numFmtId="1" fontId="0" fillId="0" borderId="1" xfId="1" applyNumberFormat="1" applyFont="1" applyBorder="1" applyAlignment="1" applyProtection="1">
      <alignment horizontal="center"/>
    </xf>
    <xf numFmtId="0" fontId="0" fillId="0" borderId="0" xfId="0" applyAlignment="1">
      <alignment wrapText="1"/>
    </xf>
    <xf numFmtId="164" fontId="0" fillId="0" borderId="0" xfId="0" applyNumberFormat="1"/>
    <xf numFmtId="165" fontId="0" fillId="0" borderId="0" xfId="0" applyNumberFormat="1"/>
    <xf numFmtId="0" fontId="0" fillId="3" borderId="0" xfId="0" applyFill="1" applyAlignment="1" applyProtection="1">
      <alignment horizontal="center"/>
      <protection locked="0"/>
    </xf>
    <xf numFmtId="2" fontId="0" fillId="0" borderId="0" xfId="0" applyNumberFormat="1"/>
    <xf numFmtId="0" fontId="5" fillId="0" borderId="8" xfId="0" applyFont="1" applyBorder="1" applyAlignment="1">
      <alignment wrapText="1"/>
    </xf>
    <xf numFmtId="0" fontId="5" fillId="0" borderId="5" xfId="0" applyFont="1" applyBorder="1"/>
    <xf numFmtId="0" fontId="0" fillId="0" borderId="9" xfId="0" applyBorder="1" applyAlignment="1">
      <alignment horizontal="center"/>
    </xf>
    <xf numFmtId="0" fontId="0" fillId="0" borderId="10" xfId="0" applyBorder="1"/>
    <xf numFmtId="0" fontId="0" fillId="0" borderId="10" xfId="0" applyBorder="1" applyAlignment="1">
      <alignment horizontal="center"/>
    </xf>
    <xf numFmtId="0" fontId="0" fillId="0" borderId="11" xfId="0" applyBorder="1"/>
    <xf numFmtId="0" fontId="0" fillId="0" borderId="9" xfId="0" applyBorder="1"/>
    <xf numFmtId="0" fontId="0" fillId="0" borderId="12" xfId="0" applyBorder="1"/>
    <xf numFmtId="0" fontId="0" fillId="0" borderId="13" xfId="0" applyBorder="1"/>
    <xf numFmtId="0" fontId="0" fillId="0" borderId="14" xfId="0" applyBorder="1"/>
    <xf numFmtId="0" fontId="0" fillId="0" borderId="13" xfId="0" applyBorder="1" applyAlignment="1">
      <alignment horizontal="center"/>
    </xf>
    <xf numFmtId="0" fontId="9" fillId="0" borderId="0" xfId="0" applyFont="1"/>
    <xf numFmtId="1" fontId="0" fillId="0" borderId="0" xfId="0" applyNumberFormat="1"/>
    <xf numFmtId="0" fontId="6" fillId="0" borderId="16" xfId="0" applyFont="1" applyBorder="1"/>
    <xf numFmtId="0" fontId="0" fillId="3" borderId="1" xfId="0" applyFill="1" applyBorder="1"/>
    <xf numFmtId="164" fontId="0" fillId="0" borderId="17" xfId="0" applyNumberFormat="1" applyBorder="1"/>
    <xf numFmtId="1" fontId="0" fillId="3" borderId="1" xfId="0" applyNumberFormat="1" applyFill="1" applyBorder="1"/>
    <xf numFmtId="1" fontId="0" fillId="3" borderId="18" xfId="0" applyNumberFormat="1" applyFill="1" applyBorder="1"/>
    <xf numFmtId="0" fontId="0" fillId="0" borderId="17" xfId="0" applyBorder="1"/>
    <xf numFmtId="164" fontId="0" fillId="4" borderId="14" xfId="0" applyNumberFormat="1" applyFill="1" applyBorder="1" applyAlignment="1">
      <alignment horizontal="center"/>
    </xf>
    <xf numFmtId="164" fontId="0" fillId="4" borderId="19" xfId="0" applyNumberFormat="1" applyFill="1" applyBorder="1" applyAlignment="1">
      <alignment horizontal="center"/>
    </xf>
    <xf numFmtId="164" fontId="0" fillId="4" borderId="20" xfId="0" applyNumberFormat="1" applyFill="1" applyBorder="1" applyAlignment="1">
      <alignment horizontal="center"/>
    </xf>
    <xf numFmtId="164" fontId="0" fillId="4" borderId="21" xfId="0" applyNumberFormat="1" applyFill="1" applyBorder="1" applyAlignment="1">
      <alignment horizontal="center"/>
    </xf>
    <xf numFmtId="164" fontId="0" fillId="4" borderId="22" xfId="0" applyNumberFormat="1" applyFill="1" applyBorder="1" applyAlignment="1">
      <alignment horizontal="center"/>
    </xf>
    <xf numFmtId="164" fontId="0" fillId="4" borderId="11" xfId="0" applyNumberFormat="1" applyFill="1" applyBorder="1" applyAlignment="1">
      <alignment horizontal="center"/>
    </xf>
    <xf numFmtId="164" fontId="0" fillId="0" borderId="18" xfId="0" applyNumberFormat="1" applyBorder="1" applyAlignment="1">
      <alignment horizontal="center"/>
    </xf>
    <xf numFmtId="1" fontId="0" fillId="0" borderId="23" xfId="1" applyNumberFormat="1" applyFont="1" applyBorder="1" applyAlignment="1" applyProtection="1">
      <alignment horizontal="center"/>
    </xf>
    <xf numFmtId="0" fontId="0" fillId="0" borderId="0" xfId="0" applyProtection="1">
      <protection locked="0"/>
    </xf>
    <xf numFmtId="0" fontId="0" fillId="0" borderId="19" xfId="0" applyBorder="1"/>
    <xf numFmtId="2" fontId="0" fillId="0" borderId="0" xfId="1" applyNumberFormat="1" applyFont="1" applyBorder="1" applyAlignment="1" applyProtection="1">
      <alignment horizontal="center"/>
      <protection locked="0"/>
    </xf>
    <xf numFmtId="164" fontId="0" fillId="0" borderId="12" xfId="0" applyNumberFormat="1" applyBorder="1" applyAlignment="1">
      <alignment horizontal="center"/>
    </xf>
    <xf numFmtId="0" fontId="0" fillId="0" borderId="9" xfId="0" applyBorder="1" applyAlignment="1">
      <alignment horizontal="left"/>
    </xf>
    <xf numFmtId="2" fontId="0" fillId="0" borderId="12" xfId="0" applyNumberFormat="1" applyBorder="1" applyAlignment="1">
      <alignment horizontal="left"/>
    </xf>
    <xf numFmtId="1" fontId="0" fillId="0" borderId="0" xfId="0" applyNumberFormat="1" applyAlignment="1">
      <alignment horizontal="center"/>
    </xf>
    <xf numFmtId="164" fontId="0" fillId="0" borderId="0" xfId="0" applyNumberFormat="1" applyAlignment="1">
      <alignment horizontal="center"/>
    </xf>
    <xf numFmtId="0" fontId="0" fillId="0" borderId="21" xfId="0" applyBorder="1" applyAlignment="1">
      <alignment horizontal="center"/>
    </xf>
    <xf numFmtId="0" fontId="0" fillId="0" borderId="24" xfId="0" applyBorder="1" applyAlignment="1">
      <alignment horizontal="center"/>
    </xf>
    <xf numFmtId="0" fontId="0" fillId="0" borderId="25" xfId="0" applyBorder="1"/>
    <xf numFmtId="0" fontId="0" fillId="0" borderId="20" xfId="0" applyBorder="1"/>
    <xf numFmtId="0" fontId="0" fillId="0" borderId="26" xfId="0" applyBorder="1"/>
    <xf numFmtId="2" fontId="0" fillId="0" borderId="24" xfId="0" applyNumberFormat="1" applyBorder="1"/>
    <xf numFmtId="164" fontId="0" fillId="0" borderId="25" xfId="0" applyNumberFormat="1" applyBorder="1"/>
    <xf numFmtId="164" fontId="0" fillId="0" borderId="14" xfId="0" applyNumberFormat="1" applyBorder="1"/>
    <xf numFmtId="0" fontId="0" fillId="0" borderId="15" xfId="0" applyBorder="1"/>
    <xf numFmtId="164" fontId="0" fillId="0" borderId="26" xfId="0" applyNumberFormat="1" applyBorder="1"/>
    <xf numFmtId="164" fontId="0" fillId="0" borderId="11" xfId="0" applyNumberFormat="1" applyBorder="1"/>
    <xf numFmtId="0" fontId="0" fillId="0" borderId="6" xfId="0" applyBorder="1" applyAlignment="1">
      <alignment wrapText="1"/>
    </xf>
    <xf numFmtId="164" fontId="0" fillId="0" borderId="28" xfId="1" applyNumberFormat="1" applyFont="1" applyBorder="1" applyAlignment="1" applyProtection="1">
      <alignment horizontal="center"/>
    </xf>
    <xf numFmtId="164" fontId="0" fillId="0" borderId="17" xfId="0" applyNumberFormat="1" applyBorder="1" applyAlignment="1">
      <alignment horizontal="center"/>
    </xf>
    <xf numFmtId="0" fontId="10" fillId="0" borderId="0" xfId="0" applyFont="1" applyAlignment="1">
      <alignment horizontal="center" vertical="center" readingOrder="1"/>
    </xf>
    <xf numFmtId="0" fontId="10" fillId="0" borderId="0" xfId="0" applyFont="1" applyAlignment="1">
      <alignment horizontal="left" vertical="center" readingOrder="1"/>
    </xf>
    <xf numFmtId="0" fontId="4" fillId="2" borderId="2" xfId="2" applyFont="1" applyFill="1" applyBorder="1"/>
    <xf numFmtId="0" fontId="1" fillId="0" borderId="3" xfId="2" applyBorder="1"/>
    <xf numFmtId="0" fontId="1" fillId="0" borderId="4" xfId="2" applyBorder="1"/>
    <xf numFmtId="0" fontId="1" fillId="0" borderId="0" xfId="2"/>
    <xf numFmtId="0" fontId="1" fillId="0" borderId="7" xfId="2" applyBorder="1"/>
    <xf numFmtId="0" fontId="1" fillId="0" borderId="6" xfId="2" applyBorder="1"/>
    <xf numFmtId="0" fontId="1" fillId="2" borderId="4" xfId="2" applyFill="1" applyBorder="1"/>
    <xf numFmtId="164" fontId="1" fillId="0" borderId="1" xfId="1" applyNumberFormat="1" applyFont="1" applyFill="1" applyBorder="1" applyAlignment="1" applyProtection="1">
      <alignment horizontal="center"/>
      <protection locked="0"/>
    </xf>
    <xf numFmtId="164" fontId="1" fillId="0" borderId="1" xfId="2" applyNumberFormat="1" applyBorder="1" applyAlignment="1" applyProtection="1">
      <alignment horizontal="center"/>
      <protection locked="0"/>
    </xf>
    <xf numFmtId="0" fontId="5" fillId="0" borderId="8" xfId="2" applyFont="1" applyBorder="1" applyAlignment="1">
      <alignment wrapText="1"/>
    </xf>
    <xf numFmtId="0" fontId="5" fillId="0" borderId="5" xfId="2" applyFont="1" applyBorder="1"/>
    <xf numFmtId="0" fontId="1" fillId="0" borderId="5" xfId="2" applyBorder="1"/>
    <xf numFmtId="0" fontId="1" fillId="0" borderId="0" xfId="2" applyAlignment="1">
      <alignment wrapText="1"/>
    </xf>
    <xf numFmtId="0" fontId="1" fillId="0" borderId="6" xfId="2" applyBorder="1" applyAlignment="1">
      <alignment wrapText="1"/>
    </xf>
    <xf numFmtId="0" fontId="1" fillId="2" borderId="3" xfId="2" applyFill="1" applyBorder="1"/>
    <xf numFmtId="164" fontId="1" fillId="0" borderId="18" xfId="2" applyNumberFormat="1" applyBorder="1" applyAlignment="1">
      <alignment horizontal="center"/>
    </xf>
    <xf numFmtId="164" fontId="1" fillId="0" borderId="17" xfId="2" applyNumberFormat="1" applyBorder="1" applyAlignment="1">
      <alignment horizontal="center"/>
    </xf>
    <xf numFmtId="0" fontId="1" fillId="0" borderId="8" xfId="2" applyBorder="1"/>
    <xf numFmtId="164" fontId="1" fillId="0" borderId="1" xfId="1" applyNumberFormat="1" applyFont="1" applyFill="1" applyBorder="1" applyAlignment="1" applyProtection="1">
      <alignment horizontal="center"/>
    </xf>
    <xf numFmtId="164" fontId="1" fillId="0" borderId="18" xfId="1" applyNumberFormat="1" applyFont="1" applyFill="1" applyBorder="1" applyAlignment="1" applyProtection="1">
      <alignment horizontal="center"/>
    </xf>
    <xf numFmtId="164" fontId="1" fillId="0" borderId="27" xfId="1" applyNumberFormat="1" applyFont="1" applyFill="1" applyBorder="1" applyAlignment="1" applyProtection="1">
      <alignment horizontal="center"/>
    </xf>
    <xf numFmtId="1" fontId="1" fillId="0" borderId="7" xfId="1" applyNumberFormat="1" applyFont="1" applyFill="1" applyBorder="1" applyAlignment="1" applyProtection="1">
      <alignment horizontal="center"/>
    </xf>
    <xf numFmtId="164" fontId="1" fillId="0" borderId="17" xfId="1" applyNumberFormat="1" applyFont="1" applyFill="1" applyBorder="1" applyAlignment="1" applyProtection="1">
      <alignment horizontal="center"/>
    </xf>
    <xf numFmtId="1" fontId="1" fillId="0" borderId="0" xfId="1" applyNumberFormat="1" applyFont="1" applyFill="1" applyBorder="1" applyAlignment="1" applyProtection="1">
      <alignment horizontal="center"/>
    </xf>
    <xf numFmtId="0" fontId="1" fillId="0" borderId="29" xfId="2" applyBorder="1"/>
    <xf numFmtId="164" fontId="1" fillId="0" borderId="1" xfId="2" applyNumberFormat="1" applyBorder="1" applyAlignment="1">
      <alignment horizontal="center"/>
    </xf>
    <xf numFmtId="0" fontId="1" fillId="0" borderId="2" xfId="2" applyBorder="1"/>
    <xf numFmtId="0" fontId="1" fillId="0" borderId="0" xfId="0" applyFont="1"/>
    <xf numFmtId="164" fontId="1" fillId="0" borderId="2" xfId="2" applyNumberFormat="1" applyBorder="1" applyAlignment="1" applyProtection="1">
      <alignment horizontal="center"/>
      <protection locked="0"/>
    </xf>
    <xf numFmtId="0" fontId="0" fillId="0" borderId="32" xfId="0" applyBorder="1"/>
    <xf numFmtId="0" fontId="0" fillId="0" borderId="33" xfId="0" applyBorder="1"/>
    <xf numFmtId="0" fontId="1" fillId="0" borderId="32" xfId="2" applyBorder="1"/>
    <xf numFmtId="0" fontId="1" fillId="0" borderId="33" xfId="2" applyBorder="1"/>
    <xf numFmtId="0" fontId="11" fillId="0" borderId="7" xfId="0" applyFont="1" applyBorder="1"/>
    <xf numFmtId="0" fontId="3" fillId="0" borderId="0" xfId="0" applyFont="1"/>
    <xf numFmtId="0" fontId="2" fillId="0" borderId="7" xfId="0" applyFont="1" applyBorder="1"/>
    <xf numFmtId="0" fontId="2" fillId="0" borderId="7" xfId="2" applyFont="1" applyBorder="1"/>
    <xf numFmtId="0" fontId="3" fillId="0" borderId="0" xfId="2" applyFont="1"/>
    <xf numFmtId="164" fontId="1" fillId="0" borderId="0" xfId="2" applyNumberFormat="1" applyAlignment="1">
      <alignment horizontal="center"/>
    </xf>
    <xf numFmtId="0" fontId="1" fillId="0" borderId="6" xfId="0" applyFont="1" applyBorder="1"/>
    <xf numFmtId="0" fontId="1" fillId="0" borderId="0" xfId="0" applyFont="1" applyAlignment="1">
      <alignment wrapText="1"/>
    </xf>
    <xf numFmtId="0" fontId="1" fillId="0" borderId="7" xfId="0" applyFont="1" applyBorder="1"/>
    <xf numFmtId="0" fontId="1" fillId="0" borderId="29" xfId="0" applyFont="1" applyBorder="1"/>
    <xf numFmtId="0" fontId="1" fillId="0" borderId="0" xfId="0" applyFont="1" applyAlignment="1">
      <alignment horizontal="center"/>
    </xf>
    <xf numFmtId="0" fontId="1" fillId="0" borderId="2" xfId="0" applyFont="1" applyBorder="1"/>
    <xf numFmtId="2" fontId="1" fillId="0" borderId="13" xfId="0" applyNumberFormat="1" applyFont="1" applyBorder="1" applyAlignment="1">
      <alignment horizontal="center"/>
    </xf>
    <xf numFmtId="0" fontId="1" fillId="0" borderId="9" xfId="0" applyFont="1" applyBorder="1" applyAlignment="1">
      <alignment horizontal="center"/>
    </xf>
    <xf numFmtId="0" fontId="1" fillId="0" borderId="17" xfId="0" applyFont="1" applyBorder="1" applyAlignment="1">
      <alignment horizontal="center"/>
    </xf>
    <xf numFmtId="2" fontId="1" fillId="0" borderId="10" xfId="0" applyNumberFormat="1" applyFont="1" applyBorder="1" applyAlignment="1">
      <alignment horizontal="center"/>
    </xf>
    <xf numFmtId="2" fontId="1" fillId="0" borderId="25" xfId="0" applyNumberFormat="1" applyFont="1" applyBorder="1" applyAlignment="1">
      <alignment horizontal="center"/>
    </xf>
    <xf numFmtId="0" fontId="1" fillId="0" borderId="0" xfId="0" applyFont="1" applyAlignment="1" applyProtection="1">
      <alignment horizontal="center"/>
      <protection locked="0"/>
    </xf>
    <xf numFmtId="0" fontId="1" fillId="0" borderId="21" xfId="0" applyFont="1" applyBorder="1" applyAlignment="1">
      <alignment horizontal="center"/>
    </xf>
    <xf numFmtId="0" fontId="1" fillId="0" borderId="22" xfId="0" applyFont="1" applyBorder="1" applyAlignment="1">
      <alignment horizontal="center"/>
    </xf>
    <xf numFmtId="0" fontId="1" fillId="0" borderId="13" xfId="0" applyFont="1" applyBorder="1" applyAlignment="1">
      <alignment horizontal="center"/>
    </xf>
    <xf numFmtId="0" fontId="1" fillId="0" borderId="0" xfId="0" applyFont="1" applyAlignment="1">
      <alignment horizontal="right"/>
    </xf>
    <xf numFmtId="2" fontId="1" fillId="0" borderId="0" xfId="0" applyNumberFormat="1" applyFont="1" applyAlignment="1">
      <alignment horizontal="center"/>
    </xf>
    <xf numFmtId="0" fontId="1" fillId="0" borderId="15" xfId="0" applyFont="1" applyBorder="1" applyAlignment="1">
      <alignment horizontal="center"/>
    </xf>
    <xf numFmtId="1" fontId="1" fillId="0" borderId="0" xfId="0" applyNumberFormat="1" applyFont="1" applyAlignment="1">
      <alignment horizontal="right"/>
    </xf>
    <xf numFmtId="9" fontId="1" fillId="0" borderId="0" xfId="1" applyFont="1"/>
    <xf numFmtId="1" fontId="1" fillId="0" borderId="0" xfId="0" applyNumberFormat="1" applyFont="1"/>
    <xf numFmtId="0" fontId="1" fillId="0" borderId="24" xfId="3" applyBorder="1" applyAlignment="1">
      <alignment horizontal="center" vertical="center"/>
    </xf>
    <xf numFmtId="0" fontId="1" fillId="0" borderId="25" xfId="3" applyBorder="1" applyAlignment="1">
      <alignment horizontal="center" vertical="center"/>
    </xf>
    <xf numFmtId="0" fontId="1" fillId="0" borderId="20" xfId="3" applyBorder="1" applyAlignment="1">
      <alignment horizontal="center" vertical="center"/>
    </xf>
    <xf numFmtId="166" fontId="11" fillId="0" borderId="0" xfId="4"/>
    <xf numFmtId="0" fontId="1" fillId="0" borderId="13" xfId="3" applyBorder="1" applyAlignment="1">
      <alignment horizontal="center" vertical="center"/>
    </xf>
    <xf numFmtId="0" fontId="1" fillId="0" borderId="0" xfId="3" applyAlignment="1">
      <alignment horizontal="center" vertical="center"/>
    </xf>
    <xf numFmtId="0" fontId="1" fillId="0" borderId="14" xfId="3" applyBorder="1" applyAlignment="1">
      <alignment horizontal="center" vertical="center"/>
    </xf>
    <xf numFmtId="0" fontId="13" fillId="0" borderId="0" xfId="3" applyFont="1" applyAlignment="1">
      <alignment horizontal="center" vertical="top"/>
    </xf>
    <xf numFmtId="0" fontId="1" fillId="0" borderId="0" xfId="3" applyAlignment="1">
      <alignment horizontal="center"/>
    </xf>
    <xf numFmtId="0" fontId="3" fillId="0" borderId="0" xfId="3" applyFont="1" applyAlignment="1">
      <alignment horizontal="center" vertical="top"/>
    </xf>
    <xf numFmtId="0" fontId="14" fillId="0" borderId="14" xfId="3" applyFont="1" applyBorder="1" applyAlignment="1">
      <alignment horizontal="center" vertical="top"/>
    </xf>
    <xf numFmtId="0" fontId="15" fillId="0" borderId="13" xfId="3" applyFont="1" applyBorder="1" applyAlignment="1">
      <alignment horizontal="center" vertical="center"/>
    </xf>
    <xf numFmtId="0" fontId="15" fillId="0" borderId="0" xfId="3" applyFont="1" applyAlignment="1">
      <alignment horizontal="center" vertical="center"/>
    </xf>
    <xf numFmtId="0" fontId="16" fillId="0" borderId="0" xfId="3" applyFont="1" applyAlignment="1">
      <alignment horizontal="center" vertical="center"/>
    </xf>
    <xf numFmtId="0" fontId="15" fillId="0" borderId="14" xfId="3" applyFont="1" applyBorder="1" applyAlignment="1">
      <alignment horizontal="center" vertical="center"/>
    </xf>
    <xf numFmtId="0" fontId="1" fillId="0" borderId="8" xfId="0" applyFont="1" applyBorder="1"/>
    <xf numFmtId="1" fontId="1" fillId="3" borderId="1" xfId="1" applyNumberFormat="1" applyFont="1" applyFill="1" applyBorder="1" applyAlignment="1" applyProtection="1">
      <alignment horizontal="center"/>
      <protection locked="0"/>
    </xf>
    <xf numFmtId="164" fontId="1" fillId="3" borderId="1" xfId="1" applyNumberFormat="1" applyFont="1" applyFill="1" applyBorder="1" applyAlignment="1" applyProtection="1">
      <alignment horizontal="center"/>
      <protection locked="0"/>
    </xf>
    <xf numFmtId="164" fontId="1" fillId="3" borderId="1" xfId="0" applyNumberFormat="1" applyFont="1" applyFill="1" applyBorder="1" applyAlignment="1" applyProtection="1">
      <alignment horizontal="center"/>
      <protection locked="0"/>
    </xf>
    <xf numFmtId="0" fontId="0" fillId="0" borderId="25" xfId="0" applyBorder="1" applyAlignment="1">
      <alignment horizontal="right"/>
    </xf>
    <xf numFmtId="164" fontId="0" fillId="0" borderId="25" xfId="0" applyNumberFormat="1" applyBorder="1" applyAlignment="1">
      <alignment horizontal="center"/>
    </xf>
    <xf numFmtId="0" fontId="1" fillId="0" borderId="47" xfId="0" applyFont="1" applyBorder="1" applyAlignment="1">
      <alignment horizontal="right"/>
    </xf>
    <xf numFmtId="0" fontId="1" fillId="0" borderId="25" xfId="0" applyFont="1" applyBorder="1" applyAlignment="1">
      <alignment horizontal="right"/>
    </xf>
    <xf numFmtId="164" fontId="0" fillId="0" borderId="1" xfId="0" applyNumberFormat="1" applyBorder="1" applyAlignment="1">
      <alignment horizontal="center"/>
    </xf>
    <xf numFmtId="164" fontId="0" fillId="0" borderId="18" xfId="1" applyNumberFormat="1" applyFont="1" applyBorder="1" applyAlignment="1" applyProtection="1">
      <alignment horizontal="center"/>
    </xf>
    <xf numFmtId="164" fontId="0" fillId="0" borderId="5" xfId="0" applyNumberFormat="1" applyBorder="1" applyAlignment="1">
      <alignment horizontal="center"/>
    </xf>
    <xf numFmtId="0" fontId="1" fillId="5" borderId="2" xfId="0" applyFont="1" applyFill="1" applyBorder="1"/>
    <xf numFmtId="0" fontId="1" fillId="5" borderId="3" xfId="0" applyFont="1" applyFill="1" applyBorder="1"/>
    <xf numFmtId="0" fontId="1" fillId="5" borderId="4" xfId="0" applyFont="1" applyFill="1" applyBorder="1"/>
    <xf numFmtId="0" fontId="1" fillId="5" borderId="2" xfId="0" quotePrefix="1" applyFont="1" applyFill="1" applyBorder="1" applyAlignment="1">
      <alignment horizontal="right"/>
    </xf>
    <xf numFmtId="0" fontId="1" fillId="5" borderId="2" xfId="2" applyFill="1" applyBorder="1"/>
    <xf numFmtId="0" fontId="1" fillId="5" borderId="3" xfId="2" applyFill="1" applyBorder="1"/>
    <xf numFmtId="0" fontId="1" fillId="5" borderId="4" xfId="2" applyFill="1" applyBorder="1"/>
    <xf numFmtId="0" fontId="1" fillId="5" borderId="2" xfId="2" quotePrefix="1" applyFill="1" applyBorder="1" applyAlignment="1">
      <alignment horizontal="right"/>
    </xf>
    <xf numFmtId="0" fontId="1" fillId="0" borderId="7" xfId="2" applyBorder="1" applyAlignment="1">
      <alignment horizontal="right"/>
    </xf>
    <xf numFmtId="0" fontId="1" fillId="0" borderId="0" xfId="2" applyAlignment="1">
      <alignment horizontal="right"/>
    </xf>
    <xf numFmtId="0" fontId="15" fillId="0" borderId="24" xfId="3" applyFont="1" applyBorder="1" applyAlignment="1">
      <alignment horizontal="center" vertical="center" wrapText="1"/>
    </xf>
    <xf numFmtId="0" fontId="15" fillId="0" borderId="25" xfId="3" applyFont="1" applyBorder="1" applyAlignment="1">
      <alignment horizontal="center" vertical="center" wrapText="1"/>
    </xf>
    <xf numFmtId="0" fontId="15" fillId="0" borderId="20" xfId="3" applyFont="1" applyBorder="1" applyAlignment="1">
      <alignment horizontal="center" vertical="center" wrapText="1"/>
    </xf>
    <xf numFmtId="0" fontId="15" fillId="0" borderId="13" xfId="3" applyFont="1" applyBorder="1" applyAlignment="1">
      <alignment horizontal="center" vertical="center" wrapText="1"/>
    </xf>
    <xf numFmtId="0" fontId="15" fillId="0" borderId="0" xfId="3" applyFont="1" applyAlignment="1">
      <alignment horizontal="center" vertical="center" wrapText="1"/>
    </xf>
    <xf numFmtId="0" fontId="15" fillId="0" borderId="14" xfId="3" applyFont="1" applyBorder="1" applyAlignment="1">
      <alignment horizontal="center" vertical="center" wrapText="1"/>
    </xf>
    <xf numFmtId="0" fontId="15" fillId="0" borderId="15" xfId="3" applyFont="1" applyBorder="1" applyAlignment="1">
      <alignment horizontal="center" vertical="center" wrapText="1"/>
    </xf>
    <xf numFmtId="0" fontId="15" fillId="0" borderId="26" xfId="3" applyFont="1" applyBorder="1" applyAlignment="1">
      <alignment horizontal="center" vertical="center" wrapText="1"/>
    </xf>
    <xf numFmtId="0" fontId="15" fillId="0" borderId="11" xfId="3" applyFont="1" applyBorder="1" applyAlignment="1">
      <alignment horizontal="center" vertical="center" wrapText="1"/>
    </xf>
    <xf numFmtId="0" fontId="1" fillId="0" borderId="35" xfId="3" applyBorder="1" applyAlignment="1">
      <alignment horizontal="center" vertical="center"/>
    </xf>
    <xf numFmtId="0" fontId="1" fillId="0" borderId="36" xfId="3" applyBorder="1" applyAlignment="1">
      <alignment horizontal="center" vertical="center"/>
    </xf>
    <xf numFmtId="0" fontId="1" fillId="0" borderId="37" xfId="3" applyBorder="1" applyAlignment="1">
      <alignment horizontal="center" vertical="center"/>
    </xf>
    <xf numFmtId="0" fontId="1" fillId="0" borderId="38" xfId="3" applyBorder="1" applyAlignment="1">
      <alignment horizontal="center" vertical="center"/>
    </xf>
    <xf numFmtId="0" fontId="1" fillId="0" borderId="39" xfId="3" applyBorder="1" applyAlignment="1">
      <alignment horizontal="center" vertical="center"/>
    </xf>
    <xf numFmtId="0" fontId="1" fillId="0" borderId="2" xfId="3" applyBorder="1" applyAlignment="1">
      <alignment horizontal="center" vertical="center"/>
    </xf>
    <xf numFmtId="0" fontId="1" fillId="0" borderId="3" xfId="3" applyBorder="1" applyAlignment="1">
      <alignment horizontal="center" vertical="center"/>
    </xf>
    <xf numFmtId="0" fontId="1" fillId="0" borderId="41" xfId="3" applyBorder="1" applyAlignment="1">
      <alignment horizontal="center" vertical="center"/>
    </xf>
    <xf numFmtId="0" fontId="1" fillId="0" borderId="40" xfId="3" applyBorder="1" applyAlignment="1">
      <alignment horizontal="center" vertical="center"/>
    </xf>
    <xf numFmtId="0" fontId="1" fillId="0" borderId="4" xfId="3" applyBorder="1" applyAlignment="1">
      <alignment horizontal="center" vertical="center"/>
    </xf>
    <xf numFmtId="0" fontId="2" fillId="0" borderId="2" xfId="3" applyFont="1" applyBorder="1" applyAlignment="1">
      <alignment horizontal="center" vertical="center" wrapText="1"/>
    </xf>
    <xf numFmtId="0" fontId="2" fillId="0" borderId="3" xfId="3" applyFont="1" applyBorder="1" applyAlignment="1">
      <alignment horizontal="center" vertical="center" wrapText="1"/>
    </xf>
    <xf numFmtId="0" fontId="2" fillId="0" borderId="41" xfId="3" applyFont="1" applyBorder="1" applyAlignment="1">
      <alignment horizontal="center" vertical="center" wrapText="1"/>
    </xf>
    <xf numFmtId="0" fontId="2" fillId="0" borderId="40" xfId="3" applyFont="1" applyBorder="1" applyAlignment="1">
      <alignment horizontal="center" vertical="center"/>
    </xf>
    <xf numFmtId="0" fontId="2" fillId="0" borderId="4" xfId="3" applyFont="1" applyBorder="1" applyAlignment="1">
      <alignment horizontal="center" vertical="center"/>
    </xf>
    <xf numFmtId="14" fontId="2" fillId="0" borderId="2" xfId="3" applyNumberFormat="1" applyFont="1" applyBorder="1" applyAlignment="1">
      <alignment horizontal="center" vertical="center"/>
    </xf>
    <xf numFmtId="14" fontId="2" fillId="0" borderId="3" xfId="3" applyNumberFormat="1" applyFont="1" applyBorder="1" applyAlignment="1">
      <alignment horizontal="center" vertical="center"/>
    </xf>
    <xf numFmtId="14" fontId="2" fillId="0" borderId="4" xfId="3" applyNumberFormat="1" applyFont="1" applyBorder="1" applyAlignment="1">
      <alignment horizontal="center" vertical="center"/>
    </xf>
    <xf numFmtId="0" fontId="2" fillId="0" borderId="4" xfId="3" applyFont="1" applyBorder="1" applyAlignment="1">
      <alignment horizontal="center" vertical="center" wrapText="1"/>
    </xf>
    <xf numFmtId="0" fontId="2" fillId="0" borderId="2" xfId="3" applyFont="1" applyBorder="1" applyAlignment="1">
      <alignment horizontal="center" vertical="center"/>
    </xf>
    <xf numFmtId="0" fontId="2" fillId="0" borderId="3" xfId="3" applyFont="1" applyBorder="1" applyAlignment="1">
      <alignment horizontal="center" vertical="center"/>
    </xf>
    <xf numFmtId="167" fontId="0" fillId="0" borderId="15" xfId="5" applyFont="1" applyBorder="1" applyAlignment="1">
      <alignment horizontal="right" vertical="center"/>
    </xf>
    <xf numFmtId="167" fontId="11" fillId="0" borderId="26" xfId="5" applyFont="1" applyBorder="1" applyAlignment="1">
      <alignment horizontal="right" vertical="center"/>
    </xf>
    <xf numFmtId="167" fontId="11" fillId="0" borderId="11" xfId="5" applyFont="1" applyBorder="1" applyAlignment="1">
      <alignment horizontal="right" vertical="center"/>
    </xf>
    <xf numFmtId="167" fontId="1" fillId="0" borderId="42" xfId="5" applyFont="1" applyBorder="1" applyAlignment="1">
      <alignment horizontal="center" vertical="center"/>
    </xf>
    <xf numFmtId="167" fontId="1" fillId="0" borderId="43" xfId="5" applyFont="1" applyBorder="1" applyAlignment="1">
      <alignment horizontal="center" vertical="center"/>
    </xf>
    <xf numFmtId="0" fontId="17" fillId="0" borderId="44" xfId="3" applyFont="1" applyBorder="1" applyAlignment="1">
      <alignment horizontal="center" vertical="center"/>
    </xf>
    <xf numFmtId="0" fontId="17" fillId="0" borderId="45" xfId="3" applyFont="1" applyBorder="1" applyAlignment="1">
      <alignment horizontal="center" vertical="center"/>
    </xf>
    <xf numFmtId="0" fontId="17" fillId="0" borderId="43" xfId="3" applyFont="1" applyBorder="1" applyAlignment="1">
      <alignment horizontal="center" vertical="center"/>
    </xf>
    <xf numFmtId="0" fontId="17" fillId="0" borderId="46" xfId="3" applyFont="1" applyBorder="1" applyAlignment="1">
      <alignment horizontal="center" vertical="center"/>
    </xf>
    <xf numFmtId="0" fontId="1" fillId="0" borderId="2" xfId="0" applyFont="1" applyBorder="1" applyAlignment="1">
      <alignment wrapText="1"/>
    </xf>
    <xf numFmtId="0" fontId="0" fillId="0" borderId="3" xfId="0" applyBorder="1" applyAlignment="1">
      <alignment wrapText="1"/>
    </xf>
    <xf numFmtId="0" fontId="0" fillId="0" borderId="4" xfId="0" applyBorder="1" applyAlignment="1">
      <alignment wrapText="1"/>
    </xf>
    <xf numFmtId="0" fontId="1" fillId="5" borderId="2" xfId="0" applyFont="1" applyFill="1" applyBorder="1"/>
    <xf numFmtId="0" fontId="0" fillId="5" borderId="3" xfId="0" applyFill="1" applyBorder="1"/>
    <xf numFmtId="0" fontId="0" fillId="5" borderId="4" xfId="0" applyFill="1" applyBorder="1"/>
    <xf numFmtId="0" fontId="1" fillId="5" borderId="16" xfId="0" applyFont="1" applyFill="1" applyBorder="1"/>
    <xf numFmtId="0" fontId="0" fillId="5" borderId="32" xfId="0" applyFill="1" applyBorder="1"/>
    <xf numFmtId="0" fontId="0" fillId="5" borderId="33" xfId="0" applyFill="1" applyBorder="1"/>
    <xf numFmtId="0" fontId="4" fillId="2" borderId="2" xfId="0" applyFont="1" applyFill="1" applyBorder="1"/>
    <xf numFmtId="0" fontId="0" fillId="0" borderId="3" xfId="0" applyBorder="1"/>
    <xf numFmtId="0" fontId="0" fillId="0" borderId="4" xfId="0" applyBorder="1"/>
    <xf numFmtId="0" fontId="1" fillId="3" borderId="2" xfId="0" applyFont="1" applyFill="1" applyBorder="1" applyAlignment="1" applyProtection="1">
      <alignment horizontal="center"/>
      <protection locked="0"/>
    </xf>
    <xf numFmtId="0" fontId="1" fillId="3" borderId="3" xfId="0" applyFont="1" applyFill="1" applyBorder="1" applyAlignment="1" applyProtection="1">
      <alignment horizontal="center"/>
      <protection locked="0"/>
    </xf>
    <xf numFmtId="0" fontId="1" fillId="3" borderId="4" xfId="0" applyFont="1" applyFill="1" applyBorder="1" applyAlignment="1" applyProtection="1">
      <alignment horizontal="center"/>
      <protection locked="0"/>
    </xf>
    <xf numFmtId="49" fontId="1" fillId="3" borderId="2" xfId="0" applyNumberFormat="1" applyFont="1" applyFill="1" applyBorder="1" applyAlignment="1" applyProtection="1">
      <alignment horizontal="center"/>
      <protection locked="0"/>
    </xf>
    <xf numFmtId="49" fontId="1" fillId="3" borderId="3" xfId="0" applyNumberFormat="1" applyFont="1" applyFill="1" applyBorder="1" applyAlignment="1" applyProtection="1">
      <alignment horizontal="center"/>
      <protection locked="0"/>
    </xf>
    <xf numFmtId="49" fontId="1" fillId="3" borderId="4" xfId="0" applyNumberFormat="1" applyFont="1" applyFill="1" applyBorder="1" applyAlignment="1" applyProtection="1">
      <alignment horizontal="center"/>
      <protection locked="0"/>
    </xf>
    <xf numFmtId="0" fontId="1" fillId="5" borderId="1" xfId="0" applyFont="1" applyFill="1" applyBorder="1"/>
    <xf numFmtId="0" fontId="0" fillId="5" borderId="1" xfId="0" applyFill="1" applyBorder="1"/>
    <xf numFmtId="0" fontId="1" fillId="5" borderId="2" xfId="0" applyFont="1" applyFill="1" applyBorder="1" applyAlignment="1">
      <alignment horizontal="right"/>
    </xf>
    <xf numFmtId="0" fontId="1" fillId="5" borderId="34" xfId="0" applyFont="1" applyFill="1" applyBorder="1"/>
    <xf numFmtId="0" fontId="0" fillId="5" borderId="12" xfId="0" applyFill="1" applyBorder="1"/>
    <xf numFmtId="0" fontId="0" fillId="5" borderId="31" xfId="0" applyFill="1" applyBorder="1"/>
    <xf numFmtId="0" fontId="1" fillId="0" borderId="8" xfId="0" applyFont="1" applyBorder="1"/>
    <xf numFmtId="0" fontId="0" fillId="0" borderId="5" xfId="0" applyBorder="1"/>
    <xf numFmtId="0" fontId="1" fillId="5" borderId="1" xfId="0" applyFont="1" applyFill="1" applyBorder="1" applyAlignment="1">
      <alignment horizontal="right"/>
    </xf>
    <xf numFmtId="0" fontId="1" fillId="0" borderId="5" xfId="0" applyFont="1" applyBorder="1" applyAlignment="1">
      <alignment wrapText="1"/>
    </xf>
    <xf numFmtId="0" fontId="0" fillId="0" borderId="5" xfId="0" applyBorder="1" applyAlignment="1">
      <alignment wrapText="1"/>
    </xf>
    <xf numFmtId="0" fontId="0" fillId="0" borderId="30" xfId="0" applyBorder="1" applyAlignment="1">
      <alignment wrapText="1"/>
    </xf>
    <xf numFmtId="0" fontId="5" fillId="0" borderId="8" xfId="0" applyFont="1" applyBorder="1" applyAlignment="1">
      <alignment wrapText="1"/>
    </xf>
    <xf numFmtId="0" fontId="5" fillId="0" borderId="5" xfId="0" applyFont="1" applyBorder="1"/>
    <xf numFmtId="0" fontId="1" fillId="5" borderId="34" xfId="0" applyFont="1" applyFill="1" applyBorder="1" applyAlignment="1">
      <alignment horizontal="right"/>
    </xf>
    <xf numFmtId="0" fontId="0" fillId="5" borderId="10" xfId="0" applyFill="1" applyBorder="1" applyAlignment="1">
      <alignment horizontal="right"/>
    </xf>
    <xf numFmtId="0" fontId="1" fillId="5" borderId="9" xfId="0" applyFont="1" applyFill="1" applyBorder="1" applyAlignment="1">
      <alignment horizontal="right"/>
    </xf>
    <xf numFmtId="0" fontId="0" fillId="5" borderId="1" xfId="0" applyFill="1" applyBorder="1" applyAlignment="1">
      <alignment horizontal="right"/>
    </xf>
    <xf numFmtId="0" fontId="1" fillId="5" borderId="1" xfId="2" applyFill="1" applyBorder="1"/>
    <xf numFmtId="0" fontId="4" fillId="2" borderId="2" xfId="2" applyFont="1" applyFill="1" applyBorder="1"/>
    <xf numFmtId="0" fontId="1" fillId="0" borderId="3" xfId="2" applyBorder="1"/>
    <xf numFmtId="0" fontId="1" fillId="0" borderId="4" xfId="2" applyBorder="1"/>
    <xf numFmtId="0" fontId="1" fillId="3" borderId="2" xfId="2" applyFill="1" applyBorder="1" applyAlignment="1" applyProtection="1">
      <alignment horizontal="center"/>
      <protection locked="0"/>
    </xf>
    <xf numFmtId="0" fontId="1" fillId="3" borderId="3" xfId="2" applyFill="1" applyBorder="1" applyAlignment="1" applyProtection="1">
      <alignment horizontal="center"/>
      <protection locked="0"/>
    </xf>
    <xf numFmtId="0" fontId="1" fillId="3" borderId="4" xfId="2" applyFill="1" applyBorder="1" applyAlignment="1" applyProtection="1">
      <alignment horizontal="center"/>
      <protection locked="0"/>
    </xf>
    <xf numFmtId="49" fontId="1" fillId="3" borderId="2" xfId="2" applyNumberFormat="1" applyFill="1" applyBorder="1" applyAlignment="1" applyProtection="1">
      <alignment horizontal="center"/>
      <protection locked="0"/>
    </xf>
    <xf numFmtId="49" fontId="1" fillId="3" borderId="3" xfId="2" applyNumberFormat="1" applyFill="1" applyBorder="1" applyAlignment="1" applyProtection="1">
      <alignment horizontal="center"/>
      <protection locked="0"/>
    </xf>
    <xf numFmtId="49" fontId="1" fillId="3" borderId="4" xfId="2" applyNumberFormat="1" applyFill="1" applyBorder="1" applyAlignment="1" applyProtection="1">
      <alignment horizontal="center"/>
      <protection locked="0"/>
    </xf>
    <xf numFmtId="0" fontId="1" fillId="5" borderId="9" xfId="2" applyFill="1" applyBorder="1" applyAlignment="1">
      <alignment horizontal="right"/>
    </xf>
    <xf numFmtId="0" fontId="1" fillId="5" borderId="10" xfId="2" applyFill="1" applyBorder="1" applyAlignment="1">
      <alignment horizontal="right"/>
    </xf>
    <xf numFmtId="0" fontId="1" fillId="5" borderId="1" xfId="2" applyFill="1" applyBorder="1" applyAlignment="1">
      <alignment horizontal="right"/>
    </xf>
    <xf numFmtId="0" fontId="5" fillId="0" borderId="8" xfId="2" applyFont="1" applyBorder="1" applyAlignment="1">
      <alignment wrapText="1"/>
    </xf>
    <xf numFmtId="0" fontId="5" fillId="0" borderId="5" xfId="2" applyFont="1" applyBorder="1"/>
    <xf numFmtId="0" fontId="1" fillId="0" borderId="5" xfId="2" applyBorder="1" applyAlignment="1">
      <alignment wrapText="1"/>
    </xf>
    <xf numFmtId="0" fontId="1" fillId="0" borderId="30" xfId="2" applyBorder="1" applyAlignment="1">
      <alignment wrapText="1"/>
    </xf>
    <xf numFmtId="0" fontId="1" fillId="5" borderId="2" xfId="2" applyFill="1" applyBorder="1"/>
    <xf numFmtId="0" fontId="1" fillId="5" borderId="3" xfId="2" applyFill="1" applyBorder="1"/>
    <xf numFmtId="0" fontId="1" fillId="5" borderId="4" xfId="2" applyFill="1" applyBorder="1"/>
    <xf numFmtId="0" fontId="1" fillId="5" borderId="16" xfId="2" applyFill="1" applyBorder="1"/>
    <xf numFmtId="0" fontId="1" fillId="5" borderId="32" xfId="2" applyFill="1" applyBorder="1"/>
    <xf numFmtId="0" fontId="1" fillId="5" borderId="33" xfId="2" applyFill="1" applyBorder="1"/>
    <xf numFmtId="0" fontId="1" fillId="5" borderId="34" xfId="2" applyFill="1" applyBorder="1"/>
    <xf numFmtId="0" fontId="1" fillId="5" borderId="12" xfId="2" applyFill="1" applyBorder="1"/>
    <xf numFmtId="0" fontId="1" fillId="5" borderId="31" xfId="2" applyFill="1" applyBorder="1"/>
    <xf numFmtId="0" fontId="1" fillId="5" borderId="34" xfId="2" applyFill="1" applyBorder="1" applyAlignment="1">
      <alignment horizontal="right"/>
    </xf>
    <xf numFmtId="0" fontId="0" fillId="5" borderId="18" xfId="0" applyFill="1" applyBorder="1"/>
    <xf numFmtId="0" fontId="0" fillId="5" borderId="2" xfId="0" applyFill="1" applyBorder="1" applyAlignment="1">
      <alignment horizontal="right"/>
    </xf>
    <xf numFmtId="0" fontId="1" fillId="5" borderId="2" xfId="2" applyFill="1" applyBorder="1" applyAlignment="1">
      <alignment horizontal="right"/>
    </xf>
    <xf numFmtId="0" fontId="1" fillId="0" borderId="2" xfId="2" applyBorder="1" applyAlignment="1">
      <alignment wrapText="1"/>
    </xf>
    <xf numFmtId="0" fontId="1" fillId="0" borderId="3" xfId="2" applyBorder="1" applyAlignment="1">
      <alignment wrapText="1"/>
    </xf>
    <xf numFmtId="0" fontId="1" fillId="0" borderId="4" xfId="2" applyBorder="1" applyAlignment="1">
      <alignment wrapText="1"/>
    </xf>
  </cellXfs>
  <cellStyles count="6">
    <cellStyle name="Normale" xfId="0" builtinId="0"/>
    <cellStyle name="Normale 2" xfId="2" xr:uid="{795928D0-5C76-4F0F-A20E-094B7972AE98}"/>
    <cellStyle name="Normale 3" xfId="4" xr:uid="{CCDA9F87-700F-46B1-ABE2-9A7FEFEE04DA}"/>
    <cellStyle name="Normale 4" xfId="3" xr:uid="{1F31EEB7-851A-454C-A7AF-C4A0785FBB11}"/>
    <cellStyle name="Percentuale" xfId="1" builtinId="5"/>
    <cellStyle name="Valuta 2" xfId="5" xr:uid="{15A848E2-2DF8-4433-8C76-CA47B9EF6C7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3.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externalLink" Target="externalLinks/externalLink5.xml"/><Relationship Id="rId4" Type="http://schemas.openxmlformats.org/officeDocument/2006/relationships/worksheet" Target="worksheets/sheet4.xml"/><Relationship Id="rId9" Type="http://schemas.openxmlformats.org/officeDocument/2006/relationships/externalLink" Target="externalLinks/externalLink4.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844511624106348"/>
          <c:y val="5.1250493424469697E-2"/>
          <c:w val="0.84716624288512654"/>
          <c:h val="0.841313979398984"/>
        </c:manualLayout>
      </c:layout>
      <c:scatterChart>
        <c:scatterStyle val="smoothMarker"/>
        <c:varyColors val="0"/>
        <c:ser>
          <c:idx val="5"/>
          <c:order val="0"/>
          <c:tx>
            <c:v>Pump MCSF</c:v>
          </c:tx>
          <c:spPr>
            <a:ln>
              <a:noFill/>
            </a:ln>
          </c:spPr>
          <c:xVal>
            <c:numRef>
              <c:f>Input_Output_US_units!$C$31</c:f>
              <c:numCache>
                <c:formatCode>0</c:formatCode>
                <c:ptCount val="1"/>
                <c:pt idx="0">
                  <c:v>2359.3784492248519</c:v>
                </c:pt>
              </c:numCache>
            </c:numRef>
          </c:xVal>
          <c:yVal>
            <c:numRef>
              <c:f>Input_Output_US_units!$E$16</c:f>
              <c:numCache>
                <c:formatCode>0.0</c:formatCode>
                <c:ptCount val="1"/>
                <c:pt idx="0">
                  <c:v>41.4399756103548</c:v>
                </c:pt>
              </c:numCache>
            </c:numRef>
          </c:yVal>
          <c:smooth val="1"/>
          <c:extLst>
            <c:ext xmlns:c16="http://schemas.microsoft.com/office/drawing/2014/chart" uri="{C3380CC4-5D6E-409C-BE32-E72D297353CC}">
              <c16:uniqueId val="{00000000-6BAD-48F2-8D69-4EAB14A4582E}"/>
            </c:ext>
          </c:extLst>
        </c:ser>
        <c:ser>
          <c:idx val="8"/>
          <c:order val="1"/>
          <c:tx>
            <c:v>Pump maximum flow</c:v>
          </c:tx>
          <c:spPr>
            <a:ln>
              <a:noFill/>
            </a:ln>
          </c:spPr>
          <c:marker>
            <c:symbol val="square"/>
            <c:size val="5"/>
          </c:marker>
          <c:xVal>
            <c:numRef>
              <c:f>Input_Output_US_units!$C$31</c:f>
              <c:numCache>
                <c:formatCode>0</c:formatCode>
                <c:ptCount val="1"/>
                <c:pt idx="0">
                  <c:v>2359.3784492248519</c:v>
                </c:pt>
              </c:numCache>
            </c:numRef>
          </c:xVal>
          <c:yVal>
            <c:numRef>
              <c:f>Input_Output_US_units!$E$25</c:f>
              <c:numCache>
                <c:formatCode>0.0</c:formatCode>
                <c:ptCount val="1"/>
                <c:pt idx="0">
                  <c:v>120</c:v>
                </c:pt>
              </c:numCache>
            </c:numRef>
          </c:yVal>
          <c:smooth val="1"/>
          <c:extLst>
            <c:ext xmlns:c16="http://schemas.microsoft.com/office/drawing/2014/chart" uri="{C3380CC4-5D6E-409C-BE32-E72D297353CC}">
              <c16:uniqueId val="{00000001-6BAD-48F2-8D69-4EAB14A4582E}"/>
            </c:ext>
          </c:extLst>
        </c:ser>
        <c:ser>
          <c:idx val="9"/>
          <c:order val="2"/>
          <c:tx>
            <c:v>Firepump maximum flow</c:v>
          </c:tx>
          <c:spPr>
            <a:ln>
              <a:noFill/>
            </a:ln>
          </c:spPr>
          <c:marker>
            <c:symbol val="diamond"/>
            <c:size val="7"/>
            <c:spPr>
              <a:solidFill>
                <a:srgbClr val="FF0000"/>
              </a:solidFill>
            </c:spPr>
          </c:marker>
          <c:xVal>
            <c:numRef>
              <c:f>Input_Output_US_units!$C$31</c:f>
              <c:numCache>
                <c:formatCode>0</c:formatCode>
                <c:ptCount val="1"/>
                <c:pt idx="0">
                  <c:v>2359.3784492248519</c:v>
                </c:pt>
              </c:numCache>
            </c:numRef>
          </c:xVal>
          <c:yVal>
            <c:numRef>
              <c:f>Input_Output_US_units!$E$29</c:f>
              <c:numCache>
                <c:formatCode>0.0</c:formatCode>
                <c:ptCount val="1"/>
                <c:pt idx="0">
                  <c:v>150</c:v>
                </c:pt>
              </c:numCache>
            </c:numRef>
          </c:yVal>
          <c:smooth val="1"/>
          <c:extLst>
            <c:ext xmlns:c16="http://schemas.microsoft.com/office/drawing/2014/chart" uri="{C3380CC4-5D6E-409C-BE32-E72D297353CC}">
              <c16:uniqueId val="{00000002-6BAD-48F2-8D69-4EAB14A4582E}"/>
            </c:ext>
          </c:extLst>
        </c:ser>
        <c:ser>
          <c:idx val="0"/>
          <c:order val="3"/>
          <c:tx>
            <c:v>MCSF @1 HP</c:v>
          </c:tx>
          <c:spPr>
            <a:ln>
              <a:prstDash val="sysDash"/>
            </a:ln>
          </c:spPr>
          <c:marker>
            <c:symbol val="none"/>
          </c:marker>
          <c:xVal>
            <c:numRef>
              <c:f>'Supporting data_US_units'!$F$6:$F$25</c:f>
              <c:numCache>
                <c:formatCode>General</c:formatCode>
                <c:ptCount val="20"/>
                <c:pt idx="0">
                  <c:v>200</c:v>
                </c:pt>
                <c:pt idx="1">
                  <c:v>500</c:v>
                </c:pt>
                <c:pt idx="2">
                  <c:v>1000</c:v>
                </c:pt>
                <c:pt idx="3">
                  <c:v>1500</c:v>
                </c:pt>
                <c:pt idx="4">
                  <c:v>2000</c:v>
                </c:pt>
                <c:pt idx="5">
                  <c:v>3000</c:v>
                </c:pt>
                <c:pt idx="6">
                  <c:v>4000</c:v>
                </c:pt>
                <c:pt idx="7">
                  <c:v>4500</c:v>
                </c:pt>
                <c:pt idx="8">
                  <c:v>5000</c:v>
                </c:pt>
                <c:pt idx="9">
                  <c:v>5250</c:v>
                </c:pt>
                <c:pt idx="10">
                  <c:v>5500</c:v>
                </c:pt>
                <c:pt idx="11">
                  <c:v>5750</c:v>
                </c:pt>
                <c:pt idx="12">
                  <c:v>6000</c:v>
                </c:pt>
                <c:pt idx="13">
                  <c:v>6250</c:v>
                </c:pt>
                <c:pt idx="14">
                  <c:v>6500</c:v>
                </c:pt>
                <c:pt idx="15">
                  <c:v>6750</c:v>
                </c:pt>
                <c:pt idx="16">
                  <c:v>7000</c:v>
                </c:pt>
                <c:pt idx="17">
                  <c:v>7250</c:v>
                </c:pt>
                <c:pt idx="18">
                  <c:v>7500</c:v>
                </c:pt>
                <c:pt idx="19">
                  <c:v>12000</c:v>
                </c:pt>
              </c:numCache>
            </c:numRef>
          </c:xVal>
          <c:yVal>
            <c:numRef>
              <c:f>'Supporting data_US_units'!$N$6:$N$25</c:f>
              <c:numCache>
                <c:formatCode>0.0</c:formatCode>
                <c:ptCount val="20"/>
                <c:pt idx="0">
                  <c:v>24.684150246984682</c:v>
                </c:pt>
                <c:pt idx="1">
                  <c:v>24.771484346226512</c:v>
                </c:pt>
                <c:pt idx="2">
                  <c:v>25.06652043709088</c:v>
                </c:pt>
                <c:pt idx="3">
                  <c:v>25.623397789553604</c:v>
                </c:pt>
                <c:pt idx="4">
                  <c:v>26.528645851428198</c:v>
                </c:pt>
                <c:pt idx="5">
                  <c:v>29.730371894667059</c:v>
                </c:pt>
                <c:pt idx="6">
                  <c:v>35.363934149315568</c:v>
                </c:pt>
                <c:pt idx="7">
                  <c:v>39.30897747545221</c:v>
                </c:pt>
                <c:pt idx="8">
                  <c:v>44.121568197881807</c:v>
                </c:pt>
                <c:pt idx="9">
                  <c:v>46.880234285148184</c:v>
                </c:pt>
                <c:pt idx="10">
                  <c:v>49.888235764417857</c:v>
                </c:pt>
                <c:pt idx="11">
                  <c:v>53.15638881666753</c:v>
                </c:pt>
                <c:pt idx="12">
                  <c:v>56.695509622873892</c:v>
                </c:pt>
                <c:pt idx="13">
                  <c:v>60.516414364013627</c:v>
                </c:pt>
                <c:pt idx="14">
                  <c:v>64.629919221063417</c:v>
                </c:pt>
                <c:pt idx="15">
                  <c:v>69.046840374999945</c:v>
                </c:pt>
                <c:pt idx="16">
                  <c:v>73.777994006799929</c:v>
                </c:pt>
                <c:pt idx="17">
                  <c:v>75</c:v>
                </c:pt>
                <c:pt idx="18">
                  <c:v>75</c:v>
                </c:pt>
                <c:pt idx="19">
                  <c:v>75</c:v>
                </c:pt>
              </c:numCache>
            </c:numRef>
          </c:yVal>
          <c:smooth val="0"/>
          <c:extLst>
            <c:ext xmlns:c16="http://schemas.microsoft.com/office/drawing/2014/chart" uri="{C3380CC4-5D6E-409C-BE32-E72D297353CC}">
              <c16:uniqueId val="{00000003-6BAD-48F2-8D69-4EAB14A4582E}"/>
            </c:ext>
          </c:extLst>
        </c:ser>
        <c:ser>
          <c:idx val="1"/>
          <c:order val="4"/>
          <c:tx>
            <c:v>MCSF @10 HP</c:v>
          </c:tx>
          <c:spPr>
            <a:ln>
              <a:prstDash val="dash"/>
            </a:ln>
          </c:spPr>
          <c:marker>
            <c:symbol val="none"/>
          </c:marker>
          <c:xVal>
            <c:numRef>
              <c:f>'Supporting data_US_units'!$F$6:$F$25</c:f>
              <c:numCache>
                <c:formatCode>General</c:formatCode>
                <c:ptCount val="20"/>
                <c:pt idx="0">
                  <c:v>200</c:v>
                </c:pt>
                <c:pt idx="1">
                  <c:v>500</c:v>
                </c:pt>
                <c:pt idx="2">
                  <c:v>1000</c:v>
                </c:pt>
                <c:pt idx="3">
                  <c:v>1500</c:v>
                </c:pt>
                <c:pt idx="4">
                  <c:v>2000</c:v>
                </c:pt>
                <c:pt idx="5">
                  <c:v>3000</c:v>
                </c:pt>
                <c:pt idx="6">
                  <c:v>4000</c:v>
                </c:pt>
                <c:pt idx="7">
                  <c:v>4500</c:v>
                </c:pt>
                <c:pt idx="8">
                  <c:v>5000</c:v>
                </c:pt>
                <c:pt idx="9">
                  <c:v>5250</c:v>
                </c:pt>
                <c:pt idx="10">
                  <c:v>5500</c:v>
                </c:pt>
                <c:pt idx="11">
                  <c:v>5750</c:v>
                </c:pt>
                <c:pt idx="12">
                  <c:v>6000</c:v>
                </c:pt>
                <c:pt idx="13">
                  <c:v>6250</c:v>
                </c:pt>
                <c:pt idx="14">
                  <c:v>6500</c:v>
                </c:pt>
                <c:pt idx="15">
                  <c:v>6750</c:v>
                </c:pt>
                <c:pt idx="16">
                  <c:v>7000</c:v>
                </c:pt>
                <c:pt idx="17">
                  <c:v>7250</c:v>
                </c:pt>
                <c:pt idx="18">
                  <c:v>7500</c:v>
                </c:pt>
                <c:pt idx="19">
                  <c:v>12000</c:v>
                </c:pt>
              </c:numCache>
            </c:numRef>
          </c:xVal>
          <c:yVal>
            <c:numRef>
              <c:f>'Supporting data_US_units'!$O$6:$O$25</c:f>
              <c:numCache>
                <c:formatCode>0.0</c:formatCode>
                <c:ptCount val="20"/>
                <c:pt idx="0">
                  <c:v>27.696072105879182</c:v>
                </c:pt>
                <c:pt idx="1">
                  <c:v>27.79406257691835</c:v>
                </c:pt>
                <c:pt idx="2">
                  <c:v>28.125098515553283</c:v>
                </c:pt>
                <c:pt idx="3">
                  <c:v>28.749925181799277</c:v>
                </c:pt>
                <c:pt idx="4">
                  <c:v>29.765630212943659</c:v>
                </c:pt>
                <c:pt idx="5">
                  <c:v>33.358025919076866</c:v>
                </c:pt>
                <c:pt idx="6">
                  <c:v>39.678986732251467</c:v>
                </c:pt>
                <c:pt idx="7">
                  <c:v>44.105398147197583</c:v>
                </c:pt>
                <c:pt idx="8">
                  <c:v>49.505213750766011</c:v>
                </c:pt>
                <c:pt idx="9">
                  <c:v>52.600488009935866</c:v>
                </c:pt>
                <c:pt idx="10">
                  <c:v>55.975521180244051</c:v>
                </c:pt>
                <c:pt idx="11">
                  <c:v>59.642449216351473</c:v>
                </c:pt>
                <c:pt idx="12">
                  <c:v>63.61340807291905</c:v>
                </c:pt>
                <c:pt idx="13">
                  <c:v>67.900533704607696</c:v>
                </c:pt>
                <c:pt idx="14">
                  <c:v>72.515962066078316</c:v>
                </c:pt>
                <c:pt idx="15">
                  <c:v>75</c:v>
                </c:pt>
                <c:pt idx="16">
                  <c:v>75</c:v>
                </c:pt>
                <c:pt idx="17">
                  <c:v>75</c:v>
                </c:pt>
                <c:pt idx="18">
                  <c:v>75</c:v>
                </c:pt>
                <c:pt idx="19">
                  <c:v>75</c:v>
                </c:pt>
              </c:numCache>
            </c:numRef>
          </c:yVal>
          <c:smooth val="0"/>
          <c:extLst>
            <c:ext xmlns:c16="http://schemas.microsoft.com/office/drawing/2014/chart" uri="{C3380CC4-5D6E-409C-BE32-E72D297353CC}">
              <c16:uniqueId val="{00000004-6BAD-48F2-8D69-4EAB14A4582E}"/>
            </c:ext>
          </c:extLst>
        </c:ser>
        <c:ser>
          <c:idx val="2"/>
          <c:order val="5"/>
          <c:tx>
            <c:v>MCSF @100 HP</c:v>
          </c:tx>
          <c:spPr>
            <a:ln>
              <a:prstDash val="dashDot"/>
            </a:ln>
          </c:spPr>
          <c:marker>
            <c:symbol val="none"/>
          </c:marker>
          <c:xVal>
            <c:numRef>
              <c:f>'Supporting data_US_units'!$F$6:$F$25</c:f>
              <c:numCache>
                <c:formatCode>General</c:formatCode>
                <c:ptCount val="20"/>
                <c:pt idx="0">
                  <c:v>200</c:v>
                </c:pt>
                <c:pt idx="1">
                  <c:v>500</c:v>
                </c:pt>
                <c:pt idx="2">
                  <c:v>1000</c:v>
                </c:pt>
                <c:pt idx="3">
                  <c:v>1500</c:v>
                </c:pt>
                <c:pt idx="4">
                  <c:v>2000</c:v>
                </c:pt>
                <c:pt idx="5">
                  <c:v>3000</c:v>
                </c:pt>
                <c:pt idx="6">
                  <c:v>4000</c:v>
                </c:pt>
                <c:pt idx="7">
                  <c:v>4500</c:v>
                </c:pt>
                <c:pt idx="8">
                  <c:v>5000</c:v>
                </c:pt>
                <c:pt idx="9">
                  <c:v>5250</c:v>
                </c:pt>
                <c:pt idx="10">
                  <c:v>5500</c:v>
                </c:pt>
                <c:pt idx="11">
                  <c:v>5750</c:v>
                </c:pt>
                <c:pt idx="12">
                  <c:v>6000</c:v>
                </c:pt>
                <c:pt idx="13">
                  <c:v>6250</c:v>
                </c:pt>
                <c:pt idx="14">
                  <c:v>6500</c:v>
                </c:pt>
                <c:pt idx="15">
                  <c:v>6750</c:v>
                </c:pt>
                <c:pt idx="16">
                  <c:v>7000</c:v>
                </c:pt>
                <c:pt idx="17">
                  <c:v>7250</c:v>
                </c:pt>
                <c:pt idx="18">
                  <c:v>7500</c:v>
                </c:pt>
                <c:pt idx="19">
                  <c:v>12000</c:v>
                </c:pt>
              </c:numCache>
            </c:numRef>
          </c:xVal>
          <c:yVal>
            <c:numRef>
              <c:f>'Supporting data_US_units'!$P$6:$P$25</c:f>
              <c:numCache>
                <c:formatCode>0.0</c:formatCode>
                <c:ptCount val="20"/>
                <c:pt idx="0">
                  <c:v>31.075504014474287</c:v>
                </c:pt>
                <c:pt idx="1">
                  <c:v>31.185451131325976</c:v>
                </c:pt>
                <c:pt idx="2">
                  <c:v>31.556879563511544</c:v>
                </c:pt>
                <c:pt idx="3">
                  <c:v>32.257946613779524</c:v>
                </c:pt>
                <c:pt idx="4">
                  <c:v>33.39758640285087</c:v>
                </c:pt>
                <c:pt idx="5">
                  <c:v>37.428320680287463</c:v>
                </c:pt>
                <c:pt idx="6">
                  <c:v>44.520555361588912</c:v>
                </c:pt>
                <c:pt idx="7">
                  <c:v>49.487070655491316</c:v>
                </c:pt>
                <c:pt idx="8">
                  <c:v>55.545763412522788</c:v>
                </c:pt>
                <c:pt idx="9">
                  <c:v>59.01871825243721</c:v>
                </c:pt>
                <c:pt idx="10">
                  <c:v>62.805567753404254</c:v>
                </c:pt>
                <c:pt idx="11">
                  <c:v>66.919928680514033</c:v>
                </c:pt>
                <c:pt idx="12">
                  <c:v>71.375417798856688</c:v>
                </c:pt>
                <c:pt idx="13">
                  <c:v>75</c:v>
                </c:pt>
                <c:pt idx="14">
                  <c:v>75</c:v>
                </c:pt>
                <c:pt idx="15">
                  <c:v>75</c:v>
                </c:pt>
                <c:pt idx="16">
                  <c:v>75</c:v>
                </c:pt>
                <c:pt idx="17">
                  <c:v>75</c:v>
                </c:pt>
                <c:pt idx="18">
                  <c:v>75</c:v>
                </c:pt>
                <c:pt idx="19">
                  <c:v>75</c:v>
                </c:pt>
              </c:numCache>
            </c:numRef>
          </c:yVal>
          <c:smooth val="0"/>
          <c:extLst>
            <c:ext xmlns:c16="http://schemas.microsoft.com/office/drawing/2014/chart" uri="{C3380CC4-5D6E-409C-BE32-E72D297353CC}">
              <c16:uniqueId val="{00000005-6BAD-48F2-8D69-4EAB14A4582E}"/>
            </c:ext>
          </c:extLst>
        </c:ser>
        <c:ser>
          <c:idx val="3"/>
          <c:order val="6"/>
          <c:tx>
            <c:v>MCSF @1000 HP</c:v>
          </c:tx>
          <c:spPr>
            <a:ln>
              <a:prstDash val="lgDashDotDot"/>
            </a:ln>
          </c:spPr>
          <c:marker>
            <c:symbol val="none"/>
          </c:marker>
          <c:xVal>
            <c:numRef>
              <c:f>'Supporting data_US_units'!$F$6:$F$25</c:f>
              <c:numCache>
                <c:formatCode>General</c:formatCode>
                <c:ptCount val="20"/>
                <c:pt idx="0">
                  <c:v>200</c:v>
                </c:pt>
                <c:pt idx="1">
                  <c:v>500</c:v>
                </c:pt>
                <c:pt idx="2">
                  <c:v>1000</c:v>
                </c:pt>
                <c:pt idx="3">
                  <c:v>1500</c:v>
                </c:pt>
                <c:pt idx="4">
                  <c:v>2000</c:v>
                </c:pt>
                <c:pt idx="5">
                  <c:v>3000</c:v>
                </c:pt>
                <c:pt idx="6">
                  <c:v>4000</c:v>
                </c:pt>
                <c:pt idx="7">
                  <c:v>4500</c:v>
                </c:pt>
                <c:pt idx="8">
                  <c:v>5000</c:v>
                </c:pt>
                <c:pt idx="9">
                  <c:v>5250</c:v>
                </c:pt>
                <c:pt idx="10">
                  <c:v>5500</c:v>
                </c:pt>
                <c:pt idx="11">
                  <c:v>5750</c:v>
                </c:pt>
                <c:pt idx="12">
                  <c:v>6000</c:v>
                </c:pt>
                <c:pt idx="13">
                  <c:v>6250</c:v>
                </c:pt>
                <c:pt idx="14">
                  <c:v>6500</c:v>
                </c:pt>
                <c:pt idx="15">
                  <c:v>6750</c:v>
                </c:pt>
                <c:pt idx="16">
                  <c:v>7000</c:v>
                </c:pt>
                <c:pt idx="17">
                  <c:v>7250</c:v>
                </c:pt>
                <c:pt idx="18">
                  <c:v>7500</c:v>
                </c:pt>
                <c:pt idx="19">
                  <c:v>12000</c:v>
                </c:pt>
              </c:numCache>
            </c:numRef>
          </c:xVal>
          <c:yVal>
            <c:numRef>
              <c:f>'Supporting data_US_units'!$Q$6:$Q$25</c:f>
              <c:numCache>
                <c:formatCode>0.0</c:formatCode>
                <c:ptCount val="20"/>
                <c:pt idx="0">
                  <c:v>34.867288980974898</c:v>
                </c:pt>
                <c:pt idx="1">
                  <c:v>34.990651675079789</c:v>
                </c:pt>
                <c:pt idx="2">
                  <c:v>35.407401230444442</c:v>
                </c:pt>
                <c:pt idx="3">
                  <c:v>36.194011398548156</c:v>
                </c:pt>
                <c:pt idx="4">
                  <c:v>37.472708273143006</c:v>
                </c:pt>
                <c:pt idx="5">
                  <c:v>41.995266516814354</c:v>
                </c:pt>
                <c:pt idx="6">
                  <c:v>49.952884711474987</c:v>
                </c:pt>
                <c:pt idx="7">
                  <c:v>55.525406524806421</c:v>
                </c:pt>
                <c:pt idx="8">
                  <c:v>62.323371607141375</c:v>
                </c:pt>
                <c:pt idx="9">
                  <c:v>66.220091028482685</c:v>
                </c:pt>
                <c:pt idx="10">
                  <c:v>70.46900605223189</c:v>
                </c:pt>
                <c:pt idx="11">
                  <c:v>75</c:v>
                </c:pt>
                <c:pt idx="12">
                  <c:v>75</c:v>
                </c:pt>
                <c:pt idx="13">
                  <c:v>75</c:v>
                </c:pt>
                <c:pt idx="14">
                  <c:v>75</c:v>
                </c:pt>
                <c:pt idx="15">
                  <c:v>75</c:v>
                </c:pt>
                <c:pt idx="16">
                  <c:v>75</c:v>
                </c:pt>
                <c:pt idx="17">
                  <c:v>75</c:v>
                </c:pt>
                <c:pt idx="18">
                  <c:v>75</c:v>
                </c:pt>
                <c:pt idx="19">
                  <c:v>75</c:v>
                </c:pt>
              </c:numCache>
            </c:numRef>
          </c:yVal>
          <c:smooth val="0"/>
          <c:extLst>
            <c:ext xmlns:c16="http://schemas.microsoft.com/office/drawing/2014/chart" uri="{C3380CC4-5D6E-409C-BE32-E72D297353CC}">
              <c16:uniqueId val="{00000006-6BAD-48F2-8D69-4EAB14A4582E}"/>
            </c:ext>
          </c:extLst>
        </c:ser>
        <c:ser>
          <c:idx val="4"/>
          <c:order val="7"/>
          <c:tx>
            <c:v>MCSF @10000 HP</c:v>
          </c:tx>
          <c:marker>
            <c:symbol val="none"/>
          </c:marker>
          <c:xVal>
            <c:numRef>
              <c:f>'Supporting data_US_units'!$F$6:$F$25</c:f>
              <c:numCache>
                <c:formatCode>General</c:formatCode>
                <c:ptCount val="20"/>
                <c:pt idx="0">
                  <c:v>200</c:v>
                </c:pt>
                <c:pt idx="1">
                  <c:v>500</c:v>
                </c:pt>
                <c:pt idx="2">
                  <c:v>1000</c:v>
                </c:pt>
                <c:pt idx="3">
                  <c:v>1500</c:v>
                </c:pt>
                <c:pt idx="4">
                  <c:v>2000</c:v>
                </c:pt>
                <c:pt idx="5">
                  <c:v>3000</c:v>
                </c:pt>
                <c:pt idx="6">
                  <c:v>4000</c:v>
                </c:pt>
                <c:pt idx="7">
                  <c:v>4500</c:v>
                </c:pt>
                <c:pt idx="8">
                  <c:v>5000</c:v>
                </c:pt>
                <c:pt idx="9">
                  <c:v>5250</c:v>
                </c:pt>
                <c:pt idx="10">
                  <c:v>5500</c:v>
                </c:pt>
                <c:pt idx="11">
                  <c:v>5750</c:v>
                </c:pt>
                <c:pt idx="12">
                  <c:v>6000</c:v>
                </c:pt>
                <c:pt idx="13">
                  <c:v>6250</c:v>
                </c:pt>
                <c:pt idx="14">
                  <c:v>6500</c:v>
                </c:pt>
                <c:pt idx="15">
                  <c:v>6750</c:v>
                </c:pt>
                <c:pt idx="16">
                  <c:v>7000</c:v>
                </c:pt>
                <c:pt idx="17">
                  <c:v>7250</c:v>
                </c:pt>
                <c:pt idx="18">
                  <c:v>7500</c:v>
                </c:pt>
                <c:pt idx="19">
                  <c:v>12000</c:v>
                </c:pt>
              </c:numCache>
            </c:numRef>
          </c:xVal>
          <c:yVal>
            <c:numRef>
              <c:f>'Supporting data_US_units'!$R$6:$R$25</c:f>
              <c:numCache>
                <c:formatCode>0.0</c:formatCode>
                <c:ptCount val="20"/>
                <c:pt idx="0">
                  <c:v>39.121741688133334</c:v>
                </c:pt>
                <c:pt idx="1">
                  <c:v>39.260156907491428</c:v>
                </c:pt>
                <c:pt idx="2">
                  <c:v>39.727757599432707</c:v>
                </c:pt>
                <c:pt idx="3">
                  <c:v>40.610348724386647</c:v>
                </c:pt>
                <c:pt idx="4">
                  <c:v>42.045070215140314</c:v>
                </c:pt>
                <c:pt idx="5">
                  <c:v>47.119464025195036</c:v>
                </c:pt>
                <c:pt idx="6">
                  <c:v>56.048058491893336</c:v>
                </c:pt>
                <c:pt idx="7">
                  <c:v>62.300530803451451</c:v>
                </c:pt>
                <c:pt idx="8">
                  <c:v>69.927973077531632</c:v>
                </c:pt>
                <c:pt idx="9">
                  <c:v>74.300164179513445</c:v>
                </c:pt>
                <c:pt idx="10">
                  <c:v>75</c:v>
                </c:pt>
                <c:pt idx="11">
                  <c:v>75</c:v>
                </c:pt>
                <c:pt idx="12">
                  <c:v>75</c:v>
                </c:pt>
                <c:pt idx="13">
                  <c:v>75</c:v>
                </c:pt>
                <c:pt idx="14">
                  <c:v>75</c:v>
                </c:pt>
                <c:pt idx="15">
                  <c:v>75</c:v>
                </c:pt>
                <c:pt idx="16">
                  <c:v>75</c:v>
                </c:pt>
                <c:pt idx="17">
                  <c:v>75</c:v>
                </c:pt>
                <c:pt idx="18">
                  <c:v>75</c:v>
                </c:pt>
                <c:pt idx="19">
                  <c:v>75</c:v>
                </c:pt>
              </c:numCache>
            </c:numRef>
          </c:yVal>
          <c:smooth val="0"/>
          <c:extLst>
            <c:ext xmlns:c16="http://schemas.microsoft.com/office/drawing/2014/chart" uri="{C3380CC4-5D6E-409C-BE32-E72D297353CC}">
              <c16:uniqueId val="{00000007-6BAD-48F2-8D69-4EAB14A4582E}"/>
            </c:ext>
          </c:extLst>
        </c:ser>
        <c:ser>
          <c:idx val="6"/>
          <c:order val="8"/>
          <c:tx>
            <c:v>Maximum Flow</c:v>
          </c:tx>
          <c:marker>
            <c:symbol val="none"/>
          </c:marker>
          <c:xVal>
            <c:numRef>
              <c:f>'Supporting data_US_units'!$F$28:$F$42</c:f>
              <c:numCache>
                <c:formatCode>General</c:formatCode>
                <c:ptCount val="15"/>
                <c:pt idx="0">
                  <c:v>200</c:v>
                </c:pt>
                <c:pt idx="1">
                  <c:v>400</c:v>
                </c:pt>
                <c:pt idx="2">
                  <c:v>500</c:v>
                </c:pt>
                <c:pt idx="3">
                  <c:v>750</c:v>
                </c:pt>
                <c:pt idx="4">
                  <c:v>1000</c:v>
                </c:pt>
                <c:pt idx="5">
                  <c:v>2000</c:v>
                </c:pt>
                <c:pt idx="6">
                  <c:v>3500</c:v>
                </c:pt>
                <c:pt idx="7">
                  <c:v>4000</c:v>
                </c:pt>
                <c:pt idx="8">
                  <c:v>5000</c:v>
                </c:pt>
                <c:pt idx="9">
                  <c:v>6000</c:v>
                </c:pt>
                <c:pt idx="10">
                  <c:v>7000</c:v>
                </c:pt>
                <c:pt idx="11">
                  <c:v>9000</c:v>
                </c:pt>
                <c:pt idx="12">
                  <c:v>10000</c:v>
                </c:pt>
                <c:pt idx="13">
                  <c:v>11000</c:v>
                </c:pt>
                <c:pt idx="14">
                  <c:v>12000</c:v>
                </c:pt>
              </c:numCache>
            </c:numRef>
          </c:xVal>
          <c:yVal>
            <c:numRef>
              <c:f>'Supporting data_US_units'!$G$28:$G$42</c:f>
              <c:numCache>
                <c:formatCode>General</c:formatCode>
                <c:ptCount val="15"/>
                <c:pt idx="0">
                  <c:v>115</c:v>
                </c:pt>
                <c:pt idx="1">
                  <c:v>115</c:v>
                </c:pt>
                <c:pt idx="2">
                  <c:v>120</c:v>
                </c:pt>
                <c:pt idx="3">
                  <c:v>120</c:v>
                </c:pt>
                <c:pt idx="4">
                  <c:v>120</c:v>
                </c:pt>
                <c:pt idx="5">
                  <c:v>120</c:v>
                </c:pt>
                <c:pt idx="6">
                  <c:v>120</c:v>
                </c:pt>
                <c:pt idx="7">
                  <c:v>120</c:v>
                </c:pt>
                <c:pt idx="8">
                  <c:v>120</c:v>
                </c:pt>
                <c:pt idx="9">
                  <c:v>120</c:v>
                </c:pt>
                <c:pt idx="10">
                  <c:v>120</c:v>
                </c:pt>
                <c:pt idx="11">
                  <c:v>120</c:v>
                </c:pt>
                <c:pt idx="12">
                  <c:v>120</c:v>
                </c:pt>
                <c:pt idx="13">
                  <c:v>120</c:v>
                </c:pt>
                <c:pt idx="14">
                  <c:v>120</c:v>
                </c:pt>
              </c:numCache>
            </c:numRef>
          </c:yVal>
          <c:smooth val="0"/>
          <c:extLst>
            <c:ext xmlns:c16="http://schemas.microsoft.com/office/drawing/2014/chart" uri="{C3380CC4-5D6E-409C-BE32-E72D297353CC}">
              <c16:uniqueId val="{00000008-6BAD-48F2-8D69-4EAB14A4582E}"/>
            </c:ext>
          </c:extLst>
        </c:ser>
        <c:ser>
          <c:idx val="7"/>
          <c:order val="9"/>
          <c:tx>
            <c:v>Firepump short term max flow</c:v>
          </c:tx>
          <c:spPr>
            <a:ln>
              <a:solidFill>
                <a:srgbClr val="FF0000"/>
              </a:solidFill>
              <a:prstDash val="sysDash"/>
            </a:ln>
          </c:spPr>
          <c:marker>
            <c:symbol val="none"/>
          </c:marker>
          <c:xVal>
            <c:numRef>
              <c:f>'Supporting data_US_units'!$F$28:$F$42</c:f>
              <c:numCache>
                <c:formatCode>General</c:formatCode>
                <c:ptCount val="15"/>
                <c:pt idx="0">
                  <c:v>200</c:v>
                </c:pt>
                <c:pt idx="1">
                  <c:v>400</c:v>
                </c:pt>
                <c:pt idx="2">
                  <c:v>500</c:v>
                </c:pt>
                <c:pt idx="3">
                  <c:v>750</c:v>
                </c:pt>
                <c:pt idx="4">
                  <c:v>1000</c:v>
                </c:pt>
                <c:pt idx="5">
                  <c:v>2000</c:v>
                </c:pt>
                <c:pt idx="6">
                  <c:v>3500</c:v>
                </c:pt>
                <c:pt idx="7">
                  <c:v>4000</c:v>
                </c:pt>
                <c:pt idx="8">
                  <c:v>5000</c:v>
                </c:pt>
                <c:pt idx="9">
                  <c:v>6000</c:v>
                </c:pt>
                <c:pt idx="10">
                  <c:v>7000</c:v>
                </c:pt>
                <c:pt idx="11">
                  <c:v>9000</c:v>
                </c:pt>
                <c:pt idx="12">
                  <c:v>10000</c:v>
                </c:pt>
                <c:pt idx="13">
                  <c:v>11000</c:v>
                </c:pt>
                <c:pt idx="14">
                  <c:v>12000</c:v>
                </c:pt>
              </c:numCache>
            </c:numRef>
          </c:xVal>
          <c:yVal>
            <c:numRef>
              <c:f>'Supporting data_US_units'!$I$28:$I$42</c:f>
              <c:numCache>
                <c:formatCode>General</c:formatCode>
                <c:ptCount val="15"/>
                <c:pt idx="0">
                  <c:v>120</c:v>
                </c:pt>
                <c:pt idx="1">
                  <c:v>120</c:v>
                </c:pt>
                <c:pt idx="2">
                  <c:v>120</c:v>
                </c:pt>
                <c:pt idx="3">
                  <c:v>120</c:v>
                </c:pt>
                <c:pt idx="4">
                  <c:v>150</c:v>
                </c:pt>
                <c:pt idx="5">
                  <c:v>150</c:v>
                </c:pt>
                <c:pt idx="6">
                  <c:v>150</c:v>
                </c:pt>
                <c:pt idx="7">
                  <c:v>135</c:v>
                </c:pt>
                <c:pt idx="8">
                  <c:v>135</c:v>
                </c:pt>
                <c:pt idx="9">
                  <c:v>135</c:v>
                </c:pt>
                <c:pt idx="10">
                  <c:v>135</c:v>
                </c:pt>
                <c:pt idx="11">
                  <c:v>135</c:v>
                </c:pt>
                <c:pt idx="12">
                  <c:v>135</c:v>
                </c:pt>
                <c:pt idx="13">
                  <c:v>135</c:v>
                </c:pt>
                <c:pt idx="14">
                  <c:v>135</c:v>
                </c:pt>
              </c:numCache>
            </c:numRef>
          </c:yVal>
          <c:smooth val="0"/>
          <c:extLst>
            <c:ext xmlns:c16="http://schemas.microsoft.com/office/drawing/2014/chart" uri="{C3380CC4-5D6E-409C-BE32-E72D297353CC}">
              <c16:uniqueId val="{00000009-6BAD-48F2-8D69-4EAB14A4582E}"/>
            </c:ext>
          </c:extLst>
        </c:ser>
        <c:dLbls>
          <c:showLegendKey val="0"/>
          <c:showVal val="0"/>
          <c:showCatName val="0"/>
          <c:showSerName val="0"/>
          <c:showPercent val="0"/>
          <c:showBubbleSize val="0"/>
        </c:dLbls>
        <c:axId val="6862896"/>
        <c:axId val="1"/>
      </c:scatterChart>
      <c:valAx>
        <c:axId val="6862896"/>
        <c:scaling>
          <c:orientation val="minMax"/>
          <c:max val="12000"/>
          <c:min val="0"/>
        </c:scaling>
        <c:delete val="0"/>
        <c:axPos val="b"/>
        <c:majorGridlines/>
        <c:title>
          <c:tx>
            <c:rich>
              <a:bodyPr/>
              <a:lstStyle/>
              <a:p>
                <a:pPr>
                  <a:defRPr sz="1000" b="1" i="0" u="none" strike="noStrike" baseline="0">
                    <a:solidFill>
                      <a:srgbClr val="000000"/>
                    </a:solidFill>
                    <a:latin typeface="Calibri"/>
                    <a:ea typeface="Calibri"/>
                    <a:cs typeface="Calibri"/>
                  </a:defRPr>
                </a:pPr>
                <a:r>
                  <a:rPr lang="en-US"/>
                  <a:t>Pump Specific Speed (US units)</a:t>
                </a:r>
              </a:p>
            </c:rich>
          </c:tx>
          <c:overlay val="0"/>
        </c:title>
        <c:numFmt formatCode="0" sourceLinked="1"/>
        <c:majorTickMark val="out"/>
        <c:minorTickMark val="in"/>
        <c:tickLblPos val="nextTo"/>
        <c:txPr>
          <a:bodyPr rot="0" vert="horz"/>
          <a:lstStyle/>
          <a:p>
            <a:pPr>
              <a:defRPr sz="1000" b="0" i="0" u="none" strike="noStrike" baseline="0">
                <a:solidFill>
                  <a:srgbClr val="000000"/>
                </a:solidFill>
                <a:latin typeface="Calibri"/>
                <a:ea typeface="Calibri"/>
                <a:cs typeface="Calibri"/>
              </a:defRPr>
            </a:pPr>
            <a:endParaRPr lang="it-IT"/>
          </a:p>
        </c:txPr>
        <c:crossAx val="1"/>
        <c:crosses val="autoZero"/>
        <c:crossBetween val="midCat"/>
      </c:valAx>
      <c:valAx>
        <c:axId val="1"/>
        <c:scaling>
          <c:orientation val="minMax"/>
          <c:max val="150"/>
          <c:min val="0"/>
        </c:scaling>
        <c:delete val="0"/>
        <c:axPos val="l"/>
        <c:majorGridlines/>
        <c:title>
          <c:tx>
            <c:rich>
              <a:bodyPr/>
              <a:lstStyle/>
              <a:p>
                <a:pPr>
                  <a:defRPr sz="1000" b="1" i="0" u="none" strike="noStrike" baseline="0">
                    <a:solidFill>
                      <a:srgbClr val="000000"/>
                    </a:solidFill>
                    <a:latin typeface="Calibri"/>
                    <a:ea typeface="Calibri"/>
                    <a:cs typeface="Calibri"/>
                  </a:defRPr>
                </a:pPr>
                <a:r>
                  <a:rPr lang="en-US"/>
                  <a:t>Pump % of BEP Flow</a:t>
                </a:r>
              </a:p>
            </c:rich>
          </c:tx>
          <c:overlay val="0"/>
        </c:title>
        <c:numFmt formatCode="0" sourceLinked="0"/>
        <c:majorTickMark val="out"/>
        <c:minorTickMark val="in"/>
        <c:tickLblPos val="nextTo"/>
        <c:txPr>
          <a:bodyPr rot="0" vert="horz"/>
          <a:lstStyle/>
          <a:p>
            <a:pPr>
              <a:defRPr sz="1000" b="0" i="0" u="none" strike="noStrike" baseline="0">
                <a:solidFill>
                  <a:srgbClr val="000000"/>
                </a:solidFill>
                <a:latin typeface="Calibri"/>
                <a:ea typeface="Calibri"/>
                <a:cs typeface="Calibri"/>
              </a:defRPr>
            </a:pPr>
            <a:endParaRPr lang="it-IT"/>
          </a:p>
        </c:txPr>
        <c:crossAx val="6862896"/>
        <c:crosses val="autoZero"/>
        <c:crossBetween val="midCat"/>
        <c:minorUnit val="5"/>
      </c:valAx>
    </c:plotArea>
    <c:legend>
      <c:legendPos val="r"/>
      <c:layout>
        <c:manualLayout>
          <c:xMode val="edge"/>
          <c:yMode val="edge"/>
          <c:x val="0.58892444640446129"/>
          <c:y val="0.54442343619506339"/>
          <c:w val="0.34575564272778053"/>
          <c:h val="0.32180961588648876"/>
        </c:manualLayout>
      </c:layout>
      <c:overlay val="1"/>
      <c:spPr>
        <a:solidFill>
          <a:schemeClr val="bg1"/>
        </a:solidFill>
        <a:ln>
          <a:solidFill>
            <a:schemeClr val="accent1"/>
          </a:solidFill>
        </a:ln>
      </c:spPr>
      <c:txPr>
        <a:bodyPr/>
        <a:lstStyle/>
        <a:p>
          <a:pPr>
            <a:defRPr sz="920" b="0" i="0" u="none" strike="noStrike" baseline="0">
              <a:solidFill>
                <a:srgbClr val="000000"/>
              </a:solidFill>
              <a:latin typeface="Calibri"/>
              <a:ea typeface="Calibri"/>
              <a:cs typeface="Calibri"/>
            </a:defRPr>
          </a:pPr>
          <a:endParaRPr lang="it-IT"/>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it-IT"/>
    </a:p>
  </c:txPr>
  <c:printSettings>
    <c:headerFooter/>
    <c:pageMargins b="0.75000000000000022" l="0.70000000000000018" r="0.70000000000000018" t="0.75000000000000022" header="0.3000000000000001" footer="0.3000000000000001"/>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844511624106348"/>
          <c:y val="5.1250493424469697E-2"/>
          <c:w val="0.84716624288512654"/>
          <c:h val="0.841313979398984"/>
        </c:manualLayout>
      </c:layout>
      <c:scatterChart>
        <c:scatterStyle val="smoothMarker"/>
        <c:varyColors val="0"/>
        <c:ser>
          <c:idx val="5"/>
          <c:order val="0"/>
          <c:tx>
            <c:v>Pump MCSF</c:v>
          </c:tx>
          <c:spPr>
            <a:ln>
              <a:noFill/>
            </a:ln>
          </c:spPr>
          <c:xVal>
            <c:numRef>
              <c:f>Input_Output_SI_units!$C$31</c:f>
              <c:numCache>
                <c:formatCode>0.0</c:formatCode>
                <c:ptCount val="1"/>
                <c:pt idx="0">
                  <c:v>45.691574672161238</c:v>
                </c:pt>
              </c:numCache>
            </c:numRef>
          </c:xVal>
          <c:yVal>
            <c:numRef>
              <c:f>Input_Output_SI_units!$E$16</c:f>
              <c:numCache>
                <c:formatCode>0.0</c:formatCode>
                <c:ptCount val="1"/>
                <c:pt idx="0">
                  <c:v>41.440591255504934</c:v>
                </c:pt>
              </c:numCache>
            </c:numRef>
          </c:yVal>
          <c:smooth val="1"/>
          <c:extLst>
            <c:ext xmlns:c16="http://schemas.microsoft.com/office/drawing/2014/chart" uri="{C3380CC4-5D6E-409C-BE32-E72D297353CC}">
              <c16:uniqueId val="{00000000-6258-49D0-A765-3847F5468F6D}"/>
            </c:ext>
          </c:extLst>
        </c:ser>
        <c:ser>
          <c:idx val="8"/>
          <c:order val="1"/>
          <c:tx>
            <c:v>Pump maximum flow</c:v>
          </c:tx>
          <c:spPr>
            <a:ln>
              <a:noFill/>
            </a:ln>
          </c:spPr>
          <c:marker>
            <c:symbol val="square"/>
            <c:size val="5"/>
          </c:marker>
          <c:xVal>
            <c:numRef>
              <c:f>Input_Output_SI_units!$C$31</c:f>
              <c:numCache>
                <c:formatCode>0.0</c:formatCode>
                <c:ptCount val="1"/>
                <c:pt idx="0">
                  <c:v>45.691574672161238</c:v>
                </c:pt>
              </c:numCache>
            </c:numRef>
          </c:xVal>
          <c:yVal>
            <c:numRef>
              <c:f>Input_Output_SI_units!$E$25</c:f>
              <c:numCache>
                <c:formatCode>0.0</c:formatCode>
                <c:ptCount val="1"/>
                <c:pt idx="0">
                  <c:v>120</c:v>
                </c:pt>
              </c:numCache>
            </c:numRef>
          </c:yVal>
          <c:smooth val="1"/>
          <c:extLst>
            <c:ext xmlns:c16="http://schemas.microsoft.com/office/drawing/2014/chart" uri="{C3380CC4-5D6E-409C-BE32-E72D297353CC}">
              <c16:uniqueId val="{00000001-6258-49D0-A765-3847F5468F6D}"/>
            </c:ext>
          </c:extLst>
        </c:ser>
        <c:ser>
          <c:idx val="9"/>
          <c:order val="2"/>
          <c:tx>
            <c:v>Firepump maximum flow</c:v>
          </c:tx>
          <c:spPr>
            <a:ln>
              <a:noFill/>
            </a:ln>
          </c:spPr>
          <c:marker>
            <c:symbol val="diamond"/>
            <c:size val="7"/>
            <c:spPr>
              <a:solidFill>
                <a:srgbClr val="FF0000"/>
              </a:solidFill>
            </c:spPr>
          </c:marker>
          <c:xVal>
            <c:numRef>
              <c:f>Input_Output_SI_units!$C$31</c:f>
              <c:numCache>
                <c:formatCode>0.0</c:formatCode>
                <c:ptCount val="1"/>
                <c:pt idx="0">
                  <c:v>45.691574672161238</c:v>
                </c:pt>
              </c:numCache>
            </c:numRef>
          </c:xVal>
          <c:yVal>
            <c:numRef>
              <c:f>Input_Output_SI_units!$E$29</c:f>
              <c:numCache>
                <c:formatCode>0.0</c:formatCode>
                <c:ptCount val="1"/>
                <c:pt idx="0">
                  <c:v>150</c:v>
                </c:pt>
              </c:numCache>
            </c:numRef>
          </c:yVal>
          <c:smooth val="1"/>
          <c:extLst>
            <c:ext xmlns:c16="http://schemas.microsoft.com/office/drawing/2014/chart" uri="{C3380CC4-5D6E-409C-BE32-E72D297353CC}">
              <c16:uniqueId val="{00000002-6258-49D0-A765-3847F5468F6D}"/>
            </c:ext>
          </c:extLst>
        </c:ser>
        <c:ser>
          <c:idx val="0"/>
          <c:order val="3"/>
          <c:tx>
            <c:v>MCSF @ 0.75 kW</c:v>
          </c:tx>
          <c:spPr>
            <a:ln>
              <a:prstDash val="sysDash"/>
            </a:ln>
          </c:spPr>
          <c:marker>
            <c:symbol val="none"/>
          </c:marker>
          <c:xVal>
            <c:numRef>
              <c:f>'Supporting data_SI_units'!$S$6:$S$25</c:f>
              <c:numCache>
                <c:formatCode>0</c:formatCode>
                <c:ptCount val="20"/>
                <c:pt idx="0">
                  <c:v>3.8729666924864445</c:v>
                </c:pt>
                <c:pt idx="1">
                  <c:v>9.6824167312161116</c:v>
                </c:pt>
                <c:pt idx="2">
                  <c:v>19.364833462432223</c:v>
                </c:pt>
                <c:pt idx="3">
                  <c:v>29.047250193648335</c:v>
                </c:pt>
                <c:pt idx="4">
                  <c:v>38.729666924864446</c:v>
                </c:pt>
                <c:pt idx="5">
                  <c:v>58.094500387296669</c:v>
                </c:pt>
                <c:pt idx="6">
                  <c:v>77.459333849728893</c:v>
                </c:pt>
                <c:pt idx="7">
                  <c:v>87.141750580945001</c:v>
                </c:pt>
                <c:pt idx="8">
                  <c:v>96.824167312161109</c:v>
                </c:pt>
                <c:pt idx="9">
                  <c:v>101.66537567776918</c:v>
                </c:pt>
                <c:pt idx="10">
                  <c:v>106.50658404337723</c:v>
                </c:pt>
                <c:pt idx="11">
                  <c:v>111.34779240898528</c:v>
                </c:pt>
                <c:pt idx="12">
                  <c:v>116.18900077459334</c:v>
                </c:pt>
                <c:pt idx="13">
                  <c:v>121.03020914020139</c:v>
                </c:pt>
                <c:pt idx="14">
                  <c:v>125.87141750580945</c:v>
                </c:pt>
                <c:pt idx="15">
                  <c:v>130.71262587141752</c:v>
                </c:pt>
                <c:pt idx="16">
                  <c:v>135.55383423702557</c:v>
                </c:pt>
                <c:pt idx="17">
                  <c:v>140.39504260263362</c:v>
                </c:pt>
                <c:pt idx="18">
                  <c:v>145.23625096824168</c:v>
                </c:pt>
                <c:pt idx="19">
                  <c:v>232.37800154918668</c:v>
                </c:pt>
              </c:numCache>
            </c:numRef>
          </c:xVal>
          <c:yVal>
            <c:numRef>
              <c:f>'Supporting data_SI_units'!$N$6:$N$25</c:f>
              <c:numCache>
                <c:formatCode>0.0</c:formatCode>
                <c:ptCount val="20"/>
                <c:pt idx="0">
                  <c:v>24.684150246984682</c:v>
                </c:pt>
                <c:pt idx="1">
                  <c:v>24.771484346226512</c:v>
                </c:pt>
                <c:pt idx="2">
                  <c:v>25.06652043709088</c:v>
                </c:pt>
                <c:pt idx="3">
                  <c:v>25.623397789553604</c:v>
                </c:pt>
                <c:pt idx="4">
                  <c:v>26.528645851428198</c:v>
                </c:pt>
                <c:pt idx="5">
                  <c:v>29.730371894667059</c:v>
                </c:pt>
                <c:pt idx="6">
                  <c:v>35.363934149315568</c:v>
                </c:pt>
                <c:pt idx="7">
                  <c:v>39.30897747545221</c:v>
                </c:pt>
                <c:pt idx="8">
                  <c:v>44.121568197881807</c:v>
                </c:pt>
                <c:pt idx="9">
                  <c:v>46.880234285148184</c:v>
                </c:pt>
                <c:pt idx="10">
                  <c:v>49.888235764417857</c:v>
                </c:pt>
                <c:pt idx="11">
                  <c:v>53.15638881666753</c:v>
                </c:pt>
                <c:pt idx="12">
                  <c:v>56.695509622873892</c:v>
                </c:pt>
                <c:pt idx="13">
                  <c:v>60.516414364013627</c:v>
                </c:pt>
                <c:pt idx="14">
                  <c:v>64.629919221063417</c:v>
                </c:pt>
                <c:pt idx="15">
                  <c:v>69.046840374999945</c:v>
                </c:pt>
                <c:pt idx="16">
                  <c:v>73.777994006799929</c:v>
                </c:pt>
                <c:pt idx="17">
                  <c:v>75</c:v>
                </c:pt>
                <c:pt idx="18">
                  <c:v>75</c:v>
                </c:pt>
                <c:pt idx="19">
                  <c:v>75</c:v>
                </c:pt>
              </c:numCache>
            </c:numRef>
          </c:yVal>
          <c:smooth val="0"/>
          <c:extLst>
            <c:ext xmlns:c16="http://schemas.microsoft.com/office/drawing/2014/chart" uri="{C3380CC4-5D6E-409C-BE32-E72D297353CC}">
              <c16:uniqueId val="{00000003-6258-49D0-A765-3847F5468F6D}"/>
            </c:ext>
          </c:extLst>
        </c:ser>
        <c:ser>
          <c:idx val="1"/>
          <c:order val="4"/>
          <c:tx>
            <c:v>MCSF @ 7.5 kW</c:v>
          </c:tx>
          <c:spPr>
            <a:ln>
              <a:prstDash val="dash"/>
            </a:ln>
          </c:spPr>
          <c:marker>
            <c:symbol val="none"/>
          </c:marker>
          <c:xVal>
            <c:numRef>
              <c:f>'Supporting data_SI_units'!$S$6:$S$25</c:f>
              <c:numCache>
                <c:formatCode>0</c:formatCode>
                <c:ptCount val="20"/>
                <c:pt idx="0">
                  <c:v>3.8729666924864445</c:v>
                </c:pt>
                <c:pt idx="1">
                  <c:v>9.6824167312161116</c:v>
                </c:pt>
                <c:pt idx="2">
                  <c:v>19.364833462432223</c:v>
                </c:pt>
                <c:pt idx="3">
                  <c:v>29.047250193648335</c:v>
                </c:pt>
                <c:pt idx="4">
                  <c:v>38.729666924864446</c:v>
                </c:pt>
                <c:pt idx="5">
                  <c:v>58.094500387296669</c:v>
                </c:pt>
                <c:pt idx="6">
                  <c:v>77.459333849728893</c:v>
                </c:pt>
                <c:pt idx="7">
                  <c:v>87.141750580945001</c:v>
                </c:pt>
                <c:pt idx="8">
                  <c:v>96.824167312161109</c:v>
                </c:pt>
                <c:pt idx="9">
                  <c:v>101.66537567776918</c:v>
                </c:pt>
                <c:pt idx="10">
                  <c:v>106.50658404337723</c:v>
                </c:pt>
                <c:pt idx="11">
                  <c:v>111.34779240898528</c:v>
                </c:pt>
                <c:pt idx="12">
                  <c:v>116.18900077459334</c:v>
                </c:pt>
                <c:pt idx="13">
                  <c:v>121.03020914020139</c:v>
                </c:pt>
                <c:pt idx="14">
                  <c:v>125.87141750580945</c:v>
                </c:pt>
                <c:pt idx="15">
                  <c:v>130.71262587141752</c:v>
                </c:pt>
                <c:pt idx="16">
                  <c:v>135.55383423702557</c:v>
                </c:pt>
                <c:pt idx="17">
                  <c:v>140.39504260263362</c:v>
                </c:pt>
                <c:pt idx="18">
                  <c:v>145.23625096824168</c:v>
                </c:pt>
                <c:pt idx="19">
                  <c:v>232.37800154918668</c:v>
                </c:pt>
              </c:numCache>
            </c:numRef>
          </c:xVal>
          <c:yVal>
            <c:numRef>
              <c:f>'Supporting data_SI_units'!$O$6:$O$25</c:f>
              <c:numCache>
                <c:formatCode>0.0</c:formatCode>
                <c:ptCount val="20"/>
                <c:pt idx="0">
                  <c:v>27.696072105879182</c:v>
                </c:pt>
                <c:pt idx="1">
                  <c:v>27.79406257691835</c:v>
                </c:pt>
                <c:pt idx="2">
                  <c:v>28.125098515553283</c:v>
                </c:pt>
                <c:pt idx="3">
                  <c:v>28.749925181799277</c:v>
                </c:pt>
                <c:pt idx="4">
                  <c:v>29.765630212943659</c:v>
                </c:pt>
                <c:pt idx="5">
                  <c:v>33.358025919076866</c:v>
                </c:pt>
                <c:pt idx="6">
                  <c:v>39.678986732251467</c:v>
                </c:pt>
                <c:pt idx="7">
                  <c:v>44.105398147197583</c:v>
                </c:pt>
                <c:pt idx="8">
                  <c:v>49.505213750766011</c:v>
                </c:pt>
                <c:pt idx="9">
                  <c:v>52.600488009935866</c:v>
                </c:pt>
                <c:pt idx="10">
                  <c:v>55.975521180244051</c:v>
                </c:pt>
                <c:pt idx="11">
                  <c:v>59.642449216351473</c:v>
                </c:pt>
                <c:pt idx="12">
                  <c:v>63.61340807291905</c:v>
                </c:pt>
                <c:pt idx="13">
                  <c:v>67.900533704607696</c:v>
                </c:pt>
                <c:pt idx="14">
                  <c:v>72.515962066078316</c:v>
                </c:pt>
                <c:pt idx="15">
                  <c:v>75</c:v>
                </c:pt>
                <c:pt idx="16">
                  <c:v>75</c:v>
                </c:pt>
                <c:pt idx="17">
                  <c:v>75</c:v>
                </c:pt>
                <c:pt idx="18">
                  <c:v>75</c:v>
                </c:pt>
                <c:pt idx="19">
                  <c:v>75</c:v>
                </c:pt>
              </c:numCache>
            </c:numRef>
          </c:yVal>
          <c:smooth val="0"/>
          <c:extLst>
            <c:ext xmlns:c16="http://schemas.microsoft.com/office/drawing/2014/chart" uri="{C3380CC4-5D6E-409C-BE32-E72D297353CC}">
              <c16:uniqueId val="{00000004-6258-49D0-A765-3847F5468F6D}"/>
            </c:ext>
          </c:extLst>
        </c:ser>
        <c:ser>
          <c:idx val="2"/>
          <c:order val="5"/>
          <c:tx>
            <c:v>MCSF @ 74.6 kW</c:v>
          </c:tx>
          <c:spPr>
            <a:ln>
              <a:prstDash val="dashDot"/>
            </a:ln>
          </c:spPr>
          <c:marker>
            <c:symbol val="none"/>
          </c:marker>
          <c:xVal>
            <c:numRef>
              <c:f>'Supporting data_SI_units'!$S$6:$S$25</c:f>
              <c:numCache>
                <c:formatCode>0</c:formatCode>
                <c:ptCount val="20"/>
                <c:pt idx="0">
                  <c:v>3.8729666924864445</c:v>
                </c:pt>
                <c:pt idx="1">
                  <c:v>9.6824167312161116</c:v>
                </c:pt>
                <c:pt idx="2">
                  <c:v>19.364833462432223</c:v>
                </c:pt>
                <c:pt idx="3">
                  <c:v>29.047250193648335</c:v>
                </c:pt>
                <c:pt idx="4">
                  <c:v>38.729666924864446</c:v>
                </c:pt>
                <c:pt idx="5">
                  <c:v>58.094500387296669</c:v>
                </c:pt>
                <c:pt idx="6">
                  <c:v>77.459333849728893</c:v>
                </c:pt>
                <c:pt idx="7">
                  <c:v>87.141750580945001</c:v>
                </c:pt>
                <c:pt idx="8">
                  <c:v>96.824167312161109</c:v>
                </c:pt>
                <c:pt idx="9">
                  <c:v>101.66537567776918</c:v>
                </c:pt>
                <c:pt idx="10">
                  <c:v>106.50658404337723</c:v>
                </c:pt>
                <c:pt idx="11">
                  <c:v>111.34779240898528</c:v>
                </c:pt>
                <c:pt idx="12">
                  <c:v>116.18900077459334</c:v>
                </c:pt>
                <c:pt idx="13">
                  <c:v>121.03020914020139</c:v>
                </c:pt>
                <c:pt idx="14">
                  <c:v>125.87141750580945</c:v>
                </c:pt>
                <c:pt idx="15">
                  <c:v>130.71262587141752</c:v>
                </c:pt>
                <c:pt idx="16">
                  <c:v>135.55383423702557</c:v>
                </c:pt>
                <c:pt idx="17">
                  <c:v>140.39504260263362</c:v>
                </c:pt>
                <c:pt idx="18">
                  <c:v>145.23625096824168</c:v>
                </c:pt>
                <c:pt idx="19">
                  <c:v>232.37800154918668</c:v>
                </c:pt>
              </c:numCache>
            </c:numRef>
          </c:xVal>
          <c:yVal>
            <c:numRef>
              <c:f>'Supporting data_SI_units'!$P$6:$P$25</c:f>
              <c:numCache>
                <c:formatCode>0.0</c:formatCode>
                <c:ptCount val="20"/>
                <c:pt idx="0">
                  <c:v>31.075504014474287</c:v>
                </c:pt>
                <c:pt idx="1">
                  <c:v>31.185451131325976</c:v>
                </c:pt>
                <c:pt idx="2">
                  <c:v>31.556879563511544</c:v>
                </c:pt>
                <c:pt idx="3">
                  <c:v>32.257946613779524</c:v>
                </c:pt>
                <c:pt idx="4">
                  <c:v>33.39758640285087</c:v>
                </c:pt>
                <c:pt idx="5">
                  <c:v>37.428320680287463</c:v>
                </c:pt>
                <c:pt idx="6">
                  <c:v>44.520555361588912</c:v>
                </c:pt>
                <c:pt idx="7">
                  <c:v>49.487070655491316</c:v>
                </c:pt>
                <c:pt idx="8">
                  <c:v>55.545763412522788</c:v>
                </c:pt>
                <c:pt idx="9">
                  <c:v>59.01871825243721</c:v>
                </c:pt>
                <c:pt idx="10">
                  <c:v>62.805567753404254</c:v>
                </c:pt>
                <c:pt idx="11">
                  <c:v>66.919928680514033</c:v>
                </c:pt>
                <c:pt idx="12">
                  <c:v>71.375417798856688</c:v>
                </c:pt>
                <c:pt idx="13">
                  <c:v>75</c:v>
                </c:pt>
                <c:pt idx="14">
                  <c:v>75</c:v>
                </c:pt>
                <c:pt idx="15">
                  <c:v>75</c:v>
                </c:pt>
                <c:pt idx="16">
                  <c:v>75</c:v>
                </c:pt>
                <c:pt idx="17">
                  <c:v>75</c:v>
                </c:pt>
                <c:pt idx="18">
                  <c:v>75</c:v>
                </c:pt>
                <c:pt idx="19">
                  <c:v>75</c:v>
                </c:pt>
              </c:numCache>
            </c:numRef>
          </c:yVal>
          <c:smooth val="0"/>
          <c:extLst>
            <c:ext xmlns:c16="http://schemas.microsoft.com/office/drawing/2014/chart" uri="{C3380CC4-5D6E-409C-BE32-E72D297353CC}">
              <c16:uniqueId val="{00000005-6258-49D0-A765-3847F5468F6D}"/>
            </c:ext>
          </c:extLst>
        </c:ser>
        <c:ser>
          <c:idx val="3"/>
          <c:order val="6"/>
          <c:tx>
            <c:v>MCSF @ 745.7 kW</c:v>
          </c:tx>
          <c:spPr>
            <a:ln>
              <a:prstDash val="lgDashDotDot"/>
            </a:ln>
          </c:spPr>
          <c:marker>
            <c:symbol val="none"/>
          </c:marker>
          <c:xVal>
            <c:numRef>
              <c:f>'Supporting data_SI_units'!$S$6:$S$25</c:f>
              <c:numCache>
                <c:formatCode>0</c:formatCode>
                <c:ptCount val="20"/>
                <c:pt idx="0">
                  <c:v>3.8729666924864445</c:v>
                </c:pt>
                <c:pt idx="1">
                  <c:v>9.6824167312161116</c:v>
                </c:pt>
                <c:pt idx="2">
                  <c:v>19.364833462432223</c:v>
                </c:pt>
                <c:pt idx="3">
                  <c:v>29.047250193648335</c:v>
                </c:pt>
                <c:pt idx="4">
                  <c:v>38.729666924864446</c:v>
                </c:pt>
                <c:pt idx="5">
                  <c:v>58.094500387296669</c:v>
                </c:pt>
                <c:pt idx="6">
                  <c:v>77.459333849728893</c:v>
                </c:pt>
                <c:pt idx="7">
                  <c:v>87.141750580945001</c:v>
                </c:pt>
                <c:pt idx="8">
                  <c:v>96.824167312161109</c:v>
                </c:pt>
                <c:pt idx="9">
                  <c:v>101.66537567776918</c:v>
                </c:pt>
                <c:pt idx="10">
                  <c:v>106.50658404337723</c:v>
                </c:pt>
                <c:pt idx="11">
                  <c:v>111.34779240898528</c:v>
                </c:pt>
                <c:pt idx="12">
                  <c:v>116.18900077459334</c:v>
                </c:pt>
                <c:pt idx="13">
                  <c:v>121.03020914020139</c:v>
                </c:pt>
                <c:pt idx="14">
                  <c:v>125.87141750580945</c:v>
                </c:pt>
                <c:pt idx="15">
                  <c:v>130.71262587141752</c:v>
                </c:pt>
                <c:pt idx="16">
                  <c:v>135.55383423702557</c:v>
                </c:pt>
                <c:pt idx="17">
                  <c:v>140.39504260263362</c:v>
                </c:pt>
                <c:pt idx="18">
                  <c:v>145.23625096824168</c:v>
                </c:pt>
                <c:pt idx="19">
                  <c:v>232.37800154918668</c:v>
                </c:pt>
              </c:numCache>
            </c:numRef>
          </c:xVal>
          <c:yVal>
            <c:numRef>
              <c:f>'Supporting data_SI_units'!$Q$6:$Q$25</c:f>
              <c:numCache>
                <c:formatCode>0.0</c:formatCode>
                <c:ptCount val="20"/>
                <c:pt idx="0">
                  <c:v>34.867288980974898</c:v>
                </c:pt>
                <c:pt idx="1">
                  <c:v>34.990651675079789</c:v>
                </c:pt>
                <c:pt idx="2">
                  <c:v>35.407401230444442</c:v>
                </c:pt>
                <c:pt idx="3">
                  <c:v>36.194011398548156</c:v>
                </c:pt>
                <c:pt idx="4">
                  <c:v>37.472708273143006</c:v>
                </c:pt>
                <c:pt idx="5">
                  <c:v>41.995266516814354</c:v>
                </c:pt>
                <c:pt idx="6">
                  <c:v>49.952884711474987</c:v>
                </c:pt>
                <c:pt idx="7">
                  <c:v>55.525406524806421</c:v>
                </c:pt>
                <c:pt idx="8">
                  <c:v>62.323371607141375</c:v>
                </c:pt>
                <c:pt idx="9">
                  <c:v>66.220091028482685</c:v>
                </c:pt>
                <c:pt idx="10">
                  <c:v>70.46900605223189</c:v>
                </c:pt>
                <c:pt idx="11">
                  <c:v>75</c:v>
                </c:pt>
                <c:pt idx="12">
                  <c:v>75</c:v>
                </c:pt>
                <c:pt idx="13">
                  <c:v>75</c:v>
                </c:pt>
                <c:pt idx="14">
                  <c:v>75</c:v>
                </c:pt>
                <c:pt idx="15">
                  <c:v>75</c:v>
                </c:pt>
                <c:pt idx="16">
                  <c:v>75</c:v>
                </c:pt>
                <c:pt idx="17">
                  <c:v>75</c:v>
                </c:pt>
                <c:pt idx="18">
                  <c:v>75</c:v>
                </c:pt>
                <c:pt idx="19">
                  <c:v>75</c:v>
                </c:pt>
              </c:numCache>
            </c:numRef>
          </c:yVal>
          <c:smooth val="0"/>
          <c:extLst>
            <c:ext xmlns:c16="http://schemas.microsoft.com/office/drawing/2014/chart" uri="{C3380CC4-5D6E-409C-BE32-E72D297353CC}">
              <c16:uniqueId val="{00000006-6258-49D0-A765-3847F5468F6D}"/>
            </c:ext>
          </c:extLst>
        </c:ser>
        <c:ser>
          <c:idx val="4"/>
          <c:order val="7"/>
          <c:tx>
            <c:v>MCSF @ 7457 kW</c:v>
          </c:tx>
          <c:marker>
            <c:symbol val="none"/>
          </c:marker>
          <c:xVal>
            <c:numRef>
              <c:f>'Supporting data_SI_units'!$S$6:$S$25</c:f>
              <c:numCache>
                <c:formatCode>0</c:formatCode>
                <c:ptCount val="20"/>
                <c:pt idx="0">
                  <c:v>3.8729666924864445</c:v>
                </c:pt>
                <c:pt idx="1">
                  <c:v>9.6824167312161116</c:v>
                </c:pt>
                <c:pt idx="2">
                  <c:v>19.364833462432223</c:v>
                </c:pt>
                <c:pt idx="3">
                  <c:v>29.047250193648335</c:v>
                </c:pt>
                <c:pt idx="4">
                  <c:v>38.729666924864446</c:v>
                </c:pt>
                <c:pt idx="5">
                  <c:v>58.094500387296669</c:v>
                </c:pt>
                <c:pt idx="6">
                  <c:v>77.459333849728893</c:v>
                </c:pt>
                <c:pt idx="7">
                  <c:v>87.141750580945001</c:v>
                </c:pt>
                <c:pt idx="8">
                  <c:v>96.824167312161109</c:v>
                </c:pt>
                <c:pt idx="9">
                  <c:v>101.66537567776918</c:v>
                </c:pt>
                <c:pt idx="10">
                  <c:v>106.50658404337723</c:v>
                </c:pt>
                <c:pt idx="11">
                  <c:v>111.34779240898528</c:v>
                </c:pt>
                <c:pt idx="12">
                  <c:v>116.18900077459334</c:v>
                </c:pt>
                <c:pt idx="13">
                  <c:v>121.03020914020139</c:v>
                </c:pt>
                <c:pt idx="14">
                  <c:v>125.87141750580945</c:v>
                </c:pt>
                <c:pt idx="15">
                  <c:v>130.71262587141752</c:v>
                </c:pt>
                <c:pt idx="16">
                  <c:v>135.55383423702557</c:v>
                </c:pt>
                <c:pt idx="17">
                  <c:v>140.39504260263362</c:v>
                </c:pt>
                <c:pt idx="18">
                  <c:v>145.23625096824168</c:v>
                </c:pt>
                <c:pt idx="19">
                  <c:v>232.37800154918668</c:v>
                </c:pt>
              </c:numCache>
            </c:numRef>
          </c:xVal>
          <c:yVal>
            <c:numRef>
              <c:f>'Supporting data_SI_units'!$R$6:$R$25</c:f>
              <c:numCache>
                <c:formatCode>0.0</c:formatCode>
                <c:ptCount val="20"/>
                <c:pt idx="0">
                  <c:v>39.121741688133334</c:v>
                </c:pt>
                <c:pt idx="1">
                  <c:v>39.260156907491428</c:v>
                </c:pt>
                <c:pt idx="2">
                  <c:v>39.727757599432707</c:v>
                </c:pt>
                <c:pt idx="3">
                  <c:v>40.610348724386647</c:v>
                </c:pt>
                <c:pt idx="4">
                  <c:v>42.045070215140314</c:v>
                </c:pt>
                <c:pt idx="5">
                  <c:v>47.119464025195036</c:v>
                </c:pt>
                <c:pt idx="6">
                  <c:v>56.048058491893336</c:v>
                </c:pt>
                <c:pt idx="7">
                  <c:v>62.300530803451451</c:v>
                </c:pt>
                <c:pt idx="8">
                  <c:v>69.927973077531632</c:v>
                </c:pt>
                <c:pt idx="9">
                  <c:v>74.300164179513445</c:v>
                </c:pt>
                <c:pt idx="10">
                  <c:v>75</c:v>
                </c:pt>
                <c:pt idx="11">
                  <c:v>75</c:v>
                </c:pt>
                <c:pt idx="12">
                  <c:v>75</c:v>
                </c:pt>
                <c:pt idx="13">
                  <c:v>75</c:v>
                </c:pt>
                <c:pt idx="14">
                  <c:v>75</c:v>
                </c:pt>
                <c:pt idx="15">
                  <c:v>75</c:v>
                </c:pt>
                <c:pt idx="16">
                  <c:v>75</c:v>
                </c:pt>
                <c:pt idx="17">
                  <c:v>75</c:v>
                </c:pt>
                <c:pt idx="18">
                  <c:v>75</c:v>
                </c:pt>
                <c:pt idx="19">
                  <c:v>75</c:v>
                </c:pt>
              </c:numCache>
            </c:numRef>
          </c:yVal>
          <c:smooth val="0"/>
          <c:extLst>
            <c:ext xmlns:c16="http://schemas.microsoft.com/office/drawing/2014/chart" uri="{C3380CC4-5D6E-409C-BE32-E72D297353CC}">
              <c16:uniqueId val="{00000007-6258-49D0-A765-3847F5468F6D}"/>
            </c:ext>
          </c:extLst>
        </c:ser>
        <c:ser>
          <c:idx val="6"/>
          <c:order val="8"/>
          <c:tx>
            <c:v>Maximum Flow</c:v>
          </c:tx>
          <c:marker>
            <c:symbol val="none"/>
          </c:marker>
          <c:xVal>
            <c:numRef>
              <c:f>'Supporting data_SI_units'!$E$28:$E$42</c:f>
              <c:numCache>
                <c:formatCode>0</c:formatCode>
                <c:ptCount val="15"/>
                <c:pt idx="0">
                  <c:v>3.8729666924864445</c:v>
                </c:pt>
                <c:pt idx="1">
                  <c:v>7.7459333849728891</c:v>
                </c:pt>
                <c:pt idx="2">
                  <c:v>9.6824167312161116</c:v>
                </c:pt>
                <c:pt idx="3">
                  <c:v>14.523625096824167</c:v>
                </c:pt>
                <c:pt idx="4">
                  <c:v>19.364833462432223</c:v>
                </c:pt>
                <c:pt idx="5">
                  <c:v>38.729666924864446</c:v>
                </c:pt>
                <c:pt idx="6">
                  <c:v>67.776917118512785</c:v>
                </c:pt>
                <c:pt idx="7">
                  <c:v>77.459333849728893</c:v>
                </c:pt>
                <c:pt idx="8">
                  <c:v>96.824167312161109</c:v>
                </c:pt>
                <c:pt idx="9">
                  <c:v>116.18900077459334</c:v>
                </c:pt>
                <c:pt idx="10">
                  <c:v>135.55383423702557</c:v>
                </c:pt>
                <c:pt idx="11">
                  <c:v>174.28350116189</c:v>
                </c:pt>
                <c:pt idx="12">
                  <c:v>193.64833462432222</c:v>
                </c:pt>
                <c:pt idx="13">
                  <c:v>213.01316808675446</c:v>
                </c:pt>
                <c:pt idx="14">
                  <c:v>232.37800154918668</c:v>
                </c:pt>
              </c:numCache>
            </c:numRef>
          </c:xVal>
          <c:yVal>
            <c:numRef>
              <c:f>'Supporting data_SI_units'!$G$28:$G$42</c:f>
              <c:numCache>
                <c:formatCode>General</c:formatCode>
                <c:ptCount val="15"/>
                <c:pt idx="0">
                  <c:v>115</c:v>
                </c:pt>
                <c:pt idx="1">
                  <c:v>115</c:v>
                </c:pt>
                <c:pt idx="2">
                  <c:v>120</c:v>
                </c:pt>
                <c:pt idx="3">
                  <c:v>120</c:v>
                </c:pt>
                <c:pt idx="4">
                  <c:v>120</c:v>
                </c:pt>
                <c:pt idx="5">
                  <c:v>120</c:v>
                </c:pt>
                <c:pt idx="6">
                  <c:v>120</c:v>
                </c:pt>
                <c:pt idx="7">
                  <c:v>120</c:v>
                </c:pt>
                <c:pt idx="8">
                  <c:v>120</c:v>
                </c:pt>
                <c:pt idx="9">
                  <c:v>120</c:v>
                </c:pt>
                <c:pt idx="10">
                  <c:v>120</c:v>
                </c:pt>
                <c:pt idx="11">
                  <c:v>120</c:v>
                </c:pt>
                <c:pt idx="12">
                  <c:v>120</c:v>
                </c:pt>
                <c:pt idx="13">
                  <c:v>120</c:v>
                </c:pt>
                <c:pt idx="14">
                  <c:v>120</c:v>
                </c:pt>
              </c:numCache>
            </c:numRef>
          </c:yVal>
          <c:smooth val="0"/>
          <c:extLst>
            <c:ext xmlns:c16="http://schemas.microsoft.com/office/drawing/2014/chart" uri="{C3380CC4-5D6E-409C-BE32-E72D297353CC}">
              <c16:uniqueId val="{00000008-6258-49D0-A765-3847F5468F6D}"/>
            </c:ext>
          </c:extLst>
        </c:ser>
        <c:ser>
          <c:idx val="7"/>
          <c:order val="9"/>
          <c:tx>
            <c:v>Firepump short term max flow</c:v>
          </c:tx>
          <c:spPr>
            <a:ln>
              <a:solidFill>
                <a:srgbClr val="FF0000"/>
              </a:solidFill>
              <a:prstDash val="sysDash"/>
            </a:ln>
          </c:spPr>
          <c:marker>
            <c:symbol val="none"/>
          </c:marker>
          <c:xVal>
            <c:numRef>
              <c:f>'Supporting data_SI_units'!$E$28:$E$42</c:f>
              <c:numCache>
                <c:formatCode>0</c:formatCode>
                <c:ptCount val="15"/>
                <c:pt idx="0">
                  <c:v>3.8729666924864445</c:v>
                </c:pt>
                <c:pt idx="1">
                  <c:v>7.7459333849728891</c:v>
                </c:pt>
                <c:pt idx="2">
                  <c:v>9.6824167312161116</c:v>
                </c:pt>
                <c:pt idx="3">
                  <c:v>14.523625096824167</c:v>
                </c:pt>
                <c:pt idx="4">
                  <c:v>19.364833462432223</c:v>
                </c:pt>
                <c:pt idx="5">
                  <c:v>38.729666924864446</c:v>
                </c:pt>
                <c:pt idx="6">
                  <c:v>67.776917118512785</c:v>
                </c:pt>
                <c:pt idx="7">
                  <c:v>77.459333849728893</c:v>
                </c:pt>
                <c:pt idx="8">
                  <c:v>96.824167312161109</c:v>
                </c:pt>
                <c:pt idx="9">
                  <c:v>116.18900077459334</c:v>
                </c:pt>
                <c:pt idx="10">
                  <c:v>135.55383423702557</c:v>
                </c:pt>
                <c:pt idx="11">
                  <c:v>174.28350116189</c:v>
                </c:pt>
                <c:pt idx="12">
                  <c:v>193.64833462432222</c:v>
                </c:pt>
                <c:pt idx="13">
                  <c:v>213.01316808675446</c:v>
                </c:pt>
                <c:pt idx="14">
                  <c:v>232.37800154918668</c:v>
                </c:pt>
              </c:numCache>
            </c:numRef>
          </c:xVal>
          <c:yVal>
            <c:numRef>
              <c:f>'Supporting data_SI_units'!$I$28:$I$42</c:f>
              <c:numCache>
                <c:formatCode>General</c:formatCode>
                <c:ptCount val="15"/>
                <c:pt idx="0">
                  <c:v>120</c:v>
                </c:pt>
                <c:pt idx="1">
                  <c:v>120</c:v>
                </c:pt>
                <c:pt idx="2">
                  <c:v>120</c:v>
                </c:pt>
                <c:pt idx="3">
                  <c:v>120</c:v>
                </c:pt>
                <c:pt idx="4">
                  <c:v>150</c:v>
                </c:pt>
                <c:pt idx="5">
                  <c:v>150</c:v>
                </c:pt>
                <c:pt idx="6">
                  <c:v>150</c:v>
                </c:pt>
                <c:pt idx="7">
                  <c:v>135</c:v>
                </c:pt>
                <c:pt idx="8">
                  <c:v>135</c:v>
                </c:pt>
                <c:pt idx="9">
                  <c:v>135</c:v>
                </c:pt>
                <c:pt idx="10">
                  <c:v>135</c:v>
                </c:pt>
                <c:pt idx="11">
                  <c:v>135</c:v>
                </c:pt>
                <c:pt idx="12">
                  <c:v>135</c:v>
                </c:pt>
                <c:pt idx="13">
                  <c:v>135</c:v>
                </c:pt>
                <c:pt idx="14">
                  <c:v>135</c:v>
                </c:pt>
              </c:numCache>
            </c:numRef>
          </c:yVal>
          <c:smooth val="0"/>
          <c:extLst>
            <c:ext xmlns:c16="http://schemas.microsoft.com/office/drawing/2014/chart" uri="{C3380CC4-5D6E-409C-BE32-E72D297353CC}">
              <c16:uniqueId val="{00000009-6258-49D0-A765-3847F5468F6D}"/>
            </c:ext>
          </c:extLst>
        </c:ser>
        <c:dLbls>
          <c:showLegendKey val="0"/>
          <c:showVal val="0"/>
          <c:showCatName val="0"/>
          <c:showSerName val="0"/>
          <c:showPercent val="0"/>
          <c:showBubbleSize val="0"/>
        </c:dLbls>
        <c:axId val="6862896"/>
        <c:axId val="1"/>
      </c:scatterChart>
      <c:valAx>
        <c:axId val="6862896"/>
        <c:scaling>
          <c:orientation val="minMax"/>
          <c:min val="0"/>
        </c:scaling>
        <c:delete val="0"/>
        <c:axPos val="b"/>
        <c:majorGridlines/>
        <c:title>
          <c:tx>
            <c:rich>
              <a:bodyPr/>
              <a:lstStyle/>
              <a:p>
                <a:pPr>
                  <a:defRPr sz="1000" b="1" i="0" u="none" strike="noStrike" baseline="0">
                    <a:solidFill>
                      <a:srgbClr val="000000"/>
                    </a:solidFill>
                    <a:latin typeface="Calibri"/>
                    <a:ea typeface="Calibri"/>
                    <a:cs typeface="Calibri"/>
                  </a:defRPr>
                </a:pPr>
                <a:r>
                  <a:rPr lang="en-US"/>
                  <a:t>Pump Specific Speed (SI units)</a:t>
                </a:r>
              </a:p>
            </c:rich>
          </c:tx>
          <c:overlay val="0"/>
        </c:title>
        <c:numFmt formatCode="0" sourceLinked="0"/>
        <c:majorTickMark val="out"/>
        <c:minorTickMark val="in"/>
        <c:tickLblPos val="nextTo"/>
        <c:txPr>
          <a:bodyPr rot="0" vert="horz"/>
          <a:lstStyle/>
          <a:p>
            <a:pPr>
              <a:defRPr sz="1000" b="0" i="0" u="none" strike="noStrike" baseline="0">
                <a:solidFill>
                  <a:srgbClr val="000000"/>
                </a:solidFill>
                <a:latin typeface="Calibri"/>
                <a:ea typeface="Calibri"/>
                <a:cs typeface="Calibri"/>
              </a:defRPr>
            </a:pPr>
            <a:endParaRPr lang="it-IT"/>
          </a:p>
        </c:txPr>
        <c:crossAx val="1"/>
        <c:crosses val="autoZero"/>
        <c:crossBetween val="midCat"/>
      </c:valAx>
      <c:valAx>
        <c:axId val="1"/>
        <c:scaling>
          <c:orientation val="minMax"/>
          <c:max val="150"/>
          <c:min val="0"/>
        </c:scaling>
        <c:delete val="0"/>
        <c:axPos val="l"/>
        <c:majorGridlines/>
        <c:title>
          <c:tx>
            <c:rich>
              <a:bodyPr/>
              <a:lstStyle/>
              <a:p>
                <a:pPr>
                  <a:defRPr sz="1000" b="1" i="0" u="none" strike="noStrike" baseline="0">
                    <a:solidFill>
                      <a:srgbClr val="000000"/>
                    </a:solidFill>
                    <a:latin typeface="Calibri"/>
                    <a:ea typeface="Calibri"/>
                    <a:cs typeface="Calibri"/>
                  </a:defRPr>
                </a:pPr>
                <a:r>
                  <a:rPr lang="en-US"/>
                  <a:t>Pump % of BEP Flow</a:t>
                </a:r>
              </a:p>
            </c:rich>
          </c:tx>
          <c:overlay val="0"/>
        </c:title>
        <c:numFmt formatCode="0" sourceLinked="0"/>
        <c:majorTickMark val="out"/>
        <c:minorTickMark val="in"/>
        <c:tickLblPos val="nextTo"/>
        <c:txPr>
          <a:bodyPr rot="0" vert="horz"/>
          <a:lstStyle/>
          <a:p>
            <a:pPr>
              <a:defRPr sz="1000" b="0" i="0" u="none" strike="noStrike" baseline="0">
                <a:solidFill>
                  <a:srgbClr val="000000"/>
                </a:solidFill>
                <a:latin typeface="Calibri"/>
                <a:ea typeface="Calibri"/>
                <a:cs typeface="Calibri"/>
              </a:defRPr>
            </a:pPr>
            <a:endParaRPr lang="it-IT"/>
          </a:p>
        </c:txPr>
        <c:crossAx val="6862896"/>
        <c:crosses val="autoZero"/>
        <c:crossBetween val="midCat"/>
        <c:minorUnit val="5"/>
      </c:valAx>
    </c:plotArea>
    <c:legend>
      <c:legendPos val="r"/>
      <c:layout>
        <c:manualLayout>
          <c:xMode val="edge"/>
          <c:yMode val="edge"/>
          <c:x val="0.58892444640446129"/>
          <c:y val="0.54442343619506339"/>
          <c:w val="0.34575564272778053"/>
          <c:h val="0.32180961588648876"/>
        </c:manualLayout>
      </c:layout>
      <c:overlay val="1"/>
      <c:spPr>
        <a:solidFill>
          <a:schemeClr val="bg1"/>
        </a:solidFill>
        <a:ln>
          <a:solidFill>
            <a:schemeClr val="accent1"/>
          </a:solidFill>
        </a:ln>
      </c:spPr>
      <c:txPr>
        <a:bodyPr/>
        <a:lstStyle/>
        <a:p>
          <a:pPr>
            <a:defRPr sz="920" b="0" i="0" u="none" strike="noStrike" baseline="0">
              <a:solidFill>
                <a:srgbClr val="000000"/>
              </a:solidFill>
              <a:latin typeface="Calibri"/>
              <a:ea typeface="Calibri"/>
              <a:cs typeface="Calibri"/>
            </a:defRPr>
          </a:pPr>
          <a:endParaRPr lang="it-IT"/>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it-IT"/>
    </a:p>
  </c:txPr>
  <c:printSettings>
    <c:headerFooter/>
    <c:pageMargins b="0.75000000000000022" l="0.70000000000000018" r="0.70000000000000018" t="0.75000000000000022" header="0.3000000000000001" footer="0.3000000000000001"/>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Nss limit based on SGST curve </a:t>
            </a:r>
          </a:p>
        </c:rich>
      </c:tx>
      <c:overlay val="0"/>
    </c:title>
    <c:autoTitleDeleted val="0"/>
    <c:plotArea>
      <c:layout>
        <c:manualLayout>
          <c:layoutTarget val="inner"/>
          <c:xMode val="edge"/>
          <c:yMode val="edge"/>
          <c:x val="0.10735992846755089"/>
          <c:y val="0.18523598421726925"/>
          <c:w val="0.5936036012888174"/>
          <c:h val="0.68969251821983946"/>
        </c:manualLayout>
      </c:layout>
      <c:scatterChart>
        <c:scatterStyle val="lineMarker"/>
        <c:varyColors val="0"/>
        <c:ser>
          <c:idx val="0"/>
          <c:order val="0"/>
          <c:spPr>
            <a:ln w="28575">
              <a:noFill/>
            </a:ln>
          </c:spPr>
          <c:trendline>
            <c:trendlineType val="poly"/>
            <c:order val="3"/>
            <c:dispRSqr val="1"/>
            <c:dispEq val="1"/>
            <c:trendlineLbl>
              <c:layout>
                <c:manualLayout>
                  <c:x val="0.26480757668412153"/>
                  <c:y val="-0.1808224961700893"/>
                </c:manualLayout>
              </c:layout>
              <c:numFmt formatCode="0.0000E+00" sourceLinked="0"/>
            </c:trendlineLbl>
          </c:trendline>
          <c:xVal>
            <c:numRef>
              <c:f>'Supporting data_US_units'!$C$52:$C$59</c:f>
              <c:numCache>
                <c:formatCode>General</c:formatCode>
                <c:ptCount val="8"/>
                <c:pt idx="0">
                  <c:v>200</c:v>
                </c:pt>
                <c:pt idx="1">
                  <c:v>400</c:v>
                </c:pt>
                <c:pt idx="2">
                  <c:v>1000</c:v>
                </c:pt>
                <c:pt idx="3">
                  <c:v>1500</c:v>
                </c:pt>
                <c:pt idx="4">
                  <c:v>2000</c:v>
                </c:pt>
                <c:pt idx="5">
                  <c:v>2500</c:v>
                </c:pt>
                <c:pt idx="6">
                  <c:v>4000</c:v>
                </c:pt>
                <c:pt idx="7">
                  <c:v>5000</c:v>
                </c:pt>
              </c:numCache>
            </c:numRef>
          </c:xVal>
          <c:yVal>
            <c:numRef>
              <c:f>'Supporting data_US_units'!$D$52:$D$59</c:f>
              <c:numCache>
                <c:formatCode>General</c:formatCode>
                <c:ptCount val="8"/>
                <c:pt idx="0">
                  <c:v>15000</c:v>
                </c:pt>
                <c:pt idx="1">
                  <c:v>15000</c:v>
                </c:pt>
                <c:pt idx="2">
                  <c:v>14250</c:v>
                </c:pt>
                <c:pt idx="3">
                  <c:v>13000</c:v>
                </c:pt>
                <c:pt idx="4">
                  <c:v>12000</c:v>
                </c:pt>
                <c:pt idx="5">
                  <c:v>11100</c:v>
                </c:pt>
                <c:pt idx="6">
                  <c:v>8500</c:v>
                </c:pt>
                <c:pt idx="7">
                  <c:v>8000</c:v>
                </c:pt>
              </c:numCache>
            </c:numRef>
          </c:yVal>
          <c:smooth val="0"/>
          <c:extLst>
            <c:ext xmlns:c16="http://schemas.microsoft.com/office/drawing/2014/chart" uri="{C3380CC4-5D6E-409C-BE32-E72D297353CC}">
              <c16:uniqueId val="{00000001-3755-4435-85BA-BE19530FA75F}"/>
            </c:ext>
          </c:extLst>
        </c:ser>
        <c:dLbls>
          <c:showLegendKey val="0"/>
          <c:showVal val="0"/>
          <c:showCatName val="0"/>
          <c:showSerName val="0"/>
          <c:showPercent val="0"/>
          <c:showBubbleSize val="0"/>
        </c:dLbls>
        <c:axId val="9055216"/>
        <c:axId val="1"/>
      </c:scatterChart>
      <c:valAx>
        <c:axId val="9055216"/>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it-IT"/>
          </a:p>
        </c:txPr>
        <c:crossAx val="1"/>
        <c:crosses val="autoZero"/>
        <c:crossBetween val="midCat"/>
      </c:valAx>
      <c:valAx>
        <c:axId val="1"/>
        <c:scaling>
          <c:orientation val="minMax"/>
        </c:scaling>
        <c:delete val="0"/>
        <c:axPos val="l"/>
        <c:majorGridlines/>
        <c:numFmt formatCode="General" sourceLinked="1"/>
        <c:majorTickMark val="out"/>
        <c:minorTickMark val="none"/>
        <c:tickLblPos val="nextTo"/>
        <c:crossAx val="9055216"/>
        <c:crosses val="autoZero"/>
        <c:crossBetween val="midCat"/>
      </c:valAx>
    </c:plotArea>
    <c:legend>
      <c:legendPos val="r"/>
      <c:layout>
        <c:manualLayout>
          <c:xMode val="edge"/>
          <c:yMode val="edge"/>
          <c:x val="0.74722837259444208"/>
          <c:y val="0.39462122411951805"/>
          <c:w val="0.22707688568364034"/>
          <c:h val="0.20343827081937885"/>
        </c:manualLayout>
      </c:layout>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Nss limit based on SGST curve </a:t>
            </a:r>
          </a:p>
        </c:rich>
      </c:tx>
      <c:overlay val="0"/>
    </c:title>
    <c:autoTitleDeleted val="0"/>
    <c:plotArea>
      <c:layout>
        <c:manualLayout>
          <c:layoutTarget val="inner"/>
          <c:xMode val="edge"/>
          <c:yMode val="edge"/>
          <c:x val="0.10735992846755089"/>
          <c:y val="0.18523598421726925"/>
          <c:w val="0.5936036012888174"/>
          <c:h val="0.68969251821983946"/>
        </c:manualLayout>
      </c:layout>
      <c:scatterChart>
        <c:scatterStyle val="lineMarker"/>
        <c:varyColors val="0"/>
        <c:ser>
          <c:idx val="0"/>
          <c:order val="0"/>
          <c:spPr>
            <a:ln w="28575">
              <a:noFill/>
            </a:ln>
          </c:spPr>
          <c:trendline>
            <c:trendlineType val="poly"/>
            <c:order val="3"/>
            <c:dispRSqr val="1"/>
            <c:dispEq val="1"/>
            <c:trendlineLbl>
              <c:layout>
                <c:manualLayout>
                  <c:x val="0.26480757668412153"/>
                  <c:y val="-0.1808224961700893"/>
                </c:manualLayout>
              </c:layout>
              <c:numFmt formatCode="0.0000E+00" sourceLinked="0"/>
            </c:trendlineLbl>
          </c:trendline>
          <c:xVal>
            <c:numRef>
              <c:f>'Supporting data_SI_units'!$C$52:$C$59</c:f>
              <c:numCache>
                <c:formatCode>General</c:formatCode>
                <c:ptCount val="8"/>
                <c:pt idx="0">
                  <c:v>200</c:v>
                </c:pt>
                <c:pt idx="1">
                  <c:v>400</c:v>
                </c:pt>
                <c:pt idx="2">
                  <c:v>1000</c:v>
                </c:pt>
                <c:pt idx="3">
                  <c:v>1500</c:v>
                </c:pt>
                <c:pt idx="4">
                  <c:v>2000</c:v>
                </c:pt>
                <c:pt idx="5">
                  <c:v>2500</c:v>
                </c:pt>
                <c:pt idx="6">
                  <c:v>4000</c:v>
                </c:pt>
                <c:pt idx="7">
                  <c:v>5000</c:v>
                </c:pt>
              </c:numCache>
            </c:numRef>
          </c:xVal>
          <c:yVal>
            <c:numRef>
              <c:f>'Supporting data_SI_units'!$D$52:$D$59</c:f>
              <c:numCache>
                <c:formatCode>General</c:formatCode>
                <c:ptCount val="8"/>
                <c:pt idx="0">
                  <c:v>15000</c:v>
                </c:pt>
                <c:pt idx="1">
                  <c:v>15000</c:v>
                </c:pt>
                <c:pt idx="2">
                  <c:v>14250</c:v>
                </c:pt>
                <c:pt idx="3">
                  <c:v>13000</c:v>
                </c:pt>
                <c:pt idx="4">
                  <c:v>12000</c:v>
                </c:pt>
                <c:pt idx="5">
                  <c:v>11100</c:v>
                </c:pt>
                <c:pt idx="6">
                  <c:v>8500</c:v>
                </c:pt>
                <c:pt idx="7">
                  <c:v>8000</c:v>
                </c:pt>
              </c:numCache>
            </c:numRef>
          </c:yVal>
          <c:smooth val="0"/>
          <c:extLst>
            <c:ext xmlns:c16="http://schemas.microsoft.com/office/drawing/2014/chart" uri="{C3380CC4-5D6E-409C-BE32-E72D297353CC}">
              <c16:uniqueId val="{00000001-7E05-4F97-BB94-707DB186C17B}"/>
            </c:ext>
          </c:extLst>
        </c:ser>
        <c:dLbls>
          <c:showLegendKey val="0"/>
          <c:showVal val="0"/>
          <c:showCatName val="0"/>
          <c:showSerName val="0"/>
          <c:showPercent val="0"/>
          <c:showBubbleSize val="0"/>
        </c:dLbls>
        <c:axId val="9055216"/>
        <c:axId val="1"/>
      </c:scatterChart>
      <c:valAx>
        <c:axId val="9055216"/>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it-IT"/>
          </a:p>
        </c:txPr>
        <c:crossAx val="1"/>
        <c:crosses val="autoZero"/>
        <c:crossBetween val="midCat"/>
      </c:valAx>
      <c:valAx>
        <c:axId val="1"/>
        <c:scaling>
          <c:orientation val="minMax"/>
        </c:scaling>
        <c:delete val="0"/>
        <c:axPos val="l"/>
        <c:majorGridlines/>
        <c:numFmt formatCode="General" sourceLinked="1"/>
        <c:majorTickMark val="out"/>
        <c:minorTickMark val="none"/>
        <c:tickLblPos val="nextTo"/>
        <c:crossAx val="9055216"/>
        <c:crosses val="autoZero"/>
        <c:crossBetween val="midCat"/>
      </c:valAx>
    </c:plotArea>
    <c:legend>
      <c:legendPos val="r"/>
      <c:layout>
        <c:manualLayout>
          <c:xMode val="edge"/>
          <c:yMode val="edge"/>
          <c:x val="0.74722837259444208"/>
          <c:y val="0.39462122411951805"/>
          <c:w val="0.22707688568364034"/>
          <c:h val="0.20343827081937885"/>
        </c:manualLayout>
      </c:layout>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CheckBox" fmlaLink="'Supporting data_US_units'!$D$36" lockText="1" noThreeD="1"/>
</file>

<file path=xl/ctrlProps/ctrlProp2.xml><?xml version="1.0" encoding="utf-8"?>
<formControlPr xmlns="http://schemas.microsoft.com/office/spreadsheetml/2009/9/main" objectType="CheckBox" fmlaLink="'Supporting data_SI_units'!$D$36"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7</xdr:col>
      <xdr:colOff>209550</xdr:colOff>
      <xdr:row>1</xdr:row>
      <xdr:rowOff>114300</xdr:rowOff>
    </xdr:from>
    <xdr:to>
      <xdr:col>19</xdr:col>
      <xdr:colOff>95250</xdr:colOff>
      <xdr:row>4</xdr:row>
      <xdr:rowOff>145782</xdr:rowOff>
    </xdr:to>
    <xdr:pic>
      <xdr:nvPicPr>
        <xdr:cNvPr id="3" name="Picture 2" descr="trillium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43075" y="304800"/>
          <a:ext cx="2514600" cy="60298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16934</xdr:colOff>
      <xdr:row>12</xdr:row>
      <xdr:rowOff>21771</xdr:rowOff>
    </xdr:from>
    <xdr:to>
      <xdr:col>7</xdr:col>
      <xdr:colOff>741137</xdr:colOff>
      <xdr:row>13</xdr:row>
      <xdr:rowOff>2122714</xdr:rowOff>
    </xdr:to>
    <xdr:graphicFrame macro="">
      <xdr:nvGraphicFramePr>
        <xdr:cNvPr id="29951" name="Chart 1">
          <a:extLst>
            <a:ext uri="{FF2B5EF4-FFF2-40B4-BE49-F238E27FC236}">
              <a16:creationId xmlns:a16="http://schemas.microsoft.com/office/drawing/2014/main" id="{00000000-0008-0000-0100-0000FF7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1009650</xdr:colOff>
          <xdr:row>6</xdr:row>
          <xdr:rowOff>142875</xdr:rowOff>
        </xdr:from>
        <xdr:to>
          <xdr:col>7</xdr:col>
          <xdr:colOff>704850</xdr:colOff>
          <xdr:row>8</xdr:row>
          <xdr:rowOff>66675</xdr:rowOff>
        </xdr:to>
        <xdr:sp macro="" textlink="">
          <xdr:nvSpPr>
            <xdr:cNvPr id="29831" name="Check Box 135" hidden="1">
              <a:extLst>
                <a:ext uri="{63B3BB69-23CF-44E3-9099-C40C66FF867C}">
                  <a14:compatExt spid="_x0000_s29831"/>
                </a:ext>
                <a:ext uri="{FF2B5EF4-FFF2-40B4-BE49-F238E27FC236}">
                  <a16:creationId xmlns:a16="http://schemas.microsoft.com/office/drawing/2014/main" id="{00000000-0008-0000-0100-000087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t-IT" sz="800" b="0" i="0" u="none" strike="noStrike" baseline="0">
                  <a:solidFill>
                    <a:srgbClr val="000000"/>
                  </a:solidFill>
                  <a:latin typeface="Tahoma"/>
                  <a:ea typeface="Tahoma"/>
                  <a:cs typeface="Tahoma"/>
                </a:rPr>
                <a:t>Double Suction Impeller</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16934</xdr:colOff>
      <xdr:row>12</xdr:row>
      <xdr:rowOff>21771</xdr:rowOff>
    </xdr:from>
    <xdr:to>
      <xdr:col>7</xdr:col>
      <xdr:colOff>741137</xdr:colOff>
      <xdr:row>13</xdr:row>
      <xdr:rowOff>2122714</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1009650</xdr:colOff>
          <xdr:row>6</xdr:row>
          <xdr:rowOff>142875</xdr:rowOff>
        </xdr:from>
        <xdr:to>
          <xdr:col>7</xdr:col>
          <xdr:colOff>704850</xdr:colOff>
          <xdr:row>8</xdr:row>
          <xdr:rowOff>66675</xdr:rowOff>
        </xdr:to>
        <xdr:sp macro="" textlink="">
          <xdr:nvSpPr>
            <xdr:cNvPr id="31745" name="Check Box 1" hidden="1">
              <a:extLst>
                <a:ext uri="{63B3BB69-23CF-44E3-9099-C40C66FF867C}">
                  <a14:compatExt spid="_x0000_s31745"/>
                </a:ext>
                <a:ext uri="{FF2B5EF4-FFF2-40B4-BE49-F238E27FC236}">
                  <a16:creationId xmlns:a16="http://schemas.microsoft.com/office/drawing/2014/main" id="{00000000-0008-0000-0200-000001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t-IT" sz="800" b="0" i="0" u="none" strike="noStrike" baseline="0">
                  <a:solidFill>
                    <a:srgbClr val="000000"/>
                  </a:solidFill>
                  <a:latin typeface="Tahoma"/>
                  <a:ea typeface="Tahoma"/>
                  <a:cs typeface="Tahoma"/>
                </a:rPr>
                <a:t>Double Suction Impeller</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4</xdr:col>
      <xdr:colOff>59871</xdr:colOff>
      <xdr:row>50</xdr:row>
      <xdr:rowOff>157842</xdr:rowOff>
    </xdr:from>
    <xdr:to>
      <xdr:col>8</xdr:col>
      <xdr:colOff>615043</xdr:colOff>
      <xdr:row>67</xdr:row>
      <xdr:rowOff>9895</xdr:rowOff>
    </xdr:to>
    <xdr:graphicFrame macro="">
      <xdr:nvGraphicFramePr>
        <xdr:cNvPr id="1460" name="Chart 1">
          <a:extLst>
            <a:ext uri="{FF2B5EF4-FFF2-40B4-BE49-F238E27FC236}">
              <a16:creationId xmlns:a16="http://schemas.microsoft.com/office/drawing/2014/main" id="{00000000-0008-0000-0300-0000B405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59871</xdr:colOff>
      <xdr:row>50</xdr:row>
      <xdr:rowOff>157842</xdr:rowOff>
    </xdr:from>
    <xdr:to>
      <xdr:col>8</xdr:col>
      <xdr:colOff>615043</xdr:colOff>
      <xdr:row>67</xdr:row>
      <xdr:rowOff>9895</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Areas\FWENVI\WWT%20Area\1-BH-0267A%20-%20prolungamento%20studio%20di%20fattibilit&#224;%20KRC\09%20Design%20calculations\calcoli%20finali\pfd%20nuovo%20impianto%20-%20falda%20+%20processo%20con%20biologico.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Itmilfs002\b1h00\PROJECTS\1-BH-0389A%20KJO-RWTF2\09%20Design%20calculations\Linee\Linee%2010_12_16%20sketch%20Bottazzi\Design%20flowrate\line%2012%20pollici.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fwfsc003/1cd1213a/ZoneExchange/Equipment%20list/front%20page.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Server\c\Backup%2029-09-06\Seam%201-025%20Politecnico%20Merone\09.0%20-%20Design%20Calculation\Linea%20fanghi\Progettazione%20impianto%20civile\progetto%20impianto%20di%20depurazione%20civile.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F:\AREAS\DIP110\APPLICAT\pumps\PUMP.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c medie inquinanti "/>
      <sheetName val="Schema a blocchi"/>
      <sheetName val="calcolo servizi"/>
      <sheetName val="API"/>
      <sheetName val="DAF"/>
      <sheetName val="Caldensitàmiscela"/>
      <sheetName val="Basi di progetto biologico"/>
      <sheetName val="Biologico tradizionale"/>
      <sheetName val="Calcolo ossigeno"/>
      <sheetName val="Sedimentazione Secondaria"/>
      <sheetName val="Valutazione fanghi prodotti"/>
      <sheetName val="Ispessitore"/>
      <sheetName val="Ricalcolo acqua in ingresso API"/>
      <sheetName val="Calcolo apparecchiature"/>
      <sheetName val="Compressori"/>
      <sheetName val="CPI"/>
    </sheetNames>
    <sheetDataSet>
      <sheetData sheetId="0" refreshError="1"/>
      <sheetData sheetId="1" refreshError="1"/>
      <sheetData sheetId="2" refreshError="1"/>
      <sheetData sheetId="3" refreshError="1"/>
      <sheetData sheetId="4">
        <row r="17">
          <cell r="F17">
            <v>15.7</v>
          </cell>
        </row>
        <row r="18">
          <cell r="F18">
            <v>18.7</v>
          </cell>
        </row>
        <row r="19">
          <cell r="F19">
            <v>22.8</v>
          </cell>
        </row>
        <row r="20">
          <cell r="F20">
            <v>29.2</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rom RPI"/>
      <sheetName val="From Surge Tank"/>
      <sheetName val="From CPI"/>
    </sheetNames>
    <sheetDataSet>
      <sheetData sheetId="0">
        <row r="88">
          <cell r="AB88">
            <v>0.30480000000000002</v>
          </cell>
        </row>
        <row r="90">
          <cell r="AB90">
            <v>1.01325</v>
          </cell>
        </row>
      </sheetData>
      <sheetData sheetId="1"/>
      <sheetData sheetId="2"/>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rev1"/>
      <sheetName val="listes"/>
    </sheetNames>
    <sheetDataSet>
      <sheetData sheetId="0" refreshError="1"/>
      <sheetData sheetId="1">
        <row r="2">
          <cell r="A2" t="str">
            <v>DI</v>
          </cell>
          <cell r="C2" t="str">
            <v>AE</v>
          </cell>
          <cell r="D2">
            <v>1111</v>
          </cell>
        </row>
        <row r="3">
          <cell r="A3" t="str">
            <v>XX</v>
          </cell>
          <cell r="C3" t="str">
            <v>BM</v>
          </cell>
          <cell r="D3">
            <v>2222</v>
          </cell>
        </row>
        <row r="4">
          <cell r="A4" t="str">
            <v>FR</v>
          </cell>
          <cell r="C4" t="str">
            <v>CA</v>
          </cell>
          <cell r="D4">
            <v>3333</v>
          </cell>
        </row>
        <row r="5">
          <cell r="A5" t="str">
            <v>NH</v>
          </cell>
          <cell r="C5" t="str">
            <v>CS</v>
          </cell>
          <cell r="D5">
            <v>4444</v>
          </cell>
        </row>
        <row r="6">
          <cell r="A6" t="str">
            <v>OO</v>
          </cell>
          <cell r="C6" t="str">
            <v>BQ</v>
          </cell>
        </row>
        <row r="7">
          <cell r="A7" t="str">
            <v>UK</v>
          </cell>
          <cell r="C7" t="str">
            <v>DI</v>
          </cell>
        </row>
        <row r="8">
          <cell r="A8" t="str">
            <v>US</v>
          </cell>
          <cell r="C8" t="str">
            <v>01</v>
          </cell>
        </row>
        <row r="9">
          <cell r="A9" t="str">
            <v>VP</v>
          </cell>
          <cell r="C9" t="str">
            <v>02</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si di progetto"/>
      <sheetName val="Canaletta in ingresso"/>
      <sheetName val="Griglia grossolana"/>
      <sheetName val="Dissabbiatore"/>
      <sheetName val="Vasca di compenso"/>
      <sheetName val="Sedimentazione Primaria"/>
      <sheetName val="Biologico tradizionale"/>
      <sheetName val="Nitro"/>
      <sheetName val="Denitro"/>
      <sheetName val=" nitro denitro (T perm) e dim."/>
      <sheetName val="Sedimentazione Secondaria"/>
      <sheetName val="ossigeno in nitro"/>
      <sheetName val="Filtrazione"/>
      <sheetName val="Disinfezione"/>
      <sheetName val="Valutazione fanghi prodotti"/>
      <sheetName val="vasca di miscelazione fanghi"/>
      <sheetName val="Ispessitore"/>
      <sheetName val="Digestione Anaerobica"/>
      <sheetName val="Dimensionamento dig. anaer."/>
      <sheetName val="Filtropressatura"/>
      <sheetName val="Gasometro"/>
      <sheetName val="Sheet1"/>
    </sheetNames>
    <sheetDataSet>
      <sheetData sheetId="0">
        <row r="10">
          <cell r="D10">
            <v>1180</v>
          </cell>
        </row>
        <row r="12">
          <cell r="D12">
            <v>3600</v>
          </cell>
        </row>
        <row r="14">
          <cell r="D14">
            <v>2380</v>
          </cell>
        </row>
        <row r="16">
          <cell r="D16">
            <v>2150</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UMP CALCULATION"/>
    </sheetNames>
    <sheetDataSet>
      <sheetData sheetId="0"/>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827630-C3B7-4777-BF5C-F25167A5EAFC}">
  <dimension ref="A1:AD48"/>
  <sheetViews>
    <sheetView tabSelected="1" topLeftCell="A9" zoomScaleNormal="100" zoomScaleSheetLayoutView="100" workbookViewId="0">
      <selection activeCell="G45" sqref="G45:O45"/>
    </sheetView>
  </sheetViews>
  <sheetFormatPr defaultRowHeight="12" x14ac:dyDescent="0.2"/>
  <cols>
    <col min="1" max="30" width="3.28515625" style="133" customWidth="1"/>
    <col min="31" max="256" width="9.140625" style="133"/>
    <col min="257" max="286" width="3.28515625" style="133" customWidth="1"/>
    <col min="287" max="512" width="9.140625" style="133"/>
    <col min="513" max="542" width="3.28515625" style="133" customWidth="1"/>
    <col min="543" max="768" width="9.140625" style="133"/>
    <col min="769" max="798" width="3.28515625" style="133" customWidth="1"/>
    <col min="799" max="1024" width="9.140625" style="133"/>
    <col min="1025" max="1054" width="3.28515625" style="133" customWidth="1"/>
    <col min="1055" max="1280" width="9.140625" style="133"/>
    <col min="1281" max="1310" width="3.28515625" style="133" customWidth="1"/>
    <col min="1311" max="1536" width="9.140625" style="133"/>
    <col min="1537" max="1566" width="3.28515625" style="133" customWidth="1"/>
    <col min="1567" max="1792" width="9.140625" style="133"/>
    <col min="1793" max="1822" width="3.28515625" style="133" customWidth="1"/>
    <col min="1823" max="2048" width="9.140625" style="133"/>
    <col min="2049" max="2078" width="3.28515625" style="133" customWidth="1"/>
    <col min="2079" max="2304" width="9.140625" style="133"/>
    <col min="2305" max="2334" width="3.28515625" style="133" customWidth="1"/>
    <col min="2335" max="2560" width="9.140625" style="133"/>
    <col min="2561" max="2590" width="3.28515625" style="133" customWidth="1"/>
    <col min="2591" max="2816" width="9.140625" style="133"/>
    <col min="2817" max="2846" width="3.28515625" style="133" customWidth="1"/>
    <col min="2847" max="3072" width="9.140625" style="133"/>
    <col min="3073" max="3102" width="3.28515625" style="133" customWidth="1"/>
    <col min="3103" max="3328" width="9.140625" style="133"/>
    <col min="3329" max="3358" width="3.28515625" style="133" customWidth="1"/>
    <col min="3359" max="3584" width="9.140625" style="133"/>
    <col min="3585" max="3614" width="3.28515625" style="133" customWidth="1"/>
    <col min="3615" max="3840" width="9.140625" style="133"/>
    <col min="3841" max="3870" width="3.28515625" style="133" customWidth="1"/>
    <col min="3871" max="4096" width="9.140625" style="133"/>
    <col min="4097" max="4126" width="3.28515625" style="133" customWidth="1"/>
    <col min="4127" max="4352" width="9.140625" style="133"/>
    <col min="4353" max="4382" width="3.28515625" style="133" customWidth="1"/>
    <col min="4383" max="4608" width="9.140625" style="133"/>
    <col min="4609" max="4638" width="3.28515625" style="133" customWidth="1"/>
    <col min="4639" max="4864" width="9.140625" style="133"/>
    <col min="4865" max="4894" width="3.28515625" style="133" customWidth="1"/>
    <col min="4895" max="5120" width="9.140625" style="133"/>
    <col min="5121" max="5150" width="3.28515625" style="133" customWidth="1"/>
    <col min="5151" max="5376" width="9.140625" style="133"/>
    <col min="5377" max="5406" width="3.28515625" style="133" customWidth="1"/>
    <col min="5407" max="5632" width="9.140625" style="133"/>
    <col min="5633" max="5662" width="3.28515625" style="133" customWidth="1"/>
    <col min="5663" max="5888" width="9.140625" style="133"/>
    <col min="5889" max="5918" width="3.28515625" style="133" customWidth="1"/>
    <col min="5919" max="6144" width="9.140625" style="133"/>
    <col min="6145" max="6174" width="3.28515625" style="133" customWidth="1"/>
    <col min="6175" max="6400" width="9.140625" style="133"/>
    <col min="6401" max="6430" width="3.28515625" style="133" customWidth="1"/>
    <col min="6431" max="6656" width="9.140625" style="133"/>
    <col min="6657" max="6686" width="3.28515625" style="133" customWidth="1"/>
    <col min="6687" max="6912" width="9.140625" style="133"/>
    <col min="6913" max="6942" width="3.28515625" style="133" customWidth="1"/>
    <col min="6943" max="7168" width="9.140625" style="133"/>
    <col min="7169" max="7198" width="3.28515625" style="133" customWidth="1"/>
    <col min="7199" max="7424" width="9.140625" style="133"/>
    <col min="7425" max="7454" width="3.28515625" style="133" customWidth="1"/>
    <col min="7455" max="7680" width="9.140625" style="133"/>
    <col min="7681" max="7710" width="3.28515625" style="133" customWidth="1"/>
    <col min="7711" max="7936" width="9.140625" style="133"/>
    <col min="7937" max="7966" width="3.28515625" style="133" customWidth="1"/>
    <col min="7967" max="8192" width="9.140625" style="133"/>
    <col min="8193" max="8222" width="3.28515625" style="133" customWidth="1"/>
    <col min="8223" max="8448" width="9.140625" style="133"/>
    <col min="8449" max="8478" width="3.28515625" style="133" customWidth="1"/>
    <col min="8479" max="8704" width="9.140625" style="133"/>
    <col min="8705" max="8734" width="3.28515625" style="133" customWidth="1"/>
    <col min="8735" max="8960" width="9.140625" style="133"/>
    <col min="8961" max="8990" width="3.28515625" style="133" customWidth="1"/>
    <col min="8991" max="9216" width="9.140625" style="133"/>
    <col min="9217" max="9246" width="3.28515625" style="133" customWidth="1"/>
    <col min="9247" max="9472" width="9.140625" style="133"/>
    <col min="9473" max="9502" width="3.28515625" style="133" customWidth="1"/>
    <col min="9503" max="9728" width="9.140625" style="133"/>
    <col min="9729" max="9758" width="3.28515625" style="133" customWidth="1"/>
    <col min="9759" max="9984" width="9.140625" style="133"/>
    <col min="9985" max="10014" width="3.28515625" style="133" customWidth="1"/>
    <col min="10015" max="10240" width="9.140625" style="133"/>
    <col min="10241" max="10270" width="3.28515625" style="133" customWidth="1"/>
    <col min="10271" max="10496" width="9.140625" style="133"/>
    <col min="10497" max="10526" width="3.28515625" style="133" customWidth="1"/>
    <col min="10527" max="10752" width="9.140625" style="133"/>
    <col min="10753" max="10782" width="3.28515625" style="133" customWidth="1"/>
    <col min="10783" max="11008" width="9.140625" style="133"/>
    <col min="11009" max="11038" width="3.28515625" style="133" customWidth="1"/>
    <col min="11039" max="11264" width="9.140625" style="133"/>
    <col min="11265" max="11294" width="3.28515625" style="133" customWidth="1"/>
    <col min="11295" max="11520" width="9.140625" style="133"/>
    <col min="11521" max="11550" width="3.28515625" style="133" customWidth="1"/>
    <col min="11551" max="11776" width="9.140625" style="133"/>
    <col min="11777" max="11806" width="3.28515625" style="133" customWidth="1"/>
    <col min="11807" max="12032" width="9.140625" style="133"/>
    <col min="12033" max="12062" width="3.28515625" style="133" customWidth="1"/>
    <col min="12063" max="12288" width="9.140625" style="133"/>
    <col min="12289" max="12318" width="3.28515625" style="133" customWidth="1"/>
    <col min="12319" max="12544" width="9.140625" style="133"/>
    <col min="12545" max="12574" width="3.28515625" style="133" customWidth="1"/>
    <col min="12575" max="12800" width="9.140625" style="133"/>
    <col min="12801" max="12830" width="3.28515625" style="133" customWidth="1"/>
    <col min="12831" max="13056" width="9.140625" style="133"/>
    <col min="13057" max="13086" width="3.28515625" style="133" customWidth="1"/>
    <col min="13087" max="13312" width="9.140625" style="133"/>
    <col min="13313" max="13342" width="3.28515625" style="133" customWidth="1"/>
    <col min="13343" max="13568" width="9.140625" style="133"/>
    <col min="13569" max="13598" width="3.28515625" style="133" customWidth="1"/>
    <col min="13599" max="13824" width="9.140625" style="133"/>
    <col min="13825" max="13854" width="3.28515625" style="133" customWidth="1"/>
    <col min="13855" max="14080" width="9.140625" style="133"/>
    <col min="14081" max="14110" width="3.28515625" style="133" customWidth="1"/>
    <col min="14111" max="14336" width="9.140625" style="133"/>
    <col min="14337" max="14366" width="3.28515625" style="133" customWidth="1"/>
    <col min="14367" max="14592" width="9.140625" style="133"/>
    <col min="14593" max="14622" width="3.28515625" style="133" customWidth="1"/>
    <col min="14623" max="14848" width="9.140625" style="133"/>
    <col min="14849" max="14878" width="3.28515625" style="133" customWidth="1"/>
    <col min="14879" max="15104" width="9.140625" style="133"/>
    <col min="15105" max="15134" width="3.28515625" style="133" customWidth="1"/>
    <col min="15135" max="15360" width="9.140625" style="133"/>
    <col min="15361" max="15390" width="3.28515625" style="133" customWidth="1"/>
    <col min="15391" max="15616" width="9.140625" style="133"/>
    <col min="15617" max="15646" width="3.28515625" style="133" customWidth="1"/>
    <col min="15647" max="15872" width="9.140625" style="133"/>
    <col min="15873" max="15902" width="3.28515625" style="133" customWidth="1"/>
    <col min="15903" max="16128" width="9.140625" style="133"/>
    <col min="16129" max="16158" width="3.28515625" style="133" customWidth="1"/>
    <col min="16159" max="16384" width="9.140625" style="133"/>
  </cols>
  <sheetData>
    <row r="1" spans="1:30" ht="15" customHeight="1" x14ac:dyDescent="0.2">
      <c r="A1" s="130"/>
      <c r="B1" s="131"/>
      <c r="C1" s="131"/>
      <c r="D1" s="131"/>
      <c r="E1" s="131"/>
      <c r="F1" s="131"/>
      <c r="G1" s="131"/>
      <c r="H1" s="131"/>
      <c r="I1" s="131"/>
      <c r="J1" s="131"/>
      <c r="K1" s="131"/>
      <c r="L1" s="131"/>
      <c r="M1" s="131"/>
      <c r="N1" s="131"/>
      <c r="O1" s="131"/>
      <c r="P1" s="131"/>
      <c r="Q1" s="131"/>
      <c r="R1" s="131"/>
      <c r="S1" s="131"/>
      <c r="T1" s="131"/>
      <c r="U1" s="131"/>
      <c r="V1" s="131"/>
      <c r="W1" s="131"/>
      <c r="X1" s="131"/>
      <c r="Y1" s="131"/>
      <c r="Z1" s="131"/>
      <c r="AA1" s="131"/>
      <c r="AB1" s="131"/>
      <c r="AC1" s="131"/>
      <c r="AD1" s="132"/>
    </row>
    <row r="2" spans="1:30" ht="15" customHeight="1" x14ac:dyDescent="0.2">
      <c r="A2" s="134"/>
      <c r="B2" s="135"/>
      <c r="C2" s="135"/>
      <c r="D2" s="135"/>
      <c r="E2" s="135"/>
      <c r="F2" s="135"/>
      <c r="G2" s="135"/>
      <c r="H2" s="135"/>
      <c r="I2" s="135"/>
      <c r="J2" s="135"/>
      <c r="K2" s="135"/>
      <c r="L2" s="135"/>
      <c r="M2" s="135"/>
      <c r="N2" s="135"/>
      <c r="O2" s="135"/>
      <c r="P2" s="135"/>
      <c r="Q2" s="135"/>
      <c r="R2" s="135"/>
      <c r="S2" s="135"/>
      <c r="T2" s="135"/>
      <c r="U2" s="135"/>
      <c r="V2" s="135"/>
      <c r="W2" s="135"/>
      <c r="X2" s="135"/>
      <c r="Y2" s="135"/>
      <c r="Z2" s="135"/>
      <c r="AA2" s="135"/>
      <c r="AB2" s="135"/>
      <c r="AC2" s="135"/>
      <c r="AD2" s="136"/>
    </row>
    <row r="3" spans="1:30" ht="15" customHeight="1" x14ac:dyDescent="0.2">
      <c r="A3" s="134"/>
      <c r="B3" s="135"/>
      <c r="C3" s="135"/>
      <c r="D3" s="135"/>
      <c r="E3" s="135"/>
      <c r="F3" s="135"/>
      <c r="G3" s="135"/>
      <c r="H3" s="137"/>
      <c r="I3" s="137"/>
      <c r="J3" s="137"/>
      <c r="K3" s="138"/>
      <c r="L3" s="138"/>
      <c r="M3" s="138"/>
      <c r="N3" s="138"/>
      <c r="O3" s="138"/>
      <c r="P3" s="138"/>
      <c r="Q3" s="138"/>
      <c r="R3" s="138"/>
      <c r="S3" s="138"/>
      <c r="T3" s="138"/>
      <c r="U3" s="138"/>
      <c r="V3" s="138"/>
      <c r="W3" s="139"/>
      <c r="X3" s="139"/>
      <c r="Y3" s="139"/>
      <c r="Z3" s="139"/>
      <c r="AA3" s="139"/>
      <c r="AB3" s="139"/>
      <c r="AC3" s="139"/>
      <c r="AD3" s="140"/>
    </row>
    <row r="4" spans="1:30" ht="15" customHeight="1" x14ac:dyDescent="0.2">
      <c r="A4" s="134"/>
      <c r="B4" s="135"/>
      <c r="C4" s="135"/>
      <c r="D4" s="135"/>
      <c r="E4" s="135"/>
      <c r="F4" s="135"/>
      <c r="G4" s="135"/>
      <c r="H4" s="135"/>
      <c r="I4" s="135"/>
      <c r="J4" s="135"/>
      <c r="K4" s="135"/>
      <c r="L4" s="135"/>
      <c r="M4" s="135"/>
      <c r="N4" s="135"/>
      <c r="O4" s="135"/>
      <c r="P4" s="135"/>
      <c r="Q4" s="135"/>
      <c r="R4" s="135"/>
      <c r="S4" s="135"/>
      <c r="T4" s="135"/>
      <c r="U4" s="135"/>
      <c r="V4" s="135"/>
      <c r="W4" s="135"/>
      <c r="X4" s="135"/>
      <c r="Y4" s="135"/>
      <c r="Z4" s="135"/>
      <c r="AA4" s="135"/>
      <c r="AB4" s="135"/>
      <c r="AC4" s="135"/>
      <c r="AD4" s="136"/>
    </row>
    <row r="5" spans="1:30" ht="15" customHeight="1" x14ac:dyDescent="0.2">
      <c r="A5" s="134"/>
      <c r="B5" s="135"/>
      <c r="C5" s="135"/>
      <c r="D5" s="135"/>
      <c r="E5" s="135"/>
      <c r="F5" s="135"/>
      <c r="G5" s="135"/>
      <c r="H5" s="135"/>
      <c r="I5" s="135"/>
      <c r="J5" s="135"/>
      <c r="K5" s="135"/>
      <c r="L5" s="135"/>
      <c r="M5" s="135"/>
      <c r="N5" s="135"/>
      <c r="O5" s="135"/>
      <c r="P5" s="135"/>
      <c r="Q5" s="135"/>
      <c r="R5" s="135"/>
      <c r="S5" s="135"/>
      <c r="T5" s="135"/>
      <c r="U5" s="135"/>
      <c r="V5" s="135"/>
      <c r="W5" s="135"/>
      <c r="X5" s="135"/>
      <c r="Y5" s="135"/>
      <c r="Z5" s="135"/>
      <c r="AA5" s="135"/>
      <c r="AB5" s="135"/>
      <c r="AC5" s="135"/>
      <c r="AD5" s="136"/>
    </row>
    <row r="6" spans="1:30" ht="15" customHeight="1" x14ac:dyDescent="0.2">
      <c r="A6" s="134"/>
      <c r="B6" s="135"/>
      <c r="C6" s="135"/>
      <c r="D6" s="135"/>
      <c r="E6" s="135"/>
      <c r="F6" s="135"/>
      <c r="G6" s="135"/>
      <c r="H6" s="135"/>
      <c r="I6" s="135"/>
      <c r="J6" s="135"/>
      <c r="K6" s="135"/>
      <c r="L6" s="135"/>
      <c r="M6" s="135"/>
      <c r="N6" s="135"/>
      <c r="O6" s="135"/>
      <c r="P6" s="135"/>
      <c r="Q6" s="135"/>
      <c r="R6" s="135"/>
      <c r="S6" s="135"/>
      <c r="T6" s="135"/>
      <c r="U6" s="135"/>
      <c r="V6" s="135"/>
      <c r="W6" s="135"/>
      <c r="X6" s="135"/>
      <c r="Y6" s="135"/>
      <c r="Z6" s="135"/>
      <c r="AA6" s="135"/>
      <c r="AB6" s="135"/>
      <c r="AC6" s="135"/>
      <c r="AD6" s="136"/>
    </row>
    <row r="7" spans="1:30" ht="15" customHeight="1" thickBot="1" x14ac:dyDescent="0.25">
      <c r="A7" s="141"/>
      <c r="B7" s="142"/>
      <c r="C7" s="142"/>
      <c r="D7" s="142"/>
      <c r="E7" s="142"/>
      <c r="F7" s="143"/>
      <c r="G7" s="135"/>
      <c r="H7" s="135"/>
      <c r="I7" s="135"/>
      <c r="J7" s="135"/>
      <c r="K7" s="135"/>
      <c r="L7" s="135"/>
      <c r="M7" s="135"/>
      <c r="N7" s="135"/>
      <c r="O7" s="135"/>
      <c r="P7" s="135"/>
      <c r="Q7" s="135"/>
      <c r="R7" s="135"/>
      <c r="S7" s="135"/>
      <c r="T7" s="135"/>
      <c r="U7" s="135"/>
      <c r="V7" s="135"/>
      <c r="W7" s="135"/>
      <c r="X7" s="135"/>
      <c r="Y7" s="135"/>
      <c r="Z7" s="135"/>
      <c r="AA7" s="142"/>
      <c r="AB7" s="142"/>
      <c r="AC7" s="142"/>
      <c r="AD7" s="144"/>
    </row>
    <row r="8" spans="1:30" ht="15" customHeight="1" x14ac:dyDescent="0.2">
      <c r="A8" s="166" t="s">
        <v>82</v>
      </c>
      <c r="B8" s="167"/>
      <c r="C8" s="167"/>
      <c r="D8" s="167"/>
      <c r="E8" s="167"/>
      <c r="F8" s="167"/>
      <c r="G8" s="167"/>
      <c r="H8" s="167"/>
      <c r="I8" s="167"/>
      <c r="J8" s="167"/>
      <c r="K8" s="167"/>
      <c r="L8" s="167"/>
      <c r="M8" s="167"/>
      <c r="N8" s="167"/>
      <c r="O8" s="167"/>
      <c r="P8" s="167"/>
      <c r="Q8" s="167"/>
      <c r="R8" s="167"/>
      <c r="S8" s="167"/>
      <c r="T8" s="167"/>
      <c r="U8" s="167"/>
      <c r="V8" s="167"/>
      <c r="W8" s="167"/>
      <c r="X8" s="167"/>
      <c r="Y8" s="167"/>
      <c r="Z8" s="167"/>
      <c r="AA8" s="167"/>
      <c r="AB8" s="167"/>
      <c r="AC8" s="167"/>
      <c r="AD8" s="168"/>
    </row>
    <row r="9" spans="1:30" ht="15" customHeight="1" x14ac:dyDescent="0.2">
      <c r="A9" s="169"/>
      <c r="B9" s="170"/>
      <c r="C9" s="170"/>
      <c r="D9" s="170"/>
      <c r="E9" s="170"/>
      <c r="F9" s="170"/>
      <c r="G9" s="170"/>
      <c r="H9" s="170"/>
      <c r="I9" s="170"/>
      <c r="J9" s="170"/>
      <c r="K9" s="170"/>
      <c r="L9" s="170"/>
      <c r="M9" s="170"/>
      <c r="N9" s="170"/>
      <c r="O9" s="170"/>
      <c r="P9" s="170"/>
      <c r="Q9" s="170"/>
      <c r="R9" s="170"/>
      <c r="S9" s="170"/>
      <c r="T9" s="170"/>
      <c r="U9" s="170"/>
      <c r="V9" s="170"/>
      <c r="W9" s="170"/>
      <c r="X9" s="170"/>
      <c r="Y9" s="170"/>
      <c r="Z9" s="170"/>
      <c r="AA9" s="170"/>
      <c r="AB9" s="170"/>
      <c r="AC9" s="170"/>
      <c r="AD9" s="171"/>
    </row>
    <row r="10" spans="1:30" ht="15" customHeight="1" x14ac:dyDescent="0.2">
      <c r="A10" s="169"/>
      <c r="B10" s="170"/>
      <c r="C10" s="170"/>
      <c r="D10" s="170"/>
      <c r="E10" s="170"/>
      <c r="F10" s="170"/>
      <c r="G10" s="170"/>
      <c r="H10" s="170"/>
      <c r="I10" s="170"/>
      <c r="J10" s="170"/>
      <c r="K10" s="170"/>
      <c r="L10" s="170"/>
      <c r="M10" s="170"/>
      <c r="N10" s="170"/>
      <c r="O10" s="170"/>
      <c r="P10" s="170"/>
      <c r="Q10" s="170"/>
      <c r="R10" s="170"/>
      <c r="S10" s="170"/>
      <c r="T10" s="170"/>
      <c r="U10" s="170"/>
      <c r="V10" s="170"/>
      <c r="W10" s="170"/>
      <c r="X10" s="170"/>
      <c r="Y10" s="170"/>
      <c r="Z10" s="170"/>
      <c r="AA10" s="170"/>
      <c r="AB10" s="170"/>
      <c r="AC10" s="170"/>
      <c r="AD10" s="171"/>
    </row>
    <row r="11" spans="1:30" ht="15" customHeight="1" x14ac:dyDescent="0.2">
      <c r="A11" s="169"/>
      <c r="B11" s="170"/>
      <c r="C11" s="170"/>
      <c r="D11" s="170"/>
      <c r="E11" s="170"/>
      <c r="F11" s="170"/>
      <c r="G11" s="170"/>
      <c r="H11" s="170"/>
      <c r="I11" s="170"/>
      <c r="J11" s="170"/>
      <c r="K11" s="170"/>
      <c r="L11" s="170"/>
      <c r="M11" s="170"/>
      <c r="N11" s="170"/>
      <c r="O11" s="170"/>
      <c r="P11" s="170"/>
      <c r="Q11" s="170"/>
      <c r="R11" s="170"/>
      <c r="S11" s="170"/>
      <c r="T11" s="170"/>
      <c r="U11" s="170"/>
      <c r="V11" s="170"/>
      <c r="W11" s="170"/>
      <c r="X11" s="170"/>
      <c r="Y11" s="170"/>
      <c r="Z11" s="170"/>
      <c r="AA11" s="170"/>
      <c r="AB11" s="170"/>
      <c r="AC11" s="170"/>
      <c r="AD11" s="171"/>
    </row>
    <row r="12" spans="1:30" ht="15" customHeight="1" x14ac:dyDescent="0.2">
      <c r="A12" s="169"/>
      <c r="B12" s="170"/>
      <c r="C12" s="170"/>
      <c r="D12" s="170"/>
      <c r="E12" s="170"/>
      <c r="F12" s="170"/>
      <c r="G12" s="170"/>
      <c r="H12" s="170"/>
      <c r="I12" s="170"/>
      <c r="J12" s="170"/>
      <c r="K12" s="170"/>
      <c r="L12" s="170"/>
      <c r="M12" s="170"/>
      <c r="N12" s="170"/>
      <c r="O12" s="170"/>
      <c r="P12" s="170"/>
      <c r="Q12" s="170"/>
      <c r="R12" s="170"/>
      <c r="S12" s="170"/>
      <c r="T12" s="170"/>
      <c r="U12" s="170"/>
      <c r="V12" s="170"/>
      <c r="W12" s="170"/>
      <c r="X12" s="170"/>
      <c r="Y12" s="170"/>
      <c r="Z12" s="170"/>
      <c r="AA12" s="170"/>
      <c r="AB12" s="170"/>
      <c r="AC12" s="170"/>
      <c r="AD12" s="171"/>
    </row>
    <row r="13" spans="1:30" ht="15" customHeight="1" x14ac:dyDescent="0.2">
      <c r="A13" s="169"/>
      <c r="B13" s="170"/>
      <c r="C13" s="170"/>
      <c r="D13" s="170"/>
      <c r="E13" s="170"/>
      <c r="F13" s="170"/>
      <c r="G13" s="170"/>
      <c r="H13" s="170"/>
      <c r="I13" s="170"/>
      <c r="J13" s="170"/>
      <c r="K13" s="170"/>
      <c r="L13" s="170"/>
      <c r="M13" s="170"/>
      <c r="N13" s="170"/>
      <c r="O13" s="170"/>
      <c r="P13" s="170"/>
      <c r="Q13" s="170"/>
      <c r="R13" s="170"/>
      <c r="S13" s="170"/>
      <c r="T13" s="170"/>
      <c r="U13" s="170"/>
      <c r="V13" s="170"/>
      <c r="W13" s="170"/>
      <c r="X13" s="170"/>
      <c r="Y13" s="170"/>
      <c r="Z13" s="170"/>
      <c r="AA13" s="170"/>
      <c r="AB13" s="170"/>
      <c r="AC13" s="170"/>
      <c r="AD13" s="171"/>
    </row>
    <row r="14" spans="1:30" ht="15" customHeight="1" x14ac:dyDescent="0.2">
      <c r="A14" s="169"/>
      <c r="B14" s="170"/>
      <c r="C14" s="170"/>
      <c r="D14" s="170"/>
      <c r="E14" s="170"/>
      <c r="F14" s="170"/>
      <c r="G14" s="170"/>
      <c r="H14" s="170"/>
      <c r="I14" s="170"/>
      <c r="J14" s="170"/>
      <c r="K14" s="170"/>
      <c r="L14" s="170"/>
      <c r="M14" s="170"/>
      <c r="N14" s="170"/>
      <c r="O14" s="170"/>
      <c r="P14" s="170"/>
      <c r="Q14" s="170"/>
      <c r="R14" s="170"/>
      <c r="S14" s="170"/>
      <c r="T14" s="170"/>
      <c r="U14" s="170"/>
      <c r="V14" s="170"/>
      <c r="W14" s="170"/>
      <c r="X14" s="170"/>
      <c r="Y14" s="170"/>
      <c r="Z14" s="170"/>
      <c r="AA14" s="170"/>
      <c r="AB14" s="170"/>
      <c r="AC14" s="170"/>
      <c r="AD14" s="171"/>
    </row>
    <row r="15" spans="1:30" ht="15" customHeight="1" x14ac:dyDescent="0.2">
      <c r="A15" s="169"/>
      <c r="B15" s="170"/>
      <c r="C15" s="170"/>
      <c r="D15" s="170"/>
      <c r="E15" s="170"/>
      <c r="F15" s="170"/>
      <c r="G15" s="170"/>
      <c r="H15" s="170"/>
      <c r="I15" s="170"/>
      <c r="J15" s="170"/>
      <c r="K15" s="170"/>
      <c r="L15" s="170"/>
      <c r="M15" s="170"/>
      <c r="N15" s="170"/>
      <c r="O15" s="170"/>
      <c r="P15" s="170"/>
      <c r="Q15" s="170"/>
      <c r="R15" s="170"/>
      <c r="S15" s="170"/>
      <c r="T15" s="170"/>
      <c r="U15" s="170"/>
      <c r="V15" s="170"/>
      <c r="W15" s="170"/>
      <c r="X15" s="170"/>
      <c r="Y15" s="170"/>
      <c r="Z15" s="170"/>
      <c r="AA15" s="170"/>
      <c r="AB15" s="170"/>
      <c r="AC15" s="170"/>
      <c r="AD15" s="171"/>
    </row>
    <row r="16" spans="1:30" ht="15" customHeight="1" x14ac:dyDescent="0.2">
      <c r="A16" s="169"/>
      <c r="B16" s="170"/>
      <c r="C16" s="170"/>
      <c r="D16" s="170"/>
      <c r="E16" s="170"/>
      <c r="F16" s="170"/>
      <c r="G16" s="170"/>
      <c r="H16" s="170"/>
      <c r="I16" s="170"/>
      <c r="J16" s="170"/>
      <c r="K16" s="170"/>
      <c r="L16" s="170"/>
      <c r="M16" s="170"/>
      <c r="N16" s="170"/>
      <c r="O16" s="170"/>
      <c r="P16" s="170"/>
      <c r="Q16" s="170"/>
      <c r="R16" s="170"/>
      <c r="S16" s="170"/>
      <c r="T16" s="170"/>
      <c r="U16" s="170"/>
      <c r="V16" s="170"/>
      <c r="W16" s="170"/>
      <c r="X16" s="170"/>
      <c r="Y16" s="170"/>
      <c r="Z16" s="170"/>
      <c r="AA16" s="170"/>
      <c r="AB16" s="170"/>
      <c r="AC16" s="170"/>
      <c r="AD16" s="171"/>
    </row>
    <row r="17" spans="1:30" ht="15" customHeight="1" x14ac:dyDescent="0.2">
      <c r="A17" s="169"/>
      <c r="B17" s="170"/>
      <c r="C17" s="170"/>
      <c r="D17" s="170"/>
      <c r="E17" s="170"/>
      <c r="F17" s="170"/>
      <c r="G17" s="170"/>
      <c r="H17" s="170"/>
      <c r="I17" s="170"/>
      <c r="J17" s="170"/>
      <c r="K17" s="170"/>
      <c r="L17" s="170"/>
      <c r="M17" s="170"/>
      <c r="N17" s="170"/>
      <c r="O17" s="170"/>
      <c r="P17" s="170"/>
      <c r="Q17" s="170"/>
      <c r="R17" s="170"/>
      <c r="S17" s="170"/>
      <c r="T17" s="170"/>
      <c r="U17" s="170"/>
      <c r="V17" s="170"/>
      <c r="W17" s="170"/>
      <c r="X17" s="170"/>
      <c r="Y17" s="170"/>
      <c r="Z17" s="170"/>
      <c r="AA17" s="170"/>
      <c r="AB17" s="170"/>
      <c r="AC17" s="170"/>
      <c r="AD17" s="171"/>
    </row>
    <row r="18" spans="1:30" ht="15" customHeight="1" x14ac:dyDescent="0.2">
      <c r="A18" s="169"/>
      <c r="B18" s="170"/>
      <c r="C18" s="170"/>
      <c r="D18" s="170"/>
      <c r="E18" s="170"/>
      <c r="F18" s="170"/>
      <c r="G18" s="170"/>
      <c r="H18" s="170"/>
      <c r="I18" s="170"/>
      <c r="J18" s="170"/>
      <c r="K18" s="170"/>
      <c r="L18" s="170"/>
      <c r="M18" s="170"/>
      <c r="N18" s="170"/>
      <c r="O18" s="170"/>
      <c r="P18" s="170"/>
      <c r="Q18" s="170"/>
      <c r="R18" s="170"/>
      <c r="S18" s="170"/>
      <c r="T18" s="170"/>
      <c r="U18" s="170"/>
      <c r="V18" s="170"/>
      <c r="W18" s="170"/>
      <c r="X18" s="170"/>
      <c r="Y18" s="170"/>
      <c r="Z18" s="170"/>
      <c r="AA18" s="170"/>
      <c r="AB18" s="170"/>
      <c r="AC18" s="170"/>
      <c r="AD18" s="171"/>
    </row>
    <row r="19" spans="1:30" ht="15" customHeight="1" x14ac:dyDescent="0.2">
      <c r="A19" s="169"/>
      <c r="B19" s="170"/>
      <c r="C19" s="170"/>
      <c r="D19" s="170"/>
      <c r="E19" s="170"/>
      <c r="F19" s="170"/>
      <c r="G19" s="170"/>
      <c r="H19" s="170"/>
      <c r="I19" s="170"/>
      <c r="J19" s="170"/>
      <c r="K19" s="170"/>
      <c r="L19" s="170"/>
      <c r="M19" s="170"/>
      <c r="N19" s="170"/>
      <c r="O19" s="170"/>
      <c r="P19" s="170"/>
      <c r="Q19" s="170"/>
      <c r="R19" s="170"/>
      <c r="S19" s="170"/>
      <c r="T19" s="170"/>
      <c r="U19" s="170"/>
      <c r="V19" s="170"/>
      <c r="W19" s="170"/>
      <c r="X19" s="170"/>
      <c r="Y19" s="170"/>
      <c r="Z19" s="170"/>
      <c r="AA19" s="170"/>
      <c r="AB19" s="170"/>
      <c r="AC19" s="170"/>
      <c r="AD19" s="171"/>
    </row>
    <row r="20" spans="1:30" ht="15" customHeight="1" x14ac:dyDescent="0.2">
      <c r="A20" s="169"/>
      <c r="B20" s="170"/>
      <c r="C20" s="170"/>
      <c r="D20" s="170"/>
      <c r="E20" s="170"/>
      <c r="F20" s="170"/>
      <c r="G20" s="170"/>
      <c r="H20" s="170"/>
      <c r="I20" s="170"/>
      <c r="J20" s="170"/>
      <c r="K20" s="170"/>
      <c r="L20" s="170"/>
      <c r="M20" s="170"/>
      <c r="N20" s="170"/>
      <c r="O20" s="170"/>
      <c r="P20" s="170"/>
      <c r="Q20" s="170"/>
      <c r="R20" s="170"/>
      <c r="S20" s="170"/>
      <c r="T20" s="170"/>
      <c r="U20" s="170"/>
      <c r="V20" s="170"/>
      <c r="W20" s="170"/>
      <c r="X20" s="170"/>
      <c r="Y20" s="170"/>
      <c r="Z20" s="170"/>
      <c r="AA20" s="170"/>
      <c r="AB20" s="170"/>
      <c r="AC20" s="170"/>
      <c r="AD20" s="171"/>
    </row>
    <row r="21" spans="1:30" ht="15" customHeight="1" x14ac:dyDescent="0.2">
      <c r="A21" s="169"/>
      <c r="B21" s="170"/>
      <c r="C21" s="170"/>
      <c r="D21" s="170"/>
      <c r="E21" s="170"/>
      <c r="F21" s="170"/>
      <c r="G21" s="170"/>
      <c r="H21" s="170"/>
      <c r="I21" s="170"/>
      <c r="J21" s="170"/>
      <c r="K21" s="170"/>
      <c r="L21" s="170"/>
      <c r="M21" s="170"/>
      <c r="N21" s="170"/>
      <c r="O21" s="170"/>
      <c r="P21" s="170"/>
      <c r="Q21" s="170"/>
      <c r="R21" s="170"/>
      <c r="S21" s="170"/>
      <c r="T21" s="170"/>
      <c r="U21" s="170"/>
      <c r="V21" s="170"/>
      <c r="W21" s="170"/>
      <c r="X21" s="170"/>
      <c r="Y21" s="170"/>
      <c r="Z21" s="170"/>
      <c r="AA21" s="170"/>
      <c r="AB21" s="170"/>
      <c r="AC21" s="170"/>
      <c r="AD21" s="171"/>
    </row>
    <row r="22" spans="1:30" ht="15" customHeight="1" x14ac:dyDescent="0.2">
      <c r="A22" s="169"/>
      <c r="B22" s="170"/>
      <c r="C22" s="170"/>
      <c r="D22" s="170"/>
      <c r="E22" s="170"/>
      <c r="F22" s="170"/>
      <c r="G22" s="170"/>
      <c r="H22" s="170"/>
      <c r="I22" s="170"/>
      <c r="J22" s="170"/>
      <c r="K22" s="170"/>
      <c r="L22" s="170"/>
      <c r="M22" s="170"/>
      <c r="N22" s="170"/>
      <c r="O22" s="170"/>
      <c r="P22" s="170"/>
      <c r="Q22" s="170"/>
      <c r="R22" s="170"/>
      <c r="S22" s="170"/>
      <c r="T22" s="170"/>
      <c r="U22" s="170"/>
      <c r="V22" s="170"/>
      <c r="W22" s="170"/>
      <c r="X22" s="170"/>
      <c r="Y22" s="170"/>
      <c r="Z22" s="170"/>
      <c r="AA22" s="170"/>
      <c r="AB22" s="170"/>
      <c r="AC22" s="170"/>
      <c r="AD22" s="171"/>
    </row>
    <row r="23" spans="1:30" ht="15" customHeight="1" x14ac:dyDescent="0.2">
      <c r="A23" s="169"/>
      <c r="B23" s="170"/>
      <c r="C23" s="170"/>
      <c r="D23" s="170"/>
      <c r="E23" s="170"/>
      <c r="F23" s="170"/>
      <c r="G23" s="170"/>
      <c r="H23" s="170"/>
      <c r="I23" s="170"/>
      <c r="J23" s="170"/>
      <c r="K23" s="170"/>
      <c r="L23" s="170"/>
      <c r="M23" s="170"/>
      <c r="N23" s="170"/>
      <c r="O23" s="170"/>
      <c r="P23" s="170"/>
      <c r="Q23" s="170"/>
      <c r="R23" s="170"/>
      <c r="S23" s="170"/>
      <c r="T23" s="170"/>
      <c r="U23" s="170"/>
      <c r="V23" s="170"/>
      <c r="W23" s="170"/>
      <c r="X23" s="170"/>
      <c r="Y23" s="170"/>
      <c r="Z23" s="170"/>
      <c r="AA23" s="170"/>
      <c r="AB23" s="170"/>
      <c r="AC23" s="170"/>
      <c r="AD23" s="171"/>
    </row>
    <row r="24" spans="1:30" ht="15" customHeight="1" x14ac:dyDescent="0.2">
      <c r="A24" s="169"/>
      <c r="B24" s="170"/>
      <c r="C24" s="170"/>
      <c r="D24" s="170"/>
      <c r="E24" s="170"/>
      <c r="F24" s="170"/>
      <c r="G24" s="170"/>
      <c r="H24" s="170"/>
      <c r="I24" s="170"/>
      <c r="J24" s="170"/>
      <c r="K24" s="170"/>
      <c r="L24" s="170"/>
      <c r="M24" s="170"/>
      <c r="N24" s="170"/>
      <c r="O24" s="170"/>
      <c r="P24" s="170"/>
      <c r="Q24" s="170"/>
      <c r="R24" s="170"/>
      <c r="S24" s="170"/>
      <c r="T24" s="170"/>
      <c r="U24" s="170"/>
      <c r="V24" s="170"/>
      <c r="W24" s="170"/>
      <c r="X24" s="170"/>
      <c r="Y24" s="170"/>
      <c r="Z24" s="170"/>
      <c r="AA24" s="170"/>
      <c r="AB24" s="170"/>
      <c r="AC24" s="170"/>
      <c r="AD24" s="171"/>
    </row>
    <row r="25" spans="1:30" ht="15" customHeight="1" x14ac:dyDescent="0.2">
      <c r="A25" s="169"/>
      <c r="B25" s="170"/>
      <c r="C25" s="170"/>
      <c r="D25" s="170"/>
      <c r="E25" s="170"/>
      <c r="F25" s="170"/>
      <c r="G25" s="170"/>
      <c r="H25" s="170"/>
      <c r="I25" s="170"/>
      <c r="J25" s="170"/>
      <c r="K25" s="170"/>
      <c r="L25" s="170"/>
      <c r="M25" s="170"/>
      <c r="N25" s="170"/>
      <c r="O25" s="170"/>
      <c r="P25" s="170"/>
      <c r="Q25" s="170"/>
      <c r="R25" s="170"/>
      <c r="S25" s="170"/>
      <c r="T25" s="170"/>
      <c r="U25" s="170"/>
      <c r="V25" s="170"/>
      <c r="W25" s="170"/>
      <c r="X25" s="170"/>
      <c r="Y25" s="170"/>
      <c r="Z25" s="170"/>
      <c r="AA25" s="170"/>
      <c r="AB25" s="170"/>
      <c r="AC25" s="170"/>
      <c r="AD25" s="171"/>
    </row>
    <row r="26" spans="1:30" ht="15" customHeight="1" x14ac:dyDescent="0.2">
      <c r="A26" s="169"/>
      <c r="B26" s="170"/>
      <c r="C26" s="170"/>
      <c r="D26" s="170"/>
      <c r="E26" s="170"/>
      <c r="F26" s="170"/>
      <c r="G26" s="170"/>
      <c r="H26" s="170"/>
      <c r="I26" s="170"/>
      <c r="J26" s="170"/>
      <c r="K26" s="170"/>
      <c r="L26" s="170"/>
      <c r="M26" s="170"/>
      <c r="N26" s="170"/>
      <c r="O26" s="170"/>
      <c r="P26" s="170"/>
      <c r="Q26" s="170"/>
      <c r="R26" s="170"/>
      <c r="S26" s="170"/>
      <c r="T26" s="170"/>
      <c r="U26" s="170"/>
      <c r="V26" s="170"/>
      <c r="W26" s="170"/>
      <c r="X26" s="170"/>
      <c r="Y26" s="170"/>
      <c r="Z26" s="170"/>
      <c r="AA26" s="170"/>
      <c r="AB26" s="170"/>
      <c r="AC26" s="170"/>
      <c r="AD26" s="171"/>
    </row>
    <row r="27" spans="1:30" ht="15" customHeight="1" x14ac:dyDescent="0.2">
      <c r="A27" s="169"/>
      <c r="B27" s="170"/>
      <c r="C27" s="170"/>
      <c r="D27" s="170"/>
      <c r="E27" s="170"/>
      <c r="F27" s="170"/>
      <c r="G27" s="170"/>
      <c r="H27" s="170"/>
      <c r="I27" s="170"/>
      <c r="J27" s="170"/>
      <c r="K27" s="170"/>
      <c r="L27" s="170"/>
      <c r="M27" s="170"/>
      <c r="N27" s="170"/>
      <c r="O27" s="170"/>
      <c r="P27" s="170"/>
      <c r="Q27" s="170"/>
      <c r="R27" s="170"/>
      <c r="S27" s="170"/>
      <c r="T27" s="170"/>
      <c r="U27" s="170"/>
      <c r="V27" s="170"/>
      <c r="W27" s="170"/>
      <c r="X27" s="170"/>
      <c r="Y27" s="170"/>
      <c r="Z27" s="170"/>
      <c r="AA27" s="170"/>
      <c r="AB27" s="170"/>
      <c r="AC27" s="170"/>
      <c r="AD27" s="171"/>
    </row>
    <row r="28" spans="1:30" ht="15" customHeight="1" x14ac:dyDescent="0.2">
      <c r="A28" s="169"/>
      <c r="B28" s="170"/>
      <c r="C28" s="170"/>
      <c r="D28" s="170"/>
      <c r="E28" s="170"/>
      <c r="F28" s="170"/>
      <c r="G28" s="170"/>
      <c r="H28" s="170"/>
      <c r="I28" s="170"/>
      <c r="J28" s="170"/>
      <c r="K28" s="170"/>
      <c r="L28" s="170"/>
      <c r="M28" s="170"/>
      <c r="N28" s="170"/>
      <c r="O28" s="170"/>
      <c r="P28" s="170"/>
      <c r="Q28" s="170"/>
      <c r="R28" s="170"/>
      <c r="S28" s="170"/>
      <c r="T28" s="170"/>
      <c r="U28" s="170"/>
      <c r="V28" s="170"/>
      <c r="W28" s="170"/>
      <c r="X28" s="170"/>
      <c r="Y28" s="170"/>
      <c r="Z28" s="170"/>
      <c r="AA28" s="170"/>
      <c r="AB28" s="170"/>
      <c r="AC28" s="170"/>
      <c r="AD28" s="171"/>
    </row>
    <row r="29" spans="1:30" ht="15" customHeight="1" x14ac:dyDescent="0.2">
      <c r="A29" s="169"/>
      <c r="B29" s="170"/>
      <c r="C29" s="170"/>
      <c r="D29" s="170"/>
      <c r="E29" s="170"/>
      <c r="F29" s="170"/>
      <c r="G29" s="170"/>
      <c r="H29" s="170"/>
      <c r="I29" s="170"/>
      <c r="J29" s="170"/>
      <c r="K29" s="170"/>
      <c r="L29" s="170"/>
      <c r="M29" s="170"/>
      <c r="N29" s="170"/>
      <c r="O29" s="170"/>
      <c r="P29" s="170"/>
      <c r="Q29" s="170"/>
      <c r="R29" s="170"/>
      <c r="S29" s="170"/>
      <c r="T29" s="170"/>
      <c r="U29" s="170"/>
      <c r="V29" s="170"/>
      <c r="W29" s="170"/>
      <c r="X29" s="170"/>
      <c r="Y29" s="170"/>
      <c r="Z29" s="170"/>
      <c r="AA29" s="170"/>
      <c r="AB29" s="170"/>
      <c r="AC29" s="170"/>
      <c r="AD29" s="171"/>
    </row>
    <row r="30" spans="1:30" ht="15" customHeight="1" x14ac:dyDescent="0.2">
      <c r="A30" s="169"/>
      <c r="B30" s="170"/>
      <c r="C30" s="170"/>
      <c r="D30" s="170"/>
      <c r="E30" s="170"/>
      <c r="F30" s="170"/>
      <c r="G30" s="170"/>
      <c r="H30" s="170"/>
      <c r="I30" s="170"/>
      <c r="J30" s="170"/>
      <c r="K30" s="170"/>
      <c r="L30" s="170"/>
      <c r="M30" s="170"/>
      <c r="N30" s="170"/>
      <c r="O30" s="170"/>
      <c r="P30" s="170"/>
      <c r="Q30" s="170"/>
      <c r="R30" s="170"/>
      <c r="S30" s="170"/>
      <c r="T30" s="170"/>
      <c r="U30" s="170"/>
      <c r="V30" s="170"/>
      <c r="W30" s="170"/>
      <c r="X30" s="170"/>
      <c r="Y30" s="170"/>
      <c r="Z30" s="170"/>
      <c r="AA30" s="170"/>
      <c r="AB30" s="170"/>
      <c r="AC30" s="170"/>
      <c r="AD30" s="171"/>
    </row>
    <row r="31" spans="1:30" ht="15" customHeight="1" x14ac:dyDescent="0.2">
      <c r="A31" s="169"/>
      <c r="B31" s="170"/>
      <c r="C31" s="170"/>
      <c r="D31" s="170"/>
      <c r="E31" s="170"/>
      <c r="F31" s="170"/>
      <c r="G31" s="170"/>
      <c r="H31" s="170"/>
      <c r="I31" s="170"/>
      <c r="J31" s="170"/>
      <c r="K31" s="170"/>
      <c r="L31" s="170"/>
      <c r="M31" s="170"/>
      <c r="N31" s="170"/>
      <c r="O31" s="170"/>
      <c r="P31" s="170"/>
      <c r="Q31" s="170"/>
      <c r="R31" s="170"/>
      <c r="S31" s="170"/>
      <c r="T31" s="170"/>
      <c r="U31" s="170"/>
      <c r="V31" s="170"/>
      <c r="W31" s="170"/>
      <c r="X31" s="170"/>
      <c r="Y31" s="170"/>
      <c r="Z31" s="170"/>
      <c r="AA31" s="170"/>
      <c r="AB31" s="170"/>
      <c r="AC31" s="170"/>
      <c r="AD31" s="171"/>
    </row>
    <row r="32" spans="1:30" ht="15" customHeight="1" x14ac:dyDescent="0.2">
      <c r="A32" s="169"/>
      <c r="B32" s="170"/>
      <c r="C32" s="170"/>
      <c r="D32" s="170"/>
      <c r="E32" s="170"/>
      <c r="F32" s="170"/>
      <c r="G32" s="170"/>
      <c r="H32" s="170"/>
      <c r="I32" s="170"/>
      <c r="J32" s="170"/>
      <c r="K32" s="170"/>
      <c r="L32" s="170"/>
      <c r="M32" s="170"/>
      <c r="N32" s="170"/>
      <c r="O32" s="170"/>
      <c r="P32" s="170"/>
      <c r="Q32" s="170"/>
      <c r="R32" s="170"/>
      <c r="S32" s="170"/>
      <c r="T32" s="170"/>
      <c r="U32" s="170"/>
      <c r="V32" s="170"/>
      <c r="W32" s="170"/>
      <c r="X32" s="170"/>
      <c r="Y32" s="170"/>
      <c r="Z32" s="170"/>
      <c r="AA32" s="170"/>
      <c r="AB32" s="170"/>
      <c r="AC32" s="170"/>
      <c r="AD32" s="171"/>
    </row>
    <row r="33" spans="1:30" ht="15" customHeight="1" x14ac:dyDescent="0.2">
      <c r="A33" s="169"/>
      <c r="B33" s="170"/>
      <c r="C33" s="170"/>
      <c r="D33" s="170"/>
      <c r="E33" s="170"/>
      <c r="F33" s="170"/>
      <c r="G33" s="170"/>
      <c r="H33" s="170"/>
      <c r="I33" s="170"/>
      <c r="J33" s="170"/>
      <c r="K33" s="170"/>
      <c r="L33" s="170"/>
      <c r="M33" s="170"/>
      <c r="N33" s="170"/>
      <c r="O33" s="170"/>
      <c r="P33" s="170"/>
      <c r="Q33" s="170"/>
      <c r="R33" s="170"/>
      <c r="S33" s="170"/>
      <c r="T33" s="170"/>
      <c r="U33" s="170"/>
      <c r="V33" s="170"/>
      <c r="W33" s="170"/>
      <c r="X33" s="170"/>
      <c r="Y33" s="170"/>
      <c r="Z33" s="170"/>
      <c r="AA33" s="170"/>
      <c r="AB33" s="170"/>
      <c r="AC33" s="170"/>
      <c r="AD33" s="171"/>
    </row>
    <row r="34" spans="1:30" ht="15" customHeight="1" x14ac:dyDescent="0.2">
      <c r="A34" s="169"/>
      <c r="B34" s="170"/>
      <c r="C34" s="170"/>
      <c r="D34" s="170"/>
      <c r="E34" s="170"/>
      <c r="F34" s="170"/>
      <c r="G34" s="170"/>
      <c r="H34" s="170"/>
      <c r="I34" s="170"/>
      <c r="J34" s="170"/>
      <c r="K34" s="170"/>
      <c r="L34" s="170"/>
      <c r="M34" s="170"/>
      <c r="N34" s="170"/>
      <c r="O34" s="170"/>
      <c r="P34" s="170"/>
      <c r="Q34" s="170"/>
      <c r="R34" s="170"/>
      <c r="S34" s="170"/>
      <c r="T34" s="170"/>
      <c r="U34" s="170"/>
      <c r="V34" s="170"/>
      <c r="W34" s="170"/>
      <c r="X34" s="170"/>
      <c r="Y34" s="170"/>
      <c r="Z34" s="170"/>
      <c r="AA34" s="170"/>
      <c r="AB34" s="170"/>
      <c r="AC34" s="170"/>
      <c r="AD34" s="171"/>
    </row>
    <row r="35" spans="1:30" ht="15" customHeight="1" x14ac:dyDescent="0.2">
      <c r="A35" s="169"/>
      <c r="B35" s="170"/>
      <c r="C35" s="170"/>
      <c r="D35" s="170"/>
      <c r="E35" s="170"/>
      <c r="F35" s="170"/>
      <c r="G35" s="170"/>
      <c r="H35" s="170"/>
      <c r="I35" s="170"/>
      <c r="J35" s="170"/>
      <c r="K35" s="170"/>
      <c r="L35" s="170"/>
      <c r="M35" s="170"/>
      <c r="N35" s="170"/>
      <c r="O35" s="170"/>
      <c r="P35" s="170"/>
      <c r="Q35" s="170"/>
      <c r="R35" s="170"/>
      <c r="S35" s="170"/>
      <c r="T35" s="170"/>
      <c r="U35" s="170"/>
      <c r="V35" s="170"/>
      <c r="W35" s="170"/>
      <c r="X35" s="170"/>
      <c r="Y35" s="170"/>
      <c r="Z35" s="170"/>
      <c r="AA35" s="170"/>
      <c r="AB35" s="170"/>
      <c r="AC35" s="170"/>
      <c r="AD35" s="171"/>
    </row>
    <row r="36" spans="1:30" ht="15" customHeight="1" x14ac:dyDescent="0.2">
      <c r="A36" s="169"/>
      <c r="B36" s="170"/>
      <c r="C36" s="170"/>
      <c r="D36" s="170"/>
      <c r="E36" s="170"/>
      <c r="F36" s="170"/>
      <c r="G36" s="170"/>
      <c r="H36" s="170"/>
      <c r="I36" s="170"/>
      <c r="J36" s="170"/>
      <c r="K36" s="170"/>
      <c r="L36" s="170"/>
      <c r="M36" s="170"/>
      <c r="N36" s="170"/>
      <c r="O36" s="170"/>
      <c r="P36" s="170"/>
      <c r="Q36" s="170"/>
      <c r="R36" s="170"/>
      <c r="S36" s="170"/>
      <c r="T36" s="170"/>
      <c r="U36" s="170"/>
      <c r="V36" s="170"/>
      <c r="W36" s="170"/>
      <c r="X36" s="170"/>
      <c r="Y36" s="170"/>
      <c r="Z36" s="170"/>
      <c r="AA36" s="170"/>
      <c r="AB36" s="170"/>
      <c r="AC36" s="170"/>
      <c r="AD36" s="171"/>
    </row>
    <row r="37" spans="1:30" ht="15" customHeight="1" x14ac:dyDescent="0.2">
      <c r="A37" s="169"/>
      <c r="B37" s="170"/>
      <c r="C37" s="170"/>
      <c r="D37" s="170"/>
      <c r="E37" s="170"/>
      <c r="F37" s="170"/>
      <c r="G37" s="170"/>
      <c r="H37" s="170"/>
      <c r="I37" s="170"/>
      <c r="J37" s="170"/>
      <c r="K37" s="170"/>
      <c r="L37" s="170"/>
      <c r="M37" s="170"/>
      <c r="N37" s="170"/>
      <c r="O37" s="170"/>
      <c r="P37" s="170"/>
      <c r="Q37" s="170"/>
      <c r="R37" s="170"/>
      <c r="S37" s="170"/>
      <c r="T37" s="170"/>
      <c r="U37" s="170"/>
      <c r="V37" s="170"/>
      <c r="W37" s="170"/>
      <c r="X37" s="170"/>
      <c r="Y37" s="170"/>
      <c r="Z37" s="170"/>
      <c r="AA37" s="170"/>
      <c r="AB37" s="170"/>
      <c r="AC37" s="170"/>
      <c r="AD37" s="171"/>
    </row>
    <row r="38" spans="1:30" ht="15" customHeight="1" x14ac:dyDescent="0.2">
      <c r="A38" s="169"/>
      <c r="B38" s="170"/>
      <c r="C38" s="170"/>
      <c r="D38" s="170"/>
      <c r="E38" s="170"/>
      <c r="F38" s="170"/>
      <c r="G38" s="170"/>
      <c r="H38" s="170"/>
      <c r="I38" s="170"/>
      <c r="J38" s="170"/>
      <c r="K38" s="170"/>
      <c r="L38" s="170"/>
      <c r="M38" s="170"/>
      <c r="N38" s="170"/>
      <c r="O38" s="170"/>
      <c r="P38" s="170"/>
      <c r="Q38" s="170"/>
      <c r="R38" s="170"/>
      <c r="S38" s="170"/>
      <c r="T38" s="170"/>
      <c r="U38" s="170"/>
      <c r="V38" s="170"/>
      <c r="W38" s="170"/>
      <c r="X38" s="170"/>
      <c r="Y38" s="170"/>
      <c r="Z38" s="170"/>
      <c r="AA38" s="170"/>
      <c r="AB38" s="170"/>
      <c r="AC38" s="170"/>
      <c r="AD38" s="171"/>
    </row>
    <row r="39" spans="1:30" ht="15" customHeight="1" thickBot="1" x14ac:dyDescent="0.25">
      <c r="A39" s="172"/>
      <c r="B39" s="173"/>
      <c r="C39" s="173"/>
      <c r="D39" s="173"/>
      <c r="E39" s="173"/>
      <c r="F39" s="173"/>
      <c r="G39" s="173"/>
      <c r="H39" s="173"/>
      <c r="I39" s="173"/>
      <c r="J39" s="173"/>
      <c r="K39" s="173"/>
      <c r="L39" s="173"/>
      <c r="M39" s="173"/>
      <c r="N39" s="173"/>
      <c r="O39" s="173"/>
      <c r="P39" s="173"/>
      <c r="Q39" s="173"/>
      <c r="R39" s="173"/>
      <c r="S39" s="173"/>
      <c r="T39" s="173"/>
      <c r="U39" s="173"/>
      <c r="V39" s="173"/>
      <c r="W39" s="173"/>
      <c r="X39" s="173"/>
      <c r="Y39" s="173"/>
      <c r="Z39" s="173"/>
      <c r="AA39" s="173"/>
      <c r="AB39" s="173"/>
      <c r="AC39" s="173"/>
      <c r="AD39" s="174"/>
    </row>
    <row r="40" spans="1:30" ht="30" customHeight="1" x14ac:dyDescent="0.2">
      <c r="A40" s="175"/>
      <c r="B40" s="176"/>
      <c r="C40" s="177"/>
      <c r="D40" s="178"/>
      <c r="E40" s="178"/>
      <c r="F40" s="176"/>
      <c r="G40" s="177"/>
      <c r="H40" s="178"/>
      <c r="I40" s="178"/>
      <c r="J40" s="178"/>
      <c r="K40" s="178"/>
      <c r="L40" s="178"/>
      <c r="M40" s="178"/>
      <c r="N40" s="178"/>
      <c r="O40" s="178"/>
      <c r="P40" s="177"/>
      <c r="Q40" s="178"/>
      <c r="R40" s="178"/>
      <c r="S40" s="178"/>
      <c r="T40" s="176"/>
      <c r="U40" s="177"/>
      <c r="V40" s="178"/>
      <c r="W40" s="178"/>
      <c r="X40" s="178"/>
      <c r="Y40" s="176"/>
      <c r="Z40" s="177"/>
      <c r="AA40" s="178"/>
      <c r="AB40" s="178"/>
      <c r="AC40" s="178"/>
      <c r="AD40" s="179"/>
    </row>
    <row r="41" spans="1:30" ht="30" customHeight="1" x14ac:dyDescent="0.2">
      <c r="A41" s="183"/>
      <c r="B41" s="184"/>
      <c r="C41" s="180"/>
      <c r="D41" s="181"/>
      <c r="E41" s="181"/>
      <c r="F41" s="184"/>
      <c r="G41" s="180"/>
      <c r="H41" s="181"/>
      <c r="I41" s="181"/>
      <c r="J41" s="181"/>
      <c r="K41" s="181"/>
      <c r="L41" s="181"/>
      <c r="M41" s="181"/>
      <c r="N41" s="181"/>
      <c r="O41" s="181"/>
      <c r="P41" s="180"/>
      <c r="Q41" s="181"/>
      <c r="R41" s="181"/>
      <c r="S41" s="181"/>
      <c r="T41" s="184"/>
      <c r="U41" s="180"/>
      <c r="V41" s="181"/>
      <c r="W41" s="181"/>
      <c r="X41" s="181"/>
      <c r="Y41" s="184"/>
      <c r="Z41" s="180"/>
      <c r="AA41" s="181"/>
      <c r="AB41" s="181"/>
      <c r="AC41" s="181"/>
      <c r="AD41" s="182"/>
    </row>
    <row r="42" spans="1:30" ht="30" customHeight="1" x14ac:dyDescent="0.2">
      <c r="A42" s="183"/>
      <c r="B42" s="184"/>
      <c r="C42" s="180"/>
      <c r="D42" s="181"/>
      <c r="E42" s="181"/>
      <c r="F42" s="184"/>
      <c r="G42" s="180"/>
      <c r="H42" s="181"/>
      <c r="I42" s="181"/>
      <c r="J42" s="181"/>
      <c r="K42" s="181"/>
      <c r="L42" s="181"/>
      <c r="M42" s="181"/>
      <c r="N42" s="181"/>
      <c r="O42" s="181"/>
      <c r="P42" s="180"/>
      <c r="Q42" s="181"/>
      <c r="R42" s="181"/>
      <c r="S42" s="181"/>
      <c r="T42" s="184"/>
      <c r="U42" s="180"/>
      <c r="V42" s="181"/>
      <c r="W42" s="181"/>
      <c r="X42" s="181"/>
      <c r="Y42" s="184"/>
      <c r="Z42" s="180"/>
      <c r="AA42" s="181"/>
      <c r="AB42" s="181"/>
      <c r="AC42" s="181"/>
      <c r="AD42" s="182"/>
    </row>
    <row r="43" spans="1:30" ht="30" customHeight="1" x14ac:dyDescent="0.2">
      <c r="A43" s="183"/>
      <c r="B43" s="184"/>
      <c r="C43" s="180"/>
      <c r="D43" s="181"/>
      <c r="E43" s="181"/>
      <c r="F43" s="184"/>
      <c r="G43" s="180"/>
      <c r="H43" s="181"/>
      <c r="I43" s="181"/>
      <c r="J43" s="181"/>
      <c r="K43" s="181"/>
      <c r="L43" s="181"/>
      <c r="M43" s="181"/>
      <c r="N43" s="181"/>
      <c r="O43" s="181"/>
      <c r="P43" s="180"/>
      <c r="Q43" s="181"/>
      <c r="R43" s="181"/>
      <c r="S43" s="181"/>
      <c r="T43" s="184"/>
      <c r="U43" s="180"/>
      <c r="V43" s="181"/>
      <c r="W43" s="181"/>
      <c r="X43" s="181"/>
      <c r="Y43" s="184"/>
      <c r="Z43" s="180"/>
      <c r="AA43" s="181"/>
      <c r="AB43" s="181"/>
      <c r="AC43" s="181"/>
      <c r="AD43" s="182"/>
    </row>
    <row r="44" spans="1:30" ht="30" customHeight="1" x14ac:dyDescent="0.2">
      <c r="A44" s="183"/>
      <c r="B44" s="184"/>
      <c r="C44" s="180"/>
      <c r="D44" s="181"/>
      <c r="E44" s="181"/>
      <c r="F44" s="184"/>
      <c r="G44" s="180"/>
      <c r="H44" s="181"/>
      <c r="I44" s="181"/>
      <c r="J44" s="181"/>
      <c r="K44" s="181"/>
      <c r="L44" s="181"/>
      <c r="M44" s="181"/>
      <c r="N44" s="181"/>
      <c r="O44" s="181"/>
      <c r="P44" s="180"/>
      <c r="Q44" s="181"/>
      <c r="R44" s="181"/>
      <c r="S44" s="181"/>
      <c r="T44" s="184"/>
      <c r="U44" s="180"/>
      <c r="V44" s="181"/>
      <c r="W44" s="181"/>
      <c r="X44" s="181"/>
      <c r="Y44" s="184"/>
      <c r="Z44" s="180"/>
      <c r="AA44" s="181"/>
      <c r="AB44" s="181"/>
      <c r="AC44" s="181"/>
      <c r="AD44" s="182"/>
    </row>
    <row r="45" spans="1:30" ht="30" customHeight="1" x14ac:dyDescent="0.2">
      <c r="A45" s="188">
        <v>1</v>
      </c>
      <c r="B45" s="189"/>
      <c r="C45" s="190">
        <v>45469</v>
      </c>
      <c r="D45" s="191"/>
      <c r="E45" s="191"/>
      <c r="F45" s="192"/>
      <c r="G45" s="185" t="s">
        <v>85</v>
      </c>
      <c r="H45" s="186"/>
      <c r="I45" s="186"/>
      <c r="J45" s="186"/>
      <c r="K45" s="186"/>
      <c r="L45" s="186"/>
      <c r="M45" s="186"/>
      <c r="N45" s="186"/>
      <c r="O45" s="186"/>
      <c r="P45" s="185" t="s">
        <v>79</v>
      </c>
      <c r="Q45" s="186"/>
      <c r="R45" s="186"/>
      <c r="S45" s="186"/>
      <c r="T45" s="193"/>
      <c r="U45" s="185" t="s">
        <v>71</v>
      </c>
      <c r="V45" s="186"/>
      <c r="W45" s="186"/>
      <c r="X45" s="186"/>
      <c r="Y45" s="193"/>
      <c r="Z45" s="185" t="s">
        <v>78</v>
      </c>
      <c r="AA45" s="186"/>
      <c r="AB45" s="186"/>
      <c r="AC45" s="186"/>
      <c r="AD45" s="187"/>
    </row>
    <row r="46" spans="1:30" ht="30" customHeight="1" x14ac:dyDescent="0.2">
      <c r="A46" s="188">
        <v>0</v>
      </c>
      <c r="B46" s="189"/>
      <c r="C46" s="190">
        <v>45246</v>
      </c>
      <c r="D46" s="191"/>
      <c r="E46" s="191"/>
      <c r="F46" s="192"/>
      <c r="G46" s="194" t="s">
        <v>70</v>
      </c>
      <c r="H46" s="195"/>
      <c r="I46" s="195"/>
      <c r="J46" s="195"/>
      <c r="K46" s="195"/>
      <c r="L46" s="195"/>
      <c r="M46" s="195"/>
      <c r="N46" s="195"/>
      <c r="O46" s="195"/>
      <c r="P46" s="185" t="s">
        <v>79</v>
      </c>
      <c r="Q46" s="186"/>
      <c r="R46" s="186"/>
      <c r="S46" s="186"/>
      <c r="T46" s="193"/>
      <c r="U46" s="185" t="s">
        <v>71</v>
      </c>
      <c r="V46" s="186"/>
      <c r="W46" s="186"/>
      <c r="X46" s="186"/>
      <c r="Y46" s="193"/>
      <c r="Z46" s="185" t="s">
        <v>78</v>
      </c>
      <c r="AA46" s="186"/>
      <c r="AB46" s="186"/>
      <c r="AC46" s="186"/>
      <c r="AD46" s="187"/>
    </row>
    <row r="47" spans="1:30" ht="15" customHeight="1" thickBot="1" x14ac:dyDescent="0.25">
      <c r="A47" s="199" t="s">
        <v>72</v>
      </c>
      <c r="B47" s="200"/>
      <c r="C47" s="201" t="s">
        <v>73</v>
      </c>
      <c r="D47" s="202"/>
      <c r="E47" s="202"/>
      <c r="F47" s="203"/>
      <c r="G47" s="201" t="s">
        <v>74</v>
      </c>
      <c r="H47" s="202"/>
      <c r="I47" s="202"/>
      <c r="J47" s="202"/>
      <c r="K47" s="202"/>
      <c r="L47" s="202"/>
      <c r="M47" s="202"/>
      <c r="N47" s="202"/>
      <c r="O47" s="202"/>
      <c r="P47" s="201" t="s">
        <v>75</v>
      </c>
      <c r="Q47" s="202"/>
      <c r="R47" s="202"/>
      <c r="S47" s="202"/>
      <c r="T47" s="203"/>
      <c r="U47" s="201" t="s">
        <v>76</v>
      </c>
      <c r="V47" s="202"/>
      <c r="W47" s="202"/>
      <c r="X47" s="202"/>
      <c r="Y47" s="202"/>
      <c r="Z47" s="201" t="s">
        <v>77</v>
      </c>
      <c r="AA47" s="202"/>
      <c r="AB47" s="202"/>
      <c r="AC47" s="202"/>
      <c r="AD47" s="204"/>
    </row>
    <row r="48" spans="1:30" ht="15" customHeight="1" thickBot="1" x14ac:dyDescent="0.25">
      <c r="A48" s="196" t="s">
        <v>80</v>
      </c>
      <c r="B48" s="197"/>
      <c r="C48" s="197"/>
      <c r="D48" s="197"/>
      <c r="E48" s="197"/>
      <c r="F48" s="197"/>
      <c r="G48" s="197"/>
      <c r="H48" s="197"/>
      <c r="I48" s="197"/>
      <c r="J48" s="197"/>
      <c r="K48" s="197"/>
      <c r="L48" s="197"/>
      <c r="M48" s="197"/>
      <c r="N48" s="197"/>
      <c r="O48" s="197"/>
      <c r="P48" s="197"/>
      <c r="Q48" s="197"/>
      <c r="R48" s="197"/>
      <c r="S48" s="197"/>
      <c r="T48" s="197"/>
      <c r="U48" s="197"/>
      <c r="V48" s="197"/>
      <c r="W48" s="197"/>
      <c r="X48" s="197"/>
      <c r="Y48" s="197"/>
      <c r="Z48" s="197"/>
      <c r="AA48" s="197"/>
      <c r="AB48" s="197"/>
      <c r="AC48" s="197"/>
      <c r="AD48" s="198"/>
    </row>
  </sheetData>
  <mergeCells count="50">
    <mergeCell ref="A48:AD48"/>
    <mergeCell ref="A47:B47"/>
    <mergeCell ref="C47:F47"/>
    <mergeCell ref="G47:O47"/>
    <mergeCell ref="P47:T47"/>
    <mergeCell ref="U47:Y47"/>
    <mergeCell ref="Z47:AD47"/>
    <mergeCell ref="Z46:AD46"/>
    <mergeCell ref="A45:B45"/>
    <mergeCell ref="C45:F45"/>
    <mergeCell ref="G45:O45"/>
    <mergeCell ref="P45:T45"/>
    <mergeCell ref="U45:Y45"/>
    <mergeCell ref="Z45:AD45"/>
    <mergeCell ref="A46:B46"/>
    <mergeCell ref="C46:F46"/>
    <mergeCell ref="G46:O46"/>
    <mergeCell ref="P46:T46"/>
    <mergeCell ref="U46:Y46"/>
    <mergeCell ref="Z44:AD44"/>
    <mergeCell ref="A43:B43"/>
    <mergeCell ref="C43:F43"/>
    <mergeCell ref="G43:O43"/>
    <mergeCell ref="P43:T43"/>
    <mergeCell ref="U43:Y43"/>
    <mergeCell ref="Z43:AD43"/>
    <mergeCell ref="A44:B44"/>
    <mergeCell ref="C44:F44"/>
    <mergeCell ref="G44:O44"/>
    <mergeCell ref="P44:T44"/>
    <mergeCell ref="U44:Y44"/>
    <mergeCell ref="Z42:AD42"/>
    <mergeCell ref="A41:B41"/>
    <mergeCell ref="C41:F41"/>
    <mergeCell ref="G41:O41"/>
    <mergeCell ref="P41:T41"/>
    <mergeCell ref="U41:Y41"/>
    <mergeCell ref="Z41:AD41"/>
    <mergeCell ref="A42:B42"/>
    <mergeCell ref="C42:F42"/>
    <mergeCell ref="G42:O42"/>
    <mergeCell ref="P42:T42"/>
    <mergeCell ref="U42:Y42"/>
    <mergeCell ref="A8:AD39"/>
    <mergeCell ref="A40:B40"/>
    <mergeCell ref="C40:F40"/>
    <mergeCell ref="G40:O40"/>
    <mergeCell ref="P40:T40"/>
    <mergeCell ref="U40:Y40"/>
    <mergeCell ref="Z40:AD40"/>
  </mergeCells>
  <printOptions horizontalCentered="1" verticalCentered="1"/>
  <pageMargins left="0.70866141732283472" right="0.70866141732283472" top="0.74803149606299213" bottom="0.74803149606299213" header="0.31496062992125984" footer="0.31496062992125984"/>
  <pageSetup paperSize="9" scale="90" fitToWidth="3" orientation="portrait" verticalDpi="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H35"/>
  <sheetViews>
    <sheetView zoomScaleNormal="100" workbookViewId="0">
      <selection activeCell="E12" sqref="E12"/>
    </sheetView>
  </sheetViews>
  <sheetFormatPr defaultRowHeight="12.75" x14ac:dyDescent="0.2"/>
  <cols>
    <col min="1" max="1" width="13.5703125" customWidth="1"/>
    <col min="2" max="2" width="14.7109375" customWidth="1"/>
    <col min="3" max="3" width="11.7109375" customWidth="1"/>
    <col min="4" max="4" width="12.28515625" customWidth="1"/>
    <col min="5" max="5" width="11.7109375" customWidth="1"/>
    <col min="6" max="6" width="14.7109375" customWidth="1"/>
    <col min="7" max="7" width="11.7109375" customWidth="1"/>
    <col min="8" max="8" width="11.28515625" customWidth="1"/>
    <col min="9" max="9" width="10.28515625" customWidth="1"/>
  </cols>
  <sheetData>
    <row r="1" spans="1:8" ht="18" x14ac:dyDescent="0.25">
      <c r="A1" s="97"/>
      <c r="B1" s="214" t="s">
        <v>0</v>
      </c>
      <c r="C1" s="215"/>
      <c r="D1" s="215"/>
      <c r="E1" s="215"/>
      <c r="F1" s="215"/>
      <c r="G1" s="215"/>
      <c r="H1" s="216"/>
    </row>
    <row r="2" spans="1:8" x14ac:dyDescent="0.2">
      <c r="A2" s="32"/>
      <c r="B2" s="99"/>
      <c r="C2" s="99"/>
      <c r="D2" s="99"/>
      <c r="E2" s="99"/>
      <c r="F2" s="99"/>
      <c r="G2" s="99"/>
      <c r="H2" s="100"/>
    </row>
    <row r="3" spans="1:8" x14ac:dyDescent="0.2">
      <c r="A3" s="103" t="s">
        <v>81</v>
      </c>
      <c r="B3" s="156" t="s">
        <v>1</v>
      </c>
      <c r="C3" s="157"/>
      <c r="D3" s="158"/>
      <c r="E3" s="217" t="s">
        <v>2</v>
      </c>
      <c r="F3" s="218"/>
      <c r="G3" s="218"/>
      <c r="H3" s="219"/>
    </row>
    <row r="4" spans="1:8" x14ac:dyDescent="0.2">
      <c r="A4" s="105" t="s">
        <v>83</v>
      </c>
      <c r="B4" s="156" t="s">
        <v>3</v>
      </c>
      <c r="C4" s="157"/>
      <c r="D4" s="158"/>
      <c r="E4" s="217" t="s">
        <v>2</v>
      </c>
      <c r="F4" s="218"/>
      <c r="G4" s="218"/>
      <c r="H4" s="219"/>
    </row>
    <row r="5" spans="1:8" x14ac:dyDescent="0.2">
      <c r="A5" s="105" t="s">
        <v>84</v>
      </c>
      <c r="B5" s="156" t="s">
        <v>4</v>
      </c>
      <c r="C5" s="157"/>
      <c r="D5" s="158"/>
      <c r="E5" s="220"/>
      <c r="F5" s="221"/>
      <c r="G5" s="221"/>
      <c r="H5" s="222"/>
    </row>
    <row r="6" spans="1:8" ht="15.75" x14ac:dyDescent="0.25">
      <c r="A6" s="10"/>
      <c r="B6" s="104"/>
      <c r="C6" s="104"/>
      <c r="H6" s="9"/>
    </row>
    <row r="7" spans="1:8" ht="18" x14ac:dyDescent="0.25">
      <c r="A7" s="10"/>
      <c r="B7" s="214" t="s">
        <v>5</v>
      </c>
      <c r="C7" s="215"/>
      <c r="D7" s="215"/>
      <c r="E7" s="2"/>
      <c r="H7" s="9"/>
    </row>
    <row r="8" spans="1:8" x14ac:dyDescent="0.2">
      <c r="A8" s="10"/>
      <c r="B8" s="223" t="s">
        <v>6</v>
      </c>
      <c r="C8" s="224"/>
      <c r="D8" s="224"/>
      <c r="E8" s="146">
        <v>3000</v>
      </c>
      <c r="F8" s="97" t="s">
        <v>7</v>
      </c>
      <c r="G8" s="156"/>
      <c r="H8" s="158"/>
    </row>
    <row r="9" spans="1:8" x14ac:dyDescent="0.2">
      <c r="A9" s="10"/>
      <c r="B9" s="223" t="s">
        <v>8</v>
      </c>
      <c r="C9" s="224"/>
      <c r="D9" s="224"/>
      <c r="E9" s="147">
        <v>900</v>
      </c>
      <c r="F9" s="97" t="s">
        <v>9</v>
      </c>
      <c r="H9" s="9"/>
    </row>
    <row r="10" spans="1:8" x14ac:dyDescent="0.2">
      <c r="A10" s="10"/>
      <c r="B10" s="231" t="s">
        <v>10</v>
      </c>
      <c r="C10" s="224"/>
      <c r="D10" s="224"/>
      <c r="E10" s="147">
        <v>16700</v>
      </c>
      <c r="F10" s="159" t="s">
        <v>11</v>
      </c>
      <c r="G10" s="148">
        <v>15500</v>
      </c>
      <c r="H10" s="109" t="s">
        <v>12</v>
      </c>
    </row>
    <row r="11" spans="1:8" x14ac:dyDescent="0.2">
      <c r="A11" s="10"/>
      <c r="B11" s="223" t="s">
        <v>13</v>
      </c>
      <c r="C11" s="224"/>
      <c r="D11" s="224"/>
      <c r="E11" s="148">
        <v>3800</v>
      </c>
      <c r="F11" s="97" t="s">
        <v>14</v>
      </c>
      <c r="H11" s="9"/>
    </row>
    <row r="12" spans="1:8" x14ac:dyDescent="0.2">
      <c r="A12" s="10"/>
      <c r="B12" s="223" t="s">
        <v>15</v>
      </c>
      <c r="C12" s="224"/>
      <c r="D12" s="224"/>
      <c r="E12" s="147">
        <v>70</v>
      </c>
      <c r="F12" s="97" t="s">
        <v>9</v>
      </c>
      <c r="H12" s="9"/>
    </row>
    <row r="13" spans="1:8" ht="206.25" customHeight="1" x14ac:dyDescent="0.2">
      <c r="A13" s="235"/>
      <c r="B13" s="236"/>
      <c r="C13" s="8"/>
      <c r="D13" s="8"/>
      <c r="E13" s="8"/>
      <c r="F13" s="232"/>
      <c r="G13" s="233"/>
      <c r="H13" s="234"/>
    </row>
    <row r="14" spans="1:8" ht="168" customHeight="1" x14ac:dyDescent="0.2">
      <c r="A14" s="19"/>
      <c r="B14" s="20"/>
      <c r="C14" s="8"/>
      <c r="F14" s="110"/>
      <c r="G14" s="14"/>
      <c r="H14" s="65"/>
    </row>
    <row r="15" spans="1:8" ht="18" x14ac:dyDescent="0.25">
      <c r="A15" s="6" t="s">
        <v>16</v>
      </c>
      <c r="B15" s="7"/>
      <c r="C15" s="2"/>
      <c r="H15" s="9"/>
    </row>
    <row r="16" spans="1:8" x14ac:dyDescent="0.2">
      <c r="A16" s="208" t="s">
        <v>17</v>
      </c>
      <c r="B16" s="209"/>
      <c r="C16" s="209"/>
      <c r="D16" s="210"/>
      <c r="E16" s="12">
        <f>'Supporting data_US_units'!B9</f>
        <v>41.4399756103548</v>
      </c>
      <c r="F16" s="97" t="s">
        <v>18</v>
      </c>
      <c r="H16" s="9"/>
    </row>
    <row r="17" spans="1:8" x14ac:dyDescent="0.2">
      <c r="A17" s="211" t="s">
        <v>19</v>
      </c>
      <c r="B17" s="212"/>
      <c r="C17" s="212"/>
      <c r="D17" s="213"/>
      <c r="E17" s="44">
        <f>'Supporting data_US_units'!D7</f>
        <v>0</v>
      </c>
      <c r="F17" s="97" t="s">
        <v>18</v>
      </c>
      <c r="H17" s="9"/>
    </row>
    <row r="18" spans="1:8" ht="13.5" thickBot="1" x14ac:dyDescent="0.25">
      <c r="A18" s="211" t="s">
        <v>20</v>
      </c>
      <c r="B18" s="212"/>
      <c r="C18" s="212"/>
      <c r="D18" s="213"/>
      <c r="E18" s="44">
        <f>'Supporting data_US_units'!D71</f>
        <v>9.3603788977042814</v>
      </c>
      <c r="F18" s="97" t="s">
        <v>18</v>
      </c>
      <c r="H18" s="9"/>
    </row>
    <row r="19" spans="1:8" ht="13.5" thickBot="1" x14ac:dyDescent="0.25">
      <c r="A19" s="226" t="s">
        <v>21</v>
      </c>
      <c r="B19" s="227"/>
      <c r="C19" s="227"/>
      <c r="D19" s="228"/>
      <c r="E19" s="66">
        <f>E16+E17+E18</f>
        <v>50.80035450805908</v>
      </c>
      <c r="F19" s="97" t="s">
        <v>18</v>
      </c>
      <c r="H19" s="9"/>
    </row>
    <row r="20" spans="1:8" ht="13.5" thickBot="1" x14ac:dyDescent="0.25">
      <c r="A20" s="237" t="s">
        <v>22</v>
      </c>
      <c r="B20" s="238"/>
      <c r="C20" s="67">
        <f>E19/100*E10</f>
        <v>8483.6592028458654</v>
      </c>
      <c r="D20" s="97" t="s">
        <v>12</v>
      </c>
      <c r="E20" s="239" t="s">
        <v>23</v>
      </c>
      <c r="F20" s="238"/>
      <c r="G20" s="67">
        <f>E19/100*G10</f>
        <v>7874.0549487491571</v>
      </c>
      <c r="H20" s="109" t="s">
        <v>12</v>
      </c>
    </row>
    <row r="21" spans="1:8" ht="6.75" customHeight="1" x14ac:dyDescent="0.2">
      <c r="A21" s="151"/>
      <c r="B21" s="149"/>
      <c r="C21" s="150"/>
      <c r="D21" s="97"/>
      <c r="E21" s="152"/>
      <c r="F21" s="149"/>
      <c r="G21" s="150"/>
      <c r="H21" s="109"/>
    </row>
    <row r="22" spans="1:8" x14ac:dyDescent="0.2">
      <c r="A22" s="223" t="s">
        <v>88</v>
      </c>
      <c r="B22" s="224"/>
      <c r="C22" s="224"/>
      <c r="D22" s="224"/>
      <c r="E22" s="154">
        <f>(0.3+0.3*(E19/100-0.3))*100</f>
        <v>36.240106352417726</v>
      </c>
      <c r="F22" s="145" t="s">
        <v>18</v>
      </c>
      <c r="G22" s="155"/>
      <c r="H22" s="109"/>
    </row>
    <row r="23" spans="1:8" ht="15.75" x14ac:dyDescent="0.3">
      <c r="A23" s="231" t="s">
        <v>86</v>
      </c>
      <c r="B23" s="240"/>
      <c r="C23" s="153">
        <f>E22/100*E10</f>
        <v>6052.0977608537605</v>
      </c>
      <c r="D23" s="97" t="s">
        <v>12</v>
      </c>
      <c r="E23" s="231" t="s">
        <v>87</v>
      </c>
      <c r="F23" s="240"/>
      <c r="G23" s="153">
        <f>E22/100*G10</f>
        <v>5617.2164846247479</v>
      </c>
      <c r="H23" s="109" t="s">
        <v>12</v>
      </c>
    </row>
    <row r="24" spans="1:8" x14ac:dyDescent="0.2">
      <c r="A24" s="229"/>
      <c r="B24" s="230"/>
      <c r="C24" s="230"/>
      <c r="D24" s="230"/>
      <c r="E24" s="53"/>
      <c r="F24" s="97"/>
      <c r="H24" s="9"/>
    </row>
    <row r="25" spans="1:8" x14ac:dyDescent="0.2">
      <c r="A25" s="208" t="s">
        <v>24</v>
      </c>
      <c r="B25" s="209"/>
      <c r="C25" s="209"/>
      <c r="D25" s="210"/>
      <c r="E25" s="88">
        <f>'Supporting data_US_units'!G47</f>
        <v>120</v>
      </c>
      <c r="F25" s="97" t="s">
        <v>18</v>
      </c>
      <c r="H25" s="9"/>
    </row>
    <row r="26" spans="1:8" ht="13.5" thickBot="1" x14ac:dyDescent="0.25">
      <c r="A26" s="211" t="s">
        <v>25</v>
      </c>
      <c r="B26" s="212"/>
      <c r="C26" s="212"/>
      <c r="D26" s="213"/>
      <c r="E26" s="89">
        <f>'Supporting data_US_units'!G48</f>
        <v>0</v>
      </c>
      <c r="F26" s="97" t="s">
        <v>18</v>
      </c>
      <c r="H26" s="9"/>
    </row>
    <row r="27" spans="1:8" ht="13.5" thickBot="1" x14ac:dyDescent="0.25">
      <c r="A27" s="226" t="s">
        <v>26</v>
      </c>
      <c r="B27" s="227"/>
      <c r="C27" s="227"/>
      <c r="D27" s="228"/>
      <c r="E27" s="90">
        <f>'Supporting data_US_units'!G49</f>
        <v>120</v>
      </c>
      <c r="F27" s="97" t="s">
        <v>18</v>
      </c>
      <c r="H27" s="9"/>
    </row>
    <row r="28" spans="1:8" ht="13.5" thickBot="1" x14ac:dyDescent="0.25">
      <c r="A28" s="111"/>
      <c r="D28" s="9"/>
      <c r="E28" s="91"/>
      <c r="F28" s="97"/>
      <c r="H28" s="9"/>
    </row>
    <row r="29" spans="1:8" ht="13.5" thickBot="1" x14ac:dyDescent="0.25">
      <c r="A29" s="226" t="s">
        <v>27</v>
      </c>
      <c r="B29" s="227"/>
      <c r="C29" s="227"/>
      <c r="D29" s="227"/>
      <c r="E29" s="92">
        <f>'Supporting data_US_units'!I49</f>
        <v>150</v>
      </c>
      <c r="F29" s="97" t="s">
        <v>18</v>
      </c>
      <c r="H29" s="9"/>
    </row>
    <row r="30" spans="1:8" x14ac:dyDescent="0.2">
      <c r="A30" s="111"/>
      <c r="E30" s="93"/>
      <c r="F30" s="97"/>
      <c r="H30" s="9"/>
    </row>
    <row r="31" spans="1:8" x14ac:dyDescent="0.2">
      <c r="A31" s="225" t="s">
        <v>28</v>
      </c>
      <c r="B31" s="210"/>
      <c r="C31" s="13">
        <f>E8*E10^0.5/Input_Output_US_units!E9^0.75</f>
        <v>2359.3784492248519</v>
      </c>
      <c r="D31" s="112" t="s">
        <v>29</v>
      </c>
      <c r="E31" s="225" t="s">
        <v>30</v>
      </c>
      <c r="F31" s="210"/>
      <c r="G31" s="13">
        <f>E8*(E10/'Supporting data_US_units'!D37)^0.5/Input_Output_US_units!E9^0.75</f>
        <v>2359.3784492248519</v>
      </c>
      <c r="H31" s="112" t="s">
        <v>29</v>
      </c>
    </row>
    <row r="32" spans="1:8" x14ac:dyDescent="0.2">
      <c r="A32" s="225" t="s">
        <v>31</v>
      </c>
      <c r="B32" s="210"/>
      <c r="C32" s="45">
        <f>E8*(E10/'Supporting data_US_units'!D37)^0.5/Input_Output_US_units!E12^0.75</f>
        <v>16019.758335209464</v>
      </c>
      <c r="D32" s="97" t="s">
        <v>29</v>
      </c>
      <c r="G32" s="113"/>
      <c r="H32" s="9"/>
    </row>
    <row r="33" spans="1:8" x14ac:dyDescent="0.2">
      <c r="A33" s="114" t="s">
        <v>32</v>
      </c>
      <c r="B33" s="4"/>
      <c r="C33" s="4"/>
      <c r="D33" s="4"/>
      <c r="E33" s="4"/>
      <c r="F33" s="4"/>
      <c r="G33" s="4"/>
      <c r="H33" s="5"/>
    </row>
    <row r="34" spans="1:8" ht="41.25" customHeight="1" x14ac:dyDescent="0.2">
      <c r="A34" s="205" t="s">
        <v>33</v>
      </c>
      <c r="B34" s="206"/>
      <c r="C34" s="206"/>
      <c r="D34" s="206"/>
      <c r="E34" s="206"/>
      <c r="F34" s="206"/>
      <c r="G34" s="206"/>
      <c r="H34" s="207"/>
    </row>
    <row r="35" spans="1:8" ht="13.5" customHeight="1" x14ac:dyDescent="0.2">
      <c r="A35" s="110"/>
      <c r="B35" s="14"/>
      <c r="C35" s="14"/>
      <c r="D35" s="14"/>
      <c r="E35" s="14"/>
      <c r="F35" s="14"/>
      <c r="G35" s="14"/>
      <c r="H35" s="14"/>
    </row>
  </sheetData>
  <sheetProtection sheet="1"/>
  <mergeCells count="30">
    <mergeCell ref="E31:F31"/>
    <mergeCell ref="A32:B32"/>
    <mergeCell ref="B10:D10"/>
    <mergeCell ref="F13:H13"/>
    <mergeCell ref="A13:B13"/>
    <mergeCell ref="A27:D27"/>
    <mergeCell ref="A29:D29"/>
    <mergeCell ref="B12:D12"/>
    <mergeCell ref="A20:B20"/>
    <mergeCell ref="E20:F20"/>
    <mergeCell ref="B11:D11"/>
    <mergeCell ref="A23:B23"/>
    <mergeCell ref="E23:F23"/>
    <mergeCell ref="A22:D22"/>
    <mergeCell ref="A34:H34"/>
    <mergeCell ref="A25:D25"/>
    <mergeCell ref="A26:D26"/>
    <mergeCell ref="A17:D17"/>
    <mergeCell ref="B1:H1"/>
    <mergeCell ref="E3:H3"/>
    <mergeCell ref="E4:H4"/>
    <mergeCell ref="E5:H5"/>
    <mergeCell ref="B8:D8"/>
    <mergeCell ref="B7:D7"/>
    <mergeCell ref="A31:B31"/>
    <mergeCell ref="A18:D18"/>
    <mergeCell ref="B9:D9"/>
    <mergeCell ref="A16:D16"/>
    <mergeCell ref="A19:D19"/>
    <mergeCell ref="A24:D24"/>
  </mergeCells>
  <pageMargins left="0.8" right="0.5" top="0.5" bottom="0.75" header="0.5" footer="0.5"/>
  <pageSetup scale="90" orientation="portrait" r:id="rId1"/>
  <headerFooter alignWithMargins="0">
    <oddFooter>&amp;L&amp;F&amp;R&amp;D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9831" r:id="rId4" name="Check Box 135">
              <controlPr defaultSize="0" autoFill="0" autoLine="0" autoPict="0">
                <anchor moveWithCells="1">
                  <from>
                    <xdr:col>5</xdr:col>
                    <xdr:colOff>1009650</xdr:colOff>
                    <xdr:row>6</xdr:row>
                    <xdr:rowOff>142875</xdr:rowOff>
                  </from>
                  <to>
                    <xdr:col>7</xdr:col>
                    <xdr:colOff>704850</xdr:colOff>
                    <xdr:row>8</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A8C33B-5666-4079-AE91-3B340AA3BC9D}">
  <sheetPr codeName="Sheet2">
    <pageSetUpPr fitToPage="1"/>
  </sheetPr>
  <dimension ref="A1:N35"/>
  <sheetViews>
    <sheetView zoomScaleNormal="100" workbookViewId="0"/>
  </sheetViews>
  <sheetFormatPr defaultColWidth="9.140625" defaultRowHeight="12.75" x14ac:dyDescent="0.2"/>
  <cols>
    <col min="1" max="1" width="13.5703125" style="73" customWidth="1"/>
    <col min="2" max="2" width="14.7109375" style="73" customWidth="1"/>
    <col min="3" max="3" width="11.7109375" style="73" customWidth="1"/>
    <col min="4" max="4" width="12.28515625" style="73" customWidth="1"/>
    <col min="5" max="5" width="11.7109375" style="73" customWidth="1"/>
    <col min="6" max="6" width="14.7109375" style="73" customWidth="1"/>
    <col min="7" max="7" width="11.7109375" style="73" customWidth="1"/>
    <col min="8" max="8" width="11.28515625" style="73" customWidth="1"/>
    <col min="9" max="9" width="10.28515625" style="73" customWidth="1"/>
    <col min="10" max="14" width="9.140625" style="73" hidden="1" customWidth="1"/>
    <col min="15" max="16384" width="9.140625" style="73"/>
  </cols>
  <sheetData>
    <row r="1" spans="1:13" ht="18" x14ac:dyDescent="0.25">
      <c r="A1" s="97"/>
      <c r="B1" s="242" t="s">
        <v>34</v>
      </c>
      <c r="C1" s="243"/>
      <c r="D1" s="243"/>
      <c r="E1" s="243"/>
      <c r="F1" s="243"/>
      <c r="G1" s="243"/>
      <c r="H1" s="244"/>
    </row>
    <row r="2" spans="1:13" x14ac:dyDescent="0.2">
      <c r="A2" s="32"/>
      <c r="B2" s="101"/>
      <c r="C2" s="101"/>
      <c r="D2" s="101"/>
      <c r="E2" s="101"/>
      <c r="F2" s="101"/>
      <c r="G2" s="101"/>
      <c r="H2" s="102"/>
    </row>
    <row r="3" spans="1:13" x14ac:dyDescent="0.2">
      <c r="A3" s="103" t="s">
        <v>81</v>
      </c>
      <c r="B3" s="160" t="s">
        <v>1</v>
      </c>
      <c r="C3" s="161"/>
      <c r="D3" s="162"/>
      <c r="E3" s="245" t="s">
        <v>2</v>
      </c>
      <c r="F3" s="246"/>
      <c r="G3" s="246"/>
      <c r="H3" s="247"/>
    </row>
    <row r="4" spans="1:13" x14ac:dyDescent="0.2">
      <c r="A4" s="106" t="str">
        <f>Input_Output_US_units!A4</f>
        <v>Date: 26/06/2024</v>
      </c>
      <c r="B4" s="160" t="s">
        <v>3</v>
      </c>
      <c r="C4" s="161"/>
      <c r="D4" s="162"/>
      <c r="E4" s="245" t="s">
        <v>2</v>
      </c>
      <c r="F4" s="246"/>
      <c r="G4" s="246"/>
      <c r="H4" s="247"/>
    </row>
    <row r="5" spans="1:13" x14ac:dyDescent="0.2">
      <c r="A5" s="106" t="str">
        <f>Input_Output_US_units!A5</f>
        <v>Revision: 1</v>
      </c>
      <c r="B5" s="160" t="s">
        <v>4</v>
      </c>
      <c r="C5" s="161"/>
      <c r="D5" s="162"/>
      <c r="E5" s="248"/>
      <c r="F5" s="249"/>
      <c r="G5" s="249"/>
      <c r="H5" s="250"/>
    </row>
    <row r="6" spans="1:13" ht="15.75" x14ac:dyDescent="0.25">
      <c r="A6" s="74"/>
      <c r="B6" s="107"/>
      <c r="C6" s="107"/>
      <c r="H6" s="75"/>
    </row>
    <row r="7" spans="1:13" ht="18" x14ac:dyDescent="0.25">
      <c r="A7" s="74"/>
      <c r="B7" s="242" t="s">
        <v>5</v>
      </c>
      <c r="C7" s="243"/>
      <c r="D7" s="243"/>
      <c r="E7" s="76"/>
      <c r="H7" s="75"/>
    </row>
    <row r="8" spans="1:13" x14ac:dyDescent="0.2">
      <c r="A8" s="74"/>
      <c r="B8" s="241" t="s">
        <v>6</v>
      </c>
      <c r="C8" s="241"/>
      <c r="D8" s="241"/>
      <c r="E8" s="146">
        <v>3000</v>
      </c>
      <c r="F8" s="73" t="s">
        <v>7</v>
      </c>
      <c r="G8" s="160"/>
      <c r="H8" s="162"/>
    </row>
    <row r="9" spans="1:13" x14ac:dyDescent="0.2">
      <c r="A9" s="74"/>
      <c r="B9" s="241" t="s">
        <v>8</v>
      </c>
      <c r="C9" s="241"/>
      <c r="D9" s="241"/>
      <c r="E9" s="147">
        <v>274.3</v>
      </c>
      <c r="F9" s="73" t="s">
        <v>35</v>
      </c>
      <c r="H9" s="75"/>
      <c r="J9" s="77">
        <f>E9/0.3048</f>
        <v>899.93438320209975</v>
      </c>
      <c r="K9" s="73" t="s">
        <v>9</v>
      </c>
    </row>
    <row r="10" spans="1:13" x14ac:dyDescent="0.2">
      <c r="A10" s="74"/>
      <c r="B10" s="253" t="s">
        <v>10</v>
      </c>
      <c r="C10" s="241"/>
      <c r="D10" s="241"/>
      <c r="E10" s="147">
        <v>3793</v>
      </c>
      <c r="F10" s="163" t="s">
        <v>11</v>
      </c>
      <c r="G10" s="147">
        <v>3520.4328500000001</v>
      </c>
      <c r="H10" s="75" t="s">
        <v>36</v>
      </c>
      <c r="J10" s="77">
        <f>E10/0.2271247</f>
        <v>16700.077094213</v>
      </c>
      <c r="L10" s="98">
        <f>G10/0.2271247</f>
        <v>15500</v>
      </c>
      <c r="M10" s="74" t="s">
        <v>12</v>
      </c>
    </row>
    <row r="11" spans="1:13" x14ac:dyDescent="0.2">
      <c r="A11" s="74"/>
      <c r="B11" s="241" t="s">
        <v>13</v>
      </c>
      <c r="C11" s="241"/>
      <c r="D11" s="241"/>
      <c r="E11" s="147">
        <v>2833.7</v>
      </c>
      <c r="F11" s="73" t="s">
        <v>37</v>
      </c>
      <c r="H11" s="75"/>
      <c r="J11" s="78">
        <f>E11/0.7456999</f>
        <v>3800.054150469914</v>
      </c>
      <c r="K11" s="73" t="s">
        <v>14</v>
      </c>
    </row>
    <row r="12" spans="1:13" x14ac:dyDescent="0.2">
      <c r="A12" s="74"/>
      <c r="B12" s="241" t="s">
        <v>15</v>
      </c>
      <c r="C12" s="241"/>
      <c r="D12" s="241"/>
      <c r="E12" s="147">
        <v>21.3</v>
      </c>
      <c r="F12" s="73" t="s">
        <v>35</v>
      </c>
      <c r="H12" s="75"/>
      <c r="J12" s="77">
        <f>E12/0.3048</f>
        <v>69.881889763779526</v>
      </c>
      <c r="K12" s="73" t="s">
        <v>9</v>
      </c>
    </row>
    <row r="13" spans="1:13" ht="206.25" customHeight="1" x14ac:dyDescent="0.2">
      <c r="A13" s="254"/>
      <c r="B13" s="255"/>
      <c r="C13" s="81"/>
      <c r="D13" s="81"/>
      <c r="E13" s="81"/>
      <c r="F13" s="256"/>
      <c r="G13" s="256"/>
      <c r="H13" s="257"/>
    </row>
    <row r="14" spans="1:13" ht="168" customHeight="1" x14ac:dyDescent="0.2">
      <c r="A14" s="79"/>
      <c r="B14" s="80"/>
      <c r="C14" s="81"/>
      <c r="F14" s="82"/>
      <c r="G14" s="82"/>
      <c r="H14" s="83"/>
    </row>
    <row r="15" spans="1:13" ht="18" x14ac:dyDescent="0.25">
      <c r="A15" s="70" t="s">
        <v>16</v>
      </c>
      <c r="B15" s="84"/>
      <c r="C15" s="76"/>
      <c r="H15" s="75"/>
    </row>
    <row r="16" spans="1:13" x14ac:dyDescent="0.2">
      <c r="A16" s="258" t="s">
        <v>17</v>
      </c>
      <c r="B16" s="259"/>
      <c r="C16" s="259"/>
      <c r="D16" s="260"/>
      <c r="E16" s="12">
        <f>'Supporting data_SI_units'!B9</f>
        <v>41.440591255504934</v>
      </c>
      <c r="F16" s="73" t="s">
        <v>18</v>
      </c>
      <c r="H16" s="75"/>
    </row>
    <row r="17" spans="1:14" x14ac:dyDescent="0.2">
      <c r="A17" s="261" t="s">
        <v>19</v>
      </c>
      <c r="B17" s="262"/>
      <c r="C17" s="262"/>
      <c r="D17" s="263"/>
      <c r="E17" s="85">
        <f>'Supporting data_SI_units'!D7</f>
        <v>0</v>
      </c>
      <c r="F17" s="73" t="s">
        <v>18</v>
      </c>
      <c r="H17" s="75"/>
    </row>
    <row r="18" spans="1:14" ht="13.5" thickBot="1" x14ac:dyDescent="0.25">
      <c r="A18" s="261" t="s">
        <v>20</v>
      </c>
      <c r="B18" s="262"/>
      <c r="C18" s="262"/>
      <c r="D18" s="263"/>
      <c r="E18" s="85">
        <f>'Supporting data_SI_units'!D71</f>
        <v>9.4016274569281446</v>
      </c>
      <c r="F18" s="73" t="s">
        <v>18</v>
      </c>
      <c r="H18" s="75"/>
    </row>
    <row r="19" spans="1:14" ht="13.5" thickBot="1" x14ac:dyDescent="0.25">
      <c r="A19" s="264" t="s">
        <v>21</v>
      </c>
      <c r="B19" s="265"/>
      <c r="C19" s="265"/>
      <c r="D19" s="266"/>
      <c r="E19" s="66">
        <f>E16+E17+E18</f>
        <v>50.84221871243308</v>
      </c>
      <c r="F19" s="73" t="s">
        <v>18</v>
      </c>
      <c r="H19" s="75"/>
    </row>
    <row r="20" spans="1:14" ht="13.5" thickBot="1" x14ac:dyDescent="0.25">
      <c r="A20" s="267" t="s">
        <v>22</v>
      </c>
      <c r="B20" s="252"/>
      <c r="C20" s="86">
        <f>E19/100*E10</f>
        <v>1928.4453557625868</v>
      </c>
      <c r="D20" s="75" t="s">
        <v>36</v>
      </c>
      <c r="E20" s="251" t="s">
        <v>23</v>
      </c>
      <c r="F20" s="252"/>
      <c r="G20" s="86">
        <f>E19/100*G10</f>
        <v>1789.8661692213414</v>
      </c>
      <c r="H20" s="75" t="s">
        <v>36</v>
      </c>
      <c r="J20" s="108"/>
      <c r="M20" s="108"/>
    </row>
    <row r="21" spans="1:14" ht="6.75" customHeight="1" x14ac:dyDescent="0.2">
      <c r="A21" s="164"/>
      <c r="B21" s="165"/>
      <c r="C21" s="108"/>
      <c r="E21" s="165"/>
      <c r="F21" s="165"/>
      <c r="G21" s="108"/>
      <c r="H21" s="75"/>
      <c r="J21" s="108"/>
      <c r="M21" s="108"/>
    </row>
    <row r="22" spans="1:14" x14ac:dyDescent="0.2">
      <c r="A22" s="223" t="s">
        <v>88</v>
      </c>
      <c r="B22" s="224"/>
      <c r="C22" s="268"/>
      <c r="D22" s="224"/>
      <c r="E22" s="154">
        <f>(0.3+0.3*(E19/100-0.3))*100</f>
        <v>36.252665613729924</v>
      </c>
      <c r="F22" s="145" t="s">
        <v>18</v>
      </c>
      <c r="H22" s="75"/>
      <c r="J22" s="108"/>
      <c r="M22" s="108"/>
    </row>
    <row r="23" spans="1:14" ht="15.75" x14ac:dyDescent="0.3">
      <c r="A23" s="231" t="s">
        <v>86</v>
      </c>
      <c r="B23" s="269"/>
      <c r="C23" s="95">
        <f>E22/100*E10</f>
        <v>1375.063606728776</v>
      </c>
      <c r="D23" s="75" t="s">
        <v>36</v>
      </c>
      <c r="E23" s="231" t="s">
        <v>87</v>
      </c>
      <c r="F23" s="269"/>
      <c r="G23" s="95">
        <f>E22/100*G10</f>
        <v>1276.2507492664024</v>
      </c>
      <c r="H23" s="75" t="s">
        <v>36</v>
      </c>
      <c r="J23" s="108"/>
      <c r="M23" s="108"/>
    </row>
    <row r="24" spans="1:14" x14ac:dyDescent="0.2">
      <c r="A24" s="87"/>
      <c r="B24" s="81"/>
      <c r="E24" s="108"/>
      <c r="H24" s="75"/>
    </row>
    <row r="25" spans="1:14" x14ac:dyDescent="0.2">
      <c r="A25" s="258" t="s">
        <v>24</v>
      </c>
      <c r="B25" s="259"/>
      <c r="C25" s="259"/>
      <c r="D25" s="260"/>
      <c r="E25" s="88">
        <f>'Supporting data_SI_units'!G47</f>
        <v>120</v>
      </c>
      <c r="F25" s="73" t="s">
        <v>18</v>
      </c>
      <c r="H25" s="75"/>
    </row>
    <row r="26" spans="1:14" ht="13.5" thickBot="1" x14ac:dyDescent="0.25">
      <c r="A26" s="261" t="s">
        <v>25</v>
      </c>
      <c r="B26" s="262"/>
      <c r="C26" s="262"/>
      <c r="D26" s="263"/>
      <c r="E26" s="89">
        <f>'Supporting data_SI_units'!G48</f>
        <v>0</v>
      </c>
      <c r="F26" s="73" t="s">
        <v>18</v>
      </c>
      <c r="H26" s="75"/>
    </row>
    <row r="27" spans="1:14" ht="13.5" thickBot="1" x14ac:dyDescent="0.25">
      <c r="A27" s="264" t="s">
        <v>26</v>
      </c>
      <c r="B27" s="265"/>
      <c r="C27" s="265"/>
      <c r="D27" s="266"/>
      <c r="E27" s="90">
        <f>'Supporting data_SI_units'!G49</f>
        <v>120</v>
      </c>
      <c r="F27" s="73" t="s">
        <v>18</v>
      </c>
      <c r="H27" s="75"/>
    </row>
    <row r="28" spans="1:14" ht="13.5" thickBot="1" x14ac:dyDescent="0.25">
      <c r="A28" s="74"/>
      <c r="D28" s="75"/>
      <c r="E28" s="91"/>
      <c r="H28" s="75"/>
    </row>
    <row r="29" spans="1:14" ht="13.5" thickBot="1" x14ac:dyDescent="0.25">
      <c r="A29" s="264" t="s">
        <v>27</v>
      </c>
      <c r="B29" s="265"/>
      <c r="C29" s="265"/>
      <c r="D29" s="265"/>
      <c r="E29" s="92">
        <f>'Supporting data_SI_units'!I49</f>
        <v>150</v>
      </c>
      <c r="F29" s="73" t="s">
        <v>18</v>
      </c>
      <c r="H29" s="75"/>
    </row>
    <row r="30" spans="1:14" x14ac:dyDescent="0.2">
      <c r="A30" s="74"/>
      <c r="E30" s="93"/>
      <c r="H30" s="75"/>
    </row>
    <row r="31" spans="1:14" x14ac:dyDescent="0.2">
      <c r="A31" s="270" t="s">
        <v>28</v>
      </c>
      <c r="B31" s="260"/>
      <c r="C31" s="95">
        <f>J31/51.64</f>
        <v>45.691574672161238</v>
      </c>
      <c r="D31" s="73" t="s">
        <v>38</v>
      </c>
      <c r="E31" s="270" t="s">
        <v>30</v>
      </c>
      <c r="F31" s="260"/>
      <c r="G31" s="95">
        <f>M31/51.64</f>
        <v>45.691574672161238</v>
      </c>
      <c r="H31" s="75" t="s">
        <v>38</v>
      </c>
      <c r="J31" s="13">
        <f>E8*J10^0.5/Input_Output_SI_units!J9^0.75</f>
        <v>2359.5129160704064</v>
      </c>
      <c r="K31" s="94" t="s">
        <v>29</v>
      </c>
      <c r="M31" s="13">
        <f>E8*(J10/'Supporting data_SI_units'!D37)^0.5/Input_Output_SI_units!J9^0.75</f>
        <v>2359.5129160704064</v>
      </c>
      <c r="N31" s="94" t="s">
        <v>29</v>
      </c>
    </row>
    <row r="32" spans="1:14" x14ac:dyDescent="0.2">
      <c r="A32" s="270" t="s">
        <v>31</v>
      </c>
      <c r="B32" s="260"/>
      <c r="C32" s="95">
        <f>J32/51.64</f>
        <v>310.61382276870114</v>
      </c>
      <c r="D32" s="73" t="s">
        <v>38</v>
      </c>
      <c r="H32" s="75"/>
      <c r="J32" s="45">
        <f>E8*(J10/'Supporting data_SI_units'!D37)^0.5/Input_Output_SI_units!J12^0.75</f>
        <v>16040.097807775728</v>
      </c>
      <c r="K32" s="73" t="s">
        <v>29</v>
      </c>
    </row>
    <row r="33" spans="1:8" x14ac:dyDescent="0.2">
      <c r="A33" s="96" t="s">
        <v>32</v>
      </c>
      <c r="B33" s="71"/>
      <c r="C33" s="71"/>
      <c r="D33" s="71"/>
      <c r="E33" s="71"/>
      <c r="F33" s="71"/>
      <c r="G33" s="71"/>
      <c r="H33" s="72"/>
    </row>
    <row r="34" spans="1:8" ht="41.25" customHeight="1" x14ac:dyDescent="0.2">
      <c r="A34" s="271" t="s">
        <v>33</v>
      </c>
      <c r="B34" s="272"/>
      <c r="C34" s="272"/>
      <c r="D34" s="272"/>
      <c r="E34" s="272"/>
      <c r="F34" s="272"/>
      <c r="G34" s="272"/>
      <c r="H34" s="273"/>
    </row>
    <row r="35" spans="1:8" ht="13.5" customHeight="1" x14ac:dyDescent="0.2">
      <c r="A35" s="82"/>
      <c r="B35" s="82"/>
      <c r="C35" s="82"/>
      <c r="D35" s="82"/>
      <c r="E35" s="82"/>
      <c r="F35" s="82"/>
      <c r="G35" s="82"/>
      <c r="H35" s="82"/>
    </row>
  </sheetData>
  <sheetProtection sheet="1" objects="1" scenarios="1"/>
  <mergeCells count="29">
    <mergeCell ref="A22:D22"/>
    <mergeCell ref="A23:B23"/>
    <mergeCell ref="E23:F23"/>
    <mergeCell ref="A32:B32"/>
    <mergeCell ref="A34:H34"/>
    <mergeCell ref="A25:D25"/>
    <mergeCell ref="A26:D26"/>
    <mergeCell ref="A27:D27"/>
    <mergeCell ref="A29:D29"/>
    <mergeCell ref="A31:B31"/>
    <mergeCell ref="E31:F31"/>
    <mergeCell ref="E20:F20"/>
    <mergeCell ref="B9:D9"/>
    <mergeCell ref="B10:D10"/>
    <mergeCell ref="B11:D11"/>
    <mergeCell ref="B12:D12"/>
    <mergeCell ref="A13:B13"/>
    <mergeCell ref="F13:H13"/>
    <mergeCell ref="A16:D16"/>
    <mergeCell ref="A17:D17"/>
    <mergeCell ref="A18:D18"/>
    <mergeCell ref="A19:D19"/>
    <mergeCell ref="A20:B20"/>
    <mergeCell ref="B8:D8"/>
    <mergeCell ref="B1:H1"/>
    <mergeCell ref="E3:H3"/>
    <mergeCell ref="E4:H4"/>
    <mergeCell ref="E5:H5"/>
    <mergeCell ref="B7:D7"/>
  </mergeCells>
  <pageMargins left="0.8" right="0.5" top="0.5" bottom="0.75" header="0.5" footer="0.5"/>
  <pageSetup scale="90" orientation="portrait" r:id="rId1"/>
  <headerFooter alignWithMargins="0">
    <oddFooter>&amp;L&amp;F&amp;R&amp;D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1745" r:id="rId4" name="Check Box 1">
              <controlPr defaultSize="0" autoFill="0" autoLine="0" autoPict="0">
                <anchor moveWithCells="1">
                  <from>
                    <xdr:col>5</xdr:col>
                    <xdr:colOff>1009650</xdr:colOff>
                    <xdr:row>6</xdr:row>
                    <xdr:rowOff>142875</xdr:rowOff>
                  </from>
                  <to>
                    <xdr:col>7</xdr:col>
                    <xdr:colOff>704850</xdr:colOff>
                    <xdr:row>8</xdr:row>
                    <xdr:rowOff>66675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R71"/>
  <sheetViews>
    <sheetView zoomScale="110" zoomScaleNormal="110" workbookViewId="0">
      <selection activeCell="D67" sqref="D67"/>
    </sheetView>
  </sheetViews>
  <sheetFormatPr defaultRowHeight="12.75" x14ac:dyDescent="0.2"/>
  <cols>
    <col min="1" max="1" width="17.5703125" customWidth="1"/>
    <col min="2" max="2" width="10" bestFit="1" customWidth="1"/>
    <col min="4" max="4" width="12.7109375" bestFit="1" customWidth="1"/>
    <col min="5" max="5" width="25.28515625" customWidth="1"/>
    <col min="6" max="6" width="15.42578125" customWidth="1"/>
    <col min="7" max="7" width="11" customWidth="1"/>
  </cols>
  <sheetData>
    <row r="1" spans="1:18" ht="13.5" thickBot="1" x14ac:dyDescent="0.25">
      <c r="A1" s="30"/>
      <c r="B1" s="30"/>
      <c r="C1" s="30"/>
      <c r="D1" s="30"/>
      <c r="F1" s="25"/>
      <c r="G1" s="26"/>
      <c r="H1" s="26"/>
      <c r="I1" s="26"/>
      <c r="J1" s="26"/>
      <c r="K1" s="26"/>
      <c r="L1" s="22"/>
    </row>
    <row r="2" spans="1:18" x14ac:dyDescent="0.2">
      <c r="F2" s="27"/>
      <c r="L2" s="28"/>
    </row>
    <row r="3" spans="1:18" ht="13.5" thickBot="1" x14ac:dyDescent="0.25">
      <c r="F3" s="29"/>
      <c r="L3" s="28"/>
    </row>
    <row r="4" spans="1:18" ht="13.5" thickBot="1" x14ac:dyDescent="0.25">
      <c r="A4" s="25" t="s">
        <v>39</v>
      </c>
      <c r="B4" s="26"/>
      <c r="C4" s="22"/>
      <c r="F4" s="115"/>
      <c r="H4" s="97"/>
      <c r="L4" s="28"/>
    </row>
    <row r="5" spans="1:18" ht="13.5" thickBot="1" x14ac:dyDescent="0.25">
      <c r="A5" t="s">
        <v>40</v>
      </c>
      <c r="B5" s="35">
        <f>Input_Output_US_units!$C$31</f>
        <v>2359.3784492248519</v>
      </c>
      <c r="D5" s="34">
        <f>0.00000000011733*B5^3+0.000000180577282*B5^2+0.000123889879549*B5+25.07</f>
        <v>27.908514010543012</v>
      </c>
      <c r="E5" t="s">
        <v>41</v>
      </c>
      <c r="F5" s="47"/>
      <c r="G5" s="21" t="s">
        <v>42</v>
      </c>
      <c r="H5" s="23">
        <v>1</v>
      </c>
      <c r="I5" s="23">
        <v>10</v>
      </c>
      <c r="J5" s="116">
        <v>100</v>
      </c>
      <c r="K5" s="117">
        <v>1000</v>
      </c>
      <c r="L5" s="118">
        <v>10000</v>
      </c>
      <c r="M5" s="59"/>
      <c r="N5" s="119"/>
      <c r="O5" s="60"/>
      <c r="P5" s="56"/>
      <c r="Q5" s="56"/>
      <c r="R5" s="57"/>
    </row>
    <row r="6" spans="1:18" ht="13.5" thickBot="1" x14ac:dyDescent="0.25">
      <c r="A6" s="97" t="s">
        <v>43</v>
      </c>
      <c r="B6" s="33">
        <f>Input_Output_US_units!Suction_Diameter</f>
        <v>3800</v>
      </c>
      <c r="C6" t="s">
        <v>14</v>
      </c>
      <c r="D6" s="37">
        <f>(B6/1.4)^0.05</f>
        <v>1.4848506658111571</v>
      </c>
      <c r="E6" t="s">
        <v>44</v>
      </c>
      <c r="F6" s="54">
        <v>200</v>
      </c>
      <c r="G6" s="34">
        <f>0.00000000011733*F6^3+0.000000180577282*F6^2+0.000123889879549*F6+25.07</f>
        <v>25.102939707189801</v>
      </c>
      <c r="H6" s="39">
        <f>$G6*(H$5/1.4)^0.05</f>
        <v>24.684150246984682</v>
      </c>
      <c r="I6" s="40">
        <f>$G6*(I$5/1.4)^0.05</f>
        <v>27.696072105879182</v>
      </c>
      <c r="J6" s="40">
        <f>$G6*(J$5/1.4)^0.05</f>
        <v>31.075504014474287</v>
      </c>
      <c r="K6" s="40">
        <f>$G6*(K$5/1.4)^0.05</f>
        <v>34.867288980974898</v>
      </c>
      <c r="L6" s="40">
        <f>$G6*(L$5/1.4)^0.05</f>
        <v>39.121741688133334</v>
      </c>
      <c r="M6" s="27"/>
      <c r="N6" s="15">
        <f>IF(H6&gt;75,75,H6)</f>
        <v>24.684150246984682</v>
      </c>
      <c r="O6" s="15">
        <f t="shared" ref="O6:R12" si="0">IF(I6&gt;75,75,I6)</f>
        <v>27.696072105879182</v>
      </c>
      <c r="P6" s="15">
        <f t="shared" si="0"/>
        <v>31.075504014474287</v>
      </c>
      <c r="Q6" s="15">
        <f t="shared" si="0"/>
        <v>34.867288980974898</v>
      </c>
      <c r="R6" s="61">
        <f t="shared" si="0"/>
        <v>39.121741688133334</v>
      </c>
    </row>
    <row r="7" spans="1:18" ht="13.5" thickBot="1" x14ac:dyDescent="0.25">
      <c r="A7" t="s">
        <v>45</v>
      </c>
      <c r="B7" s="36">
        <f>Input_Output_US_units!$E$8</f>
        <v>3000</v>
      </c>
      <c r="C7" t="s">
        <v>7</v>
      </c>
      <c r="D7" s="47">
        <f>IF(B7&gt;3600,15/(6000-3600)*(B7-3600),0)</f>
        <v>0</v>
      </c>
      <c r="E7" t="s">
        <v>46</v>
      </c>
      <c r="F7" s="54">
        <v>500</v>
      </c>
      <c r="G7" s="34">
        <f t="shared" ref="G7:G13" si="1">0.00000000011733*F7^3+0.000000180577282*F7^2+0.000123889879549*F7+25.07</f>
        <v>25.191755510274501</v>
      </c>
      <c r="H7" s="41">
        <f t="shared" ref="H7:L13" si="2">$G7*(H$5/1.4)^0.05</f>
        <v>24.771484346226512</v>
      </c>
      <c r="I7" s="38">
        <f t="shared" si="2"/>
        <v>27.79406257691835</v>
      </c>
      <c r="J7" s="38">
        <f t="shared" si="2"/>
        <v>31.185451131325976</v>
      </c>
      <c r="K7" s="38">
        <f t="shared" si="2"/>
        <v>34.990651675079789</v>
      </c>
      <c r="L7" s="38">
        <f t="shared" si="2"/>
        <v>39.260156907491428</v>
      </c>
      <c r="M7" s="27"/>
      <c r="N7" s="15">
        <f t="shared" ref="N7:N12" si="3">IF(H7&gt;75,75,H7)</f>
        <v>24.771484346226512</v>
      </c>
      <c r="O7" s="15">
        <f t="shared" si="0"/>
        <v>27.79406257691835</v>
      </c>
      <c r="P7" s="15">
        <f t="shared" si="0"/>
        <v>31.185451131325976</v>
      </c>
      <c r="Q7" s="15">
        <f t="shared" si="0"/>
        <v>34.990651675079789</v>
      </c>
      <c r="R7" s="61">
        <f t="shared" si="0"/>
        <v>39.260156907491428</v>
      </c>
    </row>
    <row r="8" spans="1:18" ht="13.5" thickBot="1" x14ac:dyDescent="0.25">
      <c r="A8" s="25" t="s">
        <v>47</v>
      </c>
      <c r="B8" s="49">
        <f>D5*D6</f>
        <v>41.4399756103548</v>
      </c>
      <c r="C8" s="26" t="s">
        <v>48</v>
      </c>
      <c r="D8" s="26"/>
      <c r="E8" s="22"/>
      <c r="F8" s="54">
        <v>1000</v>
      </c>
      <c r="G8" s="34">
        <f t="shared" si="1"/>
        <v>25.491797161549002</v>
      </c>
      <c r="H8" s="41">
        <f t="shared" si="2"/>
        <v>25.06652043709088</v>
      </c>
      <c r="I8" s="38">
        <f t="shared" si="2"/>
        <v>28.125098515553283</v>
      </c>
      <c r="J8" s="38">
        <f t="shared" si="2"/>
        <v>31.556879563511544</v>
      </c>
      <c r="K8" s="38">
        <f t="shared" si="2"/>
        <v>35.407401230444442</v>
      </c>
      <c r="L8" s="38">
        <f t="shared" si="2"/>
        <v>39.727757599432707</v>
      </c>
      <c r="M8" s="27"/>
      <c r="N8" s="15">
        <f t="shared" si="3"/>
        <v>25.06652043709088</v>
      </c>
      <c r="O8" s="15">
        <f t="shared" si="0"/>
        <v>28.125098515553283</v>
      </c>
      <c r="P8" s="15">
        <f t="shared" si="0"/>
        <v>31.556879563511544</v>
      </c>
      <c r="Q8" s="15">
        <f t="shared" si="0"/>
        <v>35.407401230444442</v>
      </c>
      <c r="R8" s="61">
        <f t="shared" si="0"/>
        <v>39.727757599432707</v>
      </c>
    </row>
    <row r="9" spans="1:18" ht="13.5" thickBot="1" x14ac:dyDescent="0.25">
      <c r="A9" s="25" t="s">
        <v>49</v>
      </c>
      <c r="B9" s="49">
        <f>IF(B8&gt;75,75,B8)</f>
        <v>41.4399756103548</v>
      </c>
      <c r="C9" s="51" t="s">
        <v>50</v>
      </c>
      <c r="D9" s="26"/>
      <c r="E9" s="22"/>
      <c r="F9" s="54">
        <v>1500</v>
      </c>
      <c r="G9" s="34">
        <f t="shared" si="1"/>
        <v>26.058122453823501</v>
      </c>
      <c r="H9" s="41">
        <f t="shared" si="2"/>
        <v>25.623397789553604</v>
      </c>
      <c r="I9" s="38">
        <f t="shared" si="2"/>
        <v>28.749925181799277</v>
      </c>
      <c r="J9" s="38">
        <f t="shared" si="2"/>
        <v>32.257946613779524</v>
      </c>
      <c r="K9" s="38">
        <f t="shared" si="2"/>
        <v>36.194011398548156</v>
      </c>
      <c r="L9" s="38">
        <f t="shared" si="2"/>
        <v>40.610348724386647</v>
      </c>
      <c r="M9" s="27"/>
      <c r="N9" s="15">
        <f t="shared" si="3"/>
        <v>25.623397789553604</v>
      </c>
      <c r="O9" s="15">
        <f t="shared" si="0"/>
        <v>28.749925181799277</v>
      </c>
      <c r="P9" s="15">
        <f t="shared" si="0"/>
        <v>32.257946613779524</v>
      </c>
      <c r="Q9" s="15">
        <f t="shared" si="0"/>
        <v>36.194011398548156</v>
      </c>
      <c r="R9" s="61">
        <f t="shared" si="0"/>
        <v>40.610348724386647</v>
      </c>
    </row>
    <row r="10" spans="1:18" ht="13.5" thickBot="1" x14ac:dyDescent="0.25">
      <c r="A10" s="50" t="s">
        <v>47</v>
      </c>
      <c r="B10" s="49">
        <f>B9+D7</f>
        <v>41.4399756103548</v>
      </c>
      <c r="C10" s="51" t="s">
        <v>51</v>
      </c>
      <c r="D10" s="26"/>
      <c r="E10" s="22"/>
      <c r="F10" s="54">
        <v>2000</v>
      </c>
      <c r="G10" s="34">
        <f t="shared" si="1"/>
        <v>26.978728887098001</v>
      </c>
      <c r="H10" s="41">
        <f t="shared" si="2"/>
        <v>26.528645851428198</v>
      </c>
      <c r="I10" s="38">
        <f t="shared" si="2"/>
        <v>29.765630212943659</v>
      </c>
      <c r="J10" s="38">
        <f t="shared" si="2"/>
        <v>33.39758640285087</v>
      </c>
      <c r="K10" s="38">
        <f t="shared" si="2"/>
        <v>37.472708273143006</v>
      </c>
      <c r="L10" s="38">
        <f t="shared" si="2"/>
        <v>42.045070215140314</v>
      </c>
      <c r="M10" s="27"/>
      <c r="N10" s="15">
        <f t="shared" si="3"/>
        <v>26.528645851428198</v>
      </c>
      <c r="O10" s="15">
        <f t="shared" si="0"/>
        <v>29.765630212943659</v>
      </c>
      <c r="P10" s="15">
        <f t="shared" si="0"/>
        <v>33.39758640285087</v>
      </c>
      <c r="Q10" s="15">
        <f t="shared" si="0"/>
        <v>37.472708273143006</v>
      </c>
      <c r="R10" s="61">
        <f t="shared" si="0"/>
        <v>42.045070215140314</v>
      </c>
    </row>
    <row r="11" spans="1:18" ht="13.5" thickBot="1" x14ac:dyDescent="0.25">
      <c r="A11" s="1"/>
      <c r="B11" s="52"/>
      <c r="C11" s="11"/>
      <c r="D11" s="120"/>
      <c r="E11" s="113"/>
      <c r="F11" s="54">
        <v>3000</v>
      </c>
      <c r="G11" s="34">
        <f t="shared" si="1"/>
        <v>30.234775176646998</v>
      </c>
      <c r="H11" s="41">
        <f t="shared" si="2"/>
        <v>29.730371894667059</v>
      </c>
      <c r="I11" s="38">
        <f t="shared" si="2"/>
        <v>33.358025919076866</v>
      </c>
      <c r="J11" s="38">
        <f t="shared" si="2"/>
        <v>37.428320680287463</v>
      </c>
      <c r="K11" s="38">
        <f t="shared" si="2"/>
        <v>41.995266516814354</v>
      </c>
      <c r="L11" s="38">
        <f t="shared" si="2"/>
        <v>47.119464025195036</v>
      </c>
      <c r="M11" s="27"/>
      <c r="N11" s="15">
        <f t="shared" si="3"/>
        <v>29.730371894667059</v>
      </c>
      <c r="O11" s="15">
        <f t="shared" si="0"/>
        <v>33.358025919076866</v>
      </c>
      <c r="P11" s="15">
        <f t="shared" si="0"/>
        <v>37.428320680287463</v>
      </c>
      <c r="Q11" s="15">
        <f t="shared" si="0"/>
        <v>41.995266516814354</v>
      </c>
      <c r="R11" s="61">
        <f t="shared" si="0"/>
        <v>47.119464025195036</v>
      </c>
    </row>
    <row r="12" spans="1:18" ht="13.5" thickBot="1" x14ac:dyDescent="0.25">
      <c r="A12" s="97"/>
      <c r="C12" s="31"/>
      <c r="F12" s="121">
        <v>4000</v>
      </c>
      <c r="G12" s="34">
        <f t="shared" si="1"/>
        <v>35.963916030196003</v>
      </c>
      <c r="H12" s="41">
        <f t="shared" si="2"/>
        <v>35.363934149315568</v>
      </c>
      <c r="I12" s="38">
        <f t="shared" si="2"/>
        <v>39.678986732251467</v>
      </c>
      <c r="J12" s="38">
        <f t="shared" si="2"/>
        <v>44.520555361588912</v>
      </c>
      <c r="K12" s="38">
        <f t="shared" si="2"/>
        <v>49.952884711474987</v>
      </c>
      <c r="L12" s="38">
        <f t="shared" si="2"/>
        <v>56.048058491893336</v>
      </c>
      <c r="M12" s="27"/>
      <c r="N12" s="15">
        <f t="shared" si="3"/>
        <v>35.363934149315568</v>
      </c>
      <c r="O12" s="15">
        <f t="shared" si="0"/>
        <v>39.678986732251467</v>
      </c>
      <c r="P12" s="15">
        <f t="shared" si="0"/>
        <v>44.520555361588912</v>
      </c>
      <c r="Q12" s="15">
        <f t="shared" si="0"/>
        <v>49.952884711474987</v>
      </c>
      <c r="R12" s="61">
        <f t="shared" si="0"/>
        <v>56.048058491893336</v>
      </c>
    </row>
    <row r="13" spans="1:18" ht="13.5" thickBot="1" x14ac:dyDescent="0.25">
      <c r="A13" s="113"/>
      <c r="B13" s="52"/>
      <c r="C13" s="11"/>
      <c r="D13" s="48"/>
      <c r="E13" s="11"/>
      <c r="F13" s="121">
        <v>4500</v>
      </c>
      <c r="G13" s="34">
        <f t="shared" si="1"/>
        <v>39.975890668470498</v>
      </c>
      <c r="H13" s="41">
        <f t="shared" si="2"/>
        <v>39.30897747545221</v>
      </c>
      <c r="I13" s="38">
        <f t="shared" si="2"/>
        <v>44.105398147197583</v>
      </c>
      <c r="J13" s="38">
        <f t="shared" si="2"/>
        <v>49.487070655491316</v>
      </c>
      <c r="K13" s="38">
        <f t="shared" si="2"/>
        <v>55.525406524806421</v>
      </c>
      <c r="L13" s="38">
        <f t="shared" si="2"/>
        <v>62.300530803451451</v>
      </c>
      <c r="M13" s="27"/>
      <c r="N13" s="15">
        <f t="shared" ref="N13:N25" si="4">IF(H13&gt;75,75,H13)</f>
        <v>39.30897747545221</v>
      </c>
      <c r="O13" s="15">
        <f t="shared" ref="O13:O25" si="5">IF(I13&gt;75,75,I13)</f>
        <v>44.105398147197583</v>
      </c>
      <c r="P13" s="15">
        <f t="shared" ref="P13:P25" si="6">IF(J13&gt;75,75,J13)</f>
        <v>49.487070655491316</v>
      </c>
      <c r="Q13" s="15">
        <f t="shared" ref="Q13:Q25" si="7">IF(K13&gt;75,75,K13)</f>
        <v>55.525406524806421</v>
      </c>
      <c r="R13" s="61">
        <f t="shared" ref="R13:R25" si="8">IF(L13&gt;75,75,L13)</f>
        <v>62.300530803451451</v>
      </c>
    </row>
    <row r="14" spans="1:18" ht="13.5" thickBot="1" x14ac:dyDescent="0.25">
      <c r="A14" s="113"/>
      <c r="B14" s="68"/>
      <c r="C14" s="11"/>
      <c r="D14" s="48"/>
      <c r="E14" s="11"/>
      <c r="F14" s="121">
        <v>5000</v>
      </c>
      <c r="G14" s="34">
        <f t="shared" ref="G14:G25" si="9">0.00000000011733*F14^3+0.000000180577282*F14^2+0.000123889879549*F14+25.07</f>
        <v>44.870131447745003</v>
      </c>
      <c r="H14" s="41">
        <f t="shared" ref="H14:L22" si="10">$G14*(H$5/1.4)^0.05</f>
        <v>44.121568197881807</v>
      </c>
      <c r="I14" s="38">
        <f t="shared" si="10"/>
        <v>49.505213750766011</v>
      </c>
      <c r="J14" s="38">
        <f t="shared" si="10"/>
        <v>55.545763412522788</v>
      </c>
      <c r="K14" s="38">
        <f t="shared" si="10"/>
        <v>62.323371607141375</v>
      </c>
      <c r="L14" s="38">
        <f t="shared" si="10"/>
        <v>69.927973077531632</v>
      </c>
      <c r="M14" s="27"/>
      <c r="N14" s="15">
        <f t="shared" si="4"/>
        <v>44.121568197881807</v>
      </c>
      <c r="O14" s="15">
        <f t="shared" si="5"/>
        <v>49.505213750766011</v>
      </c>
      <c r="P14" s="15">
        <f t="shared" si="6"/>
        <v>55.545763412522788</v>
      </c>
      <c r="Q14" s="15">
        <f t="shared" si="7"/>
        <v>62.323371607141375</v>
      </c>
      <c r="R14" s="61">
        <f t="shared" si="8"/>
        <v>69.927973077531632</v>
      </c>
    </row>
    <row r="15" spans="1:18" ht="13.5" thickBot="1" x14ac:dyDescent="0.25">
      <c r="A15" s="69"/>
      <c r="B15" s="52"/>
      <c r="C15" s="11"/>
      <c r="D15" s="48"/>
      <c r="E15" s="11"/>
      <c r="F15" s="121">
        <v>5250</v>
      </c>
      <c r="G15" s="34">
        <f t="shared" si="9"/>
        <v>47.675600859007247</v>
      </c>
      <c r="H15" s="41">
        <f t="shared" si="10"/>
        <v>46.880234285148184</v>
      </c>
      <c r="I15" s="38">
        <f t="shared" si="10"/>
        <v>52.600488009935866</v>
      </c>
      <c r="J15" s="38">
        <f t="shared" si="10"/>
        <v>59.01871825243721</v>
      </c>
      <c r="K15" s="38">
        <f t="shared" si="10"/>
        <v>66.220091028482685</v>
      </c>
      <c r="L15" s="38">
        <f t="shared" si="10"/>
        <v>74.300164179513445</v>
      </c>
      <c r="M15" s="27"/>
      <c r="N15" s="15">
        <f t="shared" si="4"/>
        <v>46.880234285148184</v>
      </c>
      <c r="O15" s="15">
        <f t="shared" si="5"/>
        <v>52.600488009935866</v>
      </c>
      <c r="P15" s="15">
        <f t="shared" si="6"/>
        <v>59.01871825243721</v>
      </c>
      <c r="Q15" s="15">
        <f t="shared" si="7"/>
        <v>66.220091028482685</v>
      </c>
      <c r="R15" s="61">
        <f t="shared" si="8"/>
        <v>74.300164179513445</v>
      </c>
    </row>
    <row r="16" spans="1:18" ht="13.5" thickBot="1" x14ac:dyDescent="0.25">
      <c r="A16" s="69"/>
      <c r="B16" s="52"/>
      <c r="C16" s="53"/>
      <c r="D16" s="48"/>
      <c r="E16" s="11"/>
      <c r="F16" s="121">
        <v>5500</v>
      </c>
      <c r="G16" s="34">
        <f t="shared" si="9"/>
        <v>50.734635868019495</v>
      </c>
      <c r="H16" s="41">
        <f t="shared" si="10"/>
        <v>49.888235764417857</v>
      </c>
      <c r="I16" s="38">
        <f t="shared" si="10"/>
        <v>55.975521180244051</v>
      </c>
      <c r="J16" s="38">
        <f t="shared" si="10"/>
        <v>62.805567753404254</v>
      </c>
      <c r="K16" s="38">
        <f t="shared" si="10"/>
        <v>70.46900605223189</v>
      </c>
      <c r="L16" s="38">
        <f t="shared" si="10"/>
        <v>79.067525246920908</v>
      </c>
      <c r="M16" s="27"/>
      <c r="N16" s="15">
        <f t="shared" si="4"/>
        <v>49.888235764417857</v>
      </c>
      <c r="O16" s="15">
        <f t="shared" si="5"/>
        <v>55.975521180244051</v>
      </c>
      <c r="P16" s="15">
        <f t="shared" si="6"/>
        <v>62.805567753404254</v>
      </c>
      <c r="Q16" s="15">
        <f t="shared" si="7"/>
        <v>70.46900605223189</v>
      </c>
      <c r="R16" s="61">
        <f t="shared" si="8"/>
        <v>75</v>
      </c>
    </row>
    <row r="17" spans="1:18" ht="15" thickBot="1" x14ac:dyDescent="0.25">
      <c r="A17" s="69" t="s">
        <v>52</v>
      </c>
      <c r="B17" s="52"/>
      <c r="C17" s="53"/>
      <c r="D17" s="48"/>
      <c r="E17" s="11"/>
      <c r="F17" s="121">
        <v>5750</v>
      </c>
      <c r="G17" s="34">
        <f t="shared" si="9"/>
        <v>54.058236162281744</v>
      </c>
      <c r="H17" s="41">
        <f t="shared" si="10"/>
        <v>53.15638881666753</v>
      </c>
      <c r="I17" s="38">
        <f t="shared" si="10"/>
        <v>59.642449216351473</v>
      </c>
      <c r="J17" s="38">
        <f t="shared" si="10"/>
        <v>66.919928680514033</v>
      </c>
      <c r="K17" s="38">
        <f t="shared" si="10"/>
        <v>75.085394940108003</v>
      </c>
      <c r="L17" s="38">
        <f t="shared" si="10"/>
        <v>84.24719877135243</v>
      </c>
      <c r="M17" s="27"/>
      <c r="N17" s="15">
        <f t="shared" si="4"/>
        <v>53.15638881666753</v>
      </c>
      <c r="O17" s="15">
        <f t="shared" si="5"/>
        <v>59.642449216351473</v>
      </c>
      <c r="P17" s="15">
        <f t="shared" si="6"/>
        <v>66.919928680514033</v>
      </c>
      <c r="Q17" s="15">
        <f t="shared" si="7"/>
        <v>75</v>
      </c>
      <c r="R17" s="61">
        <f t="shared" si="8"/>
        <v>75</v>
      </c>
    </row>
    <row r="18" spans="1:18" ht="13.5" thickBot="1" x14ac:dyDescent="0.25">
      <c r="A18" s="113"/>
      <c r="B18" s="52"/>
      <c r="C18" s="53"/>
      <c r="D18" s="48"/>
      <c r="E18" s="11"/>
      <c r="F18" s="121">
        <v>6000</v>
      </c>
      <c r="G18" s="34">
        <f t="shared" si="9"/>
        <v>57.657401429293998</v>
      </c>
      <c r="H18" s="41">
        <f t="shared" si="10"/>
        <v>56.695509622873892</v>
      </c>
      <c r="I18" s="38">
        <f t="shared" si="10"/>
        <v>63.61340807291905</v>
      </c>
      <c r="J18" s="38">
        <f t="shared" si="10"/>
        <v>71.375417798856688</v>
      </c>
      <c r="K18" s="38">
        <f t="shared" si="10"/>
        <v>80.084535953830027</v>
      </c>
      <c r="L18" s="38">
        <f t="shared" si="10"/>
        <v>89.856327244406373</v>
      </c>
      <c r="M18" s="27"/>
      <c r="N18" s="15">
        <f t="shared" si="4"/>
        <v>56.695509622873892</v>
      </c>
      <c r="O18" s="15">
        <f t="shared" si="5"/>
        <v>63.61340807291905</v>
      </c>
      <c r="P18" s="15">
        <f t="shared" si="6"/>
        <v>71.375417798856688</v>
      </c>
      <c r="Q18" s="15">
        <f t="shared" si="7"/>
        <v>75</v>
      </c>
      <c r="R18" s="61">
        <f t="shared" si="8"/>
        <v>75</v>
      </c>
    </row>
    <row r="19" spans="1:18" ht="13.5" thickBot="1" x14ac:dyDescent="0.25">
      <c r="A19" s="113"/>
      <c r="B19" s="52"/>
      <c r="C19" s="53"/>
      <c r="D19" s="48"/>
      <c r="E19" s="11"/>
      <c r="F19" s="121">
        <v>6250</v>
      </c>
      <c r="G19" s="34">
        <f t="shared" si="9"/>
        <v>61.543131356556252</v>
      </c>
      <c r="H19" s="41">
        <f t="shared" si="10"/>
        <v>60.516414364013627</v>
      </c>
      <c r="I19" s="38">
        <f t="shared" si="10"/>
        <v>67.900533704607696</v>
      </c>
      <c r="J19" s="38">
        <f t="shared" si="10"/>
        <v>76.185651873522303</v>
      </c>
      <c r="K19" s="38">
        <f t="shared" si="10"/>
        <v>85.481707355116995</v>
      </c>
      <c r="L19" s="38">
        <f t="shared" si="10"/>
        <v>95.912053157681129</v>
      </c>
      <c r="M19" s="27"/>
      <c r="N19" s="15">
        <f t="shared" si="4"/>
        <v>60.516414364013627</v>
      </c>
      <c r="O19" s="15">
        <f t="shared" si="5"/>
        <v>67.900533704607696</v>
      </c>
      <c r="P19" s="15">
        <f t="shared" si="6"/>
        <v>75</v>
      </c>
      <c r="Q19" s="15">
        <f t="shared" si="7"/>
        <v>75</v>
      </c>
      <c r="R19" s="61">
        <f t="shared" si="8"/>
        <v>75</v>
      </c>
    </row>
    <row r="20" spans="1:18" ht="13.5" thickBot="1" x14ac:dyDescent="0.25">
      <c r="A20" s="113"/>
      <c r="B20" s="52"/>
      <c r="C20" s="53"/>
      <c r="D20" s="48"/>
      <c r="E20" s="11"/>
      <c r="F20" s="121">
        <v>6500</v>
      </c>
      <c r="G20" s="34">
        <f t="shared" si="9"/>
        <v>65.726425631568503</v>
      </c>
      <c r="H20" s="41">
        <f t="shared" si="10"/>
        <v>64.629919221063417</v>
      </c>
      <c r="I20" s="38">
        <f t="shared" si="10"/>
        <v>72.515962066078316</v>
      </c>
      <c r="J20" s="38">
        <f t="shared" si="10"/>
        <v>81.364247669601028</v>
      </c>
      <c r="K20" s="38">
        <f t="shared" si="10"/>
        <v>91.292187405687869</v>
      </c>
      <c r="L20" s="38">
        <f t="shared" si="10"/>
        <v>102.43151900277506</v>
      </c>
      <c r="M20" s="27"/>
      <c r="N20" s="15">
        <f t="shared" si="4"/>
        <v>64.629919221063417</v>
      </c>
      <c r="O20" s="15">
        <f t="shared" si="5"/>
        <v>72.515962066078316</v>
      </c>
      <c r="P20" s="15">
        <f t="shared" si="6"/>
        <v>75</v>
      </c>
      <c r="Q20" s="15">
        <f t="shared" si="7"/>
        <v>75</v>
      </c>
      <c r="R20" s="61">
        <f t="shared" si="8"/>
        <v>75</v>
      </c>
    </row>
    <row r="21" spans="1:18" ht="13.5" thickBot="1" x14ac:dyDescent="0.25">
      <c r="A21" s="113"/>
      <c r="B21" s="52"/>
      <c r="C21" s="53"/>
      <c r="D21" s="48"/>
      <c r="E21" s="11"/>
      <c r="F21" s="121">
        <v>6750</v>
      </c>
      <c r="G21" s="34">
        <f t="shared" si="9"/>
        <v>70.218283941830748</v>
      </c>
      <c r="H21" s="41">
        <f t="shared" si="10"/>
        <v>69.046840374999945</v>
      </c>
      <c r="I21" s="38">
        <f t="shared" si="10"/>
        <v>77.471829111991838</v>
      </c>
      <c r="J21" s="38">
        <f t="shared" si="10"/>
        <v>86.924821952182938</v>
      </c>
      <c r="K21" s="38">
        <f t="shared" si="10"/>
        <v>97.531254367261681</v>
      </c>
      <c r="L21" s="38">
        <f t="shared" si="10"/>
        <v>109.43186727128656</v>
      </c>
      <c r="M21" s="27"/>
      <c r="N21" s="15">
        <f t="shared" si="4"/>
        <v>69.046840374999945</v>
      </c>
      <c r="O21" s="15">
        <f t="shared" si="5"/>
        <v>75</v>
      </c>
      <c r="P21" s="15">
        <f t="shared" si="6"/>
        <v>75</v>
      </c>
      <c r="Q21" s="15">
        <f t="shared" si="7"/>
        <v>75</v>
      </c>
      <c r="R21" s="61">
        <f t="shared" si="8"/>
        <v>75</v>
      </c>
    </row>
    <row r="22" spans="1:18" ht="13.5" thickBot="1" x14ac:dyDescent="0.25">
      <c r="A22" s="113"/>
      <c r="B22" s="52"/>
      <c r="C22" s="53"/>
      <c r="D22" s="48"/>
      <c r="E22" s="11"/>
      <c r="F22" s="121">
        <v>7000</v>
      </c>
      <c r="G22" s="34">
        <f t="shared" si="9"/>
        <v>75.029705974842997</v>
      </c>
      <c r="H22" s="41">
        <f t="shared" si="10"/>
        <v>73.777994006799929</v>
      </c>
      <c r="I22" s="38">
        <f t="shared" si="10"/>
        <v>82.780270797009166</v>
      </c>
      <c r="J22" s="38">
        <f t="shared" si="10"/>
        <v>92.880991486358198</v>
      </c>
      <c r="K22" s="38">
        <f t="shared" si="10"/>
        <v>104.21418650155745</v>
      </c>
      <c r="L22" s="38">
        <f t="shared" si="10"/>
        <v>116.93024045481403</v>
      </c>
      <c r="M22" s="27"/>
      <c r="N22" s="15">
        <f t="shared" si="4"/>
        <v>73.777994006799929</v>
      </c>
      <c r="O22" s="15">
        <f t="shared" si="5"/>
        <v>75</v>
      </c>
      <c r="P22" s="15">
        <f t="shared" si="6"/>
        <v>75</v>
      </c>
      <c r="Q22" s="15">
        <f t="shared" si="7"/>
        <v>75</v>
      </c>
      <c r="R22" s="61">
        <f t="shared" si="8"/>
        <v>75</v>
      </c>
    </row>
    <row r="23" spans="1:18" ht="13.5" thickBot="1" x14ac:dyDescent="0.25">
      <c r="A23" s="113"/>
      <c r="B23" s="52"/>
      <c r="C23" s="53"/>
      <c r="D23" s="48"/>
      <c r="E23" s="11"/>
      <c r="F23" s="121">
        <v>7250</v>
      </c>
      <c r="G23" s="34">
        <f t="shared" si="9"/>
        <v>80.17169141810524</v>
      </c>
      <c r="H23" s="41">
        <f t="shared" ref="H23:L24" si="11">$G23*(H$5/1.4)^0.05</f>
        <v>78.834196297440016</v>
      </c>
      <c r="I23" s="38">
        <f t="shared" si="11"/>
        <v>88.453423075791221</v>
      </c>
      <c r="J23" s="38">
        <f t="shared" si="11"/>
        <v>99.246373037216898</v>
      </c>
      <c r="K23" s="38">
        <f t="shared" si="11"/>
        <v>111.35626207029416</v>
      </c>
      <c r="L23" s="38">
        <f t="shared" si="11"/>
        <v>124.9437810449558</v>
      </c>
      <c r="M23" s="27"/>
      <c r="N23" s="15">
        <f t="shared" si="4"/>
        <v>75</v>
      </c>
      <c r="O23" s="15">
        <f t="shared" si="5"/>
        <v>75</v>
      </c>
      <c r="P23" s="15">
        <f t="shared" si="6"/>
        <v>75</v>
      </c>
      <c r="Q23" s="15">
        <f t="shared" si="7"/>
        <v>75</v>
      </c>
      <c r="R23" s="61">
        <f t="shared" si="8"/>
        <v>75</v>
      </c>
    </row>
    <row r="24" spans="1:18" ht="13.5" thickBot="1" x14ac:dyDescent="0.25">
      <c r="A24" s="113"/>
      <c r="B24" s="52"/>
      <c r="C24" s="53"/>
      <c r="D24" s="48"/>
      <c r="E24" s="11"/>
      <c r="F24" s="121">
        <v>7500</v>
      </c>
      <c r="G24" s="34">
        <f t="shared" si="9"/>
        <v>85.655239959117495</v>
      </c>
      <c r="H24" s="41">
        <f t="shared" si="11"/>
        <v>84.226263427896953</v>
      </c>
      <c r="I24" s="38">
        <f t="shared" si="11"/>
        <v>94.503421902998923</v>
      </c>
      <c r="J24" s="38">
        <f t="shared" si="11"/>
        <v>106.03458336984917</v>
      </c>
      <c r="K24" s="38">
        <f t="shared" si="11"/>
        <v>118.97275933519084</v>
      </c>
      <c r="L24" s="38">
        <f t="shared" si="11"/>
        <v>133.4896315333103</v>
      </c>
      <c r="M24" s="27"/>
      <c r="N24" s="15">
        <f t="shared" si="4"/>
        <v>75</v>
      </c>
      <c r="O24" s="15">
        <f t="shared" si="5"/>
        <v>75</v>
      </c>
      <c r="P24" s="15">
        <f t="shared" si="6"/>
        <v>75</v>
      </c>
      <c r="Q24" s="15">
        <f t="shared" si="7"/>
        <v>75</v>
      </c>
      <c r="R24" s="61">
        <f t="shared" si="8"/>
        <v>75</v>
      </c>
    </row>
    <row r="25" spans="1:18" ht="13.5" thickBot="1" x14ac:dyDescent="0.25">
      <c r="A25" s="1"/>
      <c r="B25" s="52"/>
      <c r="C25" s="11"/>
      <c r="F25" s="122">
        <v>12000</v>
      </c>
      <c r="G25" s="34">
        <f t="shared" si="9"/>
        <v>255.30604716258799</v>
      </c>
      <c r="H25" s="42">
        <f>$G25*(H$5/1.4)^0.05</f>
        <v>251.04680569822278</v>
      </c>
      <c r="I25" s="43">
        <f>$G25*(I$5/1.4)^0.05</f>
        <v>281.67914888696527</v>
      </c>
      <c r="J25" s="43">
        <f>$G25*(J$5/1.4)^0.05</f>
        <v>316.04920324324542</v>
      </c>
      <c r="K25" s="43">
        <f>$G25*(K$5/1.4)^0.05</f>
        <v>354.61303850635329</v>
      </c>
      <c r="L25" s="43">
        <f>$G25*(L$5/1.4)^0.05</f>
        <v>397.88237334022114</v>
      </c>
      <c r="M25" s="62"/>
      <c r="N25" s="63">
        <f t="shared" si="4"/>
        <v>75</v>
      </c>
      <c r="O25" s="63">
        <f t="shared" si="5"/>
        <v>75</v>
      </c>
      <c r="P25" s="63">
        <f t="shared" si="6"/>
        <v>75</v>
      </c>
      <c r="Q25" s="63">
        <f t="shared" si="7"/>
        <v>75</v>
      </c>
      <c r="R25" s="64">
        <f t="shared" si="8"/>
        <v>75</v>
      </c>
    </row>
    <row r="26" spans="1:18" ht="42.75" customHeight="1" thickBot="1" x14ac:dyDescent="0.25"/>
    <row r="27" spans="1:18" ht="13.5" thickBot="1" x14ac:dyDescent="0.25">
      <c r="F27" s="25" t="s">
        <v>53</v>
      </c>
      <c r="G27" s="26" t="s">
        <v>54</v>
      </c>
      <c r="H27" s="26"/>
      <c r="I27" s="22" t="s">
        <v>55</v>
      </c>
    </row>
    <row r="28" spans="1:18" x14ac:dyDescent="0.2">
      <c r="C28" s="3"/>
      <c r="D28" s="15"/>
      <c r="E28" s="97"/>
      <c r="F28" s="55">
        <v>200</v>
      </c>
      <c r="G28" s="56">
        <v>115</v>
      </c>
      <c r="H28" s="56"/>
      <c r="I28" s="57">
        <v>120</v>
      </c>
    </row>
    <row r="29" spans="1:18" x14ac:dyDescent="0.2">
      <c r="C29" s="3"/>
      <c r="D29" s="15"/>
      <c r="E29" s="97"/>
      <c r="F29" s="29">
        <v>400</v>
      </c>
      <c r="G29">
        <v>115</v>
      </c>
      <c r="I29" s="28">
        <v>120</v>
      </c>
    </row>
    <row r="30" spans="1:18" x14ac:dyDescent="0.2">
      <c r="F30" s="29">
        <v>500</v>
      </c>
      <c r="G30">
        <v>120</v>
      </c>
      <c r="I30" s="28">
        <v>120</v>
      </c>
    </row>
    <row r="31" spans="1:18" x14ac:dyDescent="0.2">
      <c r="C31" s="3"/>
      <c r="D31" s="16"/>
      <c r="F31" s="29">
        <v>750</v>
      </c>
      <c r="G31">
        <v>120</v>
      </c>
      <c r="I31" s="28">
        <v>120</v>
      </c>
    </row>
    <row r="32" spans="1:18" x14ac:dyDescent="0.2">
      <c r="C32" s="3"/>
      <c r="D32" s="16"/>
      <c r="F32" s="29">
        <v>1000</v>
      </c>
      <c r="G32">
        <v>120</v>
      </c>
      <c r="I32" s="28">
        <v>150</v>
      </c>
    </row>
    <row r="33" spans="3:9" x14ac:dyDescent="0.2">
      <c r="D33" s="16"/>
      <c r="F33" s="29">
        <v>2000</v>
      </c>
      <c r="G33">
        <v>120</v>
      </c>
      <c r="I33" s="28">
        <v>150</v>
      </c>
    </row>
    <row r="34" spans="3:9" x14ac:dyDescent="0.2">
      <c r="F34" s="29">
        <v>3500</v>
      </c>
      <c r="G34">
        <v>120</v>
      </c>
      <c r="I34" s="28">
        <v>150</v>
      </c>
    </row>
    <row r="35" spans="3:9" x14ac:dyDescent="0.2">
      <c r="F35" s="123">
        <v>4000</v>
      </c>
      <c r="G35">
        <v>120</v>
      </c>
      <c r="I35" s="28">
        <v>135</v>
      </c>
    </row>
    <row r="36" spans="3:9" x14ac:dyDescent="0.2">
      <c r="C36" s="124" t="s">
        <v>56</v>
      </c>
      <c r="D36" s="17" t="b">
        <v>0</v>
      </c>
      <c r="F36" s="123">
        <v>5000</v>
      </c>
      <c r="G36">
        <v>120</v>
      </c>
      <c r="I36" s="28">
        <v>135</v>
      </c>
    </row>
    <row r="37" spans="3:9" x14ac:dyDescent="0.2">
      <c r="D37" s="1">
        <f>IF(D36=TRUE,2,1)</f>
        <v>1</v>
      </c>
      <c r="F37" s="123">
        <v>6000</v>
      </c>
      <c r="G37">
        <v>120</v>
      </c>
      <c r="I37" s="28">
        <v>135</v>
      </c>
    </row>
    <row r="38" spans="3:9" x14ac:dyDescent="0.2">
      <c r="C38" s="124"/>
      <c r="D38" s="46"/>
      <c r="F38" s="123">
        <v>7000</v>
      </c>
      <c r="G38">
        <v>120</v>
      </c>
      <c r="I38" s="28">
        <v>135</v>
      </c>
    </row>
    <row r="39" spans="3:9" x14ac:dyDescent="0.2">
      <c r="C39" s="125"/>
      <c r="D39" s="1"/>
      <c r="F39" s="123">
        <v>9000</v>
      </c>
      <c r="G39">
        <v>120</v>
      </c>
      <c r="I39" s="28">
        <v>135</v>
      </c>
    </row>
    <row r="40" spans="3:9" x14ac:dyDescent="0.2">
      <c r="F40" s="123">
        <v>10000</v>
      </c>
      <c r="G40">
        <v>120</v>
      </c>
      <c r="I40" s="28">
        <v>135</v>
      </c>
    </row>
    <row r="41" spans="3:9" x14ac:dyDescent="0.2">
      <c r="C41" s="97"/>
      <c r="D41" s="31"/>
      <c r="F41" s="123">
        <v>11000</v>
      </c>
      <c r="G41">
        <v>120</v>
      </c>
      <c r="I41" s="28">
        <v>135</v>
      </c>
    </row>
    <row r="42" spans="3:9" ht="13.5" thickBot="1" x14ac:dyDescent="0.25">
      <c r="D42" s="31"/>
      <c r="E42" s="18"/>
      <c r="F42" s="126">
        <v>12000</v>
      </c>
      <c r="G42">
        <v>120</v>
      </c>
      <c r="H42" s="58"/>
      <c r="I42" s="24">
        <v>135</v>
      </c>
    </row>
    <row r="43" spans="3:9" x14ac:dyDescent="0.2">
      <c r="C43" s="97"/>
      <c r="D43" s="31"/>
    </row>
    <row r="44" spans="3:9" x14ac:dyDescent="0.2">
      <c r="D44" s="31"/>
      <c r="E44" s="18"/>
      <c r="F44" t="s">
        <v>57</v>
      </c>
      <c r="G44" s="15">
        <f>IF(B5&lt;F30,IF(B5&lt;F29,115,115+(B5-400)/100*5),120)</f>
        <v>120</v>
      </c>
      <c r="I44">
        <f>IF(B5&lt;F32,IF(B5&lt;F31,120,120+(B5-750)/250*15),150)</f>
        <v>150</v>
      </c>
    </row>
    <row r="45" spans="3:9" x14ac:dyDescent="0.2">
      <c r="F45" t="s">
        <v>58</v>
      </c>
      <c r="G45" s="15">
        <f>IF(B5&gt;F34,IF(B5&gt;F35,120,120+(4000-B5)/500*5),120)</f>
        <v>120</v>
      </c>
      <c r="I45">
        <f>IF(B5&gt;F34,IF(B5&gt;F35,135,135+(4000-B5)/500*15),150)</f>
        <v>150</v>
      </c>
    </row>
    <row r="47" spans="3:9" x14ac:dyDescent="0.2">
      <c r="F47" s="3" t="s">
        <v>59</v>
      </c>
      <c r="G47" s="15">
        <f>MIN(G44,G45)</f>
        <v>120</v>
      </c>
      <c r="I47" s="15">
        <f>MIN(I44,I45)</f>
        <v>150</v>
      </c>
    </row>
    <row r="48" spans="3:9" x14ac:dyDescent="0.2">
      <c r="F48" s="3" t="s">
        <v>60</v>
      </c>
      <c r="G48">
        <f>-IF(B7&gt;3600,15/(8000-3600)*(B7-3600),0)</f>
        <v>0</v>
      </c>
    </row>
    <row r="49" spans="3:9" x14ac:dyDescent="0.2">
      <c r="F49" t="s">
        <v>61</v>
      </c>
      <c r="G49" s="15">
        <f>G47+G48</f>
        <v>120</v>
      </c>
      <c r="I49" s="1">
        <f>IF(B7&gt;3600,"N/A",I47)</f>
        <v>150</v>
      </c>
    </row>
    <row r="50" spans="3:9" x14ac:dyDescent="0.2">
      <c r="D50">
        <v>1</v>
      </c>
    </row>
    <row r="51" spans="3:9" x14ac:dyDescent="0.2">
      <c r="C51" s="97" t="s">
        <v>40</v>
      </c>
      <c r="D51" s="97" t="s">
        <v>62</v>
      </c>
    </row>
    <row r="52" spans="3:9" x14ac:dyDescent="0.2">
      <c r="C52">
        <v>200</v>
      </c>
      <c r="D52">
        <f>E52*D$50</f>
        <v>15000</v>
      </c>
      <c r="E52">
        <v>15000</v>
      </c>
    </row>
    <row r="53" spans="3:9" x14ac:dyDescent="0.2">
      <c r="C53">
        <v>400</v>
      </c>
      <c r="D53">
        <f t="shared" ref="D53:D59" si="12">E53*D$50</f>
        <v>15000</v>
      </c>
      <c r="E53">
        <v>15000</v>
      </c>
    </row>
    <row r="54" spans="3:9" x14ac:dyDescent="0.2">
      <c r="C54">
        <v>1000</v>
      </c>
      <c r="D54">
        <f t="shared" si="12"/>
        <v>14250</v>
      </c>
      <c r="E54">
        <v>14250</v>
      </c>
    </row>
    <row r="55" spans="3:9" x14ac:dyDescent="0.2">
      <c r="C55">
        <v>1500</v>
      </c>
      <c r="D55">
        <f t="shared" si="12"/>
        <v>13000</v>
      </c>
      <c r="E55">
        <v>13000</v>
      </c>
    </row>
    <row r="56" spans="3:9" x14ac:dyDescent="0.2">
      <c r="C56">
        <v>2000</v>
      </c>
      <c r="D56">
        <f t="shared" si="12"/>
        <v>12000</v>
      </c>
      <c r="E56">
        <v>12000</v>
      </c>
    </row>
    <row r="57" spans="3:9" x14ac:dyDescent="0.2">
      <c r="C57">
        <v>2500</v>
      </c>
      <c r="D57">
        <f t="shared" si="12"/>
        <v>11100</v>
      </c>
      <c r="E57">
        <v>11100</v>
      </c>
    </row>
    <row r="58" spans="3:9" x14ac:dyDescent="0.2">
      <c r="C58">
        <v>4000</v>
      </c>
      <c r="D58">
        <f t="shared" si="12"/>
        <v>8500</v>
      </c>
      <c r="E58">
        <v>8500</v>
      </c>
    </row>
    <row r="59" spans="3:9" x14ac:dyDescent="0.2">
      <c r="C59">
        <v>5000</v>
      </c>
      <c r="D59">
        <f t="shared" si="12"/>
        <v>8000</v>
      </c>
      <c r="E59">
        <v>8000</v>
      </c>
    </row>
    <row r="66" spans="3:5" x14ac:dyDescent="0.2">
      <c r="C66" s="127" t="s">
        <v>63</v>
      </c>
      <c r="D66" s="31">
        <f>0.0000001033*B5^3 - 0.00067856*B5^2 - 0.641204*B5 + 15273</f>
        <v>11339.568886357323</v>
      </c>
    </row>
    <row r="67" spans="3:5" x14ac:dyDescent="0.2">
      <c r="C67" s="124" t="s">
        <v>64</v>
      </c>
      <c r="D67" s="31">
        <f>Input_Output_US_units!C32</f>
        <v>16019.758335209464</v>
      </c>
    </row>
    <row r="68" spans="3:5" x14ac:dyDescent="0.2">
      <c r="C68" s="124" t="s">
        <v>65</v>
      </c>
      <c r="D68" s="15">
        <f>2*(D67-D66)/1000</f>
        <v>9.3603788977042814</v>
      </c>
      <c r="E68" s="128" t="s">
        <v>66</v>
      </c>
    </row>
    <row r="69" spans="3:5" x14ac:dyDescent="0.2">
      <c r="C69" s="124" t="s">
        <v>67</v>
      </c>
      <c r="D69">
        <f>IF(B5&gt;5000, 0,1)</f>
        <v>1</v>
      </c>
    </row>
    <row r="70" spans="3:5" x14ac:dyDescent="0.2">
      <c r="C70" s="124" t="s">
        <v>68</v>
      </c>
      <c r="D70">
        <f>IF(D68&lt;0,0,1)</f>
        <v>1</v>
      </c>
    </row>
    <row r="71" spans="3:5" x14ac:dyDescent="0.2">
      <c r="C71" s="124" t="s">
        <v>69</v>
      </c>
      <c r="D71" s="15">
        <f>D68*D69*D70</f>
        <v>9.3603788977042814</v>
      </c>
      <c r="E71" s="97" t="s">
        <v>66</v>
      </c>
    </row>
  </sheetData>
  <sheetProtection sheet="1" objects="1" scenarios="1"/>
  <phoneticPr fontId="2" type="noConversion"/>
  <pageMargins left="0.75" right="0.75" top="1" bottom="1" header="0.5" footer="0.5"/>
  <pageSetup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52DFE-242D-4FCC-84C2-9137FCE22458}">
  <sheetPr codeName="Sheet4"/>
  <dimension ref="A1:S71"/>
  <sheetViews>
    <sheetView zoomScale="110" zoomScaleNormal="110" workbookViewId="0"/>
  </sheetViews>
  <sheetFormatPr defaultRowHeight="12.75" x14ac:dyDescent="0.2"/>
  <cols>
    <col min="1" max="1" width="17.5703125" customWidth="1"/>
    <col min="2" max="2" width="10" bestFit="1" customWidth="1"/>
    <col min="4" max="4" width="12.7109375" bestFit="1" customWidth="1"/>
    <col min="5" max="5" width="25.28515625" customWidth="1"/>
    <col min="6" max="6" width="15.42578125" customWidth="1"/>
    <col min="7" max="7" width="11" customWidth="1"/>
  </cols>
  <sheetData>
    <row r="1" spans="1:19" ht="13.5" thickBot="1" x14ac:dyDescent="0.25">
      <c r="A1" s="30"/>
      <c r="B1" s="30"/>
      <c r="C1" s="30"/>
      <c r="D1" s="30"/>
      <c r="F1" s="25"/>
      <c r="G1" s="26"/>
      <c r="H1" s="26"/>
      <c r="I1" s="26"/>
      <c r="J1" s="26"/>
      <c r="K1" s="26"/>
      <c r="L1" s="22"/>
    </row>
    <row r="2" spans="1:19" x14ac:dyDescent="0.2">
      <c r="F2" s="27"/>
      <c r="L2" s="28"/>
    </row>
    <row r="3" spans="1:19" ht="13.5" thickBot="1" x14ac:dyDescent="0.25">
      <c r="F3" s="29"/>
      <c r="L3" s="28"/>
    </row>
    <row r="4" spans="1:19" ht="13.5" thickBot="1" x14ac:dyDescent="0.25">
      <c r="A4" s="25" t="s">
        <v>39</v>
      </c>
      <c r="B4" s="26"/>
      <c r="C4" s="22"/>
      <c r="F4" s="115"/>
      <c r="H4" s="97"/>
      <c r="L4" s="28"/>
    </row>
    <row r="5" spans="1:19" ht="13.5" thickBot="1" x14ac:dyDescent="0.25">
      <c r="A5" t="s">
        <v>40</v>
      </c>
      <c r="B5" s="35">
        <f>Input_Output_SI_units!$J$31</f>
        <v>2359.5129160704064</v>
      </c>
      <c r="D5" s="34">
        <f>0.00000000011733*B5^3+0.000000180577282*B5^2+0.000123889879549*B5+25.07</f>
        <v>27.908908742960914</v>
      </c>
      <c r="E5" t="s">
        <v>41</v>
      </c>
      <c r="F5" s="47"/>
      <c r="G5" s="21" t="s">
        <v>42</v>
      </c>
      <c r="H5" s="23">
        <v>1</v>
      </c>
      <c r="I5" s="23">
        <v>10</v>
      </c>
      <c r="J5" s="116">
        <v>100</v>
      </c>
      <c r="K5" s="117">
        <v>1000</v>
      </c>
      <c r="L5" s="118">
        <v>10000</v>
      </c>
      <c r="M5" s="59"/>
      <c r="N5" s="119"/>
      <c r="O5" s="60"/>
      <c r="P5" s="56"/>
      <c r="Q5" s="56"/>
      <c r="R5" s="57"/>
    </row>
    <row r="6" spans="1:19" ht="13.5" thickBot="1" x14ac:dyDescent="0.25">
      <c r="A6" s="97" t="s">
        <v>43</v>
      </c>
      <c r="B6" s="33">
        <f>Input_Output_SI_units!Suction_Diameter</f>
        <v>3800.054150469914</v>
      </c>
      <c r="C6" t="s">
        <v>14</v>
      </c>
      <c r="D6" s="37">
        <f>(B6/1.4)^0.05</f>
        <v>1.4848517237692762</v>
      </c>
      <c r="E6" t="s">
        <v>44</v>
      </c>
      <c r="F6" s="54">
        <v>200</v>
      </c>
      <c r="G6" s="34">
        <f>0.00000000011733*F6^3+0.000000180577282*F6^2+0.000123889879549*F6+25.07</f>
        <v>25.102939707189801</v>
      </c>
      <c r="H6" s="39">
        <f>$G6*(H$5/1.4)^0.05</f>
        <v>24.684150246984682</v>
      </c>
      <c r="I6" s="40">
        <f>$G6*(I$5/1.4)^0.05</f>
        <v>27.696072105879182</v>
      </c>
      <c r="J6" s="40">
        <f>$G6*(J$5/1.4)^0.05</f>
        <v>31.075504014474287</v>
      </c>
      <c r="K6" s="40">
        <f>$G6*(K$5/1.4)^0.05</f>
        <v>34.867288980974898</v>
      </c>
      <c r="L6" s="40">
        <f>$G6*(L$5/1.4)^0.05</f>
        <v>39.121741688133334</v>
      </c>
      <c r="M6" s="27"/>
      <c r="N6" s="15">
        <f>IF(H6&gt;75,75,H6)</f>
        <v>24.684150246984682</v>
      </c>
      <c r="O6" s="15">
        <f t="shared" ref="O6:R21" si="0">IF(I6&gt;75,75,I6)</f>
        <v>27.696072105879182</v>
      </c>
      <c r="P6" s="15">
        <f t="shared" si="0"/>
        <v>31.075504014474287</v>
      </c>
      <c r="Q6" s="15">
        <f t="shared" si="0"/>
        <v>34.867288980974898</v>
      </c>
      <c r="R6" s="61">
        <f t="shared" si="0"/>
        <v>39.121741688133334</v>
      </c>
      <c r="S6" s="31">
        <f>F6/51.64</f>
        <v>3.8729666924864445</v>
      </c>
    </row>
    <row r="7" spans="1:19" ht="13.5" thickBot="1" x14ac:dyDescent="0.25">
      <c r="A7" t="s">
        <v>45</v>
      </c>
      <c r="B7" s="36">
        <f>Input_Output_SI_units!$E$8</f>
        <v>3000</v>
      </c>
      <c r="C7" t="s">
        <v>7</v>
      </c>
      <c r="D7" s="47">
        <f>IF(B7&gt;3600,15/(6000-3600)*(B7-3600),0)</f>
        <v>0</v>
      </c>
      <c r="E7" t="s">
        <v>46</v>
      </c>
      <c r="F7" s="54">
        <v>500</v>
      </c>
      <c r="G7" s="34">
        <f t="shared" ref="G7:G25" si="1">0.00000000011733*F7^3+0.000000180577282*F7^2+0.000123889879549*F7+25.07</f>
        <v>25.191755510274501</v>
      </c>
      <c r="H7" s="41">
        <f t="shared" ref="H7:L22" si="2">$G7*(H$5/1.4)^0.05</f>
        <v>24.771484346226512</v>
      </c>
      <c r="I7" s="38">
        <f t="shared" si="2"/>
        <v>27.79406257691835</v>
      </c>
      <c r="J7" s="38">
        <f t="shared" si="2"/>
        <v>31.185451131325976</v>
      </c>
      <c r="K7" s="38">
        <f t="shared" si="2"/>
        <v>34.990651675079789</v>
      </c>
      <c r="L7" s="38">
        <f t="shared" si="2"/>
        <v>39.260156907491428</v>
      </c>
      <c r="M7" s="27"/>
      <c r="N7" s="15">
        <f t="shared" ref="N7:R22" si="3">IF(H7&gt;75,75,H7)</f>
        <v>24.771484346226512</v>
      </c>
      <c r="O7" s="15">
        <f t="shared" si="0"/>
        <v>27.79406257691835</v>
      </c>
      <c r="P7" s="15">
        <f t="shared" si="0"/>
        <v>31.185451131325976</v>
      </c>
      <c r="Q7" s="15">
        <f t="shared" si="0"/>
        <v>34.990651675079789</v>
      </c>
      <c r="R7" s="61">
        <f t="shared" si="0"/>
        <v>39.260156907491428</v>
      </c>
      <c r="S7" s="31">
        <f t="shared" ref="S7:S25" si="4">F7/51.64</f>
        <v>9.6824167312161116</v>
      </c>
    </row>
    <row r="8" spans="1:19" ht="13.5" thickBot="1" x14ac:dyDescent="0.25">
      <c r="A8" s="25" t="s">
        <v>47</v>
      </c>
      <c r="B8" s="49">
        <f>D5*D6</f>
        <v>41.440591255504934</v>
      </c>
      <c r="C8" s="26" t="s">
        <v>48</v>
      </c>
      <c r="D8" s="26"/>
      <c r="E8" s="22"/>
      <c r="F8" s="54">
        <v>1000</v>
      </c>
      <c r="G8" s="34">
        <f t="shared" si="1"/>
        <v>25.491797161549002</v>
      </c>
      <c r="H8" s="41">
        <f t="shared" si="2"/>
        <v>25.06652043709088</v>
      </c>
      <c r="I8" s="38">
        <f t="shared" si="2"/>
        <v>28.125098515553283</v>
      </c>
      <c r="J8" s="38">
        <f t="shared" si="2"/>
        <v>31.556879563511544</v>
      </c>
      <c r="K8" s="38">
        <f t="shared" si="2"/>
        <v>35.407401230444442</v>
      </c>
      <c r="L8" s="38">
        <f t="shared" si="2"/>
        <v>39.727757599432707</v>
      </c>
      <c r="M8" s="27"/>
      <c r="N8" s="15">
        <f t="shared" si="3"/>
        <v>25.06652043709088</v>
      </c>
      <c r="O8" s="15">
        <f t="shared" si="0"/>
        <v>28.125098515553283</v>
      </c>
      <c r="P8" s="15">
        <f t="shared" si="0"/>
        <v>31.556879563511544</v>
      </c>
      <c r="Q8" s="15">
        <f t="shared" si="0"/>
        <v>35.407401230444442</v>
      </c>
      <c r="R8" s="61">
        <f t="shared" si="0"/>
        <v>39.727757599432707</v>
      </c>
      <c r="S8" s="31">
        <f t="shared" si="4"/>
        <v>19.364833462432223</v>
      </c>
    </row>
    <row r="9" spans="1:19" ht="13.5" thickBot="1" x14ac:dyDescent="0.25">
      <c r="A9" s="25" t="s">
        <v>49</v>
      </c>
      <c r="B9" s="49">
        <f>IF(B8&gt;75,75,B8)</f>
        <v>41.440591255504934</v>
      </c>
      <c r="C9" s="51" t="s">
        <v>50</v>
      </c>
      <c r="D9" s="26"/>
      <c r="E9" s="22"/>
      <c r="F9" s="54">
        <v>1500</v>
      </c>
      <c r="G9" s="34">
        <f t="shared" si="1"/>
        <v>26.058122453823501</v>
      </c>
      <c r="H9" s="41">
        <f t="shared" si="2"/>
        <v>25.623397789553604</v>
      </c>
      <c r="I9" s="38">
        <f t="shared" si="2"/>
        <v>28.749925181799277</v>
      </c>
      <c r="J9" s="38">
        <f t="shared" si="2"/>
        <v>32.257946613779524</v>
      </c>
      <c r="K9" s="38">
        <f t="shared" si="2"/>
        <v>36.194011398548156</v>
      </c>
      <c r="L9" s="38">
        <f t="shared" si="2"/>
        <v>40.610348724386647</v>
      </c>
      <c r="M9" s="27"/>
      <c r="N9" s="15">
        <f t="shared" si="3"/>
        <v>25.623397789553604</v>
      </c>
      <c r="O9" s="15">
        <f t="shared" si="0"/>
        <v>28.749925181799277</v>
      </c>
      <c r="P9" s="15">
        <f t="shared" si="0"/>
        <v>32.257946613779524</v>
      </c>
      <c r="Q9" s="15">
        <f t="shared" si="0"/>
        <v>36.194011398548156</v>
      </c>
      <c r="R9" s="61">
        <f t="shared" si="0"/>
        <v>40.610348724386647</v>
      </c>
      <c r="S9" s="31">
        <f t="shared" si="4"/>
        <v>29.047250193648335</v>
      </c>
    </row>
    <row r="10" spans="1:19" ht="13.5" thickBot="1" x14ac:dyDescent="0.25">
      <c r="A10" s="50" t="s">
        <v>47</v>
      </c>
      <c r="B10" s="49">
        <f>B9+D7</f>
        <v>41.440591255504934</v>
      </c>
      <c r="C10" s="51" t="s">
        <v>51</v>
      </c>
      <c r="D10" s="26"/>
      <c r="E10" s="22"/>
      <c r="F10" s="54">
        <v>2000</v>
      </c>
      <c r="G10" s="34">
        <f t="shared" si="1"/>
        <v>26.978728887098001</v>
      </c>
      <c r="H10" s="41">
        <f t="shared" si="2"/>
        <v>26.528645851428198</v>
      </c>
      <c r="I10" s="38">
        <f t="shared" si="2"/>
        <v>29.765630212943659</v>
      </c>
      <c r="J10" s="38">
        <f t="shared" si="2"/>
        <v>33.39758640285087</v>
      </c>
      <c r="K10" s="38">
        <f t="shared" si="2"/>
        <v>37.472708273143006</v>
      </c>
      <c r="L10" s="38">
        <f t="shared" si="2"/>
        <v>42.045070215140314</v>
      </c>
      <c r="M10" s="27"/>
      <c r="N10" s="15">
        <f t="shared" si="3"/>
        <v>26.528645851428198</v>
      </c>
      <c r="O10" s="15">
        <f t="shared" si="0"/>
        <v>29.765630212943659</v>
      </c>
      <c r="P10" s="15">
        <f t="shared" si="0"/>
        <v>33.39758640285087</v>
      </c>
      <c r="Q10" s="15">
        <f t="shared" si="0"/>
        <v>37.472708273143006</v>
      </c>
      <c r="R10" s="61">
        <f t="shared" si="0"/>
        <v>42.045070215140314</v>
      </c>
      <c r="S10" s="31">
        <f t="shared" si="4"/>
        <v>38.729666924864446</v>
      </c>
    </row>
    <row r="11" spans="1:19" ht="13.5" thickBot="1" x14ac:dyDescent="0.25">
      <c r="A11" s="1"/>
      <c r="B11" s="52"/>
      <c r="C11" s="11"/>
      <c r="D11" s="120"/>
      <c r="E11" s="113"/>
      <c r="F11" s="54">
        <v>3000</v>
      </c>
      <c r="G11" s="34">
        <f t="shared" si="1"/>
        <v>30.234775176646998</v>
      </c>
      <c r="H11" s="41">
        <f t="shared" si="2"/>
        <v>29.730371894667059</v>
      </c>
      <c r="I11" s="38">
        <f t="shared" si="2"/>
        <v>33.358025919076866</v>
      </c>
      <c r="J11" s="38">
        <f t="shared" si="2"/>
        <v>37.428320680287463</v>
      </c>
      <c r="K11" s="38">
        <f t="shared" si="2"/>
        <v>41.995266516814354</v>
      </c>
      <c r="L11" s="38">
        <f t="shared" si="2"/>
        <v>47.119464025195036</v>
      </c>
      <c r="M11" s="27"/>
      <c r="N11" s="15">
        <f t="shared" si="3"/>
        <v>29.730371894667059</v>
      </c>
      <c r="O11" s="15">
        <f t="shared" si="0"/>
        <v>33.358025919076866</v>
      </c>
      <c r="P11" s="15">
        <f t="shared" si="0"/>
        <v>37.428320680287463</v>
      </c>
      <c r="Q11" s="15">
        <f t="shared" si="0"/>
        <v>41.995266516814354</v>
      </c>
      <c r="R11" s="61">
        <f t="shared" si="0"/>
        <v>47.119464025195036</v>
      </c>
      <c r="S11" s="31">
        <f t="shared" si="4"/>
        <v>58.094500387296669</v>
      </c>
    </row>
    <row r="12" spans="1:19" ht="13.5" thickBot="1" x14ac:dyDescent="0.25">
      <c r="A12" s="97"/>
      <c r="C12" s="31"/>
      <c r="F12" s="121">
        <v>4000</v>
      </c>
      <c r="G12" s="34">
        <f t="shared" si="1"/>
        <v>35.963916030196003</v>
      </c>
      <c r="H12" s="41">
        <f t="shared" si="2"/>
        <v>35.363934149315568</v>
      </c>
      <c r="I12" s="38">
        <f t="shared" si="2"/>
        <v>39.678986732251467</v>
      </c>
      <c r="J12" s="38">
        <f t="shared" si="2"/>
        <v>44.520555361588912</v>
      </c>
      <c r="K12" s="38">
        <f t="shared" si="2"/>
        <v>49.952884711474987</v>
      </c>
      <c r="L12" s="38">
        <f t="shared" si="2"/>
        <v>56.048058491893336</v>
      </c>
      <c r="M12" s="27"/>
      <c r="N12" s="15">
        <f t="shared" si="3"/>
        <v>35.363934149315568</v>
      </c>
      <c r="O12" s="15">
        <f t="shared" si="0"/>
        <v>39.678986732251467</v>
      </c>
      <c r="P12" s="15">
        <f t="shared" si="0"/>
        <v>44.520555361588912</v>
      </c>
      <c r="Q12" s="15">
        <f t="shared" si="0"/>
        <v>49.952884711474987</v>
      </c>
      <c r="R12" s="61">
        <f t="shared" si="0"/>
        <v>56.048058491893336</v>
      </c>
      <c r="S12" s="31">
        <f t="shared" si="4"/>
        <v>77.459333849728893</v>
      </c>
    </row>
    <row r="13" spans="1:19" ht="13.5" thickBot="1" x14ac:dyDescent="0.25">
      <c r="A13" s="113"/>
      <c r="B13" s="52"/>
      <c r="C13" s="11"/>
      <c r="D13" s="48"/>
      <c r="E13" s="11"/>
      <c r="F13" s="121">
        <v>4500</v>
      </c>
      <c r="G13" s="34">
        <f t="shared" si="1"/>
        <v>39.975890668470498</v>
      </c>
      <c r="H13" s="41">
        <f t="shared" si="2"/>
        <v>39.30897747545221</v>
      </c>
      <c r="I13" s="38">
        <f t="shared" si="2"/>
        <v>44.105398147197583</v>
      </c>
      <c r="J13" s="38">
        <f t="shared" si="2"/>
        <v>49.487070655491316</v>
      </c>
      <c r="K13" s="38">
        <f t="shared" si="2"/>
        <v>55.525406524806421</v>
      </c>
      <c r="L13" s="38">
        <f t="shared" si="2"/>
        <v>62.300530803451451</v>
      </c>
      <c r="M13" s="27"/>
      <c r="N13" s="15">
        <f t="shared" si="3"/>
        <v>39.30897747545221</v>
      </c>
      <c r="O13" s="15">
        <f t="shared" si="0"/>
        <v>44.105398147197583</v>
      </c>
      <c r="P13" s="15">
        <f t="shared" si="0"/>
        <v>49.487070655491316</v>
      </c>
      <c r="Q13" s="15">
        <f t="shared" si="0"/>
        <v>55.525406524806421</v>
      </c>
      <c r="R13" s="61">
        <f t="shared" si="0"/>
        <v>62.300530803451451</v>
      </c>
      <c r="S13" s="31">
        <f t="shared" si="4"/>
        <v>87.141750580945001</v>
      </c>
    </row>
    <row r="14" spans="1:19" ht="13.5" thickBot="1" x14ac:dyDescent="0.25">
      <c r="A14" s="113"/>
      <c r="B14" s="68"/>
      <c r="C14" s="11"/>
      <c r="D14" s="48"/>
      <c r="E14" s="11"/>
      <c r="F14" s="121">
        <v>5000</v>
      </c>
      <c r="G14" s="34">
        <f t="shared" si="1"/>
        <v>44.870131447745003</v>
      </c>
      <c r="H14" s="41">
        <f t="shared" si="2"/>
        <v>44.121568197881807</v>
      </c>
      <c r="I14" s="38">
        <f t="shared" si="2"/>
        <v>49.505213750766011</v>
      </c>
      <c r="J14" s="38">
        <f t="shared" si="2"/>
        <v>55.545763412522788</v>
      </c>
      <c r="K14" s="38">
        <f t="shared" si="2"/>
        <v>62.323371607141375</v>
      </c>
      <c r="L14" s="38">
        <f t="shared" si="2"/>
        <v>69.927973077531632</v>
      </c>
      <c r="M14" s="27"/>
      <c r="N14" s="15">
        <f t="shared" si="3"/>
        <v>44.121568197881807</v>
      </c>
      <c r="O14" s="15">
        <f t="shared" si="0"/>
        <v>49.505213750766011</v>
      </c>
      <c r="P14" s="15">
        <f t="shared" si="0"/>
        <v>55.545763412522788</v>
      </c>
      <c r="Q14" s="15">
        <f t="shared" si="0"/>
        <v>62.323371607141375</v>
      </c>
      <c r="R14" s="61">
        <f t="shared" si="0"/>
        <v>69.927973077531632</v>
      </c>
      <c r="S14" s="31">
        <f t="shared" si="4"/>
        <v>96.824167312161109</v>
      </c>
    </row>
    <row r="15" spans="1:19" ht="13.5" thickBot="1" x14ac:dyDescent="0.25">
      <c r="A15" s="69"/>
      <c r="B15" s="52"/>
      <c r="C15" s="11"/>
      <c r="D15" s="48"/>
      <c r="E15" s="11"/>
      <c r="F15" s="121">
        <v>5250</v>
      </c>
      <c r="G15" s="34">
        <f t="shared" si="1"/>
        <v>47.675600859007247</v>
      </c>
      <c r="H15" s="41">
        <f t="shared" si="2"/>
        <v>46.880234285148184</v>
      </c>
      <c r="I15" s="38">
        <f t="shared" si="2"/>
        <v>52.600488009935866</v>
      </c>
      <c r="J15" s="38">
        <f t="shared" si="2"/>
        <v>59.01871825243721</v>
      </c>
      <c r="K15" s="38">
        <f t="shared" si="2"/>
        <v>66.220091028482685</v>
      </c>
      <c r="L15" s="38">
        <f t="shared" si="2"/>
        <v>74.300164179513445</v>
      </c>
      <c r="M15" s="27"/>
      <c r="N15" s="15">
        <f t="shared" si="3"/>
        <v>46.880234285148184</v>
      </c>
      <c r="O15" s="15">
        <f t="shared" si="0"/>
        <v>52.600488009935866</v>
      </c>
      <c r="P15" s="15">
        <f t="shared" si="0"/>
        <v>59.01871825243721</v>
      </c>
      <c r="Q15" s="15">
        <f t="shared" si="0"/>
        <v>66.220091028482685</v>
      </c>
      <c r="R15" s="61">
        <f t="shared" si="0"/>
        <v>74.300164179513445</v>
      </c>
      <c r="S15" s="31">
        <f t="shared" si="4"/>
        <v>101.66537567776918</v>
      </c>
    </row>
    <row r="16" spans="1:19" ht="13.5" thickBot="1" x14ac:dyDescent="0.25">
      <c r="A16" s="69"/>
      <c r="B16" s="52"/>
      <c r="C16" s="53"/>
      <c r="D16" s="48"/>
      <c r="E16" s="11"/>
      <c r="F16" s="121">
        <v>5500</v>
      </c>
      <c r="G16" s="34">
        <f t="shared" si="1"/>
        <v>50.734635868019495</v>
      </c>
      <c r="H16" s="41">
        <f t="shared" si="2"/>
        <v>49.888235764417857</v>
      </c>
      <c r="I16" s="38">
        <f t="shared" si="2"/>
        <v>55.975521180244051</v>
      </c>
      <c r="J16" s="38">
        <f t="shared" si="2"/>
        <v>62.805567753404254</v>
      </c>
      <c r="K16" s="38">
        <f t="shared" si="2"/>
        <v>70.46900605223189</v>
      </c>
      <c r="L16" s="38">
        <f t="shared" si="2"/>
        <v>79.067525246920908</v>
      </c>
      <c r="M16" s="27"/>
      <c r="N16" s="15">
        <f t="shared" si="3"/>
        <v>49.888235764417857</v>
      </c>
      <c r="O16" s="15">
        <f t="shared" si="0"/>
        <v>55.975521180244051</v>
      </c>
      <c r="P16" s="15">
        <f t="shared" si="0"/>
        <v>62.805567753404254</v>
      </c>
      <c r="Q16" s="15">
        <f t="shared" si="0"/>
        <v>70.46900605223189</v>
      </c>
      <c r="R16" s="61">
        <f t="shared" si="0"/>
        <v>75</v>
      </c>
      <c r="S16" s="31">
        <f t="shared" si="4"/>
        <v>106.50658404337723</v>
      </c>
    </row>
    <row r="17" spans="1:19" ht="15" thickBot="1" x14ac:dyDescent="0.25">
      <c r="A17" s="69" t="s">
        <v>52</v>
      </c>
      <c r="B17" s="52"/>
      <c r="C17" s="53"/>
      <c r="D17" s="48"/>
      <c r="E17" s="11"/>
      <c r="F17" s="121">
        <v>5750</v>
      </c>
      <c r="G17" s="34">
        <f t="shared" si="1"/>
        <v>54.058236162281744</v>
      </c>
      <c r="H17" s="41">
        <f t="shared" si="2"/>
        <v>53.15638881666753</v>
      </c>
      <c r="I17" s="38">
        <f t="shared" si="2"/>
        <v>59.642449216351473</v>
      </c>
      <c r="J17" s="38">
        <f t="shared" si="2"/>
        <v>66.919928680514033</v>
      </c>
      <c r="K17" s="38">
        <f t="shared" si="2"/>
        <v>75.085394940108003</v>
      </c>
      <c r="L17" s="38">
        <f t="shared" si="2"/>
        <v>84.24719877135243</v>
      </c>
      <c r="M17" s="27"/>
      <c r="N17" s="15">
        <f t="shared" si="3"/>
        <v>53.15638881666753</v>
      </c>
      <c r="O17" s="15">
        <f t="shared" si="0"/>
        <v>59.642449216351473</v>
      </c>
      <c r="P17" s="15">
        <f t="shared" si="0"/>
        <v>66.919928680514033</v>
      </c>
      <c r="Q17" s="15">
        <f t="shared" si="0"/>
        <v>75</v>
      </c>
      <c r="R17" s="61">
        <f t="shared" si="0"/>
        <v>75</v>
      </c>
      <c r="S17" s="31">
        <f t="shared" si="4"/>
        <v>111.34779240898528</v>
      </c>
    </row>
    <row r="18" spans="1:19" ht="13.5" thickBot="1" x14ac:dyDescent="0.25">
      <c r="A18" s="113"/>
      <c r="B18" s="52"/>
      <c r="C18" s="53"/>
      <c r="D18" s="48"/>
      <c r="E18" s="11"/>
      <c r="F18" s="121">
        <v>6000</v>
      </c>
      <c r="G18" s="34">
        <f t="shared" si="1"/>
        <v>57.657401429293998</v>
      </c>
      <c r="H18" s="41">
        <f t="shared" si="2"/>
        <v>56.695509622873892</v>
      </c>
      <c r="I18" s="38">
        <f t="shared" si="2"/>
        <v>63.61340807291905</v>
      </c>
      <c r="J18" s="38">
        <f t="shared" si="2"/>
        <v>71.375417798856688</v>
      </c>
      <c r="K18" s="38">
        <f t="shared" si="2"/>
        <v>80.084535953830027</v>
      </c>
      <c r="L18" s="38">
        <f t="shared" si="2"/>
        <v>89.856327244406373</v>
      </c>
      <c r="M18" s="27"/>
      <c r="N18" s="15">
        <f t="shared" si="3"/>
        <v>56.695509622873892</v>
      </c>
      <c r="O18" s="15">
        <f t="shared" si="0"/>
        <v>63.61340807291905</v>
      </c>
      <c r="P18" s="15">
        <f t="shared" si="0"/>
        <v>71.375417798856688</v>
      </c>
      <c r="Q18" s="15">
        <f t="shared" si="0"/>
        <v>75</v>
      </c>
      <c r="R18" s="61">
        <f t="shared" si="0"/>
        <v>75</v>
      </c>
      <c r="S18" s="31">
        <f t="shared" si="4"/>
        <v>116.18900077459334</v>
      </c>
    </row>
    <row r="19" spans="1:19" ht="13.5" thickBot="1" x14ac:dyDescent="0.25">
      <c r="A19" s="113"/>
      <c r="B19" s="52"/>
      <c r="C19" s="53"/>
      <c r="D19" s="48"/>
      <c r="E19" s="11"/>
      <c r="F19" s="121">
        <v>6250</v>
      </c>
      <c r="G19" s="34">
        <f t="shared" si="1"/>
        <v>61.543131356556252</v>
      </c>
      <c r="H19" s="41">
        <f t="shared" si="2"/>
        <v>60.516414364013627</v>
      </c>
      <c r="I19" s="38">
        <f t="shared" si="2"/>
        <v>67.900533704607696</v>
      </c>
      <c r="J19" s="38">
        <f t="shared" si="2"/>
        <v>76.185651873522303</v>
      </c>
      <c r="K19" s="38">
        <f t="shared" si="2"/>
        <v>85.481707355116995</v>
      </c>
      <c r="L19" s="38">
        <f t="shared" si="2"/>
        <v>95.912053157681129</v>
      </c>
      <c r="M19" s="27"/>
      <c r="N19" s="15">
        <f t="shared" si="3"/>
        <v>60.516414364013627</v>
      </c>
      <c r="O19" s="15">
        <f t="shared" si="0"/>
        <v>67.900533704607696</v>
      </c>
      <c r="P19" s="15">
        <f t="shared" si="0"/>
        <v>75</v>
      </c>
      <c r="Q19" s="15">
        <f t="shared" si="0"/>
        <v>75</v>
      </c>
      <c r="R19" s="61">
        <f t="shared" si="0"/>
        <v>75</v>
      </c>
      <c r="S19" s="31">
        <f t="shared" si="4"/>
        <v>121.03020914020139</v>
      </c>
    </row>
    <row r="20" spans="1:19" ht="13.5" thickBot="1" x14ac:dyDescent="0.25">
      <c r="A20" s="113"/>
      <c r="B20" s="52"/>
      <c r="C20" s="53"/>
      <c r="D20" s="48"/>
      <c r="E20" s="11"/>
      <c r="F20" s="121">
        <v>6500</v>
      </c>
      <c r="G20" s="34">
        <f t="shared" si="1"/>
        <v>65.726425631568503</v>
      </c>
      <c r="H20" s="41">
        <f t="shared" si="2"/>
        <v>64.629919221063417</v>
      </c>
      <c r="I20" s="38">
        <f t="shared" si="2"/>
        <v>72.515962066078316</v>
      </c>
      <c r="J20" s="38">
        <f t="shared" si="2"/>
        <v>81.364247669601028</v>
      </c>
      <c r="K20" s="38">
        <f t="shared" si="2"/>
        <v>91.292187405687869</v>
      </c>
      <c r="L20" s="38">
        <f t="shared" si="2"/>
        <v>102.43151900277506</v>
      </c>
      <c r="M20" s="27"/>
      <c r="N20" s="15">
        <f t="shared" si="3"/>
        <v>64.629919221063417</v>
      </c>
      <c r="O20" s="15">
        <f t="shared" si="0"/>
        <v>72.515962066078316</v>
      </c>
      <c r="P20" s="15">
        <f t="shared" si="0"/>
        <v>75</v>
      </c>
      <c r="Q20" s="15">
        <f t="shared" si="0"/>
        <v>75</v>
      </c>
      <c r="R20" s="61">
        <f t="shared" si="0"/>
        <v>75</v>
      </c>
      <c r="S20" s="31">
        <f t="shared" si="4"/>
        <v>125.87141750580945</v>
      </c>
    </row>
    <row r="21" spans="1:19" ht="13.5" thickBot="1" x14ac:dyDescent="0.25">
      <c r="A21" s="113"/>
      <c r="B21" s="52"/>
      <c r="C21" s="53"/>
      <c r="D21" s="48"/>
      <c r="E21" s="11"/>
      <c r="F21" s="121">
        <v>6750</v>
      </c>
      <c r="G21" s="34">
        <f t="shared" si="1"/>
        <v>70.218283941830748</v>
      </c>
      <c r="H21" s="41">
        <f t="shared" si="2"/>
        <v>69.046840374999945</v>
      </c>
      <c r="I21" s="38">
        <f t="shared" si="2"/>
        <v>77.471829111991838</v>
      </c>
      <c r="J21" s="38">
        <f t="shared" si="2"/>
        <v>86.924821952182938</v>
      </c>
      <c r="K21" s="38">
        <f t="shared" si="2"/>
        <v>97.531254367261681</v>
      </c>
      <c r="L21" s="38">
        <f t="shared" si="2"/>
        <v>109.43186727128656</v>
      </c>
      <c r="M21" s="27"/>
      <c r="N21" s="15">
        <f t="shared" si="3"/>
        <v>69.046840374999945</v>
      </c>
      <c r="O21" s="15">
        <f t="shared" si="0"/>
        <v>75</v>
      </c>
      <c r="P21" s="15">
        <f t="shared" si="0"/>
        <v>75</v>
      </c>
      <c r="Q21" s="15">
        <f t="shared" si="0"/>
        <v>75</v>
      </c>
      <c r="R21" s="61">
        <f t="shared" si="0"/>
        <v>75</v>
      </c>
      <c r="S21" s="31">
        <f t="shared" si="4"/>
        <v>130.71262587141752</v>
      </c>
    </row>
    <row r="22" spans="1:19" ht="13.5" thickBot="1" x14ac:dyDescent="0.25">
      <c r="A22" s="113"/>
      <c r="B22" s="52"/>
      <c r="C22" s="53"/>
      <c r="D22" s="48"/>
      <c r="E22" s="11"/>
      <c r="F22" s="121">
        <v>7000</v>
      </c>
      <c r="G22" s="34">
        <f t="shared" si="1"/>
        <v>75.029705974842997</v>
      </c>
      <c r="H22" s="41">
        <f t="shared" si="2"/>
        <v>73.777994006799929</v>
      </c>
      <c r="I22" s="38">
        <f t="shared" si="2"/>
        <v>82.780270797009166</v>
      </c>
      <c r="J22" s="38">
        <f t="shared" si="2"/>
        <v>92.880991486358198</v>
      </c>
      <c r="K22" s="38">
        <f t="shared" si="2"/>
        <v>104.21418650155745</v>
      </c>
      <c r="L22" s="38">
        <f t="shared" si="2"/>
        <v>116.93024045481403</v>
      </c>
      <c r="M22" s="27"/>
      <c r="N22" s="15">
        <f t="shared" si="3"/>
        <v>73.777994006799929</v>
      </c>
      <c r="O22" s="15">
        <f t="shared" si="3"/>
        <v>75</v>
      </c>
      <c r="P22" s="15">
        <f t="shared" si="3"/>
        <v>75</v>
      </c>
      <c r="Q22" s="15">
        <f t="shared" si="3"/>
        <v>75</v>
      </c>
      <c r="R22" s="61">
        <f t="shared" si="3"/>
        <v>75</v>
      </c>
      <c r="S22" s="31">
        <f t="shared" si="4"/>
        <v>135.55383423702557</v>
      </c>
    </row>
    <row r="23" spans="1:19" ht="13.5" thickBot="1" x14ac:dyDescent="0.25">
      <c r="A23" s="113"/>
      <c r="B23" s="52"/>
      <c r="C23" s="53"/>
      <c r="D23" s="48"/>
      <c r="E23" s="11"/>
      <c r="F23" s="121">
        <v>7250</v>
      </c>
      <c r="G23" s="34">
        <f t="shared" si="1"/>
        <v>80.17169141810524</v>
      </c>
      <c r="H23" s="41">
        <f t="shared" ref="H23:L24" si="5">$G23*(H$5/1.4)^0.05</f>
        <v>78.834196297440016</v>
      </c>
      <c r="I23" s="38">
        <f t="shared" si="5"/>
        <v>88.453423075791221</v>
      </c>
      <c r="J23" s="38">
        <f t="shared" si="5"/>
        <v>99.246373037216898</v>
      </c>
      <c r="K23" s="38">
        <f t="shared" si="5"/>
        <v>111.35626207029416</v>
      </c>
      <c r="L23" s="38">
        <f t="shared" si="5"/>
        <v>124.9437810449558</v>
      </c>
      <c r="M23" s="27"/>
      <c r="N23" s="15">
        <f t="shared" ref="N23:R25" si="6">IF(H23&gt;75,75,H23)</f>
        <v>75</v>
      </c>
      <c r="O23" s="15">
        <f t="shared" si="6"/>
        <v>75</v>
      </c>
      <c r="P23" s="15">
        <f t="shared" si="6"/>
        <v>75</v>
      </c>
      <c r="Q23" s="15">
        <f t="shared" si="6"/>
        <v>75</v>
      </c>
      <c r="R23" s="61">
        <f t="shared" si="6"/>
        <v>75</v>
      </c>
      <c r="S23" s="31">
        <f t="shared" si="4"/>
        <v>140.39504260263362</v>
      </c>
    </row>
    <row r="24" spans="1:19" ht="13.5" thickBot="1" x14ac:dyDescent="0.25">
      <c r="A24" s="113"/>
      <c r="B24" s="52"/>
      <c r="C24" s="53"/>
      <c r="D24" s="48"/>
      <c r="E24" s="11"/>
      <c r="F24" s="121">
        <v>7500</v>
      </c>
      <c r="G24" s="34">
        <f t="shared" si="1"/>
        <v>85.655239959117495</v>
      </c>
      <c r="H24" s="41">
        <f t="shared" si="5"/>
        <v>84.226263427896953</v>
      </c>
      <c r="I24" s="38">
        <f t="shared" si="5"/>
        <v>94.503421902998923</v>
      </c>
      <c r="J24" s="38">
        <f t="shared" si="5"/>
        <v>106.03458336984917</v>
      </c>
      <c r="K24" s="38">
        <f t="shared" si="5"/>
        <v>118.97275933519084</v>
      </c>
      <c r="L24" s="38">
        <f t="shared" si="5"/>
        <v>133.4896315333103</v>
      </c>
      <c r="M24" s="27"/>
      <c r="N24" s="15">
        <f t="shared" si="6"/>
        <v>75</v>
      </c>
      <c r="O24" s="15">
        <f t="shared" si="6"/>
        <v>75</v>
      </c>
      <c r="P24" s="15">
        <f t="shared" si="6"/>
        <v>75</v>
      </c>
      <c r="Q24" s="15">
        <f t="shared" si="6"/>
        <v>75</v>
      </c>
      <c r="R24" s="61">
        <f t="shared" si="6"/>
        <v>75</v>
      </c>
      <c r="S24" s="31">
        <f t="shared" si="4"/>
        <v>145.23625096824168</v>
      </c>
    </row>
    <row r="25" spans="1:19" ht="13.5" thickBot="1" x14ac:dyDescent="0.25">
      <c r="A25" s="1"/>
      <c r="B25" s="52"/>
      <c r="C25" s="11"/>
      <c r="F25" s="122">
        <v>12000</v>
      </c>
      <c r="G25" s="34">
        <f t="shared" si="1"/>
        <v>255.30604716258799</v>
      </c>
      <c r="H25" s="42">
        <f>$G25*(H$5/1.4)^0.05</f>
        <v>251.04680569822278</v>
      </c>
      <c r="I25" s="43">
        <f>$G25*(I$5/1.4)^0.05</f>
        <v>281.67914888696527</v>
      </c>
      <c r="J25" s="43">
        <f>$G25*(J$5/1.4)^0.05</f>
        <v>316.04920324324542</v>
      </c>
      <c r="K25" s="43">
        <f>$G25*(K$5/1.4)^0.05</f>
        <v>354.61303850635329</v>
      </c>
      <c r="L25" s="43">
        <f>$G25*(L$5/1.4)^0.05</f>
        <v>397.88237334022114</v>
      </c>
      <c r="M25" s="62"/>
      <c r="N25" s="63">
        <f t="shared" si="6"/>
        <v>75</v>
      </c>
      <c r="O25" s="63">
        <f t="shared" si="6"/>
        <v>75</v>
      </c>
      <c r="P25" s="63">
        <f t="shared" si="6"/>
        <v>75</v>
      </c>
      <c r="Q25" s="63">
        <f t="shared" si="6"/>
        <v>75</v>
      </c>
      <c r="R25" s="64">
        <f t="shared" si="6"/>
        <v>75</v>
      </c>
      <c r="S25" s="31">
        <f t="shared" si="4"/>
        <v>232.37800154918668</v>
      </c>
    </row>
    <row r="26" spans="1:19" ht="42.75" customHeight="1" thickBot="1" x14ac:dyDescent="0.25"/>
    <row r="27" spans="1:19" ht="13.5" thickBot="1" x14ac:dyDescent="0.25">
      <c r="F27" s="25" t="s">
        <v>53</v>
      </c>
      <c r="G27" s="26" t="s">
        <v>54</v>
      </c>
      <c r="H27" s="26"/>
      <c r="I27" s="22" t="s">
        <v>55</v>
      </c>
    </row>
    <row r="28" spans="1:19" x14ac:dyDescent="0.2">
      <c r="C28" s="3"/>
      <c r="D28" s="15"/>
      <c r="E28" s="129">
        <f>F28/51.64</f>
        <v>3.8729666924864445</v>
      </c>
      <c r="F28" s="55">
        <v>200</v>
      </c>
      <c r="G28" s="56">
        <v>115</v>
      </c>
      <c r="H28" s="56"/>
      <c r="I28" s="57">
        <v>120</v>
      </c>
    </row>
    <row r="29" spans="1:19" x14ac:dyDescent="0.2">
      <c r="C29" s="3"/>
      <c r="D29" s="15"/>
      <c r="E29" s="129">
        <f t="shared" ref="E29:E42" si="7">F29/51.64</f>
        <v>7.7459333849728891</v>
      </c>
      <c r="F29" s="29">
        <v>400</v>
      </c>
      <c r="G29">
        <v>115</v>
      </c>
      <c r="I29" s="28">
        <v>120</v>
      </c>
    </row>
    <row r="30" spans="1:19" x14ac:dyDescent="0.2">
      <c r="E30" s="129">
        <f t="shared" si="7"/>
        <v>9.6824167312161116</v>
      </c>
      <c r="F30" s="29">
        <v>500</v>
      </c>
      <c r="G30">
        <v>120</v>
      </c>
      <c r="I30" s="28">
        <v>120</v>
      </c>
    </row>
    <row r="31" spans="1:19" x14ac:dyDescent="0.2">
      <c r="C31" s="3"/>
      <c r="D31" s="16"/>
      <c r="E31" s="129">
        <f t="shared" si="7"/>
        <v>14.523625096824167</v>
      </c>
      <c r="F31" s="29">
        <v>750</v>
      </c>
      <c r="G31">
        <v>120</v>
      </c>
      <c r="I31" s="28">
        <v>120</v>
      </c>
    </row>
    <row r="32" spans="1:19" x14ac:dyDescent="0.2">
      <c r="C32" s="3"/>
      <c r="D32" s="16"/>
      <c r="E32" s="129">
        <f t="shared" si="7"/>
        <v>19.364833462432223</v>
      </c>
      <c r="F32" s="29">
        <v>1000</v>
      </c>
      <c r="G32">
        <v>120</v>
      </c>
      <c r="I32" s="28">
        <v>150</v>
      </c>
    </row>
    <row r="33" spans="3:9" x14ac:dyDescent="0.2">
      <c r="D33" s="16"/>
      <c r="E33" s="129">
        <f t="shared" si="7"/>
        <v>38.729666924864446</v>
      </c>
      <c r="F33" s="29">
        <v>2000</v>
      </c>
      <c r="G33">
        <v>120</v>
      </c>
      <c r="I33" s="28">
        <v>150</v>
      </c>
    </row>
    <row r="34" spans="3:9" x14ac:dyDescent="0.2">
      <c r="E34" s="129">
        <f t="shared" si="7"/>
        <v>67.776917118512785</v>
      </c>
      <c r="F34" s="29">
        <v>3500</v>
      </c>
      <c r="G34">
        <v>120</v>
      </c>
      <c r="I34" s="28">
        <v>150</v>
      </c>
    </row>
    <row r="35" spans="3:9" x14ac:dyDescent="0.2">
      <c r="E35" s="129">
        <f t="shared" si="7"/>
        <v>77.459333849728893</v>
      </c>
      <c r="F35" s="123">
        <v>4000</v>
      </c>
      <c r="G35">
        <v>120</v>
      </c>
      <c r="I35" s="28">
        <v>135</v>
      </c>
    </row>
    <row r="36" spans="3:9" x14ac:dyDescent="0.2">
      <c r="C36" s="124" t="s">
        <v>56</v>
      </c>
      <c r="D36" s="17" t="b">
        <v>0</v>
      </c>
      <c r="E36" s="129">
        <f t="shared" si="7"/>
        <v>96.824167312161109</v>
      </c>
      <c r="F36" s="123">
        <v>5000</v>
      </c>
      <c r="G36">
        <v>120</v>
      </c>
      <c r="I36" s="28">
        <v>135</v>
      </c>
    </row>
    <row r="37" spans="3:9" x14ac:dyDescent="0.2">
      <c r="D37" s="1">
        <f>IF(D36=TRUE,2,1)</f>
        <v>1</v>
      </c>
      <c r="E37" s="129">
        <f t="shared" si="7"/>
        <v>116.18900077459334</v>
      </c>
      <c r="F37" s="123">
        <v>6000</v>
      </c>
      <c r="G37">
        <v>120</v>
      </c>
      <c r="I37" s="28">
        <v>135</v>
      </c>
    </row>
    <row r="38" spans="3:9" x14ac:dyDescent="0.2">
      <c r="C38" s="124"/>
      <c r="D38" s="46"/>
      <c r="E38" s="129">
        <f t="shared" si="7"/>
        <v>135.55383423702557</v>
      </c>
      <c r="F38" s="123">
        <v>7000</v>
      </c>
      <c r="G38">
        <v>120</v>
      </c>
      <c r="I38" s="28">
        <v>135</v>
      </c>
    </row>
    <row r="39" spans="3:9" x14ac:dyDescent="0.2">
      <c r="C39" s="125"/>
      <c r="D39" s="1"/>
      <c r="E39" s="129">
        <f t="shared" si="7"/>
        <v>174.28350116189</v>
      </c>
      <c r="F39" s="123">
        <v>9000</v>
      </c>
      <c r="G39">
        <v>120</v>
      </c>
      <c r="I39" s="28">
        <v>135</v>
      </c>
    </row>
    <row r="40" spans="3:9" x14ac:dyDescent="0.2">
      <c r="E40" s="129">
        <f t="shared" si="7"/>
        <v>193.64833462432222</v>
      </c>
      <c r="F40" s="123">
        <v>10000</v>
      </c>
      <c r="G40">
        <v>120</v>
      </c>
      <c r="I40" s="28">
        <v>135</v>
      </c>
    </row>
    <row r="41" spans="3:9" x14ac:dyDescent="0.2">
      <c r="C41" s="97"/>
      <c r="D41" s="31"/>
      <c r="E41" s="129">
        <f t="shared" si="7"/>
        <v>213.01316808675446</v>
      </c>
      <c r="F41" s="123">
        <v>11000</v>
      </c>
      <c r="G41">
        <v>120</v>
      </c>
      <c r="I41" s="28">
        <v>135</v>
      </c>
    </row>
    <row r="42" spans="3:9" ht="13.5" thickBot="1" x14ac:dyDescent="0.25">
      <c r="D42" s="31"/>
      <c r="E42" s="129">
        <f t="shared" si="7"/>
        <v>232.37800154918668</v>
      </c>
      <c r="F42" s="126">
        <v>12000</v>
      </c>
      <c r="G42">
        <v>120</v>
      </c>
      <c r="H42" s="58"/>
      <c r="I42" s="24">
        <v>135</v>
      </c>
    </row>
    <row r="43" spans="3:9" x14ac:dyDescent="0.2">
      <c r="C43" s="97"/>
      <c r="D43" s="31"/>
    </row>
    <row r="44" spans="3:9" x14ac:dyDescent="0.2">
      <c r="D44" s="31"/>
      <c r="E44" s="18"/>
      <c r="F44" t="s">
        <v>57</v>
      </c>
      <c r="G44" s="15">
        <f>IF(B5&lt;F30,IF(B5&lt;F29,115,115+(B5-400)/100*5),120)</f>
        <v>120</v>
      </c>
      <c r="I44">
        <f>IF(B5&lt;F32,IF(B5&lt;F31,120,120+(B5-750)/250*15),150)</f>
        <v>150</v>
      </c>
    </row>
    <row r="45" spans="3:9" x14ac:dyDescent="0.2">
      <c r="F45" t="s">
        <v>58</v>
      </c>
      <c r="G45" s="15">
        <f>IF(B5&gt;F34,IF(B5&gt;F35,120,120+(4000-B5)/500*5),120)</f>
        <v>120</v>
      </c>
      <c r="I45">
        <f>IF(B5&gt;F34,IF(B5&gt;F35,135,135+(4000-B5)/500*15),150)</f>
        <v>150</v>
      </c>
    </row>
    <row r="47" spans="3:9" x14ac:dyDescent="0.2">
      <c r="F47" s="3" t="s">
        <v>59</v>
      </c>
      <c r="G47" s="15">
        <f>MIN(G44,G45)</f>
        <v>120</v>
      </c>
      <c r="I47" s="15">
        <f>MIN(I44,I45)</f>
        <v>150</v>
      </c>
    </row>
    <row r="48" spans="3:9" x14ac:dyDescent="0.2">
      <c r="F48" s="3" t="s">
        <v>60</v>
      </c>
      <c r="G48">
        <f>-IF(B7&gt;3600,15/(8000-3600)*(B7-3600),0)</f>
        <v>0</v>
      </c>
    </row>
    <row r="49" spans="3:9" x14ac:dyDescent="0.2">
      <c r="F49" t="s">
        <v>61</v>
      </c>
      <c r="G49" s="15">
        <f>G47+G48</f>
        <v>120</v>
      </c>
      <c r="I49" s="1">
        <f>IF(B7&gt;3600,"N/A",I47)</f>
        <v>150</v>
      </c>
    </row>
    <row r="50" spans="3:9" x14ac:dyDescent="0.2">
      <c r="D50">
        <v>1</v>
      </c>
    </row>
    <row r="51" spans="3:9" x14ac:dyDescent="0.2">
      <c r="C51" s="97" t="s">
        <v>40</v>
      </c>
      <c r="D51" s="97" t="s">
        <v>62</v>
      </c>
    </row>
    <row r="52" spans="3:9" x14ac:dyDescent="0.2">
      <c r="C52">
        <v>200</v>
      </c>
      <c r="D52">
        <f>E52*D$50</f>
        <v>15000</v>
      </c>
      <c r="E52">
        <v>15000</v>
      </c>
    </row>
    <row r="53" spans="3:9" x14ac:dyDescent="0.2">
      <c r="C53">
        <v>400</v>
      </c>
      <c r="D53">
        <f t="shared" ref="D53:D59" si="8">E53*D$50</f>
        <v>15000</v>
      </c>
      <c r="E53">
        <v>15000</v>
      </c>
    </row>
    <row r="54" spans="3:9" x14ac:dyDescent="0.2">
      <c r="C54">
        <v>1000</v>
      </c>
      <c r="D54">
        <f t="shared" si="8"/>
        <v>14250</v>
      </c>
      <c r="E54">
        <v>14250</v>
      </c>
    </row>
    <row r="55" spans="3:9" x14ac:dyDescent="0.2">
      <c r="C55">
        <v>1500</v>
      </c>
      <c r="D55">
        <f t="shared" si="8"/>
        <v>13000</v>
      </c>
      <c r="E55">
        <v>13000</v>
      </c>
    </row>
    <row r="56" spans="3:9" x14ac:dyDescent="0.2">
      <c r="C56">
        <v>2000</v>
      </c>
      <c r="D56">
        <f t="shared" si="8"/>
        <v>12000</v>
      </c>
      <c r="E56">
        <v>12000</v>
      </c>
    </row>
    <row r="57" spans="3:9" x14ac:dyDescent="0.2">
      <c r="C57">
        <v>2500</v>
      </c>
      <c r="D57">
        <f t="shared" si="8"/>
        <v>11100</v>
      </c>
      <c r="E57">
        <v>11100</v>
      </c>
    </row>
    <row r="58" spans="3:9" x14ac:dyDescent="0.2">
      <c r="C58">
        <v>4000</v>
      </c>
      <c r="D58">
        <f t="shared" si="8"/>
        <v>8500</v>
      </c>
      <c r="E58">
        <v>8500</v>
      </c>
    </row>
    <row r="59" spans="3:9" x14ac:dyDescent="0.2">
      <c r="C59">
        <v>5000</v>
      </c>
      <c r="D59">
        <f t="shared" si="8"/>
        <v>8000</v>
      </c>
      <c r="E59">
        <v>8000</v>
      </c>
    </row>
    <row r="66" spans="3:5" x14ac:dyDescent="0.2">
      <c r="C66" s="127" t="s">
        <v>63</v>
      </c>
      <c r="D66" s="31">
        <f>0.0000001033*B5^3 - 0.00067856*B5^2 - 0.641204*B5 + 15273</f>
        <v>11339.284079311656</v>
      </c>
    </row>
    <row r="67" spans="3:5" x14ac:dyDescent="0.2">
      <c r="C67" s="124" t="s">
        <v>64</v>
      </c>
      <c r="D67" s="31">
        <f>Input_Output_SI_units!J32</f>
        <v>16040.097807775728</v>
      </c>
    </row>
    <row r="68" spans="3:5" x14ac:dyDescent="0.2">
      <c r="C68" s="124" t="s">
        <v>65</v>
      </c>
      <c r="D68" s="15">
        <f>2*(D67-D66)/1000</f>
        <v>9.4016274569281446</v>
      </c>
      <c r="E68" s="128" t="s">
        <v>66</v>
      </c>
    </row>
    <row r="69" spans="3:5" x14ac:dyDescent="0.2">
      <c r="C69" s="124" t="s">
        <v>67</v>
      </c>
      <c r="D69">
        <f>IF(B5&gt;5000, 0,1)</f>
        <v>1</v>
      </c>
    </row>
    <row r="70" spans="3:5" x14ac:dyDescent="0.2">
      <c r="C70" s="124" t="s">
        <v>68</v>
      </c>
      <c r="D70">
        <f>IF(D68&lt;0,0,1)</f>
        <v>1</v>
      </c>
    </row>
    <row r="71" spans="3:5" x14ac:dyDescent="0.2">
      <c r="C71" s="124" t="s">
        <v>69</v>
      </c>
      <c r="D71" s="15">
        <f>D68*D69*D70</f>
        <v>9.4016274569281446</v>
      </c>
      <c r="E71" s="97" t="s">
        <v>66</v>
      </c>
    </row>
  </sheetData>
  <sheetProtection sheet="1" objects="1" scenarios="1"/>
  <pageMargins left="0.75" right="0.75" top="1" bottom="1" header="0.5" footer="0.5"/>
  <pageSetup orientation="portrait" r:id="rId1"/>
  <headerFooter alignWithMargins="0"/>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3FF5BB9810E8454BA2B38D00B6D18848" ma:contentTypeVersion="3" ma:contentTypeDescription="Creare un nuovo documento." ma:contentTypeScope="" ma:versionID="85968c8a5930af966cb491cc87274750">
  <xsd:schema xmlns:xsd="http://www.w3.org/2001/XMLSchema" xmlns:xs="http://www.w3.org/2001/XMLSchema" xmlns:p="http://schemas.microsoft.com/office/2006/metadata/properties" xmlns:ns2="427a1db5-2437-44f3-a84b-464aead4a71a" targetNamespace="http://schemas.microsoft.com/office/2006/metadata/properties" ma:root="true" ma:fieldsID="d822db9e2d05bc620d08fbffa4bfffa8" ns2:_="">
    <xsd:import namespace="427a1db5-2437-44f3-a84b-464aead4a71a"/>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27a1db5-2437-44f3-a84b-464aead4a71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i contenuto"/>
        <xsd:element ref="dc:title" minOccurs="0" maxOccurs="1" ma:index="4" ma:displayName="Tito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538C65AC-3B22-428A-8782-54C85D6EF4B8}">
  <ds:schemaRefs>
    <ds:schemaRef ds:uri="http://schemas.microsoft.com/sharepoint/v3/contenttype/forms"/>
  </ds:schemaRefs>
</ds:datastoreItem>
</file>

<file path=customXml/itemProps2.xml><?xml version="1.0" encoding="utf-8"?>
<ds:datastoreItem xmlns:ds="http://schemas.openxmlformats.org/officeDocument/2006/customXml" ds:itemID="{EEDE3479-6576-4AA4-95D3-D736EC925D21}"/>
</file>

<file path=customXml/itemProps3.xml><?xml version="1.0" encoding="utf-8"?>
<ds:datastoreItem xmlns:ds="http://schemas.openxmlformats.org/officeDocument/2006/customXml" ds:itemID="{90098DE5-6FF4-4227-B3D4-609AB9ECB213}">
  <ds:schemaRefs>
    <ds:schemaRef ds:uri="http://www.w3.org/XML/1998/namespace"/>
    <ds:schemaRef ds:uri="http://purl.org/dc/terms/"/>
    <ds:schemaRef ds:uri="http://purl.org/dc/elements/1.1/"/>
    <ds:schemaRef ds:uri="http://schemas.microsoft.com/office/infopath/2007/PartnerControls"/>
    <ds:schemaRef ds:uri="http://schemas.openxmlformats.org/package/2006/metadata/core-properties"/>
    <ds:schemaRef ds:uri="http://schemas.microsoft.com/office/2006/documentManagement/types"/>
    <ds:schemaRef ds:uri="f16ae08e-32aa-43c4-955b-813e13c9303e"/>
    <ds:schemaRef ds:uri="2710bc8b-17c9-4e36-a567-5a8748d28b44"/>
    <ds:schemaRef ds:uri="http://schemas.microsoft.com/office/2006/metadata/properties"/>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5</vt:i4>
      </vt:variant>
      <vt:variant>
        <vt:lpstr>Intervalli denominati</vt:lpstr>
      </vt:variant>
      <vt:variant>
        <vt:i4>5</vt:i4>
      </vt:variant>
    </vt:vector>
  </HeadingPairs>
  <TitlesOfParts>
    <vt:vector size="10" baseType="lpstr">
      <vt:lpstr>Cover</vt:lpstr>
      <vt:lpstr>Input_Output_US_units</vt:lpstr>
      <vt:lpstr>Input_Output_SI_units</vt:lpstr>
      <vt:lpstr>Supporting data_US_units</vt:lpstr>
      <vt:lpstr>Supporting data_SI_units</vt:lpstr>
      <vt:lpstr>Cover!Area_stampa</vt:lpstr>
      <vt:lpstr>Input_Output_SI_units!Area_stampa</vt:lpstr>
      <vt:lpstr>Input_Output_US_units!Area_stampa</vt:lpstr>
      <vt:lpstr>Input_Output_SI_units!Suction_Diameter</vt:lpstr>
      <vt:lpstr>Input_Output_US_units!Suction_Diameter</vt:lpstr>
    </vt:vector>
  </TitlesOfParts>
  <Manager/>
  <Company>Sulzer Pumps (US)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Carmine Delli Quadri</cp:lastModifiedBy>
  <cp:revision/>
  <cp:lastPrinted>2023-11-23T07:54:42Z</cp:lastPrinted>
  <dcterms:created xsi:type="dcterms:W3CDTF">2005-04-18T17:50:19Z</dcterms:created>
  <dcterms:modified xsi:type="dcterms:W3CDTF">2024-08-29T11:41:34Z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0x0101003FF5BB9810E8454BA2B38D00B6D18848</vt:lpwstr>
  </property>
  <property fmtid="{D5CDD505-2E9C-101B-9397-08002B2CF9AE}" pid="3" name="MediaServiceImageTags">
    <vt:lpwstr/>
  </property>
</Properties>
</file>