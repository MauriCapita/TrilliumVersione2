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codeName="Questa_cartella_di_lavoro" defaultThemeVersion="124226"/>
  <xr:revisionPtr revIDLastSave="2" documentId="8_{494DE535-D146-4410-B93D-E19FFE21A07C}" xr6:coauthVersionLast="47" xr6:coauthVersionMax="47" xr10:uidLastSave="{26D81464-008F-4FB2-82BD-854B1B55A74F}"/>
  <bookViews>
    <workbookView xWindow="-120" yWindow="-120" windowWidth="19440" windowHeight="14880" xr2:uid="{00000000-000D-0000-FFFF-FFFF00000000}"/>
  </bookViews>
  <sheets>
    <sheet name="content" sheetId="7" r:id="rId1"/>
    <sheet name="overhung pump" sheetId="6" r:id="rId2"/>
    <sheet name="Duncan-Hood diagram" sheetId="5" r:id="rId3"/>
  </sheets>
  <definedNames>
    <definedName name="costK">725000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1" i="5" l="1"/>
  <c r="AA10" i="5"/>
  <c r="D3" i="6" l="1"/>
  <c r="P9" i="6"/>
  <c r="P10" i="6" s="1"/>
  <c r="P8" i="6"/>
  <c r="C4" i="6"/>
  <c r="D4" i="6" s="1"/>
  <c r="C5" i="6"/>
  <c r="D5" i="6" s="1"/>
  <c r="C6" i="6"/>
  <c r="D6" i="6" s="1"/>
  <c r="C7" i="6"/>
  <c r="D7" i="6" s="1"/>
  <c r="C8" i="6"/>
  <c r="D8" i="6" s="1"/>
  <c r="C3" i="6"/>
  <c r="P7" i="5"/>
  <c r="P8" i="5" s="1"/>
  <c r="P11" i="5" s="1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5" i="5"/>
  <c r="X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P12" i="5" l="1"/>
  <c r="P13" i="5"/>
</calcChain>
</file>

<file path=xl/sharedStrings.xml><?xml version="1.0" encoding="utf-8"?>
<sst xmlns="http://schemas.openxmlformats.org/spreadsheetml/2006/main" count="71" uniqueCount="58">
  <si>
    <t>First issue</t>
  </si>
  <si>
    <t>Rev.</t>
  </si>
  <si>
    <t>Date</t>
  </si>
  <si>
    <t>Description</t>
  </si>
  <si>
    <t>Prepared</t>
  </si>
  <si>
    <t>Checked</t>
  </si>
  <si>
    <t>Approved</t>
  </si>
  <si>
    <r>
      <t>K</t>
    </r>
    <r>
      <rPr>
        <vertAlign val="subscript"/>
        <sz val="11"/>
        <color theme="1"/>
        <rFont val="Calibri"/>
        <family val="2"/>
        <scheme val="minor"/>
      </rPr>
      <t>t</t>
    </r>
  </si>
  <si>
    <r>
      <t>I</t>
    </r>
    <r>
      <rPr>
        <vertAlign val="subscript"/>
        <sz val="11"/>
        <color theme="1"/>
        <rFont val="Calibri"/>
        <family val="2"/>
        <scheme val="minor"/>
      </rPr>
      <t>SF</t>
    </r>
  </si>
  <si>
    <t>+20%</t>
  </si>
  <si>
    <t>Pump Data</t>
  </si>
  <si>
    <r>
      <rPr>
        <b/>
        <sz val="11"/>
        <color rgb="FFFFFFFF"/>
        <rFont val="Calibri"/>
        <family val="2"/>
      </rPr>
      <t xml:space="preserve">Q </t>
    </r>
    <r>
      <rPr>
        <b/>
        <sz val="11"/>
        <color rgb="FFFFFFFF"/>
        <rFont val="Calibri"/>
        <family val="2"/>
        <scheme val="minor"/>
      </rPr>
      <t>[m</t>
    </r>
    <r>
      <rPr>
        <b/>
        <vertAlign val="superscript"/>
        <sz val="11"/>
        <color rgb="FFFFFFFF"/>
        <rFont val="Calibri"/>
        <family val="2"/>
        <scheme val="minor"/>
      </rPr>
      <t>3</t>
    </r>
    <r>
      <rPr>
        <b/>
        <sz val="11"/>
        <color rgb="FFFFFFFF"/>
        <rFont val="Calibri"/>
        <family val="2"/>
        <scheme val="minor"/>
      </rPr>
      <t>/h]</t>
    </r>
  </si>
  <si>
    <t>(flow at BEP)</t>
  </si>
  <si>
    <t>H [m]</t>
  </si>
  <si>
    <t>(corresponding total head)</t>
  </si>
  <si>
    <r>
      <t>n</t>
    </r>
    <r>
      <rPr>
        <b/>
        <vertAlign val="subscript"/>
        <sz val="11"/>
        <color rgb="FFFFFFFF"/>
        <rFont val="Calibri"/>
        <family val="2"/>
        <scheme val="minor"/>
      </rPr>
      <t xml:space="preserve"> </t>
    </r>
    <r>
      <rPr>
        <b/>
        <sz val="11"/>
        <color rgb="FFFFFFFF"/>
        <rFont val="Calibri"/>
        <family val="2"/>
        <scheme val="minor"/>
      </rPr>
      <t>[rpm]</t>
    </r>
  </si>
  <si>
    <t>(rotational speed)</t>
  </si>
  <si>
    <r>
      <t>L</t>
    </r>
    <r>
      <rPr>
        <b/>
        <vertAlign val="subscript"/>
        <sz val="11"/>
        <color rgb="FFFFFFFF"/>
        <rFont val="Calibri"/>
        <family val="2"/>
        <scheme val="minor"/>
      </rPr>
      <t>1</t>
    </r>
    <r>
      <rPr>
        <b/>
        <sz val="11"/>
        <color rgb="FFFFFFFF"/>
        <rFont val="Calibri"/>
        <family val="2"/>
        <scheme val="minor"/>
      </rPr>
      <t xml:space="preserve"> [mm]</t>
    </r>
  </si>
  <si>
    <t>(distance between overhang centerline of impeller and line bearing )</t>
  </si>
  <si>
    <r>
      <t>D</t>
    </r>
    <r>
      <rPr>
        <b/>
        <vertAlign val="subscript"/>
        <sz val="11"/>
        <color rgb="FFFFFFFF"/>
        <rFont val="Calibri"/>
        <family val="2"/>
        <scheme val="minor"/>
      </rPr>
      <t>1</t>
    </r>
    <r>
      <rPr>
        <b/>
        <sz val="11"/>
        <color rgb="FFFFFFFF"/>
        <rFont val="Calibri"/>
        <family val="2"/>
        <scheme val="minor"/>
      </rPr>
      <t xml:space="preserve"> [mm]</t>
    </r>
  </si>
  <si>
    <t>(diameter under the seal sleeve)</t>
  </si>
  <si>
    <r>
      <rPr>
        <b/>
        <sz val="11"/>
        <color rgb="FFFFFFFF"/>
        <rFont val="Calibri"/>
        <family val="2"/>
      </rPr>
      <t>K</t>
    </r>
    <r>
      <rPr>
        <b/>
        <vertAlign val="subscript"/>
        <sz val="11"/>
        <color rgb="FFFFFFFF"/>
        <rFont val="Calibri"/>
        <family val="2"/>
      </rPr>
      <t>t</t>
    </r>
  </si>
  <si>
    <t>(size factor)</t>
  </si>
  <si>
    <r>
      <rPr>
        <b/>
        <sz val="11"/>
        <color rgb="FFFFFFFF"/>
        <rFont val="Calibri"/>
        <family val="2"/>
      </rPr>
      <t>I</t>
    </r>
    <r>
      <rPr>
        <b/>
        <vertAlign val="subscript"/>
        <sz val="11"/>
        <color rgb="FFFFFFFF"/>
        <rFont val="Calibri"/>
        <family val="2"/>
      </rPr>
      <t>SF</t>
    </r>
  </si>
  <si>
    <t>(flexibility index)</t>
  </si>
  <si>
    <t>check</t>
  </si>
  <si>
    <t>(verified if lower than 1.2)</t>
  </si>
  <si>
    <t>Legend</t>
  </si>
  <si>
    <t>input data</t>
  </si>
  <si>
    <t>descriptor</t>
  </si>
  <si>
    <t>calculated</t>
  </si>
  <si>
    <t>annotation</t>
  </si>
  <si>
    <r>
      <t>f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[Hz]</t>
    </r>
  </si>
  <si>
    <t>n [rpm]</t>
  </si>
  <si>
    <t>(operating speed)</t>
  </si>
  <si>
    <r>
      <t>f</t>
    </r>
    <r>
      <rPr>
        <vertAlign val="subscript"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/f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[-]</t>
    </r>
  </si>
  <si>
    <t>M [kg]</t>
  </si>
  <si>
    <t>(rotor mass)</t>
  </si>
  <si>
    <t>K</t>
  </si>
  <si>
    <t>L[mm]</t>
  </si>
  <si>
    <t>(bearing span)</t>
  </si>
  <si>
    <t>D [mm]</t>
  </si>
  <si>
    <t>(shaft diameter [largest] at impeller )</t>
  </si>
  <si>
    <t>W [N]</t>
  </si>
  <si>
    <t>(rotor weight)</t>
  </si>
  <si>
    <t>K [-]</t>
  </si>
  <si>
    <t>(K factor)</t>
  </si>
  <si>
    <t>check table</t>
  </si>
  <si>
    <t>Wet Running Pumps</t>
  </si>
  <si>
    <t>Dry Running Pumps</t>
  </si>
  <si>
    <t>Balance Disc Pumps</t>
  </si>
  <si>
    <t xml:space="preserve">Preliminary rotor sizing - API610 and Duncan &amp; Hood
(linked to SOP-520)
</t>
  </si>
  <si>
    <t>Mod.496-0</t>
  </si>
  <si>
    <t>m</t>
  </si>
  <si>
    <t>q</t>
  </si>
  <si>
    <t>Advan. Mech. Des. Man. - F. Cademartori</t>
  </si>
  <si>
    <t>Client Qualification/ EHSS -  A. Banfi/ T. Morelli Stefani</t>
  </si>
  <si>
    <t>R&amp;D Manager - M.Borghetti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</si>
</sst>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&quot;$&quot;#,##0.00;[Red]\-&quot;$&quot;#,##0.00"/>
    <numFmt numFmtId="166" formatCode="0.0"/>
  </numFmts>
  <fonts count="20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808080"/>
      <name val="Calibri"/>
      <family val="2"/>
      <scheme val="minor"/>
    </font>
    <font>
      <b/>
      <sz val="11"/>
      <color rgb="FFFFFFFF"/>
      <name val="Calibri"/>
      <family val="2"/>
    </font>
    <font>
      <b/>
      <vertAlign val="superscript"/>
      <sz val="11"/>
      <color rgb="FFFFFFFF"/>
      <name val="Calibri"/>
      <family val="2"/>
      <scheme val="minor"/>
    </font>
    <font>
      <b/>
      <vertAlign val="subscript"/>
      <sz val="11"/>
      <color rgb="FFFFFFFF"/>
      <name val="Calibri"/>
      <family val="2"/>
    </font>
    <font>
      <b/>
      <vertAlign val="subscript"/>
      <sz val="11"/>
      <color rgb="FFFFFFFF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2"/>
      <color indexed="9"/>
      <name val="Arial"/>
      <family val="2"/>
    </font>
    <font>
      <sz val="26"/>
      <name val="Arial"/>
      <family val="2"/>
    </font>
    <font>
      <b/>
      <sz val="26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808080"/>
        <bgColor rgb="FF000000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1" fillId="0" borderId="0"/>
    <xf numFmtId="164" fontId="12" fillId="0" borderId="0"/>
    <xf numFmtId="165" fontId="18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4" fillId="4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2" fontId="5" fillId="0" borderId="3" xfId="0" applyNumberFormat="1" applyFont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7" fillId="4" borderId="3" xfId="0" applyFont="1" applyFill="1" applyBorder="1" applyAlignment="1">
      <alignment horizontal="center" vertical="center"/>
    </xf>
    <xf numFmtId="9" fontId="0" fillId="0" borderId="0" xfId="0" quotePrefix="1" applyNumberFormat="1" applyAlignment="1">
      <alignment horizontal="center"/>
    </xf>
    <xf numFmtId="0" fontId="7" fillId="4" borderId="4" xfId="0" applyFont="1" applyFill="1" applyBorder="1" applyAlignment="1">
      <alignment horizontal="center" vertical="center"/>
    </xf>
    <xf numFmtId="2" fontId="0" fillId="0" borderId="8" xfId="0" applyNumberFormat="1" applyBorder="1" applyAlignment="1">
      <alignment horizontal="center"/>
    </xf>
    <xf numFmtId="0" fontId="11" fillId="0" borderId="9" xfId="1" applyBorder="1" applyAlignment="1">
      <alignment horizontal="center" vertical="center"/>
    </xf>
    <xf numFmtId="0" fontId="11" fillId="0" borderId="10" xfId="1" applyBorder="1" applyAlignment="1">
      <alignment horizontal="center" vertical="center"/>
    </xf>
    <xf numFmtId="0" fontId="11" fillId="0" borderId="11" xfId="1" applyBorder="1" applyAlignment="1">
      <alignment horizontal="center" vertical="center"/>
    </xf>
    <xf numFmtId="164" fontId="12" fillId="0" borderId="0" xfId="2"/>
    <xf numFmtId="0" fontId="11" fillId="0" borderId="12" xfId="1" applyBorder="1" applyAlignment="1">
      <alignment horizontal="center" vertical="center"/>
    </xf>
    <xf numFmtId="0" fontId="11" fillId="0" borderId="0" xfId="1" applyAlignment="1">
      <alignment horizontal="center" vertical="center"/>
    </xf>
    <xf numFmtId="0" fontId="11" fillId="0" borderId="13" xfId="1" applyBorder="1" applyAlignment="1">
      <alignment horizontal="center" vertical="center"/>
    </xf>
    <xf numFmtId="0" fontId="13" fillId="0" borderId="0" xfId="1" applyFont="1" applyAlignment="1">
      <alignment horizontal="center" vertical="top"/>
    </xf>
    <xf numFmtId="0" fontId="11" fillId="0" borderId="0" xfId="1" applyAlignment="1">
      <alignment horizontal="center"/>
    </xf>
    <xf numFmtId="0" fontId="14" fillId="0" borderId="0" xfId="1" applyFont="1" applyAlignment="1">
      <alignment horizontal="center" vertical="top"/>
    </xf>
    <xf numFmtId="0" fontId="15" fillId="0" borderId="13" xfId="1" applyFont="1" applyBorder="1" applyAlignment="1">
      <alignment horizontal="center" vertical="top"/>
    </xf>
    <xf numFmtId="0" fontId="16" fillId="0" borderId="12" xfId="1" applyFont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6" fillId="0" borderId="13" xfId="1" applyFont="1" applyBorder="1" applyAlignment="1">
      <alignment horizontal="center" vertical="center"/>
    </xf>
    <xf numFmtId="166" fontId="3" fillId="3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65" fontId="11" fillId="0" borderId="14" xfId="3" applyFont="1" applyBorder="1" applyAlignment="1">
      <alignment horizontal="right" vertical="center"/>
    </xf>
    <xf numFmtId="165" fontId="12" fillId="0" borderId="15" xfId="3" applyFont="1" applyBorder="1" applyAlignment="1">
      <alignment horizontal="right" vertical="center"/>
    </xf>
    <xf numFmtId="165" fontId="12" fillId="0" borderId="16" xfId="3" applyFont="1" applyBorder="1" applyAlignment="1">
      <alignment horizontal="right" vertical="center"/>
    </xf>
    <xf numFmtId="165" fontId="11" fillId="0" borderId="24" xfId="3" applyFont="1" applyBorder="1" applyAlignment="1">
      <alignment horizontal="center" vertical="center"/>
    </xf>
    <xf numFmtId="165" fontId="11" fillId="0" borderId="25" xfId="3" applyFont="1" applyBorder="1" applyAlignment="1">
      <alignment horizontal="center" vertical="center"/>
    </xf>
    <xf numFmtId="0" fontId="19" fillId="0" borderId="26" xfId="1" applyFont="1" applyBorder="1" applyAlignment="1">
      <alignment horizontal="center" vertical="center"/>
    </xf>
    <xf numFmtId="0" fontId="19" fillId="0" borderId="27" xfId="1" applyFont="1" applyBorder="1" applyAlignment="1">
      <alignment horizontal="center" vertical="center"/>
    </xf>
    <xf numFmtId="0" fontId="19" fillId="0" borderId="25" xfId="1" applyFont="1" applyBorder="1" applyAlignment="1">
      <alignment horizontal="center" vertical="center"/>
    </xf>
    <xf numFmtId="0" fontId="19" fillId="0" borderId="28" xfId="1" applyFont="1" applyBorder="1" applyAlignment="1">
      <alignment horizontal="center" vertical="center"/>
    </xf>
    <xf numFmtId="0" fontId="18" fillId="0" borderId="5" xfId="1" applyFont="1" applyBorder="1" applyAlignment="1">
      <alignment horizontal="center" vertical="center" wrapText="1"/>
    </xf>
    <xf numFmtId="0" fontId="18" fillId="0" borderId="6" xfId="1" applyFont="1" applyBorder="1" applyAlignment="1">
      <alignment horizontal="center" vertical="center" wrapText="1"/>
    </xf>
    <xf numFmtId="0" fontId="18" fillId="0" borderId="23" xfId="1" applyFont="1" applyBorder="1" applyAlignment="1">
      <alignment horizontal="center" vertical="center" wrapText="1"/>
    </xf>
    <xf numFmtId="0" fontId="11" fillId="0" borderId="22" xfId="1" applyBorder="1" applyAlignment="1">
      <alignment horizontal="center" vertical="center"/>
    </xf>
    <xf numFmtId="0" fontId="11" fillId="0" borderId="7" xfId="1" applyBorder="1" applyAlignment="1">
      <alignment horizontal="center" vertical="center"/>
    </xf>
    <xf numFmtId="0" fontId="11" fillId="0" borderId="5" xfId="1" applyBorder="1" applyAlignment="1">
      <alignment horizontal="center" vertical="center"/>
    </xf>
    <xf numFmtId="0" fontId="11" fillId="0" borderId="6" xfId="1" applyBorder="1" applyAlignment="1">
      <alignment horizontal="center" vertical="center"/>
    </xf>
    <xf numFmtId="0" fontId="11" fillId="0" borderId="23" xfId="1" applyBorder="1" applyAlignment="1">
      <alignment horizontal="center" vertical="center"/>
    </xf>
    <xf numFmtId="0" fontId="18" fillId="0" borderId="22" xfId="1" applyFont="1" applyBorder="1" applyAlignment="1">
      <alignment horizontal="center" vertical="center"/>
    </xf>
    <xf numFmtId="0" fontId="18" fillId="0" borderId="7" xfId="1" applyFont="1" applyBorder="1" applyAlignment="1">
      <alignment horizontal="center" vertical="center"/>
    </xf>
    <xf numFmtId="14" fontId="18" fillId="0" borderId="5" xfId="1" applyNumberFormat="1" applyFont="1" applyBorder="1" applyAlignment="1">
      <alignment horizontal="center" vertical="center"/>
    </xf>
    <xf numFmtId="14" fontId="18" fillId="0" borderId="6" xfId="1" applyNumberFormat="1" applyFont="1" applyBorder="1" applyAlignment="1">
      <alignment horizontal="center" vertical="center"/>
    </xf>
    <xf numFmtId="14" fontId="18" fillId="0" borderId="7" xfId="1" applyNumberFormat="1" applyFont="1" applyBorder="1" applyAlignment="1">
      <alignment horizontal="center" vertical="center"/>
    </xf>
    <xf numFmtId="0" fontId="18" fillId="0" borderId="5" xfId="1" applyFont="1" applyBorder="1" applyAlignment="1">
      <alignment horizontal="center" vertical="center"/>
    </xf>
    <xf numFmtId="0" fontId="18" fillId="0" borderId="6" xfId="1" applyFont="1" applyBorder="1" applyAlignment="1">
      <alignment horizontal="center" vertical="center"/>
    </xf>
    <xf numFmtId="0" fontId="18" fillId="0" borderId="7" xfId="1" applyFont="1" applyBorder="1" applyAlignment="1">
      <alignment horizontal="center" vertical="center" wrapText="1"/>
    </xf>
    <xf numFmtId="0" fontId="16" fillId="0" borderId="9" xfId="1" applyFont="1" applyBorder="1" applyAlignment="1">
      <alignment horizontal="center" vertical="center" wrapText="1"/>
    </xf>
    <xf numFmtId="0" fontId="16" fillId="0" borderId="10" xfId="1" applyFont="1" applyBorder="1" applyAlignment="1">
      <alignment horizontal="center" vertical="center" wrapText="1"/>
    </xf>
    <xf numFmtId="0" fontId="16" fillId="0" borderId="11" xfId="1" applyFont="1" applyBorder="1" applyAlignment="1">
      <alignment horizontal="center" vertical="center" wrapText="1"/>
    </xf>
    <xf numFmtId="0" fontId="16" fillId="0" borderId="12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13" xfId="1" applyFont="1" applyBorder="1" applyAlignment="1">
      <alignment horizontal="center" vertical="center" wrapText="1"/>
    </xf>
    <xf numFmtId="0" fontId="16" fillId="0" borderId="14" xfId="1" applyFont="1" applyBorder="1" applyAlignment="1">
      <alignment horizontal="center" vertical="center" wrapText="1"/>
    </xf>
    <xf numFmtId="0" fontId="16" fillId="0" borderId="15" xfId="1" applyFont="1" applyBorder="1" applyAlignment="1">
      <alignment horizontal="center" vertical="center" wrapText="1"/>
    </xf>
    <xf numFmtId="0" fontId="16" fillId="0" borderId="16" xfId="1" applyFont="1" applyBorder="1" applyAlignment="1">
      <alignment horizontal="center" vertical="center" wrapText="1"/>
    </xf>
    <xf numFmtId="0" fontId="11" fillId="0" borderId="17" xfId="1" applyBorder="1" applyAlignment="1">
      <alignment horizontal="center" vertical="center"/>
    </xf>
    <xf numFmtId="0" fontId="11" fillId="0" borderId="18" xfId="1" applyBorder="1" applyAlignment="1">
      <alignment horizontal="center" vertical="center"/>
    </xf>
    <xf numFmtId="0" fontId="11" fillId="0" borderId="19" xfId="1" applyBorder="1" applyAlignment="1">
      <alignment horizontal="center" vertical="center"/>
    </xf>
    <xf numFmtId="0" fontId="11" fillId="0" borderId="20" xfId="1" applyBorder="1" applyAlignment="1">
      <alignment horizontal="center" vertical="center"/>
    </xf>
    <xf numFmtId="0" fontId="11" fillId="0" borderId="21" xfId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4">
    <cellStyle name="Normale" xfId="0" builtinId="0"/>
    <cellStyle name="Normale 3" xfId="2" xr:uid="{429C1DCC-506C-45E4-96F9-6B6B44C79593}"/>
    <cellStyle name="Normale 4" xfId="1" xr:uid="{D62ECD53-6800-4307-AE35-E2F81547C183}"/>
    <cellStyle name="Valuta 2" xfId="3" xr:uid="{68DE3484-95F9-4DD9-B79E-A59DB22E7205}"/>
  </cellStyles>
  <dxfs count="0"/>
  <tableStyles count="0" defaultTableStyle="TableStyleMedium2" defaultPivotStyle="PivotStyleMedium9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'overhung pump'!$C$2</c:f>
              <c:strCache>
                <c:ptCount val="1"/>
                <c:pt idx="0">
                  <c:v>ISF</c:v>
                </c:pt>
              </c:strCache>
            </c:strRef>
          </c:tx>
          <c:spPr>
            <a:ln w="19050" cap="flat" cmpd="sng" algn="ctr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'overhung pump'!$B$3:$B$8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</c:numCache>
            </c:numRef>
          </c:xVal>
          <c:yVal>
            <c:numRef>
              <c:f>'overhung pump'!$C$3:$C$8</c:f>
              <c:numCache>
                <c:formatCode>0.00</c:formatCode>
                <c:ptCount val="6"/>
                <c:pt idx="0">
                  <c:v>32</c:v>
                </c:pt>
                <c:pt idx="1">
                  <c:v>5.5609626519979996</c:v>
                </c:pt>
                <c:pt idx="2">
                  <c:v>0.96638455052864469</c:v>
                </c:pt>
                <c:pt idx="3">
                  <c:v>0.1679383872799273</c:v>
                </c:pt>
                <c:pt idx="4">
                  <c:v>2.9184346859389077E-2</c:v>
                </c:pt>
                <c:pt idx="5">
                  <c:v>5.0716582158755585E-3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73-4223-95F4-EC6CA879A782}"/>
            </c:ext>
          </c:extLst>
        </c:ser>
        <c:ser>
          <c:idx val="6"/>
          <c:order val="1"/>
          <c:tx>
            <c:strRef>
              <c:f>'overhung pump'!$C$2</c:f>
              <c:strCache>
                <c:ptCount val="1"/>
                <c:pt idx="0">
                  <c:v>ISF</c:v>
                </c:pt>
              </c:strCache>
            </c:strRef>
          </c:tx>
          <c:spPr>
            <a:ln w="25400" cap="flat" cmpd="dbl" algn="ctr">
              <a:noFill/>
              <a:round/>
            </a:ln>
            <a:effectLst/>
          </c:spPr>
          <c:marker>
            <c:symbol val="x"/>
            <c:size val="12"/>
            <c:spPr>
              <a:noFill/>
              <a:ln w="34925" cap="flat" cmpd="sng" algn="ctr">
                <a:solidFill>
                  <a:srgbClr val="FF0000"/>
                </a:solidFill>
                <a:round/>
              </a:ln>
              <a:effectLst/>
            </c:spPr>
          </c:marker>
          <c:xVal>
            <c:numRef>
              <c:f>'overhung pump'!$P$8</c:f>
              <c:numCache>
                <c:formatCode>0.00</c:formatCode>
                <c:ptCount val="1"/>
                <c:pt idx="0">
                  <c:v>3000</c:v>
                </c:pt>
              </c:numCache>
            </c:numRef>
          </c:xVal>
          <c:yVal>
            <c:numRef>
              <c:f>'overhung pump'!$P$9</c:f>
              <c:numCache>
                <c:formatCode>0.00</c:formatCode>
                <c:ptCount val="1"/>
                <c:pt idx="0">
                  <c:v>8.6805555555555552E-2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873-4223-95F4-EC6CA879A782}"/>
            </c:ext>
          </c:extLst>
        </c:ser>
        <c:ser>
          <c:idx val="1"/>
          <c:order val="2"/>
          <c:tx>
            <c:strRef>
              <c:f>'overhung pump'!$D$2</c:f>
              <c:strCache>
                <c:ptCount val="1"/>
                <c:pt idx="0">
                  <c:v>+20%</c:v>
                </c:pt>
              </c:strCache>
            </c:strRef>
          </c:tx>
          <c:spPr>
            <a:ln w="19050" cap="flat" cmpd="sng" algn="ctr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'overhung pump'!$B$3:$B$8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</c:numCache>
            </c:numRef>
          </c:xVal>
          <c:yVal>
            <c:numRef>
              <c:f>'overhung pump'!$D$3:$D$8</c:f>
              <c:numCache>
                <c:formatCode>General</c:formatCode>
                <c:ptCount val="6"/>
                <c:pt idx="0">
                  <c:v>38.4</c:v>
                </c:pt>
                <c:pt idx="1">
                  <c:v>6.6731551823975996</c:v>
                </c:pt>
                <c:pt idx="2">
                  <c:v>1.1596614606343736</c:v>
                </c:pt>
                <c:pt idx="3">
                  <c:v>0.20152606473591275</c:v>
                </c:pt>
                <c:pt idx="4">
                  <c:v>3.5021216231266888E-2</c:v>
                </c:pt>
                <c:pt idx="5">
                  <c:v>6.08598985905067E-3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29-4FB5-93A2-BE4EA2E86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3367456"/>
        <c:axId val="783471503"/>
      </c:scatterChart>
      <c:valAx>
        <c:axId val="1623367456"/>
        <c:scaling>
          <c:logBase val="10"/>
          <c:orientation val="minMax"/>
          <c:max val="1000010.0000000001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non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b="1" cap="none" baseline="0"/>
                  <a:t>K</a:t>
                </a:r>
                <a:r>
                  <a:rPr lang="it-IT" b="1" cap="none" baseline="-25000"/>
                  <a:t>t</a:t>
                </a:r>
                <a:r>
                  <a:rPr lang="it-IT" b="1" cap="none" baseline="0"/>
                  <a:t> =QH/n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non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471503"/>
        <c:crosses val="autoZero"/>
        <c:crossBetween val="midCat"/>
      </c:valAx>
      <c:valAx>
        <c:axId val="78347150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non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b="1" cap="none" baseline="0"/>
                  <a:t>I</a:t>
                </a:r>
                <a:r>
                  <a:rPr lang="it-IT" b="1" cap="none" baseline="-25000"/>
                  <a:t>SF</a:t>
                </a:r>
                <a:r>
                  <a:rPr lang="it-IT" b="1" cap="none" baseline="0"/>
                  <a:t> = L</a:t>
                </a:r>
                <a:r>
                  <a:rPr lang="it-IT" b="1" cap="none" baseline="30000"/>
                  <a:t>3</a:t>
                </a:r>
                <a:r>
                  <a:rPr lang="it-IT" b="1" cap="none" baseline="0"/>
                  <a:t>/D</a:t>
                </a:r>
                <a:r>
                  <a:rPr lang="it-IT" b="1" cap="none" baseline="30000"/>
                  <a:t>4</a:t>
                </a:r>
                <a:endParaRPr lang="it-IT" b="1" cap="none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non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367456"/>
        <c:crosses val="autoZero"/>
        <c:crossBetween val="midCat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5"/>
          <c:order val="0"/>
          <c:tx>
            <c:strRef>
              <c:f>'Duncan-Hood diagram'!$T$3</c:f>
              <c:strCache>
                <c:ptCount val="1"/>
                <c:pt idx="0">
                  <c:v>0,27</c:v>
                </c:pt>
              </c:strCache>
            </c:strRef>
          </c:tx>
          <c:spPr>
            <a:ln w="1905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'Duncan-Hood diagram'!$S$5:$S$95</c:f>
              <c:numCache>
                <c:formatCode>General</c:formatCode>
                <c:ptCount val="9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3550</c:v>
                </c:pt>
                <c:pt idx="37">
                  <c:v>3600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</c:numCache>
            </c:numRef>
          </c:xVal>
          <c:yVal>
            <c:numRef>
              <c:f>'Duncan-Hood diagram'!$T$5:$T$95</c:f>
              <c:numCache>
                <c:formatCode>General</c:formatCode>
                <c:ptCount val="91"/>
                <c:pt idx="0" formatCode="0.00">
                  <c:v>#N/A</c:v>
                </c:pt>
                <c:pt idx="1">
                  <c:v>26851.85185185185</c:v>
                </c:pt>
                <c:pt idx="2">
                  <c:v>13425.925925925925</c:v>
                </c:pt>
                <c:pt idx="3">
                  <c:v>8950.617283950618</c:v>
                </c:pt>
                <c:pt idx="4">
                  <c:v>6712.9629629629626</c:v>
                </c:pt>
                <c:pt idx="5">
                  <c:v>5370.3703703703704</c:v>
                </c:pt>
                <c:pt idx="6">
                  <c:v>4475.308641975309</c:v>
                </c:pt>
                <c:pt idx="7">
                  <c:v>3835.9788359788358</c:v>
                </c:pt>
                <c:pt idx="8">
                  <c:v>3356.4814814814813</c:v>
                </c:pt>
                <c:pt idx="9">
                  <c:v>2983.5390946502057</c:v>
                </c:pt>
                <c:pt idx="10">
                  <c:v>2685.1851851851852</c:v>
                </c:pt>
                <c:pt idx="11">
                  <c:v>2441.0774410774411</c:v>
                </c:pt>
                <c:pt idx="12">
                  <c:v>2237.6543209876545</c:v>
                </c:pt>
                <c:pt idx="13">
                  <c:v>2065.5270655270656</c:v>
                </c:pt>
                <c:pt idx="14">
                  <c:v>1917.9894179894179</c:v>
                </c:pt>
                <c:pt idx="15">
                  <c:v>1790.1234567901236</c:v>
                </c:pt>
                <c:pt idx="16">
                  <c:v>1678.2407407407406</c:v>
                </c:pt>
                <c:pt idx="17">
                  <c:v>1579.520697167756</c:v>
                </c:pt>
                <c:pt idx="18">
                  <c:v>1491.7695473251028</c:v>
                </c:pt>
                <c:pt idx="19">
                  <c:v>1413.2553606237816</c:v>
                </c:pt>
                <c:pt idx="20">
                  <c:v>1342.5925925925926</c:v>
                </c:pt>
                <c:pt idx="21">
                  <c:v>1278.6596119929454</c:v>
                </c:pt>
                <c:pt idx="22">
                  <c:v>1220.5387205387206</c:v>
                </c:pt>
                <c:pt idx="23">
                  <c:v>1167.4718196457327</c:v>
                </c:pt>
                <c:pt idx="24">
                  <c:v>1118.8271604938273</c:v>
                </c:pt>
                <c:pt idx="25">
                  <c:v>1074.0740740740741</c:v>
                </c:pt>
                <c:pt idx="26">
                  <c:v>1032.7635327635328</c:v>
                </c:pt>
                <c:pt idx="27">
                  <c:v>994.5130315500686</c:v>
                </c:pt>
                <c:pt idx="28">
                  <c:v>958.99470899470896</c:v>
                </c:pt>
                <c:pt idx="29">
                  <c:v>925.92592592592587</c:v>
                </c:pt>
                <c:pt idx="30">
                  <c:v>895.06172839506178</c:v>
                </c:pt>
                <c:pt idx="31">
                  <c:v>866.18876941457586</c:v>
                </c:pt>
                <c:pt idx="32">
                  <c:v>839.12037037037032</c:v>
                </c:pt>
                <c:pt idx="33">
                  <c:v>813.692480359147</c:v>
                </c:pt>
                <c:pt idx="34">
                  <c:v>789.760348583878</c:v>
                </c:pt>
                <c:pt idx="35">
                  <c:v>767.19576719576719</c:v>
                </c:pt>
                <c:pt idx="36">
                  <c:v>756.39019300991129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37B-4742-A7A0-0A77F68553A7}"/>
            </c:ext>
          </c:extLst>
        </c:ser>
        <c:ser>
          <c:idx val="6"/>
          <c:order val="1"/>
          <c:tx>
            <c:strRef>
              <c:f>'Duncan-Hood diagram'!$U$3</c:f>
              <c:strCache>
                <c:ptCount val="1"/>
                <c:pt idx="0">
                  <c:v>0,27</c:v>
                </c:pt>
              </c:strCache>
            </c:strRef>
          </c:tx>
          <c:spPr>
            <a:ln w="1905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'Duncan-Hood diagram'!$S$5:$S$95</c:f>
              <c:numCache>
                <c:formatCode>General</c:formatCode>
                <c:ptCount val="9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3550</c:v>
                </c:pt>
                <c:pt idx="37">
                  <c:v>3600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</c:numCache>
            </c:numRef>
          </c:xVal>
          <c:yVal>
            <c:numRef>
              <c:f>'Duncan-Hood diagram'!$U$5:$U$95</c:f>
              <c:numCache>
                <c:formatCode>0.00</c:formatCode>
                <c:ptCount val="91"/>
                <c:pt idx="0">
                  <c:v>755.20833333333337</c:v>
                </c:pt>
                <c:pt idx="1">
                  <c:v>755.20833333333337</c:v>
                </c:pt>
                <c:pt idx="2">
                  <c:v>755.20833333333337</c:v>
                </c:pt>
                <c:pt idx="3">
                  <c:v>755.20833333333337</c:v>
                </c:pt>
                <c:pt idx="4">
                  <c:v>755.20833333333337</c:v>
                </c:pt>
                <c:pt idx="5">
                  <c:v>755.20833333333337</c:v>
                </c:pt>
                <c:pt idx="6">
                  <c:v>755.20833333333337</c:v>
                </c:pt>
                <c:pt idx="7">
                  <c:v>755.20833333333337</c:v>
                </c:pt>
                <c:pt idx="8">
                  <c:v>755.20833333333337</c:v>
                </c:pt>
                <c:pt idx="9">
                  <c:v>755.20833333333337</c:v>
                </c:pt>
                <c:pt idx="10">
                  <c:v>755.20833333333337</c:v>
                </c:pt>
                <c:pt idx="11">
                  <c:v>755.20833333333337</c:v>
                </c:pt>
                <c:pt idx="12">
                  <c:v>755.20833333333337</c:v>
                </c:pt>
                <c:pt idx="13">
                  <c:v>755.20833333333337</c:v>
                </c:pt>
                <c:pt idx="14">
                  <c:v>755.20833333333337</c:v>
                </c:pt>
                <c:pt idx="15">
                  <c:v>755.20833333333337</c:v>
                </c:pt>
                <c:pt idx="16">
                  <c:v>755.20833333333337</c:v>
                </c:pt>
                <c:pt idx="17">
                  <c:v>755.20833333333337</c:v>
                </c:pt>
                <c:pt idx="18">
                  <c:v>755.20833333333337</c:v>
                </c:pt>
                <c:pt idx="19">
                  <c:v>755.20833333333337</c:v>
                </c:pt>
                <c:pt idx="20">
                  <c:v>755.20833333333337</c:v>
                </c:pt>
                <c:pt idx="21">
                  <c:v>755.20833333333337</c:v>
                </c:pt>
                <c:pt idx="22">
                  <c:v>755.20833333333337</c:v>
                </c:pt>
                <c:pt idx="23">
                  <c:v>755.20833333333337</c:v>
                </c:pt>
                <c:pt idx="24">
                  <c:v>755.20833333333337</c:v>
                </c:pt>
                <c:pt idx="25">
                  <c:v>755.20833333333337</c:v>
                </c:pt>
                <c:pt idx="26">
                  <c:v>755.20833333333337</c:v>
                </c:pt>
                <c:pt idx="27">
                  <c:v>755.20833333333337</c:v>
                </c:pt>
                <c:pt idx="28">
                  <c:v>755.20833333333337</c:v>
                </c:pt>
                <c:pt idx="29">
                  <c:v>755.20833333333337</c:v>
                </c:pt>
                <c:pt idx="30">
                  <c:v>755.20833333333337</c:v>
                </c:pt>
                <c:pt idx="31">
                  <c:v>755.20833333333337</c:v>
                </c:pt>
                <c:pt idx="32">
                  <c:v>755.20833333333337</c:v>
                </c:pt>
                <c:pt idx="33">
                  <c:v>755.20833333333337</c:v>
                </c:pt>
                <c:pt idx="34">
                  <c:v>755.20833333333337</c:v>
                </c:pt>
                <c:pt idx="35">
                  <c:v>755.20833333333337</c:v>
                </c:pt>
                <c:pt idx="36">
                  <c:v>755.20833333333337</c:v>
                </c:pt>
                <c:pt idx="37">
                  <c:v>745.88477366255142</c:v>
                </c:pt>
                <c:pt idx="38">
                  <c:v>706.6276803118908</c:v>
                </c:pt>
                <c:pt idx="39">
                  <c:v>688.5090218423552</c:v>
                </c:pt>
                <c:pt idx="40">
                  <c:v>671.2962962962963</c:v>
                </c:pt>
                <c:pt idx="41">
                  <c:v>654.92321589882567</c:v>
                </c:pt>
                <c:pt idx="42">
                  <c:v>639.32980599647271</c:v>
                </c:pt>
                <c:pt idx="43">
                  <c:v>624.46167097329885</c:v>
                </c:pt>
                <c:pt idx="44">
                  <c:v>610.26936026936028</c:v>
                </c:pt>
                <c:pt idx="45">
                  <c:v>596.70781893004119</c:v>
                </c:pt>
                <c:pt idx="46">
                  <c:v>583.73590982286635</c:v>
                </c:pt>
                <c:pt idx="47">
                  <c:v>571.31599684791172</c:v>
                </c:pt>
                <c:pt idx="48">
                  <c:v>559.41358024691363</c:v>
                </c:pt>
                <c:pt idx="49">
                  <c:v>547.9969765684051</c:v>
                </c:pt>
                <c:pt idx="50">
                  <c:v>537.03703703703707</c:v>
                </c:pt>
                <c:pt idx="51">
                  <c:v>526.50689905591867</c:v>
                </c:pt>
                <c:pt idx="52">
                  <c:v>516.3817663817664</c:v>
                </c:pt>
                <c:pt idx="53">
                  <c:v>506.638714185884</c:v>
                </c:pt>
                <c:pt idx="54">
                  <c:v>497.2565157750343</c:v>
                </c:pt>
                <c:pt idx="55">
                  <c:v>488.21548821548822</c:v>
                </c:pt>
                <c:pt idx="56">
                  <c:v>479.49735449735448</c:v>
                </c:pt>
                <c:pt idx="57">
                  <c:v>471.08512020792722</c:v>
                </c:pt>
                <c:pt idx="58">
                  <c:v>462.96296296296293</c:v>
                </c:pt>
                <c:pt idx="59">
                  <c:v>455.1161330822348</c:v>
                </c:pt>
                <c:pt idx="60">
                  <c:v>447.53086419753089</c:v>
                </c:pt>
                <c:pt idx="61">
                  <c:v>440.19429265330905</c:v>
                </c:pt>
                <c:pt idx="62">
                  <c:v>433.09438470728793</c:v>
                </c:pt>
                <c:pt idx="63">
                  <c:v>426.21987066431512</c:v>
                </c:pt>
                <c:pt idx="64">
                  <c:v>419.56018518518516</c:v>
                </c:pt>
                <c:pt idx="65">
                  <c:v>413.10541310541311</c:v>
                </c:pt>
                <c:pt idx="66">
                  <c:v>406.8462401795735</c:v>
                </c:pt>
                <c:pt idx="67">
                  <c:v>400.77390823659482</c:v>
                </c:pt>
                <c:pt idx="68">
                  <c:v>394.880174291939</c:v>
                </c:pt>
                <c:pt idx="69">
                  <c:v>389.15727321524423</c:v>
                </c:pt>
                <c:pt idx="70">
                  <c:v>383.59788359788359</c:v>
                </c:pt>
                <c:pt idx="71">
                  <c:v>378.19509650495564</c:v>
                </c:pt>
                <c:pt idx="72">
                  <c:v>372.94238683127571</c:v>
                </c:pt>
                <c:pt idx="73">
                  <c:v>367.83358701166918</c:v>
                </c:pt>
                <c:pt idx="74">
                  <c:v>362.86286286286287</c:v>
                </c:pt>
                <c:pt idx="75">
                  <c:v>358.02469135802471</c:v>
                </c:pt>
                <c:pt idx="76">
                  <c:v>353.3138401559454</c:v>
                </c:pt>
                <c:pt idx="77">
                  <c:v>348.72534872534874</c:v>
                </c:pt>
                <c:pt idx="78">
                  <c:v>344.2545109211776</c:v>
                </c:pt>
                <c:pt idx="79">
                  <c:v>339.89685888420064</c:v>
                </c:pt>
                <c:pt idx="80">
                  <c:v>335.64814814814815</c:v>
                </c:pt>
                <c:pt idx="81">
                  <c:v>331.50434385002285</c:v>
                </c:pt>
                <c:pt idx="82">
                  <c:v>327.46160794941284</c:v>
                </c:pt>
                <c:pt idx="83">
                  <c:v>323.51628737170904</c:v>
                </c:pt>
                <c:pt idx="84">
                  <c:v>319.66490299823636</c:v>
                </c:pt>
                <c:pt idx="85">
                  <c:v>315.90413943355122</c:v>
                </c:pt>
                <c:pt idx="86">
                  <c:v>312.23083548664943</c:v>
                </c:pt>
                <c:pt idx="87">
                  <c:v>308.64197530864197</c:v>
                </c:pt>
                <c:pt idx="88">
                  <c:v>305.13468013468014</c:v>
                </c:pt>
                <c:pt idx="89">
                  <c:v>301.70620058260505</c:v>
                </c:pt>
                <c:pt idx="90">
                  <c:v>298.35390946502059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37B-4742-A7A0-0A77F68553A7}"/>
            </c:ext>
          </c:extLst>
        </c:ser>
        <c:ser>
          <c:idx val="7"/>
          <c:order val="2"/>
          <c:tx>
            <c:strRef>
              <c:f>'Duncan-Hood diagram'!$V$3</c:f>
              <c:strCache>
                <c:ptCount val="1"/>
                <c:pt idx="0">
                  <c:v>0,3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'Duncan-Hood diagram'!$S$5:$S$95</c:f>
              <c:numCache>
                <c:formatCode>General</c:formatCode>
                <c:ptCount val="9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3550</c:v>
                </c:pt>
                <c:pt idx="37">
                  <c:v>3600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</c:numCache>
            </c:numRef>
          </c:xVal>
          <c:yVal>
            <c:numRef>
              <c:f>'Duncan-Hood diagram'!$V$5:$V$95</c:f>
              <c:numCache>
                <c:formatCode>0.00</c:formatCode>
                <c:ptCount val="91"/>
                <c:pt idx="0">
                  <c:v>671.2962962962963</c:v>
                </c:pt>
                <c:pt idx="1">
                  <c:v>671.2962962962963</c:v>
                </c:pt>
                <c:pt idx="2">
                  <c:v>671.2962962962963</c:v>
                </c:pt>
                <c:pt idx="3">
                  <c:v>671.2962962962963</c:v>
                </c:pt>
                <c:pt idx="4">
                  <c:v>671.2962962962963</c:v>
                </c:pt>
                <c:pt idx="5">
                  <c:v>671.2962962962963</c:v>
                </c:pt>
                <c:pt idx="6">
                  <c:v>671.2962962962963</c:v>
                </c:pt>
                <c:pt idx="7">
                  <c:v>671.2962962962963</c:v>
                </c:pt>
                <c:pt idx="8">
                  <c:v>671.2962962962963</c:v>
                </c:pt>
                <c:pt idx="9">
                  <c:v>671.2962962962963</c:v>
                </c:pt>
                <c:pt idx="10">
                  <c:v>671.2962962962963</c:v>
                </c:pt>
                <c:pt idx="11">
                  <c:v>671.2962962962963</c:v>
                </c:pt>
                <c:pt idx="12">
                  <c:v>671.2962962962963</c:v>
                </c:pt>
                <c:pt idx="13">
                  <c:v>671.2962962962963</c:v>
                </c:pt>
                <c:pt idx="14">
                  <c:v>671.2962962962963</c:v>
                </c:pt>
                <c:pt idx="15">
                  <c:v>671.2962962962963</c:v>
                </c:pt>
                <c:pt idx="16">
                  <c:v>671.2962962962963</c:v>
                </c:pt>
                <c:pt idx="17">
                  <c:v>671.2962962962963</c:v>
                </c:pt>
                <c:pt idx="18">
                  <c:v>671.2962962962963</c:v>
                </c:pt>
                <c:pt idx="19">
                  <c:v>671.2962962962963</c:v>
                </c:pt>
                <c:pt idx="20">
                  <c:v>671.2962962962963</c:v>
                </c:pt>
                <c:pt idx="21">
                  <c:v>671.2962962962963</c:v>
                </c:pt>
                <c:pt idx="22">
                  <c:v>671.2962962962963</c:v>
                </c:pt>
                <c:pt idx="23">
                  <c:v>671.2962962962963</c:v>
                </c:pt>
                <c:pt idx="24">
                  <c:v>671.2962962962963</c:v>
                </c:pt>
                <c:pt idx="25">
                  <c:v>671.2962962962963</c:v>
                </c:pt>
                <c:pt idx="26">
                  <c:v>671.2962962962963</c:v>
                </c:pt>
                <c:pt idx="27">
                  <c:v>671.2962962962963</c:v>
                </c:pt>
                <c:pt idx="28">
                  <c:v>671.2962962962963</c:v>
                </c:pt>
                <c:pt idx="29">
                  <c:v>671.2962962962963</c:v>
                </c:pt>
                <c:pt idx="30">
                  <c:v>671.2962962962963</c:v>
                </c:pt>
                <c:pt idx="31">
                  <c:v>671.2962962962963</c:v>
                </c:pt>
                <c:pt idx="32">
                  <c:v>671.2962962962963</c:v>
                </c:pt>
                <c:pt idx="33">
                  <c:v>671.2962962962963</c:v>
                </c:pt>
                <c:pt idx="34">
                  <c:v>671.2962962962963</c:v>
                </c:pt>
                <c:pt idx="35">
                  <c:v>671.2962962962963</c:v>
                </c:pt>
                <c:pt idx="36">
                  <c:v>671.2962962962963</c:v>
                </c:pt>
                <c:pt idx="37">
                  <c:v>671.2962962962963</c:v>
                </c:pt>
                <c:pt idx="38">
                  <c:v>635.96491228070181</c:v>
                </c:pt>
                <c:pt idx="39">
                  <c:v>619.65811965811974</c:v>
                </c:pt>
                <c:pt idx="40">
                  <c:v>604.16666666666674</c:v>
                </c:pt>
                <c:pt idx="41">
                  <c:v>589.43089430894315</c:v>
                </c:pt>
                <c:pt idx="42">
                  <c:v>575.39682539682542</c:v>
                </c:pt>
                <c:pt idx="43">
                  <c:v>562.0155038759691</c:v>
                </c:pt>
                <c:pt idx="44">
                  <c:v>549.24242424242436</c:v>
                </c:pt>
                <c:pt idx="45">
                  <c:v>537.03703703703707</c:v>
                </c:pt>
                <c:pt idx="46">
                  <c:v>525.36231884057975</c:v>
                </c:pt>
                <c:pt idx="47">
                  <c:v>514.18439716312059</c:v>
                </c:pt>
                <c:pt idx="48">
                  <c:v>503.47222222222229</c:v>
                </c:pt>
                <c:pt idx="49">
                  <c:v>493.19727891156469</c:v>
                </c:pt>
                <c:pt idx="50">
                  <c:v>483.33333333333337</c:v>
                </c:pt>
                <c:pt idx="51">
                  <c:v>473.85620915032683</c:v>
                </c:pt>
                <c:pt idx="52">
                  <c:v>464.74358974358978</c:v>
                </c:pt>
                <c:pt idx="53">
                  <c:v>455.97484276729568</c:v>
                </c:pt>
                <c:pt idx="54">
                  <c:v>447.53086419753095</c:v>
                </c:pt>
                <c:pt idx="55">
                  <c:v>439.39393939393943</c:v>
                </c:pt>
                <c:pt idx="56">
                  <c:v>431.54761904761909</c:v>
                </c:pt>
                <c:pt idx="57">
                  <c:v>423.97660818713456</c:v>
                </c:pt>
                <c:pt idx="58">
                  <c:v>416.66666666666674</c:v>
                </c:pt>
                <c:pt idx="59">
                  <c:v>409.60451977401135</c:v>
                </c:pt>
                <c:pt idx="60">
                  <c:v>402.77777777777783</c:v>
                </c:pt>
                <c:pt idx="61">
                  <c:v>396.17486338797818</c:v>
                </c:pt>
                <c:pt idx="62">
                  <c:v>389.78494623655916</c:v>
                </c:pt>
                <c:pt idx="63">
                  <c:v>383.59788359788365</c:v>
                </c:pt>
                <c:pt idx="64">
                  <c:v>377.60416666666674</c:v>
                </c:pt>
                <c:pt idx="65">
                  <c:v>371.79487179487182</c:v>
                </c:pt>
                <c:pt idx="66">
                  <c:v>366.16161616161622</c:v>
                </c:pt>
                <c:pt idx="67">
                  <c:v>360.69651741293535</c:v>
                </c:pt>
                <c:pt idx="68">
                  <c:v>355.39215686274514</c:v>
                </c:pt>
                <c:pt idx="69">
                  <c:v>350.24154589371983</c:v>
                </c:pt>
                <c:pt idx="70">
                  <c:v>345.2380952380953</c:v>
                </c:pt>
                <c:pt idx="71">
                  <c:v>340.37558685446015</c:v>
                </c:pt>
                <c:pt idx="72">
                  <c:v>335.64814814814821</c:v>
                </c:pt>
                <c:pt idx="73">
                  <c:v>331.05022831050235</c:v>
                </c:pt>
                <c:pt idx="74">
                  <c:v>326.5765765765766</c:v>
                </c:pt>
                <c:pt idx="75">
                  <c:v>322.22222222222229</c:v>
                </c:pt>
                <c:pt idx="76">
                  <c:v>317.98245614035091</c:v>
                </c:pt>
                <c:pt idx="77">
                  <c:v>313.85281385281388</c:v>
                </c:pt>
                <c:pt idx="78">
                  <c:v>309.82905982905987</c:v>
                </c:pt>
                <c:pt idx="79">
                  <c:v>305.90717299578063</c:v>
                </c:pt>
                <c:pt idx="80">
                  <c:v>302.08333333333337</c:v>
                </c:pt>
                <c:pt idx="81">
                  <c:v>298.35390946502059</c:v>
                </c:pt>
                <c:pt idx="82">
                  <c:v>294.71544715447158</c:v>
                </c:pt>
                <c:pt idx="83">
                  <c:v>291.16465863453817</c:v>
                </c:pt>
                <c:pt idx="84">
                  <c:v>287.69841269841271</c:v>
                </c:pt>
                <c:pt idx="85">
                  <c:v>284.31372549019613</c:v>
                </c:pt>
                <c:pt idx="86">
                  <c:v>281.00775193798455</c:v>
                </c:pt>
                <c:pt idx="87">
                  <c:v>277.77777777777783</c:v>
                </c:pt>
                <c:pt idx="88">
                  <c:v>274.62121212121218</c:v>
                </c:pt>
                <c:pt idx="89">
                  <c:v>271.5355805243446</c:v>
                </c:pt>
                <c:pt idx="90">
                  <c:v>268.51851851851853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37B-4742-A7A0-0A77F68553A7}"/>
            </c:ext>
          </c:extLst>
        </c:ser>
        <c:ser>
          <c:idx val="8"/>
          <c:order val="3"/>
          <c:tx>
            <c:strRef>
              <c:f>'Duncan-Hood diagram'!$W$3</c:f>
              <c:strCache>
                <c:ptCount val="1"/>
                <c:pt idx="0">
                  <c:v>0,55</c:v>
                </c:pt>
              </c:strCache>
            </c:strRef>
          </c:tx>
          <c:spPr>
            <a:ln w="1905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'Duncan-Hood diagram'!$S$5:$S$95</c:f>
              <c:numCache>
                <c:formatCode>General</c:formatCode>
                <c:ptCount val="9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3550</c:v>
                </c:pt>
                <c:pt idx="37">
                  <c:v>3600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</c:numCache>
            </c:numRef>
          </c:xVal>
          <c:yVal>
            <c:numRef>
              <c:f>'Duncan-Hood diagram'!$W$5:$W$95</c:f>
              <c:numCache>
                <c:formatCode>0.00</c:formatCode>
                <c:ptCount val="91"/>
                <c:pt idx="0">
                  <c:v>345.23809523809524</c:v>
                </c:pt>
                <c:pt idx="1">
                  <c:v>345.23809523809524</c:v>
                </c:pt>
                <c:pt idx="2">
                  <c:v>345.23809523809524</c:v>
                </c:pt>
                <c:pt idx="3">
                  <c:v>345.23809523809524</c:v>
                </c:pt>
                <c:pt idx="4">
                  <c:v>345.23809523809524</c:v>
                </c:pt>
                <c:pt idx="5">
                  <c:v>345.23809523809524</c:v>
                </c:pt>
                <c:pt idx="6">
                  <c:v>345.23809523809524</c:v>
                </c:pt>
                <c:pt idx="7">
                  <c:v>345.23809523809524</c:v>
                </c:pt>
                <c:pt idx="8">
                  <c:v>345.23809523809524</c:v>
                </c:pt>
                <c:pt idx="9">
                  <c:v>345.23809523809524</c:v>
                </c:pt>
                <c:pt idx="10">
                  <c:v>345.23809523809524</c:v>
                </c:pt>
                <c:pt idx="11">
                  <c:v>345.23809523809524</c:v>
                </c:pt>
                <c:pt idx="12">
                  <c:v>345.23809523809524</c:v>
                </c:pt>
                <c:pt idx="13">
                  <c:v>345.23809523809524</c:v>
                </c:pt>
                <c:pt idx="14">
                  <c:v>345.23809523809524</c:v>
                </c:pt>
                <c:pt idx="15">
                  <c:v>345.23809523809524</c:v>
                </c:pt>
                <c:pt idx="16">
                  <c:v>345.23809523809524</c:v>
                </c:pt>
                <c:pt idx="17">
                  <c:v>345.23809523809524</c:v>
                </c:pt>
                <c:pt idx="18">
                  <c:v>345.23809523809524</c:v>
                </c:pt>
                <c:pt idx="19">
                  <c:v>345.23809523809524</c:v>
                </c:pt>
                <c:pt idx="20">
                  <c:v>345.23809523809524</c:v>
                </c:pt>
                <c:pt idx="21">
                  <c:v>345.23809523809524</c:v>
                </c:pt>
                <c:pt idx="22">
                  <c:v>345.23809523809524</c:v>
                </c:pt>
                <c:pt idx="23">
                  <c:v>345.23809523809524</c:v>
                </c:pt>
                <c:pt idx="24">
                  <c:v>345.23809523809524</c:v>
                </c:pt>
                <c:pt idx="25">
                  <c:v>345.23809523809524</c:v>
                </c:pt>
                <c:pt idx="26">
                  <c:v>345.23809523809524</c:v>
                </c:pt>
                <c:pt idx="27">
                  <c:v>345.23809523809524</c:v>
                </c:pt>
                <c:pt idx="28">
                  <c:v>345.23809523809524</c:v>
                </c:pt>
                <c:pt idx="29">
                  <c:v>345.23809523809524</c:v>
                </c:pt>
                <c:pt idx="30">
                  <c:v>345.23809523809524</c:v>
                </c:pt>
                <c:pt idx="31">
                  <c:v>345.23809523809524</c:v>
                </c:pt>
                <c:pt idx="32">
                  <c:v>345.23809523809524</c:v>
                </c:pt>
                <c:pt idx="33">
                  <c:v>345.23809523809524</c:v>
                </c:pt>
                <c:pt idx="34">
                  <c:v>345.23809523809524</c:v>
                </c:pt>
                <c:pt idx="35">
                  <c:v>345.23809523809524</c:v>
                </c:pt>
                <c:pt idx="36">
                  <c:v>345.23809523809524</c:v>
                </c:pt>
                <c:pt idx="37">
                  <c:v>345.23809523809524</c:v>
                </c:pt>
                <c:pt idx="38">
                  <c:v>345.23809523809524</c:v>
                </c:pt>
                <c:pt idx="39">
                  <c:v>337.99533799533799</c:v>
                </c:pt>
                <c:pt idx="40">
                  <c:v>329.5454545454545</c:v>
                </c:pt>
                <c:pt idx="41">
                  <c:v>321.50776053215077</c:v>
                </c:pt>
                <c:pt idx="42">
                  <c:v>313.85281385281382</c:v>
                </c:pt>
                <c:pt idx="43">
                  <c:v>306.55391120507397</c:v>
                </c:pt>
                <c:pt idx="44">
                  <c:v>299.58677685950414</c:v>
                </c:pt>
                <c:pt idx="45">
                  <c:v>292.9292929292929</c:v>
                </c:pt>
                <c:pt idx="46">
                  <c:v>286.56126482213438</c:v>
                </c:pt>
                <c:pt idx="47">
                  <c:v>280.46421663442936</c:v>
                </c:pt>
                <c:pt idx="48">
                  <c:v>274.62121212121212</c:v>
                </c:pt>
                <c:pt idx="49">
                  <c:v>269.01669758812614</c:v>
                </c:pt>
                <c:pt idx="50">
                  <c:v>263.63636363636363</c:v>
                </c:pt>
                <c:pt idx="51">
                  <c:v>258.4670231729055</c:v>
                </c:pt>
                <c:pt idx="52">
                  <c:v>253.49650349650349</c:v>
                </c:pt>
                <c:pt idx="53">
                  <c:v>248.71355060034304</c:v>
                </c:pt>
                <c:pt idx="54">
                  <c:v>244.10774410774408</c:v>
                </c:pt>
                <c:pt idx="55">
                  <c:v>239.6694214876033</c:v>
                </c:pt>
                <c:pt idx="56">
                  <c:v>235.38961038961037</c:v>
                </c:pt>
                <c:pt idx="57">
                  <c:v>231.25996810207334</c:v>
                </c:pt>
                <c:pt idx="58">
                  <c:v>227.27272727272725</c:v>
                </c:pt>
                <c:pt idx="59">
                  <c:v>223.42064714946071</c:v>
                </c:pt>
                <c:pt idx="60">
                  <c:v>219.69696969696969</c:v>
                </c:pt>
                <c:pt idx="61">
                  <c:v>216.09538002980625</c:v>
                </c:pt>
                <c:pt idx="62">
                  <c:v>212.60997067448679</c:v>
                </c:pt>
                <c:pt idx="63">
                  <c:v>209.23520923520923</c:v>
                </c:pt>
                <c:pt idx="64">
                  <c:v>205.96590909090909</c:v>
                </c:pt>
                <c:pt idx="65">
                  <c:v>202.7972027972028</c:v>
                </c:pt>
                <c:pt idx="66">
                  <c:v>199.72451790633608</c:v>
                </c:pt>
                <c:pt idx="67">
                  <c:v>196.74355495251018</c:v>
                </c:pt>
                <c:pt idx="68">
                  <c:v>193.85026737967914</c:v>
                </c:pt>
                <c:pt idx="69">
                  <c:v>191.04084321475625</c:v>
                </c:pt>
                <c:pt idx="70">
                  <c:v>188.3116883116883</c:v>
                </c:pt>
                <c:pt idx="71">
                  <c:v>185.65941101152367</c:v>
                </c:pt>
                <c:pt idx="72">
                  <c:v>183.08080808080808</c:v>
                </c:pt>
                <c:pt idx="73">
                  <c:v>180.5728518057285</c:v>
                </c:pt>
                <c:pt idx="74">
                  <c:v>178.13267813267814</c:v>
                </c:pt>
                <c:pt idx="75">
                  <c:v>175.75757575757575</c:v>
                </c:pt>
                <c:pt idx="76">
                  <c:v>173.44497607655501</c:v>
                </c:pt>
                <c:pt idx="77">
                  <c:v>171.19244391971665</c:v>
                </c:pt>
                <c:pt idx="78">
                  <c:v>168.997668997669</c:v>
                </c:pt>
                <c:pt idx="79">
                  <c:v>166.85845799769851</c:v>
                </c:pt>
                <c:pt idx="80">
                  <c:v>164.77272727272725</c:v>
                </c:pt>
                <c:pt idx="81">
                  <c:v>162.73849607182939</c:v>
                </c:pt>
                <c:pt idx="82">
                  <c:v>160.75388026607538</c:v>
                </c:pt>
                <c:pt idx="83">
                  <c:v>158.81708652792989</c:v>
                </c:pt>
                <c:pt idx="84">
                  <c:v>156.92640692640691</c:v>
                </c:pt>
                <c:pt idx="85">
                  <c:v>155.0802139037433</c:v>
                </c:pt>
                <c:pt idx="86">
                  <c:v>153.27695560253699</c:v>
                </c:pt>
                <c:pt idx="87">
                  <c:v>151.5151515151515</c:v>
                </c:pt>
                <c:pt idx="88">
                  <c:v>149.79338842975207</c:v>
                </c:pt>
                <c:pt idx="89">
                  <c:v>148.1103166496425</c:v>
                </c:pt>
                <c:pt idx="90">
                  <c:v>146.46464646464645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37B-4742-A7A0-0A77F68553A7}"/>
            </c:ext>
          </c:extLst>
        </c:ser>
        <c:ser>
          <c:idx val="9"/>
          <c:order val="4"/>
          <c:tx>
            <c:strRef>
              <c:f>'Duncan-Hood diagram'!$X$3</c:f>
              <c:strCache>
                <c:ptCount val="1"/>
                <c:pt idx="0">
                  <c:v>1</c:v>
                </c:pt>
              </c:strCache>
            </c:strRef>
          </c:tx>
          <c:spPr>
            <a:ln w="19050">
              <a:solidFill>
                <a:srgbClr val="FF0000"/>
              </a:solidFill>
              <a:prstDash val="dashDot"/>
            </a:ln>
          </c:spPr>
          <c:marker>
            <c:symbol val="none"/>
          </c:marker>
          <c:xVal>
            <c:numRef>
              <c:f>'Duncan-Hood diagram'!$S$5:$S$95</c:f>
              <c:numCache>
                <c:formatCode>General</c:formatCode>
                <c:ptCount val="9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3550</c:v>
                </c:pt>
                <c:pt idx="37">
                  <c:v>3600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</c:numCache>
            </c:numRef>
          </c:xVal>
          <c:yVal>
            <c:numRef>
              <c:f>'Duncan-Hood diagram'!$X$5:$X$95</c:f>
              <c:numCache>
                <c:formatCode>0.00</c:formatCode>
                <c:ptCount val="91"/>
                <c:pt idx="0">
                  <c:v>#N/A</c:v>
                </c:pt>
                <c:pt idx="1">
                  <c:v>7250</c:v>
                </c:pt>
                <c:pt idx="2">
                  <c:v>3625</c:v>
                </c:pt>
                <c:pt idx="3">
                  <c:v>2416.6666666666665</c:v>
                </c:pt>
                <c:pt idx="4">
                  <c:v>1812.5</c:v>
                </c:pt>
                <c:pt idx="5">
                  <c:v>1450</c:v>
                </c:pt>
                <c:pt idx="6">
                  <c:v>1208.3333333333333</c:v>
                </c:pt>
                <c:pt idx="7">
                  <c:v>1035.7142857142858</c:v>
                </c:pt>
                <c:pt idx="8">
                  <c:v>906.25</c:v>
                </c:pt>
                <c:pt idx="9">
                  <c:v>805.55555555555554</c:v>
                </c:pt>
                <c:pt idx="10">
                  <c:v>725</c:v>
                </c:pt>
                <c:pt idx="11">
                  <c:v>659.09090909090912</c:v>
                </c:pt>
                <c:pt idx="12">
                  <c:v>604.16666666666663</c:v>
                </c:pt>
                <c:pt idx="13">
                  <c:v>557.69230769230774</c:v>
                </c:pt>
                <c:pt idx="14">
                  <c:v>517.85714285714289</c:v>
                </c:pt>
                <c:pt idx="15">
                  <c:v>483.33333333333331</c:v>
                </c:pt>
                <c:pt idx="16">
                  <c:v>453.125</c:v>
                </c:pt>
                <c:pt idx="17">
                  <c:v>426.47058823529414</c:v>
                </c:pt>
                <c:pt idx="18">
                  <c:v>402.77777777777777</c:v>
                </c:pt>
                <c:pt idx="19">
                  <c:v>381.57894736842104</c:v>
                </c:pt>
                <c:pt idx="20">
                  <c:v>362.5</c:v>
                </c:pt>
                <c:pt idx="21">
                  <c:v>345.23809523809524</c:v>
                </c:pt>
                <c:pt idx="22">
                  <c:v>329.54545454545456</c:v>
                </c:pt>
                <c:pt idx="23">
                  <c:v>315.21739130434781</c:v>
                </c:pt>
                <c:pt idx="24">
                  <c:v>302.08333333333331</c:v>
                </c:pt>
                <c:pt idx="25">
                  <c:v>290</c:v>
                </c:pt>
                <c:pt idx="26">
                  <c:v>278.84615384615387</c:v>
                </c:pt>
                <c:pt idx="27">
                  <c:v>268.51851851851853</c:v>
                </c:pt>
                <c:pt idx="28">
                  <c:v>258.92857142857144</c:v>
                </c:pt>
                <c:pt idx="29">
                  <c:v>250</c:v>
                </c:pt>
                <c:pt idx="30">
                  <c:v>241.66666666666666</c:v>
                </c:pt>
                <c:pt idx="31">
                  <c:v>233.87096774193549</c:v>
                </c:pt>
                <c:pt idx="32">
                  <c:v>226.5625</c:v>
                </c:pt>
                <c:pt idx="33">
                  <c:v>219.69696969696969</c:v>
                </c:pt>
                <c:pt idx="34">
                  <c:v>213.23529411764707</c:v>
                </c:pt>
                <c:pt idx="35">
                  <c:v>207.14285714285714</c:v>
                </c:pt>
                <c:pt idx="36">
                  <c:v>204.22535211267606</c:v>
                </c:pt>
                <c:pt idx="37">
                  <c:v>201.38888888888889</c:v>
                </c:pt>
                <c:pt idx="38">
                  <c:v>190.78947368421052</c:v>
                </c:pt>
                <c:pt idx="39">
                  <c:v>185.89743589743588</c:v>
                </c:pt>
                <c:pt idx="40">
                  <c:v>181.25</c:v>
                </c:pt>
                <c:pt idx="41">
                  <c:v>176.82926829268294</c:v>
                </c:pt>
                <c:pt idx="42">
                  <c:v>172.61904761904762</c:v>
                </c:pt>
                <c:pt idx="43">
                  <c:v>168.6046511627907</c:v>
                </c:pt>
                <c:pt idx="44">
                  <c:v>164.77272727272728</c:v>
                </c:pt>
                <c:pt idx="45">
                  <c:v>161.11111111111111</c:v>
                </c:pt>
                <c:pt idx="46">
                  <c:v>157.60869565217391</c:v>
                </c:pt>
                <c:pt idx="47">
                  <c:v>154.25531914893617</c:v>
                </c:pt>
                <c:pt idx="48">
                  <c:v>151.04166666666666</c:v>
                </c:pt>
                <c:pt idx="49">
                  <c:v>147.9591836734694</c:v>
                </c:pt>
                <c:pt idx="50">
                  <c:v>145</c:v>
                </c:pt>
                <c:pt idx="51">
                  <c:v>142.15686274509804</c:v>
                </c:pt>
                <c:pt idx="52">
                  <c:v>139.42307692307693</c:v>
                </c:pt>
                <c:pt idx="53">
                  <c:v>136.79245283018867</c:v>
                </c:pt>
                <c:pt idx="54">
                  <c:v>134.25925925925927</c:v>
                </c:pt>
                <c:pt idx="55">
                  <c:v>131.81818181818181</c:v>
                </c:pt>
                <c:pt idx="56">
                  <c:v>129.46428571428572</c:v>
                </c:pt>
                <c:pt idx="57">
                  <c:v>127.19298245614036</c:v>
                </c:pt>
                <c:pt idx="58">
                  <c:v>125</c:v>
                </c:pt>
                <c:pt idx="59">
                  <c:v>122.88135593220339</c:v>
                </c:pt>
                <c:pt idx="60">
                  <c:v>120.83333333333333</c:v>
                </c:pt>
                <c:pt idx="61">
                  <c:v>118.85245901639344</c:v>
                </c:pt>
                <c:pt idx="62">
                  <c:v>116.93548387096774</c:v>
                </c:pt>
                <c:pt idx="63">
                  <c:v>115.07936507936508</c:v>
                </c:pt>
                <c:pt idx="64">
                  <c:v>113.28125</c:v>
                </c:pt>
                <c:pt idx="65">
                  <c:v>111.53846153846153</c:v>
                </c:pt>
                <c:pt idx="66">
                  <c:v>109.84848484848484</c:v>
                </c:pt>
                <c:pt idx="67">
                  <c:v>108.20895522388059</c:v>
                </c:pt>
                <c:pt idx="68">
                  <c:v>106.61764705882354</c:v>
                </c:pt>
                <c:pt idx="69">
                  <c:v>105.07246376811594</c:v>
                </c:pt>
                <c:pt idx="70">
                  <c:v>103.57142857142857</c:v>
                </c:pt>
                <c:pt idx="71">
                  <c:v>102.11267605633803</c:v>
                </c:pt>
                <c:pt idx="72">
                  <c:v>100.69444444444444</c:v>
                </c:pt>
                <c:pt idx="73">
                  <c:v>99.31506849315069</c:v>
                </c:pt>
                <c:pt idx="74">
                  <c:v>97.972972972972968</c:v>
                </c:pt>
                <c:pt idx="75">
                  <c:v>96.666666666666671</c:v>
                </c:pt>
                <c:pt idx="76">
                  <c:v>95.39473684210526</c:v>
                </c:pt>
                <c:pt idx="77">
                  <c:v>94.15584415584415</c:v>
                </c:pt>
                <c:pt idx="78">
                  <c:v>92.948717948717942</c:v>
                </c:pt>
                <c:pt idx="79">
                  <c:v>91.77215189873418</c:v>
                </c:pt>
                <c:pt idx="80">
                  <c:v>90.625</c:v>
                </c:pt>
                <c:pt idx="81">
                  <c:v>89.506172839506178</c:v>
                </c:pt>
                <c:pt idx="82">
                  <c:v>88.41463414634147</c:v>
                </c:pt>
                <c:pt idx="83">
                  <c:v>87.349397590361448</c:v>
                </c:pt>
                <c:pt idx="84">
                  <c:v>86.30952380952381</c:v>
                </c:pt>
                <c:pt idx="85">
                  <c:v>85.294117647058826</c:v>
                </c:pt>
                <c:pt idx="86">
                  <c:v>84.302325581395351</c:v>
                </c:pt>
                <c:pt idx="87">
                  <c:v>83.333333333333329</c:v>
                </c:pt>
                <c:pt idx="88">
                  <c:v>82.38636363636364</c:v>
                </c:pt>
                <c:pt idx="89">
                  <c:v>81.460674157303373</c:v>
                </c:pt>
                <c:pt idx="90">
                  <c:v>80.555555555555557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37B-4742-A7A0-0A77F68553A7}"/>
            </c:ext>
          </c:extLst>
        </c:ser>
        <c:ser>
          <c:idx val="0"/>
          <c:order val="5"/>
          <c:tx>
            <c:v>balance disc</c:v>
          </c:tx>
          <c:spPr>
            <a:ln w="19050"/>
          </c:spPr>
          <c:marker>
            <c:symbol val="none"/>
          </c:marker>
          <c:xVal>
            <c:numRef>
              <c:f>'Duncan-Hood diagram'!$Z$5:$Z$8</c:f>
              <c:numCache>
                <c:formatCode>General</c:formatCode>
                <c:ptCount val="4"/>
                <c:pt idx="0">
                  <c:v>0</c:v>
                </c:pt>
                <c:pt idx="1">
                  <c:v>3400</c:v>
                </c:pt>
                <c:pt idx="2">
                  <c:v>4500</c:v>
                </c:pt>
                <c:pt idx="3">
                  <c:v>4500</c:v>
                </c:pt>
              </c:numCache>
            </c:numRef>
          </c:xVal>
          <c:yVal>
            <c:numRef>
              <c:f>'Duncan-Hood diagram'!$AA$5:$AA$8</c:f>
              <c:numCache>
                <c:formatCode>General</c:formatCode>
                <c:ptCount val="4"/>
                <c:pt idx="0">
                  <c:v>510</c:v>
                </c:pt>
                <c:pt idx="1">
                  <c:v>510</c:v>
                </c:pt>
                <c:pt idx="2">
                  <c:v>420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37B-4742-A7A0-0A77F68553A7}"/>
            </c:ext>
          </c:extLst>
        </c:ser>
        <c:ser>
          <c:idx val="1"/>
          <c:order val="6"/>
          <c:tx>
            <c:v>point</c:v>
          </c:tx>
          <c:spPr>
            <a:ln w="44450"/>
          </c:spPr>
          <c:marker>
            <c:symbol val="x"/>
            <c:size val="20"/>
            <c:spPr>
              <a:noFill/>
              <a:ln w="95250" cmpd="sng">
                <a:solidFill>
                  <a:srgbClr val="FF0000"/>
                </a:solidFill>
              </a:ln>
            </c:spPr>
          </c:marker>
          <c:xVal>
            <c:numRef>
              <c:f>'Duncan-Hood diagram'!$P$3</c:f>
              <c:numCache>
                <c:formatCode>General</c:formatCode>
                <c:ptCount val="1"/>
                <c:pt idx="0">
                  <c:v>4000</c:v>
                </c:pt>
              </c:numCache>
              <c:extLst xmlns:c15="http://schemas.microsoft.com/office/drawing/2012/chart"/>
            </c:numRef>
          </c:xVal>
          <c:yVal>
            <c:numRef>
              <c:f>'Duncan-Hood diagram'!$P$8</c:f>
              <c:numCache>
                <c:formatCode>0.00</c:formatCode>
                <c:ptCount val="1"/>
                <c:pt idx="0">
                  <c:v>316.24751122534036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C-E37B-4742-A7A0-0A77F6855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61248"/>
        <c:axId val="197075712"/>
        <c:extLst/>
      </c:scatterChart>
      <c:valAx>
        <c:axId val="197061248"/>
        <c:scaling>
          <c:orientation val="minMax"/>
          <c:max val="9000"/>
          <c:min val="0"/>
        </c:scaling>
        <c:delete val="0"/>
        <c:axPos val="b"/>
        <c:majorGridlines/>
        <c:minorGridlines>
          <c:spPr>
            <a:ln>
              <a:solidFill>
                <a:schemeClr val="bg1">
                  <a:lumMod val="95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n [rpm]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i="1"/>
            </a:pPr>
            <a:endParaRPr lang="en-US"/>
          </a:p>
        </c:txPr>
        <c:crossAx val="197075712"/>
        <c:crosses val="autoZero"/>
        <c:crossBetween val="midCat"/>
      </c:valAx>
      <c:valAx>
        <c:axId val="197075712"/>
        <c:scaling>
          <c:orientation val="minMax"/>
          <c:max val="1000"/>
          <c:min val="0"/>
        </c:scaling>
        <c:delete val="0"/>
        <c:axPos val="l"/>
        <c:majorGridlines/>
        <c:minorGridlines>
          <c:spPr>
            <a:ln>
              <a:solidFill>
                <a:schemeClr val="bg1">
                  <a:lumMod val="95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K = W</a:t>
                </a:r>
                <a:r>
                  <a:rPr lang="it-IT" baseline="30000"/>
                  <a:t>0.5</a:t>
                </a:r>
                <a:r>
                  <a:rPr lang="it-IT" baseline="0"/>
                  <a:t> L</a:t>
                </a:r>
                <a:r>
                  <a:rPr lang="it-IT" baseline="30000"/>
                  <a:t>1.5</a:t>
                </a:r>
                <a:r>
                  <a:rPr lang="it-IT" baseline="0"/>
                  <a:t> / D</a:t>
                </a:r>
                <a:r>
                  <a:rPr lang="it-IT" baseline="30000"/>
                  <a:t>2</a:t>
                </a:r>
                <a:endParaRPr lang="it-IT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i="1"/>
            </a:pPr>
            <a:endParaRPr lang="en-US"/>
          </a:p>
        </c:txPr>
        <c:crossAx val="197061248"/>
        <c:crosses val="autoZero"/>
        <c:crossBetween val="midCat"/>
      </c:valAx>
    </c:plotArea>
    <c:plotVisOnly val="0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1</xdr:row>
      <xdr:rowOff>114300</xdr:rowOff>
    </xdr:from>
    <xdr:to>
      <xdr:col>19</xdr:col>
      <xdr:colOff>95250</xdr:colOff>
      <xdr:row>4</xdr:row>
      <xdr:rowOff>145782</xdr:rowOff>
    </xdr:to>
    <xdr:pic>
      <xdr:nvPicPr>
        <xdr:cNvPr id="2" name="Picture 2" descr="trillium 2">
          <a:extLst>
            <a:ext uri="{FF2B5EF4-FFF2-40B4-BE49-F238E27FC236}">
              <a16:creationId xmlns:a16="http://schemas.microsoft.com/office/drawing/2014/main" id="{653AB76F-E82E-42E4-BCBD-12B448004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3075" y="304800"/>
          <a:ext cx="2514600" cy="6029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95250</xdr:colOff>
      <xdr:row>26</xdr:row>
      <xdr:rowOff>9525</xdr:rowOff>
    </xdr:from>
    <xdr:to>
      <xdr:col>29</xdr:col>
      <xdr:colOff>19050</xdr:colOff>
      <xdr:row>37</xdr:row>
      <xdr:rowOff>47625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69F3B4C-6A34-44B2-A320-2600DA2EBEF7}"/>
            </a:ext>
          </a:extLst>
        </xdr:cNvPr>
        <xdr:cNvSpPr txBox="1"/>
      </xdr:nvSpPr>
      <xdr:spPr>
        <a:xfrm>
          <a:off x="95250" y="4962525"/>
          <a:ext cx="6276975" cy="21336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 b="0" u="none"/>
            <a:t>This worksheet</a:t>
          </a:r>
          <a:r>
            <a:rPr lang="en-US" sz="1100" b="0" u="none" baseline="0"/>
            <a:t> caIculatate flexibility index for overhung pumps (API610) and K-factor for between bearing pumps</a:t>
          </a:r>
        </a:p>
        <a:p>
          <a:endParaRPr lang="en-US" sz="1100" b="0" u="none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Sheet "overhung pump"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100" b="0" u="non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Sheet "Duncan-Hood diagram"</a:t>
          </a:r>
          <a:endParaRPr lang="it-IT" sz="1100" b="0" u="non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US" sz="1100" b="0" u="none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0</xdr:colOff>
      <xdr:row>31</xdr:row>
      <xdr:rowOff>9525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4548BFD-9A2B-9B4F-759D-2CBCEC3D7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25</xdr:row>
      <xdr:rowOff>0</xdr:rowOff>
    </xdr:from>
    <xdr:to>
      <xdr:col>17</xdr:col>
      <xdr:colOff>0</xdr:colOff>
      <xdr:row>31</xdr:row>
      <xdr:rowOff>0</xdr:rowOff>
    </xdr:to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BA7471FF-8C46-4C3B-9D78-E46D646435A6}"/>
            </a:ext>
          </a:extLst>
        </xdr:cNvPr>
        <xdr:cNvSpPr txBox="1"/>
      </xdr:nvSpPr>
      <xdr:spPr>
        <a:xfrm>
          <a:off x="7677150" y="5019675"/>
          <a:ext cx="3552825" cy="1143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 b="1" u="sng"/>
            <a:t>INSTRUCTIONS:</a:t>
          </a:r>
        </a:p>
        <a:p>
          <a:r>
            <a:rPr lang="it-IT" sz="1100" b="0" u="none"/>
            <a:t>1)</a:t>
          </a:r>
          <a:r>
            <a:rPr lang="it-IT" sz="1100" b="0" u="none" baseline="0"/>
            <a:t> fill in the required input data;</a:t>
          </a:r>
        </a:p>
        <a:p>
          <a:r>
            <a:rPr lang="it-IT" sz="1100" b="0" u="none" baseline="0"/>
            <a:t>2) calculate the K</a:t>
          </a:r>
          <a:r>
            <a:rPr lang="it-IT" sz="1100" b="0" u="none" baseline="-25000"/>
            <a:t>t</a:t>
          </a:r>
          <a:r>
            <a:rPr lang="it-IT" sz="1100" b="0" u="none" baseline="0"/>
            <a:t> and I</a:t>
          </a:r>
          <a:r>
            <a:rPr lang="it-IT" sz="1100" b="0" u="none" baseline="-25000"/>
            <a:t>SF</a:t>
          </a:r>
          <a:r>
            <a:rPr lang="it-IT" sz="1100" b="0" u="none" baseline="0"/>
            <a:t>;</a:t>
          </a:r>
        </a:p>
        <a:p>
          <a:r>
            <a:rPr lang="it-IT" sz="1100" b="0" u="none" baseline="0"/>
            <a:t>3) verify that calculated I</a:t>
          </a:r>
          <a:r>
            <a:rPr lang="it-IT" sz="1100" b="0" u="none" baseline="-25000"/>
            <a:t>SF</a:t>
          </a:r>
          <a:r>
            <a:rPr lang="it-IT" sz="1100" b="0" u="none" baseline="0"/>
            <a:t> is below the red limit in the graph (120% of empirical formula showed in continuous black line).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0</xdr:colOff>
      <xdr:row>33</xdr:row>
      <xdr:rowOff>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CB478633-ED7C-4325-AB3E-BD9E904F61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19</xdr:row>
      <xdr:rowOff>190499</xdr:rowOff>
    </xdr:from>
    <xdr:to>
      <xdr:col>17</xdr:col>
      <xdr:colOff>0</xdr:colOff>
      <xdr:row>25</xdr:row>
      <xdr:rowOff>66674</xdr:rowOff>
    </xdr:to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1E8D647C-46CA-5C3D-A92A-01D7989A2596}"/>
            </a:ext>
          </a:extLst>
        </xdr:cNvPr>
        <xdr:cNvSpPr txBox="1"/>
      </xdr:nvSpPr>
      <xdr:spPr>
        <a:xfrm>
          <a:off x="7677150" y="3886199"/>
          <a:ext cx="3076575" cy="10191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 b="1" u="sng"/>
            <a:t>INSTRUCTIONS:</a:t>
          </a:r>
        </a:p>
        <a:p>
          <a:r>
            <a:rPr lang="it-IT" sz="1100" b="0" u="none"/>
            <a:t>1)</a:t>
          </a:r>
          <a:r>
            <a:rPr lang="it-IT" sz="1100" b="0" u="none" baseline="0"/>
            <a:t> fill in the required input data;</a:t>
          </a:r>
        </a:p>
        <a:p>
          <a:r>
            <a:rPr lang="it-IT" sz="1100" b="0" u="none" baseline="0"/>
            <a:t>2) calculate the K factor;</a:t>
          </a:r>
        </a:p>
        <a:p>
          <a:r>
            <a:rPr lang="it-IT" sz="1100" b="0" u="none" baseline="0"/>
            <a:t>3) control the check table;</a:t>
          </a:r>
        </a:p>
        <a:p>
          <a:r>
            <a:rPr lang="it-IT" sz="1100" b="0" u="none" baseline="0"/>
            <a:t>4) control that </a:t>
          </a:r>
          <a:r>
            <a:rPr lang="it-IT" sz="1400" b="1" u="none" baseline="0">
              <a:solidFill>
                <a:srgbClr val="FF0000"/>
              </a:solidFill>
            </a:rPr>
            <a:t>X</a:t>
          </a:r>
          <a:r>
            <a:rPr lang="it-IT" sz="1100" b="0" u="none" baseline="0"/>
            <a:t> falls in the acceptable region.</a:t>
          </a:r>
          <a:endParaRPr lang="it-IT" sz="1100" b="0" u="none"/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0.19063</cdr:x>
      <cdr:y>0.07574</cdr:y>
    </cdr:from>
    <cdr:to>
      <cdr:x>0.36634</cdr:x>
      <cdr:y>0.20231</cdr:y>
    </cdr:to>
    <cdr:sp macro="" textlink="">
      <cdr:nvSpPr>
        <cdr:cNvPr id="16" name="CasellaDiTesto 1"/>
        <cdr:cNvSpPr txBox="1"/>
      </cdr:nvSpPr>
      <cdr:spPr>
        <a:xfrm xmlns:a="http://schemas.openxmlformats.org/drawingml/2006/main">
          <a:off x="1394533" y="467456"/>
          <a:ext cx="1285281" cy="781215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it-IT" sz="1100" b="1"/>
            <a:t>SLENDER</a:t>
          </a:r>
          <a:r>
            <a:rPr lang="it-IT" sz="1100" b="1" baseline="0"/>
            <a:t> SHAFTS</a:t>
          </a:r>
        </a:p>
        <a:p xmlns:a="http://schemas.openxmlformats.org/drawingml/2006/main">
          <a:pPr algn="ctr"/>
          <a:r>
            <a:rPr lang="it-IT" sz="1100" b="0" baseline="0"/>
            <a:t>Possible Difficulties</a:t>
          </a:r>
        </a:p>
        <a:p xmlns:a="http://schemas.openxmlformats.org/drawingml/2006/main">
          <a:pPr algn="ctr"/>
          <a:r>
            <a:rPr lang="it-IT" sz="1100" b="0" baseline="0"/>
            <a:t>in Achieving Rub</a:t>
          </a:r>
        </a:p>
        <a:p xmlns:a="http://schemas.openxmlformats.org/drawingml/2006/main">
          <a:pPr algn="ctr"/>
          <a:r>
            <a:rPr lang="it-IT" sz="1100" b="0" baseline="0"/>
            <a:t>Free Initial Build</a:t>
          </a:r>
          <a:endParaRPr lang="it-IT" sz="1100" b="0"/>
        </a:p>
      </cdr:txBody>
    </cdr:sp>
  </cdr:relSizeAnchor>
  <cdr:relSizeAnchor xmlns:cdr="http://schemas.openxmlformats.org/drawingml/2006/chartDrawing">
    <cdr:from>
      <cdr:x>0.55786</cdr:x>
      <cdr:y>0.82814</cdr:y>
    </cdr:from>
    <cdr:to>
      <cdr:x>0.85892</cdr:x>
      <cdr:y>0.8989</cdr:y>
    </cdr:to>
    <cdr:sp macro="" textlink="">
      <cdr:nvSpPr>
        <cdr:cNvPr id="18" name="CasellaDiTesto 1"/>
        <cdr:cNvSpPr txBox="1"/>
      </cdr:nvSpPr>
      <cdr:spPr>
        <a:xfrm xmlns:a="http://schemas.openxmlformats.org/drawingml/2006/main">
          <a:off x="4080864" y="5111417"/>
          <a:ext cx="2202314" cy="436745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it-IT" sz="1100" b="0"/>
            <a:t>Recommended Upper Limit For</a:t>
          </a:r>
        </a:p>
        <a:p xmlns:a="http://schemas.openxmlformats.org/drawingml/2006/main">
          <a:pPr algn="ctr"/>
          <a:r>
            <a:rPr lang="it-IT" sz="1100" b="0"/>
            <a:t>Pumps With Dry-Running Capabilty</a:t>
          </a:r>
        </a:p>
      </cdr:txBody>
    </cdr:sp>
  </cdr:relSizeAnchor>
  <cdr:relSizeAnchor xmlns:cdr="http://schemas.openxmlformats.org/drawingml/2006/chartDrawing">
    <cdr:from>
      <cdr:x>0.85892</cdr:x>
      <cdr:y>0.76235</cdr:y>
    </cdr:from>
    <cdr:to>
      <cdr:x>0.89844</cdr:x>
      <cdr:y>0.86352</cdr:y>
    </cdr:to>
    <cdr:cxnSp macro="">
      <cdr:nvCxnSpPr>
        <cdr:cNvPr id="19" name="Connettore 2 18">
          <a:extLst xmlns:a="http://schemas.openxmlformats.org/drawingml/2006/main">
            <a:ext uri="{FF2B5EF4-FFF2-40B4-BE49-F238E27FC236}">
              <a16:creationId xmlns:a16="http://schemas.microsoft.com/office/drawing/2014/main" id="{98E584B9-BA8D-8616-0CAD-EE9E2597B957}"/>
            </a:ext>
          </a:extLst>
        </cdr:cNvPr>
        <cdr:cNvCxnSpPr>
          <a:stCxn xmlns:a="http://schemas.openxmlformats.org/drawingml/2006/main" id="18" idx="3"/>
        </cdr:cNvCxnSpPr>
      </cdr:nvCxnSpPr>
      <cdr:spPr>
        <a:xfrm xmlns:a="http://schemas.openxmlformats.org/drawingml/2006/main" flipV="1">
          <a:off x="6283178" y="4705350"/>
          <a:ext cx="289072" cy="62444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none" w="med" len="med"/>
          <a:tailEnd type="triangl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0.22998</cdr:x>
      <cdr:y>0.37343</cdr:y>
    </cdr:from>
    <cdr:to>
      <cdr:x>0.46764</cdr:x>
      <cdr:y>0.4442</cdr:y>
    </cdr:to>
    <cdr:sp macro="" textlink="">
      <cdr:nvSpPr>
        <cdr:cNvPr id="20" name="CasellaDiTesto 1"/>
        <cdr:cNvSpPr txBox="1"/>
      </cdr:nvSpPr>
      <cdr:spPr>
        <a:xfrm xmlns:a="http://schemas.openxmlformats.org/drawingml/2006/main">
          <a:off x="1682371" y="2304885"/>
          <a:ext cx="1738489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it-IT" sz="1100" b="0"/>
            <a:t>Recommended Design Line</a:t>
          </a:r>
        </a:p>
        <a:p xmlns:a="http://schemas.openxmlformats.org/drawingml/2006/main">
          <a:pPr algn="ctr"/>
          <a:r>
            <a:rPr lang="it-IT" sz="1100" b="0"/>
            <a:t>For Wet Running Pumps</a:t>
          </a:r>
        </a:p>
      </cdr:txBody>
    </cdr:sp>
  </cdr:relSizeAnchor>
  <cdr:relSizeAnchor xmlns:cdr="http://schemas.openxmlformats.org/drawingml/2006/chartDrawing">
    <cdr:from>
      <cdr:x>0.30417</cdr:x>
      <cdr:y>0.31728</cdr:y>
    </cdr:from>
    <cdr:to>
      <cdr:x>0.34881</cdr:x>
      <cdr:y>0.37343</cdr:y>
    </cdr:to>
    <cdr:cxnSp macro="">
      <cdr:nvCxnSpPr>
        <cdr:cNvPr id="21" name="Connettore 2 20">
          <a:extLst xmlns:a="http://schemas.openxmlformats.org/drawingml/2006/main">
            <a:ext uri="{FF2B5EF4-FFF2-40B4-BE49-F238E27FC236}">
              <a16:creationId xmlns:a16="http://schemas.microsoft.com/office/drawing/2014/main" id="{DBAD515F-7505-AD99-419D-30FE483AE07F}"/>
            </a:ext>
          </a:extLst>
        </cdr:cNvPr>
        <cdr:cNvCxnSpPr>
          <a:stCxn xmlns:a="http://schemas.openxmlformats.org/drawingml/2006/main" id="20" idx="0"/>
        </cdr:cNvCxnSpPr>
      </cdr:nvCxnSpPr>
      <cdr:spPr>
        <a:xfrm xmlns:a="http://schemas.openxmlformats.org/drawingml/2006/main" flipH="1" flipV="1">
          <a:off x="2225064" y="1958316"/>
          <a:ext cx="326552" cy="34656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none" w="med" len="med"/>
          <a:tailEnd type="triangl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0.30562</cdr:x>
      <cdr:y>0.20639</cdr:y>
    </cdr:from>
    <cdr:to>
      <cdr:x>0.39527</cdr:x>
      <cdr:y>0.24417</cdr:y>
    </cdr:to>
    <cdr:sp macro="" textlink="">
      <cdr:nvSpPr>
        <cdr:cNvPr id="22" name="CasellaDiTesto 1"/>
        <cdr:cNvSpPr txBox="1"/>
      </cdr:nvSpPr>
      <cdr:spPr>
        <a:xfrm xmlns:a="http://schemas.openxmlformats.org/drawingml/2006/main">
          <a:off x="2235659" y="1273893"/>
          <a:ext cx="655808" cy="233185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it-IT" sz="900" b="1" i="1"/>
            <a:t>f</a:t>
          </a:r>
          <a:r>
            <a:rPr lang="it-IT" sz="900" b="1" i="1" baseline="-25000"/>
            <a:t>n</a:t>
          </a:r>
          <a:r>
            <a:rPr lang="it-IT" sz="900" b="1" i="1" baseline="0"/>
            <a:t>  = 16 Hz</a:t>
          </a:r>
          <a:endParaRPr lang="it-IT" sz="900" b="1" i="1"/>
        </a:p>
      </cdr:txBody>
    </cdr:sp>
  </cdr:relSizeAnchor>
  <cdr:relSizeAnchor xmlns:cdr="http://schemas.openxmlformats.org/drawingml/2006/chartDrawing">
    <cdr:from>
      <cdr:x>0.3059</cdr:x>
      <cdr:y>0.28066</cdr:y>
    </cdr:from>
    <cdr:to>
      <cdr:x>0.39556</cdr:x>
      <cdr:y>0.31844</cdr:y>
    </cdr:to>
    <cdr:sp macro="" textlink="">
      <cdr:nvSpPr>
        <cdr:cNvPr id="23" name="CasellaDiTesto 1"/>
        <cdr:cNvSpPr txBox="1"/>
      </cdr:nvSpPr>
      <cdr:spPr>
        <a:xfrm xmlns:a="http://schemas.openxmlformats.org/drawingml/2006/main">
          <a:off x="2237707" y="1732302"/>
          <a:ext cx="655881" cy="23318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it-IT" sz="900" b="1" i="1"/>
            <a:t>f</a:t>
          </a:r>
          <a:r>
            <a:rPr lang="it-IT" sz="900" b="1" i="1" baseline="-25000"/>
            <a:t>n</a:t>
          </a:r>
          <a:r>
            <a:rPr lang="it-IT" sz="900" b="1" i="1" baseline="0"/>
            <a:t>  = 18 Hz</a:t>
          </a:r>
          <a:endParaRPr lang="it-IT" sz="900" b="1" i="1"/>
        </a:p>
      </cdr:txBody>
    </cdr:sp>
  </cdr:relSizeAnchor>
  <cdr:relSizeAnchor xmlns:cdr="http://schemas.openxmlformats.org/drawingml/2006/chartDrawing">
    <cdr:from>
      <cdr:x>0.3092</cdr:x>
      <cdr:y>0.56798</cdr:y>
    </cdr:from>
    <cdr:to>
      <cdr:x>0.39886</cdr:x>
      <cdr:y>0.60576</cdr:y>
    </cdr:to>
    <cdr:sp macro="" textlink="">
      <cdr:nvSpPr>
        <cdr:cNvPr id="24" name="CasellaDiTesto 1"/>
        <cdr:cNvSpPr txBox="1"/>
      </cdr:nvSpPr>
      <cdr:spPr>
        <a:xfrm xmlns:a="http://schemas.openxmlformats.org/drawingml/2006/main">
          <a:off x="2261860" y="3505698"/>
          <a:ext cx="655881" cy="23318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it-IT" sz="900" b="1" i="1"/>
            <a:t>f</a:t>
          </a:r>
          <a:r>
            <a:rPr lang="it-IT" sz="900" b="1" i="1" baseline="-25000"/>
            <a:t>n</a:t>
          </a:r>
          <a:r>
            <a:rPr lang="it-IT" sz="900" b="1" i="1" baseline="0"/>
            <a:t>  = 35 Hz</a:t>
          </a:r>
          <a:endParaRPr lang="it-IT" sz="900" b="1" i="1"/>
        </a:p>
      </cdr:txBody>
    </cdr:sp>
  </cdr:relSizeAnchor>
  <cdr:relSizeAnchor xmlns:cdr="http://schemas.openxmlformats.org/drawingml/2006/chartDrawing">
    <cdr:from>
      <cdr:x>0.60884</cdr:x>
      <cdr:y>0.75317</cdr:y>
    </cdr:from>
    <cdr:to>
      <cdr:x>0.68672</cdr:x>
      <cdr:y>0.79095</cdr:y>
    </cdr:to>
    <cdr:sp macro="" textlink="">
      <cdr:nvSpPr>
        <cdr:cNvPr id="3" name="CasellaDiTesto 1">
          <a:extLst xmlns:a="http://schemas.openxmlformats.org/drawingml/2006/main">
            <a:ext uri="{FF2B5EF4-FFF2-40B4-BE49-F238E27FC236}">
              <a16:creationId xmlns:a16="http://schemas.microsoft.com/office/drawing/2014/main" id="{DEA47445-356F-765D-3758-948364675351}"/>
            </a:ext>
          </a:extLst>
        </cdr:cNvPr>
        <cdr:cNvSpPr txBox="1"/>
      </cdr:nvSpPr>
      <cdr:spPr>
        <a:xfrm xmlns:a="http://schemas.openxmlformats.org/drawingml/2006/main">
          <a:off x="4453812" y="4648704"/>
          <a:ext cx="569708" cy="233205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it-IT" sz="900" b="1" i="1">
              <a:solidFill>
                <a:srgbClr val="FF0000"/>
              </a:solidFill>
            </a:rPr>
            <a:t>f</a:t>
          </a:r>
          <a:r>
            <a:rPr lang="it-IT" sz="900" b="1" i="1" baseline="-25000">
              <a:solidFill>
                <a:srgbClr val="FF0000"/>
              </a:solidFill>
            </a:rPr>
            <a:t>n</a:t>
          </a:r>
          <a:r>
            <a:rPr lang="it-IT" sz="900" b="1" i="1" baseline="0">
              <a:solidFill>
                <a:srgbClr val="FF0000"/>
              </a:solidFill>
            </a:rPr>
            <a:t>/</a:t>
          </a:r>
          <a:r>
            <a:rPr lang="it-IT" sz="900" b="1" i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</a:t>
          </a:r>
          <a:r>
            <a:rPr lang="it-IT" sz="900" b="1" i="1" baseline="-25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</a:t>
          </a:r>
          <a:r>
            <a:rPr lang="it-IT" sz="900" b="1" i="1" baseline="0">
              <a:solidFill>
                <a:srgbClr val="FF0000"/>
              </a:solidFill>
            </a:rPr>
            <a:t>  = 1</a:t>
          </a:r>
          <a:endParaRPr lang="it-IT" sz="900" b="1" i="1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0.64882</cdr:x>
      <cdr:y>0.67539</cdr:y>
    </cdr:from>
    <cdr:to>
      <cdr:x>0.74675</cdr:x>
      <cdr:y>0.71317</cdr:y>
    </cdr:to>
    <cdr:sp macro="" textlink="">
      <cdr:nvSpPr>
        <cdr:cNvPr id="4" name="CasellaDiTesto 1">
          <a:extLst xmlns:a="http://schemas.openxmlformats.org/drawingml/2006/main">
            <a:ext uri="{FF2B5EF4-FFF2-40B4-BE49-F238E27FC236}">
              <a16:creationId xmlns:a16="http://schemas.microsoft.com/office/drawing/2014/main" id="{01D42960-98E2-0139-D541-1C9077917640}"/>
            </a:ext>
          </a:extLst>
        </cdr:cNvPr>
        <cdr:cNvSpPr txBox="1"/>
      </cdr:nvSpPr>
      <cdr:spPr>
        <a:xfrm xmlns:a="http://schemas.openxmlformats.org/drawingml/2006/main">
          <a:off x="4746219" y="4168644"/>
          <a:ext cx="716415" cy="233205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it-IT" sz="900" b="1" i="1">
              <a:solidFill>
                <a:schemeClr val="tx1"/>
              </a:solidFill>
            </a:rPr>
            <a:t>f</a:t>
          </a:r>
          <a:r>
            <a:rPr lang="it-IT" sz="900" b="1" i="1" baseline="-25000">
              <a:solidFill>
                <a:schemeClr val="tx1"/>
              </a:solidFill>
            </a:rPr>
            <a:t>n</a:t>
          </a:r>
          <a:r>
            <a:rPr lang="it-IT" sz="900" b="1" i="1" baseline="0">
              <a:solidFill>
                <a:schemeClr val="tx1"/>
              </a:solidFill>
            </a:rPr>
            <a:t>/</a:t>
          </a:r>
          <a:r>
            <a:rPr lang="it-IT" sz="900" b="1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</a:t>
          </a:r>
          <a:r>
            <a:rPr lang="it-IT" sz="900" b="1" i="1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</a:t>
          </a:r>
          <a:r>
            <a:rPr lang="it-IT" sz="900" b="1" i="1" baseline="0">
              <a:solidFill>
                <a:schemeClr val="tx1"/>
              </a:solidFill>
            </a:rPr>
            <a:t>  = 0,55</a:t>
          </a:r>
          <a:endParaRPr lang="it-IT" sz="900" b="1" i="1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0.68615</cdr:x>
      <cdr:y>0.59267</cdr:y>
    </cdr:from>
    <cdr:to>
      <cdr:x>0.77609</cdr:x>
      <cdr:y>0.63046</cdr:y>
    </cdr:to>
    <cdr:sp macro="" textlink="">
      <cdr:nvSpPr>
        <cdr:cNvPr id="5" name="CasellaDiTesto 1">
          <a:extLst xmlns:a="http://schemas.openxmlformats.org/drawingml/2006/main">
            <a:ext uri="{FF2B5EF4-FFF2-40B4-BE49-F238E27FC236}">
              <a16:creationId xmlns:a16="http://schemas.microsoft.com/office/drawing/2014/main" id="{0C1E3E98-2B1B-74F2-8F11-8A9D9E0F0E38}"/>
            </a:ext>
          </a:extLst>
        </cdr:cNvPr>
        <cdr:cNvSpPr txBox="1"/>
      </cdr:nvSpPr>
      <cdr:spPr>
        <a:xfrm xmlns:a="http://schemas.openxmlformats.org/drawingml/2006/main">
          <a:off x="5019298" y="3658104"/>
          <a:ext cx="657937" cy="233205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it-IT" sz="900" b="1" i="1">
              <a:solidFill>
                <a:schemeClr val="tx1"/>
              </a:solidFill>
            </a:rPr>
            <a:t>f</a:t>
          </a:r>
          <a:r>
            <a:rPr lang="it-IT" sz="900" b="1" i="1" baseline="-25000">
              <a:solidFill>
                <a:schemeClr val="tx1"/>
              </a:solidFill>
            </a:rPr>
            <a:t>n</a:t>
          </a:r>
          <a:r>
            <a:rPr lang="it-IT" sz="900" b="1" i="1" baseline="0">
              <a:solidFill>
                <a:schemeClr val="tx1"/>
              </a:solidFill>
            </a:rPr>
            <a:t>/</a:t>
          </a:r>
          <a:r>
            <a:rPr lang="it-IT" sz="900" b="1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</a:t>
          </a:r>
          <a:r>
            <a:rPr lang="it-IT" sz="900" b="1" i="1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</a:t>
          </a:r>
          <a:r>
            <a:rPr lang="it-IT" sz="900" b="1" i="1" baseline="0">
              <a:solidFill>
                <a:schemeClr val="tx1"/>
              </a:solidFill>
            </a:rPr>
            <a:t>  = 0,3</a:t>
          </a:r>
          <a:endParaRPr lang="it-IT" sz="900" b="1" i="1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0.20194</cdr:x>
      <cdr:y>0.80801</cdr:y>
    </cdr:from>
    <cdr:to>
      <cdr:x>0.4396</cdr:x>
      <cdr:y>0.87878</cdr:y>
    </cdr:to>
    <cdr:sp macro="" textlink="">
      <cdr:nvSpPr>
        <cdr:cNvPr id="8" name="CasellaDiTesto 1">
          <a:extLst xmlns:a="http://schemas.openxmlformats.org/drawingml/2006/main">
            <a:ext uri="{FF2B5EF4-FFF2-40B4-BE49-F238E27FC236}">
              <a16:creationId xmlns:a16="http://schemas.microsoft.com/office/drawing/2014/main" id="{36093B35-4290-454B-77C6-78EA4F54DAFF}"/>
            </a:ext>
          </a:extLst>
        </cdr:cNvPr>
        <cdr:cNvSpPr txBox="1"/>
      </cdr:nvSpPr>
      <cdr:spPr>
        <a:xfrm xmlns:a="http://schemas.openxmlformats.org/drawingml/2006/main">
          <a:off x="1477253" y="4987199"/>
          <a:ext cx="1738489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it-IT" sz="1100" b="0"/>
            <a:t>Recommended Design Line</a:t>
          </a:r>
        </a:p>
        <a:p xmlns:a="http://schemas.openxmlformats.org/drawingml/2006/main">
          <a:pPr algn="ctr"/>
          <a:r>
            <a:rPr lang="it-IT" sz="1100" b="0"/>
            <a:t>For Balance Disc Pumps</a:t>
          </a:r>
        </a:p>
      </cdr:txBody>
    </cdr:sp>
  </cdr:relSizeAnchor>
  <cdr:relSizeAnchor xmlns:cdr="http://schemas.openxmlformats.org/drawingml/2006/chartDrawing">
    <cdr:from>
      <cdr:x>0.4396</cdr:x>
      <cdr:y>0.80247</cdr:y>
    </cdr:from>
    <cdr:to>
      <cdr:x>0.53255</cdr:x>
      <cdr:y>0.84339</cdr:y>
    </cdr:to>
    <cdr:cxnSp macro="">
      <cdr:nvCxnSpPr>
        <cdr:cNvPr id="9" name="Connettore 2 8">
          <a:extLst xmlns:a="http://schemas.openxmlformats.org/drawingml/2006/main">
            <a:ext uri="{FF2B5EF4-FFF2-40B4-BE49-F238E27FC236}">
              <a16:creationId xmlns:a16="http://schemas.microsoft.com/office/drawing/2014/main" id="{EAEB372C-AB4B-78C0-EC13-64268AE57075}"/>
            </a:ext>
          </a:extLst>
        </cdr:cNvPr>
        <cdr:cNvCxnSpPr>
          <a:stCxn xmlns:a="http://schemas.openxmlformats.org/drawingml/2006/main" id="8" idx="3"/>
        </cdr:cNvCxnSpPr>
      </cdr:nvCxnSpPr>
      <cdr:spPr>
        <a:xfrm xmlns:a="http://schemas.openxmlformats.org/drawingml/2006/main" flipV="1">
          <a:off x="3215742" y="4953005"/>
          <a:ext cx="679968" cy="25258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none" w="med" len="med"/>
          <a:tailEnd type="triangl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0.65308</cdr:x>
      <cdr:y>0.28733</cdr:y>
    </cdr:from>
    <cdr:to>
      <cdr:x>0.88694</cdr:x>
      <cdr:y>0.46103</cdr:y>
    </cdr:to>
    <cdr:sp macro="" textlink="">
      <cdr:nvSpPr>
        <cdr:cNvPr id="17" name="CasellaDiTesto 1"/>
        <cdr:cNvSpPr txBox="1"/>
      </cdr:nvSpPr>
      <cdr:spPr>
        <a:xfrm xmlns:a="http://schemas.openxmlformats.org/drawingml/2006/main">
          <a:off x="4802275" y="1784376"/>
          <a:ext cx="1719643" cy="107872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it-IT" sz="1050" b="1"/>
            <a:t>SLENDER</a:t>
          </a:r>
          <a:r>
            <a:rPr lang="it-IT" sz="1050" b="1" baseline="0"/>
            <a:t> SHAFTS</a:t>
          </a:r>
        </a:p>
        <a:p xmlns:a="http://schemas.openxmlformats.org/drawingml/2006/main">
          <a:pPr algn="ctr"/>
          <a:r>
            <a:rPr lang="it-IT" sz="1050" b="0" baseline="0"/>
            <a:t>Unduly Affected By Out Of</a:t>
          </a:r>
        </a:p>
        <a:p xmlns:a="http://schemas.openxmlformats.org/drawingml/2006/main">
          <a:pPr algn="ctr"/>
          <a:r>
            <a:rPr lang="it-IT" sz="1050" b="0" baseline="0"/>
            <a:t>Balance and Lack Of Initial</a:t>
          </a:r>
        </a:p>
        <a:p xmlns:a="http://schemas.openxmlformats.org/drawingml/2006/main">
          <a:pPr algn="ctr"/>
          <a:r>
            <a:rPr lang="it-IT" sz="1050" b="0" baseline="0"/>
            <a:t>Straightness. Possibility Of</a:t>
          </a:r>
        </a:p>
        <a:p xmlns:a="http://schemas.openxmlformats.org/drawingml/2006/main">
          <a:pPr algn="ctr"/>
          <a:r>
            <a:rPr lang="it-IT" sz="1050" b="0" baseline="0"/>
            <a:t>Premature Wear Of Internal</a:t>
          </a:r>
        </a:p>
        <a:p xmlns:a="http://schemas.openxmlformats.org/drawingml/2006/main">
          <a:pPr algn="ctr"/>
          <a:r>
            <a:rPr lang="it-IT" sz="1050" b="0" baseline="0"/>
            <a:t>Clearances</a:t>
          </a:r>
          <a:endParaRPr lang="it-IT" sz="1050" b="0"/>
        </a:p>
      </cdr:txBody>
    </cdr:sp>
  </cdr:relSizeAnchor>
  <cdr:relSizeAnchor xmlns:cdr="http://schemas.openxmlformats.org/drawingml/2006/chartDrawing">
    <cdr:from>
      <cdr:x>0.72173</cdr:x>
      <cdr:y>0.51243</cdr:y>
    </cdr:from>
    <cdr:to>
      <cdr:x>0.81967</cdr:x>
      <cdr:y>0.55021</cdr:y>
    </cdr:to>
    <cdr:sp macro="" textlink="">
      <cdr:nvSpPr>
        <cdr:cNvPr id="6" name="CasellaDiTesto 1">
          <a:extLst xmlns:a="http://schemas.openxmlformats.org/drawingml/2006/main">
            <a:ext uri="{FF2B5EF4-FFF2-40B4-BE49-F238E27FC236}">
              <a16:creationId xmlns:a16="http://schemas.microsoft.com/office/drawing/2014/main" id="{A16B12C2-44CA-3787-7AE3-7A4E9CF1E55D}"/>
            </a:ext>
          </a:extLst>
        </cdr:cNvPr>
        <cdr:cNvSpPr txBox="1"/>
      </cdr:nvSpPr>
      <cdr:spPr>
        <a:xfrm xmlns:a="http://schemas.openxmlformats.org/drawingml/2006/main">
          <a:off x="5279619" y="3162804"/>
          <a:ext cx="716415" cy="233205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it-IT" sz="900" b="1" i="1">
              <a:solidFill>
                <a:schemeClr val="tx1"/>
              </a:solidFill>
            </a:rPr>
            <a:t>f</a:t>
          </a:r>
          <a:r>
            <a:rPr lang="it-IT" sz="900" b="1" i="1" baseline="-25000">
              <a:solidFill>
                <a:schemeClr val="tx1"/>
              </a:solidFill>
            </a:rPr>
            <a:t>n</a:t>
          </a:r>
          <a:r>
            <a:rPr lang="it-IT" sz="900" b="1" i="1" baseline="0">
              <a:solidFill>
                <a:schemeClr val="tx1"/>
              </a:solidFill>
            </a:rPr>
            <a:t>/</a:t>
          </a:r>
          <a:r>
            <a:rPr lang="it-IT" sz="900" b="1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</a:t>
          </a:r>
          <a:r>
            <a:rPr lang="it-IT" sz="900" b="1" i="1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</a:t>
          </a:r>
          <a:r>
            <a:rPr lang="it-IT" sz="900" b="1" i="1" baseline="0">
              <a:solidFill>
                <a:schemeClr val="tx1"/>
              </a:solidFill>
            </a:rPr>
            <a:t>  = 0,27</a:t>
          </a:r>
          <a:endParaRPr lang="it-IT" sz="900" b="1" i="1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0.35768</cdr:x>
      <cdr:y>0.02378</cdr:y>
    </cdr:from>
    <cdr:to>
      <cdr:x>0.9632</cdr:x>
      <cdr:y>0.64075</cdr:y>
    </cdr:to>
    <cdr:sp macro="" textlink="">
      <cdr:nvSpPr>
        <cdr:cNvPr id="7" name="Figura a mano libera: forma 6">
          <a:extLst xmlns:a="http://schemas.openxmlformats.org/drawingml/2006/main">
            <a:ext uri="{FF2B5EF4-FFF2-40B4-BE49-F238E27FC236}">
              <a16:creationId xmlns:a16="http://schemas.microsoft.com/office/drawing/2014/main" id="{0DCA965E-B79E-4F5C-2839-869B679FC4D0}"/>
            </a:ext>
          </a:extLst>
        </cdr:cNvPr>
        <cdr:cNvSpPr/>
      </cdr:nvSpPr>
      <cdr:spPr>
        <a:xfrm xmlns:a="http://schemas.openxmlformats.org/drawingml/2006/main">
          <a:off x="2623343" y="146844"/>
          <a:ext cx="4441032" cy="3810000"/>
        </a:xfrm>
        <a:custGeom xmlns:a="http://schemas.openxmlformats.org/drawingml/2006/main">
          <a:avLst/>
          <a:gdLst>
            <a:gd name="connsiteX0" fmla="*/ 4437063 w 4441032"/>
            <a:gd name="connsiteY0" fmla="*/ 3810000 h 3810000"/>
            <a:gd name="connsiteX1" fmla="*/ 4441032 w 4441032"/>
            <a:gd name="connsiteY1" fmla="*/ 0 h 3810000"/>
            <a:gd name="connsiteX2" fmla="*/ 0 w 4441032"/>
            <a:gd name="connsiteY2" fmla="*/ 0 h 3810000"/>
            <a:gd name="connsiteX3" fmla="*/ 202407 w 4441032"/>
            <a:gd name="connsiteY3" fmla="*/ 543719 h 3810000"/>
            <a:gd name="connsiteX4" fmla="*/ 468313 w 4441032"/>
            <a:gd name="connsiteY4" fmla="*/ 1087437 h 3810000"/>
            <a:gd name="connsiteX5" fmla="*/ 615157 w 4441032"/>
            <a:gd name="connsiteY5" fmla="*/ 1333500 h 3810000"/>
            <a:gd name="connsiteX6" fmla="*/ 805657 w 4441032"/>
            <a:gd name="connsiteY6" fmla="*/ 1627187 h 3810000"/>
            <a:gd name="connsiteX7" fmla="*/ 1047750 w 4441032"/>
            <a:gd name="connsiteY7" fmla="*/ 1944687 h 3810000"/>
            <a:gd name="connsiteX8" fmla="*/ 1262063 w 4441032"/>
            <a:gd name="connsiteY8" fmla="*/ 2170906 h 3810000"/>
            <a:gd name="connsiteX9" fmla="*/ 1488282 w 4441032"/>
            <a:gd name="connsiteY9" fmla="*/ 2405062 h 3810000"/>
            <a:gd name="connsiteX10" fmla="*/ 1670844 w 4441032"/>
            <a:gd name="connsiteY10" fmla="*/ 2551906 h 3810000"/>
            <a:gd name="connsiteX11" fmla="*/ 1948657 w 4441032"/>
            <a:gd name="connsiteY11" fmla="*/ 2758281 h 3810000"/>
            <a:gd name="connsiteX12" fmla="*/ 2210594 w 4441032"/>
            <a:gd name="connsiteY12" fmla="*/ 2936875 h 3810000"/>
            <a:gd name="connsiteX13" fmla="*/ 2444750 w 4441032"/>
            <a:gd name="connsiteY13" fmla="*/ 3059906 h 3810000"/>
            <a:gd name="connsiteX14" fmla="*/ 2647157 w 4441032"/>
            <a:gd name="connsiteY14" fmla="*/ 3175000 h 3810000"/>
            <a:gd name="connsiteX15" fmla="*/ 2885282 w 4441032"/>
            <a:gd name="connsiteY15" fmla="*/ 3278187 h 3810000"/>
            <a:gd name="connsiteX16" fmla="*/ 3135313 w 4441032"/>
            <a:gd name="connsiteY16" fmla="*/ 3393281 h 3810000"/>
            <a:gd name="connsiteX17" fmla="*/ 3429000 w 4441032"/>
            <a:gd name="connsiteY17" fmla="*/ 3508375 h 3810000"/>
            <a:gd name="connsiteX18" fmla="*/ 3702844 w 4441032"/>
            <a:gd name="connsiteY18" fmla="*/ 3595687 h 3810000"/>
            <a:gd name="connsiteX19" fmla="*/ 4103688 w 4441032"/>
            <a:gd name="connsiteY19" fmla="*/ 3722687 h 3810000"/>
            <a:gd name="connsiteX20" fmla="*/ 4437063 w 4441032"/>
            <a:gd name="connsiteY20" fmla="*/ 3810000 h 38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4441032" h="3810000">
              <a:moveTo>
                <a:pt x="4437063" y="3810000"/>
              </a:moveTo>
              <a:lnTo>
                <a:pt x="4441032" y="0"/>
              </a:lnTo>
              <a:lnTo>
                <a:pt x="0" y="0"/>
              </a:lnTo>
              <a:lnTo>
                <a:pt x="202407" y="543719"/>
              </a:lnTo>
              <a:lnTo>
                <a:pt x="468313" y="1087437"/>
              </a:lnTo>
              <a:lnTo>
                <a:pt x="615157" y="1333500"/>
              </a:lnTo>
              <a:lnTo>
                <a:pt x="805657" y="1627187"/>
              </a:lnTo>
              <a:lnTo>
                <a:pt x="1047750" y="1944687"/>
              </a:lnTo>
              <a:lnTo>
                <a:pt x="1262063" y="2170906"/>
              </a:lnTo>
              <a:lnTo>
                <a:pt x="1488282" y="2405062"/>
              </a:lnTo>
              <a:lnTo>
                <a:pt x="1670844" y="2551906"/>
              </a:lnTo>
              <a:lnTo>
                <a:pt x="1948657" y="2758281"/>
              </a:lnTo>
              <a:lnTo>
                <a:pt x="2210594" y="2936875"/>
              </a:lnTo>
              <a:lnTo>
                <a:pt x="2444750" y="3059906"/>
              </a:lnTo>
              <a:lnTo>
                <a:pt x="2647157" y="3175000"/>
              </a:lnTo>
              <a:lnTo>
                <a:pt x="2885282" y="3278187"/>
              </a:lnTo>
              <a:lnTo>
                <a:pt x="3135313" y="3393281"/>
              </a:lnTo>
              <a:lnTo>
                <a:pt x="3429000" y="3508375"/>
              </a:lnTo>
              <a:lnTo>
                <a:pt x="3702844" y="3595687"/>
              </a:lnTo>
              <a:lnTo>
                <a:pt x="4103688" y="3722687"/>
              </a:lnTo>
              <a:lnTo>
                <a:pt x="4437063" y="3810000"/>
              </a:lnTo>
              <a:close/>
            </a:path>
          </a:pathLst>
        </a:custGeom>
        <a:solidFill xmlns:a="http://schemas.openxmlformats.org/drawingml/2006/main">
          <a:schemeClr val="accent2">
            <a:lumMod val="60000"/>
            <a:lumOff val="40000"/>
            <a:alpha val="3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it-IT" kern="1200"/>
        </a:p>
      </cdr:txBody>
    </cdr:sp>
  </cdr:relSizeAnchor>
  <cdr:relSizeAnchor xmlns:cdr="http://schemas.openxmlformats.org/drawingml/2006/chartDrawing">
    <cdr:from>
      <cdr:x>0.60851</cdr:x>
      <cdr:y>0.06533</cdr:y>
    </cdr:from>
    <cdr:to>
      <cdr:x>0.9191</cdr:x>
      <cdr:y>0.23802</cdr:y>
    </cdr:to>
    <cdr:pic>
      <cdr:nvPicPr>
        <cdr:cNvPr id="2" name="Immagine 1">
          <a:extLst xmlns:a="http://schemas.openxmlformats.org/drawingml/2006/main">
            <a:ext uri="{FF2B5EF4-FFF2-40B4-BE49-F238E27FC236}">
              <a16:creationId xmlns:a16="http://schemas.microsoft.com/office/drawing/2014/main" id="{626B4821-81D1-31B6-93D2-2FE3ABD3581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451350" y="403225"/>
          <a:ext cx="2272083" cy="106589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0.10026</cdr:x>
      <cdr:y>0.02366</cdr:y>
    </cdr:from>
    <cdr:to>
      <cdr:x>0.44019</cdr:x>
      <cdr:y>0.24033</cdr:y>
    </cdr:to>
    <cdr:sp macro="" textlink="">
      <cdr:nvSpPr>
        <cdr:cNvPr id="10" name="Figura a mano libera: forma 9">
          <a:extLst xmlns:a="http://schemas.openxmlformats.org/drawingml/2006/main">
            <a:ext uri="{FF2B5EF4-FFF2-40B4-BE49-F238E27FC236}">
              <a16:creationId xmlns:a16="http://schemas.microsoft.com/office/drawing/2014/main" id="{9F138A96-283D-7AAE-0576-E169D9153C21}"/>
            </a:ext>
          </a:extLst>
        </cdr:cNvPr>
        <cdr:cNvSpPr/>
      </cdr:nvSpPr>
      <cdr:spPr>
        <a:xfrm xmlns:a="http://schemas.openxmlformats.org/drawingml/2006/main">
          <a:off x="733425" y="146050"/>
          <a:ext cx="2486660" cy="1337310"/>
        </a:xfrm>
        <a:custGeom xmlns:a="http://schemas.openxmlformats.org/drawingml/2006/main">
          <a:avLst/>
          <a:gdLst>
            <a:gd name="connsiteX0" fmla="*/ 0 w 2494280"/>
            <a:gd name="connsiteY0" fmla="*/ 0 h 1270000"/>
            <a:gd name="connsiteX1" fmla="*/ 15240 w 2494280"/>
            <a:gd name="connsiteY1" fmla="*/ 1270000 h 1270000"/>
            <a:gd name="connsiteX2" fmla="*/ 2494280 w 2494280"/>
            <a:gd name="connsiteY2" fmla="*/ 1270000 h 1270000"/>
            <a:gd name="connsiteX3" fmla="*/ 2377440 w 2494280"/>
            <a:gd name="connsiteY3" fmla="*/ 1092200 h 1270000"/>
            <a:gd name="connsiteX4" fmla="*/ 2133600 w 2494280"/>
            <a:gd name="connsiteY4" fmla="*/ 604520 h 1270000"/>
            <a:gd name="connsiteX5" fmla="*/ 1889760 w 2494280"/>
            <a:gd name="connsiteY5" fmla="*/ 10160 h 1270000"/>
            <a:gd name="connsiteX6" fmla="*/ 0 w 2494280"/>
            <a:gd name="connsiteY6" fmla="*/ 0 h 1270000"/>
            <a:gd name="connsiteX0" fmla="*/ 0 w 2494280"/>
            <a:gd name="connsiteY0" fmla="*/ 0 h 1270000"/>
            <a:gd name="connsiteX1" fmla="*/ 15240 w 2494280"/>
            <a:gd name="connsiteY1" fmla="*/ 1270000 h 1270000"/>
            <a:gd name="connsiteX2" fmla="*/ 2494280 w 2494280"/>
            <a:gd name="connsiteY2" fmla="*/ 1270000 h 1270000"/>
            <a:gd name="connsiteX3" fmla="*/ 2377440 w 2494280"/>
            <a:gd name="connsiteY3" fmla="*/ 1092200 h 1270000"/>
            <a:gd name="connsiteX4" fmla="*/ 2037178 w 2494280"/>
            <a:gd name="connsiteY4" fmla="*/ 431973 h 1270000"/>
            <a:gd name="connsiteX5" fmla="*/ 1889760 w 2494280"/>
            <a:gd name="connsiteY5" fmla="*/ 10160 h 1270000"/>
            <a:gd name="connsiteX6" fmla="*/ 0 w 2494280"/>
            <a:gd name="connsiteY6" fmla="*/ 0 h 1270000"/>
            <a:gd name="connsiteX0" fmla="*/ 0 w 2494280"/>
            <a:gd name="connsiteY0" fmla="*/ 0 h 1270000"/>
            <a:gd name="connsiteX1" fmla="*/ 15240 w 2494280"/>
            <a:gd name="connsiteY1" fmla="*/ 1270000 h 1270000"/>
            <a:gd name="connsiteX2" fmla="*/ 2494280 w 2494280"/>
            <a:gd name="connsiteY2" fmla="*/ 1270000 h 1270000"/>
            <a:gd name="connsiteX3" fmla="*/ 2377440 w 2494280"/>
            <a:gd name="connsiteY3" fmla="*/ 1092200 h 1270000"/>
            <a:gd name="connsiteX4" fmla="*/ 2037178 w 2494280"/>
            <a:gd name="connsiteY4" fmla="*/ 431973 h 1270000"/>
            <a:gd name="connsiteX5" fmla="*/ 1889760 w 2494280"/>
            <a:gd name="connsiteY5" fmla="*/ 10160 h 1270000"/>
            <a:gd name="connsiteX6" fmla="*/ 0 w 2494280"/>
            <a:gd name="connsiteY6" fmla="*/ 0 h 1270000"/>
            <a:gd name="connsiteX0" fmla="*/ 0 w 2484161"/>
            <a:gd name="connsiteY0" fmla="*/ 0 h 1259870"/>
            <a:gd name="connsiteX1" fmla="*/ 5121 w 2484161"/>
            <a:gd name="connsiteY1" fmla="*/ 1259870 h 1259870"/>
            <a:gd name="connsiteX2" fmla="*/ 2484161 w 2484161"/>
            <a:gd name="connsiteY2" fmla="*/ 1259870 h 1259870"/>
            <a:gd name="connsiteX3" fmla="*/ 2367321 w 2484161"/>
            <a:gd name="connsiteY3" fmla="*/ 1082070 h 1259870"/>
            <a:gd name="connsiteX4" fmla="*/ 2027059 w 2484161"/>
            <a:gd name="connsiteY4" fmla="*/ 421843 h 1259870"/>
            <a:gd name="connsiteX5" fmla="*/ 1879641 w 2484161"/>
            <a:gd name="connsiteY5" fmla="*/ 30 h 1259870"/>
            <a:gd name="connsiteX6" fmla="*/ 0 w 2484161"/>
            <a:gd name="connsiteY6" fmla="*/ 0 h 1259870"/>
            <a:gd name="connsiteX0" fmla="*/ 0 w 2484161"/>
            <a:gd name="connsiteY0" fmla="*/ 0 h 1264935"/>
            <a:gd name="connsiteX1" fmla="*/ 54 w 2484161"/>
            <a:gd name="connsiteY1" fmla="*/ 1264935 h 1264935"/>
            <a:gd name="connsiteX2" fmla="*/ 2484161 w 2484161"/>
            <a:gd name="connsiteY2" fmla="*/ 1259870 h 1264935"/>
            <a:gd name="connsiteX3" fmla="*/ 2367321 w 2484161"/>
            <a:gd name="connsiteY3" fmla="*/ 1082070 h 1264935"/>
            <a:gd name="connsiteX4" fmla="*/ 2027059 w 2484161"/>
            <a:gd name="connsiteY4" fmla="*/ 421843 h 1264935"/>
            <a:gd name="connsiteX5" fmla="*/ 1879641 w 2484161"/>
            <a:gd name="connsiteY5" fmla="*/ 30 h 1264935"/>
            <a:gd name="connsiteX6" fmla="*/ 0 w 2484161"/>
            <a:gd name="connsiteY6" fmla="*/ 0 h 1264935"/>
            <a:gd name="connsiteX0" fmla="*/ 0 w 2484161"/>
            <a:gd name="connsiteY0" fmla="*/ 0 h 1264935"/>
            <a:gd name="connsiteX1" fmla="*/ 54 w 2484161"/>
            <a:gd name="connsiteY1" fmla="*/ 1264935 h 1264935"/>
            <a:gd name="connsiteX2" fmla="*/ 2484161 w 2484161"/>
            <a:gd name="connsiteY2" fmla="*/ 1259870 h 1264935"/>
            <a:gd name="connsiteX3" fmla="*/ 2367321 w 2484161"/>
            <a:gd name="connsiteY3" fmla="*/ 1082070 h 1264935"/>
            <a:gd name="connsiteX4" fmla="*/ 2072733 w 2484161"/>
            <a:gd name="connsiteY4" fmla="*/ 493919 h 1264935"/>
            <a:gd name="connsiteX5" fmla="*/ 1879641 w 2484161"/>
            <a:gd name="connsiteY5" fmla="*/ 30 h 1264935"/>
            <a:gd name="connsiteX6" fmla="*/ 0 w 2484161"/>
            <a:gd name="connsiteY6" fmla="*/ 0 h 1264935"/>
            <a:gd name="connsiteX0" fmla="*/ 0 w 2484161"/>
            <a:gd name="connsiteY0" fmla="*/ 0 h 1264935"/>
            <a:gd name="connsiteX1" fmla="*/ 54 w 2484161"/>
            <a:gd name="connsiteY1" fmla="*/ 1264935 h 1264935"/>
            <a:gd name="connsiteX2" fmla="*/ 2484161 w 2484161"/>
            <a:gd name="connsiteY2" fmla="*/ 1259870 h 1264935"/>
            <a:gd name="connsiteX3" fmla="*/ 2367321 w 2484161"/>
            <a:gd name="connsiteY3" fmla="*/ 1082070 h 1264935"/>
            <a:gd name="connsiteX4" fmla="*/ 2072733 w 2484161"/>
            <a:gd name="connsiteY4" fmla="*/ 493919 h 1264935"/>
            <a:gd name="connsiteX5" fmla="*/ 1879641 w 2484161"/>
            <a:gd name="connsiteY5" fmla="*/ 30 h 1264935"/>
            <a:gd name="connsiteX6" fmla="*/ 0 w 2484161"/>
            <a:gd name="connsiteY6" fmla="*/ 0 h 1264935"/>
            <a:gd name="connsiteX0" fmla="*/ 0 w 2484161"/>
            <a:gd name="connsiteY0" fmla="*/ 0 h 1264935"/>
            <a:gd name="connsiteX1" fmla="*/ 54 w 2484161"/>
            <a:gd name="connsiteY1" fmla="*/ 1264935 h 1264935"/>
            <a:gd name="connsiteX2" fmla="*/ 2484161 w 2484161"/>
            <a:gd name="connsiteY2" fmla="*/ 1259870 h 1264935"/>
            <a:gd name="connsiteX3" fmla="*/ 2256943 w 2484161"/>
            <a:gd name="connsiteY3" fmla="*/ 873049 h 1264935"/>
            <a:gd name="connsiteX4" fmla="*/ 2072733 w 2484161"/>
            <a:gd name="connsiteY4" fmla="*/ 493919 h 1264935"/>
            <a:gd name="connsiteX5" fmla="*/ 1879641 w 2484161"/>
            <a:gd name="connsiteY5" fmla="*/ 30 h 1264935"/>
            <a:gd name="connsiteX6" fmla="*/ 0 w 2484161"/>
            <a:gd name="connsiteY6" fmla="*/ 0 h 1264935"/>
            <a:gd name="connsiteX0" fmla="*/ 0 w 2484161"/>
            <a:gd name="connsiteY0" fmla="*/ 0 h 1264935"/>
            <a:gd name="connsiteX1" fmla="*/ 54 w 2484161"/>
            <a:gd name="connsiteY1" fmla="*/ 1264935 h 1264935"/>
            <a:gd name="connsiteX2" fmla="*/ 2484161 w 2484161"/>
            <a:gd name="connsiteY2" fmla="*/ 1259870 h 1264935"/>
            <a:gd name="connsiteX3" fmla="*/ 2256943 w 2484161"/>
            <a:gd name="connsiteY3" fmla="*/ 873049 h 1264935"/>
            <a:gd name="connsiteX4" fmla="*/ 2004222 w 2484161"/>
            <a:gd name="connsiteY4" fmla="*/ 360578 h 1264935"/>
            <a:gd name="connsiteX5" fmla="*/ 1879641 w 2484161"/>
            <a:gd name="connsiteY5" fmla="*/ 30 h 1264935"/>
            <a:gd name="connsiteX6" fmla="*/ 0 w 2484161"/>
            <a:gd name="connsiteY6" fmla="*/ 0 h 1264935"/>
            <a:gd name="connsiteX0" fmla="*/ 0 w 2484161"/>
            <a:gd name="connsiteY0" fmla="*/ 0 h 1264935"/>
            <a:gd name="connsiteX1" fmla="*/ 54 w 2484161"/>
            <a:gd name="connsiteY1" fmla="*/ 1264935 h 1264935"/>
            <a:gd name="connsiteX2" fmla="*/ 2484161 w 2484161"/>
            <a:gd name="connsiteY2" fmla="*/ 1259870 h 1264935"/>
            <a:gd name="connsiteX3" fmla="*/ 2256943 w 2484161"/>
            <a:gd name="connsiteY3" fmla="*/ 873049 h 1264935"/>
            <a:gd name="connsiteX4" fmla="*/ 2008028 w 2484161"/>
            <a:gd name="connsiteY4" fmla="*/ 349767 h 1264935"/>
            <a:gd name="connsiteX5" fmla="*/ 1879641 w 2484161"/>
            <a:gd name="connsiteY5" fmla="*/ 30 h 1264935"/>
            <a:gd name="connsiteX6" fmla="*/ 0 w 2484161"/>
            <a:gd name="connsiteY6" fmla="*/ 0 h 126493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484161" h="1264935">
              <a:moveTo>
                <a:pt x="0" y="0"/>
              </a:moveTo>
              <a:lnTo>
                <a:pt x="54" y="1264935"/>
              </a:lnTo>
              <a:lnTo>
                <a:pt x="2484161" y="1259870"/>
              </a:lnTo>
              <a:lnTo>
                <a:pt x="2256943" y="873049"/>
              </a:lnTo>
              <a:cubicBezTo>
                <a:pt x="2143522" y="652973"/>
                <a:pt x="2069283" y="482990"/>
                <a:pt x="2008028" y="349767"/>
              </a:cubicBezTo>
              <a:lnTo>
                <a:pt x="1879641" y="30"/>
              </a:lnTo>
              <a:lnTo>
                <a:pt x="0" y="0"/>
              </a:lnTo>
              <a:close/>
            </a:path>
          </a:pathLst>
        </a:custGeom>
        <a:solidFill xmlns:a="http://schemas.openxmlformats.org/drawingml/2006/main">
          <a:srgbClr val="7030A0">
            <a:alpha val="30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it-IT" sz="1100"/>
        </a:p>
      </cdr:txBody>
    </cdr:sp>
  </cdr:relSizeAnchor>
  <cdr:relSizeAnchor xmlns:cdr="http://schemas.openxmlformats.org/drawingml/2006/chartDrawing">
    <cdr:from>
      <cdr:x>0.09896</cdr:x>
      <cdr:y>0.23663</cdr:y>
    </cdr:from>
    <cdr:to>
      <cdr:x>0.96318</cdr:x>
      <cdr:y>0.66808</cdr:y>
    </cdr:to>
    <cdr:sp macro="" textlink="">
      <cdr:nvSpPr>
        <cdr:cNvPr id="12" name="Figura a mano libera: forma 11">
          <a:extLst xmlns:a="http://schemas.openxmlformats.org/drawingml/2006/main">
            <a:ext uri="{FF2B5EF4-FFF2-40B4-BE49-F238E27FC236}">
              <a16:creationId xmlns:a16="http://schemas.microsoft.com/office/drawing/2014/main" id="{D2ED5D43-1385-D895-62DB-5AEB5E637E2E}"/>
            </a:ext>
          </a:extLst>
        </cdr:cNvPr>
        <cdr:cNvSpPr/>
      </cdr:nvSpPr>
      <cdr:spPr>
        <a:xfrm xmlns:a="http://schemas.openxmlformats.org/drawingml/2006/main">
          <a:off x="723900" y="1460500"/>
          <a:ext cx="6321944" cy="2663017"/>
        </a:xfrm>
        <a:custGeom xmlns:a="http://schemas.openxmlformats.org/drawingml/2006/main">
          <a:avLst/>
          <a:gdLst>
            <a:gd name="connsiteX0" fmla="*/ 6350 w 6318250"/>
            <a:gd name="connsiteY0" fmla="*/ 6350 h 2546350"/>
            <a:gd name="connsiteX1" fmla="*/ 0 w 6318250"/>
            <a:gd name="connsiteY1" fmla="*/ 431800 h 2546350"/>
            <a:gd name="connsiteX2" fmla="*/ 2533650 w 6318250"/>
            <a:gd name="connsiteY2" fmla="*/ 431800 h 2546350"/>
            <a:gd name="connsiteX3" fmla="*/ 2889250 w 6318250"/>
            <a:gd name="connsiteY3" fmla="*/ 876300 h 2546350"/>
            <a:gd name="connsiteX4" fmla="*/ 3333750 w 6318250"/>
            <a:gd name="connsiteY4" fmla="*/ 1289050 h 2546350"/>
            <a:gd name="connsiteX5" fmla="*/ 3746500 w 6318250"/>
            <a:gd name="connsiteY5" fmla="*/ 1581150 h 2546350"/>
            <a:gd name="connsiteX6" fmla="*/ 4254500 w 6318250"/>
            <a:gd name="connsiteY6" fmla="*/ 1860550 h 2546350"/>
            <a:gd name="connsiteX7" fmla="*/ 4794250 w 6318250"/>
            <a:gd name="connsiteY7" fmla="*/ 2108200 h 2546350"/>
            <a:gd name="connsiteX8" fmla="*/ 5467350 w 6318250"/>
            <a:gd name="connsiteY8" fmla="*/ 2311400 h 2546350"/>
            <a:gd name="connsiteX9" fmla="*/ 6318250 w 6318250"/>
            <a:gd name="connsiteY9" fmla="*/ 2546350 h 2546350"/>
            <a:gd name="connsiteX10" fmla="*/ 6311900 w 6318250"/>
            <a:gd name="connsiteY10" fmla="*/ 2381250 h 2546350"/>
            <a:gd name="connsiteX11" fmla="*/ 5962650 w 6318250"/>
            <a:gd name="connsiteY11" fmla="*/ 2292350 h 2546350"/>
            <a:gd name="connsiteX12" fmla="*/ 5683250 w 6318250"/>
            <a:gd name="connsiteY12" fmla="*/ 2190750 h 2546350"/>
            <a:gd name="connsiteX13" fmla="*/ 5187950 w 6318250"/>
            <a:gd name="connsiteY13" fmla="*/ 2057400 h 2546350"/>
            <a:gd name="connsiteX14" fmla="*/ 4540250 w 6318250"/>
            <a:gd name="connsiteY14" fmla="*/ 1790700 h 2546350"/>
            <a:gd name="connsiteX15" fmla="*/ 3968750 w 6318250"/>
            <a:gd name="connsiteY15" fmla="*/ 1492250 h 2546350"/>
            <a:gd name="connsiteX16" fmla="*/ 3530600 w 6318250"/>
            <a:gd name="connsiteY16" fmla="*/ 1149350 h 2546350"/>
            <a:gd name="connsiteX17" fmla="*/ 3200400 w 6318250"/>
            <a:gd name="connsiteY17" fmla="*/ 882650 h 2546350"/>
            <a:gd name="connsiteX18" fmla="*/ 2978150 w 6318250"/>
            <a:gd name="connsiteY18" fmla="*/ 635000 h 2546350"/>
            <a:gd name="connsiteX19" fmla="*/ 2749550 w 6318250"/>
            <a:gd name="connsiteY19" fmla="*/ 368300 h 2546350"/>
            <a:gd name="connsiteX20" fmla="*/ 2647950 w 6318250"/>
            <a:gd name="connsiteY20" fmla="*/ 222250 h 2546350"/>
            <a:gd name="connsiteX21" fmla="*/ 2482850 w 6318250"/>
            <a:gd name="connsiteY21" fmla="*/ 0 h 2546350"/>
            <a:gd name="connsiteX22" fmla="*/ 6350 w 6318250"/>
            <a:gd name="connsiteY22" fmla="*/ 6350 h 2546350"/>
            <a:gd name="connsiteX0" fmla="*/ 6350 w 6318250"/>
            <a:gd name="connsiteY0" fmla="*/ 6350 h 2546350"/>
            <a:gd name="connsiteX1" fmla="*/ 0 w 6318250"/>
            <a:gd name="connsiteY1" fmla="*/ 431800 h 2546350"/>
            <a:gd name="connsiteX2" fmla="*/ 2533650 w 6318250"/>
            <a:gd name="connsiteY2" fmla="*/ 431800 h 2546350"/>
            <a:gd name="connsiteX3" fmla="*/ 2889250 w 6318250"/>
            <a:gd name="connsiteY3" fmla="*/ 876300 h 2546350"/>
            <a:gd name="connsiteX4" fmla="*/ 3333750 w 6318250"/>
            <a:gd name="connsiteY4" fmla="*/ 1289050 h 2546350"/>
            <a:gd name="connsiteX5" fmla="*/ 3746500 w 6318250"/>
            <a:gd name="connsiteY5" fmla="*/ 1581150 h 2546350"/>
            <a:gd name="connsiteX6" fmla="*/ 4254500 w 6318250"/>
            <a:gd name="connsiteY6" fmla="*/ 1860550 h 2546350"/>
            <a:gd name="connsiteX7" fmla="*/ 4794250 w 6318250"/>
            <a:gd name="connsiteY7" fmla="*/ 2108200 h 2546350"/>
            <a:gd name="connsiteX8" fmla="*/ 5467350 w 6318250"/>
            <a:gd name="connsiteY8" fmla="*/ 2311400 h 2546350"/>
            <a:gd name="connsiteX9" fmla="*/ 6318250 w 6318250"/>
            <a:gd name="connsiteY9" fmla="*/ 2546350 h 2546350"/>
            <a:gd name="connsiteX10" fmla="*/ 6311900 w 6318250"/>
            <a:gd name="connsiteY10" fmla="*/ 2381250 h 2546350"/>
            <a:gd name="connsiteX11" fmla="*/ 5962650 w 6318250"/>
            <a:gd name="connsiteY11" fmla="*/ 2292350 h 2546350"/>
            <a:gd name="connsiteX12" fmla="*/ 5683250 w 6318250"/>
            <a:gd name="connsiteY12" fmla="*/ 2190750 h 2546350"/>
            <a:gd name="connsiteX13" fmla="*/ 5187950 w 6318250"/>
            <a:gd name="connsiteY13" fmla="*/ 2057400 h 2546350"/>
            <a:gd name="connsiteX14" fmla="*/ 4622817 w 6318250"/>
            <a:gd name="connsiteY14" fmla="*/ 1835128 h 2546350"/>
            <a:gd name="connsiteX15" fmla="*/ 3968750 w 6318250"/>
            <a:gd name="connsiteY15" fmla="*/ 1492250 h 2546350"/>
            <a:gd name="connsiteX16" fmla="*/ 3530600 w 6318250"/>
            <a:gd name="connsiteY16" fmla="*/ 1149350 h 2546350"/>
            <a:gd name="connsiteX17" fmla="*/ 3200400 w 6318250"/>
            <a:gd name="connsiteY17" fmla="*/ 882650 h 2546350"/>
            <a:gd name="connsiteX18" fmla="*/ 2978150 w 6318250"/>
            <a:gd name="connsiteY18" fmla="*/ 635000 h 2546350"/>
            <a:gd name="connsiteX19" fmla="*/ 2749550 w 6318250"/>
            <a:gd name="connsiteY19" fmla="*/ 368300 h 2546350"/>
            <a:gd name="connsiteX20" fmla="*/ 2647950 w 6318250"/>
            <a:gd name="connsiteY20" fmla="*/ 222250 h 2546350"/>
            <a:gd name="connsiteX21" fmla="*/ 2482850 w 6318250"/>
            <a:gd name="connsiteY21" fmla="*/ 0 h 2546350"/>
            <a:gd name="connsiteX22" fmla="*/ 6350 w 6318250"/>
            <a:gd name="connsiteY22" fmla="*/ 6350 h 2546350"/>
            <a:gd name="connsiteX0" fmla="*/ 6350 w 6318250"/>
            <a:gd name="connsiteY0" fmla="*/ 6350 h 2546350"/>
            <a:gd name="connsiteX1" fmla="*/ 0 w 6318250"/>
            <a:gd name="connsiteY1" fmla="*/ 431800 h 2546350"/>
            <a:gd name="connsiteX2" fmla="*/ 2533650 w 6318250"/>
            <a:gd name="connsiteY2" fmla="*/ 431800 h 2546350"/>
            <a:gd name="connsiteX3" fmla="*/ 2889250 w 6318250"/>
            <a:gd name="connsiteY3" fmla="*/ 876300 h 2546350"/>
            <a:gd name="connsiteX4" fmla="*/ 3333750 w 6318250"/>
            <a:gd name="connsiteY4" fmla="*/ 1289050 h 2546350"/>
            <a:gd name="connsiteX5" fmla="*/ 3746500 w 6318250"/>
            <a:gd name="connsiteY5" fmla="*/ 1581150 h 2546350"/>
            <a:gd name="connsiteX6" fmla="*/ 4254500 w 6318250"/>
            <a:gd name="connsiteY6" fmla="*/ 1860550 h 2546350"/>
            <a:gd name="connsiteX7" fmla="*/ 4794250 w 6318250"/>
            <a:gd name="connsiteY7" fmla="*/ 2108200 h 2546350"/>
            <a:gd name="connsiteX8" fmla="*/ 5467350 w 6318250"/>
            <a:gd name="connsiteY8" fmla="*/ 2311400 h 2546350"/>
            <a:gd name="connsiteX9" fmla="*/ 6318250 w 6318250"/>
            <a:gd name="connsiteY9" fmla="*/ 2546350 h 2546350"/>
            <a:gd name="connsiteX10" fmla="*/ 6311900 w 6318250"/>
            <a:gd name="connsiteY10" fmla="*/ 2381250 h 2546350"/>
            <a:gd name="connsiteX11" fmla="*/ 5962650 w 6318250"/>
            <a:gd name="connsiteY11" fmla="*/ 2292350 h 2546350"/>
            <a:gd name="connsiteX12" fmla="*/ 5683250 w 6318250"/>
            <a:gd name="connsiteY12" fmla="*/ 2190750 h 2546350"/>
            <a:gd name="connsiteX13" fmla="*/ 5226066 w 6318250"/>
            <a:gd name="connsiteY13" fmla="*/ 2057400 h 2546350"/>
            <a:gd name="connsiteX14" fmla="*/ 4622817 w 6318250"/>
            <a:gd name="connsiteY14" fmla="*/ 1835128 h 2546350"/>
            <a:gd name="connsiteX15" fmla="*/ 3968750 w 6318250"/>
            <a:gd name="connsiteY15" fmla="*/ 1492250 h 2546350"/>
            <a:gd name="connsiteX16" fmla="*/ 3530600 w 6318250"/>
            <a:gd name="connsiteY16" fmla="*/ 1149350 h 2546350"/>
            <a:gd name="connsiteX17" fmla="*/ 3200400 w 6318250"/>
            <a:gd name="connsiteY17" fmla="*/ 882650 h 2546350"/>
            <a:gd name="connsiteX18" fmla="*/ 2978150 w 6318250"/>
            <a:gd name="connsiteY18" fmla="*/ 635000 h 2546350"/>
            <a:gd name="connsiteX19" fmla="*/ 2749550 w 6318250"/>
            <a:gd name="connsiteY19" fmla="*/ 368300 h 2546350"/>
            <a:gd name="connsiteX20" fmla="*/ 2647950 w 6318250"/>
            <a:gd name="connsiteY20" fmla="*/ 222250 h 2546350"/>
            <a:gd name="connsiteX21" fmla="*/ 2482850 w 6318250"/>
            <a:gd name="connsiteY21" fmla="*/ 0 h 2546350"/>
            <a:gd name="connsiteX22" fmla="*/ 6350 w 6318250"/>
            <a:gd name="connsiteY22" fmla="*/ 6350 h 2546350"/>
            <a:gd name="connsiteX0" fmla="*/ 6350 w 6318250"/>
            <a:gd name="connsiteY0" fmla="*/ 6350 h 2546350"/>
            <a:gd name="connsiteX1" fmla="*/ 0 w 6318250"/>
            <a:gd name="connsiteY1" fmla="*/ 431800 h 2546350"/>
            <a:gd name="connsiteX2" fmla="*/ 2533650 w 6318250"/>
            <a:gd name="connsiteY2" fmla="*/ 431800 h 2546350"/>
            <a:gd name="connsiteX3" fmla="*/ 2889250 w 6318250"/>
            <a:gd name="connsiteY3" fmla="*/ 876300 h 2546350"/>
            <a:gd name="connsiteX4" fmla="*/ 3333750 w 6318250"/>
            <a:gd name="connsiteY4" fmla="*/ 1289050 h 2546350"/>
            <a:gd name="connsiteX5" fmla="*/ 3746500 w 6318250"/>
            <a:gd name="connsiteY5" fmla="*/ 1581150 h 2546350"/>
            <a:gd name="connsiteX6" fmla="*/ 4254500 w 6318250"/>
            <a:gd name="connsiteY6" fmla="*/ 1860550 h 2546350"/>
            <a:gd name="connsiteX7" fmla="*/ 4794250 w 6318250"/>
            <a:gd name="connsiteY7" fmla="*/ 2108200 h 2546350"/>
            <a:gd name="connsiteX8" fmla="*/ 5467350 w 6318250"/>
            <a:gd name="connsiteY8" fmla="*/ 2311400 h 2546350"/>
            <a:gd name="connsiteX9" fmla="*/ 6318250 w 6318250"/>
            <a:gd name="connsiteY9" fmla="*/ 2546350 h 2546350"/>
            <a:gd name="connsiteX10" fmla="*/ 6311900 w 6318250"/>
            <a:gd name="connsiteY10" fmla="*/ 2381250 h 2546350"/>
            <a:gd name="connsiteX11" fmla="*/ 5962650 w 6318250"/>
            <a:gd name="connsiteY11" fmla="*/ 2292350 h 2546350"/>
            <a:gd name="connsiteX12" fmla="*/ 5689604 w 6318250"/>
            <a:gd name="connsiteY12" fmla="*/ 2216112 h 2546350"/>
            <a:gd name="connsiteX13" fmla="*/ 5226066 w 6318250"/>
            <a:gd name="connsiteY13" fmla="*/ 2057400 h 2546350"/>
            <a:gd name="connsiteX14" fmla="*/ 4622817 w 6318250"/>
            <a:gd name="connsiteY14" fmla="*/ 1835128 h 2546350"/>
            <a:gd name="connsiteX15" fmla="*/ 3968750 w 6318250"/>
            <a:gd name="connsiteY15" fmla="*/ 1492250 h 2546350"/>
            <a:gd name="connsiteX16" fmla="*/ 3530600 w 6318250"/>
            <a:gd name="connsiteY16" fmla="*/ 1149350 h 2546350"/>
            <a:gd name="connsiteX17" fmla="*/ 3200400 w 6318250"/>
            <a:gd name="connsiteY17" fmla="*/ 882650 h 2546350"/>
            <a:gd name="connsiteX18" fmla="*/ 2978150 w 6318250"/>
            <a:gd name="connsiteY18" fmla="*/ 635000 h 2546350"/>
            <a:gd name="connsiteX19" fmla="*/ 2749550 w 6318250"/>
            <a:gd name="connsiteY19" fmla="*/ 368300 h 2546350"/>
            <a:gd name="connsiteX20" fmla="*/ 2647950 w 6318250"/>
            <a:gd name="connsiteY20" fmla="*/ 222250 h 2546350"/>
            <a:gd name="connsiteX21" fmla="*/ 2482850 w 6318250"/>
            <a:gd name="connsiteY21" fmla="*/ 0 h 2546350"/>
            <a:gd name="connsiteX22" fmla="*/ 6350 w 6318250"/>
            <a:gd name="connsiteY22" fmla="*/ 6350 h 2546350"/>
            <a:gd name="connsiteX0" fmla="*/ 6350 w 6318250"/>
            <a:gd name="connsiteY0" fmla="*/ 6350 h 2546350"/>
            <a:gd name="connsiteX1" fmla="*/ 0 w 6318250"/>
            <a:gd name="connsiteY1" fmla="*/ 431800 h 2546350"/>
            <a:gd name="connsiteX2" fmla="*/ 2533650 w 6318250"/>
            <a:gd name="connsiteY2" fmla="*/ 431800 h 2546350"/>
            <a:gd name="connsiteX3" fmla="*/ 2832042 w 6318250"/>
            <a:gd name="connsiteY3" fmla="*/ 831960 h 2546350"/>
            <a:gd name="connsiteX4" fmla="*/ 3333750 w 6318250"/>
            <a:gd name="connsiteY4" fmla="*/ 1289050 h 2546350"/>
            <a:gd name="connsiteX5" fmla="*/ 3746500 w 6318250"/>
            <a:gd name="connsiteY5" fmla="*/ 1581150 h 2546350"/>
            <a:gd name="connsiteX6" fmla="*/ 4254500 w 6318250"/>
            <a:gd name="connsiteY6" fmla="*/ 1860550 h 2546350"/>
            <a:gd name="connsiteX7" fmla="*/ 4794250 w 6318250"/>
            <a:gd name="connsiteY7" fmla="*/ 2108200 h 2546350"/>
            <a:gd name="connsiteX8" fmla="*/ 5467350 w 6318250"/>
            <a:gd name="connsiteY8" fmla="*/ 2311400 h 2546350"/>
            <a:gd name="connsiteX9" fmla="*/ 6318250 w 6318250"/>
            <a:gd name="connsiteY9" fmla="*/ 2546350 h 2546350"/>
            <a:gd name="connsiteX10" fmla="*/ 6311900 w 6318250"/>
            <a:gd name="connsiteY10" fmla="*/ 2381250 h 2546350"/>
            <a:gd name="connsiteX11" fmla="*/ 5962650 w 6318250"/>
            <a:gd name="connsiteY11" fmla="*/ 2292350 h 2546350"/>
            <a:gd name="connsiteX12" fmla="*/ 5689604 w 6318250"/>
            <a:gd name="connsiteY12" fmla="*/ 2216112 h 2546350"/>
            <a:gd name="connsiteX13" fmla="*/ 5226066 w 6318250"/>
            <a:gd name="connsiteY13" fmla="*/ 2057400 h 2546350"/>
            <a:gd name="connsiteX14" fmla="*/ 4622817 w 6318250"/>
            <a:gd name="connsiteY14" fmla="*/ 1835128 h 2546350"/>
            <a:gd name="connsiteX15" fmla="*/ 3968750 w 6318250"/>
            <a:gd name="connsiteY15" fmla="*/ 1492250 h 2546350"/>
            <a:gd name="connsiteX16" fmla="*/ 3530600 w 6318250"/>
            <a:gd name="connsiteY16" fmla="*/ 1149350 h 2546350"/>
            <a:gd name="connsiteX17" fmla="*/ 3200400 w 6318250"/>
            <a:gd name="connsiteY17" fmla="*/ 882650 h 2546350"/>
            <a:gd name="connsiteX18" fmla="*/ 2978150 w 6318250"/>
            <a:gd name="connsiteY18" fmla="*/ 635000 h 2546350"/>
            <a:gd name="connsiteX19" fmla="*/ 2749550 w 6318250"/>
            <a:gd name="connsiteY19" fmla="*/ 368300 h 2546350"/>
            <a:gd name="connsiteX20" fmla="*/ 2647950 w 6318250"/>
            <a:gd name="connsiteY20" fmla="*/ 222250 h 2546350"/>
            <a:gd name="connsiteX21" fmla="*/ 2482850 w 6318250"/>
            <a:gd name="connsiteY21" fmla="*/ 0 h 2546350"/>
            <a:gd name="connsiteX22" fmla="*/ 6350 w 6318250"/>
            <a:gd name="connsiteY22" fmla="*/ 6350 h 2546350"/>
            <a:gd name="connsiteX0" fmla="*/ 120 w 6340635"/>
            <a:gd name="connsiteY0" fmla="*/ 0 h 2549660"/>
            <a:gd name="connsiteX1" fmla="*/ 22385 w 6340635"/>
            <a:gd name="connsiteY1" fmla="*/ 435110 h 2549660"/>
            <a:gd name="connsiteX2" fmla="*/ 2556035 w 6340635"/>
            <a:gd name="connsiteY2" fmla="*/ 435110 h 2549660"/>
            <a:gd name="connsiteX3" fmla="*/ 2854427 w 6340635"/>
            <a:gd name="connsiteY3" fmla="*/ 835270 h 2549660"/>
            <a:gd name="connsiteX4" fmla="*/ 3356135 w 6340635"/>
            <a:gd name="connsiteY4" fmla="*/ 1292360 h 2549660"/>
            <a:gd name="connsiteX5" fmla="*/ 3768885 w 6340635"/>
            <a:gd name="connsiteY5" fmla="*/ 1584460 h 2549660"/>
            <a:gd name="connsiteX6" fmla="*/ 4276885 w 6340635"/>
            <a:gd name="connsiteY6" fmla="*/ 1863860 h 2549660"/>
            <a:gd name="connsiteX7" fmla="*/ 4816635 w 6340635"/>
            <a:gd name="connsiteY7" fmla="*/ 2111510 h 2549660"/>
            <a:gd name="connsiteX8" fmla="*/ 5489735 w 6340635"/>
            <a:gd name="connsiteY8" fmla="*/ 2314710 h 2549660"/>
            <a:gd name="connsiteX9" fmla="*/ 6340635 w 6340635"/>
            <a:gd name="connsiteY9" fmla="*/ 2549660 h 2549660"/>
            <a:gd name="connsiteX10" fmla="*/ 6334285 w 6340635"/>
            <a:gd name="connsiteY10" fmla="*/ 2384560 h 2549660"/>
            <a:gd name="connsiteX11" fmla="*/ 5985035 w 6340635"/>
            <a:gd name="connsiteY11" fmla="*/ 2295660 h 2549660"/>
            <a:gd name="connsiteX12" fmla="*/ 5711989 w 6340635"/>
            <a:gd name="connsiteY12" fmla="*/ 2219422 h 2549660"/>
            <a:gd name="connsiteX13" fmla="*/ 5248451 w 6340635"/>
            <a:gd name="connsiteY13" fmla="*/ 2060710 h 2549660"/>
            <a:gd name="connsiteX14" fmla="*/ 4645202 w 6340635"/>
            <a:gd name="connsiteY14" fmla="*/ 1838438 h 2549660"/>
            <a:gd name="connsiteX15" fmla="*/ 3991135 w 6340635"/>
            <a:gd name="connsiteY15" fmla="*/ 1495560 h 2549660"/>
            <a:gd name="connsiteX16" fmla="*/ 3552985 w 6340635"/>
            <a:gd name="connsiteY16" fmla="*/ 1152660 h 2549660"/>
            <a:gd name="connsiteX17" fmla="*/ 3222785 w 6340635"/>
            <a:gd name="connsiteY17" fmla="*/ 885960 h 2549660"/>
            <a:gd name="connsiteX18" fmla="*/ 3000535 w 6340635"/>
            <a:gd name="connsiteY18" fmla="*/ 638310 h 2549660"/>
            <a:gd name="connsiteX19" fmla="*/ 2771935 w 6340635"/>
            <a:gd name="connsiteY19" fmla="*/ 371610 h 2549660"/>
            <a:gd name="connsiteX20" fmla="*/ 2670335 w 6340635"/>
            <a:gd name="connsiteY20" fmla="*/ 225560 h 2549660"/>
            <a:gd name="connsiteX21" fmla="*/ 2505235 w 6340635"/>
            <a:gd name="connsiteY21" fmla="*/ 3310 h 2549660"/>
            <a:gd name="connsiteX22" fmla="*/ 120 w 6340635"/>
            <a:gd name="connsiteY22" fmla="*/ 0 h 2549660"/>
            <a:gd name="connsiteX0" fmla="*/ 383 w 6340898"/>
            <a:gd name="connsiteY0" fmla="*/ 0 h 2549660"/>
            <a:gd name="connsiteX1" fmla="*/ 3575 w 6340898"/>
            <a:gd name="connsiteY1" fmla="*/ 444785 h 2549660"/>
            <a:gd name="connsiteX2" fmla="*/ 2556298 w 6340898"/>
            <a:gd name="connsiteY2" fmla="*/ 435110 h 2549660"/>
            <a:gd name="connsiteX3" fmla="*/ 2854690 w 6340898"/>
            <a:gd name="connsiteY3" fmla="*/ 835270 h 2549660"/>
            <a:gd name="connsiteX4" fmla="*/ 3356398 w 6340898"/>
            <a:gd name="connsiteY4" fmla="*/ 1292360 h 2549660"/>
            <a:gd name="connsiteX5" fmla="*/ 3769148 w 6340898"/>
            <a:gd name="connsiteY5" fmla="*/ 1584460 h 2549660"/>
            <a:gd name="connsiteX6" fmla="*/ 4277148 w 6340898"/>
            <a:gd name="connsiteY6" fmla="*/ 1863860 h 2549660"/>
            <a:gd name="connsiteX7" fmla="*/ 4816898 w 6340898"/>
            <a:gd name="connsiteY7" fmla="*/ 2111510 h 2549660"/>
            <a:gd name="connsiteX8" fmla="*/ 5489998 w 6340898"/>
            <a:gd name="connsiteY8" fmla="*/ 2314710 h 2549660"/>
            <a:gd name="connsiteX9" fmla="*/ 6340898 w 6340898"/>
            <a:gd name="connsiteY9" fmla="*/ 2549660 h 2549660"/>
            <a:gd name="connsiteX10" fmla="*/ 6334548 w 6340898"/>
            <a:gd name="connsiteY10" fmla="*/ 2384560 h 2549660"/>
            <a:gd name="connsiteX11" fmla="*/ 5985298 w 6340898"/>
            <a:gd name="connsiteY11" fmla="*/ 2295660 h 2549660"/>
            <a:gd name="connsiteX12" fmla="*/ 5712252 w 6340898"/>
            <a:gd name="connsiteY12" fmla="*/ 2219422 h 2549660"/>
            <a:gd name="connsiteX13" fmla="*/ 5248714 w 6340898"/>
            <a:gd name="connsiteY13" fmla="*/ 2060710 h 2549660"/>
            <a:gd name="connsiteX14" fmla="*/ 4645465 w 6340898"/>
            <a:gd name="connsiteY14" fmla="*/ 1838438 h 2549660"/>
            <a:gd name="connsiteX15" fmla="*/ 3991398 w 6340898"/>
            <a:gd name="connsiteY15" fmla="*/ 1495560 h 2549660"/>
            <a:gd name="connsiteX16" fmla="*/ 3553248 w 6340898"/>
            <a:gd name="connsiteY16" fmla="*/ 1152660 h 2549660"/>
            <a:gd name="connsiteX17" fmla="*/ 3223048 w 6340898"/>
            <a:gd name="connsiteY17" fmla="*/ 885960 h 2549660"/>
            <a:gd name="connsiteX18" fmla="*/ 3000798 w 6340898"/>
            <a:gd name="connsiteY18" fmla="*/ 638310 h 2549660"/>
            <a:gd name="connsiteX19" fmla="*/ 2772198 w 6340898"/>
            <a:gd name="connsiteY19" fmla="*/ 371610 h 2549660"/>
            <a:gd name="connsiteX20" fmla="*/ 2670598 w 6340898"/>
            <a:gd name="connsiteY20" fmla="*/ 225560 h 2549660"/>
            <a:gd name="connsiteX21" fmla="*/ 2505498 w 6340898"/>
            <a:gd name="connsiteY21" fmla="*/ 3310 h 2549660"/>
            <a:gd name="connsiteX22" fmla="*/ 383 w 6340898"/>
            <a:gd name="connsiteY22" fmla="*/ 0 h 2549660"/>
            <a:gd name="connsiteX0" fmla="*/ 25412 w 6337323"/>
            <a:gd name="connsiteY0" fmla="*/ 0 h 2549660"/>
            <a:gd name="connsiteX1" fmla="*/ 0 w 6337323"/>
            <a:gd name="connsiteY1" fmla="*/ 444785 h 2549660"/>
            <a:gd name="connsiteX2" fmla="*/ 2552723 w 6337323"/>
            <a:gd name="connsiteY2" fmla="*/ 435110 h 2549660"/>
            <a:gd name="connsiteX3" fmla="*/ 2851115 w 6337323"/>
            <a:gd name="connsiteY3" fmla="*/ 835270 h 2549660"/>
            <a:gd name="connsiteX4" fmla="*/ 3352823 w 6337323"/>
            <a:gd name="connsiteY4" fmla="*/ 1292360 h 2549660"/>
            <a:gd name="connsiteX5" fmla="*/ 3765573 w 6337323"/>
            <a:gd name="connsiteY5" fmla="*/ 1584460 h 2549660"/>
            <a:gd name="connsiteX6" fmla="*/ 4273573 w 6337323"/>
            <a:gd name="connsiteY6" fmla="*/ 1863860 h 2549660"/>
            <a:gd name="connsiteX7" fmla="*/ 4813323 w 6337323"/>
            <a:gd name="connsiteY7" fmla="*/ 2111510 h 2549660"/>
            <a:gd name="connsiteX8" fmla="*/ 5486423 w 6337323"/>
            <a:gd name="connsiteY8" fmla="*/ 2314710 h 2549660"/>
            <a:gd name="connsiteX9" fmla="*/ 6337323 w 6337323"/>
            <a:gd name="connsiteY9" fmla="*/ 2549660 h 2549660"/>
            <a:gd name="connsiteX10" fmla="*/ 6330973 w 6337323"/>
            <a:gd name="connsiteY10" fmla="*/ 2384560 h 2549660"/>
            <a:gd name="connsiteX11" fmla="*/ 5981723 w 6337323"/>
            <a:gd name="connsiteY11" fmla="*/ 2295660 h 2549660"/>
            <a:gd name="connsiteX12" fmla="*/ 5708677 w 6337323"/>
            <a:gd name="connsiteY12" fmla="*/ 2219422 h 2549660"/>
            <a:gd name="connsiteX13" fmla="*/ 5245139 w 6337323"/>
            <a:gd name="connsiteY13" fmla="*/ 2060710 h 2549660"/>
            <a:gd name="connsiteX14" fmla="*/ 4641890 w 6337323"/>
            <a:gd name="connsiteY14" fmla="*/ 1838438 h 2549660"/>
            <a:gd name="connsiteX15" fmla="*/ 3987823 w 6337323"/>
            <a:gd name="connsiteY15" fmla="*/ 1495560 h 2549660"/>
            <a:gd name="connsiteX16" fmla="*/ 3549673 w 6337323"/>
            <a:gd name="connsiteY16" fmla="*/ 1152660 h 2549660"/>
            <a:gd name="connsiteX17" fmla="*/ 3219473 w 6337323"/>
            <a:gd name="connsiteY17" fmla="*/ 885960 h 2549660"/>
            <a:gd name="connsiteX18" fmla="*/ 2997223 w 6337323"/>
            <a:gd name="connsiteY18" fmla="*/ 638310 h 2549660"/>
            <a:gd name="connsiteX19" fmla="*/ 2768623 w 6337323"/>
            <a:gd name="connsiteY19" fmla="*/ 371610 h 2549660"/>
            <a:gd name="connsiteX20" fmla="*/ 2667023 w 6337323"/>
            <a:gd name="connsiteY20" fmla="*/ 225560 h 2549660"/>
            <a:gd name="connsiteX21" fmla="*/ 2501923 w 6337323"/>
            <a:gd name="connsiteY21" fmla="*/ 3310 h 2549660"/>
            <a:gd name="connsiteX22" fmla="*/ 25412 w 6337323"/>
            <a:gd name="connsiteY22" fmla="*/ 0 h 2549660"/>
            <a:gd name="connsiteX0" fmla="*/ 354 w 6341596"/>
            <a:gd name="connsiteY0" fmla="*/ 0 h 2549660"/>
            <a:gd name="connsiteX1" fmla="*/ 4273 w 6341596"/>
            <a:gd name="connsiteY1" fmla="*/ 444785 h 2549660"/>
            <a:gd name="connsiteX2" fmla="*/ 2556996 w 6341596"/>
            <a:gd name="connsiteY2" fmla="*/ 435110 h 2549660"/>
            <a:gd name="connsiteX3" fmla="*/ 2855388 w 6341596"/>
            <a:gd name="connsiteY3" fmla="*/ 835270 h 2549660"/>
            <a:gd name="connsiteX4" fmla="*/ 3357096 w 6341596"/>
            <a:gd name="connsiteY4" fmla="*/ 1292360 h 2549660"/>
            <a:gd name="connsiteX5" fmla="*/ 3769846 w 6341596"/>
            <a:gd name="connsiteY5" fmla="*/ 1584460 h 2549660"/>
            <a:gd name="connsiteX6" fmla="*/ 4277846 w 6341596"/>
            <a:gd name="connsiteY6" fmla="*/ 1863860 h 2549660"/>
            <a:gd name="connsiteX7" fmla="*/ 4817596 w 6341596"/>
            <a:gd name="connsiteY7" fmla="*/ 2111510 h 2549660"/>
            <a:gd name="connsiteX8" fmla="*/ 5490696 w 6341596"/>
            <a:gd name="connsiteY8" fmla="*/ 2314710 h 2549660"/>
            <a:gd name="connsiteX9" fmla="*/ 6341596 w 6341596"/>
            <a:gd name="connsiteY9" fmla="*/ 2549660 h 2549660"/>
            <a:gd name="connsiteX10" fmla="*/ 6335246 w 6341596"/>
            <a:gd name="connsiteY10" fmla="*/ 2384560 h 2549660"/>
            <a:gd name="connsiteX11" fmla="*/ 5985996 w 6341596"/>
            <a:gd name="connsiteY11" fmla="*/ 2295660 h 2549660"/>
            <a:gd name="connsiteX12" fmla="*/ 5712950 w 6341596"/>
            <a:gd name="connsiteY12" fmla="*/ 2219422 h 2549660"/>
            <a:gd name="connsiteX13" fmla="*/ 5249412 w 6341596"/>
            <a:gd name="connsiteY13" fmla="*/ 2060710 h 2549660"/>
            <a:gd name="connsiteX14" fmla="*/ 4646163 w 6341596"/>
            <a:gd name="connsiteY14" fmla="*/ 1838438 h 2549660"/>
            <a:gd name="connsiteX15" fmla="*/ 3992096 w 6341596"/>
            <a:gd name="connsiteY15" fmla="*/ 1495560 h 2549660"/>
            <a:gd name="connsiteX16" fmla="*/ 3553946 w 6341596"/>
            <a:gd name="connsiteY16" fmla="*/ 1152660 h 2549660"/>
            <a:gd name="connsiteX17" fmla="*/ 3223746 w 6341596"/>
            <a:gd name="connsiteY17" fmla="*/ 885960 h 2549660"/>
            <a:gd name="connsiteX18" fmla="*/ 3001496 w 6341596"/>
            <a:gd name="connsiteY18" fmla="*/ 638310 h 2549660"/>
            <a:gd name="connsiteX19" fmla="*/ 2772896 w 6341596"/>
            <a:gd name="connsiteY19" fmla="*/ 371610 h 2549660"/>
            <a:gd name="connsiteX20" fmla="*/ 2671296 w 6341596"/>
            <a:gd name="connsiteY20" fmla="*/ 225560 h 2549660"/>
            <a:gd name="connsiteX21" fmla="*/ 2506196 w 6341596"/>
            <a:gd name="connsiteY21" fmla="*/ 3310 h 2549660"/>
            <a:gd name="connsiteX22" fmla="*/ 354 w 6341596"/>
            <a:gd name="connsiteY22" fmla="*/ 0 h 2549660"/>
            <a:gd name="connsiteX0" fmla="*/ 87 w 6341329"/>
            <a:gd name="connsiteY0" fmla="*/ 0 h 2549660"/>
            <a:gd name="connsiteX1" fmla="*/ 33326 w 6341329"/>
            <a:gd name="connsiteY1" fmla="*/ 444785 h 2549660"/>
            <a:gd name="connsiteX2" fmla="*/ 2556729 w 6341329"/>
            <a:gd name="connsiteY2" fmla="*/ 435110 h 2549660"/>
            <a:gd name="connsiteX3" fmla="*/ 2855121 w 6341329"/>
            <a:gd name="connsiteY3" fmla="*/ 835270 h 2549660"/>
            <a:gd name="connsiteX4" fmla="*/ 3356829 w 6341329"/>
            <a:gd name="connsiteY4" fmla="*/ 1292360 h 2549660"/>
            <a:gd name="connsiteX5" fmla="*/ 3769579 w 6341329"/>
            <a:gd name="connsiteY5" fmla="*/ 1584460 h 2549660"/>
            <a:gd name="connsiteX6" fmla="*/ 4277579 w 6341329"/>
            <a:gd name="connsiteY6" fmla="*/ 1863860 h 2549660"/>
            <a:gd name="connsiteX7" fmla="*/ 4817329 w 6341329"/>
            <a:gd name="connsiteY7" fmla="*/ 2111510 h 2549660"/>
            <a:gd name="connsiteX8" fmla="*/ 5490429 w 6341329"/>
            <a:gd name="connsiteY8" fmla="*/ 2314710 h 2549660"/>
            <a:gd name="connsiteX9" fmla="*/ 6341329 w 6341329"/>
            <a:gd name="connsiteY9" fmla="*/ 2549660 h 2549660"/>
            <a:gd name="connsiteX10" fmla="*/ 6334979 w 6341329"/>
            <a:gd name="connsiteY10" fmla="*/ 2384560 h 2549660"/>
            <a:gd name="connsiteX11" fmla="*/ 5985729 w 6341329"/>
            <a:gd name="connsiteY11" fmla="*/ 2295660 h 2549660"/>
            <a:gd name="connsiteX12" fmla="*/ 5712683 w 6341329"/>
            <a:gd name="connsiteY12" fmla="*/ 2219422 h 2549660"/>
            <a:gd name="connsiteX13" fmla="*/ 5249145 w 6341329"/>
            <a:gd name="connsiteY13" fmla="*/ 2060710 h 2549660"/>
            <a:gd name="connsiteX14" fmla="*/ 4645896 w 6341329"/>
            <a:gd name="connsiteY14" fmla="*/ 1838438 h 2549660"/>
            <a:gd name="connsiteX15" fmla="*/ 3991829 w 6341329"/>
            <a:gd name="connsiteY15" fmla="*/ 1495560 h 2549660"/>
            <a:gd name="connsiteX16" fmla="*/ 3553679 w 6341329"/>
            <a:gd name="connsiteY16" fmla="*/ 1152660 h 2549660"/>
            <a:gd name="connsiteX17" fmla="*/ 3223479 w 6341329"/>
            <a:gd name="connsiteY17" fmla="*/ 885960 h 2549660"/>
            <a:gd name="connsiteX18" fmla="*/ 3001229 w 6341329"/>
            <a:gd name="connsiteY18" fmla="*/ 638310 h 2549660"/>
            <a:gd name="connsiteX19" fmla="*/ 2772629 w 6341329"/>
            <a:gd name="connsiteY19" fmla="*/ 371610 h 2549660"/>
            <a:gd name="connsiteX20" fmla="*/ 2671029 w 6341329"/>
            <a:gd name="connsiteY20" fmla="*/ 225560 h 2549660"/>
            <a:gd name="connsiteX21" fmla="*/ 2505929 w 6341329"/>
            <a:gd name="connsiteY21" fmla="*/ 3310 h 2549660"/>
            <a:gd name="connsiteX22" fmla="*/ 87 w 6341329"/>
            <a:gd name="connsiteY22" fmla="*/ 0 h 2549660"/>
            <a:gd name="connsiteX0" fmla="*/ 354 w 6312288"/>
            <a:gd name="connsiteY0" fmla="*/ 0 h 2549660"/>
            <a:gd name="connsiteX1" fmla="*/ 4285 w 6312288"/>
            <a:gd name="connsiteY1" fmla="*/ 444785 h 2549660"/>
            <a:gd name="connsiteX2" fmla="*/ 2527688 w 6312288"/>
            <a:gd name="connsiteY2" fmla="*/ 435110 h 2549660"/>
            <a:gd name="connsiteX3" fmla="*/ 2826080 w 6312288"/>
            <a:gd name="connsiteY3" fmla="*/ 835270 h 2549660"/>
            <a:gd name="connsiteX4" fmla="*/ 3327788 w 6312288"/>
            <a:gd name="connsiteY4" fmla="*/ 1292360 h 2549660"/>
            <a:gd name="connsiteX5" fmla="*/ 3740538 w 6312288"/>
            <a:gd name="connsiteY5" fmla="*/ 1584460 h 2549660"/>
            <a:gd name="connsiteX6" fmla="*/ 4248538 w 6312288"/>
            <a:gd name="connsiteY6" fmla="*/ 1863860 h 2549660"/>
            <a:gd name="connsiteX7" fmla="*/ 4788288 w 6312288"/>
            <a:gd name="connsiteY7" fmla="*/ 2111510 h 2549660"/>
            <a:gd name="connsiteX8" fmla="*/ 5461388 w 6312288"/>
            <a:gd name="connsiteY8" fmla="*/ 2314710 h 2549660"/>
            <a:gd name="connsiteX9" fmla="*/ 6312288 w 6312288"/>
            <a:gd name="connsiteY9" fmla="*/ 2549660 h 2549660"/>
            <a:gd name="connsiteX10" fmla="*/ 6305938 w 6312288"/>
            <a:gd name="connsiteY10" fmla="*/ 2384560 h 2549660"/>
            <a:gd name="connsiteX11" fmla="*/ 5956688 w 6312288"/>
            <a:gd name="connsiteY11" fmla="*/ 2295660 h 2549660"/>
            <a:gd name="connsiteX12" fmla="*/ 5683642 w 6312288"/>
            <a:gd name="connsiteY12" fmla="*/ 2219422 h 2549660"/>
            <a:gd name="connsiteX13" fmla="*/ 5220104 w 6312288"/>
            <a:gd name="connsiteY13" fmla="*/ 2060710 h 2549660"/>
            <a:gd name="connsiteX14" fmla="*/ 4616855 w 6312288"/>
            <a:gd name="connsiteY14" fmla="*/ 1838438 h 2549660"/>
            <a:gd name="connsiteX15" fmla="*/ 3962788 w 6312288"/>
            <a:gd name="connsiteY15" fmla="*/ 1495560 h 2549660"/>
            <a:gd name="connsiteX16" fmla="*/ 3524638 w 6312288"/>
            <a:gd name="connsiteY16" fmla="*/ 1152660 h 2549660"/>
            <a:gd name="connsiteX17" fmla="*/ 3194438 w 6312288"/>
            <a:gd name="connsiteY17" fmla="*/ 885960 h 2549660"/>
            <a:gd name="connsiteX18" fmla="*/ 2972188 w 6312288"/>
            <a:gd name="connsiteY18" fmla="*/ 638310 h 2549660"/>
            <a:gd name="connsiteX19" fmla="*/ 2743588 w 6312288"/>
            <a:gd name="connsiteY19" fmla="*/ 371610 h 2549660"/>
            <a:gd name="connsiteX20" fmla="*/ 2641988 w 6312288"/>
            <a:gd name="connsiteY20" fmla="*/ 225560 h 2549660"/>
            <a:gd name="connsiteX21" fmla="*/ 2476888 w 6312288"/>
            <a:gd name="connsiteY21" fmla="*/ 3310 h 2549660"/>
            <a:gd name="connsiteX22" fmla="*/ 354 w 6312288"/>
            <a:gd name="connsiteY22" fmla="*/ 0 h 2549660"/>
            <a:gd name="connsiteX0" fmla="*/ 833 w 6312767"/>
            <a:gd name="connsiteY0" fmla="*/ 0 h 2549660"/>
            <a:gd name="connsiteX1" fmla="*/ 0 w 6312767"/>
            <a:gd name="connsiteY1" fmla="*/ 444785 h 2549660"/>
            <a:gd name="connsiteX2" fmla="*/ 2528167 w 6312767"/>
            <a:gd name="connsiteY2" fmla="*/ 435110 h 2549660"/>
            <a:gd name="connsiteX3" fmla="*/ 2826559 w 6312767"/>
            <a:gd name="connsiteY3" fmla="*/ 835270 h 2549660"/>
            <a:gd name="connsiteX4" fmla="*/ 3328267 w 6312767"/>
            <a:gd name="connsiteY4" fmla="*/ 1292360 h 2549660"/>
            <a:gd name="connsiteX5" fmla="*/ 3741017 w 6312767"/>
            <a:gd name="connsiteY5" fmla="*/ 1584460 h 2549660"/>
            <a:gd name="connsiteX6" fmla="*/ 4249017 w 6312767"/>
            <a:gd name="connsiteY6" fmla="*/ 1863860 h 2549660"/>
            <a:gd name="connsiteX7" fmla="*/ 4788767 w 6312767"/>
            <a:gd name="connsiteY7" fmla="*/ 2111510 h 2549660"/>
            <a:gd name="connsiteX8" fmla="*/ 5461867 w 6312767"/>
            <a:gd name="connsiteY8" fmla="*/ 2314710 h 2549660"/>
            <a:gd name="connsiteX9" fmla="*/ 6312767 w 6312767"/>
            <a:gd name="connsiteY9" fmla="*/ 2549660 h 2549660"/>
            <a:gd name="connsiteX10" fmla="*/ 6306417 w 6312767"/>
            <a:gd name="connsiteY10" fmla="*/ 2384560 h 2549660"/>
            <a:gd name="connsiteX11" fmla="*/ 5957167 w 6312767"/>
            <a:gd name="connsiteY11" fmla="*/ 2295660 h 2549660"/>
            <a:gd name="connsiteX12" fmla="*/ 5684121 w 6312767"/>
            <a:gd name="connsiteY12" fmla="*/ 2219422 h 2549660"/>
            <a:gd name="connsiteX13" fmla="*/ 5220583 w 6312767"/>
            <a:gd name="connsiteY13" fmla="*/ 2060710 h 2549660"/>
            <a:gd name="connsiteX14" fmla="*/ 4617334 w 6312767"/>
            <a:gd name="connsiteY14" fmla="*/ 1838438 h 2549660"/>
            <a:gd name="connsiteX15" fmla="*/ 3963267 w 6312767"/>
            <a:gd name="connsiteY15" fmla="*/ 1495560 h 2549660"/>
            <a:gd name="connsiteX16" fmla="*/ 3525117 w 6312767"/>
            <a:gd name="connsiteY16" fmla="*/ 1152660 h 2549660"/>
            <a:gd name="connsiteX17" fmla="*/ 3194917 w 6312767"/>
            <a:gd name="connsiteY17" fmla="*/ 885960 h 2549660"/>
            <a:gd name="connsiteX18" fmla="*/ 2972667 w 6312767"/>
            <a:gd name="connsiteY18" fmla="*/ 638310 h 2549660"/>
            <a:gd name="connsiteX19" fmla="*/ 2744067 w 6312767"/>
            <a:gd name="connsiteY19" fmla="*/ 371610 h 2549660"/>
            <a:gd name="connsiteX20" fmla="*/ 2642467 w 6312767"/>
            <a:gd name="connsiteY20" fmla="*/ 225560 h 2549660"/>
            <a:gd name="connsiteX21" fmla="*/ 2477367 w 6312767"/>
            <a:gd name="connsiteY21" fmla="*/ 3310 h 2549660"/>
            <a:gd name="connsiteX22" fmla="*/ 833 w 6312767"/>
            <a:gd name="connsiteY22" fmla="*/ 0 h 2549660"/>
            <a:gd name="connsiteX0" fmla="*/ 15132 w 6327066"/>
            <a:gd name="connsiteY0" fmla="*/ 0 h 2549660"/>
            <a:gd name="connsiteX1" fmla="*/ 0 w 6327066"/>
            <a:gd name="connsiteY1" fmla="*/ 435120 h 2549660"/>
            <a:gd name="connsiteX2" fmla="*/ 2542466 w 6327066"/>
            <a:gd name="connsiteY2" fmla="*/ 435110 h 2549660"/>
            <a:gd name="connsiteX3" fmla="*/ 2840858 w 6327066"/>
            <a:gd name="connsiteY3" fmla="*/ 835270 h 2549660"/>
            <a:gd name="connsiteX4" fmla="*/ 3342566 w 6327066"/>
            <a:gd name="connsiteY4" fmla="*/ 1292360 h 2549660"/>
            <a:gd name="connsiteX5" fmla="*/ 3755316 w 6327066"/>
            <a:gd name="connsiteY5" fmla="*/ 1584460 h 2549660"/>
            <a:gd name="connsiteX6" fmla="*/ 4263316 w 6327066"/>
            <a:gd name="connsiteY6" fmla="*/ 1863860 h 2549660"/>
            <a:gd name="connsiteX7" fmla="*/ 4803066 w 6327066"/>
            <a:gd name="connsiteY7" fmla="*/ 2111510 h 2549660"/>
            <a:gd name="connsiteX8" fmla="*/ 5476166 w 6327066"/>
            <a:gd name="connsiteY8" fmla="*/ 2314710 h 2549660"/>
            <a:gd name="connsiteX9" fmla="*/ 6327066 w 6327066"/>
            <a:gd name="connsiteY9" fmla="*/ 2549660 h 2549660"/>
            <a:gd name="connsiteX10" fmla="*/ 6320716 w 6327066"/>
            <a:gd name="connsiteY10" fmla="*/ 2384560 h 2549660"/>
            <a:gd name="connsiteX11" fmla="*/ 5971466 w 6327066"/>
            <a:gd name="connsiteY11" fmla="*/ 2295660 h 2549660"/>
            <a:gd name="connsiteX12" fmla="*/ 5698420 w 6327066"/>
            <a:gd name="connsiteY12" fmla="*/ 2219422 h 2549660"/>
            <a:gd name="connsiteX13" fmla="*/ 5234882 w 6327066"/>
            <a:gd name="connsiteY13" fmla="*/ 2060710 h 2549660"/>
            <a:gd name="connsiteX14" fmla="*/ 4631633 w 6327066"/>
            <a:gd name="connsiteY14" fmla="*/ 1838438 h 2549660"/>
            <a:gd name="connsiteX15" fmla="*/ 3977566 w 6327066"/>
            <a:gd name="connsiteY15" fmla="*/ 1495560 h 2549660"/>
            <a:gd name="connsiteX16" fmla="*/ 3539416 w 6327066"/>
            <a:gd name="connsiteY16" fmla="*/ 1152660 h 2549660"/>
            <a:gd name="connsiteX17" fmla="*/ 3209216 w 6327066"/>
            <a:gd name="connsiteY17" fmla="*/ 885960 h 2549660"/>
            <a:gd name="connsiteX18" fmla="*/ 2986966 w 6327066"/>
            <a:gd name="connsiteY18" fmla="*/ 638310 h 2549660"/>
            <a:gd name="connsiteX19" fmla="*/ 2758366 w 6327066"/>
            <a:gd name="connsiteY19" fmla="*/ 371610 h 2549660"/>
            <a:gd name="connsiteX20" fmla="*/ 2656766 w 6327066"/>
            <a:gd name="connsiteY20" fmla="*/ 225560 h 2549660"/>
            <a:gd name="connsiteX21" fmla="*/ 2491666 w 6327066"/>
            <a:gd name="connsiteY21" fmla="*/ 3310 h 2549660"/>
            <a:gd name="connsiteX22" fmla="*/ 15132 w 6327066"/>
            <a:gd name="connsiteY22" fmla="*/ 0 h 2549660"/>
            <a:gd name="connsiteX0" fmla="*/ 353 w 6331352"/>
            <a:gd name="connsiteY0" fmla="*/ 0 h 2549660"/>
            <a:gd name="connsiteX1" fmla="*/ 4286 w 6331352"/>
            <a:gd name="connsiteY1" fmla="*/ 435120 h 2549660"/>
            <a:gd name="connsiteX2" fmla="*/ 2546752 w 6331352"/>
            <a:gd name="connsiteY2" fmla="*/ 435110 h 2549660"/>
            <a:gd name="connsiteX3" fmla="*/ 2845144 w 6331352"/>
            <a:gd name="connsiteY3" fmla="*/ 835270 h 2549660"/>
            <a:gd name="connsiteX4" fmla="*/ 3346852 w 6331352"/>
            <a:gd name="connsiteY4" fmla="*/ 1292360 h 2549660"/>
            <a:gd name="connsiteX5" fmla="*/ 3759602 w 6331352"/>
            <a:gd name="connsiteY5" fmla="*/ 1584460 h 2549660"/>
            <a:gd name="connsiteX6" fmla="*/ 4267602 w 6331352"/>
            <a:gd name="connsiteY6" fmla="*/ 1863860 h 2549660"/>
            <a:gd name="connsiteX7" fmla="*/ 4807352 w 6331352"/>
            <a:gd name="connsiteY7" fmla="*/ 2111510 h 2549660"/>
            <a:gd name="connsiteX8" fmla="*/ 5480452 w 6331352"/>
            <a:gd name="connsiteY8" fmla="*/ 2314710 h 2549660"/>
            <a:gd name="connsiteX9" fmla="*/ 6331352 w 6331352"/>
            <a:gd name="connsiteY9" fmla="*/ 2549660 h 2549660"/>
            <a:gd name="connsiteX10" fmla="*/ 6325002 w 6331352"/>
            <a:gd name="connsiteY10" fmla="*/ 2384560 h 2549660"/>
            <a:gd name="connsiteX11" fmla="*/ 5975752 w 6331352"/>
            <a:gd name="connsiteY11" fmla="*/ 2295660 h 2549660"/>
            <a:gd name="connsiteX12" fmla="*/ 5702706 w 6331352"/>
            <a:gd name="connsiteY12" fmla="*/ 2219422 h 2549660"/>
            <a:gd name="connsiteX13" fmla="*/ 5239168 w 6331352"/>
            <a:gd name="connsiteY13" fmla="*/ 2060710 h 2549660"/>
            <a:gd name="connsiteX14" fmla="*/ 4635919 w 6331352"/>
            <a:gd name="connsiteY14" fmla="*/ 1838438 h 2549660"/>
            <a:gd name="connsiteX15" fmla="*/ 3981852 w 6331352"/>
            <a:gd name="connsiteY15" fmla="*/ 1495560 h 2549660"/>
            <a:gd name="connsiteX16" fmla="*/ 3543702 w 6331352"/>
            <a:gd name="connsiteY16" fmla="*/ 1152660 h 2549660"/>
            <a:gd name="connsiteX17" fmla="*/ 3213502 w 6331352"/>
            <a:gd name="connsiteY17" fmla="*/ 885960 h 2549660"/>
            <a:gd name="connsiteX18" fmla="*/ 2991252 w 6331352"/>
            <a:gd name="connsiteY18" fmla="*/ 638310 h 2549660"/>
            <a:gd name="connsiteX19" fmla="*/ 2762652 w 6331352"/>
            <a:gd name="connsiteY19" fmla="*/ 371610 h 2549660"/>
            <a:gd name="connsiteX20" fmla="*/ 2661052 w 6331352"/>
            <a:gd name="connsiteY20" fmla="*/ 225560 h 2549660"/>
            <a:gd name="connsiteX21" fmla="*/ 2495952 w 6331352"/>
            <a:gd name="connsiteY21" fmla="*/ 3310 h 2549660"/>
            <a:gd name="connsiteX22" fmla="*/ 353 w 6331352"/>
            <a:gd name="connsiteY22" fmla="*/ 0 h 2549660"/>
            <a:gd name="connsiteX0" fmla="*/ 353 w 6331352"/>
            <a:gd name="connsiteY0" fmla="*/ 0 h 2549660"/>
            <a:gd name="connsiteX1" fmla="*/ 4286 w 6331352"/>
            <a:gd name="connsiteY1" fmla="*/ 420443 h 2549660"/>
            <a:gd name="connsiteX2" fmla="*/ 2546752 w 6331352"/>
            <a:gd name="connsiteY2" fmla="*/ 435110 h 2549660"/>
            <a:gd name="connsiteX3" fmla="*/ 2845144 w 6331352"/>
            <a:gd name="connsiteY3" fmla="*/ 835270 h 2549660"/>
            <a:gd name="connsiteX4" fmla="*/ 3346852 w 6331352"/>
            <a:gd name="connsiteY4" fmla="*/ 1292360 h 2549660"/>
            <a:gd name="connsiteX5" fmla="*/ 3759602 w 6331352"/>
            <a:gd name="connsiteY5" fmla="*/ 1584460 h 2549660"/>
            <a:gd name="connsiteX6" fmla="*/ 4267602 w 6331352"/>
            <a:gd name="connsiteY6" fmla="*/ 1863860 h 2549660"/>
            <a:gd name="connsiteX7" fmla="*/ 4807352 w 6331352"/>
            <a:gd name="connsiteY7" fmla="*/ 2111510 h 2549660"/>
            <a:gd name="connsiteX8" fmla="*/ 5480452 w 6331352"/>
            <a:gd name="connsiteY8" fmla="*/ 2314710 h 2549660"/>
            <a:gd name="connsiteX9" fmla="*/ 6331352 w 6331352"/>
            <a:gd name="connsiteY9" fmla="*/ 2549660 h 2549660"/>
            <a:gd name="connsiteX10" fmla="*/ 6325002 w 6331352"/>
            <a:gd name="connsiteY10" fmla="*/ 2384560 h 2549660"/>
            <a:gd name="connsiteX11" fmla="*/ 5975752 w 6331352"/>
            <a:gd name="connsiteY11" fmla="*/ 2295660 h 2549660"/>
            <a:gd name="connsiteX12" fmla="*/ 5702706 w 6331352"/>
            <a:gd name="connsiteY12" fmla="*/ 2219422 h 2549660"/>
            <a:gd name="connsiteX13" fmla="*/ 5239168 w 6331352"/>
            <a:gd name="connsiteY13" fmla="*/ 2060710 h 2549660"/>
            <a:gd name="connsiteX14" fmla="*/ 4635919 w 6331352"/>
            <a:gd name="connsiteY14" fmla="*/ 1838438 h 2549660"/>
            <a:gd name="connsiteX15" fmla="*/ 3981852 w 6331352"/>
            <a:gd name="connsiteY15" fmla="*/ 1495560 h 2549660"/>
            <a:gd name="connsiteX16" fmla="*/ 3543702 w 6331352"/>
            <a:gd name="connsiteY16" fmla="*/ 1152660 h 2549660"/>
            <a:gd name="connsiteX17" fmla="*/ 3213502 w 6331352"/>
            <a:gd name="connsiteY17" fmla="*/ 885960 h 2549660"/>
            <a:gd name="connsiteX18" fmla="*/ 2991252 w 6331352"/>
            <a:gd name="connsiteY18" fmla="*/ 638310 h 2549660"/>
            <a:gd name="connsiteX19" fmla="*/ 2762652 w 6331352"/>
            <a:gd name="connsiteY19" fmla="*/ 371610 h 2549660"/>
            <a:gd name="connsiteX20" fmla="*/ 2661052 w 6331352"/>
            <a:gd name="connsiteY20" fmla="*/ 225560 h 2549660"/>
            <a:gd name="connsiteX21" fmla="*/ 2495952 w 6331352"/>
            <a:gd name="connsiteY21" fmla="*/ 3310 h 2549660"/>
            <a:gd name="connsiteX22" fmla="*/ 353 w 6331352"/>
            <a:gd name="connsiteY22" fmla="*/ 0 h 2549660"/>
            <a:gd name="connsiteX0" fmla="*/ 353 w 6331352"/>
            <a:gd name="connsiteY0" fmla="*/ 0 h 2549660"/>
            <a:gd name="connsiteX1" fmla="*/ 4286 w 6331352"/>
            <a:gd name="connsiteY1" fmla="*/ 420443 h 2549660"/>
            <a:gd name="connsiteX2" fmla="*/ 2531500 w 6331352"/>
            <a:gd name="connsiteY2" fmla="*/ 424102 h 2549660"/>
            <a:gd name="connsiteX3" fmla="*/ 2845144 w 6331352"/>
            <a:gd name="connsiteY3" fmla="*/ 835270 h 2549660"/>
            <a:gd name="connsiteX4" fmla="*/ 3346852 w 6331352"/>
            <a:gd name="connsiteY4" fmla="*/ 1292360 h 2549660"/>
            <a:gd name="connsiteX5" fmla="*/ 3759602 w 6331352"/>
            <a:gd name="connsiteY5" fmla="*/ 1584460 h 2549660"/>
            <a:gd name="connsiteX6" fmla="*/ 4267602 w 6331352"/>
            <a:gd name="connsiteY6" fmla="*/ 1863860 h 2549660"/>
            <a:gd name="connsiteX7" fmla="*/ 4807352 w 6331352"/>
            <a:gd name="connsiteY7" fmla="*/ 2111510 h 2549660"/>
            <a:gd name="connsiteX8" fmla="*/ 5480452 w 6331352"/>
            <a:gd name="connsiteY8" fmla="*/ 2314710 h 2549660"/>
            <a:gd name="connsiteX9" fmla="*/ 6331352 w 6331352"/>
            <a:gd name="connsiteY9" fmla="*/ 2549660 h 2549660"/>
            <a:gd name="connsiteX10" fmla="*/ 6325002 w 6331352"/>
            <a:gd name="connsiteY10" fmla="*/ 2384560 h 2549660"/>
            <a:gd name="connsiteX11" fmla="*/ 5975752 w 6331352"/>
            <a:gd name="connsiteY11" fmla="*/ 2295660 h 2549660"/>
            <a:gd name="connsiteX12" fmla="*/ 5702706 w 6331352"/>
            <a:gd name="connsiteY12" fmla="*/ 2219422 h 2549660"/>
            <a:gd name="connsiteX13" fmla="*/ 5239168 w 6331352"/>
            <a:gd name="connsiteY13" fmla="*/ 2060710 h 2549660"/>
            <a:gd name="connsiteX14" fmla="*/ 4635919 w 6331352"/>
            <a:gd name="connsiteY14" fmla="*/ 1838438 h 2549660"/>
            <a:gd name="connsiteX15" fmla="*/ 3981852 w 6331352"/>
            <a:gd name="connsiteY15" fmla="*/ 1495560 h 2549660"/>
            <a:gd name="connsiteX16" fmla="*/ 3543702 w 6331352"/>
            <a:gd name="connsiteY16" fmla="*/ 1152660 h 2549660"/>
            <a:gd name="connsiteX17" fmla="*/ 3213502 w 6331352"/>
            <a:gd name="connsiteY17" fmla="*/ 885960 h 2549660"/>
            <a:gd name="connsiteX18" fmla="*/ 2991252 w 6331352"/>
            <a:gd name="connsiteY18" fmla="*/ 638310 h 2549660"/>
            <a:gd name="connsiteX19" fmla="*/ 2762652 w 6331352"/>
            <a:gd name="connsiteY19" fmla="*/ 371610 h 2549660"/>
            <a:gd name="connsiteX20" fmla="*/ 2661052 w 6331352"/>
            <a:gd name="connsiteY20" fmla="*/ 225560 h 2549660"/>
            <a:gd name="connsiteX21" fmla="*/ 2495952 w 6331352"/>
            <a:gd name="connsiteY21" fmla="*/ 3310 h 2549660"/>
            <a:gd name="connsiteX22" fmla="*/ 353 w 6331352"/>
            <a:gd name="connsiteY22" fmla="*/ 0 h 2549660"/>
            <a:gd name="connsiteX0" fmla="*/ 353 w 6331352"/>
            <a:gd name="connsiteY0" fmla="*/ 0 h 2549660"/>
            <a:gd name="connsiteX1" fmla="*/ 4286 w 6331352"/>
            <a:gd name="connsiteY1" fmla="*/ 420443 h 2549660"/>
            <a:gd name="connsiteX2" fmla="*/ 2531500 w 6331352"/>
            <a:gd name="connsiteY2" fmla="*/ 424102 h 2549660"/>
            <a:gd name="connsiteX3" fmla="*/ 2845144 w 6331352"/>
            <a:gd name="connsiteY3" fmla="*/ 835270 h 2549660"/>
            <a:gd name="connsiteX4" fmla="*/ 3346852 w 6331352"/>
            <a:gd name="connsiteY4" fmla="*/ 1292360 h 2549660"/>
            <a:gd name="connsiteX5" fmla="*/ 3759602 w 6331352"/>
            <a:gd name="connsiteY5" fmla="*/ 1584460 h 2549660"/>
            <a:gd name="connsiteX6" fmla="*/ 4267602 w 6331352"/>
            <a:gd name="connsiteY6" fmla="*/ 1863860 h 2549660"/>
            <a:gd name="connsiteX7" fmla="*/ 4807352 w 6331352"/>
            <a:gd name="connsiteY7" fmla="*/ 2111510 h 2549660"/>
            <a:gd name="connsiteX8" fmla="*/ 5480452 w 6331352"/>
            <a:gd name="connsiteY8" fmla="*/ 2314710 h 2549660"/>
            <a:gd name="connsiteX9" fmla="*/ 6331352 w 6331352"/>
            <a:gd name="connsiteY9" fmla="*/ 2549660 h 2549660"/>
            <a:gd name="connsiteX10" fmla="*/ 6325002 w 6331352"/>
            <a:gd name="connsiteY10" fmla="*/ 2384560 h 2549660"/>
            <a:gd name="connsiteX11" fmla="*/ 5975752 w 6331352"/>
            <a:gd name="connsiteY11" fmla="*/ 2295660 h 2549660"/>
            <a:gd name="connsiteX12" fmla="*/ 5702706 w 6331352"/>
            <a:gd name="connsiteY12" fmla="*/ 2219422 h 2549660"/>
            <a:gd name="connsiteX13" fmla="*/ 5239168 w 6331352"/>
            <a:gd name="connsiteY13" fmla="*/ 2060710 h 2549660"/>
            <a:gd name="connsiteX14" fmla="*/ 4635919 w 6331352"/>
            <a:gd name="connsiteY14" fmla="*/ 1838438 h 2549660"/>
            <a:gd name="connsiteX15" fmla="*/ 3981852 w 6331352"/>
            <a:gd name="connsiteY15" fmla="*/ 1495560 h 2549660"/>
            <a:gd name="connsiteX16" fmla="*/ 3543702 w 6331352"/>
            <a:gd name="connsiteY16" fmla="*/ 1152660 h 2549660"/>
            <a:gd name="connsiteX17" fmla="*/ 3213502 w 6331352"/>
            <a:gd name="connsiteY17" fmla="*/ 885960 h 2549660"/>
            <a:gd name="connsiteX18" fmla="*/ 2991252 w 6331352"/>
            <a:gd name="connsiteY18" fmla="*/ 638310 h 2549660"/>
            <a:gd name="connsiteX19" fmla="*/ 2762652 w 6331352"/>
            <a:gd name="connsiteY19" fmla="*/ 371610 h 2549660"/>
            <a:gd name="connsiteX20" fmla="*/ 2495952 w 6331352"/>
            <a:gd name="connsiteY20" fmla="*/ 3310 h 2549660"/>
            <a:gd name="connsiteX21" fmla="*/ 353 w 6331352"/>
            <a:gd name="connsiteY21" fmla="*/ 0 h 2549660"/>
            <a:gd name="connsiteX0" fmla="*/ 353 w 6331352"/>
            <a:gd name="connsiteY0" fmla="*/ 0 h 2549660"/>
            <a:gd name="connsiteX1" fmla="*/ 4286 w 6331352"/>
            <a:gd name="connsiteY1" fmla="*/ 420443 h 2549660"/>
            <a:gd name="connsiteX2" fmla="*/ 2531500 w 6331352"/>
            <a:gd name="connsiteY2" fmla="*/ 424102 h 2549660"/>
            <a:gd name="connsiteX3" fmla="*/ 2845144 w 6331352"/>
            <a:gd name="connsiteY3" fmla="*/ 835270 h 2549660"/>
            <a:gd name="connsiteX4" fmla="*/ 3346852 w 6331352"/>
            <a:gd name="connsiteY4" fmla="*/ 1292360 h 2549660"/>
            <a:gd name="connsiteX5" fmla="*/ 3759602 w 6331352"/>
            <a:gd name="connsiteY5" fmla="*/ 1584460 h 2549660"/>
            <a:gd name="connsiteX6" fmla="*/ 4267602 w 6331352"/>
            <a:gd name="connsiteY6" fmla="*/ 1863860 h 2549660"/>
            <a:gd name="connsiteX7" fmla="*/ 4807352 w 6331352"/>
            <a:gd name="connsiteY7" fmla="*/ 2111510 h 2549660"/>
            <a:gd name="connsiteX8" fmla="*/ 5480452 w 6331352"/>
            <a:gd name="connsiteY8" fmla="*/ 2314710 h 2549660"/>
            <a:gd name="connsiteX9" fmla="*/ 6331352 w 6331352"/>
            <a:gd name="connsiteY9" fmla="*/ 2549660 h 2549660"/>
            <a:gd name="connsiteX10" fmla="*/ 6325002 w 6331352"/>
            <a:gd name="connsiteY10" fmla="*/ 2384560 h 2549660"/>
            <a:gd name="connsiteX11" fmla="*/ 5975752 w 6331352"/>
            <a:gd name="connsiteY11" fmla="*/ 2295660 h 2549660"/>
            <a:gd name="connsiteX12" fmla="*/ 5702706 w 6331352"/>
            <a:gd name="connsiteY12" fmla="*/ 2219422 h 2549660"/>
            <a:gd name="connsiteX13" fmla="*/ 5239168 w 6331352"/>
            <a:gd name="connsiteY13" fmla="*/ 2060710 h 2549660"/>
            <a:gd name="connsiteX14" fmla="*/ 4635919 w 6331352"/>
            <a:gd name="connsiteY14" fmla="*/ 1838438 h 2549660"/>
            <a:gd name="connsiteX15" fmla="*/ 3981852 w 6331352"/>
            <a:gd name="connsiteY15" fmla="*/ 1495560 h 2549660"/>
            <a:gd name="connsiteX16" fmla="*/ 3543702 w 6331352"/>
            <a:gd name="connsiteY16" fmla="*/ 1152660 h 2549660"/>
            <a:gd name="connsiteX17" fmla="*/ 2991252 w 6331352"/>
            <a:gd name="connsiteY17" fmla="*/ 638310 h 2549660"/>
            <a:gd name="connsiteX18" fmla="*/ 2762652 w 6331352"/>
            <a:gd name="connsiteY18" fmla="*/ 371610 h 2549660"/>
            <a:gd name="connsiteX19" fmla="*/ 2495952 w 6331352"/>
            <a:gd name="connsiteY19" fmla="*/ 3310 h 2549660"/>
            <a:gd name="connsiteX20" fmla="*/ 353 w 6331352"/>
            <a:gd name="connsiteY20" fmla="*/ 0 h 2549660"/>
            <a:gd name="connsiteX0" fmla="*/ 353 w 6331352"/>
            <a:gd name="connsiteY0" fmla="*/ 0 h 2549660"/>
            <a:gd name="connsiteX1" fmla="*/ 4286 w 6331352"/>
            <a:gd name="connsiteY1" fmla="*/ 420443 h 2549660"/>
            <a:gd name="connsiteX2" fmla="*/ 2531500 w 6331352"/>
            <a:gd name="connsiteY2" fmla="*/ 424102 h 2549660"/>
            <a:gd name="connsiteX3" fmla="*/ 2845144 w 6331352"/>
            <a:gd name="connsiteY3" fmla="*/ 835270 h 2549660"/>
            <a:gd name="connsiteX4" fmla="*/ 3346852 w 6331352"/>
            <a:gd name="connsiteY4" fmla="*/ 1292360 h 2549660"/>
            <a:gd name="connsiteX5" fmla="*/ 3759602 w 6331352"/>
            <a:gd name="connsiteY5" fmla="*/ 1584460 h 2549660"/>
            <a:gd name="connsiteX6" fmla="*/ 4267602 w 6331352"/>
            <a:gd name="connsiteY6" fmla="*/ 1863860 h 2549660"/>
            <a:gd name="connsiteX7" fmla="*/ 4807352 w 6331352"/>
            <a:gd name="connsiteY7" fmla="*/ 2111510 h 2549660"/>
            <a:gd name="connsiteX8" fmla="*/ 5480452 w 6331352"/>
            <a:gd name="connsiteY8" fmla="*/ 2314710 h 2549660"/>
            <a:gd name="connsiteX9" fmla="*/ 6331352 w 6331352"/>
            <a:gd name="connsiteY9" fmla="*/ 2549660 h 2549660"/>
            <a:gd name="connsiteX10" fmla="*/ 6325002 w 6331352"/>
            <a:gd name="connsiteY10" fmla="*/ 2384560 h 2549660"/>
            <a:gd name="connsiteX11" fmla="*/ 5975752 w 6331352"/>
            <a:gd name="connsiteY11" fmla="*/ 2295660 h 2549660"/>
            <a:gd name="connsiteX12" fmla="*/ 5239168 w 6331352"/>
            <a:gd name="connsiteY12" fmla="*/ 2060710 h 2549660"/>
            <a:gd name="connsiteX13" fmla="*/ 4635919 w 6331352"/>
            <a:gd name="connsiteY13" fmla="*/ 1838438 h 2549660"/>
            <a:gd name="connsiteX14" fmla="*/ 3981852 w 6331352"/>
            <a:gd name="connsiteY14" fmla="*/ 1495560 h 2549660"/>
            <a:gd name="connsiteX15" fmla="*/ 3543702 w 6331352"/>
            <a:gd name="connsiteY15" fmla="*/ 1152660 h 2549660"/>
            <a:gd name="connsiteX16" fmla="*/ 2991252 w 6331352"/>
            <a:gd name="connsiteY16" fmla="*/ 638310 h 2549660"/>
            <a:gd name="connsiteX17" fmla="*/ 2762652 w 6331352"/>
            <a:gd name="connsiteY17" fmla="*/ 371610 h 2549660"/>
            <a:gd name="connsiteX18" fmla="*/ 2495952 w 6331352"/>
            <a:gd name="connsiteY18" fmla="*/ 3310 h 2549660"/>
            <a:gd name="connsiteX19" fmla="*/ 353 w 6331352"/>
            <a:gd name="connsiteY19" fmla="*/ 0 h 2549660"/>
            <a:gd name="connsiteX0" fmla="*/ 353 w 6331352"/>
            <a:gd name="connsiteY0" fmla="*/ 0 h 2549660"/>
            <a:gd name="connsiteX1" fmla="*/ 4286 w 6331352"/>
            <a:gd name="connsiteY1" fmla="*/ 420443 h 2549660"/>
            <a:gd name="connsiteX2" fmla="*/ 2531500 w 6331352"/>
            <a:gd name="connsiteY2" fmla="*/ 424102 h 2549660"/>
            <a:gd name="connsiteX3" fmla="*/ 2845144 w 6331352"/>
            <a:gd name="connsiteY3" fmla="*/ 835270 h 2549660"/>
            <a:gd name="connsiteX4" fmla="*/ 3346852 w 6331352"/>
            <a:gd name="connsiteY4" fmla="*/ 1292360 h 2549660"/>
            <a:gd name="connsiteX5" fmla="*/ 3759602 w 6331352"/>
            <a:gd name="connsiteY5" fmla="*/ 1584460 h 2549660"/>
            <a:gd name="connsiteX6" fmla="*/ 4267602 w 6331352"/>
            <a:gd name="connsiteY6" fmla="*/ 1863860 h 2549660"/>
            <a:gd name="connsiteX7" fmla="*/ 4807352 w 6331352"/>
            <a:gd name="connsiteY7" fmla="*/ 2111510 h 2549660"/>
            <a:gd name="connsiteX8" fmla="*/ 5480452 w 6331352"/>
            <a:gd name="connsiteY8" fmla="*/ 2314710 h 2549660"/>
            <a:gd name="connsiteX9" fmla="*/ 6331352 w 6331352"/>
            <a:gd name="connsiteY9" fmla="*/ 2549660 h 2549660"/>
            <a:gd name="connsiteX10" fmla="*/ 6325002 w 6331352"/>
            <a:gd name="connsiteY10" fmla="*/ 2384560 h 2549660"/>
            <a:gd name="connsiteX11" fmla="*/ 5640201 w 6331352"/>
            <a:gd name="connsiteY11" fmla="*/ 2196588 h 2549660"/>
            <a:gd name="connsiteX12" fmla="*/ 5239168 w 6331352"/>
            <a:gd name="connsiteY12" fmla="*/ 2060710 h 2549660"/>
            <a:gd name="connsiteX13" fmla="*/ 4635919 w 6331352"/>
            <a:gd name="connsiteY13" fmla="*/ 1838438 h 2549660"/>
            <a:gd name="connsiteX14" fmla="*/ 3981852 w 6331352"/>
            <a:gd name="connsiteY14" fmla="*/ 1495560 h 2549660"/>
            <a:gd name="connsiteX15" fmla="*/ 3543702 w 6331352"/>
            <a:gd name="connsiteY15" fmla="*/ 1152660 h 2549660"/>
            <a:gd name="connsiteX16" fmla="*/ 2991252 w 6331352"/>
            <a:gd name="connsiteY16" fmla="*/ 638310 h 2549660"/>
            <a:gd name="connsiteX17" fmla="*/ 2762652 w 6331352"/>
            <a:gd name="connsiteY17" fmla="*/ 371610 h 2549660"/>
            <a:gd name="connsiteX18" fmla="*/ 2495952 w 6331352"/>
            <a:gd name="connsiteY18" fmla="*/ 3310 h 2549660"/>
            <a:gd name="connsiteX19" fmla="*/ 353 w 6331352"/>
            <a:gd name="connsiteY19" fmla="*/ 0 h 2549660"/>
            <a:gd name="connsiteX0" fmla="*/ 353 w 6331352"/>
            <a:gd name="connsiteY0" fmla="*/ 0 h 2549660"/>
            <a:gd name="connsiteX1" fmla="*/ 4286 w 6331352"/>
            <a:gd name="connsiteY1" fmla="*/ 420443 h 2549660"/>
            <a:gd name="connsiteX2" fmla="*/ 2531500 w 6331352"/>
            <a:gd name="connsiteY2" fmla="*/ 424102 h 2549660"/>
            <a:gd name="connsiteX3" fmla="*/ 2845144 w 6331352"/>
            <a:gd name="connsiteY3" fmla="*/ 835270 h 2549660"/>
            <a:gd name="connsiteX4" fmla="*/ 3346852 w 6331352"/>
            <a:gd name="connsiteY4" fmla="*/ 1292360 h 2549660"/>
            <a:gd name="connsiteX5" fmla="*/ 3759602 w 6331352"/>
            <a:gd name="connsiteY5" fmla="*/ 1584460 h 2549660"/>
            <a:gd name="connsiteX6" fmla="*/ 4267602 w 6331352"/>
            <a:gd name="connsiteY6" fmla="*/ 1863860 h 2549660"/>
            <a:gd name="connsiteX7" fmla="*/ 4807352 w 6331352"/>
            <a:gd name="connsiteY7" fmla="*/ 2111510 h 2549660"/>
            <a:gd name="connsiteX8" fmla="*/ 5480452 w 6331352"/>
            <a:gd name="connsiteY8" fmla="*/ 2314710 h 2549660"/>
            <a:gd name="connsiteX9" fmla="*/ 6331352 w 6331352"/>
            <a:gd name="connsiteY9" fmla="*/ 2549660 h 2549660"/>
            <a:gd name="connsiteX10" fmla="*/ 6325002 w 6331352"/>
            <a:gd name="connsiteY10" fmla="*/ 2384560 h 2549660"/>
            <a:gd name="connsiteX11" fmla="*/ 5640201 w 6331352"/>
            <a:gd name="connsiteY11" fmla="*/ 2196588 h 2549660"/>
            <a:gd name="connsiteX12" fmla="*/ 5239168 w 6331352"/>
            <a:gd name="connsiteY12" fmla="*/ 2060710 h 2549660"/>
            <a:gd name="connsiteX13" fmla="*/ 4597789 w 6331352"/>
            <a:gd name="connsiteY13" fmla="*/ 1794406 h 2549660"/>
            <a:gd name="connsiteX14" fmla="*/ 3981852 w 6331352"/>
            <a:gd name="connsiteY14" fmla="*/ 1495560 h 2549660"/>
            <a:gd name="connsiteX15" fmla="*/ 3543702 w 6331352"/>
            <a:gd name="connsiteY15" fmla="*/ 1152660 h 2549660"/>
            <a:gd name="connsiteX16" fmla="*/ 2991252 w 6331352"/>
            <a:gd name="connsiteY16" fmla="*/ 638310 h 2549660"/>
            <a:gd name="connsiteX17" fmla="*/ 2762652 w 6331352"/>
            <a:gd name="connsiteY17" fmla="*/ 371610 h 2549660"/>
            <a:gd name="connsiteX18" fmla="*/ 2495952 w 6331352"/>
            <a:gd name="connsiteY18" fmla="*/ 3310 h 2549660"/>
            <a:gd name="connsiteX19" fmla="*/ 353 w 6331352"/>
            <a:gd name="connsiteY19" fmla="*/ 0 h 2549660"/>
            <a:gd name="connsiteX0" fmla="*/ 353 w 6331352"/>
            <a:gd name="connsiteY0" fmla="*/ 0 h 2549660"/>
            <a:gd name="connsiteX1" fmla="*/ 4286 w 6331352"/>
            <a:gd name="connsiteY1" fmla="*/ 420443 h 2549660"/>
            <a:gd name="connsiteX2" fmla="*/ 2531500 w 6331352"/>
            <a:gd name="connsiteY2" fmla="*/ 424102 h 2549660"/>
            <a:gd name="connsiteX3" fmla="*/ 2845144 w 6331352"/>
            <a:gd name="connsiteY3" fmla="*/ 835270 h 2549660"/>
            <a:gd name="connsiteX4" fmla="*/ 3346852 w 6331352"/>
            <a:gd name="connsiteY4" fmla="*/ 1292360 h 2549660"/>
            <a:gd name="connsiteX5" fmla="*/ 3759602 w 6331352"/>
            <a:gd name="connsiteY5" fmla="*/ 1584460 h 2549660"/>
            <a:gd name="connsiteX6" fmla="*/ 4267602 w 6331352"/>
            <a:gd name="connsiteY6" fmla="*/ 1863860 h 2549660"/>
            <a:gd name="connsiteX7" fmla="*/ 4807352 w 6331352"/>
            <a:gd name="connsiteY7" fmla="*/ 2111510 h 2549660"/>
            <a:gd name="connsiteX8" fmla="*/ 5480452 w 6331352"/>
            <a:gd name="connsiteY8" fmla="*/ 2314710 h 2549660"/>
            <a:gd name="connsiteX9" fmla="*/ 6331352 w 6331352"/>
            <a:gd name="connsiteY9" fmla="*/ 2549660 h 2549660"/>
            <a:gd name="connsiteX10" fmla="*/ 6325002 w 6331352"/>
            <a:gd name="connsiteY10" fmla="*/ 2384560 h 2549660"/>
            <a:gd name="connsiteX11" fmla="*/ 5640201 w 6331352"/>
            <a:gd name="connsiteY11" fmla="*/ 2196588 h 2549660"/>
            <a:gd name="connsiteX12" fmla="*/ 5239168 w 6331352"/>
            <a:gd name="connsiteY12" fmla="*/ 2060710 h 2549660"/>
            <a:gd name="connsiteX13" fmla="*/ 4597789 w 6331352"/>
            <a:gd name="connsiteY13" fmla="*/ 1794406 h 2549660"/>
            <a:gd name="connsiteX14" fmla="*/ 3947534 w 6331352"/>
            <a:gd name="connsiteY14" fmla="*/ 1436851 h 2549660"/>
            <a:gd name="connsiteX15" fmla="*/ 3543702 w 6331352"/>
            <a:gd name="connsiteY15" fmla="*/ 1152660 h 2549660"/>
            <a:gd name="connsiteX16" fmla="*/ 2991252 w 6331352"/>
            <a:gd name="connsiteY16" fmla="*/ 638310 h 2549660"/>
            <a:gd name="connsiteX17" fmla="*/ 2762652 w 6331352"/>
            <a:gd name="connsiteY17" fmla="*/ 371610 h 2549660"/>
            <a:gd name="connsiteX18" fmla="*/ 2495952 w 6331352"/>
            <a:gd name="connsiteY18" fmla="*/ 3310 h 2549660"/>
            <a:gd name="connsiteX19" fmla="*/ 353 w 6331352"/>
            <a:gd name="connsiteY19" fmla="*/ 0 h 2549660"/>
            <a:gd name="connsiteX0" fmla="*/ 353 w 6331352"/>
            <a:gd name="connsiteY0" fmla="*/ 0 h 2549660"/>
            <a:gd name="connsiteX1" fmla="*/ 4286 w 6331352"/>
            <a:gd name="connsiteY1" fmla="*/ 420443 h 2549660"/>
            <a:gd name="connsiteX2" fmla="*/ 2531500 w 6331352"/>
            <a:gd name="connsiteY2" fmla="*/ 424102 h 2549660"/>
            <a:gd name="connsiteX3" fmla="*/ 2845144 w 6331352"/>
            <a:gd name="connsiteY3" fmla="*/ 835270 h 2549660"/>
            <a:gd name="connsiteX4" fmla="*/ 3346852 w 6331352"/>
            <a:gd name="connsiteY4" fmla="*/ 1292360 h 2549660"/>
            <a:gd name="connsiteX5" fmla="*/ 3759602 w 6331352"/>
            <a:gd name="connsiteY5" fmla="*/ 1584460 h 2549660"/>
            <a:gd name="connsiteX6" fmla="*/ 4267602 w 6331352"/>
            <a:gd name="connsiteY6" fmla="*/ 1863860 h 2549660"/>
            <a:gd name="connsiteX7" fmla="*/ 4807352 w 6331352"/>
            <a:gd name="connsiteY7" fmla="*/ 2111510 h 2549660"/>
            <a:gd name="connsiteX8" fmla="*/ 5480452 w 6331352"/>
            <a:gd name="connsiteY8" fmla="*/ 2314710 h 2549660"/>
            <a:gd name="connsiteX9" fmla="*/ 6331352 w 6331352"/>
            <a:gd name="connsiteY9" fmla="*/ 2549660 h 2549660"/>
            <a:gd name="connsiteX10" fmla="*/ 6325002 w 6331352"/>
            <a:gd name="connsiteY10" fmla="*/ 2384560 h 2549660"/>
            <a:gd name="connsiteX11" fmla="*/ 5640201 w 6331352"/>
            <a:gd name="connsiteY11" fmla="*/ 2196588 h 2549660"/>
            <a:gd name="connsiteX12" fmla="*/ 5239168 w 6331352"/>
            <a:gd name="connsiteY12" fmla="*/ 2060710 h 2549660"/>
            <a:gd name="connsiteX13" fmla="*/ 4597789 w 6331352"/>
            <a:gd name="connsiteY13" fmla="*/ 1794406 h 2549660"/>
            <a:gd name="connsiteX14" fmla="*/ 3936095 w 6331352"/>
            <a:gd name="connsiteY14" fmla="*/ 1444189 h 2549660"/>
            <a:gd name="connsiteX15" fmla="*/ 3543702 w 6331352"/>
            <a:gd name="connsiteY15" fmla="*/ 1152660 h 2549660"/>
            <a:gd name="connsiteX16" fmla="*/ 2991252 w 6331352"/>
            <a:gd name="connsiteY16" fmla="*/ 638310 h 2549660"/>
            <a:gd name="connsiteX17" fmla="*/ 2762652 w 6331352"/>
            <a:gd name="connsiteY17" fmla="*/ 371610 h 2549660"/>
            <a:gd name="connsiteX18" fmla="*/ 2495952 w 6331352"/>
            <a:gd name="connsiteY18" fmla="*/ 3310 h 2549660"/>
            <a:gd name="connsiteX19" fmla="*/ 353 w 6331352"/>
            <a:gd name="connsiteY19" fmla="*/ 0 h 2549660"/>
            <a:gd name="connsiteX0" fmla="*/ 353 w 6331352"/>
            <a:gd name="connsiteY0" fmla="*/ 0 h 2549660"/>
            <a:gd name="connsiteX1" fmla="*/ 4286 w 6331352"/>
            <a:gd name="connsiteY1" fmla="*/ 420443 h 2549660"/>
            <a:gd name="connsiteX2" fmla="*/ 2531500 w 6331352"/>
            <a:gd name="connsiteY2" fmla="*/ 424102 h 2549660"/>
            <a:gd name="connsiteX3" fmla="*/ 2845144 w 6331352"/>
            <a:gd name="connsiteY3" fmla="*/ 835270 h 2549660"/>
            <a:gd name="connsiteX4" fmla="*/ 3346852 w 6331352"/>
            <a:gd name="connsiteY4" fmla="*/ 1292360 h 2549660"/>
            <a:gd name="connsiteX5" fmla="*/ 3759602 w 6331352"/>
            <a:gd name="connsiteY5" fmla="*/ 1584460 h 2549660"/>
            <a:gd name="connsiteX6" fmla="*/ 4267602 w 6331352"/>
            <a:gd name="connsiteY6" fmla="*/ 1863860 h 2549660"/>
            <a:gd name="connsiteX7" fmla="*/ 4807352 w 6331352"/>
            <a:gd name="connsiteY7" fmla="*/ 2111510 h 2549660"/>
            <a:gd name="connsiteX8" fmla="*/ 5480452 w 6331352"/>
            <a:gd name="connsiteY8" fmla="*/ 2314710 h 2549660"/>
            <a:gd name="connsiteX9" fmla="*/ 6331352 w 6331352"/>
            <a:gd name="connsiteY9" fmla="*/ 2549660 h 2549660"/>
            <a:gd name="connsiteX10" fmla="*/ 6325002 w 6331352"/>
            <a:gd name="connsiteY10" fmla="*/ 2384560 h 2549660"/>
            <a:gd name="connsiteX11" fmla="*/ 5640201 w 6331352"/>
            <a:gd name="connsiteY11" fmla="*/ 2196588 h 2549660"/>
            <a:gd name="connsiteX12" fmla="*/ 5239168 w 6331352"/>
            <a:gd name="connsiteY12" fmla="*/ 2060710 h 2549660"/>
            <a:gd name="connsiteX13" fmla="*/ 4597789 w 6331352"/>
            <a:gd name="connsiteY13" fmla="*/ 1794406 h 2549660"/>
            <a:gd name="connsiteX14" fmla="*/ 3936095 w 6331352"/>
            <a:gd name="connsiteY14" fmla="*/ 1444189 h 2549660"/>
            <a:gd name="connsiteX15" fmla="*/ 3368301 w 6331352"/>
            <a:gd name="connsiteY15" fmla="*/ 1013226 h 2549660"/>
            <a:gd name="connsiteX16" fmla="*/ 2991252 w 6331352"/>
            <a:gd name="connsiteY16" fmla="*/ 638310 h 2549660"/>
            <a:gd name="connsiteX17" fmla="*/ 2762652 w 6331352"/>
            <a:gd name="connsiteY17" fmla="*/ 371610 h 2549660"/>
            <a:gd name="connsiteX18" fmla="*/ 2495952 w 6331352"/>
            <a:gd name="connsiteY18" fmla="*/ 3310 h 2549660"/>
            <a:gd name="connsiteX19" fmla="*/ 353 w 6331352"/>
            <a:gd name="connsiteY19" fmla="*/ 0 h 2549660"/>
            <a:gd name="connsiteX0" fmla="*/ 353 w 6331352"/>
            <a:gd name="connsiteY0" fmla="*/ 15037 h 2564697"/>
            <a:gd name="connsiteX1" fmla="*/ 4286 w 6331352"/>
            <a:gd name="connsiteY1" fmla="*/ 435480 h 2564697"/>
            <a:gd name="connsiteX2" fmla="*/ 2531500 w 6331352"/>
            <a:gd name="connsiteY2" fmla="*/ 439139 h 2564697"/>
            <a:gd name="connsiteX3" fmla="*/ 2845144 w 6331352"/>
            <a:gd name="connsiteY3" fmla="*/ 850307 h 2564697"/>
            <a:gd name="connsiteX4" fmla="*/ 3346852 w 6331352"/>
            <a:gd name="connsiteY4" fmla="*/ 1307397 h 2564697"/>
            <a:gd name="connsiteX5" fmla="*/ 3759602 w 6331352"/>
            <a:gd name="connsiteY5" fmla="*/ 1599497 h 2564697"/>
            <a:gd name="connsiteX6" fmla="*/ 4267602 w 6331352"/>
            <a:gd name="connsiteY6" fmla="*/ 1878897 h 2564697"/>
            <a:gd name="connsiteX7" fmla="*/ 4807352 w 6331352"/>
            <a:gd name="connsiteY7" fmla="*/ 2126547 h 2564697"/>
            <a:gd name="connsiteX8" fmla="*/ 5480452 w 6331352"/>
            <a:gd name="connsiteY8" fmla="*/ 2329747 h 2564697"/>
            <a:gd name="connsiteX9" fmla="*/ 6331352 w 6331352"/>
            <a:gd name="connsiteY9" fmla="*/ 2564697 h 2564697"/>
            <a:gd name="connsiteX10" fmla="*/ 6325002 w 6331352"/>
            <a:gd name="connsiteY10" fmla="*/ 2399597 h 2564697"/>
            <a:gd name="connsiteX11" fmla="*/ 5640201 w 6331352"/>
            <a:gd name="connsiteY11" fmla="*/ 2211625 h 2564697"/>
            <a:gd name="connsiteX12" fmla="*/ 5239168 w 6331352"/>
            <a:gd name="connsiteY12" fmla="*/ 2075747 h 2564697"/>
            <a:gd name="connsiteX13" fmla="*/ 4597789 w 6331352"/>
            <a:gd name="connsiteY13" fmla="*/ 1809443 h 2564697"/>
            <a:gd name="connsiteX14" fmla="*/ 3936095 w 6331352"/>
            <a:gd name="connsiteY14" fmla="*/ 1459226 h 2564697"/>
            <a:gd name="connsiteX15" fmla="*/ 3368301 w 6331352"/>
            <a:gd name="connsiteY15" fmla="*/ 1028263 h 2564697"/>
            <a:gd name="connsiteX16" fmla="*/ 2991252 w 6331352"/>
            <a:gd name="connsiteY16" fmla="*/ 653347 h 2564697"/>
            <a:gd name="connsiteX17" fmla="*/ 2762652 w 6331352"/>
            <a:gd name="connsiteY17" fmla="*/ 386647 h 2564697"/>
            <a:gd name="connsiteX18" fmla="*/ 2495952 w 6331352"/>
            <a:gd name="connsiteY18" fmla="*/ 0 h 2564697"/>
            <a:gd name="connsiteX19" fmla="*/ 353 w 6331352"/>
            <a:gd name="connsiteY19" fmla="*/ 15037 h 2564697"/>
            <a:gd name="connsiteX0" fmla="*/ 7507 w 6327066"/>
            <a:gd name="connsiteY0" fmla="*/ 4029 h 2564697"/>
            <a:gd name="connsiteX1" fmla="*/ 0 w 6327066"/>
            <a:gd name="connsiteY1" fmla="*/ 435480 h 2564697"/>
            <a:gd name="connsiteX2" fmla="*/ 2527214 w 6327066"/>
            <a:gd name="connsiteY2" fmla="*/ 439139 h 2564697"/>
            <a:gd name="connsiteX3" fmla="*/ 2840858 w 6327066"/>
            <a:gd name="connsiteY3" fmla="*/ 850307 h 2564697"/>
            <a:gd name="connsiteX4" fmla="*/ 3342566 w 6327066"/>
            <a:gd name="connsiteY4" fmla="*/ 1307397 h 2564697"/>
            <a:gd name="connsiteX5" fmla="*/ 3755316 w 6327066"/>
            <a:gd name="connsiteY5" fmla="*/ 1599497 h 2564697"/>
            <a:gd name="connsiteX6" fmla="*/ 4263316 w 6327066"/>
            <a:gd name="connsiteY6" fmla="*/ 1878897 h 2564697"/>
            <a:gd name="connsiteX7" fmla="*/ 4803066 w 6327066"/>
            <a:gd name="connsiteY7" fmla="*/ 2126547 h 2564697"/>
            <a:gd name="connsiteX8" fmla="*/ 5476166 w 6327066"/>
            <a:gd name="connsiteY8" fmla="*/ 2329747 h 2564697"/>
            <a:gd name="connsiteX9" fmla="*/ 6327066 w 6327066"/>
            <a:gd name="connsiteY9" fmla="*/ 2564697 h 2564697"/>
            <a:gd name="connsiteX10" fmla="*/ 6320716 w 6327066"/>
            <a:gd name="connsiteY10" fmla="*/ 2399597 h 2564697"/>
            <a:gd name="connsiteX11" fmla="*/ 5635915 w 6327066"/>
            <a:gd name="connsiteY11" fmla="*/ 2211625 h 2564697"/>
            <a:gd name="connsiteX12" fmla="*/ 5234882 w 6327066"/>
            <a:gd name="connsiteY12" fmla="*/ 2075747 h 2564697"/>
            <a:gd name="connsiteX13" fmla="*/ 4593503 w 6327066"/>
            <a:gd name="connsiteY13" fmla="*/ 1809443 h 2564697"/>
            <a:gd name="connsiteX14" fmla="*/ 3931809 w 6327066"/>
            <a:gd name="connsiteY14" fmla="*/ 1459226 h 2564697"/>
            <a:gd name="connsiteX15" fmla="*/ 3364015 w 6327066"/>
            <a:gd name="connsiteY15" fmla="*/ 1028263 h 2564697"/>
            <a:gd name="connsiteX16" fmla="*/ 2986966 w 6327066"/>
            <a:gd name="connsiteY16" fmla="*/ 653347 h 2564697"/>
            <a:gd name="connsiteX17" fmla="*/ 2758366 w 6327066"/>
            <a:gd name="connsiteY17" fmla="*/ 386647 h 2564697"/>
            <a:gd name="connsiteX18" fmla="*/ 2491666 w 6327066"/>
            <a:gd name="connsiteY18" fmla="*/ 0 h 2564697"/>
            <a:gd name="connsiteX19" fmla="*/ 7507 w 6327066"/>
            <a:gd name="connsiteY19" fmla="*/ 4029 h 2564697"/>
            <a:gd name="connsiteX0" fmla="*/ 3694 w 6327066"/>
            <a:gd name="connsiteY0" fmla="*/ 4029 h 2564697"/>
            <a:gd name="connsiteX1" fmla="*/ 0 w 6327066"/>
            <a:gd name="connsiteY1" fmla="*/ 435480 h 2564697"/>
            <a:gd name="connsiteX2" fmla="*/ 2527214 w 6327066"/>
            <a:gd name="connsiteY2" fmla="*/ 439139 h 2564697"/>
            <a:gd name="connsiteX3" fmla="*/ 2840858 w 6327066"/>
            <a:gd name="connsiteY3" fmla="*/ 850307 h 2564697"/>
            <a:gd name="connsiteX4" fmla="*/ 3342566 w 6327066"/>
            <a:gd name="connsiteY4" fmla="*/ 1307397 h 2564697"/>
            <a:gd name="connsiteX5" fmla="*/ 3755316 w 6327066"/>
            <a:gd name="connsiteY5" fmla="*/ 1599497 h 2564697"/>
            <a:gd name="connsiteX6" fmla="*/ 4263316 w 6327066"/>
            <a:gd name="connsiteY6" fmla="*/ 1878897 h 2564697"/>
            <a:gd name="connsiteX7" fmla="*/ 4803066 w 6327066"/>
            <a:gd name="connsiteY7" fmla="*/ 2126547 h 2564697"/>
            <a:gd name="connsiteX8" fmla="*/ 5476166 w 6327066"/>
            <a:gd name="connsiteY8" fmla="*/ 2329747 h 2564697"/>
            <a:gd name="connsiteX9" fmla="*/ 6327066 w 6327066"/>
            <a:gd name="connsiteY9" fmla="*/ 2564697 h 2564697"/>
            <a:gd name="connsiteX10" fmla="*/ 6320716 w 6327066"/>
            <a:gd name="connsiteY10" fmla="*/ 2399597 h 2564697"/>
            <a:gd name="connsiteX11" fmla="*/ 5635915 w 6327066"/>
            <a:gd name="connsiteY11" fmla="*/ 2211625 h 2564697"/>
            <a:gd name="connsiteX12" fmla="*/ 5234882 w 6327066"/>
            <a:gd name="connsiteY12" fmla="*/ 2075747 h 2564697"/>
            <a:gd name="connsiteX13" fmla="*/ 4593503 w 6327066"/>
            <a:gd name="connsiteY13" fmla="*/ 1809443 h 2564697"/>
            <a:gd name="connsiteX14" fmla="*/ 3931809 w 6327066"/>
            <a:gd name="connsiteY14" fmla="*/ 1459226 h 2564697"/>
            <a:gd name="connsiteX15" fmla="*/ 3364015 w 6327066"/>
            <a:gd name="connsiteY15" fmla="*/ 1028263 h 2564697"/>
            <a:gd name="connsiteX16" fmla="*/ 2986966 w 6327066"/>
            <a:gd name="connsiteY16" fmla="*/ 653347 h 2564697"/>
            <a:gd name="connsiteX17" fmla="*/ 2758366 w 6327066"/>
            <a:gd name="connsiteY17" fmla="*/ 386647 h 2564697"/>
            <a:gd name="connsiteX18" fmla="*/ 2491666 w 6327066"/>
            <a:gd name="connsiteY18" fmla="*/ 0 h 2564697"/>
            <a:gd name="connsiteX19" fmla="*/ 3694 w 6327066"/>
            <a:gd name="connsiteY19" fmla="*/ 4029 h 256469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</a:cxnLst>
          <a:rect l="l" t="t" r="r" b="b"/>
          <a:pathLst>
            <a:path w="6327066" h="2564697">
              <a:moveTo>
                <a:pt x="3694" y="4029"/>
              </a:moveTo>
              <a:cubicBezTo>
                <a:pt x="1577" y="145846"/>
                <a:pt x="2117" y="293663"/>
                <a:pt x="0" y="435480"/>
              </a:cubicBezTo>
              <a:lnTo>
                <a:pt x="2527214" y="439139"/>
              </a:lnTo>
              <a:lnTo>
                <a:pt x="2840858" y="850307"/>
              </a:lnTo>
              <a:lnTo>
                <a:pt x="3342566" y="1307397"/>
              </a:lnTo>
              <a:lnTo>
                <a:pt x="3755316" y="1599497"/>
              </a:lnTo>
              <a:lnTo>
                <a:pt x="4263316" y="1878897"/>
              </a:lnTo>
              <a:lnTo>
                <a:pt x="4803066" y="2126547"/>
              </a:lnTo>
              <a:lnTo>
                <a:pt x="5476166" y="2329747"/>
              </a:lnTo>
              <a:lnTo>
                <a:pt x="6327066" y="2564697"/>
              </a:lnTo>
              <a:lnTo>
                <a:pt x="6320716" y="2399597"/>
              </a:lnTo>
              <a:lnTo>
                <a:pt x="5635915" y="2211625"/>
              </a:lnTo>
              <a:lnTo>
                <a:pt x="5234882" y="2075747"/>
              </a:lnTo>
              <a:lnTo>
                <a:pt x="4593503" y="1809443"/>
              </a:lnTo>
              <a:lnTo>
                <a:pt x="3931809" y="1459226"/>
              </a:lnTo>
              <a:lnTo>
                <a:pt x="3364015" y="1028263"/>
              </a:lnTo>
              <a:lnTo>
                <a:pt x="2986966" y="653347"/>
              </a:lnTo>
              <a:lnTo>
                <a:pt x="2758366" y="386647"/>
              </a:lnTo>
              <a:lnTo>
                <a:pt x="2491666" y="0"/>
              </a:lnTo>
              <a:lnTo>
                <a:pt x="3694" y="4029"/>
              </a:lnTo>
              <a:close/>
            </a:path>
          </a:pathLst>
        </a:custGeom>
        <a:solidFill xmlns:a="http://schemas.openxmlformats.org/drawingml/2006/main">
          <a:srgbClr val="FFC000">
            <a:alpha val="30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it-IT" sz="1100"/>
        </a:p>
      </cdr:txBody>
    </cdr:sp>
  </cdr:relSizeAnchor>
  <cdr:relSizeAnchor xmlns:cdr="http://schemas.openxmlformats.org/drawingml/2006/chartDrawing">
    <cdr:from>
      <cdr:x>0.10156</cdr:x>
      <cdr:y>0.45473</cdr:y>
    </cdr:from>
    <cdr:to>
      <cdr:x>0.5337</cdr:x>
      <cdr:y>0.90329</cdr:y>
    </cdr:to>
    <cdr:sp macro="" textlink="">
      <cdr:nvSpPr>
        <cdr:cNvPr id="13" name="Figura a mano libera: forma 12">
          <a:extLst xmlns:a="http://schemas.openxmlformats.org/drawingml/2006/main">
            <a:ext uri="{FF2B5EF4-FFF2-40B4-BE49-F238E27FC236}">
              <a16:creationId xmlns:a16="http://schemas.microsoft.com/office/drawing/2014/main" id="{14512F43-DF43-254D-92C4-62D2C38C78D0}"/>
            </a:ext>
          </a:extLst>
        </cdr:cNvPr>
        <cdr:cNvSpPr/>
      </cdr:nvSpPr>
      <cdr:spPr>
        <a:xfrm xmlns:a="http://schemas.openxmlformats.org/drawingml/2006/main">
          <a:off x="742950" y="2806700"/>
          <a:ext cx="3161157" cy="2768582"/>
        </a:xfrm>
        <a:custGeom xmlns:a="http://schemas.openxmlformats.org/drawingml/2006/main">
          <a:avLst/>
          <a:gdLst>
            <a:gd name="connsiteX0" fmla="*/ 0 w 3155950"/>
            <a:gd name="connsiteY0" fmla="*/ 0 h 2762250"/>
            <a:gd name="connsiteX1" fmla="*/ 2381250 w 3155950"/>
            <a:gd name="connsiteY1" fmla="*/ 12700 h 2762250"/>
            <a:gd name="connsiteX2" fmla="*/ 3143250 w 3155950"/>
            <a:gd name="connsiteY2" fmla="*/ 482600 h 2762250"/>
            <a:gd name="connsiteX3" fmla="*/ 3155950 w 3155950"/>
            <a:gd name="connsiteY3" fmla="*/ 2762250 h 2762250"/>
            <a:gd name="connsiteX4" fmla="*/ 0 w 3155950"/>
            <a:gd name="connsiteY4" fmla="*/ 2762250 h 2762250"/>
            <a:gd name="connsiteX5" fmla="*/ 0 w 3155950"/>
            <a:gd name="connsiteY5" fmla="*/ 0 h 2762250"/>
            <a:gd name="connsiteX0" fmla="*/ 0 w 3163565"/>
            <a:gd name="connsiteY0" fmla="*/ 0 h 2762250"/>
            <a:gd name="connsiteX1" fmla="*/ 2381250 w 3163565"/>
            <a:gd name="connsiteY1" fmla="*/ 12700 h 2762250"/>
            <a:gd name="connsiteX2" fmla="*/ 3143250 w 3163565"/>
            <a:gd name="connsiteY2" fmla="*/ 482600 h 2762250"/>
            <a:gd name="connsiteX3" fmla="*/ 3163565 w 3163565"/>
            <a:gd name="connsiteY3" fmla="*/ 2762250 h 2762250"/>
            <a:gd name="connsiteX4" fmla="*/ 0 w 3163565"/>
            <a:gd name="connsiteY4" fmla="*/ 2762250 h 2762250"/>
            <a:gd name="connsiteX5" fmla="*/ 0 w 3163565"/>
            <a:gd name="connsiteY5" fmla="*/ 0 h 2762250"/>
            <a:gd name="connsiteX0" fmla="*/ 0 w 3163565"/>
            <a:gd name="connsiteY0" fmla="*/ 0 h 2762250"/>
            <a:gd name="connsiteX1" fmla="*/ 2381250 w 3163565"/>
            <a:gd name="connsiteY1" fmla="*/ 12700 h 2762250"/>
            <a:gd name="connsiteX2" fmla="*/ 3158481 w 3163565"/>
            <a:gd name="connsiteY2" fmla="*/ 490210 h 2762250"/>
            <a:gd name="connsiteX3" fmla="*/ 3163565 w 3163565"/>
            <a:gd name="connsiteY3" fmla="*/ 2762250 h 2762250"/>
            <a:gd name="connsiteX4" fmla="*/ 0 w 3163565"/>
            <a:gd name="connsiteY4" fmla="*/ 2762250 h 2762250"/>
            <a:gd name="connsiteX5" fmla="*/ 0 w 3163565"/>
            <a:gd name="connsiteY5" fmla="*/ 0 h 2762250"/>
            <a:gd name="connsiteX0" fmla="*/ 0 w 3163565"/>
            <a:gd name="connsiteY0" fmla="*/ 2519 h 2764769"/>
            <a:gd name="connsiteX1" fmla="*/ 2392673 w 3163565"/>
            <a:gd name="connsiteY1" fmla="*/ 0 h 2764769"/>
            <a:gd name="connsiteX2" fmla="*/ 3158481 w 3163565"/>
            <a:gd name="connsiteY2" fmla="*/ 492729 h 2764769"/>
            <a:gd name="connsiteX3" fmla="*/ 3163565 w 3163565"/>
            <a:gd name="connsiteY3" fmla="*/ 2764769 h 2764769"/>
            <a:gd name="connsiteX4" fmla="*/ 0 w 3163565"/>
            <a:gd name="connsiteY4" fmla="*/ 2764769 h 2764769"/>
            <a:gd name="connsiteX5" fmla="*/ 0 w 3163565"/>
            <a:gd name="connsiteY5" fmla="*/ 2519 h 2764769"/>
            <a:gd name="connsiteX0" fmla="*/ 0 w 3159250"/>
            <a:gd name="connsiteY0" fmla="*/ 2519 h 2764769"/>
            <a:gd name="connsiteX1" fmla="*/ 2392673 w 3159250"/>
            <a:gd name="connsiteY1" fmla="*/ 0 h 2764769"/>
            <a:gd name="connsiteX2" fmla="*/ 3158481 w 3159250"/>
            <a:gd name="connsiteY2" fmla="*/ 492729 h 2764769"/>
            <a:gd name="connsiteX3" fmla="*/ 3152142 w 3159250"/>
            <a:gd name="connsiteY3" fmla="*/ 2760964 h 2764769"/>
            <a:gd name="connsiteX4" fmla="*/ 0 w 3159250"/>
            <a:gd name="connsiteY4" fmla="*/ 2764769 h 2764769"/>
            <a:gd name="connsiteX5" fmla="*/ 0 w 3159250"/>
            <a:gd name="connsiteY5" fmla="*/ 2519 h 276476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3159250" h="2764769">
              <a:moveTo>
                <a:pt x="0" y="2519"/>
              </a:moveTo>
              <a:lnTo>
                <a:pt x="2392673" y="0"/>
              </a:lnTo>
              <a:lnTo>
                <a:pt x="3158481" y="492729"/>
              </a:lnTo>
              <a:cubicBezTo>
                <a:pt x="3162714" y="1252612"/>
                <a:pt x="3147909" y="2001081"/>
                <a:pt x="3152142" y="2760964"/>
              </a:cubicBezTo>
              <a:lnTo>
                <a:pt x="0" y="2764769"/>
              </a:lnTo>
              <a:cubicBezTo>
                <a:pt x="2117" y="1850369"/>
                <a:pt x="4233" y="935969"/>
                <a:pt x="0" y="2519"/>
              </a:cubicBezTo>
              <a:close/>
            </a:path>
          </a:pathLst>
        </a:custGeom>
        <a:solidFill xmlns:a="http://schemas.openxmlformats.org/drawingml/2006/main">
          <a:schemeClr val="accent1">
            <a:alpha val="15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it-IT" sz="1100"/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12F27-36CB-4281-91F2-426903A64F30}">
  <sheetPr codeName="Foglio5"/>
  <dimension ref="A1:AD47"/>
  <sheetViews>
    <sheetView tabSelected="1" topLeftCell="A25" zoomScaleNormal="100" zoomScaleSheetLayoutView="100" workbookViewId="0">
      <selection activeCell="AG43" sqref="AG43"/>
    </sheetView>
  </sheetViews>
  <sheetFormatPr defaultRowHeight="12" x14ac:dyDescent="0.2"/>
  <cols>
    <col min="1" max="30" width="3.28515625" style="26" customWidth="1"/>
    <col min="31" max="256" width="9.140625" style="26"/>
    <col min="257" max="286" width="3.28515625" style="26" customWidth="1"/>
    <col min="287" max="512" width="9.140625" style="26"/>
    <col min="513" max="542" width="3.28515625" style="26" customWidth="1"/>
    <col min="543" max="768" width="9.140625" style="26"/>
    <col min="769" max="798" width="3.28515625" style="26" customWidth="1"/>
    <col min="799" max="1024" width="9.140625" style="26"/>
    <col min="1025" max="1054" width="3.28515625" style="26" customWidth="1"/>
    <col min="1055" max="1280" width="9.140625" style="26"/>
    <col min="1281" max="1310" width="3.28515625" style="26" customWidth="1"/>
    <col min="1311" max="1536" width="9.140625" style="26"/>
    <col min="1537" max="1566" width="3.28515625" style="26" customWidth="1"/>
    <col min="1567" max="1792" width="9.140625" style="26"/>
    <col min="1793" max="1822" width="3.28515625" style="26" customWidth="1"/>
    <col min="1823" max="2048" width="9.140625" style="26"/>
    <col min="2049" max="2078" width="3.28515625" style="26" customWidth="1"/>
    <col min="2079" max="2304" width="9.140625" style="26"/>
    <col min="2305" max="2334" width="3.28515625" style="26" customWidth="1"/>
    <col min="2335" max="2560" width="9.140625" style="26"/>
    <col min="2561" max="2590" width="3.28515625" style="26" customWidth="1"/>
    <col min="2591" max="2816" width="9.140625" style="26"/>
    <col min="2817" max="2846" width="3.28515625" style="26" customWidth="1"/>
    <col min="2847" max="3072" width="9.140625" style="26"/>
    <col min="3073" max="3102" width="3.28515625" style="26" customWidth="1"/>
    <col min="3103" max="3328" width="9.140625" style="26"/>
    <col min="3329" max="3358" width="3.28515625" style="26" customWidth="1"/>
    <col min="3359" max="3584" width="9.140625" style="26"/>
    <col min="3585" max="3614" width="3.28515625" style="26" customWidth="1"/>
    <col min="3615" max="3840" width="9.140625" style="26"/>
    <col min="3841" max="3870" width="3.28515625" style="26" customWidth="1"/>
    <col min="3871" max="4096" width="9.140625" style="26"/>
    <col min="4097" max="4126" width="3.28515625" style="26" customWidth="1"/>
    <col min="4127" max="4352" width="9.140625" style="26"/>
    <col min="4353" max="4382" width="3.28515625" style="26" customWidth="1"/>
    <col min="4383" max="4608" width="9.140625" style="26"/>
    <col min="4609" max="4638" width="3.28515625" style="26" customWidth="1"/>
    <col min="4639" max="4864" width="9.140625" style="26"/>
    <col min="4865" max="4894" width="3.28515625" style="26" customWidth="1"/>
    <col min="4895" max="5120" width="9.140625" style="26"/>
    <col min="5121" max="5150" width="3.28515625" style="26" customWidth="1"/>
    <col min="5151" max="5376" width="9.140625" style="26"/>
    <col min="5377" max="5406" width="3.28515625" style="26" customWidth="1"/>
    <col min="5407" max="5632" width="9.140625" style="26"/>
    <col min="5633" max="5662" width="3.28515625" style="26" customWidth="1"/>
    <col min="5663" max="5888" width="9.140625" style="26"/>
    <col min="5889" max="5918" width="3.28515625" style="26" customWidth="1"/>
    <col min="5919" max="6144" width="9.140625" style="26"/>
    <col min="6145" max="6174" width="3.28515625" style="26" customWidth="1"/>
    <col min="6175" max="6400" width="9.140625" style="26"/>
    <col min="6401" max="6430" width="3.28515625" style="26" customWidth="1"/>
    <col min="6431" max="6656" width="9.140625" style="26"/>
    <col min="6657" max="6686" width="3.28515625" style="26" customWidth="1"/>
    <col min="6687" max="6912" width="9.140625" style="26"/>
    <col min="6913" max="6942" width="3.28515625" style="26" customWidth="1"/>
    <col min="6943" max="7168" width="9.140625" style="26"/>
    <col min="7169" max="7198" width="3.28515625" style="26" customWidth="1"/>
    <col min="7199" max="7424" width="9.140625" style="26"/>
    <col min="7425" max="7454" width="3.28515625" style="26" customWidth="1"/>
    <col min="7455" max="7680" width="9.140625" style="26"/>
    <col min="7681" max="7710" width="3.28515625" style="26" customWidth="1"/>
    <col min="7711" max="7936" width="9.140625" style="26"/>
    <col min="7937" max="7966" width="3.28515625" style="26" customWidth="1"/>
    <col min="7967" max="8192" width="9.140625" style="26"/>
    <col min="8193" max="8222" width="3.28515625" style="26" customWidth="1"/>
    <col min="8223" max="8448" width="9.140625" style="26"/>
    <col min="8449" max="8478" width="3.28515625" style="26" customWidth="1"/>
    <col min="8479" max="8704" width="9.140625" style="26"/>
    <col min="8705" max="8734" width="3.28515625" style="26" customWidth="1"/>
    <col min="8735" max="8960" width="9.140625" style="26"/>
    <col min="8961" max="8990" width="3.28515625" style="26" customWidth="1"/>
    <col min="8991" max="9216" width="9.140625" style="26"/>
    <col min="9217" max="9246" width="3.28515625" style="26" customWidth="1"/>
    <col min="9247" max="9472" width="9.140625" style="26"/>
    <col min="9473" max="9502" width="3.28515625" style="26" customWidth="1"/>
    <col min="9503" max="9728" width="9.140625" style="26"/>
    <col min="9729" max="9758" width="3.28515625" style="26" customWidth="1"/>
    <col min="9759" max="9984" width="9.140625" style="26"/>
    <col min="9985" max="10014" width="3.28515625" style="26" customWidth="1"/>
    <col min="10015" max="10240" width="9.140625" style="26"/>
    <col min="10241" max="10270" width="3.28515625" style="26" customWidth="1"/>
    <col min="10271" max="10496" width="9.140625" style="26"/>
    <col min="10497" max="10526" width="3.28515625" style="26" customWidth="1"/>
    <col min="10527" max="10752" width="9.140625" style="26"/>
    <col min="10753" max="10782" width="3.28515625" style="26" customWidth="1"/>
    <col min="10783" max="11008" width="9.140625" style="26"/>
    <col min="11009" max="11038" width="3.28515625" style="26" customWidth="1"/>
    <col min="11039" max="11264" width="9.140625" style="26"/>
    <col min="11265" max="11294" width="3.28515625" style="26" customWidth="1"/>
    <col min="11295" max="11520" width="9.140625" style="26"/>
    <col min="11521" max="11550" width="3.28515625" style="26" customWidth="1"/>
    <col min="11551" max="11776" width="9.140625" style="26"/>
    <col min="11777" max="11806" width="3.28515625" style="26" customWidth="1"/>
    <col min="11807" max="12032" width="9.140625" style="26"/>
    <col min="12033" max="12062" width="3.28515625" style="26" customWidth="1"/>
    <col min="12063" max="12288" width="9.140625" style="26"/>
    <col min="12289" max="12318" width="3.28515625" style="26" customWidth="1"/>
    <col min="12319" max="12544" width="9.140625" style="26"/>
    <col min="12545" max="12574" width="3.28515625" style="26" customWidth="1"/>
    <col min="12575" max="12800" width="9.140625" style="26"/>
    <col min="12801" max="12830" width="3.28515625" style="26" customWidth="1"/>
    <col min="12831" max="13056" width="9.140625" style="26"/>
    <col min="13057" max="13086" width="3.28515625" style="26" customWidth="1"/>
    <col min="13087" max="13312" width="9.140625" style="26"/>
    <col min="13313" max="13342" width="3.28515625" style="26" customWidth="1"/>
    <col min="13343" max="13568" width="9.140625" style="26"/>
    <col min="13569" max="13598" width="3.28515625" style="26" customWidth="1"/>
    <col min="13599" max="13824" width="9.140625" style="26"/>
    <col min="13825" max="13854" width="3.28515625" style="26" customWidth="1"/>
    <col min="13855" max="14080" width="9.140625" style="26"/>
    <col min="14081" max="14110" width="3.28515625" style="26" customWidth="1"/>
    <col min="14111" max="14336" width="9.140625" style="26"/>
    <col min="14337" max="14366" width="3.28515625" style="26" customWidth="1"/>
    <col min="14367" max="14592" width="9.140625" style="26"/>
    <col min="14593" max="14622" width="3.28515625" style="26" customWidth="1"/>
    <col min="14623" max="14848" width="9.140625" style="26"/>
    <col min="14849" max="14878" width="3.28515625" style="26" customWidth="1"/>
    <col min="14879" max="15104" width="9.140625" style="26"/>
    <col min="15105" max="15134" width="3.28515625" style="26" customWidth="1"/>
    <col min="15135" max="15360" width="9.140625" style="26"/>
    <col min="15361" max="15390" width="3.28515625" style="26" customWidth="1"/>
    <col min="15391" max="15616" width="9.140625" style="26"/>
    <col min="15617" max="15646" width="3.28515625" style="26" customWidth="1"/>
    <col min="15647" max="15872" width="9.140625" style="26"/>
    <col min="15873" max="15902" width="3.28515625" style="26" customWidth="1"/>
    <col min="15903" max="16128" width="9.140625" style="26"/>
    <col min="16129" max="16158" width="3.28515625" style="26" customWidth="1"/>
    <col min="16159" max="16384" width="9.140625" style="26"/>
  </cols>
  <sheetData>
    <row r="1" spans="1:30" ht="15" customHeight="1" x14ac:dyDescent="0.2">
      <c r="A1" s="23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5"/>
    </row>
    <row r="2" spans="1:30" ht="15" customHeight="1" x14ac:dyDescent="0.2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9"/>
    </row>
    <row r="3" spans="1:30" ht="15" customHeight="1" x14ac:dyDescent="0.2">
      <c r="A3" s="27"/>
      <c r="B3" s="28"/>
      <c r="C3" s="28"/>
      <c r="D3" s="28"/>
      <c r="E3" s="28"/>
      <c r="F3" s="28"/>
      <c r="G3" s="28"/>
      <c r="H3" s="30"/>
      <c r="I3" s="30"/>
      <c r="J3" s="30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2"/>
      <c r="X3" s="32"/>
      <c r="Y3" s="32"/>
      <c r="Z3" s="32"/>
      <c r="AA3" s="32"/>
      <c r="AB3" s="32"/>
      <c r="AC3" s="32"/>
      <c r="AD3" s="33"/>
    </row>
    <row r="4" spans="1:30" ht="15" customHeight="1" x14ac:dyDescent="0.2">
      <c r="A4" s="27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9"/>
    </row>
    <row r="5" spans="1:30" ht="15" customHeight="1" x14ac:dyDescent="0.2">
      <c r="A5" s="27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9"/>
    </row>
    <row r="6" spans="1:30" ht="15" customHeight="1" x14ac:dyDescent="0.2">
      <c r="A6" s="27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9"/>
    </row>
    <row r="7" spans="1:30" ht="15" customHeight="1" thickBot="1" x14ac:dyDescent="0.25">
      <c r="A7" s="34"/>
      <c r="B7" s="35"/>
      <c r="C7" s="35"/>
      <c r="D7" s="35"/>
      <c r="E7" s="35"/>
      <c r="F7" s="36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35"/>
      <c r="AB7" s="35"/>
      <c r="AC7" s="35"/>
      <c r="AD7" s="37"/>
    </row>
    <row r="8" spans="1:30" ht="15" customHeight="1" x14ac:dyDescent="0.2">
      <c r="A8" s="65" t="s">
        <v>51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7"/>
    </row>
    <row r="9" spans="1:30" ht="15" customHeight="1" x14ac:dyDescent="0.2">
      <c r="A9" s="68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70"/>
    </row>
    <row r="10" spans="1:30" ht="15" customHeight="1" x14ac:dyDescent="0.2">
      <c r="A10" s="68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70"/>
    </row>
    <row r="11" spans="1:30" ht="15" customHeight="1" x14ac:dyDescent="0.2">
      <c r="A11" s="68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70"/>
    </row>
    <row r="12" spans="1:30" ht="15" customHeight="1" x14ac:dyDescent="0.2">
      <c r="A12" s="68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70"/>
    </row>
    <row r="13" spans="1:30" ht="15" customHeight="1" x14ac:dyDescent="0.2">
      <c r="A13" s="68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70"/>
    </row>
    <row r="14" spans="1:30" ht="15" customHeight="1" x14ac:dyDescent="0.2">
      <c r="A14" s="68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70"/>
    </row>
    <row r="15" spans="1:30" ht="15" customHeight="1" x14ac:dyDescent="0.2">
      <c r="A15" s="68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70"/>
    </row>
    <row r="16" spans="1:30" ht="15" customHeight="1" x14ac:dyDescent="0.2">
      <c r="A16" s="68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70"/>
    </row>
    <row r="17" spans="1:30" ht="15" customHeight="1" x14ac:dyDescent="0.2">
      <c r="A17" s="68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70"/>
    </row>
    <row r="18" spans="1:30" ht="15" customHeight="1" x14ac:dyDescent="0.2">
      <c r="A18" s="68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70"/>
    </row>
    <row r="19" spans="1:30" ht="15" customHeight="1" x14ac:dyDescent="0.2">
      <c r="A19" s="68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70"/>
    </row>
    <row r="20" spans="1:30" ht="15" customHeight="1" x14ac:dyDescent="0.2">
      <c r="A20" s="68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70"/>
    </row>
    <row r="21" spans="1:30" ht="15" customHeight="1" x14ac:dyDescent="0.2">
      <c r="A21" s="68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70"/>
    </row>
    <row r="22" spans="1:30" ht="15" customHeight="1" x14ac:dyDescent="0.2">
      <c r="A22" s="68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70"/>
    </row>
    <row r="23" spans="1:30" ht="15" customHeight="1" x14ac:dyDescent="0.2">
      <c r="A23" s="68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70"/>
    </row>
    <row r="24" spans="1:30" ht="15" customHeight="1" x14ac:dyDescent="0.2">
      <c r="A24" s="68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70"/>
    </row>
    <row r="25" spans="1:30" ht="15" customHeight="1" x14ac:dyDescent="0.2">
      <c r="A25" s="68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70"/>
    </row>
    <row r="26" spans="1:30" ht="15" customHeight="1" x14ac:dyDescent="0.2">
      <c r="A26" s="68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70"/>
    </row>
    <row r="27" spans="1:30" ht="15" customHeight="1" x14ac:dyDescent="0.2">
      <c r="A27" s="68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70"/>
    </row>
    <row r="28" spans="1:30" ht="15" customHeight="1" x14ac:dyDescent="0.2">
      <c r="A28" s="68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70"/>
    </row>
    <row r="29" spans="1:30" ht="15" customHeight="1" x14ac:dyDescent="0.2">
      <c r="A29" s="68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70"/>
    </row>
    <row r="30" spans="1:30" ht="15" customHeight="1" x14ac:dyDescent="0.2">
      <c r="A30" s="68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70"/>
    </row>
    <row r="31" spans="1:30" ht="15" customHeight="1" x14ac:dyDescent="0.2">
      <c r="A31" s="68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70"/>
    </row>
    <row r="32" spans="1:30" ht="15" customHeight="1" x14ac:dyDescent="0.2">
      <c r="A32" s="68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70"/>
    </row>
    <row r="33" spans="1:30" ht="15" customHeight="1" x14ac:dyDescent="0.2">
      <c r="A33" s="68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70"/>
    </row>
    <row r="34" spans="1:30" ht="15" customHeight="1" x14ac:dyDescent="0.2">
      <c r="A34" s="68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70"/>
    </row>
    <row r="35" spans="1:30" ht="15" customHeight="1" x14ac:dyDescent="0.2">
      <c r="A35" s="68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70"/>
    </row>
    <row r="36" spans="1:30" ht="15" customHeight="1" x14ac:dyDescent="0.2">
      <c r="A36" s="68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70"/>
    </row>
    <row r="37" spans="1:30" ht="15" customHeight="1" x14ac:dyDescent="0.2">
      <c r="A37" s="68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70"/>
    </row>
    <row r="38" spans="1:30" ht="15" customHeight="1" thickBot="1" x14ac:dyDescent="0.25">
      <c r="A38" s="71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3"/>
    </row>
    <row r="39" spans="1:30" ht="30" customHeight="1" x14ac:dyDescent="0.2">
      <c r="A39" s="74"/>
      <c r="B39" s="75"/>
      <c r="C39" s="76"/>
      <c r="D39" s="77"/>
      <c r="E39" s="77"/>
      <c r="F39" s="75"/>
      <c r="G39" s="76"/>
      <c r="H39" s="77"/>
      <c r="I39" s="77"/>
      <c r="J39" s="77"/>
      <c r="K39" s="77"/>
      <c r="L39" s="77"/>
      <c r="M39" s="77"/>
      <c r="N39" s="77"/>
      <c r="O39" s="77"/>
      <c r="P39" s="76"/>
      <c r="Q39" s="77"/>
      <c r="R39" s="77"/>
      <c r="S39" s="77"/>
      <c r="T39" s="75"/>
      <c r="U39" s="76"/>
      <c r="V39" s="77"/>
      <c r="W39" s="77"/>
      <c r="X39" s="77"/>
      <c r="Y39" s="75"/>
      <c r="Z39" s="76"/>
      <c r="AA39" s="77"/>
      <c r="AB39" s="77"/>
      <c r="AC39" s="77"/>
      <c r="AD39" s="78"/>
    </row>
    <row r="40" spans="1:30" ht="30" customHeight="1" x14ac:dyDescent="0.2">
      <c r="A40" s="52"/>
      <c r="B40" s="53"/>
      <c r="C40" s="54"/>
      <c r="D40" s="55"/>
      <c r="E40" s="55"/>
      <c r="F40" s="53"/>
      <c r="G40" s="54"/>
      <c r="H40" s="55"/>
      <c r="I40" s="55"/>
      <c r="J40" s="55"/>
      <c r="K40" s="55"/>
      <c r="L40" s="55"/>
      <c r="M40" s="55"/>
      <c r="N40" s="55"/>
      <c r="O40" s="55"/>
      <c r="P40" s="54"/>
      <c r="Q40" s="55"/>
      <c r="R40" s="55"/>
      <c r="S40" s="55"/>
      <c r="T40" s="53"/>
      <c r="U40" s="54"/>
      <c r="V40" s="55"/>
      <c r="W40" s="55"/>
      <c r="X40" s="55"/>
      <c r="Y40" s="53"/>
      <c r="Z40" s="54"/>
      <c r="AA40" s="55"/>
      <c r="AB40" s="55"/>
      <c r="AC40" s="55"/>
      <c r="AD40" s="56"/>
    </row>
    <row r="41" spans="1:30" ht="30" customHeight="1" x14ac:dyDescent="0.2">
      <c r="A41" s="52"/>
      <c r="B41" s="53"/>
      <c r="C41" s="54"/>
      <c r="D41" s="55"/>
      <c r="E41" s="55"/>
      <c r="F41" s="53"/>
      <c r="G41" s="54"/>
      <c r="H41" s="55"/>
      <c r="I41" s="55"/>
      <c r="J41" s="55"/>
      <c r="K41" s="55"/>
      <c r="L41" s="55"/>
      <c r="M41" s="55"/>
      <c r="N41" s="55"/>
      <c r="O41" s="55"/>
      <c r="P41" s="54"/>
      <c r="Q41" s="55"/>
      <c r="R41" s="55"/>
      <c r="S41" s="55"/>
      <c r="T41" s="53"/>
      <c r="U41" s="54"/>
      <c r="V41" s="55"/>
      <c r="W41" s="55"/>
      <c r="X41" s="55"/>
      <c r="Y41" s="53"/>
      <c r="Z41" s="54"/>
      <c r="AA41" s="55"/>
      <c r="AB41" s="55"/>
      <c r="AC41" s="55"/>
      <c r="AD41" s="56"/>
    </row>
    <row r="42" spans="1:30" ht="30" customHeight="1" x14ac:dyDescent="0.2">
      <c r="A42" s="52"/>
      <c r="B42" s="53"/>
      <c r="C42" s="54"/>
      <c r="D42" s="55"/>
      <c r="E42" s="55"/>
      <c r="F42" s="53"/>
      <c r="G42" s="54"/>
      <c r="H42" s="55"/>
      <c r="I42" s="55"/>
      <c r="J42" s="55"/>
      <c r="K42" s="55"/>
      <c r="L42" s="55"/>
      <c r="M42" s="55"/>
      <c r="N42" s="55"/>
      <c r="O42" s="55"/>
      <c r="P42" s="54"/>
      <c r="Q42" s="55"/>
      <c r="R42" s="55"/>
      <c r="S42" s="55"/>
      <c r="T42" s="53"/>
      <c r="U42" s="54"/>
      <c r="V42" s="55"/>
      <c r="W42" s="55"/>
      <c r="X42" s="55"/>
      <c r="Y42" s="53"/>
      <c r="Z42" s="54"/>
      <c r="AA42" s="55"/>
      <c r="AB42" s="55"/>
      <c r="AC42" s="55"/>
      <c r="AD42" s="56"/>
    </row>
    <row r="43" spans="1:30" ht="30" customHeight="1" x14ac:dyDescent="0.2">
      <c r="A43" s="52"/>
      <c r="B43" s="53"/>
      <c r="C43" s="54"/>
      <c r="D43" s="55"/>
      <c r="E43" s="55"/>
      <c r="F43" s="53"/>
      <c r="G43" s="54"/>
      <c r="H43" s="55"/>
      <c r="I43" s="55"/>
      <c r="J43" s="55"/>
      <c r="K43" s="55"/>
      <c r="L43" s="55"/>
      <c r="M43" s="55"/>
      <c r="N43" s="55"/>
      <c r="O43" s="55"/>
      <c r="P43" s="54"/>
      <c r="Q43" s="55"/>
      <c r="R43" s="55"/>
      <c r="S43" s="55"/>
      <c r="T43" s="53"/>
      <c r="U43" s="54"/>
      <c r="V43" s="55"/>
      <c r="W43" s="55"/>
      <c r="X43" s="55"/>
      <c r="Y43" s="53"/>
      <c r="Z43" s="54"/>
      <c r="AA43" s="55"/>
      <c r="AB43" s="55"/>
      <c r="AC43" s="55"/>
      <c r="AD43" s="56"/>
    </row>
    <row r="44" spans="1:30" ht="30" customHeight="1" x14ac:dyDescent="0.2">
      <c r="A44" s="52"/>
      <c r="B44" s="53"/>
      <c r="C44" s="54"/>
      <c r="D44" s="55"/>
      <c r="E44" s="55"/>
      <c r="F44" s="53"/>
      <c r="G44" s="54"/>
      <c r="H44" s="55"/>
      <c r="I44" s="55"/>
      <c r="J44" s="55"/>
      <c r="K44" s="55"/>
      <c r="L44" s="55"/>
      <c r="M44" s="55"/>
      <c r="N44" s="55"/>
      <c r="O44" s="55"/>
      <c r="P44" s="54"/>
      <c r="Q44" s="55"/>
      <c r="R44" s="55"/>
      <c r="S44" s="55"/>
      <c r="T44" s="53"/>
      <c r="U44" s="54"/>
      <c r="V44" s="55"/>
      <c r="W44" s="55"/>
      <c r="X44" s="55"/>
      <c r="Y44" s="53"/>
      <c r="Z44" s="54"/>
      <c r="AA44" s="55"/>
      <c r="AB44" s="55"/>
      <c r="AC44" s="55"/>
      <c r="AD44" s="56"/>
    </row>
    <row r="45" spans="1:30" ht="36.75" customHeight="1" x14ac:dyDescent="0.2">
      <c r="A45" s="57">
        <v>0</v>
      </c>
      <c r="B45" s="58"/>
      <c r="C45" s="59">
        <v>45575</v>
      </c>
      <c r="D45" s="60"/>
      <c r="E45" s="60"/>
      <c r="F45" s="61"/>
      <c r="G45" s="62" t="s">
        <v>0</v>
      </c>
      <c r="H45" s="63"/>
      <c r="I45" s="63"/>
      <c r="J45" s="63"/>
      <c r="K45" s="63"/>
      <c r="L45" s="63"/>
      <c r="M45" s="63"/>
      <c r="N45" s="63"/>
      <c r="O45" s="63"/>
      <c r="P45" s="49" t="s">
        <v>55</v>
      </c>
      <c r="Q45" s="50"/>
      <c r="R45" s="50"/>
      <c r="S45" s="50"/>
      <c r="T45" s="64"/>
      <c r="U45" s="49" t="s">
        <v>56</v>
      </c>
      <c r="V45" s="50"/>
      <c r="W45" s="50"/>
      <c r="X45" s="50"/>
      <c r="Y45" s="64"/>
      <c r="Z45" s="49" t="s">
        <v>57</v>
      </c>
      <c r="AA45" s="50"/>
      <c r="AB45" s="50"/>
      <c r="AC45" s="50"/>
      <c r="AD45" s="51"/>
    </row>
    <row r="46" spans="1:30" ht="15" customHeight="1" thickBot="1" x14ac:dyDescent="0.25">
      <c r="A46" s="43" t="s">
        <v>1</v>
      </c>
      <c r="B46" s="44"/>
      <c r="C46" s="45" t="s">
        <v>2</v>
      </c>
      <c r="D46" s="46"/>
      <c r="E46" s="46"/>
      <c r="F46" s="47"/>
      <c r="G46" s="45" t="s">
        <v>3</v>
      </c>
      <c r="H46" s="46"/>
      <c r="I46" s="46"/>
      <c r="J46" s="46"/>
      <c r="K46" s="46"/>
      <c r="L46" s="46"/>
      <c r="M46" s="46"/>
      <c r="N46" s="46"/>
      <c r="O46" s="46"/>
      <c r="P46" s="45" t="s">
        <v>4</v>
      </c>
      <c r="Q46" s="46"/>
      <c r="R46" s="46"/>
      <c r="S46" s="46"/>
      <c r="T46" s="47"/>
      <c r="U46" s="45" t="s">
        <v>5</v>
      </c>
      <c r="V46" s="46"/>
      <c r="W46" s="46"/>
      <c r="X46" s="46"/>
      <c r="Y46" s="46"/>
      <c r="Z46" s="45" t="s">
        <v>6</v>
      </c>
      <c r="AA46" s="46"/>
      <c r="AB46" s="46"/>
      <c r="AC46" s="46"/>
      <c r="AD46" s="48"/>
    </row>
    <row r="47" spans="1:30" ht="15" customHeight="1" thickBot="1" x14ac:dyDescent="0.25">
      <c r="A47" s="40" t="s">
        <v>52</v>
      </c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2"/>
    </row>
  </sheetData>
  <mergeCells count="50">
    <mergeCell ref="A8:AD38"/>
    <mergeCell ref="A39:B39"/>
    <mergeCell ref="C39:F39"/>
    <mergeCell ref="G39:O39"/>
    <mergeCell ref="P39:T39"/>
    <mergeCell ref="U39:Y39"/>
    <mergeCell ref="Z39:AD39"/>
    <mergeCell ref="Z41:AD41"/>
    <mergeCell ref="A40:B40"/>
    <mergeCell ref="C40:F40"/>
    <mergeCell ref="G40:O40"/>
    <mergeCell ref="P40:T40"/>
    <mergeCell ref="U40:Y40"/>
    <mergeCell ref="Z40:AD40"/>
    <mergeCell ref="A41:B41"/>
    <mergeCell ref="C41:F41"/>
    <mergeCell ref="G41:O41"/>
    <mergeCell ref="P41:T41"/>
    <mergeCell ref="U41:Y41"/>
    <mergeCell ref="Z43:AD43"/>
    <mergeCell ref="A42:B42"/>
    <mergeCell ref="C42:F42"/>
    <mergeCell ref="G42:O42"/>
    <mergeCell ref="P42:T42"/>
    <mergeCell ref="U42:Y42"/>
    <mergeCell ref="Z42:AD42"/>
    <mergeCell ref="A43:B43"/>
    <mergeCell ref="C43:F43"/>
    <mergeCell ref="G43:O43"/>
    <mergeCell ref="P43:T43"/>
    <mergeCell ref="U43:Y43"/>
    <mergeCell ref="Z45:AD45"/>
    <mergeCell ref="A44:B44"/>
    <mergeCell ref="C44:F44"/>
    <mergeCell ref="G44:O44"/>
    <mergeCell ref="P44:T44"/>
    <mergeCell ref="U44:Y44"/>
    <mergeCell ref="Z44:AD44"/>
    <mergeCell ref="A45:B45"/>
    <mergeCell ref="C45:F45"/>
    <mergeCell ref="G45:O45"/>
    <mergeCell ref="P45:T45"/>
    <mergeCell ref="U45:Y45"/>
    <mergeCell ref="A47:AD47"/>
    <mergeCell ref="A46:B46"/>
    <mergeCell ref="C46:F46"/>
    <mergeCell ref="G46:O46"/>
    <mergeCell ref="P46:T46"/>
    <mergeCell ref="U46:Y46"/>
    <mergeCell ref="Z46:AD4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0" fitToWidth="3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86620-7AE5-4A01-9A67-D8FDA6635D06}">
  <dimension ref="B2:Q16"/>
  <sheetViews>
    <sheetView workbookViewId="0"/>
  </sheetViews>
  <sheetFormatPr defaultRowHeight="15" x14ac:dyDescent="0.25"/>
  <cols>
    <col min="1" max="1" width="2.7109375" customWidth="1"/>
    <col min="14" max="14" width="2.7109375" customWidth="1"/>
    <col min="15" max="15" width="10.7109375" bestFit="1" customWidth="1"/>
    <col min="16" max="16" width="12" bestFit="1" customWidth="1"/>
    <col min="17" max="17" width="63.85546875" bestFit="1" customWidth="1"/>
    <col min="19" max="20" width="9.140625" customWidth="1"/>
  </cols>
  <sheetData>
    <row r="2" spans="2:17" ht="18" x14ac:dyDescent="0.35">
      <c r="B2" s="1" t="s">
        <v>7</v>
      </c>
      <c r="C2" s="1" t="s">
        <v>8</v>
      </c>
      <c r="D2" s="20" t="s">
        <v>9</v>
      </c>
      <c r="O2" s="80" t="s">
        <v>10</v>
      </c>
      <c r="P2" s="81"/>
      <c r="Q2" s="82"/>
    </row>
    <row r="3" spans="2:17" ht="17.25" x14ac:dyDescent="0.25">
      <c r="B3" s="1">
        <v>1</v>
      </c>
      <c r="C3" s="2">
        <f>32*B3^(-0.76)</f>
        <v>32</v>
      </c>
      <c r="D3" s="1">
        <f>1.2*C3</f>
        <v>38.4</v>
      </c>
      <c r="O3" s="8" t="s">
        <v>11</v>
      </c>
      <c r="P3" s="9">
        <v>1000</v>
      </c>
      <c r="Q3" s="10" t="s">
        <v>12</v>
      </c>
    </row>
    <row r="4" spans="2:17" x14ac:dyDescent="0.25">
      <c r="B4" s="1">
        <v>10</v>
      </c>
      <c r="C4" s="2">
        <f t="shared" ref="C4:C8" si="0">32*B4^(-0.76)</f>
        <v>5.5609626519979996</v>
      </c>
      <c r="D4" s="1">
        <f t="shared" ref="D4:D8" si="1">1.2*C4</f>
        <v>6.6731551823975996</v>
      </c>
      <c r="O4" s="11" t="s">
        <v>13</v>
      </c>
      <c r="P4" s="12">
        <v>4500</v>
      </c>
      <c r="Q4" s="13" t="s">
        <v>14</v>
      </c>
    </row>
    <row r="5" spans="2:17" ht="18" x14ac:dyDescent="0.25">
      <c r="B5" s="1">
        <v>100</v>
      </c>
      <c r="C5" s="2">
        <f t="shared" si="0"/>
        <v>0.96638455052864469</v>
      </c>
      <c r="D5" s="1">
        <f t="shared" si="1"/>
        <v>1.1596614606343736</v>
      </c>
      <c r="O5" s="11" t="s">
        <v>15</v>
      </c>
      <c r="P5" s="12">
        <v>1500</v>
      </c>
      <c r="Q5" s="13" t="s">
        <v>16</v>
      </c>
    </row>
    <row r="6" spans="2:17" ht="18" x14ac:dyDescent="0.25">
      <c r="B6" s="1">
        <v>1000</v>
      </c>
      <c r="C6" s="2">
        <f t="shared" si="0"/>
        <v>0.1679383872799273</v>
      </c>
      <c r="D6" s="1">
        <f t="shared" si="1"/>
        <v>0.20152606473591275</v>
      </c>
      <c r="O6" s="11" t="s">
        <v>17</v>
      </c>
      <c r="P6" s="12">
        <v>450</v>
      </c>
      <c r="Q6" s="13" t="s">
        <v>18</v>
      </c>
    </row>
    <row r="7" spans="2:17" ht="18" x14ac:dyDescent="0.25">
      <c r="B7" s="1">
        <v>10000</v>
      </c>
      <c r="C7" s="2">
        <f t="shared" si="0"/>
        <v>2.9184346859389077E-2</v>
      </c>
      <c r="D7" s="1">
        <f t="shared" si="1"/>
        <v>3.5021216231266888E-2</v>
      </c>
      <c r="O7" s="11" t="s">
        <v>19</v>
      </c>
      <c r="P7" s="12">
        <v>180</v>
      </c>
      <c r="Q7" s="13" t="s">
        <v>20</v>
      </c>
    </row>
    <row r="8" spans="2:17" ht="18" x14ac:dyDescent="0.25">
      <c r="B8" s="1">
        <v>100000</v>
      </c>
      <c r="C8" s="2">
        <f t="shared" si="0"/>
        <v>5.0716582158755585E-3</v>
      </c>
      <c r="D8" s="1">
        <f t="shared" si="1"/>
        <v>6.08598985905067E-3</v>
      </c>
      <c r="O8" s="19" t="s">
        <v>21</v>
      </c>
      <c r="P8" s="14">
        <f>P3*P4/P5</f>
        <v>3000</v>
      </c>
      <c r="Q8" s="13" t="s">
        <v>22</v>
      </c>
    </row>
    <row r="9" spans="2:17" ht="18" x14ac:dyDescent="0.25">
      <c r="O9" s="19" t="s">
        <v>23</v>
      </c>
      <c r="P9" s="14">
        <f>P6^3/P7^4</f>
        <v>8.6805555555555552E-2</v>
      </c>
      <c r="Q9" s="13" t="s">
        <v>24</v>
      </c>
    </row>
    <row r="10" spans="2:17" x14ac:dyDescent="0.25">
      <c r="O10" s="21" t="s">
        <v>25</v>
      </c>
      <c r="P10" s="22">
        <f>P9/(32*P8^(-0.76))</f>
        <v>1.1912686043258995</v>
      </c>
      <c r="Q10" s="17" t="s">
        <v>26</v>
      </c>
    </row>
    <row r="12" spans="2:17" x14ac:dyDescent="0.25">
      <c r="O12" s="83" t="s">
        <v>27</v>
      </c>
      <c r="P12" s="83"/>
    </row>
    <row r="13" spans="2:17" x14ac:dyDescent="0.25">
      <c r="O13" s="84" t="s">
        <v>28</v>
      </c>
      <c r="P13" s="84"/>
    </row>
    <row r="14" spans="2:17" x14ac:dyDescent="0.25">
      <c r="O14" s="85" t="s">
        <v>29</v>
      </c>
      <c r="P14" s="85"/>
    </row>
    <row r="15" spans="2:17" x14ac:dyDescent="0.25">
      <c r="O15" s="86" t="s">
        <v>30</v>
      </c>
      <c r="P15" s="86"/>
    </row>
    <row r="16" spans="2:17" x14ac:dyDescent="0.25">
      <c r="O16" s="79" t="s">
        <v>31</v>
      </c>
      <c r="P16" s="79"/>
    </row>
  </sheetData>
  <mergeCells count="6">
    <mergeCell ref="O16:P16"/>
    <mergeCell ref="O2:Q2"/>
    <mergeCell ref="O12:P12"/>
    <mergeCell ref="O13:P13"/>
    <mergeCell ref="O14:P14"/>
    <mergeCell ref="O15:P15"/>
  </mergeCells>
  <conditionalFormatting sqref="P10">
    <cfRule type="iconSet" priority="1">
      <iconSet iconSet="3Symbols" reverse="1">
        <cfvo type="percent" val="0"/>
        <cfvo type="num" val="1"/>
        <cfvo type="num" val="1.2"/>
      </iconSet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AA053-330D-45B5-BB78-CB29F9956B1E}">
  <sheetPr codeName="Foglio1"/>
  <dimension ref="O2:AB165"/>
  <sheetViews>
    <sheetView zoomScaleNormal="100" workbookViewId="0"/>
  </sheetViews>
  <sheetFormatPr defaultRowHeight="15" x14ac:dyDescent="0.25"/>
  <cols>
    <col min="1" max="1" width="2.7109375" customWidth="1"/>
    <col min="14" max="14" width="2.7109375" customWidth="1"/>
    <col min="15" max="15" width="19.140625" bestFit="1" customWidth="1"/>
    <col min="16" max="16" width="10" bestFit="1" customWidth="1"/>
    <col min="17" max="17" width="34.7109375" bestFit="1" customWidth="1"/>
    <col min="18" max="18" width="2.7109375" customWidth="1"/>
    <col min="19" max="20" width="9.140625" hidden="1" customWidth="1"/>
    <col min="21" max="21" width="12.42578125" hidden="1" customWidth="1"/>
    <col min="22" max="24" width="9.140625" hidden="1" customWidth="1"/>
    <col min="25" max="25" width="2.7109375" hidden="1" customWidth="1"/>
    <col min="26" max="26" width="9.140625" hidden="1" customWidth="1"/>
    <col min="27" max="27" width="6.5703125" hidden="1" customWidth="1"/>
  </cols>
  <sheetData>
    <row r="2" spans="15:28" ht="18" x14ac:dyDescent="0.35">
      <c r="O2" s="80" t="s">
        <v>10</v>
      </c>
      <c r="P2" s="81"/>
      <c r="Q2" s="82"/>
      <c r="S2" s="1" t="s">
        <v>32</v>
      </c>
      <c r="T2" s="1">
        <v>16</v>
      </c>
      <c r="U2" s="1">
        <v>16</v>
      </c>
      <c r="V2" s="1">
        <v>18</v>
      </c>
      <c r="W2" s="1">
        <v>35</v>
      </c>
      <c r="X2" s="1"/>
    </row>
    <row r="3" spans="15:28" ht="18" x14ac:dyDescent="0.35">
      <c r="O3" s="8" t="s">
        <v>33</v>
      </c>
      <c r="P3" s="9">
        <v>4000</v>
      </c>
      <c r="Q3" s="10" t="s">
        <v>34</v>
      </c>
      <c r="S3" s="1" t="s">
        <v>35</v>
      </c>
      <c r="T3" s="1">
        <v>0.27</v>
      </c>
      <c r="U3" s="1">
        <v>0.27</v>
      </c>
      <c r="V3" s="1">
        <v>0.3</v>
      </c>
      <c r="W3" s="1">
        <v>0.55000000000000004</v>
      </c>
      <c r="X3" s="1">
        <v>1</v>
      </c>
    </row>
    <row r="4" spans="15:28" x14ac:dyDescent="0.25">
      <c r="O4" s="11" t="s">
        <v>36</v>
      </c>
      <c r="P4" s="38">
        <v>50</v>
      </c>
      <c r="Q4" s="13" t="s">
        <v>37</v>
      </c>
      <c r="S4" s="1" t="s">
        <v>33</v>
      </c>
      <c r="T4" s="1" t="s">
        <v>38</v>
      </c>
      <c r="U4" s="1" t="s">
        <v>38</v>
      </c>
      <c r="V4" s="1" t="s">
        <v>38</v>
      </c>
      <c r="W4" s="1" t="s">
        <v>38</v>
      </c>
      <c r="X4" s="1" t="s">
        <v>38</v>
      </c>
      <c r="Z4" s="1" t="s">
        <v>33</v>
      </c>
      <c r="AA4" s="1" t="s">
        <v>38</v>
      </c>
      <c r="AB4" s="39"/>
    </row>
    <row r="5" spans="15:28" x14ac:dyDescent="0.25">
      <c r="O5" s="11" t="s">
        <v>39</v>
      </c>
      <c r="P5" s="38">
        <v>2200</v>
      </c>
      <c r="Q5" s="13" t="s">
        <v>40</v>
      </c>
      <c r="S5" s="1">
        <v>0</v>
      </c>
      <c r="T5" s="2" t="e">
        <f>NA()</f>
        <v>#N/A</v>
      </c>
      <c r="U5" s="2">
        <f t="shared" ref="U5:U36" si="0">IF(S5&lt;=60*$U$2/$U$3,costK/60/$U$2,costK/$U$3/S5)</f>
        <v>755.20833333333337</v>
      </c>
      <c r="V5" s="2">
        <f t="shared" ref="V5:V36" si="1">IF(S5&lt;=60*$V$2/$V$3,costK/60/$V$2,costK/$V$3/S5)</f>
        <v>671.2962962962963</v>
      </c>
      <c r="W5" s="2">
        <f t="shared" ref="W5:W36" si="2">IF(S5&lt;=60*$W$2/$W$3,costK/60/$W$2,costK/$W$3/S5)</f>
        <v>345.23809523809524</v>
      </c>
      <c r="X5" s="2" t="e">
        <f>NA()</f>
        <v>#N/A</v>
      </c>
      <c r="Z5" s="1">
        <v>0</v>
      </c>
      <c r="AA5" s="1">
        <v>510</v>
      </c>
    </row>
    <row r="6" spans="15:28" x14ac:dyDescent="0.25">
      <c r="O6" s="11" t="s">
        <v>41</v>
      </c>
      <c r="P6" s="38">
        <v>85</v>
      </c>
      <c r="Q6" s="13" t="s">
        <v>42</v>
      </c>
      <c r="S6" s="1">
        <v>100</v>
      </c>
      <c r="T6" s="1">
        <f t="shared" ref="T6:T37" si="3">IF(S6&lt;=60*$T$2/$T$3,costK/$T$3/S6,NA())</f>
        <v>26851.85185185185</v>
      </c>
      <c r="U6" s="2">
        <f t="shared" si="0"/>
        <v>755.20833333333337</v>
      </c>
      <c r="V6" s="2">
        <f t="shared" si="1"/>
        <v>671.2962962962963</v>
      </c>
      <c r="W6" s="2">
        <f t="shared" si="2"/>
        <v>345.23809523809524</v>
      </c>
      <c r="X6" s="2">
        <f t="shared" ref="X6:X37" si="4">costK/S6</f>
        <v>7250</v>
      </c>
      <c r="Z6" s="1">
        <v>3400</v>
      </c>
      <c r="AA6" s="1">
        <v>510</v>
      </c>
    </row>
    <row r="7" spans="15:28" x14ac:dyDescent="0.25">
      <c r="O7" s="11" t="s">
        <v>43</v>
      </c>
      <c r="P7" s="14">
        <f>9.806*P4</f>
        <v>490.29999999999995</v>
      </c>
      <c r="Q7" s="13" t="s">
        <v>44</v>
      </c>
      <c r="S7" s="1">
        <v>200</v>
      </c>
      <c r="T7" s="1">
        <f t="shared" si="3"/>
        <v>13425.925925925925</v>
      </c>
      <c r="U7" s="2">
        <f t="shared" si="0"/>
        <v>755.20833333333337</v>
      </c>
      <c r="V7" s="2">
        <f t="shared" si="1"/>
        <v>671.2962962962963</v>
      </c>
      <c r="W7" s="2">
        <f t="shared" si="2"/>
        <v>345.23809523809524</v>
      </c>
      <c r="X7" s="2">
        <f t="shared" si="4"/>
        <v>3625</v>
      </c>
      <c r="Z7" s="1">
        <v>4500</v>
      </c>
      <c r="AA7" s="1">
        <v>420</v>
      </c>
    </row>
    <row r="8" spans="15:28" x14ac:dyDescent="0.25">
      <c r="O8" s="15" t="s">
        <v>45</v>
      </c>
      <c r="P8" s="16">
        <f>SQRT(P7*P5^3)/P6^2</f>
        <v>316.24751122534036</v>
      </c>
      <c r="Q8" s="17" t="s">
        <v>46</v>
      </c>
      <c r="S8" s="1">
        <v>300</v>
      </c>
      <c r="T8" s="1">
        <f t="shared" si="3"/>
        <v>8950.617283950618</v>
      </c>
      <c r="U8" s="2">
        <f t="shared" si="0"/>
        <v>755.20833333333337</v>
      </c>
      <c r="V8" s="2">
        <f t="shared" si="1"/>
        <v>671.2962962962963</v>
      </c>
      <c r="W8" s="2">
        <f t="shared" si="2"/>
        <v>345.23809523809524</v>
      </c>
      <c r="X8" s="2">
        <f t="shared" si="4"/>
        <v>2416.6666666666665</v>
      </c>
      <c r="Z8" s="1">
        <v>4500</v>
      </c>
      <c r="AA8" s="1">
        <v>0</v>
      </c>
    </row>
    <row r="9" spans="15:28" x14ac:dyDescent="0.25">
      <c r="S9" s="1">
        <v>400</v>
      </c>
      <c r="T9" s="1">
        <f t="shared" si="3"/>
        <v>6712.9629629629626</v>
      </c>
      <c r="U9" s="2">
        <f t="shared" si="0"/>
        <v>755.20833333333337</v>
      </c>
      <c r="V9" s="2">
        <f t="shared" si="1"/>
        <v>671.2962962962963</v>
      </c>
      <c r="W9" s="2">
        <f t="shared" si="2"/>
        <v>345.23809523809524</v>
      </c>
      <c r="X9" s="2">
        <f t="shared" si="4"/>
        <v>1812.5</v>
      </c>
    </row>
    <row r="10" spans="15:28" x14ac:dyDescent="0.25">
      <c r="O10" s="80" t="s">
        <v>47</v>
      </c>
      <c r="P10" s="82"/>
      <c r="S10" s="1">
        <v>500</v>
      </c>
      <c r="T10" s="1">
        <f t="shared" si="3"/>
        <v>5370.3703703703704</v>
      </c>
      <c r="U10" s="2">
        <f t="shared" si="0"/>
        <v>755.20833333333337</v>
      </c>
      <c r="V10" s="2">
        <f t="shared" si="1"/>
        <v>671.2962962962963</v>
      </c>
      <c r="W10" s="2">
        <f t="shared" si="2"/>
        <v>345.23809523809524</v>
      </c>
      <c r="X10" s="2">
        <f t="shared" si="4"/>
        <v>1450</v>
      </c>
      <c r="Z10" s="1" t="s">
        <v>53</v>
      </c>
      <c r="AA10" s="1">
        <f>(AA7-AA6)/(Z7-Z6)</f>
        <v>-8.1818181818181818E-2</v>
      </c>
    </row>
    <row r="11" spans="15:28" x14ac:dyDescent="0.25">
      <c r="O11" s="8" t="s">
        <v>48</v>
      </c>
      <c r="P11" s="18">
        <f>IF((P8-costK/18/60&lt;0)*(P3*P8-costK/0.3&lt;0),0,0.5)+IF((P8-costK/16/60&lt;0)*(P3*P8-costK/0.27&lt;0),0,0.5)</f>
        <v>0</v>
      </c>
      <c r="Q11" s="1"/>
      <c r="S11" s="1">
        <v>600</v>
      </c>
      <c r="T11" s="1">
        <f t="shared" si="3"/>
        <v>4475.308641975309</v>
      </c>
      <c r="U11" s="2">
        <f t="shared" si="0"/>
        <v>755.20833333333337</v>
      </c>
      <c r="V11" s="2">
        <f t="shared" si="1"/>
        <v>671.2962962962963</v>
      </c>
      <c r="W11" s="2">
        <f t="shared" si="2"/>
        <v>345.23809523809524</v>
      </c>
      <c r="X11" s="2">
        <f t="shared" si="4"/>
        <v>1208.3333333333333</v>
      </c>
      <c r="Z11" s="1" t="s">
        <v>54</v>
      </c>
      <c r="AA11">
        <f>AA6-AA10*Z6</f>
        <v>788.18181818181824</v>
      </c>
    </row>
    <row r="12" spans="15:28" x14ac:dyDescent="0.25">
      <c r="O12" s="11" t="s">
        <v>49</v>
      </c>
      <c r="P12" s="18">
        <f>IF((P8-costK/35/60&lt;0)*(P3*P8-costK/0.55&lt;0),0,1)</f>
        <v>0</v>
      </c>
      <c r="Q12" s="1"/>
      <c r="S12" s="1">
        <v>700</v>
      </c>
      <c r="T12" s="1">
        <f t="shared" si="3"/>
        <v>3835.9788359788358</v>
      </c>
      <c r="U12" s="2">
        <f t="shared" si="0"/>
        <v>755.20833333333337</v>
      </c>
      <c r="V12" s="2">
        <f t="shared" si="1"/>
        <v>671.2962962962963</v>
      </c>
      <c r="W12" s="2">
        <f t="shared" si="2"/>
        <v>345.23809523809524</v>
      </c>
      <c r="X12" s="2">
        <f t="shared" si="4"/>
        <v>1035.7142857142858</v>
      </c>
    </row>
    <row r="13" spans="15:28" x14ac:dyDescent="0.25">
      <c r="O13" s="15" t="s">
        <v>50</v>
      </c>
      <c r="P13" s="18">
        <f>IF((P8-AA6&lt;0)*(P8-AA10*P3-AA11&lt;0)*(P3-Z7&lt;0),0,1)</f>
        <v>0</v>
      </c>
      <c r="S13" s="1">
        <v>800</v>
      </c>
      <c r="T13" s="1">
        <f t="shared" si="3"/>
        <v>3356.4814814814813</v>
      </c>
      <c r="U13" s="2">
        <f t="shared" si="0"/>
        <v>755.20833333333337</v>
      </c>
      <c r="V13" s="2">
        <f t="shared" si="1"/>
        <v>671.2962962962963</v>
      </c>
      <c r="W13" s="2">
        <f t="shared" si="2"/>
        <v>345.23809523809524</v>
      </c>
      <c r="X13" s="2">
        <f t="shared" si="4"/>
        <v>906.25</v>
      </c>
    </row>
    <row r="14" spans="15:28" x14ac:dyDescent="0.25">
      <c r="S14" s="1">
        <v>900</v>
      </c>
      <c r="T14" s="1">
        <f t="shared" si="3"/>
        <v>2983.5390946502057</v>
      </c>
      <c r="U14" s="2">
        <f t="shared" si="0"/>
        <v>755.20833333333337</v>
      </c>
      <c r="V14" s="2">
        <f t="shared" si="1"/>
        <v>671.2962962962963</v>
      </c>
      <c r="W14" s="2">
        <f t="shared" si="2"/>
        <v>345.23809523809524</v>
      </c>
      <c r="X14" s="2">
        <f t="shared" si="4"/>
        <v>805.55555555555554</v>
      </c>
      <c r="Z14" s="2"/>
      <c r="AA14" s="2"/>
    </row>
    <row r="15" spans="15:28" x14ac:dyDescent="0.25">
      <c r="O15" s="3" t="s">
        <v>27</v>
      </c>
      <c r="S15" s="1">
        <v>1000</v>
      </c>
      <c r="T15" s="1">
        <f t="shared" si="3"/>
        <v>2685.1851851851852</v>
      </c>
      <c r="U15" s="2">
        <f t="shared" si="0"/>
        <v>755.20833333333337</v>
      </c>
      <c r="V15" s="2">
        <f t="shared" si="1"/>
        <v>671.2962962962963</v>
      </c>
      <c r="W15" s="2">
        <f t="shared" si="2"/>
        <v>345.23809523809524</v>
      </c>
      <c r="X15" s="2">
        <f t="shared" si="4"/>
        <v>725</v>
      </c>
      <c r="Z15" s="1"/>
      <c r="AA15" s="1"/>
    </row>
    <row r="16" spans="15:28" x14ac:dyDescent="0.25">
      <c r="O16" s="4" t="s">
        <v>28</v>
      </c>
      <c r="S16" s="1">
        <v>1100</v>
      </c>
      <c r="T16" s="1">
        <f t="shared" si="3"/>
        <v>2441.0774410774411</v>
      </c>
      <c r="U16" s="2">
        <f t="shared" si="0"/>
        <v>755.20833333333337</v>
      </c>
      <c r="V16" s="2">
        <f t="shared" si="1"/>
        <v>671.2962962962963</v>
      </c>
      <c r="W16" s="2">
        <f t="shared" si="2"/>
        <v>345.23809523809524</v>
      </c>
      <c r="X16" s="2">
        <f t="shared" si="4"/>
        <v>659.09090909090912</v>
      </c>
      <c r="Z16" s="2"/>
      <c r="AA16" s="2"/>
    </row>
    <row r="17" spans="15:24" x14ac:dyDescent="0.25">
      <c r="O17" s="5" t="s">
        <v>29</v>
      </c>
      <c r="S17" s="1">
        <v>1200</v>
      </c>
      <c r="T17" s="1">
        <f t="shared" si="3"/>
        <v>2237.6543209876545</v>
      </c>
      <c r="U17" s="2">
        <f t="shared" si="0"/>
        <v>755.20833333333337</v>
      </c>
      <c r="V17" s="2">
        <f t="shared" si="1"/>
        <v>671.2962962962963</v>
      </c>
      <c r="W17" s="2">
        <f t="shared" si="2"/>
        <v>345.23809523809524</v>
      </c>
      <c r="X17" s="2">
        <f t="shared" si="4"/>
        <v>604.16666666666663</v>
      </c>
    </row>
    <row r="18" spans="15:24" x14ac:dyDescent="0.25">
      <c r="O18" s="6" t="s">
        <v>30</v>
      </c>
      <c r="S18" s="1">
        <v>1300</v>
      </c>
      <c r="T18" s="1">
        <f t="shared" si="3"/>
        <v>2065.5270655270656</v>
      </c>
      <c r="U18" s="2">
        <f t="shared" si="0"/>
        <v>755.20833333333337</v>
      </c>
      <c r="V18" s="2">
        <f t="shared" si="1"/>
        <v>671.2962962962963</v>
      </c>
      <c r="W18" s="2">
        <f t="shared" si="2"/>
        <v>345.23809523809524</v>
      </c>
      <c r="X18" s="2">
        <f t="shared" si="4"/>
        <v>557.69230769230774</v>
      </c>
    </row>
    <row r="19" spans="15:24" x14ac:dyDescent="0.25">
      <c r="O19" s="7" t="s">
        <v>31</v>
      </c>
      <c r="S19" s="1">
        <v>1400</v>
      </c>
      <c r="T19" s="1">
        <f t="shared" si="3"/>
        <v>1917.9894179894179</v>
      </c>
      <c r="U19" s="2">
        <f t="shared" si="0"/>
        <v>755.20833333333337</v>
      </c>
      <c r="V19" s="2">
        <f t="shared" si="1"/>
        <v>671.2962962962963</v>
      </c>
      <c r="W19" s="2">
        <f t="shared" si="2"/>
        <v>345.23809523809524</v>
      </c>
      <c r="X19" s="2">
        <f t="shared" si="4"/>
        <v>517.85714285714289</v>
      </c>
    </row>
    <row r="20" spans="15:24" x14ac:dyDescent="0.25">
      <c r="S20" s="1">
        <v>1500</v>
      </c>
      <c r="T20" s="1">
        <f t="shared" si="3"/>
        <v>1790.1234567901236</v>
      </c>
      <c r="U20" s="2">
        <f t="shared" si="0"/>
        <v>755.20833333333337</v>
      </c>
      <c r="V20" s="2">
        <f t="shared" si="1"/>
        <v>671.2962962962963</v>
      </c>
      <c r="W20" s="2">
        <f t="shared" si="2"/>
        <v>345.23809523809524</v>
      </c>
      <c r="X20" s="2">
        <f t="shared" si="4"/>
        <v>483.33333333333331</v>
      </c>
    </row>
    <row r="21" spans="15:24" x14ac:dyDescent="0.25">
      <c r="S21" s="1">
        <v>1600</v>
      </c>
      <c r="T21" s="1">
        <f t="shared" si="3"/>
        <v>1678.2407407407406</v>
      </c>
      <c r="U21" s="2">
        <f t="shared" si="0"/>
        <v>755.20833333333337</v>
      </c>
      <c r="V21" s="2">
        <f t="shared" si="1"/>
        <v>671.2962962962963</v>
      </c>
      <c r="W21" s="2">
        <f t="shared" si="2"/>
        <v>345.23809523809524</v>
      </c>
      <c r="X21" s="2">
        <f t="shared" si="4"/>
        <v>453.125</v>
      </c>
    </row>
    <row r="22" spans="15:24" x14ac:dyDescent="0.25">
      <c r="S22" s="1">
        <v>1700</v>
      </c>
      <c r="T22" s="1">
        <f t="shared" si="3"/>
        <v>1579.520697167756</v>
      </c>
      <c r="U22" s="2">
        <f t="shared" si="0"/>
        <v>755.20833333333337</v>
      </c>
      <c r="V22" s="2">
        <f t="shared" si="1"/>
        <v>671.2962962962963</v>
      </c>
      <c r="W22" s="2">
        <f t="shared" si="2"/>
        <v>345.23809523809524</v>
      </c>
      <c r="X22" s="2">
        <f t="shared" si="4"/>
        <v>426.47058823529414</v>
      </c>
    </row>
    <row r="23" spans="15:24" x14ac:dyDescent="0.25">
      <c r="S23" s="1">
        <v>1800</v>
      </c>
      <c r="T23" s="1">
        <f t="shared" si="3"/>
        <v>1491.7695473251028</v>
      </c>
      <c r="U23" s="2">
        <f t="shared" si="0"/>
        <v>755.20833333333337</v>
      </c>
      <c r="V23" s="2">
        <f t="shared" si="1"/>
        <v>671.2962962962963</v>
      </c>
      <c r="W23" s="2">
        <f t="shared" si="2"/>
        <v>345.23809523809524</v>
      </c>
      <c r="X23" s="2">
        <f t="shared" si="4"/>
        <v>402.77777777777777</v>
      </c>
    </row>
    <row r="24" spans="15:24" x14ac:dyDescent="0.25">
      <c r="S24" s="1">
        <v>1900</v>
      </c>
      <c r="T24" s="1">
        <f t="shared" si="3"/>
        <v>1413.2553606237816</v>
      </c>
      <c r="U24" s="2">
        <f t="shared" si="0"/>
        <v>755.20833333333337</v>
      </c>
      <c r="V24" s="2">
        <f t="shared" si="1"/>
        <v>671.2962962962963</v>
      </c>
      <c r="W24" s="2">
        <f t="shared" si="2"/>
        <v>345.23809523809524</v>
      </c>
      <c r="X24" s="2">
        <f t="shared" si="4"/>
        <v>381.57894736842104</v>
      </c>
    </row>
    <row r="25" spans="15:24" x14ac:dyDescent="0.25">
      <c r="S25" s="1">
        <v>2000</v>
      </c>
      <c r="T25" s="1">
        <f t="shared" si="3"/>
        <v>1342.5925925925926</v>
      </c>
      <c r="U25" s="2">
        <f t="shared" si="0"/>
        <v>755.20833333333337</v>
      </c>
      <c r="V25" s="2">
        <f t="shared" si="1"/>
        <v>671.2962962962963</v>
      </c>
      <c r="W25" s="2">
        <f t="shared" si="2"/>
        <v>345.23809523809524</v>
      </c>
      <c r="X25" s="2">
        <f t="shared" si="4"/>
        <v>362.5</v>
      </c>
    </row>
    <row r="26" spans="15:24" x14ac:dyDescent="0.25">
      <c r="S26" s="1">
        <v>2100</v>
      </c>
      <c r="T26" s="1">
        <f t="shared" si="3"/>
        <v>1278.6596119929454</v>
      </c>
      <c r="U26" s="2">
        <f t="shared" si="0"/>
        <v>755.20833333333337</v>
      </c>
      <c r="V26" s="2">
        <f t="shared" si="1"/>
        <v>671.2962962962963</v>
      </c>
      <c r="W26" s="2">
        <f t="shared" si="2"/>
        <v>345.23809523809524</v>
      </c>
      <c r="X26" s="2">
        <f t="shared" si="4"/>
        <v>345.23809523809524</v>
      </c>
    </row>
    <row r="27" spans="15:24" x14ac:dyDescent="0.25">
      <c r="S27" s="1">
        <v>2200</v>
      </c>
      <c r="T27" s="1">
        <f t="shared" si="3"/>
        <v>1220.5387205387206</v>
      </c>
      <c r="U27" s="2">
        <f t="shared" si="0"/>
        <v>755.20833333333337</v>
      </c>
      <c r="V27" s="2">
        <f t="shared" si="1"/>
        <v>671.2962962962963</v>
      </c>
      <c r="W27" s="2">
        <f t="shared" si="2"/>
        <v>345.23809523809524</v>
      </c>
      <c r="X27" s="2">
        <f t="shared" si="4"/>
        <v>329.54545454545456</v>
      </c>
    </row>
    <row r="28" spans="15:24" x14ac:dyDescent="0.25">
      <c r="S28" s="1">
        <v>2300</v>
      </c>
      <c r="T28" s="1">
        <f t="shared" si="3"/>
        <v>1167.4718196457327</v>
      </c>
      <c r="U28" s="2">
        <f t="shared" si="0"/>
        <v>755.20833333333337</v>
      </c>
      <c r="V28" s="2">
        <f t="shared" si="1"/>
        <v>671.2962962962963</v>
      </c>
      <c r="W28" s="2">
        <f t="shared" si="2"/>
        <v>345.23809523809524</v>
      </c>
      <c r="X28" s="2">
        <f t="shared" si="4"/>
        <v>315.21739130434781</v>
      </c>
    </row>
    <row r="29" spans="15:24" x14ac:dyDescent="0.25">
      <c r="S29" s="1">
        <v>2400</v>
      </c>
      <c r="T29" s="1">
        <f t="shared" si="3"/>
        <v>1118.8271604938273</v>
      </c>
      <c r="U29" s="2">
        <f t="shared" si="0"/>
        <v>755.20833333333337</v>
      </c>
      <c r="V29" s="2">
        <f t="shared" si="1"/>
        <v>671.2962962962963</v>
      </c>
      <c r="W29" s="2">
        <f t="shared" si="2"/>
        <v>345.23809523809524</v>
      </c>
      <c r="X29" s="2">
        <f t="shared" si="4"/>
        <v>302.08333333333331</v>
      </c>
    </row>
    <row r="30" spans="15:24" x14ac:dyDescent="0.25">
      <c r="S30" s="1">
        <v>2500</v>
      </c>
      <c r="T30" s="1">
        <f t="shared" si="3"/>
        <v>1074.0740740740741</v>
      </c>
      <c r="U30" s="2">
        <f t="shared" si="0"/>
        <v>755.20833333333337</v>
      </c>
      <c r="V30" s="2">
        <f t="shared" si="1"/>
        <v>671.2962962962963</v>
      </c>
      <c r="W30" s="2">
        <f t="shared" si="2"/>
        <v>345.23809523809524</v>
      </c>
      <c r="X30" s="2">
        <f t="shared" si="4"/>
        <v>290</v>
      </c>
    </row>
    <row r="31" spans="15:24" x14ac:dyDescent="0.25">
      <c r="S31" s="1">
        <v>2600</v>
      </c>
      <c r="T31" s="1">
        <f t="shared" si="3"/>
        <v>1032.7635327635328</v>
      </c>
      <c r="U31" s="2">
        <f t="shared" si="0"/>
        <v>755.20833333333337</v>
      </c>
      <c r="V31" s="2">
        <f t="shared" si="1"/>
        <v>671.2962962962963</v>
      </c>
      <c r="W31" s="2">
        <f t="shared" si="2"/>
        <v>345.23809523809524</v>
      </c>
      <c r="X31" s="2">
        <f t="shared" si="4"/>
        <v>278.84615384615387</v>
      </c>
    </row>
    <row r="32" spans="15:24" x14ac:dyDescent="0.25">
      <c r="S32" s="1">
        <v>2700</v>
      </c>
      <c r="T32" s="1">
        <f t="shared" si="3"/>
        <v>994.5130315500686</v>
      </c>
      <c r="U32" s="2">
        <f t="shared" si="0"/>
        <v>755.20833333333337</v>
      </c>
      <c r="V32" s="2">
        <f t="shared" si="1"/>
        <v>671.2962962962963</v>
      </c>
      <c r="W32" s="2">
        <f t="shared" si="2"/>
        <v>345.23809523809524</v>
      </c>
      <c r="X32" s="2">
        <f t="shared" si="4"/>
        <v>268.51851851851853</v>
      </c>
    </row>
    <row r="33" spans="19:24" x14ac:dyDescent="0.25">
      <c r="S33" s="1">
        <v>2800</v>
      </c>
      <c r="T33" s="1">
        <f t="shared" si="3"/>
        <v>958.99470899470896</v>
      </c>
      <c r="U33" s="2">
        <f t="shared" si="0"/>
        <v>755.20833333333337</v>
      </c>
      <c r="V33" s="2">
        <f t="shared" si="1"/>
        <v>671.2962962962963</v>
      </c>
      <c r="W33" s="2">
        <f t="shared" si="2"/>
        <v>345.23809523809524</v>
      </c>
      <c r="X33" s="2">
        <f t="shared" si="4"/>
        <v>258.92857142857144</v>
      </c>
    </row>
    <row r="34" spans="19:24" x14ac:dyDescent="0.25">
      <c r="S34" s="1">
        <v>2900</v>
      </c>
      <c r="T34" s="1">
        <f t="shared" si="3"/>
        <v>925.92592592592587</v>
      </c>
      <c r="U34" s="2">
        <f t="shared" si="0"/>
        <v>755.20833333333337</v>
      </c>
      <c r="V34" s="2">
        <f t="shared" si="1"/>
        <v>671.2962962962963</v>
      </c>
      <c r="W34" s="2">
        <f t="shared" si="2"/>
        <v>345.23809523809524</v>
      </c>
      <c r="X34" s="2">
        <f t="shared" si="4"/>
        <v>250</v>
      </c>
    </row>
    <row r="35" spans="19:24" x14ac:dyDescent="0.25">
      <c r="S35" s="1">
        <v>3000</v>
      </c>
      <c r="T35" s="1">
        <f t="shared" si="3"/>
        <v>895.06172839506178</v>
      </c>
      <c r="U35" s="2">
        <f t="shared" si="0"/>
        <v>755.20833333333337</v>
      </c>
      <c r="V35" s="2">
        <f t="shared" si="1"/>
        <v>671.2962962962963</v>
      </c>
      <c r="W35" s="2">
        <f t="shared" si="2"/>
        <v>345.23809523809524</v>
      </c>
      <c r="X35" s="2">
        <f t="shared" si="4"/>
        <v>241.66666666666666</v>
      </c>
    </row>
    <row r="36" spans="19:24" x14ac:dyDescent="0.25">
      <c r="S36" s="1">
        <v>3100</v>
      </c>
      <c r="T36" s="1">
        <f t="shared" si="3"/>
        <v>866.18876941457586</v>
      </c>
      <c r="U36" s="2">
        <f t="shared" si="0"/>
        <v>755.20833333333337</v>
      </c>
      <c r="V36" s="2">
        <f t="shared" si="1"/>
        <v>671.2962962962963</v>
      </c>
      <c r="W36" s="2">
        <f t="shared" si="2"/>
        <v>345.23809523809524</v>
      </c>
      <c r="X36" s="2">
        <f t="shared" si="4"/>
        <v>233.87096774193549</v>
      </c>
    </row>
    <row r="37" spans="19:24" x14ac:dyDescent="0.25">
      <c r="S37" s="1">
        <v>3200</v>
      </c>
      <c r="T37" s="1">
        <f t="shared" si="3"/>
        <v>839.12037037037032</v>
      </c>
      <c r="U37" s="2">
        <f t="shared" ref="U37:U68" si="5">IF(S37&lt;=60*$U$2/$U$3,costK/60/$U$2,costK/$U$3/S37)</f>
        <v>755.20833333333337</v>
      </c>
      <c r="V37" s="2">
        <f t="shared" ref="V37:V68" si="6">IF(S37&lt;=60*$V$2/$V$3,costK/60/$V$2,costK/$V$3/S37)</f>
        <v>671.2962962962963</v>
      </c>
      <c r="W37" s="2">
        <f t="shared" ref="W37:W68" si="7">IF(S37&lt;=60*$W$2/$W$3,costK/60/$W$2,costK/$W$3/S37)</f>
        <v>345.23809523809524</v>
      </c>
      <c r="X37" s="2">
        <f t="shared" si="4"/>
        <v>226.5625</v>
      </c>
    </row>
    <row r="38" spans="19:24" x14ac:dyDescent="0.25">
      <c r="S38" s="1">
        <v>3300</v>
      </c>
      <c r="T38" s="1">
        <f t="shared" ref="T38:T69" si="8">IF(S38&lt;=60*$T$2/$T$3,costK/$T$3/S38,NA())</f>
        <v>813.692480359147</v>
      </c>
      <c r="U38" s="2">
        <f t="shared" si="5"/>
        <v>755.20833333333337</v>
      </c>
      <c r="V38" s="2">
        <f t="shared" si="6"/>
        <v>671.2962962962963</v>
      </c>
      <c r="W38" s="2">
        <f t="shared" si="7"/>
        <v>345.23809523809524</v>
      </c>
      <c r="X38" s="2">
        <f t="shared" ref="X38:X69" si="9">costK/S38</f>
        <v>219.69696969696969</v>
      </c>
    </row>
    <row r="39" spans="19:24" x14ac:dyDescent="0.25">
      <c r="S39" s="1">
        <v>3400</v>
      </c>
      <c r="T39" s="1">
        <f t="shared" si="8"/>
        <v>789.760348583878</v>
      </c>
      <c r="U39" s="2">
        <f t="shared" si="5"/>
        <v>755.20833333333337</v>
      </c>
      <c r="V39" s="2">
        <f t="shared" si="6"/>
        <v>671.2962962962963</v>
      </c>
      <c r="W39" s="2">
        <f t="shared" si="7"/>
        <v>345.23809523809524</v>
      </c>
      <c r="X39" s="2">
        <f t="shared" si="9"/>
        <v>213.23529411764707</v>
      </c>
    </row>
    <row r="40" spans="19:24" x14ac:dyDescent="0.25">
      <c r="S40" s="1">
        <v>3500</v>
      </c>
      <c r="T40" s="1">
        <f t="shared" si="8"/>
        <v>767.19576719576719</v>
      </c>
      <c r="U40" s="2">
        <f t="shared" si="5"/>
        <v>755.20833333333337</v>
      </c>
      <c r="V40" s="2">
        <f t="shared" si="6"/>
        <v>671.2962962962963</v>
      </c>
      <c r="W40" s="2">
        <f t="shared" si="7"/>
        <v>345.23809523809524</v>
      </c>
      <c r="X40" s="2">
        <f t="shared" si="9"/>
        <v>207.14285714285714</v>
      </c>
    </row>
    <row r="41" spans="19:24" x14ac:dyDescent="0.25">
      <c r="S41" s="1">
        <v>3550</v>
      </c>
      <c r="T41" s="1">
        <f t="shared" si="8"/>
        <v>756.39019300991129</v>
      </c>
      <c r="U41" s="2">
        <f t="shared" si="5"/>
        <v>755.20833333333337</v>
      </c>
      <c r="V41" s="2">
        <f t="shared" si="6"/>
        <v>671.2962962962963</v>
      </c>
      <c r="W41" s="2">
        <f t="shared" si="7"/>
        <v>345.23809523809524</v>
      </c>
      <c r="X41" s="2">
        <f t="shared" si="9"/>
        <v>204.22535211267606</v>
      </c>
    </row>
    <row r="42" spans="19:24" x14ac:dyDescent="0.25">
      <c r="S42" s="1">
        <v>3600</v>
      </c>
      <c r="T42" s="1" t="e">
        <f t="shared" si="8"/>
        <v>#N/A</v>
      </c>
      <c r="U42" s="2">
        <f t="shared" si="5"/>
        <v>745.88477366255142</v>
      </c>
      <c r="V42" s="2">
        <f t="shared" si="6"/>
        <v>671.2962962962963</v>
      </c>
      <c r="W42" s="2">
        <f t="shared" si="7"/>
        <v>345.23809523809524</v>
      </c>
      <c r="X42" s="2">
        <f t="shared" si="9"/>
        <v>201.38888888888889</v>
      </c>
    </row>
    <row r="43" spans="19:24" x14ac:dyDescent="0.25">
      <c r="S43" s="1">
        <v>3800</v>
      </c>
      <c r="T43" s="1" t="e">
        <f t="shared" si="8"/>
        <v>#N/A</v>
      </c>
      <c r="U43" s="2">
        <f t="shared" si="5"/>
        <v>706.6276803118908</v>
      </c>
      <c r="V43" s="2">
        <f t="shared" si="6"/>
        <v>635.96491228070181</v>
      </c>
      <c r="W43" s="2">
        <f t="shared" si="7"/>
        <v>345.23809523809524</v>
      </c>
      <c r="X43" s="2">
        <f t="shared" si="9"/>
        <v>190.78947368421052</v>
      </c>
    </row>
    <row r="44" spans="19:24" x14ac:dyDescent="0.25">
      <c r="S44" s="1">
        <v>3900</v>
      </c>
      <c r="T44" s="1" t="e">
        <f t="shared" si="8"/>
        <v>#N/A</v>
      </c>
      <c r="U44" s="2">
        <f t="shared" si="5"/>
        <v>688.5090218423552</v>
      </c>
      <c r="V44" s="2">
        <f t="shared" si="6"/>
        <v>619.65811965811974</v>
      </c>
      <c r="W44" s="2">
        <f t="shared" si="7"/>
        <v>337.99533799533799</v>
      </c>
      <c r="X44" s="2">
        <f t="shared" si="9"/>
        <v>185.89743589743588</v>
      </c>
    </row>
    <row r="45" spans="19:24" x14ac:dyDescent="0.25">
      <c r="S45" s="1">
        <v>4000</v>
      </c>
      <c r="T45" s="1" t="e">
        <f t="shared" si="8"/>
        <v>#N/A</v>
      </c>
      <c r="U45" s="2">
        <f t="shared" si="5"/>
        <v>671.2962962962963</v>
      </c>
      <c r="V45" s="2">
        <f t="shared" si="6"/>
        <v>604.16666666666674</v>
      </c>
      <c r="W45" s="2">
        <f t="shared" si="7"/>
        <v>329.5454545454545</v>
      </c>
      <c r="X45" s="2">
        <f t="shared" si="9"/>
        <v>181.25</v>
      </c>
    </row>
    <row r="46" spans="19:24" x14ac:dyDescent="0.25">
      <c r="S46" s="1">
        <v>4100</v>
      </c>
      <c r="T46" s="1" t="e">
        <f t="shared" si="8"/>
        <v>#N/A</v>
      </c>
      <c r="U46" s="2">
        <f t="shared" si="5"/>
        <v>654.92321589882567</v>
      </c>
      <c r="V46" s="2">
        <f t="shared" si="6"/>
        <v>589.43089430894315</v>
      </c>
      <c r="W46" s="2">
        <f t="shared" si="7"/>
        <v>321.50776053215077</v>
      </c>
      <c r="X46" s="2">
        <f t="shared" si="9"/>
        <v>176.82926829268294</v>
      </c>
    </row>
    <row r="47" spans="19:24" x14ac:dyDescent="0.25">
      <c r="S47" s="1">
        <v>4200</v>
      </c>
      <c r="T47" s="1" t="e">
        <f t="shared" si="8"/>
        <v>#N/A</v>
      </c>
      <c r="U47" s="2">
        <f t="shared" si="5"/>
        <v>639.32980599647271</v>
      </c>
      <c r="V47" s="2">
        <f t="shared" si="6"/>
        <v>575.39682539682542</v>
      </c>
      <c r="W47" s="2">
        <f t="shared" si="7"/>
        <v>313.85281385281382</v>
      </c>
      <c r="X47" s="2">
        <f t="shared" si="9"/>
        <v>172.61904761904762</v>
      </c>
    </row>
    <row r="48" spans="19:24" x14ac:dyDescent="0.25">
      <c r="S48" s="1">
        <v>4300</v>
      </c>
      <c r="T48" s="1" t="e">
        <f t="shared" si="8"/>
        <v>#N/A</v>
      </c>
      <c r="U48" s="2">
        <f t="shared" si="5"/>
        <v>624.46167097329885</v>
      </c>
      <c r="V48" s="2">
        <f t="shared" si="6"/>
        <v>562.0155038759691</v>
      </c>
      <c r="W48" s="2">
        <f t="shared" si="7"/>
        <v>306.55391120507397</v>
      </c>
      <c r="X48" s="2">
        <f t="shared" si="9"/>
        <v>168.6046511627907</v>
      </c>
    </row>
    <row r="49" spans="19:24" x14ac:dyDescent="0.25">
      <c r="S49" s="1">
        <v>4400</v>
      </c>
      <c r="T49" s="1" t="e">
        <f t="shared" si="8"/>
        <v>#N/A</v>
      </c>
      <c r="U49" s="2">
        <f t="shared" si="5"/>
        <v>610.26936026936028</v>
      </c>
      <c r="V49" s="2">
        <f t="shared" si="6"/>
        <v>549.24242424242436</v>
      </c>
      <c r="W49" s="2">
        <f t="shared" si="7"/>
        <v>299.58677685950414</v>
      </c>
      <c r="X49" s="2">
        <f t="shared" si="9"/>
        <v>164.77272727272728</v>
      </c>
    </row>
    <row r="50" spans="19:24" x14ac:dyDescent="0.25">
      <c r="S50" s="1">
        <v>4500</v>
      </c>
      <c r="T50" s="1" t="e">
        <f t="shared" si="8"/>
        <v>#N/A</v>
      </c>
      <c r="U50" s="2">
        <f t="shared" si="5"/>
        <v>596.70781893004119</v>
      </c>
      <c r="V50" s="2">
        <f t="shared" si="6"/>
        <v>537.03703703703707</v>
      </c>
      <c r="W50" s="2">
        <f t="shared" si="7"/>
        <v>292.9292929292929</v>
      </c>
      <c r="X50" s="2">
        <f t="shared" si="9"/>
        <v>161.11111111111111</v>
      </c>
    </row>
    <row r="51" spans="19:24" x14ac:dyDescent="0.25">
      <c r="S51" s="1">
        <v>4600</v>
      </c>
      <c r="T51" s="1" t="e">
        <f t="shared" si="8"/>
        <v>#N/A</v>
      </c>
      <c r="U51" s="2">
        <f t="shared" si="5"/>
        <v>583.73590982286635</v>
      </c>
      <c r="V51" s="2">
        <f t="shared" si="6"/>
        <v>525.36231884057975</v>
      </c>
      <c r="W51" s="2">
        <f t="shared" si="7"/>
        <v>286.56126482213438</v>
      </c>
      <c r="X51" s="2">
        <f t="shared" si="9"/>
        <v>157.60869565217391</v>
      </c>
    </row>
    <row r="52" spans="19:24" x14ac:dyDescent="0.25">
      <c r="S52" s="1">
        <v>4700</v>
      </c>
      <c r="T52" s="1" t="e">
        <f t="shared" si="8"/>
        <v>#N/A</v>
      </c>
      <c r="U52" s="2">
        <f t="shared" si="5"/>
        <v>571.31599684791172</v>
      </c>
      <c r="V52" s="2">
        <f t="shared" si="6"/>
        <v>514.18439716312059</v>
      </c>
      <c r="W52" s="2">
        <f t="shared" si="7"/>
        <v>280.46421663442936</v>
      </c>
      <c r="X52" s="2">
        <f t="shared" si="9"/>
        <v>154.25531914893617</v>
      </c>
    </row>
    <row r="53" spans="19:24" x14ac:dyDescent="0.25">
      <c r="S53" s="1">
        <v>4800</v>
      </c>
      <c r="T53" s="1" t="e">
        <f t="shared" si="8"/>
        <v>#N/A</v>
      </c>
      <c r="U53" s="2">
        <f t="shared" si="5"/>
        <v>559.41358024691363</v>
      </c>
      <c r="V53" s="2">
        <f t="shared" si="6"/>
        <v>503.47222222222229</v>
      </c>
      <c r="W53" s="2">
        <f t="shared" si="7"/>
        <v>274.62121212121212</v>
      </c>
      <c r="X53" s="2">
        <f t="shared" si="9"/>
        <v>151.04166666666666</v>
      </c>
    </row>
    <row r="54" spans="19:24" x14ac:dyDescent="0.25">
      <c r="S54" s="1">
        <v>4900</v>
      </c>
      <c r="T54" s="1" t="e">
        <f t="shared" si="8"/>
        <v>#N/A</v>
      </c>
      <c r="U54" s="2">
        <f t="shared" si="5"/>
        <v>547.9969765684051</v>
      </c>
      <c r="V54" s="2">
        <f t="shared" si="6"/>
        <v>493.19727891156469</v>
      </c>
      <c r="W54" s="2">
        <f t="shared" si="7"/>
        <v>269.01669758812614</v>
      </c>
      <c r="X54" s="2">
        <f t="shared" si="9"/>
        <v>147.9591836734694</v>
      </c>
    </row>
    <row r="55" spans="19:24" x14ac:dyDescent="0.25">
      <c r="S55" s="1">
        <v>5000</v>
      </c>
      <c r="T55" s="1" t="e">
        <f t="shared" si="8"/>
        <v>#N/A</v>
      </c>
      <c r="U55" s="2">
        <f t="shared" si="5"/>
        <v>537.03703703703707</v>
      </c>
      <c r="V55" s="2">
        <f t="shared" si="6"/>
        <v>483.33333333333337</v>
      </c>
      <c r="W55" s="2">
        <f t="shared" si="7"/>
        <v>263.63636363636363</v>
      </c>
      <c r="X55" s="2">
        <f t="shared" si="9"/>
        <v>145</v>
      </c>
    </row>
    <row r="56" spans="19:24" x14ac:dyDescent="0.25">
      <c r="S56" s="1">
        <v>5100</v>
      </c>
      <c r="T56" s="1" t="e">
        <f t="shared" si="8"/>
        <v>#N/A</v>
      </c>
      <c r="U56" s="2">
        <f t="shared" si="5"/>
        <v>526.50689905591867</v>
      </c>
      <c r="V56" s="2">
        <f t="shared" si="6"/>
        <v>473.85620915032683</v>
      </c>
      <c r="W56" s="2">
        <f t="shared" si="7"/>
        <v>258.4670231729055</v>
      </c>
      <c r="X56" s="2">
        <f t="shared" si="9"/>
        <v>142.15686274509804</v>
      </c>
    </row>
    <row r="57" spans="19:24" x14ac:dyDescent="0.25">
      <c r="S57" s="1">
        <v>5200</v>
      </c>
      <c r="T57" s="1" t="e">
        <f t="shared" si="8"/>
        <v>#N/A</v>
      </c>
      <c r="U57" s="2">
        <f t="shared" si="5"/>
        <v>516.3817663817664</v>
      </c>
      <c r="V57" s="2">
        <f t="shared" si="6"/>
        <v>464.74358974358978</v>
      </c>
      <c r="W57" s="2">
        <f t="shared" si="7"/>
        <v>253.49650349650349</v>
      </c>
      <c r="X57" s="2">
        <f t="shared" si="9"/>
        <v>139.42307692307693</v>
      </c>
    </row>
    <row r="58" spans="19:24" x14ac:dyDescent="0.25">
      <c r="S58" s="1">
        <v>5300</v>
      </c>
      <c r="T58" s="1" t="e">
        <f t="shared" si="8"/>
        <v>#N/A</v>
      </c>
      <c r="U58" s="2">
        <f t="shared" si="5"/>
        <v>506.638714185884</v>
      </c>
      <c r="V58" s="2">
        <f t="shared" si="6"/>
        <v>455.97484276729568</v>
      </c>
      <c r="W58" s="2">
        <f t="shared" si="7"/>
        <v>248.71355060034304</v>
      </c>
      <c r="X58" s="2">
        <f t="shared" si="9"/>
        <v>136.79245283018867</v>
      </c>
    </row>
    <row r="59" spans="19:24" x14ac:dyDescent="0.25">
      <c r="S59" s="1">
        <v>5400</v>
      </c>
      <c r="T59" s="1" t="e">
        <f t="shared" si="8"/>
        <v>#N/A</v>
      </c>
      <c r="U59" s="2">
        <f t="shared" si="5"/>
        <v>497.2565157750343</v>
      </c>
      <c r="V59" s="2">
        <f t="shared" si="6"/>
        <v>447.53086419753095</v>
      </c>
      <c r="W59" s="2">
        <f t="shared" si="7"/>
        <v>244.10774410774408</v>
      </c>
      <c r="X59" s="2">
        <f t="shared" si="9"/>
        <v>134.25925925925927</v>
      </c>
    </row>
    <row r="60" spans="19:24" x14ac:dyDescent="0.25">
      <c r="S60" s="1">
        <v>5500</v>
      </c>
      <c r="T60" s="1" t="e">
        <f t="shared" si="8"/>
        <v>#N/A</v>
      </c>
      <c r="U60" s="2">
        <f t="shared" si="5"/>
        <v>488.21548821548822</v>
      </c>
      <c r="V60" s="2">
        <f t="shared" si="6"/>
        <v>439.39393939393943</v>
      </c>
      <c r="W60" s="2">
        <f t="shared" si="7"/>
        <v>239.6694214876033</v>
      </c>
      <c r="X60" s="2">
        <f t="shared" si="9"/>
        <v>131.81818181818181</v>
      </c>
    </row>
    <row r="61" spans="19:24" x14ac:dyDescent="0.25">
      <c r="S61" s="1">
        <v>5600</v>
      </c>
      <c r="T61" s="1" t="e">
        <f t="shared" si="8"/>
        <v>#N/A</v>
      </c>
      <c r="U61" s="2">
        <f t="shared" si="5"/>
        <v>479.49735449735448</v>
      </c>
      <c r="V61" s="2">
        <f t="shared" si="6"/>
        <v>431.54761904761909</v>
      </c>
      <c r="W61" s="2">
        <f t="shared" si="7"/>
        <v>235.38961038961037</v>
      </c>
      <c r="X61" s="2">
        <f t="shared" si="9"/>
        <v>129.46428571428572</v>
      </c>
    </row>
    <row r="62" spans="19:24" x14ac:dyDescent="0.25">
      <c r="S62" s="1">
        <v>5700</v>
      </c>
      <c r="T62" s="1" t="e">
        <f t="shared" si="8"/>
        <v>#N/A</v>
      </c>
      <c r="U62" s="2">
        <f t="shared" si="5"/>
        <v>471.08512020792722</v>
      </c>
      <c r="V62" s="2">
        <f t="shared" si="6"/>
        <v>423.97660818713456</v>
      </c>
      <c r="W62" s="2">
        <f t="shared" si="7"/>
        <v>231.25996810207334</v>
      </c>
      <c r="X62" s="2">
        <f t="shared" si="9"/>
        <v>127.19298245614036</v>
      </c>
    </row>
    <row r="63" spans="19:24" x14ac:dyDescent="0.25">
      <c r="S63" s="1">
        <v>5800</v>
      </c>
      <c r="T63" s="1" t="e">
        <f t="shared" si="8"/>
        <v>#N/A</v>
      </c>
      <c r="U63" s="2">
        <f t="shared" si="5"/>
        <v>462.96296296296293</v>
      </c>
      <c r="V63" s="2">
        <f t="shared" si="6"/>
        <v>416.66666666666674</v>
      </c>
      <c r="W63" s="2">
        <f t="shared" si="7"/>
        <v>227.27272727272725</v>
      </c>
      <c r="X63" s="2">
        <f t="shared" si="9"/>
        <v>125</v>
      </c>
    </row>
    <row r="64" spans="19:24" x14ac:dyDescent="0.25">
      <c r="S64" s="1">
        <v>5900</v>
      </c>
      <c r="T64" s="1" t="e">
        <f t="shared" si="8"/>
        <v>#N/A</v>
      </c>
      <c r="U64" s="2">
        <f t="shared" si="5"/>
        <v>455.1161330822348</v>
      </c>
      <c r="V64" s="2">
        <f t="shared" si="6"/>
        <v>409.60451977401135</v>
      </c>
      <c r="W64" s="2">
        <f t="shared" si="7"/>
        <v>223.42064714946071</v>
      </c>
      <c r="X64" s="2">
        <f t="shared" si="9"/>
        <v>122.88135593220339</v>
      </c>
    </row>
    <row r="65" spans="19:24" x14ac:dyDescent="0.25">
      <c r="S65" s="1">
        <v>6000</v>
      </c>
      <c r="T65" s="1" t="e">
        <f t="shared" si="8"/>
        <v>#N/A</v>
      </c>
      <c r="U65" s="2">
        <f t="shared" si="5"/>
        <v>447.53086419753089</v>
      </c>
      <c r="V65" s="2">
        <f t="shared" si="6"/>
        <v>402.77777777777783</v>
      </c>
      <c r="W65" s="2">
        <f t="shared" si="7"/>
        <v>219.69696969696969</v>
      </c>
      <c r="X65" s="2">
        <f t="shared" si="9"/>
        <v>120.83333333333333</v>
      </c>
    </row>
    <row r="66" spans="19:24" x14ac:dyDescent="0.25">
      <c r="S66" s="1">
        <v>6100</v>
      </c>
      <c r="T66" s="1" t="e">
        <f t="shared" si="8"/>
        <v>#N/A</v>
      </c>
      <c r="U66" s="2">
        <f t="shared" si="5"/>
        <v>440.19429265330905</v>
      </c>
      <c r="V66" s="2">
        <f t="shared" si="6"/>
        <v>396.17486338797818</v>
      </c>
      <c r="W66" s="2">
        <f t="shared" si="7"/>
        <v>216.09538002980625</v>
      </c>
      <c r="X66" s="2">
        <f t="shared" si="9"/>
        <v>118.85245901639344</v>
      </c>
    </row>
    <row r="67" spans="19:24" x14ac:dyDescent="0.25">
      <c r="S67" s="1">
        <v>6200</v>
      </c>
      <c r="T67" s="1" t="e">
        <f t="shared" si="8"/>
        <v>#N/A</v>
      </c>
      <c r="U67" s="2">
        <f t="shared" si="5"/>
        <v>433.09438470728793</v>
      </c>
      <c r="V67" s="2">
        <f t="shared" si="6"/>
        <v>389.78494623655916</v>
      </c>
      <c r="W67" s="2">
        <f t="shared" si="7"/>
        <v>212.60997067448679</v>
      </c>
      <c r="X67" s="2">
        <f t="shared" si="9"/>
        <v>116.93548387096774</v>
      </c>
    </row>
    <row r="68" spans="19:24" x14ac:dyDescent="0.25">
      <c r="S68" s="1">
        <v>6300</v>
      </c>
      <c r="T68" s="1" t="e">
        <f t="shared" si="8"/>
        <v>#N/A</v>
      </c>
      <c r="U68" s="2">
        <f t="shared" si="5"/>
        <v>426.21987066431512</v>
      </c>
      <c r="V68" s="2">
        <f t="shared" si="6"/>
        <v>383.59788359788365</v>
      </c>
      <c r="W68" s="2">
        <f t="shared" si="7"/>
        <v>209.23520923520923</v>
      </c>
      <c r="X68" s="2">
        <f t="shared" si="9"/>
        <v>115.07936507936508</v>
      </c>
    </row>
    <row r="69" spans="19:24" x14ac:dyDescent="0.25">
      <c r="S69" s="1">
        <v>6400</v>
      </c>
      <c r="T69" s="1" t="e">
        <f t="shared" si="8"/>
        <v>#N/A</v>
      </c>
      <c r="U69" s="2">
        <f t="shared" ref="U69:U95" si="10">IF(S69&lt;=60*$U$2/$U$3,costK/60/$U$2,costK/$U$3/S69)</f>
        <v>419.56018518518516</v>
      </c>
      <c r="V69" s="2">
        <f t="shared" ref="V69:V95" si="11">IF(S69&lt;=60*$V$2/$V$3,costK/60/$V$2,costK/$V$3/S69)</f>
        <v>377.60416666666674</v>
      </c>
      <c r="W69" s="2">
        <f t="shared" ref="W69:W95" si="12">IF(S69&lt;=60*$W$2/$W$3,costK/60/$W$2,costK/$W$3/S69)</f>
        <v>205.96590909090909</v>
      </c>
      <c r="X69" s="2">
        <f t="shared" si="9"/>
        <v>113.28125</v>
      </c>
    </row>
    <row r="70" spans="19:24" x14ac:dyDescent="0.25">
      <c r="S70" s="1">
        <v>6500</v>
      </c>
      <c r="T70" s="1" t="e">
        <f t="shared" ref="T70:T95" si="13">IF(S70&lt;=60*$T$2/$T$3,costK/$T$3/S70,NA())</f>
        <v>#N/A</v>
      </c>
      <c r="U70" s="2">
        <f t="shared" si="10"/>
        <v>413.10541310541311</v>
      </c>
      <c r="V70" s="2">
        <f t="shared" si="11"/>
        <v>371.79487179487182</v>
      </c>
      <c r="W70" s="2">
        <f t="shared" si="12"/>
        <v>202.7972027972028</v>
      </c>
      <c r="X70" s="2">
        <f t="shared" ref="X70:X95" si="14">costK/S70</f>
        <v>111.53846153846153</v>
      </c>
    </row>
    <row r="71" spans="19:24" x14ac:dyDescent="0.25">
      <c r="S71" s="1">
        <v>6600</v>
      </c>
      <c r="T71" s="1" t="e">
        <f t="shared" si="13"/>
        <v>#N/A</v>
      </c>
      <c r="U71" s="2">
        <f t="shared" si="10"/>
        <v>406.8462401795735</v>
      </c>
      <c r="V71" s="2">
        <f t="shared" si="11"/>
        <v>366.16161616161622</v>
      </c>
      <c r="W71" s="2">
        <f t="shared" si="12"/>
        <v>199.72451790633608</v>
      </c>
      <c r="X71" s="2">
        <f t="shared" si="14"/>
        <v>109.84848484848484</v>
      </c>
    </row>
    <row r="72" spans="19:24" x14ac:dyDescent="0.25">
      <c r="S72" s="1">
        <v>6700</v>
      </c>
      <c r="T72" s="1" t="e">
        <f t="shared" si="13"/>
        <v>#N/A</v>
      </c>
      <c r="U72" s="2">
        <f t="shared" si="10"/>
        <v>400.77390823659482</v>
      </c>
      <c r="V72" s="2">
        <f t="shared" si="11"/>
        <v>360.69651741293535</v>
      </c>
      <c r="W72" s="2">
        <f t="shared" si="12"/>
        <v>196.74355495251018</v>
      </c>
      <c r="X72" s="2">
        <f t="shared" si="14"/>
        <v>108.20895522388059</v>
      </c>
    </row>
    <row r="73" spans="19:24" x14ac:dyDescent="0.25">
      <c r="S73" s="1">
        <v>6800</v>
      </c>
      <c r="T73" s="1" t="e">
        <f t="shared" si="13"/>
        <v>#N/A</v>
      </c>
      <c r="U73" s="2">
        <f t="shared" si="10"/>
        <v>394.880174291939</v>
      </c>
      <c r="V73" s="2">
        <f t="shared" si="11"/>
        <v>355.39215686274514</v>
      </c>
      <c r="W73" s="2">
        <f t="shared" si="12"/>
        <v>193.85026737967914</v>
      </c>
      <c r="X73" s="2">
        <f t="shared" si="14"/>
        <v>106.61764705882354</v>
      </c>
    </row>
    <row r="74" spans="19:24" x14ac:dyDescent="0.25">
      <c r="S74" s="1">
        <v>6900</v>
      </c>
      <c r="T74" s="1" t="e">
        <f t="shared" si="13"/>
        <v>#N/A</v>
      </c>
      <c r="U74" s="2">
        <f t="shared" si="10"/>
        <v>389.15727321524423</v>
      </c>
      <c r="V74" s="2">
        <f t="shared" si="11"/>
        <v>350.24154589371983</v>
      </c>
      <c r="W74" s="2">
        <f t="shared" si="12"/>
        <v>191.04084321475625</v>
      </c>
      <c r="X74" s="2">
        <f t="shared" si="14"/>
        <v>105.07246376811594</v>
      </c>
    </row>
    <row r="75" spans="19:24" x14ac:dyDescent="0.25">
      <c r="S75" s="1">
        <v>7000</v>
      </c>
      <c r="T75" s="1" t="e">
        <f t="shared" si="13"/>
        <v>#N/A</v>
      </c>
      <c r="U75" s="2">
        <f t="shared" si="10"/>
        <v>383.59788359788359</v>
      </c>
      <c r="V75" s="2">
        <f t="shared" si="11"/>
        <v>345.2380952380953</v>
      </c>
      <c r="W75" s="2">
        <f t="shared" si="12"/>
        <v>188.3116883116883</v>
      </c>
      <c r="X75" s="2">
        <f t="shared" si="14"/>
        <v>103.57142857142857</v>
      </c>
    </row>
    <row r="76" spans="19:24" x14ac:dyDescent="0.25">
      <c r="S76" s="1">
        <v>7100</v>
      </c>
      <c r="T76" s="1" t="e">
        <f t="shared" si="13"/>
        <v>#N/A</v>
      </c>
      <c r="U76" s="2">
        <f t="shared" si="10"/>
        <v>378.19509650495564</v>
      </c>
      <c r="V76" s="2">
        <f t="shared" si="11"/>
        <v>340.37558685446015</v>
      </c>
      <c r="W76" s="2">
        <f t="shared" si="12"/>
        <v>185.65941101152367</v>
      </c>
      <c r="X76" s="2">
        <f t="shared" si="14"/>
        <v>102.11267605633803</v>
      </c>
    </row>
    <row r="77" spans="19:24" x14ac:dyDescent="0.25">
      <c r="S77" s="1">
        <v>7200</v>
      </c>
      <c r="T77" s="1" t="e">
        <f t="shared" si="13"/>
        <v>#N/A</v>
      </c>
      <c r="U77" s="2">
        <f t="shared" si="10"/>
        <v>372.94238683127571</v>
      </c>
      <c r="V77" s="2">
        <f t="shared" si="11"/>
        <v>335.64814814814821</v>
      </c>
      <c r="W77" s="2">
        <f t="shared" si="12"/>
        <v>183.08080808080808</v>
      </c>
      <c r="X77" s="2">
        <f t="shared" si="14"/>
        <v>100.69444444444444</v>
      </c>
    </row>
    <row r="78" spans="19:24" x14ac:dyDescent="0.25">
      <c r="S78" s="1">
        <v>7300</v>
      </c>
      <c r="T78" s="1" t="e">
        <f t="shared" si="13"/>
        <v>#N/A</v>
      </c>
      <c r="U78" s="2">
        <f t="shared" si="10"/>
        <v>367.83358701166918</v>
      </c>
      <c r="V78" s="2">
        <f t="shared" si="11"/>
        <v>331.05022831050235</v>
      </c>
      <c r="W78" s="2">
        <f t="shared" si="12"/>
        <v>180.5728518057285</v>
      </c>
      <c r="X78" s="2">
        <f t="shared" si="14"/>
        <v>99.31506849315069</v>
      </c>
    </row>
    <row r="79" spans="19:24" x14ac:dyDescent="0.25">
      <c r="S79" s="1">
        <v>7400</v>
      </c>
      <c r="T79" s="1" t="e">
        <f t="shared" si="13"/>
        <v>#N/A</v>
      </c>
      <c r="U79" s="2">
        <f t="shared" si="10"/>
        <v>362.86286286286287</v>
      </c>
      <c r="V79" s="2">
        <f t="shared" si="11"/>
        <v>326.5765765765766</v>
      </c>
      <c r="W79" s="2">
        <f t="shared" si="12"/>
        <v>178.13267813267814</v>
      </c>
      <c r="X79" s="2">
        <f t="shared" si="14"/>
        <v>97.972972972972968</v>
      </c>
    </row>
    <row r="80" spans="19:24" x14ac:dyDescent="0.25">
      <c r="S80" s="1">
        <v>7500</v>
      </c>
      <c r="T80" s="1" t="e">
        <f t="shared" si="13"/>
        <v>#N/A</v>
      </c>
      <c r="U80" s="2">
        <f t="shared" si="10"/>
        <v>358.02469135802471</v>
      </c>
      <c r="V80" s="2">
        <f t="shared" si="11"/>
        <v>322.22222222222229</v>
      </c>
      <c r="W80" s="2">
        <f t="shared" si="12"/>
        <v>175.75757575757575</v>
      </c>
      <c r="X80" s="2">
        <f t="shared" si="14"/>
        <v>96.666666666666671</v>
      </c>
    </row>
    <row r="81" spans="19:25" x14ac:dyDescent="0.25">
      <c r="S81" s="1">
        <v>7600</v>
      </c>
      <c r="T81" s="1" t="e">
        <f t="shared" si="13"/>
        <v>#N/A</v>
      </c>
      <c r="U81" s="2">
        <f t="shared" si="10"/>
        <v>353.3138401559454</v>
      </c>
      <c r="V81" s="2">
        <f t="shared" si="11"/>
        <v>317.98245614035091</v>
      </c>
      <c r="W81" s="2">
        <f t="shared" si="12"/>
        <v>173.44497607655501</v>
      </c>
      <c r="X81" s="2">
        <f t="shared" si="14"/>
        <v>95.39473684210526</v>
      </c>
    </row>
    <row r="82" spans="19:25" x14ac:dyDescent="0.25">
      <c r="S82" s="1">
        <v>7700</v>
      </c>
      <c r="T82" s="1" t="e">
        <f t="shared" si="13"/>
        <v>#N/A</v>
      </c>
      <c r="U82" s="2">
        <f t="shared" si="10"/>
        <v>348.72534872534874</v>
      </c>
      <c r="V82" s="2">
        <f t="shared" si="11"/>
        <v>313.85281385281388</v>
      </c>
      <c r="W82" s="2">
        <f t="shared" si="12"/>
        <v>171.19244391971665</v>
      </c>
      <c r="X82" s="2">
        <f t="shared" si="14"/>
        <v>94.15584415584415</v>
      </c>
    </row>
    <row r="83" spans="19:25" x14ac:dyDescent="0.25">
      <c r="S83" s="1">
        <v>7800</v>
      </c>
      <c r="T83" s="1" t="e">
        <f t="shared" si="13"/>
        <v>#N/A</v>
      </c>
      <c r="U83" s="2">
        <f t="shared" si="10"/>
        <v>344.2545109211776</v>
      </c>
      <c r="V83" s="2">
        <f t="shared" si="11"/>
        <v>309.82905982905987</v>
      </c>
      <c r="W83" s="2">
        <f t="shared" si="12"/>
        <v>168.997668997669</v>
      </c>
      <c r="X83" s="2">
        <f t="shared" si="14"/>
        <v>92.948717948717942</v>
      </c>
    </row>
    <row r="84" spans="19:25" x14ac:dyDescent="0.25">
      <c r="S84" s="1">
        <v>7900</v>
      </c>
      <c r="T84" s="1" t="e">
        <f t="shared" si="13"/>
        <v>#N/A</v>
      </c>
      <c r="U84" s="2">
        <f t="shared" si="10"/>
        <v>339.89685888420064</v>
      </c>
      <c r="V84" s="2">
        <f t="shared" si="11"/>
        <v>305.90717299578063</v>
      </c>
      <c r="W84" s="2">
        <f t="shared" si="12"/>
        <v>166.85845799769851</v>
      </c>
      <c r="X84" s="2">
        <f t="shared" si="14"/>
        <v>91.77215189873418</v>
      </c>
    </row>
    <row r="85" spans="19:25" x14ac:dyDescent="0.25">
      <c r="S85" s="1">
        <v>8000</v>
      </c>
      <c r="T85" s="1" t="e">
        <f t="shared" si="13"/>
        <v>#N/A</v>
      </c>
      <c r="U85" s="2">
        <f t="shared" si="10"/>
        <v>335.64814814814815</v>
      </c>
      <c r="V85" s="2">
        <f t="shared" si="11"/>
        <v>302.08333333333337</v>
      </c>
      <c r="W85" s="2">
        <f t="shared" si="12"/>
        <v>164.77272727272725</v>
      </c>
      <c r="X85" s="2">
        <f t="shared" si="14"/>
        <v>90.625</v>
      </c>
    </row>
    <row r="86" spans="19:25" x14ac:dyDescent="0.25">
      <c r="S86" s="1">
        <v>8100</v>
      </c>
      <c r="T86" s="1" t="e">
        <f t="shared" si="13"/>
        <v>#N/A</v>
      </c>
      <c r="U86" s="2">
        <f t="shared" si="10"/>
        <v>331.50434385002285</v>
      </c>
      <c r="V86" s="2">
        <f t="shared" si="11"/>
        <v>298.35390946502059</v>
      </c>
      <c r="W86" s="2">
        <f t="shared" si="12"/>
        <v>162.73849607182939</v>
      </c>
      <c r="X86" s="2">
        <f t="shared" si="14"/>
        <v>89.506172839506178</v>
      </c>
    </row>
    <row r="87" spans="19:25" x14ac:dyDescent="0.25">
      <c r="S87" s="1">
        <v>8200</v>
      </c>
      <c r="T87" s="1" t="e">
        <f t="shared" si="13"/>
        <v>#N/A</v>
      </c>
      <c r="U87" s="2">
        <f t="shared" si="10"/>
        <v>327.46160794941284</v>
      </c>
      <c r="V87" s="2">
        <f t="shared" si="11"/>
        <v>294.71544715447158</v>
      </c>
      <c r="W87" s="2">
        <f t="shared" si="12"/>
        <v>160.75388026607538</v>
      </c>
      <c r="X87" s="2">
        <f t="shared" si="14"/>
        <v>88.41463414634147</v>
      </c>
    </row>
    <row r="88" spans="19:25" x14ac:dyDescent="0.25">
      <c r="S88" s="1">
        <v>8300</v>
      </c>
      <c r="T88" s="1" t="e">
        <f t="shared" si="13"/>
        <v>#N/A</v>
      </c>
      <c r="U88" s="2">
        <f t="shared" si="10"/>
        <v>323.51628737170904</v>
      </c>
      <c r="V88" s="2">
        <f t="shared" si="11"/>
        <v>291.16465863453817</v>
      </c>
      <c r="W88" s="2">
        <f t="shared" si="12"/>
        <v>158.81708652792989</v>
      </c>
      <c r="X88" s="2">
        <f t="shared" si="14"/>
        <v>87.349397590361448</v>
      </c>
    </row>
    <row r="89" spans="19:25" x14ac:dyDescent="0.25">
      <c r="S89" s="1">
        <v>8400</v>
      </c>
      <c r="T89" s="1" t="e">
        <f t="shared" si="13"/>
        <v>#N/A</v>
      </c>
      <c r="U89" s="2">
        <f t="shared" si="10"/>
        <v>319.66490299823636</v>
      </c>
      <c r="V89" s="2">
        <f t="shared" si="11"/>
        <v>287.69841269841271</v>
      </c>
      <c r="W89" s="2">
        <f t="shared" si="12"/>
        <v>156.92640692640691</v>
      </c>
      <c r="X89" s="2">
        <f t="shared" si="14"/>
        <v>86.30952380952381</v>
      </c>
    </row>
    <row r="90" spans="19:25" x14ac:dyDescent="0.25">
      <c r="S90" s="1">
        <v>8500</v>
      </c>
      <c r="T90" s="1" t="e">
        <f t="shared" si="13"/>
        <v>#N/A</v>
      </c>
      <c r="U90" s="2">
        <f t="shared" si="10"/>
        <v>315.90413943355122</v>
      </c>
      <c r="V90" s="2">
        <f t="shared" si="11"/>
        <v>284.31372549019613</v>
      </c>
      <c r="W90" s="2">
        <f t="shared" si="12"/>
        <v>155.0802139037433</v>
      </c>
      <c r="X90" s="2">
        <f t="shared" si="14"/>
        <v>85.294117647058826</v>
      </c>
    </row>
    <row r="91" spans="19:25" x14ac:dyDescent="0.25">
      <c r="S91" s="1">
        <v>8600</v>
      </c>
      <c r="T91" s="1" t="e">
        <f t="shared" si="13"/>
        <v>#N/A</v>
      </c>
      <c r="U91" s="2">
        <f t="shared" si="10"/>
        <v>312.23083548664943</v>
      </c>
      <c r="V91" s="2">
        <f t="shared" si="11"/>
        <v>281.00775193798455</v>
      </c>
      <c r="W91" s="2">
        <f t="shared" si="12"/>
        <v>153.27695560253699</v>
      </c>
      <c r="X91" s="2">
        <f t="shared" si="14"/>
        <v>84.302325581395351</v>
      </c>
    </row>
    <row r="92" spans="19:25" x14ac:dyDescent="0.25">
      <c r="S92" s="1">
        <v>8700</v>
      </c>
      <c r="T92" s="1" t="e">
        <f t="shared" si="13"/>
        <v>#N/A</v>
      </c>
      <c r="U92" s="2">
        <f t="shared" si="10"/>
        <v>308.64197530864197</v>
      </c>
      <c r="V92" s="2">
        <f t="shared" si="11"/>
        <v>277.77777777777783</v>
      </c>
      <c r="W92" s="2">
        <f t="shared" si="12"/>
        <v>151.5151515151515</v>
      </c>
      <c r="X92" s="2">
        <f t="shared" si="14"/>
        <v>83.333333333333329</v>
      </c>
    </row>
    <row r="93" spans="19:25" x14ac:dyDescent="0.25">
      <c r="S93" s="1">
        <v>8800</v>
      </c>
      <c r="T93" s="1" t="e">
        <f t="shared" si="13"/>
        <v>#N/A</v>
      </c>
      <c r="U93" s="2">
        <f t="shared" si="10"/>
        <v>305.13468013468014</v>
      </c>
      <c r="V93" s="2">
        <f t="shared" si="11"/>
        <v>274.62121212121218</v>
      </c>
      <c r="W93" s="2">
        <f t="shared" si="12"/>
        <v>149.79338842975207</v>
      </c>
      <c r="X93" s="2">
        <f t="shared" si="14"/>
        <v>82.38636363636364</v>
      </c>
    </row>
    <row r="94" spans="19:25" x14ac:dyDescent="0.25">
      <c r="S94" s="1">
        <v>8900</v>
      </c>
      <c r="T94" s="1" t="e">
        <f t="shared" si="13"/>
        <v>#N/A</v>
      </c>
      <c r="U94" s="2">
        <f t="shared" si="10"/>
        <v>301.70620058260505</v>
      </c>
      <c r="V94" s="2">
        <f t="shared" si="11"/>
        <v>271.5355805243446</v>
      </c>
      <c r="W94" s="2">
        <f t="shared" si="12"/>
        <v>148.1103166496425</v>
      </c>
      <c r="X94" s="2">
        <f t="shared" si="14"/>
        <v>81.460674157303373</v>
      </c>
    </row>
    <row r="95" spans="19:25" x14ac:dyDescent="0.25">
      <c r="S95" s="1">
        <v>9000</v>
      </c>
      <c r="T95" s="1" t="e">
        <f t="shared" si="13"/>
        <v>#N/A</v>
      </c>
      <c r="U95" s="2">
        <f t="shared" si="10"/>
        <v>298.35390946502059</v>
      </c>
      <c r="V95" s="2">
        <f t="shared" si="11"/>
        <v>268.51851851851853</v>
      </c>
      <c r="W95" s="2">
        <f t="shared" si="12"/>
        <v>146.46464646464645</v>
      </c>
      <c r="X95" s="2">
        <f t="shared" si="14"/>
        <v>80.555555555555557</v>
      </c>
    </row>
    <row r="96" spans="19:25" x14ac:dyDescent="0.25">
      <c r="S96" s="1"/>
      <c r="T96" s="1"/>
      <c r="U96" s="1"/>
      <c r="V96" s="2"/>
      <c r="W96" s="2"/>
      <c r="X96" s="2"/>
      <c r="Y96" s="2"/>
    </row>
    <row r="97" spans="15:25" x14ac:dyDescent="0.25">
      <c r="O97" s="1"/>
      <c r="P97" s="1"/>
      <c r="Q97" s="1"/>
      <c r="R97" s="1"/>
      <c r="T97" s="1"/>
      <c r="U97" s="1"/>
      <c r="V97" s="2"/>
      <c r="W97" s="2"/>
      <c r="X97" s="2"/>
      <c r="Y97" s="2"/>
    </row>
    <row r="98" spans="15:25" x14ac:dyDescent="0.25">
      <c r="O98" s="1"/>
      <c r="P98" s="1"/>
      <c r="Q98" s="1"/>
      <c r="R98" s="1"/>
      <c r="T98" s="1"/>
      <c r="U98" s="1"/>
      <c r="V98" s="2"/>
      <c r="W98" s="2"/>
      <c r="X98" s="2"/>
      <c r="Y98" s="2"/>
    </row>
    <row r="99" spans="15:25" x14ac:dyDescent="0.25">
      <c r="O99" s="1"/>
      <c r="P99" s="1"/>
      <c r="Q99" s="1"/>
      <c r="R99" s="1"/>
      <c r="T99" s="1"/>
      <c r="U99" s="1"/>
      <c r="V99" s="2"/>
      <c r="W99" s="2"/>
      <c r="X99" s="2"/>
      <c r="Y99" s="2"/>
    </row>
    <row r="100" spans="15:25" x14ac:dyDescent="0.25">
      <c r="O100" s="1"/>
      <c r="P100" s="1"/>
      <c r="Q100" s="1"/>
      <c r="R100" s="1"/>
      <c r="T100" s="1"/>
      <c r="U100" s="1"/>
      <c r="V100" s="2"/>
      <c r="W100" s="2"/>
      <c r="X100" s="2"/>
      <c r="Y100" s="2"/>
    </row>
    <row r="101" spans="15:25" x14ac:dyDescent="0.25">
      <c r="O101" s="1"/>
      <c r="P101" s="1"/>
      <c r="Q101" s="1"/>
      <c r="R101" s="1"/>
      <c r="T101" s="1"/>
      <c r="U101" s="1"/>
      <c r="V101" s="2"/>
      <c r="W101" s="2"/>
      <c r="X101" s="2"/>
      <c r="Y101" s="2"/>
    </row>
    <row r="102" spans="15:25" x14ac:dyDescent="0.25">
      <c r="O102" s="1"/>
      <c r="P102" s="1"/>
      <c r="Q102" s="1"/>
      <c r="R102" s="1"/>
      <c r="T102" s="1"/>
      <c r="U102" s="1"/>
      <c r="V102" s="2"/>
      <c r="W102" s="2"/>
      <c r="X102" s="2"/>
      <c r="Y102" s="2"/>
    </row>
    <row r="103" spans="15:25" x14ac:dyDescent="0.25">
      <c r="O103" s="1"/>
      <c r="P103" s="1"/>
      <c r="Q103" s="1"/>
      <c r="R103" s="1"/>
      <c r="T103" s="1"/>
      <c r="U103" s="1"/>
      <c r="V103" s="2"/>
      <c r="W103" s="2"/>
      <c r="X103" s="2"/>
      <c r="Y103" s="2"/>
    </row>
    <row r="104" spans="15:25" x14ac:dyDescent="0.25">
      <c r="O104" s="1"/>
      <c r="P104" s="1"/>
      <c r="Q104" s="1"/>
      <c r="R104" s="1"/>
      <c r="T104" s="1"/>
      <c r="U104" s="1"/>
      <c r="V104" s="2"/>
      <c r="W104" s="2"/>
      <c r="X104" s="2"/>
      <c r="Y104" s="2"/>
    </row>
    <row r="105" spans="15:25" x14ac:dyDescent="0.25">
      <c r="O105" s="1"/>
      <c r="P105" s="1"/>
      <c r="Q105" s="1"/>
      <c r="R105" s="1"/>
      <c r="T105" s="1"/>
      <c r="U105" s="1"/>
      <c r="V105" s="2"/>
      <c r="W105" s="2"/>
      <c r="X105" s="2"/>
      <c r="Y105" s="2"/>
    </row>
    <row r="106" spans="15:25" x14ac:dyDescent="0.25">
      <c r="O106" s="1"/>
      <c r="P106" s="1"/>
      <c r="Q106" s="1"/>
      <c r="R106" s="1"/>
      <c r="T106" s="1"/>
      <c r="U106" s="1"/>
      <c r="V106" s="2"/>
      <c r="W106" s="2"/>
      <c r="X106" s="2"/>
      <c r="Y106" s="2"/>
    </row>
    <row r="107" spans="15:25" x14ac:dyDescent="0.25">
      <c r="O107" s="1"/>
      <c r="P107" s="1"/>
      <c r="Q107" s="1"/>
      <c r="R107" s="1"/>
      <c r="T107" s="1"/>
      <c r="U107" s="1"/>
      <c r="V107" s="2"/>
      <c r="W107" s="2"/>
      <c r="X107" s="2"/>
      <c r="Y107" s="2"/>
    </row>
    <row r="108" spans="15:25" x14ac:dyDescent="0.25">
      <c r="O108" s="1"/>
      <c r="P108" s="1"/>
      <c r="Q108" s="1"/>
      <c r="R108" s="1"/>
      <c r="T108" s="1"/>
      <c r="U108" s="1"/>
      <c r="V108" s="2"/>
      <c r="W108" s="2"/>
      <c r="X108" s="2"/>
      <c r="Y108" s="2"/>
    </row>
    <row r="109" spans="15:25" x14ac:dyDescent="0.25">
      <c r="O109" s="1"/>
      <c r="P109" s="1"/>
      <c r="Q109" s="1"/>
      <c r="R109" s="1"/>
      <c r="T109" s="1"/>
      <c r="U109" s="1"/>
      <c r="V109" s="2"/>
      <c r="W109" s="2"/>
      <c r="X109" s="2"/>
      <c r="Y109" s="2"/>
    </row>
    <row r="110" spans="15:25" x14ac:dyDescent="0.25">
      <c r="O110" s="1"/>
      <c r="P110" s="1"/>
      <c r="Q110" s="1"/>
      <c r="R110" s="1"/>
      <c r="T110" s="1"/>
      <c r="U110" s="1"/>
      <c r="V110" s="2"/>
      <c r="W110" s="2"/>
      <c r="X110" s="2"/>
      <c r="Y110" s="2"/>
    </row>
    <row r="111" spans="15:25" x14ac:dyDescent="0.25">
      <c r="O111" s="1"/>
      <c r="P111" s="1"/>
      <c r="Q111" s="1"/>
      <c r="R111" s="1"/>
      <c r="T111" s="1"/>
      <c r="U111" s="1"/>
      <c r="V111" s="2"/>
      <c r="W111" s="2"/>
      <c r="X111" s="2"/>
      <c r="Y111" s="2"/>
    </row>
    <row r="112" spans="15:25" x14ac:dyDescent="0.25">
      <c r="O112" s="1"/>
      <c r="P112" s="1"/>
      <c r="Q112" s="1"/>
      <c r="R112" s="1"/>
      <c r="T112" s="1"/>
      <c r="U112" s="1"/>
      <c r="V112" s="2"/>
      <c r="W112" s="2"/>
      <c r="X112" s="2"/>
      <c r="Y112" s="2"/>
    </row>
    <row r="113" spans="15:25" x14ac:dyDescent="0.25">
      <c r="O113" s="1"/>
      <c r="P113" s="1"/>
      <c r="Q113" s="1"/>
      <c r="R113" s="1"/>
      <c r="T113" s="1"/>
      <c r="U113" s="1"/>
      <c r="V113" s="2"/>
      <c r="W113" s="2"/>
      <c r="X113" s="2"/>
      <c r="Y113" s="2"/>
    </row>
    <row r="114" spans="15:25" x14ac:dyDescent="0.25">
      <c r="O114" s="1"/>
      <c r="P114" s="1"/>
      <c r="Q114" s="1"/>
      <c r="R114" s="1"/>
      <c r="T114" s="1"/>
      <c r="U114" s="1"/>
      <c r="V114" s="2"/>
      <c r="W114" s="2"/>
      <c r="X114" s="2"/>
      <c r="Y114" s="2"/>
    </row>
    <row r="115" spans="15:25" x14ac:dyDescent="0.25">
      <c r="O115" s="1"/>
      <c r="P115" s="1"/>
      <c r="Q115" s="1"/>
      <c r="R115" s="1"/>
      <c r="T115" s="1"/>
      <c r="U115" s="1"/>
      <c r="V115" s="2"/>
      <c r="W115" s="2"/>
      <c r="X115" s="2"/>
      <c r="Y115" s="2"/>
    </row>
    <row r="116" spans="15:25" x14ac:dyDescent="0.25">
      <c r="O116" s="1"/>
      <c r="P116" s="1"/>
      <c r="Q116" s="1"/>
      <c r="R116" s="1"/>
      <c r="T116" s="1"/>
      <c r="U116" s="1"/>
      <c r="V116" s="2"/>
      <c r="W116" s="2"/>
      <c r="X116" s="2"/>
      <c r="Y116" s="2"/>
    </row>
    <row r="117" spans="15:25" x14ac:dyDescent="0.25">
      <c r="O117" s="1"/>
      <c r="P117" s="1"/>
      <c r="Q117" s="1"/>
      <c r="R117" s="1"/>
      <c r="T117" s="1"/>
      <c r="U117" s="1"/>
      <c r="V117" s="2"/>
      <c r="W117" s="2"/>
      <c r="X117" s="2"/>
      <c r="Y117" s="2"/>
    </row>
    <row r="118" spans="15:25" x14ac:dyDescent="0.25">
      <c r="O118" s="1"/>
      <c r="P118" s="1"/>
      <c r="Q118" s="1"/>
      <c r="R118" s="1"/>
      <c r="T118" s="1"/>
      <c r="U118" s="1"/>
      <c r="V118" s="2"/>
      <c r="W118" s="2"/>
      <c r="X118" s="2"/>
      <c r="Y118" s="2"/>
    </row>
    <row r="119" spans="15:25" x14ac:dyDescent="0.25">
      <c r="O119" s="1"/>
      <c r="P119" s="1"/>
      <c r="Q119" s="1"/>
      <c r="R119" s="1"/>
      <c r="T119" s="1"/>
      <c r="U119" s="1"/>
      <c r="V119" s="2"/>
      <c r="W119" s="2"/>
      <c r="X119" s="2"/>
      <c r="Y119" s="2"/>
    </row>
    <row r="120" spans="15:25" x14ac:dyDescent="0.25">
      <c r="O120" s="1"/>
      <c r="P120" s="1"/>
      <c r="Q120" s="1"/>
      <c r="R120" s="1"/>
      <c r="T120" s="1"/>
      <c r="U120" s="1"/>
      <c r="V120" s="2"/>
      <c r="W120" s="2"/>
      <c r="X120" s="2"/>
      <c r="Y120" s="2"/>
    </row>
    <row r="121" spans="15:25" x14ac:dyDescent="0.25">
      <c r="O121" s="1"/>
      <c r="P121" s="1"/>
      <c r="Q121" s="1"/>
      <c r="R121" s="1"/>
      <c r="T121" s="1"/>
      <c r="U121" s="1"/>
      <c r="V121" s="2"/>
      <c r="W121" s="2"/>
      <c r="X121" s="2"/>
      <c r="Y121" s="2"/>
    </row>
    <row r="122" spans="15:25" x14ac:dyDescent="0.25">
      <c r="O122" s="1"/>
      <c r="P122" s="1"/>
      <c r="Q122" s="1"/>
      <c r="R122" s="1"/>
      <c r="T122" s="1"/>
      <c r="U122" s="1"/>
      <c r="V122" s="2"/>
      <c r="W122" s="2"/>
      <c r="X122" s="2"/>
      <c r="Y122" s="2"/>
    </row>
    <row r="123" spans="15:25" x14ac:dyDescent="0.25">
      <c r="O123" s="1"/>
      <c r="P123" s="1"/>
      <c r="Q123" s="1"/>
      <c r="R123" s="1"/>
      <c r="T123" s="1"/>
      <c r="U123" s="1"/>
      <c r="V123" s="2"/>
      <c r="W123" s="2"/>
      <c r="X123" s="2"/>
      <c r="Y123" s="2"/>
    </row>
    <row r="124" spans="15:25" x14ac:dyDescent="0.25">
      <c r="O124" s="1"/>
      <c r="P124" s="1"/>
      <c r="Q124" s="1"/>
      <c r="R124" s="1"/>
      <c r="T124" s="1"/>
      <c r="U124" s="1"/>
      <c r="V124" s="2"/>
      <c r="W124" s="2"/>
      <c r="X124" s="2"/>
      <c r="Y124" s="2"/>
    </row>
    <row r="125" spans="15:25" x14ac:dyDescent="0.25">
      <c r="O125" s="1"/>
      <c r="P125" s="1"/>
      <c r="Q125" s="1"/>
      <c r="R125" s="1"/>
      <c r="T125" s="1"/>
      <c r="U125" s="1"/>
      <c r="V125" s="2"/>
      <c r="W125" s="2"/>
      <c r="X125" s="2"/>
      <c r="Y125" s="2"/>
    </row>
    <row r="126" spans="15:25" x14ac:dyDescent="0.25">
      <c r="O126" s="1"/>
      <c r="P126" s="1"/>
      <c r="Q126" s="1"/>
      <c r="R126" s="1"/>
      <c r="T126" s="1"/>
      <c r="U126" s="1"/>
      <c r="V126" s="2"/>
      <c r="W126" s="2"/>
      <c r="X126" s="2"/>
      <c r="Y126" s="2"/>
    </row>
    <row r="127" spans="15:25" x14ac:dyDescent="0.25">
      <c r="O127" s="1"/>
      <c r="P127" s="1"/>
      <c r="Q127" s="1"/>
      <c r="R127" s="1"/>
      <c r="T127" s="1"/>
      <c r="U127" s="1"/>
      <c r="V127" s="2"/>
      <c r="W127" s="2"/>
      <c r="X127" s="2"/>
      <c r="Y127" s="2"/>
    </row>
    <row r="128" spans="15:25" x14ac:dyDescent="0.25">
      <c r="O128" s="1"/>
      <c r="P128" s="1"/>
      <c r="Q128" s="1"/>
      <c r="R128" s="1"/>
      <c r="T128" s="1"/>
      <c r="U128" s="1"/>
      <c r="V128" s="2"/>
      <c r="W128" s="2"/>
      <c r="X128" s="2"/>
      <c r="Y128" s="2"/>
    </row>
    <row r="129" spans="15:25" x14ac:dyDescent="0.25">
      <c r="O129" s="1"/>
      <c r="P129" s="1"/>
      <c r="Q129" s="1"/>
      <c r="R129" s="1"/>
      <c r="T129" s="1"/>
      <c r="U129" s="1"/>
      <c r="V129" s="2"/>
      <c r="W129" s="2"/>
      <c r="X129" s="2"/>
      <c r="Y129" s="2"/>
    </row>
    <row r="130" spans="15:25" x14ac:dyDescent="0.25">
      <c r="O130" s="1"/>
      <c r="P130" s="1"/>
      <c r="Q130" s="1"/>
      <c r="R130" s="1"/>
      <c r="T130" s="1"/>
      <c r="U130" s="1"/>
      <c r="V130" s="2"/>
      <c r="W130" s="2"/>
      <c r="X130" s="2"/>
      <c r="Y130" s="2"/>
    </row>
    <row r="131" spans="15:25" x14ac:dyDescent="0.25">
      <c r="O131" s="1"/>
      <c r="P131" s="1"/>
      <c r="Q131" s="1"/>
      <c r="R131" s="1"/>
      <c r="T131" s="1"/>
      <c r="U131" s="1"/>
      <c r="V131" s="2"/>
      <c r="W131" s="2"/>
      <c r="X131" s="2"/>
      <c r="Y131" s="2"/>
    </row>
    <row r="132" spans="15:25" x14ac:dyDescent="0.25">
      <c r="O132" s="1"/>
      <c r="P132" s="1"/>
      <c r="Q132" s="1"/>
      <c r="R132" s="1"/>
      <c r="T132" s="1"/>
      <c r="U132" s="1"/>
      <c r="V132" s="2"/>
      <c r="W132" s="2"/>
      <c r="X132" s="2"/>
      <c r="Y132" s="2"/>
    </row>
    <row r="133" spans="15:25" x14ac:dyDescent="0.25">
      <c r="O133" s="1"/>
      <c r="P133" s="1"/>
      <c r="Q133" s="1"/>
      <c r="R133" s="1"/>
      <c r="T133" s="1"/>
      <c r="U133" s="1"/>
      <c r="V133" s="2"/>
      <c r="W133" s="2"/>
      <c r="X133" s="2"/>
      <c r="Y133" s="2"/>
    </row>
    <row r="134" spans="15:25" x14ac:dyDescent="0.25">
      <c r="O134" s="1"/>
      <c r="P134" s="1"/>
      <c r="Q134" s="1"/>
      <c r="R134" s="1"/>
      <c r="T134" s="1"/>
      <c r="U134" s="1"/>
      <c r="V134" s="2"/>
      <c r="W134" s="2"/>
      <c r="X134" s="2"/>
      <c r="Y134" s="2"/>
    </row>
    <row r="135" spans="15:25" x14ac:dyDescent="0.25">
      <c r="O135" s="1"/>
      <c r="P135" s="1"/>
      <c r="Q135" s="1"/>
      <c r="R135" s="1"/>
      <c r="T135" s="1"/>
      <c r="U135" s="1"/>
      <c r="V135" s="2"/>
      <c r="W135" s="2"/>
      <c r="X135" s="2"/>
      <c r="Y135" s="2"/>
    </row>
    <row r="136" spans="15:25" x14ac:dyDescent="0.25">
      <c r="O136" s="1"/>
      <c r="P136" s="1"/>
      <c r="Q136" s="1"/>
      <c r="R136" s="1"/>
      <c r="T136" s="1"/>
      <c r="U136" s="1"/>
      <c r="V136" s="2"/>
      <c r="W136" s="2"/>
      <c r="X136" s="2"/>
      <c r="Y136" s="2"/>
    </row>
    <row r="137" spans="15:25" x14ac:dyDescent="0.25">
      <c r="O137" s="1"/>
      <c r="P137" s="1"/>
      <c r="Q137" s="1"/>
      <c r="R137" s="1"/>
      <c r="T137" s="1"/>
      <c r="U137" s="1"/>
      <c r="V137" s="2"/>
      <c r="W137" s="2"/>
      <c r="X137" s="2"/>
      <c r="Y137" s="2"/>
    </row>
    <row r="138" spans="15:25" x14ac:dyDescent="0.25">
      <c r="O138" s="1"/>
      <c r="P138" s="1"/>
      <c r="Q138" s="1"/>
      <c r="R138" s="1"/>
      <c r="T138" s="1"/>
      <c r="U138" s="1"/>
      <c r="V138" s="2"/>
      <c r="W138" s="2"/>
      <c r="X138" s="2"/>
      <c r="Y138" s="2"/>
    </row>
    <row r="139" spans="15:25" x14ac:dyDescent="0.25">
      <c r="O139" s="1"/>
      <c r="P139" s="1"/>
      <c r="Q139" s="1"/>
      <c r="R139" s="1"/>
      <c r="T139" s="1"/>
      <c r="U139" s="1"/>
      <c r="V139" s="2"/>
      <c r="W139" s="2"/>
      <c r="X139" s="2"/>
      <c r="Y139" s="2"/>
    </row>
    <row r="140" spans="15:25" x14ac:dyDescent="0.25">
      <c r="O140" s="1"/>
      <c r="P140" s="1"/>
      <c r="Q140" s="1"/>
      <c r="R140" s="1"/>
      <c r="T140" s="1"/>
      <c r="U140" s="1"/>
      <c r="V140" s="2"/>
      <c r="W140" s="2"/>
      <c r="X140" s="2"/>
      <c r="Y140" s="2"/>
    </row>
    <row r="141" spans="15:25" x14ac:dyDescent="0.25">
      <c r="O141" s="1"/>
      <c r="P141" s="1"/>
      <c r="Q141" s="1"/>
      <c r="R141" s="1"/>
      <c r="T141" s="1"/>
      <c r="U141" s="1"/>
      <c r="V141" s="2"/>
      <c r="W141" s="2"/>
      <c r="X141" s="2"/>
      <c r="Y141" s="2"/>
    </row>
    <row r="142" spans="15:25" x14ac:dyDescent="0.25">
      <c r="O142" s="1"/>
      <c r="P142" s="1"/>
      <c r="Q142" s="1"/>
      <c r="R142" s="1"/>
      <c r="T142" s="1"/>
      <c r="U142" s="1"/>
      <c r="V142" s="2"/>
      <c r="W142" s="2"/>
      <c r="X142" s="2"/>
      <c r="Y142" s="2"/>
    </row>
    <row r="143" spans="15:25" x14ac:dyDescent="0.25">
      <c r="O143" s="1"/>
      <c r="P143" s="1"/>
      <c r="Q143" s="1"/>
      <c r="R143" s="1"/>
      <c r="T143" s="1"/>
      <c r="U143" s="1"/>
      <c r="V143" s="2"/>
      <c r="W143" s="2"/>
      <c r="X143" s="2"/>
      <c r="Y143" s="2"/>
    </row>
    <row r="144" spans="15:25" x14ac:dyDescent="0.25">
      <c r="O144" s="1"/>
      <c r="P144" s="1"/>
      <c r="Q144" s="1"/>
      <c r="R144" s="1"/>
      <c r="T144" s="1"/>
      <c r="U144" s="1"/>
      <c r="V144" s="2"/>
      <c r="W144" s="2"/>
      <c r="X144" s="2"/>
      <c r="Y144" s="2"/>
    </row>
    <row r="145" spans="15:25" x14ac:dyDescent="0.25">
      <c r="O145" s="1"/>
      <c r="P145" s="1"/>
      <c r="Q145" s="1"/>
      <c r="R145" s="1"/>
      <c r="T145" s="1"/>
      <c r="U145" s="1"/>
      <c r="V145" s="2"/>
      <c r="W145" s="2"/>
      <c r="X145" s="2"/>
      <c r="Y145" s="2"/>
    </row>
    <row r="146" spans="15:25" x14ac:dyDescent="0.25">
      <c r="O146" s="1"/>
      <c r="P146" s="1"/>
      <c r="Q146" s="1"/>
      <c r="R146" s="1"/>
      <c r="T146" s="1"/>
      <c r="U146" s="1"/>
      <c r="V146" s="2"/>
      <c r="W146" s="2"/>
      <c r="X146" s="2"/>
      <c r="Y146" s="2"/>
    </row>
    <row r="147" spans="15:25" x14ac:dyDescent="0.25">
      <c r="O147" s="1"/>
      <c r="P147" s="1"/>
      <c r="Q147" s="1"/>
      <c r="R147" s="1"/>
      <c r="T147" s="1"/>
      <c r="U147" s="1"/>
      <c r="V147" s="2"/>
      <c r="W147" s="2"/>
      <c r="X147" s="2"/>
      <c r="Y147" s="2"/>
    </row>
    <row r="148" spans="15:25" x14ac:dyDescent="0.25">
      <c r="O148" s="1"/>
      <c r="P148" s="1"/>
      <c r="Q148" s="1"/>
      <c r="R148" s="1"/>
      <c r="T148" s="1"/>
      <c r="U148" s="1"/>
      <c r="V148" s="2"/>
      <c r="W148" s="2"/>
      <c r="X148" s="2"/>
      <c r="Y148" s="2"/>
    </row>
    <row r="149" spans="15:25" x14ac:dyDescent="0.25">
      <c r="O149" s="1"/>
      <c r="P149" s="1"/>
      <c r="Q149" s="1"/>
      <c r="R149" s="1"/>
      <c r="T149" s="1"/>
      <c r="U149" s="1"/>
      <c r="V149" s="2"/>
      <c r="W149" s="2"/>
      <c r="X149" s="2"/>
      <c r="Y149" s="2"/>
    </row>
    <row r="150" spans="15:25" x14ac:dyDescent="0.25">
      <c r="O150" s="1"/>
      <c r="P150" s="1"/>
      <c r="Q150" s="1"/>
      <c r="R150" s="1"/>
      <c r="T150" s="1"/>
      <c r="U150" s="1"/>
      <c r="V150" s="2"/>
      <c r="W150" s="2"/>
      <c r="X150" s="2"/>
      <c r="Y150" s="2"/>
    </row>
    <row r="151" spans="15:25" x14ac:dyDescent="0.25">
      <c r="O151" s="1"/>
      <c r="P151" s="1"/>
      <c r="Q151" s="1"/>
      <c r="R151" s="1"/>
      <c r="T151" s="1"/>
      <c r="U151" s="1"/>
      <c r="V151" s="2"/>
      <c r="W151" s="2"/>
      <c r="X151" s="2"/>
      <c r="Y151" s="2"/>
    </row>
    <row r="152" spans="15:25" x14ac:dyDescent="0.25">
      <c r="O152" s="1"/>
      <c r="P152" s="1"/>
      <c r="Q152" s="1"/>
      <c r="R152" s="1"/>
      <c r="T152" s="1"/>
      <c r="U152" s="1"/>
      <c r="V152" s="2"/>
      <c r="W152" s="2"/>
      <c r="X152" s="2"/>
      <c r="Y152" s="2"/>
    </row>
    <row r="153" spans="15:25" x14ac:dyDescent="0.25">
      <c r="O153" s="1"/>
      <c r="P153" s="1"/>
      <c r="Q153" s="1"/>
      <c r="R153" s="1"/>
      <c r="T153" s="1"/>
      <c r="U153" s="1"/>
      <c r="V153" s="2"/>
      <c r="W153" s="2"/>
      <c r="X153" s="2"/>
      <c r="Y153" s="2"/>
    </row>
    <row r="154" spans="15:25" x14ac:dyDescent="0.25">
      <c r="O154" s="1"/>
      <c r="P154" s="1"/>
      <c r="Q154" s="1"/>
      <c r="R154" s="1"/>
      <c r="T154" s="1"/>
      <c r="U154" s="1"/>
      <c r="V154" s="2"/>
      <c r="W154" s="2"/>
      <c r="X154" s="2"/>
      <c r="Y154" s="2"/>
    </row>
    <row r="155" spans="15:25" x14ac:dyDescent="0.25">
      <c r="O155" s="1"/>
      <c r="P155" s="1"/>
      <c r="Q155" s="1"/>
      <c r="R155" s="1"/>
      <c r="T155" s="1"/>
      <c r="U155" s="1"/>
      <c r="V155" s="2"/>
      <c r="W155" s="2"/>
      <c r="X155" s="2"/>
      <c r="Y155" s="2"/>
    </row>
    <row r="156" spans="15:25" x14ac:dyDescent="0.25">
      <c r="O156" s="1"/>
      <c r="P156" s="1"/>
      <c r="Q156" s="1"/>
      <c r="R156" s="1"/>
      <c r="T156" s="1"/>
      <c r="U156" s="1"/>
      <c r="V156" s="2"/>
      <c r="W156" s="2"/>
      <c r="X156" s="2"/>
      <c r="Y156" s="2"/>
    </row>
    <row r="157" spans="15:25" x14ac:dyDescent="0.25">
      <c r="O157" s="1"/>
      <c r="P157" s="1"/>
      <c r="Q157" s="1"/>
      <c r="R157" s="1"/>
      <c r="T157" s="1"/>
      <c r="U157" s="1"/>
      <c r="V157" s="2"/>
      <c r="W157" s="2"/>
      <c r="X157" s="2"/>
      <c r="Y157" s="2"/>
    </row>
    <row r="158" spans="15:25" x14ac:dyDescent="0.25">
      <c r="O158" s="1"/>
      <c r="P158" s="1"/>
      <c r="Q158" s="1"/>
      <c r="R158" s="1"/>
      <c r="T158" s="1"/>
      <c r="U158" s="1"/>
      <c r="V158" s="2"/>
      <c r="W158" s="2"/>
      <c r="X158" s="2"/>
      <c r="Y158" s="2"/>
    </row>
    <row r="159" spans="15:25" x14ac:dyDescent="0.25">
      <c r="O159" s="1"/>
      <c r="P159" s="1"/>
      <c r="Q159" s="1"/>
      <c r="R159" s="1"/>
      <c r="T159" s="1"/>
      <c r="U159" s="1"/>
      <c r="V159" s="2"/>
      <c r="W159" s="2"/>
      <c r="X159" s="2"/>
      <c r="Y159" s="2"/>
    </row>
    <row r="160" spans="15:25" x14ac:dyDescent="0.25">
      <c r="O160" s="1"/>
      <c r="P160" s="1"/>
      <c r="Q160" s="1"/>
      <c r="R160" s="1"/>
      <c r="T160" s="1"/>
      <c r="U160" s="1"/>
      <c r="V160" s="2"/>
      <c r="W160" s="2"/>
      <c r="X160" s="2"/>
      <c r="Y160" s="2"/>
    </row>
    <row r="161" spans="15:25" x14ac:dyDescent="0.25">
      <c r="O161" s="1"/>
      <c r="P161" s="1"/>
      <c r="Q161" s="1"/>
      <c r="R161" s="1"/>
      <c r="T161" s="1"/>
      <c r="U161" s="1"/>
      <c r="V161" s="2"/>
      <c r="W161" s="2"/>
      <c r="X161" s="2"/>
      <c r="Y161" s="2"/>
    </row>
    <row r="162" spans="15:25" x14ac:dyDescent="0.25">
      <c r="O162" s="1"/>
      <c r="P162" s="1"/>
      <c r="Q162" s="1"/>
      <c r="R162" s="1"/>
      <c r="T162" s="1"/>
      <c r="U162" s="1"/>
      <c r="V162" s="2"/>
      <c r="W162" s="2"/>
      <c r="X162" s="2"/>
      <c r="Y162" s="2"/>
    </row>
    <row r="163" spans="15:25" x14ac:dyDescent="0.25">
      <c r="O163" s="1"/>
      <c r="P163" s="1"/>
      <c r="Q163" s="1"/>
      <c r="R163" s="1"/>
      <c r="T163" s="1"/>
      <c r="U163" s="1"/>
      <c r="V163" s="2"/>
      <c r="W163" s="2"/>
      <c r="X163" s="2"/>
      <c r="Y163" s="2"/>
    </row>
    <row r="164" spans="15:25" x14ac:dyDescent="0.25">
      <c r="O164" s="1"/>
      <c r="P164" s="1"/>
      <c r="Q164" s="1"/>
      <c r="R164" s="1"/>
      <c r="T164" s="1"/>
      <c r="U164" s="1"/>
      <c r="V164" s="2"/>
      <c r="W164" s="2"/>
      <c r="X164" s="2"/>
      <c r="Y164" s="2"/>
    </row>
    <row r="165" spans="15:25" x14ac:dyDescent="0.25">
      <c r="O165" s="1"/>
      <c r="P165" s="1"/>
      <c r="Q165" s="1"/>
      <c r="R165" s="1"/>
      <c r="T165" s="1"/>
      <c r="U165" s="1"/>
      <c r="V165" s="2"/>
      <c r="W165" s="2"/>
      <c r="X165" s="2"/>
      <c r="Y165" s="2"/>
    </row>
  </sheetData>
  <mergeCells count="2">
    <mergeCell ref="O2:Q2"/>
    <mergeCell ref="O10:P10"/>
  </mergeCells>
  <pageMargins left="0.7" right="0.7" top="0.75" bottom="0.75" header="0.3" footer="0.3"/>
  <pageSetup paperSize="9" orientation="portrait" horizontalDpi="1200" verticalDpi="12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00000000-000E-0000-0200-000001000000}">
            <x14:iconSet iconSet="3Symbols" showValue="0" custom="1">
              <x14:cfvo type="percent">
                <xm:f>0</xm:f>
              </x14:cfvo>
              <x14:cfvo type="num">
                <xm:f>0.5</xm:f>
              </x14:cfvo>
              <x14:cfvo type="num">
                <xm:f>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P11:P13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FF5BB9810E8454BA2B38D00B6D18848" ma:contentTypeVersion="3" ma:contentTypeDescription="Creare un nuovo documento." ma:contentTypeScope="" ma:versionID="85968c8a5930af966cb491cc87274750">
  <xsd:schema xmlns:xsd="http://www.w3.org/2001/XMLSchema" xmlns:xs="http://www.w3.org/2001/XMLSchema" xmlns:p="http://schemas.microsoft.com/office/2006/metadata/properties" xmlns:ns2="427a1db5-2437-44f3-a84b-464aead4a71a" targetNamespace="http://schemas.microsoft.com/office/2006/metadata/properties" ma:root="true" ma:fieldsID="d822db9e2d05bc620d08fbffa4bfffa8" ns2:_="">
    <xsd:import namespace="427a1db5-2437-44f3-a84b-464aead4a7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a1db5-2437-44f3-a84b-464aead4a7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994F13-F271-45AF-85CE-8D21E3A9C4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336B85-4EF6-4207-AC34-A157362DED5B}">
  <ds:schemaRefs>
    <ds:schemaRef ds:uri="http://schemas.microsoft.com/office/2006/metadata/properties"/>
    <ds:schemaRef ds:uri="http://schemas.microsoft.com/office/infopath/2007/PartnerControls"/>
    <ds:schemaRef ds:uri="2710bc8b-17c9-4e36-a567-5a8748d28b44"/>
    <ds:schemaRef ds:uri="f16ae08e-32aa-43c4-955b-813e13c9303e"/>
  </ds:schemaRefs>
</ds:datastoreItem>
</file>

<file path=customXml/itemProps3.xml><?xml version="1.0" encoding="utf-8"?>
<ds:datastoreItem xmlns:ds="http://schemas.openxmlformats.org/officeDocument/2006/customXml" ds:itemID="{304313B3-8F47-455F-831E-2C2C54A00977}"/>
</file>

<file path=docMetadata/LabelInfo.xml><?xml version="1.0" encoding="utf-8"?>
<clbl:labelList xmlns:clbl="http://schemas.microsoft.com/office/2020/mipLabelMetadata">
  <clbl:label id="{ac69433e-9fbc-4566-9c7b-2629ed8b780f}" enabled="0" method="" siteId="{ac69433e-9fbc-4566-9c7b-2629ed8b780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content</vt:lpstr>
      <vt:lpstr>overhung pump</vt:lpstr>
      <vt:lpstr>Duncan-Hood diagram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2025-09-25T09:12:17Z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0x0101003FF5BB9810E8454BA2B38D00B6D18848</vt:lpwstr>
  </property>
  <property fmtid="{D5CDD505-2E9C-101B-9397-08002B2CF9AE}" pid="3" name="MediaServiceImageTags">
    <vt:lpwstr/>
  </property>
</Properties>
</file>