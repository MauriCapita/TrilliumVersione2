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110453\Downloads\"/>
    </mc:Choice>
  </mc:AlternateContent>
  <xr:revisionPtr revIDLastSave="0" documentId="13_ncr:1_{B0A2BDCF-0D53-451E-9B81-009AAAA6CDC1}" xr6:coauthVersionLast="47" xr6:coauthVersionMax="47" xr10:uidLastSave="{00000000-0000-0000-0000-000000000000}"/>
  <bookViews>
    <workbookView xWindow="-120" yWindow="-120" windowWidth="19440" windowHeight="15000" xr2:uid="{DB1433D5-6549-4838-8705-98E9C2527B4E}"/>
  </bookViews>
  <sheets>
    <sheet name="Cover" sheetId="5" r:id="rId1"/>
    <sheet name="content" sheetId="4" r:id="rId2"/>
    <sheet name="summary" sheetId="3" r:id="rId3"/>
    <sheet name="CFAST1" sheetId="1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bga2">#REF!</definedName>
    <definedName name="_Col1">#REF!</definedName>
    <definedName name="_Col2">#REF!</definedName>
    <definedName name="_Col3">#REF!</definedName>
    <definedName name="_Col4">#REF!</definedName>
    <definedName name="a">#REF!</definedName>
    <definedName name="Ac">#REF!</definedName>
    <definedName name="adsv">#REF!</definedName>
    <definedName name="_xlnm.Print_Area" localSheetId="0">Cover!$A$1:$AD$48</definedName>
    <definedName name="asdfg">[1]DAF!$F$17:$F$20</definedName>
    <definedName name="bga">#REF!</definedName>
    <definedName name="bp">#REF!</definedName>
    <definedName name="CARATTERISTICHE">#REF!</definedName>
    <definedName name="CK">#REF!</definedName>
    <definedName name="CURVA_RIFERIMENTO">#REF!</definedName>
    <definedName name="d">#REF!</definedName>
    <definedName name="das">#REF!</definedName>
    <definedName name="DATA">[2]Bearings!$B$6:$Z$14</definedName>
    <definedName name="ddd">'[3]From RPI'!$AB$90</definedName>
    <definedName name="DEN">'[4] '!$C$5:$C$37</definedName>
    <definedName name="Doc_type">#REF!</definedName>
    <definedName name="DOCID">[5]listes!$C$2:$C$150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>#REF!</definedName>
    <definedName name="Impeller_Eye_Diameter" localSheetId="0">#REF!</definedName>
    <definedName name="Impeller_Eye_Diameter">#REF!</definedName>
    <definedName name="Impeller_Hub_Diameter" localSheetId="0">#REF!</definedName>
    <definedName name="Impeller_Hub_Diameter">#REF!</definedName>
    <definedName name="Impeller_Inlet_Diameter" localSheetId="0">#REF!</definedName>
    <definedName name="Impeller_Inlet_Diameter">#REF!</definedName>
    <definedName name="indx">#REF!</definedName>
    <definedName name="INT_DIAM">#REF!</definedName>
    <definedName name="Items">#REF!</definedName>
    <definedName name="kl">#REF!</definedName>
    <definedName name="KR">#REF!</definedName>
    <definedName name="LAG">#REF!</definedName>
    <definedName name="Language">#REF!</definedName>
    <definedName name="Larghezza">#REF!</definedName>
    <definedName name="LENGHTS">#REF!</definedName>
    <definedName name="LINE_LIST_UNIT_31">#REF!</definedName>
    <definedName name="ListIndex">#REF!</definedName>
    <definedName name="MAT">#REF!</definedName>
    <definedName name="Number">#REF!</definedName>
    <definedName name="pipesize">#REF!</definedName>
    <definedName name="Portata">#REF!</definedName>
    <definedName name="portatacalcolo">'[6]Basi di progetto'!$D$16</definedName>
    <definedName name="portataminima">'[6]Basi di progetto'!$D$10</definedName>
    <definedName name="portatanera">'[6]Basi di progetto'!$D$14</definedName>
    <definedName name="portcalcolo">#REF!</definedName>
    <definedName name="portnera">#REF!</definedName>
    <definedName name="Print_Area_MI">#REF!</definedName>
    <definedName name="prtpioggia">'[6]Basi di progetto'!$D$12</definedName>
    <definedName name="pump">#REF!</definedName>
    <definedName name="PUMPCALC">'[7]PUMP CALCULATION'!$J$4</definedName>
    <definedName name="PUMPDATA">'[7]PUMP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RPM">#REF!</definedName>
    <definedName name="s">'[3]From RPI'!$AB$88</definedName>
    <definedName name="solub">#REF!</definedName>
    <definedName name="Speed">[8]Utility!$A$3</definedName>
    <definedName name="Suction_Diameter" localSheetId="0">#REF!</definedName>
    <definedName name="Suction_Diameter">#REF!</definedName>
    <definedName name="Sup">#REF!</definedName>
    <definedName name="title">#REF!</definedName>
    <definedName name="TRASPORTA">#REF!</definedName>
    <definedName name="uh">#REF!</definedName>
    <definedName name="UNIT">[5]listes!$D$2:$D$150</definedName>
    <definedName name="Unit_number">#REF!</definedName>
    <definedName name="units">#REF!</definedName>
    <definedName name="Value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[5]listes!$A$2:$A$25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F26" i="1"/>
  <c r="D26" i="1"/>
  <c r="H26" i="1"/>
  <c r="I27" i="1" l="1"/>
  <c r="C27" i="1" l="1" a="1"/>
  <c r="C27" i="1" s="1"/>
  <c r="C26" i="1" a="1"/>
  <c r="C26" i="1" s="1"/>
  <c r="C25" i="1" a="1"/>
  <c r="C25" i="1" s="1"/>
  <c r="C5" i="1" l="1"/>
  <c r="C6" i="1"/>
  <c r="O6" i="1"/>
  <c r="S6" i="1" s="1"/>
  <c r="O7" i="1"/>
  <c r="S7" i="1" s="1"/>
  <c r="O8" i="1"/>
  <c r="Q8" i="1" s="1"/>
  <c r="O9" i="1"/>
  <c r="Q9" i="1" s="1"/>
  <c r="O10" i="1"/>
  <c r="S10" i="1" s="1"/>
  <c r="O11" i="1"/>
  <c r="S11" i="1" s="1"/>
  <c r="O12" i="1"/>
  <c r="S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5" i="1"/>
  <c r="Q5" i="1" s="1"/>
  <c r="O4" i="1"/>
  <c r="S4" i="1" s="1"/>
  <c r="S9" i="1" l="1"/>
  <c r="S8" i="1"/>
  <c r="S22" i="1"/>
  <c r="Q7" i="1"/>
  <c r="Q10" i="1"/>
  <c r="Q6" i="1"/>
  <c r="Q12" i="1"/>
  <c r="Q11" i="1"/>
  <c r="S16" i="1"/>
  <c r="S21" i="1"/>
  <c r="S17" i="1"/>
  <c r="S13" i="1"/>
  <c r="S23" i="1"/>
  <c r="S19" i="1"/>
  <c r="S14" i="1"/>
  <c r="Q4" i="1"/>
  <c r="S20" i="1"/>
  <c r="S18" i="1"/>
  <c r="S15" i="1"/>
  <c r="S5" i="1"/>
  <c r="D33" i="1"/>
  <c r="D32" i="1"/>
  <c r="J18" i="1"/>
  <c r="J17" i="1"/>
  <c r="J16" i="1"/>
  <c r="J15" i="1"/>
  <c r="J14" i="1"/>
  <c r="J13" i="1"/>
  <c r="J12" i="1"/>
  <c r="J11" i="1"/>
  <c r="J10" i="1"/>
  <c r="J29" i="1" l="1"/>
  <c r="D30" i="1" s="1"/>
  <c r="J30" i="1" l="1"/>
  <c r="D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<sst xmlns="http://schemas.openxmlformats.org/spreadsheetml/2006/main" count="123" uniqueCount="109">
  <si>
    <t>Nastran Fastner Creator</t>
  </si>
  <si>
    <t>Approved</t>
  </si>
  <si>
    <t>Date</t>
  </si>
  <si>
    <t>Tool for the creation of CFAST for VS pumps</t>
  </si>
  <si>
    <t>number of
fastner</t>
  </si>
  <si>
    <t>prop. ID
fastner</t>
  </si>
  <si>
    <t>name
flange 1</t>
  </si>
  <si>
    <t>name
flange 2</t>
  </si>
  <si>
    <t>prop. ID
flange 1</t>
  </si>
  <si>
    <t>prop. ID
flange 2</t>
  </si>
  <si>
    <t>fastner diameter</t>
  </si>
  <si>
    <t>Young's modulus flange 1</t>
  </si>
  <si>
    <t>Young's modulus flange 2</t>
  </si>
  <si>
    <t>Young's modulus fastner</t>
  </si>
  <si>
    <t>thickness flange1</t>
  </si>
  <si>
    <t>thickness flange2</t>
  </si>
  <si>
    <t>prop. Name</t>
  </si>
  <si>
    <t>ID</t>
  </si>
  <si>
    <t>Legenda</t>
  </si>
  <si>
    <t>counter</t>
  </si>
  <si>
    <t>ID [-]</t>
  </si>
  <si>
    <r>
      <t>name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[-]</t>
    </r>
  </si>
  <si>
    <r>
      <t>name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[-]</t>
    </r>
  </si>
  <si>
    <r>
      <t>ID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[-]</t>
    </r>
  </si>
  <si>
    <r>
      <t>ID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[-]</t>
    </r>
  </si>
  <si>
    <t>D [mm]</t>
  </si>
  <si>
    <r>
      <t>E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</si>
  <si>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</si>
  <si>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[GPa]</t>
    </r>
  </si>
  <si>
    <r>
      <t>t</t>
    </r>
    <r>
      <rPr>
        <b/>
        <vertAlign val="subscript"/>
        <sz val="11"/>
        <color theme="1"/>
        <rFont val="Calibri"/>
        <family val="2"/>
      </rPr>
      <t>1</t>
    </r>
    <r>
      <rPr>
        <b/>
        <sz val="11"/>
        <color theme="1"/>
        <rFont val="Calibri"/>
        <family val="2"/>
      </rPr>
      <t xml:space="preserve"> [mm]</t>
    </r>
  </si>
  <si>
    <r>
      <t>t</t>
    </r>
    <r>
      <rPr>
        <b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 xml:space="preserve"> [mm]</t>
    </r>
  </si>
  <si>
    <t>anello</t>
  </si>
  <si>
    <t>input data</t>
  </si>
  <si>
    <t>gomito1</t>
  </si>
  <si>
    <t>descriptor</t>
  </si>
  <si>
    <t>tronco8</t>
  </si>
  <si>
    <t>calculated formula</t>
  </si>
  <si>
    <t>tronco7</t>
  </si>
  <si>
    <t>tronco6</t>
  </si>
  <si>
    <t xml:space="preserve">ID properties </t>
  </si>
  <si>
    <t>Fastner ID and position</t>
  </si>
  <si>
    <r>
      <t>n</t>
    </r>
    <r>
      <rPr>
        <b/>
        <vertAlign val="subscript"/>
        <sz val="9"/>
        <color theme="0"/>
        <rFont val="Calibri"/>
        <family val="2"/>
        <scheme val="minor"/>
      </rPr>
      <t>f</t>
    </r>
    <r>
      <rPr>
        <b/>
        <sz val="9"/>
        <color theme="0"/>
        <rFont val="Calibri"/>
        <family val="2"/>
        <scheme val="minor"/>
      </rPr>
      <t xml:space="preserve"> [-]</t>
    </r>
  </si>
  <si>
    <t>(fastner number)</t>
  </si>
  <si>
    <r>
      <t>fastner</t>
    </r>
    <r>
      <rPr>
        <vertAlign val="subscript"/>
        <sz val="11"/>
        <color theme="0"/>
        <rFont val="Calibri"/>
        <family val="2"/>
        <scheme val="minor"/>
      </rPr>
      <t>ID</t>
    </r>
    <r>
      <rPr>
        <sz val="11"/>
        <color theme="0"/>
        <rFont val="Calibri"/>
        <family val="2"/>
        <scheme val="minor"/>
      </rPr>
      <t xml:space="preserve"> [-]</t>
    </r>
  </si>
  <si>
    <t>r [mm]</t>
  </si>
  <si>
    <t>ϑ [°]</t>
  </si>
  <si>
    <t>x [mm]</t>
  </si>
  <si>
    <t>y [mm]</t>
  </si>
  <si>
    <t>z [mm]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</si>
  <si>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ID</t>
    </r>
    <r>
      <rPr>
        <b/>
        <sz val="11"/>
        <color theme="0"/>
        <rFont val="Calibri"/>
        <family val="2"/>
        <scheme val="minor"/>
      </rPr>
      <t xml:space="preserve"> [-]</t>
    </r>
  </si>
  <si>
    <t>(fastner property ID)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</si>
  <si>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[-]</t>
    </r>
  </si>
  <si>
    <t>(prop. ID of flange 1)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</si>
  <si>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[-]</t>
    </r>
  </si>
  <si>
    <t>(prop. ID of flange 2)</t>
  </si>
  <si>
    <r>
      <t>name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[-]</t>
    </r>
  </si>
  <si>
    <t>(name of flange 1)</t>
  </si>
  <si>
    <r>
      <t>name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[-]</t>
    </r>
  </si>
  <si>
    <t>(name of flange 2)</t>
  </si>
  <si>
    <t>Geometry and mechanical properties</t>
  </si>
  <si>
    <r>
      <t>D</t>
    </r>
    <r>
      <rPr>
        <b/>
        <i/>
        <vertAlign val="subscript"/>
        <sz val="11"/>
        <color theme="0"/>
        <rFont val="Calibri"/>
        <family val="2"/>
        <scheme val="minor"/>
      </rPr>
      <t>F</t>
    </r>
    <r>
      <rPr>
        <b/>
        <i/>
        <sz val="11"/>
        <color theme="0"/>
        <rFont val="Calibri"/>
        <family val="2"/>
        <scheme val="minor"/>
      </rPr>
      <t xml:space="preserve"> [mm]</t>
    </r>
  </si>
  <si>
    <t>(fastner diameter)</t>
  </si>
  <si>
    <t>fastner</t>
  </si>
  <si>
    <r>
      <t>E</t>
    </r>
    <r>
      <rPr>
        <b/>
        <i/>
        <vertAlign val="subscript"/>
        <sz val="11"/>
        <color theme="0"/>
        <rFont val="Calibri"/>
        <family val="2"/>
        <scheme val="minor"/>
      </rPr>
      <t>F</t>
    </r>
    <r>
      <rPr>
        <b/>
        <i/>
        <sz val="11"/>
        <color theme="0"/>
        <rFont val="Calibri"/>
        <family val="2"/>
        <scheme val="minor"/>
      </rPr>
      <t xml:space="preserve"> [GPa]</t>
    </r>
  </si>
  <si>
    <t>(Young's module fastner)</t>
  </si>
  <si>
    <r>
      <t>ν</t>
    </r>
    <r>
      <rPr>
        <b/>
        <i/>
        <vertAlign val="subscript"/>
        <sz val="11"/>
        <color theme="0"/>
        <rFont val="Calibri"/>
        <family val="2"/>
      </rPr>
      <t>F</t>
    </r>
    <r>
      <rPr>
        <b/>
        <i/>
        <sz val="11"/>
        <color theme="0"/>
        <rFont val="Calibri"/>
        <family val="2"/>
      </rPr>
      <t xml:space="preserve"> [-]</t>
    </r>
  </si>
  <si>
    <t>(Poisson's coefficient fastner)</t>
  </si>
  <si>
    <r>
      <t>t</t>
    </r>
    <r>
      <rPr>
        <b/>
        <i/>
        <vertAlign val="subscript"/>
        <sz val="11"/>
        <color theme="0"/>
        <rFont val="Calibri"/>
        <family val="2"/>
      </rPr>
      <t>1</t>
    </r>
    <r>
      <rPr>
        <b/>
        <i/>
        <sz val="11"/>
        <color theme="0"/>
        <rFont val="Calibri"/>
        <family val="2"/>
      </rPr>
      <t xml:space="preserve"> [mm]</t>
    </r>
  </si>
  <si>
    <t>(flange 1 thickness)</t>
  </si>
  <si>
    <t>flange 1</t>
  </si>
  <si>
    <r>
      <t>E</t>
    </r>
    <r>
      <rPr>
        <b/>
        <i/>
        <vertAlign val="subscript"/>
        <sz val="11"/>
        <color theme="0"/>
        <rFont val="Calibri"/>
        <family val="2"/>
        <scheme val="minor"/>
      </rPr>
      <t>1</t>
    </r>
    <r>
      <rPr>
        <b/>
        <i/>
        <sz val="11"/>
        <color theme="0"/>
        <rFont val="Calibri"/>
        <family val="2"/>
        <scheme val="minor"/>
      </rPr>
      <t xml:space="preserve"> [GPa]</t>
    </r>
  </si>
  <si>
    <t>(Young's module flange 1)</t>
  </si>
  <si>
    <r>
      <t>ν</t>
    </r>
    <r>
      <rPr>
        <b/>
        <i/>
        <vertAlign val="subscript"/>
        <sz val="11"/>
        <color theme="0"/>
        <rFont val="Calibri"/>
        <family val="2"/>
      </rPr>
      <t>1</t>
    </r>
    <r>
      <rPr>
        <b/>
        <i/>
        <sz val="11"/>
        <color theme="0"/>
        <rFont val="Calibri"/>
        <family val="2"/>
      </rPr>
      <t xml:space="preserve"> [-]</t>
    </r>
  </si>
  <si>
    <t>(Poisson's coefficient flange 1)</t>
  </si>
  <si>
    <r>
      <t>t</t>
    </r>
    <r>
      <rPr>
        <b/>
        <i/>
        <vertAlign val="subscript"/>
        <sz val="11"/>
        <color theme="0"/>
        <rFont val="Calibri"/>
        <family val="2"/>
      </rPr>
      <t>2</t>
    </r>
    <r>
      <rPr>
        <b/>
        <i/>
        <sz val="11"/>
        <color theme="0"/>
        <rFont val="Calibri"/>
        <family val="2"/>
      </rPr>
      <t xml:space="preserve"> [mm]</t>
    </r>
  </si>
  <si>
    <t>(flange 2 thickness)</t>
  </si>
  <si>
    <t>flange 2</t>
  </si>
  <si>
    <r>
      <t>E</t>
    </r>
    <r>
      <rPr>
        <b/>
        <i/>
        <vertAlign val="subscript"/>
        <sz val="11"/>
        <color theme="0"/>
        <rFont val="Calibri"/>
        <family val="2"/>
        <scheme val="minor"/>
      </rPr>
      <t>2</t>
    </r>
    <r>
      <rPr>
        <b/>
        <i/>
        <sz val="11"/>
        <color theme="0"/>
        <rFont val="Calibri"/>
        <family val="2"/>
        <scheme val="minor"/>
      </rPr>
      <t xml:space="preserve"> [GPa]</t>
    </r>
  </si>
  <si>
    <t>(Young's module flange 2)</t>
  </si>
  <si>
    <r>
      <t>ν</t>
    </r>
    <r>
      <rPr>
        <b/>
        <i/>
        <vertAlign val="subscript"/>
        <sz val="11"/>
        <color theme="0"/>
        <rFont val="Calibri"/>
        <family val="2"/>
      </rPr>
      <t>2</t>
    </r>
    <r>
      <rPr>
        <b/>
        <i/>
        <sz val="11"/>
        <color theme="0"/>
        <rFont val="Calibri"/>
        <family val="2"/>
      </rPr>
      <t xml:space="preserve"> [-]</t>
    </r>
  </si>
  <si>
    <t>(Poisson's coefficient flange 2)</t>
  </si>
  <si>
    <t>n [-]</t>
  </si>
  <si>
    <t>a [-]</t>
  </si>
  <si>
    <t>Flange 1 material</t>
  </si>
  <si>
    <t>Flange 2 material</t>
  </si>
  <si>
    <t>Connection type</t>
  </si>
  <si>
    <r>
      <t>b</t>
    </r>
    <r>
      <rPr>
        <b/>
        <vertAlign val="subscript"/>
        <sz val="11"/>
        <color theme="0"/>
        <rFont val="Calibri"/>
        <family val="2"/>
      </rPr>
      <t>1</t>
    </r>
    <r>
      <rPr>
        <b/>
        <sz val="11"/>
        <color theme="0"/>
        <rFont val="Calibri"/>
        <family val="2"/>
      </rPr>
      <t xml:space="preserve"> [-]</t>
    </r>
  </si>
  <si>
    <t>metallic</t>
  </si>
  <si>
    <t>bolted</t>
  </si>
  <si>
    <r>
      <t>b</t>
    </r>
    <r>
      <rPr>
        <b/>
        <vertAlign val="subscript"/>
        <sz val="11"/>
        <color theme="0"/>
        <rFont val="Calibri"/>
        <family val="2"/>
      </rPr>
      <t>2</t>
    </r>
    <r>
      <rPr>
        <b/>
        <sz val="11"/>
        <color theme="0"/>
        <rFont val="Calibri"/>
        <family val="2"/>
      </rPr>
      <t xml:space="preserve"> [-]</t>
    </r>
  </si>
  <si>
    <t>Fastner stiffnesses</t>
  </si>
  <si>
    <t>N/m</t>
  </si>
  <si>
    <r>
      <t>k</t>
    </r>
    <r>
      <rPr>
        <b/>
        <i/>
        <vertAlign val="subscript"/>
        <sz val="11"/>
        <color theme="0"/>
        <rFont val="Calibri"/>
        <family val="2"/>
        <scheme val="minor"/>
      </rPr>
      <t>axial</t>
    </r>
    <r>
      <rPr>
        <b/>
        <i/>
        <sz val="11"/>
        <color theme="0"/>
        <rFont val="Calibri"/>
        <family val="2"/>
        <scheme val="minor"/>
      </rPr>
      <t xml:space="preserve"> [N/mm]</t>
    </r>
  </si>
  <si>
    <r>
      <t>k</t>
    </r>
    <r>
      <rPr>
        <b/>
        <i/>
        <vertAlign val="subscript"/>
        <sz val="11"/>
        <color theme="0"/>
        <rFont val="Calibri"/>
        <family val="2"/>
        <scheme val="minor"/>
      </rPr>
      <t>shear</t>
    </r>
    <r>
      <rPr>
        <b/>
        <i/>
        <sz val="11"/>
        <color theme="0"/>
        <rFont val="Calibri"/>
        <family val="2"/>
        <scheme val="minor"/>
      </rPr>
      <t xml:space="preserve"> [N/mm]</t>
    </r>
  </si>
  <si>
    <t>Nm/rad</t>
  </si>
  <si>
    <r>
      <t>k</t>
    </r>
    <r>
      <rPr>
        <b/>
        <i/>
        <vertAlign val="subscript"/>
        <sz val="11"/>
        <color theme="0"/>
        <rFont val="Calibri"/>
        <family val="2"/>
        <scheme val="minor"/>
      </rPr>
      <t>bending</t>
    </r>
    <r>
      <rPr>
        <b/>
        <i/>
        <sz val="11"/>
        <color theme="0"/>
        <rFont val="Calibri"/>
        <family val="2"/>
        <scheme val="minor"/>
      </rPr>
      <t xml:space="preserve"> [Nmm/rad]</t>
    </r>
  </si>
  <si>
    <r>
      <t>k</t>
    </r>
    <r>
      <rPr>
        <b/>
        <i/>
        <vertAlign val="subscript"/>
        <sz val="11"/>
        <color theme="0"/>
        <rFont val="Calibri"/>
        <family val="2"/>
        <scheme val="minor"/>
      </rPr>
      <t>torsion</t>
    </r>
    <r>
      <rPr>
        <b/>
        <i/>
        <sz val="11"/>
        <color theme="0"/>
        <rFont val="Calibri"/>
        <family val="2"/>
        <scheme val="minor"/>
      </rPr>
      <t xml:space="preserve"> [Nmm/rad]</t>
    </r>
  </si>
  <si>
    <t>graphite/epoxy</t>
  </si>
  <si>
    <t>riveted</t>
  </si>
  <si>
    <t>First issue</t>
  </si>
  <si>
    <t>QA/HSEM C.Delli Quadri - M.Tremolada</t>
  </si>
  <si>
    <t>R&amp;D Manager / M.Borghetti</t>
  </si>
  <si>
    <t>Rev.</t>
  </si>
  <si>
    <t>Description</t>
  </si>
  <si>
    <t>Prepared</t>
  </si>
  <si>
    <t>Checked</t>
  </si>
  <si>
    <t>Nastran Fastner Creator
(linked to SOP-482)</t>
  </si>
  <si>
    <t>R&amp;D -F.Cademartori</t>
  </si>
  <si>
    <t>Mod.464-0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</si>
</sst>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_)"/>
    <numFmt numFmtId="165" formatCode="&quot;$&quot;#,##0.00;[Red]\-&quot;$&quot;#,##0.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i/>
      <vertAlign val="subscript"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vertAlign val="subscript"/>
      <sz val="9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sz val="11"/>
      <color theme="0"/>
      <name val="Calibri"/>
      <family val="2"/>
    </font>
    <font>
      <b/>
      <i/>
      <sz val="9"/>
      <color theme="0"/>
      <name val="Calibri"/>
      <family val="2"/>
      <scheme val="minor"/>
    </font>
    <font>
      <b/>
      <i/>
      <vertAlign val="subscript"/>
      <sz val="11"/>
      <color theme="0"/>
      <name val="Calibri"/>
      <family val="2"/>
    </font>
    <font>
      <b/>
      <i/>
      <sz val="11"/>
      <color theme="0"/>
      <name val="Calibri"/>
      <family val="2"/>
    </font>
    <font>
      <vertAlign val="subscript"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34" fillId="0" borderId="0"/>
    <xf numFmtId="164" fontId="35" fillId="0" borderId="0"/>
    <xf numFmtId="165" fontId="41" fillId="0" borderId="0" applyFont="0" applyFill="0" applyBorder="0" applyAlignment="0" applyProtection="0"/>
  </cellStyleXfs>
  <cellXfs count="135"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/>
    </xf>
    <xf numFmtId="0" fontId="0" fillId="0" borderId="9" xfId="0" applyBorder="1"/>
    <xf numFmtId="0" fontId="5" fillId="0" borderId="8" xfId="0" applyFont="1" applyBorder="1"/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5" fillId="0" borderId="11" xfId="0" applyFont="1" applyBorder="1"/>
    <xf numFmtId="0" fontId="0" fillId="0" borderId="12" xfId="0" applyBorder="1"/>
    <xf numFmtId="0" fontId="9" fillId="0" borderId="0" xfId="0" applyFont="1"/>
    <xf numFmtId="11" fontId="0" fillId="0" borderId="0" xfId="0" applyNumberFormat="1" applyAlignment="1">
      <alignment horizontal="center"/>
    </xf>
    <xf numFmtId="11" fontId="8" fillId="0" borderId="4" xfId="0" applyNumberFormat="1" applyFont="1" applyBorder="1" applyAlignment="1">
      <alignment horizontal="center"/>
    </xf>
    <xf numFmtId="11" fontId="8" fillId="0" borderId="6" xfId="0" applyNumberFormat="1" applyFont="1" applyBorder="1" applyAlignment="1">
      <alignment horizontal="center"/>
    </xf>
    <xf numFmtId="11" fontId="8" fillId="0" borderId="9" xfId="0" applyNumberFormat="1" applyFont="1" applyBorder="1" applyAlignment="1">
      <alignment horizontal="center"/>
    </xf>
    <xf numFmtId="0" fontId="10" fillId="2" borderId="2" xfId="0" applyFont="1" applyFill="1" applyBorder="1"/>
    <xf numFmtId="0" fontId="10" fillId="2" borderId="3" xfId="0" applyFont="1" applyFill="1" applyBorder="1"/>
    <xf numFmtId="0" fontId="10" fillId="2" borderId="4" xfId="0" applyFont="1" applyFill="1" applyBorder="1"/>
    <xf numFmtId="0" fontId="10" fillId="2" borderId="5" xfId="0" applyFont="1" applyFill="1" applyBorder="1"/>
    <xf numFmtId="0" fontId="10" fillId="2" borderId="0" xfId="0" applyFont="1" applyFill="1"/>
    <xf numFmtId="0" fontId="10" fillId="2" borderId="6" xfId="0" applyFont="1" applyFill="1" applyBorder="1"/>
    <xf numFmtId="0" fontId="10" fillId="2" borderId="7" xfId="0" applyFont="1" applyFill="1" applyBorder="1"/>
    <xf numFmtId="0" fontId="10" fillId="2" borderId="8" xfId="0" applyFont="1" applyFill="1" applyBorder="1"/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1" fontId="0" fillId="0" borderId="0" xfId="0" applyNumberFormat="1"/>
    <xf numFmtId="0" fontId="1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0" fillId="4" borderId="10" xfId="0" applyFill="1" applyBorder="1"/>
    <xf numFmtId="0" fontId="0" fillId="4" borderId="11" xfId="0" applyFill="1" applyBorder="1"/>
    <xf numFmtId="0" fontId="3" fillId="4" borderId="1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0" xfId="1" applyFont="1"/>
    <xf numFmtId="0" fontId="5" fillId="4" borderId="0" xfId="0" applyFont="1" applyFill="1" applyAlignment="1">
      <alignment horizontal="center"/>
    </xf>
    <xf numFmtId="0" fontId="0" fillId="0" borderId="0" xfId="0" applyAlignment="1">
      <alignment wrapText="1"/>
    </xf>
    <xf numFmtId="2" fontId="8" fillId="0" borderId="1" xfId="0" applyNumberFormat="1" applyFont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 wrapText="1"/>
    </xf>
    <xf numFmtId="0" fontId="28" fillId="3" borderId="13" xfId="0" applyFont="1" applyFill="1" applyBorder="1" applyAlignment="1">
      <alignment horizontal="center" vertical="center" wrapText="1"/>
    </xf>
    <xf numFmtId="0" fontId="28" fillId="3" borderId="14" xfId="0" applyFont="1" applyFill="1" applyBorder="1" applyAlignment="1">
      <alignment horizontal="center" vertical="center" wrapText="1"/>
    </xf>
    <xf numFmtId="0" fontId="28" fillId="3" borderId="15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20" fillId="4" borderId="3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8" xfId="0" applyFont="1" applyFill="1" applyBorder="1" applyAlignment="1">
      <alignment horizontal="center"/>
    </xf>
    <xf numFmtId="0" fontId="20" fillId="4" borderId="15" xfId="0" applyFont="1" applyFill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6" fillId="0" borderId="0" xfId="0" applyFont="1" applyAlignment="1">
      <alignment vertical="center" wrapText="1"/>
    </xf>
    <xf numFmtId="2" fontId="0" fillId="0" borderId="1" xfId="0" applyNumberFormat="1" applyBorder="1" applyAlignment="1">
      <alignment horizontal="center"/>
    </xf>
    <xf numFmtId="0" fontId="34" fillId="0" borderId="17" xfId="2" applyBorder="1" applyAlignment="1">
      <alignment horizontal="center" vertical="center"/>
    </xf>
    <xf numFmtId="0" fontId="34" fillId="0" borderId="18" xfId="2" applyBorder="1" applyAlignment="1">
      <alignment horizontal="center" vertical="center"/>
    </xf>
    <xf numFmtId="0" fontId="34" fillId="0" borderId="19" xfId="2" applyBorder="1" applyAlignment="1">
      <alignment horizontal="center" vertical="center"/>
    </xf>
    <xf numFmtId="164" fontId="35" fillId="0" borderId="0" xfId="3"/>
    <xf numFmtId="0" fontId="34" fillId="0" borderId="20" xfId="2" applyBorder="1" applyAlignment="1">
      <alignment horizontal="center" vertical="center"/>
    </xf>
    <xf numFmtId="0" fontId="34" fillId="0" borderId="0" xfId="2" applyAlignment="1">
      <alignment horizontal="center" vertical="center"/>
    </xf>
    <xf numFmtId="0" fontId="34" fillId="0" borderId="21" xfId="2" applyBorder="1" applyAlignment="1">
      <alignment horizontal="center" vertical="center"/>
    </xf>
    <xf numFmtId="0" fontId="36" fillId="0" borderId="0" xfId="2" applyFont="1" applyAlignment="1">
      <alignment horizontal="center" vertical="top"/>
    </xf>
    <xf numFmtId="0" fontId="34" fillId="0" borderId="0" xfId="2" applyAlignment="1">
      <alignment horizontal="center"/>
    </xf>
    <xf numFmtId="0" fontId="37" fillId="0" borderId="0" xfId="2" applyFont="1" applyAlignment="1">
      <alignment horizontal="center" vertical="top"/>
    </xf>
    <xf numFmtId="0" fontId="38" fillId="0" borderId="21" xfId="2" applyFont="1" applyBorder="1" applyAlignment="1">
      <alignment horizontal="center" vertical="top"/>
    </xf>
    <xf numFmtId="0" fontId="39" fillId="0" borderId="20" xfId="2" applyFont="1" applyBorder="1" applyAlignment="1">
      <alignment horizontal="center" vertical="center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39" fillId="0" borderId="21" xfId="2" applyFont="1" applyBorder="1" applyAlignment="1">
      <alignment horizontal="center" vertical="center"/>
    </xf>
    <xf numFmtId="165" fontId="34" fillId="0" borderId="22" xfId="4" applyFont="1" applyBorder="1" applyAlignment="1">
      <alignment horizontal="right" vertical="center"/>
    </xf>
    <xf numFmtId="165" fontId="35" fillId="0" borderId="23" xfId="4" applyFont="1" applyBorder="1" applyAlignment="1">
      <alignment horizontal="right" vertical="center"/>
    </xf>
    <xf numFmtId="165" fontId="35" fillId="0" borderId="24" xfId="4" applyFont="1" applyBorder="1" applyAlignment="1">
      <alignment horizontal="right" vertical="center"/>
    </xf>
    <xf numFmtId="165" fontId="34" fillId="0" borderId="32" xfId="4" applyFont="1" applyBorder="1" applyAlignment="1">
      <alignment horizontal="center" vertical="center"/>
    </xf>
    <xf numFmtId="165" fontId="34" fillId="0" borderId="33" xfId="4" applyFont="1" applyBorder="1" applyAlignment="1">
      <alignment horizontal="center" vertical="center"/>
    </xf>
    <xf numFmtId="0" fontId="42" fillId="0" borderId="34" xfId="2" applyFont="1" applyBorder="1" applyAlignment="1">
      <alignment horizontal="center" vertical="center"/>
    </xf>
    <xf numFmtId="0" fontId="42" fillId="0" borderId="35" xfId="2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0" fontId="42" fillId="0" borderId="36" xfId="2" applyFont="1" applyBorder="1" applyAlignment="1">
      <alignment horizontal="center" vertical="center"/>
    </xf>
    <xf numFmtId="0" fontId="41" fillId="0" borderId="10" xfId="2" applyFont="1" applyBorder="1" applyAlignment="1">
      <alignment horizontal="center" vertical="center" wrapText="1"/>
    </xf>
    <xf numFmtId="0" fontId="41" fillId="0" borderId="11" xfId="2" applyFont="1" applyBorder="1" applyAlignment="1">
      <alignment horizontal="center" vertical="center" wrapText="1"/>
    </xf>
    <xf numFmtId="0" fontId="41" fillId="0" borderId="31" xfId="2" applyFont="1" applyBorder="1" applyAlignment="1">
      <alignment horizontal="center" vertical="center" wrapText="1"/>
    </xf>
    <xf numFmtId="0" fontId="34" fillId="0" borderId="30" xfId="2" applyBorder="1" applyAlignment="1">
      <alignment horizontal="center" vertical="center"/>
    </xf>
    <xf numFmtId="0" fontId="34" fillId="0" borderId="12" xfId="2" applyBorder="1" applyAlignment="1">
      <alignment horizontal="center" vertical="center"/>
    </xf>
    <xf numFmtId="0" fontId="34" fillId="0" borderId="10" xfId="2" applyBorder="1" applyAlignment="1">
      <alignment horizontal="center" vertical="center"/>
    </xf>
    <xf numFmtId="0" fontId="34" fillId="0" borderId="11" xfId="2" applyBorder="1" applyAlignment="1">
      <alignment horizontal="center" vertical="center"/>
    </xf>
    <xf numFmtId="0" fontId="34" fillId="0" borderId="31" xfId="2" applyBorder="1" applyAlignment="1">
      <alignment horizontal="center" vertical="center"/>
    </xf>
    <xf numFmtId="0" fontId="41" fillId="0" borderId="30" xfId="2" applyFont="1" applyBorder="1" applyAlignment="1">
      <alignment horizontal="center" vertical="center"/>
    </xf>
    <xf numFmtId="0" fontId="41" fillId="0" borderId="12" xfId="2" applyFont="1" applyBorder="1" applyAlignment="1">
      <alignment horizontal="center" vertical="center"/>
    </xf>
    <xf numFmtId="14" fontId="41" fillId="0" borderId="10" xfId="2" applyNumberFormat="1" applyFont="1" applyBorder="1" applyAlignment="1">
      <alignment horizontal="center" vertical="center"/>
    </xf>
    <xf numFmtId="14" fontId="41" fillId="0" borderId="11" xfId="2" applyNumberFormat="1" applyFont="1" applyBorder="1" applyAlignment="1">
      <alignment horizontal="center" vertical="center"/>
    </xf>
    <xf numFmtId="14" fontId="41" fillId="0" borderId="12" xfId="2" applyNumberFormat="1" applyFont="1" applyBorder="1" applyAlignment="1">
      <alignment horizontal="center" vertical="center"/>
    </xf>
    <xf numFmtId="0" fontId="41" fillId="0" borderId="10" xfId="2" applyFont="1" applyBorder="1" applyAlignment="1">
      <alignment horizontal="center" vertical="center"/>
    </xf>
    <xf numFmtId="0" fontId="41" fillId="0" borderId="11" xfId="2" applyFont="1" applyBorder="1" applyAlignment="1">
      <alignment horizontal="center" vertical="center"/>
    </xf>
    <xf numFmtId="0" fontId="41" fillId="0" borderId="12" xfId="2" applyFont="1" applyBorder="1" applyAlignment="1">
      <alignment horizontal="center" vertical="center" wrapText="1"/>
    </xf>
    <xf numFmtId="0" fontId="39" fillId="0" borderId="17" xfId="2" applyFont="1" applyBorder="1" applyAlignment="1">
      <alignment horizontal="center" vertical="center" wrapText="1"/>
    </xf>
    <xf numFmtId="0" fontId="39" fillId="0" borderId="18" xfId="2" applyFont="1" applyBorder="1" applyAlignment="1">
      <alignment horizontal="center" vertical="center" wrapText="1"/>
    </xf>
    <xf numFmtId="0" fontId="39" fillId="0" borderId="19" xfId="2" applyFont="1" applyBorder="1" applyAlignment="1">
      <alignment horizontal="center" vertical="center" wrapText="1"/>
    </xf>
    <xf numFmtId="0" fontId="39" fillId="0" borderId="20" xfId="2" applyFont="1" applyBorder="1" applyAlignment="1">
      <alignment horizontal="center" vertical="center" wrapText="1"/>
    </xf>
    <xf numFmtId="0" fontId="39" fillId="0" borderId="0" xfId="2" applyFont="1" applyAlignment="1">
      <alignment horizontal="center" vertical="center" wrapText="1"/>
    </xf>
    <xf numFmtId="0" fontId="39" fillId="0" borderId="21" xfId="2" applyFont="1" applyBorder="1" applyAlignment="1">
      <alignment horizontal="center" vertical="center" wrapText="1"/>
    </xf>
    <xf numFmtId="0" fontId="39" fillId="0" borderId="22" xfId="2" applyFont="1" applyBorder="1" applyAlignment="1">
      <alignment horizontal="center" vertical="center" wrapText="1"/>
    </xf>
    <xf numFmtId="0" fontId="39" fillId="0" borderId="23" xfId="2" applyFont="1" applyBorder="1" applyAlignment="1">
      <alignment horizontal="center" vertical="center" wrapText="1"/>
    </xf>
    <xf numFmtId="0" fontId="39" fillId="0" borderId="24" xfId="2" applyFont="1" applyBorder="1" applyAlignment="1">
      <alignment horizontal="center" vertical="center" wrapText="1"/>
    </xf>
    <xf numFmtId="0" fontId="34" fillId="0" borderId="25" xfId="2" applyBorder="1" applyAlignment="1">
      <alignment horizontal="center" vertical="center"/>
    </xf>
    <xf numFmtId="0" fontId="34" fillId="0" borderId="26" xfId="2" applyBorder="1" applyAlignment="1">
      <alignment horizontal="center" vertical="center"/>
    </xf>
    <xf numFmtId="0" fontId="34" fillId="0" borderId="27" xfId="2" applyBorder="1" applyAlignment="1">
      <alignment horizontal="center" vertical="center"/>
    </xf>
    <xf numFmtId="0" fontId="34" fillId="0" borderId="28" xfId="2" applyBorder="1" applyAlignment="1">
      <alignment horizontal="center" vertical="center"/>
    </xf>
    <xf numFmtId="0" fontId="34" fillId="0" borderId="29" xfId="2" applyBorder="1" applyAlignment="1">
      <alignment horizontal="center" vertical="center"/>
    </xf>
    <xf numFmtId="0" fontId="23" fillId="3" borderId="5" xfId="0" applyFont="1" applyFill="1" applyBorder="1" applyAlignment="1">
      <alignment horizontal="left" vertical="center" wrapText="1"/>
    </xf>
    <xf numFmtId="0" fontId="23" fillId="3" borderId="6" xfId="0" applyFont="1" applyFill="1" applyBorder="1" applyAlignment="1">
      <alignment horizontal="left" vertical="center" wrapText="1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 wrapText="1"/>
    </xf>
    <xf numFmtId="0" fontId="28" fillId="3" borderId="14" xfId="0" applyFont="1" applyFill="1" applyBorder="1" applyAlignment="1">
      <alignment horizontal="center" vertical="center" wrapText="1"/>
    </xf>
    <xf numFmtId="0" fontId="28" fillId="3" borderId="15" xfId="0" applyFont="1" applyFill="1" applyBorder="1" applyAlignment="1">
      <alignment horizontal="center" vertical="center" wrapText="1"/>
    </xf>
    <xf numFmtId="0" fontId="16" fillId="3" borderId="10" xfId="0" applyFont="1" applyFill="1" applyBorder="1" applyAlignment="1">
      <alignment horizontal="center" vertical="center" wrapText="1"/>
    </xf>
    <xf numFmtId="0" fontId="16" fillId="3" borderId="1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16" fillId="3" borderId="12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 wrapText="1"/>
    </xf>
    <xf numFmtId="0" fontId="28" fillId="3" borderId="12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5">
    <cellStyle name="Normale" xfId="0" builtinId="0"/>
    <cellStyle name="Normale 3" xfId="3" xr:uid="{F38B3142-7D3C-457E-B49E-5FC039F24807}"/>
    <cellStyle name="Normale 4" xfId="2" xr:uid="{E2C8FFD6-A401-4BE3-80CF-52DA5D0B09C3}"/>
    <cellStyle name="Titolo" xfId="1" builtinId="15"/>
    <cellStyle name="Valuta 2" xfId="4" xr:uid="{49B94151-D0B3-41BA-A6D7-70951DA6DDF9}"/>
  </cellStyles>
  <dxfs count="29"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i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fmlaLink="$C$20" lockText="1"/>
</file>

<file path=xl/ctrlProps/ctrlProp5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14</xdr:col>
      <xdr:colOff>0</xdr:colOff>
      <xdr:row>17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676275"/>
          <a:ext cx="7877175" cy="2667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worksheets can be used in "structural natural frequency</a:t>
          </a:r>
          <a:r>
            <a:rPr lang="en-US" sz="1100" b="0" u="none" baseline="0"/>
            <a:t> analysis" of VS pump</a:t>
          </a:r>
          <a:r>
            <a:rPr lang="en-US" sz="1100" b="0" u="none"/>
            <a:t> to create</a:t>
          </a:r>
          <a:r>
            <a:rPr lang="en-US" sz="1100" b="0" u="none" baseline="0"/>
            <a:t> the bolted connection in the model.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The worksheet creates</a:t>
          </a:r>
          <a:r>
            <a:rPr lang="en-US" sz="1100" b="0" u="none"/>
            <a:t> a file named "CFAST.bdf" that will be included in the main model file to add properties and position</a:t>
          </a:r>
          <a:r>
            <a:rPr lang="en-US" sz="1100" b="0" u="none" baseline="0"/>
            <a:t> of </a:t>
          </a:r>
          <a:r>
            <a:rPr lang="en-US" sz="1100" b="0" u="none"/>
            <a:t>the </a:t>
          </a:r>
          <a:r>
            <a:rPr lang="en-US" sz="1100" b="0" u="none" baseline="0"/>
            <a:t>bolts.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"content"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contains instrucions for compiling the sheet.</a:t>
          </a:r>
          <a:endParaRPr lang="it-IT">
            <a:effectLst/>
          </a:endParaRPr>
        </a:p>
        <a:p>
          <a:endParaRPr lang="en-US" sz="1100" b="0" u="none" baseline="0"/>
        </a:p>
        <a:p>
          <a:r>
            <a:rPr lang="en-US" sz="1100" b="1" u="none" baseline="0"/>
            <a:t>Sheet "summary"</a:t>
          </a:r>
        </a:p>
        <a:p>
          <a:r>
            <a:rPr lang="en-US" sz="1100" b="0" u="none" baseline="0"/>
            <a:t>Summarizes some properties (number of fastner, geometry of fastners and flanges, ...) of the bolted connection between components.</a:t>
          </a:r>
        </a:p>
        <a:p>
          <a:r>
            <a:rPr lang="en-US" sz="1100" b="0" u="none" baseline="0"/>
            <a:t>For each flange name assign the correct ID property.</a:t>
          </a:r>
        </a:p>
        <a:p>
          <a:r>
            <a:rPr lang="en-US" sz="1100" b="0" u="none" baseline="0"/>
            <a:t>This sheet must remain in the third position of the worksheets.</a:t>
          </a:r>
        </a:p>
        <a:p>
          <a:endParaRPr lang="en-US" sz="1100" b="0" u="none" baseline="0"/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"CFAST1"</a:t>
          </a:r>
          <a:endParaRPr lang="it-IT">
            <a:effectLst/>
          </a:endParaRPr>
        </a:p>
        <a:p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Defines the position and stiffness for the bolted connection.</a:t>
          </a:r>
        </a:p>
        <a:p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copy of this sheet should be created for each connection.</a:t>
          </a:r>
          <a:endParaRPr lang="it-IT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20</xdr:col>
          <xdr:colOff>9525</xdr:colOff>
          <xdr:row>21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Step1: renumber fastner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21</xdr:row>
          <xdr:rowOff>0</xdr:rowOff>
        </xdr:from>
        <xdr:to>
          <xdr:col>20</xdr:col>
          <xdr:colOff>9525</xdr:colOff>
          <xdr:row>23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2: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20</xdr:col>
          <xdr:colOff>9525</xdr:colOff>
          <xdr:row>25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Step3: create cfast.bdf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9525</xdr:colOff>
      <xdr:row>7</xdr:row>
      <xdr:rowOff>171450</xdr:rowOff>
    </xdr:from>
    <xdr:to>
      <xdr:col>28</xdr:col>
      <xdr:colOff>0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72925" y="1743075"/>
          <a:ext cx="6686550" cy="19145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Compile the input cells</a:t>
          </a:r>
          <a:r>
            <a:rPr lang="en-US" sz="1100" b="0" u="none" baseline="0"/>
            <a:t>. For each property name assign the correct ID property defined in the numerical model.</a:t>
          </a:r>
        </a:p>
        <a:p>
          <a:endParaRPr lang="en-US" sz="1100" b="0" u="none" baseline="0"/>
        </a:p>
        <a:p>
          <a:r>
            <a:rPr lang="en-US" sz="1100" b="0" u="none" baseline="0"/>
            <a:t>After compling the "CFAST" spreadsheets, complete the following steps:</a:t>
          </a:r>
        </a:p>
        <a:p>
          <a:r>
            <a:rPr lang="en-US" sz="1100" b="0" u="none" baseline="0"/>
            <a:t>1) press "Step1: renumeber fastner ID" (renumber fastner ID, starting from the value of the cell N4 of CFAST1) </a:t>
          </a:r>
        </a:p>
        <a:p>
          <a:r>
            <a:rPr lang="en-US" sz="1100" b="0" u="none" baseline="0"/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press "Step2: summary"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press "Step3: create cfast.bdf"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this sheet must remain in the third position of the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en-US" sz="1100" b="0" u="none" baseline="0"/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219075</xdr:colOff>
      <xdr:row>19</xdr:row>
      <xdr:rowOff>70575</xdr:rowOff>
    </xdr:from>
    <xdr:to>
      <xdr:col>5</xdr:col>
      <xdr:colOff>619125</xdr:colOff>
      <xdr:row>23</xdr:row>
      <xdr:rowOff>553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57375" y="2318475"/>
          <a:ext cx="1828800" cy="691978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19</xdr:row>
      <xdr:rowOff>38100</xdr:rowOff>
    </xdr:from>
    <xdr:to>
      <xdr:col>8</xdr:col>
      <xdr:colOff>441432</xdr:colOff>
      <xdr:row>22</xdr:row>
      <xdr:rowOff>186600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114800" y="2286000"/>
          <a:ext cx="1536807" cy="72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5</xdr:col>
          <xdr:colOff>400050</xdr:colOff>
          <xdr:row>24</xdr:row>
          <xdr:rowOff>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single shear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8</xdr:col>
          <xdr:colOff>400050</xdr:colOff>
          <xdr:row>24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 shear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609598</xdr:colOff>
      <xdr:row>6</xdr:row>
      <xdr:rowOff>228599</xdr:rowOff>
    </xdr:from>
    <xdr:to>
      <xdr:col>31</xdr:col>
      <xdr:colOff>0</xdr:colOff>
      <xdr:row>18</xdr:row>
      <xdr:rowOff>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2506323" y="1523999"/>
          <a:ext cx="7305677" cy="2476501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1" u="sng"/>
            <a:t>INSTRUCTIONS</a:t>
          </a:r>
        </a:p>
        <a:p>
          <a:pPr algn="l"/>
          <a:r>
            <a:rPr lang="it-IT">
              <a:effectLst/>
            </a:rPr>
            <a:t>1)</a:t>
          </a:r>
          <a:r>
            <a:rPr lang="it-IT" baseline="0">
              <a:effectLst/>
            </a:rPr>
            <a:t> Compile the input cells in the Table "ID properties"</a:t>
          </a:r>
        </a:p>
        <a:p>
          <a:pPr algn="l"/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2) Compile the input cells in the Table "Geometry and mechanical properties" Constants a, b</a:t>
          </a:r>
          <a:r>
            <a:rPr lang="it-IT" baseline="-25000">
              <a:effectLst/>
            </a:rPr>
            <a:t>1</a:t>
          </a:r>
          <a:r>
            <a:rPr lang="it-IT" baseline="0">
              <a:effectLst/>
            </a:rPr>
            <a:t> and </a:t>
          </a:r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it-IT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refer to Huth constants and depend by the type and the materials of the connection.</a:t>
          </a:r>
        </a:p>
        <a:p>
          <a:pPr algn="l"/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3) Compile the Table "Fastner ID and position". All field of the table can be potentially input cells:</a:t>
          </a:r>
        </a:p>
        <a:p>
          <a:pPr algn="l"/>
          <a:r>
            <a:rPr lang="it-IT" b="1" baseline="0">
              <a:effectLst/>
            </a:rPr>
            <a:t>counter</a:t>
          </a:r>
          <a:r>
            <a:rPr lang="it-IT" baseline="0">
              <a:effectLst/>
            </a:rPr>
            <a:t> depends on the number of fastners in the connection considered;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b="1" baseline="0">
              <a:effectLst/>
            </a:rPr>
            <a:t>fastner</a:t>
          </a:r>
          <a:r>
            <a:rPr lang="it-IT" b="1" baseline="-25000">
              <a:effectLst/>
            </a:rPr>
            <a:t>ID</a:t>
          </a:r>
          <a:r>
            <a:rPr lang="it-IT" baseline="0">
              <a:effectLst/>
            </a:rPr>
            <a:t> column can be updated with the command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"Step1: renumeber fastner ID" in the "summary" spreadsheet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 and </a:t>
          </a:r>
          <a:r>
            <a:rPr lang="el-G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ϑ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column define the radial position of fastners placed on a circumference. By defult they fill the "x" and "z" column;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x, y and z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can be inserted manually if the position is not circular. By    default "y" column defines the axial position.</a:t>
          </a:r>
          <a:endParaRPr lang="it-IT" baseline="0">
            <a:effectLst/>
          </a:endParaRPr>
        </a:p>
        <a:p>
          <a:pPr algn="l"/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NOTE.  The Table "Fastner stiffnesses" is a summary of the connection stiffness.	</a:t>
          </a:r>
          <a:endParaRPr lang="it-IT">
            <a:effectLst/>
          </a:endParaRPr>
        </a:p>
        <a:p>
          <a:endParaRPr lang="it-IT">
            <a:effectLst/>
          </a:endParaRPr>
        </a:p>
        <a:p>
          <a:r>
            <a:rPr lang="en-US" sz="1100" b="0" u="none"/>
            <a:t>                               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34" name="Combo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1036" name="ComboBox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TM_P\OH2\5%20Design\8%20Calculation\Bearing%20Lif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Rete\Svp\Borghetti\11%20API\01%20OH2\3%20Pump%20selector\Data%20base\REV\XLS\1%20Curve\Nq15%20f=0,935%20test13%203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aring Life"/>
      <sheetName val="Bearings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o2"/>
      <sheetName val="Utility"/>
      <sheetName val="Foglio1"/>
      <sheetName val="Modulo_Dati_1"/>
      <sheetName val="Modulo_Dati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3C6D318-FA21-4CE0-BC0B-2E634D700F64}" name="properties" displayName="properties" ref="O4:P9" totalsRowShown="0" headerRowDxfId="28" dataDxfId="26" headerRowBorderDxfId="27">
  <autoFilter ref="O4:P9" xr:uid="{C3C6D318-FA21-4CE0-BC0B-2E634D700F64}"/>
  <tableColumns count="2">
    <tableColumn id="1" xr3:uid="{65773C2C-6E75-4796-887E-59B4D904E746}" name="prop. Name" dataDxfId="25"/>
    <tableColumn id="2" xr3:uid="{A0CAEA53-A9EF-4CF6-A65A-9F2241900CE6}" name="ID" dataDxfId="2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ECD842E-6ECB-4276-BBDD-30CBE083F724}" name="summary" displayName="summary" ref="B5:M6" totalsRowShown="0" headerRowDxfId="23" dataDxfId="22">
  <autoFilter ref="B5:M6" xr:uid="{8ECD842E-6ECB-4276-BBDD-30CBE083F724}"/>
  <tableColumns count="12">
    <tableColumn id="1" xr3:uid="{39F8B9B1-08D1-4C32-9D93-1ADD69C4C78C}" name="counter" dataDxfId="21"/>
    <tableColumn id="2" xr3:uid="{ABAFCC49-C586-4941-9739-F8E6FCE9C1DC}" name="ID [-]" dataDxfId="20"/>
    <tableColumn id="3" xr3:uid="{CFDC6EFB-DE15-463B-A3C0-7447E7F5DFA1}" name="name1 [-]" dataDxfId="19"/>
    <tableColumn id="4" xr3:uid="{146AD350-1123-4C24-9447-8AE953D9355C}" name="name2 [-]" dataDxfId="18"/>
    <tableColumn id="5" xr3:uid="{2E395288-8845-4902-8E3B-D6D8864160A1}" name="ID1 [-]" dataDxfId="17"/>
    <tableColumn id="6" xr3:uid="{82BDA3F7-CCDC-4B7A-8AC0-CC6E200FC387}" name="ID2 [-]" dataDxfId="16"/>
    <tableColumn id="7" xr3:uid="{4FCDCFD7-B062-4DC3-9FA9-A7D59F3F29F1}" name="D [mm]" dataDxfId="15"/>
    <tableColumn id="8" xr3:uid="{E8F31290-C4D2-4547-BF81-9BA7517687CE}" name="E1 [GPa]" dataDxfId="14"/>
    <tableColumn id="9" xr3:uid="{870AA2DD-ED0F-41D0-A545-B2CF93DDEC15}" name="E2 [GPa]" dataDxfId="13"/>
    <tableColumn id="10" xr3:uid="{D46C6C2A-AE8B-45A0-8662-69D21C8151CB}" name="EF [GPa]" dataDxfId="12"/>
    <tableColumn id="11" xr3:uid="{81C4B49D-9723-4937-9DD3-489D09EAAEA2}" name="t1 [mm]" dataDxfId="11"/>
    <tableColumn id="12" xr3:uid="{29475AE0-FD0C-4FD9-A46E-3C4F185AF8ED}" name="t2 [mm]" dataDxfId="10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20286B-2181-478E-B033-8BC51E27F97A}" name="Tabella1" displayName="Tabella1" ref="M3:S23" totalsRowShown="0" headerRowDxfId="9" dataDxfId="7" headerRowBorderDxfId="8">
  <autoFilter ref="M3:S23" xr:uid="{DF20286B-2181-478E-B033-8BC51E27F97A}"/>
  <tableColumns count="7">
    <tableColumn id="1" xr3:uid="{086B6BCC-A437-42C1-8150-C04ECA62086D}" name="counter" dataDxfId="6"/>
    <tableColumn id="2" xr3:uid="{04B109C5-652C-4C75-827E-6462CE0FF483}" name="fastnerID [-]" dataDxfId="5"/>
    <tableColumn id="3" xr3:uid="{FA90E9E6-26B1-4716-82D6-DE9C824714A3}" name="r [mm]" dataDxfId="4">
      <calculatedColumnFormula>850/2</calculatedColumnFormula>
    </tableColumn>
    <tableColumn id="4" xr3:uid="{887F8DCB-95C4-4FDE-8272-4CB114494F11}" name="ϑ [°]" dataDxfId="3"/>
    <tableColumn id="5" xr3:uid="{C0F4A486-8686-46DB-841D-BE9467A130FF}" name="x [mm]" dataDxfId="2">
      <calculatedColumnFormula>Tabella1[[#This Row],[r '[mm']]]*COS(RADIANS(Tabella1[[#This Row],[ϑ '[°']]]))</calculatedColumnFormula>
    </tableColumn>
    <tableColumn id="6" xr3:uid="{2E755BB4-843B-4E09-89B3-4254A9C1F6F4}" name="y [mm]" dataDxfId="1"/>
    <tableColumn id="7" xr3:uid="{CA7B666A-99ED-4625-B9A9-58A6280AA80E}" name="z [mm]" dataDxfId="0">
      <calculatedColumnFormula>Tabella1[[#This Row],[r '[mm']]]*SIN(RADIANS(Tabella1[[#This Row],[ϑ '[°']]]))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0485-45F7-4475-86FD-FAF8B27D6FF9}">
  <sheetPr codeName="Foglio4">
    <tabColor rgb="FF92D050"/>
  </sheetPr>
  <dimension ref="A1:AD48"/>
  <sheetViews>
    <sheetView tabSelected="1" zoomScale="85" zoomScaleNormal="85" zoomScaleSheetLayoutView="100" workbookViewId="0"/>
  </sheetViews>
  <sheetFormatPr defaultRowHeight="12" x14ac:dyDescent="0.2"/>
  <cols>
    <col min="1" max="30" width="3.28515625" style="63" customWidth="1"/>
    <col min="31" max="256" width="9.140625" style="63"/>
    <col min="257" max="286" width="3.28515625" style="63" customWidth="1"/>
    <col min="287" max="512" width="9.140625" style="63"/>
    <col min="513" max="542" width="3.28515625" style="63" customWidth="1"/>
    <col min="543" max="768" width="9.140625" style="63"/>
    <col min="769" max="798" width="3.28515625" style="63" customWidth="1"/>
    <col min="799" max="1024" width="9.140625" style="63"/>
    <col min="1025" max="1054" width="3.28515625" style="63" customWidth="1"/>
    <col min="1055" max="1280" width="9.140625" style="63"/>
    <col min="1281" max="1310" width="3.28515625" style="63" customWidth="1"/>
    <col min="1311" max="1536" width="9.140625" style="63"/>
    <col min="1537" max="1566" width="3.28515625" style="63" customWidth="1"/>
    <col min="1567" max="1792" width="9.140625" style="63"/>
    <col min="1793" max="1822" width="3.28515625" style="63" customWidth="1"/>
    <col min="1823" max="2048" width="9.140625" style="63"/>
    <col min="2049" max="2078" width="3.28515625" style="63" customWidth="1"/>
    <col min="2079" max="2304" width="9.140625" style="63"/>
    <col min="2305" max="2334" width="3.28515625" style="63" customWidth="1"/>
    <col min="2335" max="2560" width="9.140625" style="63"/>
    <col min="2561" max="2590" width="3.28515625" style="63" customWidth="1"/>
    <col min="2591" max="2816" width="9.140625" style="63"/>
    <col min="2817" max="2846" width="3.28515625" style="63" customWidth="1"/>
    <col min="2847" max="3072" width="9.140625" style="63"/>
    <col min="3073" max="3102" width="3.28515625" style="63" customWidth="1"/>
    <col min="3103" max="3328" width="9.140625" style="63"/>
    <col min="3329" max="3358" width="3.28515625" style="63" customWidth="1"/>
    <col min="3359" max="3584" width="9.140625" style="63"/>
    <col min="3585" max="3614" width="3.28515625" style="63" customWidth="1"/>
    <col min="3615" max="3840" width="9.140625" style="63"/>
    <col min="3841" max="3870" width="3.28515625" style="63" customWidth="1"/>
    <col min="3871" max="4096" width="9.140625" style="63"/>
    <col min="4097" max="4126" width="3.28515625" style="63" customWidth="1"/>
    <col min="4127" max="4352" width="9.140625" style="63"/>
    <col min="4353" max="4382" width="3.28515625" style="63" customWidth="1"/>
    <col min="4383" max="4608" width="9.140625" style="63"/>
    <col min="4609" max="4638" width="3.28515625" style="63" customWidth="1"/>
    <col min="4639" max="4864" width="9.140625" style="63"/>
    <col min="4865" max="4894" width="3.28515625" style="63" customWidth="1"/>
    <col min="4895" max="5120" width="9.140625" style="63"/>
    <col min="5121" max="5150" width="3.28515625" style="63" customWidth="1"/>
    <col min="5151" max="5376" width="9.140625" style="63"/>
    <col min="5377" max="5406" width="3.28515625" style="63" customWidth="1"/>
    <col min="5407" max="5632" width="9.140625" style="63"/>
    <col min="5633" max="5662" width="3.28515625" style="63" customWidth="1"/>
    <col min="5663" max="5888" width="9.140625" style="63"/>
    <col min="5889" max="5918" width="3.28515625" style="63" customWidth="1"/>
    <col min="5919" max="6144" width="9.140625" style="63"/>
    <col min="6145" max="6174" width="3.28515625" style="63" customWidth="1"/>
    <col min="6175" max="6400" width="9.140625" style="63"/>
    <col min="6401" max="6430" width="3.28515625" style="63" customWidth="1"/>
    <col min="6431" max="6656" width="9.140625" style="63"/>
    <col min="6657" max="6686" width="3.28515625" style="63" customWidth="1"/>
    <col min="6687" max="6912" width="9.140625" style="63"/>
    <col min="6913" max="6942" width="3.28515625" style="63" customWidth="1"/>
    <col min="6943" max="7168" width="9.140625" style="63"/>
    <col min="7169" max="7198" width="3.28515625" style="63" customWidth="1"/>
    <col min="7199" max="7424" width="9.140625" style="63"/>
    <col min="7425" max="7454" width="3.28515625" style="63" customWidth="1"/>
    <col min="7455" max="7680" width="9.140625" style="63"/>
    <col min="7681" max="7710" width="3.28515625" style="63" customWidth="1"/>
    <col min="7711" max="7936" width="9.140625" style="63"/>
    <col min="7937" max="7966" width="3.28515625" style="63" customWidth="1"/>
    <col min="7967" max="8192" width="9.140625" style="63"/>
    <col min="8193" max="8222" width="3.28515625" style="63" customWidth="1"/>
    <col min="8223" max="8448" width="9.140625" style="63"/>
    <col min="8449" max="8478" width="3.28515625" style="63" customWidth="1"/>
    <col min="8479" max="8704" width="9.140625" style="63"/>
    <col min="8705" max="8734" width="3.28515625" style="63" customWidth="1"/>
    <col min="8735" max="8960" width="9.140625" style="63"/>
    <col min="8961" max="8990" width="3.28515625" style="63" customWidth="1"/>
    <col min="8991" max="9216" width="9.140625" style="63"/>
    <col min="9217" max="9246" width="3.28515625" style="63" customWidth="1"/>
    <col min="9247" max="9472" width="9.140625" style="63"/>
    <col min="9473" max="9502" width="3.28515625" style="63" customWidth="1"/>
    <col min="9503" max="9728" width="9.140625" style="63"/>
    <col min="9729" max="9758" width="3.28515625" style="63" customWidth="1"/>
    <col min="9759" max="9984" width="9.140625" style="63"/>
    <col min="9985" max="10014" width="3.28515625" style="63" customWidth="1"/>
    <col min="10015" max="10240" width="9.140625" style="63"/>
    <col min="10241" max="10270" width="3.28515625" style="63" customWidth="1"/>
    <col min="10271" max="10496" width="9.140625" style="63"/>
    <col min="10497" max="10526" width="3.28515625" style="63" customWidth="1"/>
    <col min="10527" max="10752" width="9.140625" style="63"/>
    <col min="10753" max="10782" width="3.28515625" style="63" customWidth="1"/>
    <col min="10783" max="11008" width="9.140625" style="63"/>
    <col min="11009" max="11038" width="3.28515625" style="63" customWidth="1"/>
    <col min="11039" max="11264" width="9.140625" style="63"/>
    <col min="11265" max="11294" width="3.28515625" style="63" customWidth="1"/>
    <col min="11295" max="11520" width="9.140625" style="63"/>
    <col min="11521" max="11550" width="3.28515625" style="63" customWidth="1"/>
    <col min="11551" max="11776" width="9.140625" style="63"/>
    <col min="11777" max="11806" width="3.28515625" style="63" customWidth="1"/>
    <col min="11807" max="12032" width="9.140625" style="63"/>
    <col min="12033" max="12062" width="3.28515625" style="63" customWidth="1"/>
    <col min="12063" max="12288" width="9.140625" style="63"/>
    <col min="12289" max="12318" width="3.28515625" style="63" customWidth="1"/>
    <col min="12319" max="12544" width="9.140625" style="63"/>
    <col min="12545" max="12574" width="3.28515625" style="63" customWidth="1"/>
    <col min="12575" max="12800" width="9.140625" style="63"/>
    <col min="12801" max="12830" width="3.28515625" style="63" customWidth="1"/>
    <col min="12831" max="13056" width="9.140625" style="63"/>
    <col min="13057" max="13086" width="3.28515625" style="63" customWidth="1"/>
    <col min="13087" max="13312" width="9.140625" style="63"/>
    <col min="13313" max="13342" width="3.28515625" style="63" customWidth="1"/>
    <col min="13343" max="13568" width="9.140625" style="63"/>
    <col min="13569" max="13598" width="3.28515625" style="63" customWidth="1"/>
    <col min="13599" max="13824" width="9.140625" style="63"/>
    <col min="13825" max="13854" width="3.28515625" style="63" customWidth="1"/>
    <col min="13855" max="14080" width="9.140625" style="63"/>
    <col min="14081" max="14110" width="3.28515625" style="63" customWidth="1"/>
    <col min="14111" max="14336" width="9.140625" style="63"/>
    <col min="14337" max="14366" width="3.28515625" style="63" customWidth="1"/>
    <col min="14367" max="14592" width="9.140625" style="63"/>
    <col min="14593" max="14622" width="3.28515625" style="63" customWidth="1"/>
    <col min="14623" max="14848" width="9.140625" style="63"/>
    <col min="14849" max="14878" width="3.28515625" style="63" customWidth="1"/>
    <col min="14879" max="15104" width="9.140625" style="63"/>
    <col min="15105" max="15134" width="3.28515625" style="63" customWidth="1"/>
    <col min="15135" max="15360" width="9.140625" style="63"/>
    <col min="15361" max="15390" width="3.28515625" style="63" customWidth="1"/>
    <col min="15391" max="15616" width="9.140625" style="63"/>
    <col min="15617" max="15646" width="3.28515625" style="63" customWidth="1"/>
    <col min="15647" max="15872" width="9.140625" style="63"/>
    <col min="15873" max="15902" width="3.28515625" style="63" customWidth="1"/>
    <col min="15903" max="16128" width="9.140625" style="63"/>
    <col min="16129" max="16158" width="3.28515625" style="63" customWidth="1"/>
    <col min="16159" max="16384" width="9.140625" style="63"/>
  </cols>
  <sheetData>
    <row r="1" spans="1:30" ht="15" customHeight="1" x14ac:dyDescent="0.2">
      <c r="A1" s="60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2"/>
    </row>
    <row r="2" spans="1:30" ht="15" customHeight="1" x14ac:dyDescent="0.2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6"/>
    </row>
    <row r="3" spans="1:30" ht="15" customHeight="1" x14ac:dyDescent="0.2">
      <c r="A3" s="64"/>
      <c r="B3" s="65"/>
      <c r="C3" s="65"/>
      <c r="D3" s="65"/>
      <c r="E3" s="65"/>
      <c r="F3" s="65"/>
      <c r="G3" s="65"/>
      <c r="H3" s="67"/>
      <c r="I3" s="67"/>
      <c r="J3" s="67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9"/>
      <c r="X3" s="69"/>
      <c r="Y3" s="69"/>
      <c r="Z3" s="69"/>
      <c r="AA3" s="69"/>
      <c r="AB3" s="69"/>
      <c r="AC3" s="69"/>
      <c r="AD3" s="70"/>
    </row>
    <row r="4" spans="1:30" ht="15" customHeight="1" x14ac:dyDescent="0.2">
      <c r="A4" s="64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6"/>
    </row>
    <row r="5" spans="1:30" ht="15" customHeight="1" x14ac:dyDescent="0.2">
      <c r="A5" s="64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6"/>
    </row>
    <row r="6" spans="1:30" ht="15" customHeight="1" x14ac:dyDescent="0.2">
      <c r="A6" s="64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6"/>
    </row>
    <row r="7" spans="1:30" ht="15" customHeight="1" thickBot="1" x14ac:dyDescent="0.25">
      <c r="A7" s="71"/>
      <c r="B7" s="72"/>
      <c r="C7" s="72"/>
      <c r="D7" s="72"/>
      <c r="E7" s="72"/>
      <c r="F7" s="73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72"/>
      <c r="AB7" s="72"/>
      <c r="AC7" s="72"/>
      <c r="AD7" s="74"/>
    </row>
    <row r="8" spans="1:30" ht="15" customHeight="1" x14ac:dyDescent="0.2">
      <c r="A8" s="100" t="s">
        <v>106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2"/>
    </row>
    <row r="9" spans="1:30" ht="15" customHeight="1" x14ac:dyDescent="0.2">
      <c r="A9" s="103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5"/>
    </row>
    <row r="10" spans="1:30" ht="15" customHeight="1" x14ac:dyDescent="0.2">
      <c r="A10" s="103"/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5"/>
    </row>
    <row r="11" spans="1:30" ht="15" customHeight="1" x14ac:dyDescent="0.2">
      <c r="A11" s="103"/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5"/>
    </row>
    <row r="12" spans="1:30" ht="15" customHeight="1" x14ac:dyDescent="0.2">
      <c r="A12" s="103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5"/>
    </row>
    <row r="13" spans="1:30" ht="15" customHeight="1" x14ac:dyDescent="0.2">
      <c r="A13" s="103"/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5"/>
    </row>
    <row r="14" spans="1:30" ht="15" customHeight="1" x14ac:dyDescent="0.2">
      <c r="A14" s="103"/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5"/>
    </row>
    <row r="15" spans="1:30" ht="15" customHeight="1" x14ac:dyDescent="0.2">
      <c r="A15" s="103"/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5"/>
    </row>
    <row r="16" spans="1:30" ht="15" customHeight="1" x14ac:dyDescent="0.2">
      <c r="A16" s="103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5"/>
    </row>
    <row r="17" spans="1:30" ht="15" customHeight="1" x14ac:dyDescent="0.2">
      <c r="A17" s="103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5"/>
    </row>
    <row r="18" spans="1:30" ht="15" customHeight="1" x14ac:dyDescent="0.2">
      <c r="A18" s="103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5"/>
    </row>
    <row r="19" spans="1:30" ht="15" customHeight="1" x14ac:dyDescent="0.2">
      <c r="A19" s="103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5"/>
    </row>
    <row r="20" spans="1:30" ht="15" customHeight="1" x14ac:dyDescent="0.2">
      <c r="A20" s="103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5"/>
    </row>
    <row r="21" spans="1:30" ht="15" customHeight="1" x14ac:dyDescent="0.2">
      <c r="A21" s="103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5"/>
    </row>
    <row r="22" spans="1:30" ht="15" customHeight="1" x14ac:dyDescent="0.2">
      <c r="A22" s="103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5"/>
    </row>
    <row r="23" spans="1:30" ht="15" customHeight="1" x14ac:dyDescent="0.2">
      <c r="A23" s="103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5"/>
    </row>
    <row r="24" spans="1:30" ht="15" customHeight="1" x14ac:dyDescent="0.2">
      <c r="A24" s="103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5"/>
    </row>
    <row r="25" spans="1:30" ht="15" customHeight="1" x14ac:dyDescent="0.2">
      <c r="A25" s="103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5"/>
    </row>
    <row r="26" spans="1:30" ht="15" customHeight="1" x14ac:dyDescent="0.2">
      <c r="A26" s="103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5"/>
    </row>
    <row r="27" spans="1:30" ht="15" customHeight="1" x14ac:dyDescent="0.2">
      <c r="A27" s="103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5"/>
    </row>
    <row r="28" spans="1:30" ht="15" customHeight="1" x14ac:dyDescent="0.2">
      <c r="A28" s="103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5"/>
    </row>
    <row r="29" spans="1:30" ht="15" customHeight="1" x14ac:dyDescent="0.2">
      <c r="A29" s="103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5"/>
    </row>
    <row r="30" spans="1:30" ht="15" customHeight="1" x14ac:dyDescent="0.2">
      <c r="A30" s="103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5"/>
    </row>
    <row r="31" spans="1:30" ht="15" customHeight="1" x14ac:dyDescent="0.2">
      <c r="A31" s="103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5"/>
    </row>
    <row r="32" spans="1:30" ht="15" customHeight="1" x14ac:dyDescent="0.2">
      <c r="A32" s="103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5"/>
    </row>
    <row r="33" spans="1:30" ht="15" customHeight="1" x14ac:dyDescent="0.2">
      <c r="A33" s="103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5"/>
    </row>
    <row r="34" spans="1:30" ht="15" customHeight="1" x14ac:dyDescent="0.2">
      <c r="A34" s="103"/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5"/>
    </row>
    <row r="35" spans="1:30" ht="15" customHeight="1" x14ac:dyDescent="0.2">
      <c r="A35" s="103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5"/>
    </row>
    <row r="36" spans="1:30" ht="15" customHeight="1" x14ac:dyDescent="0.2">
      <c r="A36" s="103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5"/>
    </row>
    <row r="37" spans="1:30" ht="15" customHeight="1" x14ac:dyDescent="0.2">
      <c r="A37" s="103"/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5"/>
    </row>
    <row r="38" spans="1:30" ht="15" customHeight="1" x14ac:dyDescent="0.2">
      <c r="A38" s="103"/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5"/>
    </row>
    <row r="39" spans="1:30" ht="15" customHeight="1" thickBot="1" x14ac:dyDescent="0.25">
      <c r="A39" s="106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8"/>
    </row>
    <row r="40" spans="1:30" ht="30" customHeight="1" x14ac:dyDescent="0.2">
      <c r="A40" s="109"/>
      <c r="B40" s="110"/>
      <c r="C40" s="111"/>
      <c r="D40" s="112"/>
      <c r="E40" s="112"/>
      <c r="F40" s="110"/>
      <c r="G40" s="111"/>
      <c r="H40" s="112"/>
      <c r="I40" s="112"/>
      <c r="J40" s="112"/>
      <c r="K40" s="112"/>
      <c r="L40" s="112"/>
      <c r="M40" s="112"/>
      <c r="N40" s="112"/>
      <c r="O40" s="112"/>
      <c r="P40" s="111"/>
      <c r="Q40" s="112"/>
      <c r="R40" s="112"/>
      <c r="S40" s="112"/>
      <c r="T40" s="110"/>
      <c r="U40" s="111"/>
      <c r="V40" s="112"/>
      <c r="W40" s="112"/>
      <c r="X40" s="112"/>
      <c r="Y40" s="110"/>
      <c r="Z40" s="111"/>
      <c r="AA40" s="112"/>
      <c r="AB40" s="112"/>
      <c r="AC40" s="112"/>
      <c r="AD40" s="113"/>
    </row>
    <row r="41" spans="1:30" ht="30" customHeight="1" x14ac:dyDescent="0.2">
      <c r="A41" s="87"/>
      <c r="B41" s="88"/>
      <c r="C41" s="89"/>
      <c r="D41" s="90"/>
      <c r="E41" s="90"/>
      <c r="F41" s="88"/>
      <c r="G41" s="89"/>
      <c r="H41" s="90"/>
      <c r="I41" s="90"/>
      <c r="J41" s="90"/>
      <c r="K41" s="90"/>
      <c r="L41" s="90"/>
      <c r="M41" s="90"/>
      <c r="N41" s="90"/>
      <c r="O41" s="90"/>
      <c r="P41" s="89"/>
      <c r="Q41" s="90"/>
      <c r="R41" s="90"/>
      <c r="S41" s="90"/>
      <c r="T41" s="88"/>
      <c r="U41" s="89"/>
      <c r="V41" s="90"/>
      <c r="W41" s="90"/>
      <c r="X41" s="90"/>
      <c r="Y41" s="88"/>
      <c r="Z41" s="89"/>
      <c r="AA41" s="90"/>
      <c r="AB41" s="90"/>
      <c r="AC41" s="90"/>
      <c r="AD41" s="91"/>
    </row>
    <row r="42" spans="1:30" ht="30" customHeight="1" x14ac:dyDescent="0.2">
      <c r="A42" s="87"/>
      <c r="B42" s="88"/>
      <c r="C42" s="89"/>
      <c r="D42" s="90"/>
      <c r="E42" s="90"/>
      <c r="F42" s="88"/>
      <c r="G42" s="89"/>
      <c r="H42" s="90"/>
      <c r="I42" s="90"/>
      <c r="J42" s="90"/>
      <c r="K42" s="90"/>
      <c r="L42" s="90"/>
      <c r="M42" s="90"/>
      <c r="N42" s="90"/>
      <c r="O42" s="90"/>
      <c r="P42" s="89"/>
      <c r="Q42" s="90"/>
      <c r="R42" s="90"/>
      <c r="S42" s="90"/>
      <c r="T42" s="88"/>
      <c r="U42" s="89"/>
      <c r="V42" s="90"/>
      <c r="W42" s="90"/>
      <c r="X42" s="90"/>
      <c r="Y42" s="88"/>
      <c r="Z42" s="89"/>
      <c r="AA42" s="90"/>
      <c r="AB42" s="90"/>
      <c r="AC42" s="90"/>
      <c r="AD42" s="91"/>
    </row>
    <row r="43" spans="1:30" ht="30" customHeight="1" x14ac:dyDescent="0.2">
      <c r="A43" s="87"/>
      <c r="B43" s="88"/>
      <c r="C43" s="89"/>
      <c r="D43" s="90"/>
      <c r="E43" s="90"/>
      <c r="F43" s="88"/>
      <c r="G43" s="89"/>
      <c r="H43" s="90"/>
      <c r="I43" s="90"/>
      <c r="J43" s="90"/>
      <c r="K43" s="90"/>
      <c r="L43" s="90"/>
      <c r="M43" s="90"/>
      <c r="N43" s="90"/>
      <c r="O43" s="90"/>
      <c r="P43" s="89"/>
      <c r="Q43" s="90"/>
      <c r="R43" s="90"/>
      <c r="S43" s="90"/>
      <c r="T43" s="88"/>
      <c r="U43" s="89"/>
      <c r="V43" s="90"/>
      <c r="W43" s="90"/>
      <c r="X43" s="90"/>
      <c r="Y43" s="88"/>
      <c r="Z43" s="89"/>
      <c r="AA43" s="90"/>
      <c r="AB43" s="90"/>
      <c r="AC43" s="90"/>
      <c r="AD43" s="91"/>
    </row>
    <row r="44" spans="1:30" ht="30" customHeight="1" x14ac:dyDescent="0.2">
      <c r="A44" s="87"/>
      <c r="B44" s="88"/>
      <c r="C44" s="89"/>
      <c r="D44" s="90"/>
      <c r="E44" s="90"/>
      <c r="F44" s="88"/>
      <c r="G44" s="89"/>
      <c r="H44" s="90"/>
      <c r="I44" s="90"/>
      <c r="J44" s="90"/>
      <c r="K44" s="90"/>
      <c r="L44" s="90"/>
      <c r="M44" s="90"/>
      <c r="N44" s="90"/>
      <c r="O44" s="90"/>
      <c r="P44" s="89"/>
      <c r="Q44" s="90"/>
      <c r="R44" s="90"/>
      <c r="S44" s="90"/>
      <c r="T44" s="88"/>
      <c r="U44" s="89"/>
      <c r="V44" s="90"/>
      <c r="W44" s="90"/>
      <c r="X44" s="90"/>
      <c r="Y44" s="88"/>
      <c r="Z44" s="89"/>
      <c r="AA44" s="90"/>
      <c r="AB44" s="90"/>
      <c r="AC44" s="90"/>
      <c r="AD44" s="91"/>
    </row>
    <row r="45" spans="1:30" ht="30" customHeight="1" x14ac:dyDescent="0.2">
      <c r="A45" s="87"/>
      <c r="B45" s="88"/>
      <c r="C45" s="89"/>
      <c r="D45" s="90"/>
      <c r="E45" s="90"/>
      <c r="F45" s="88"/>
      <c r="G45" s="89"/>
      <c r="H45" s="90"/>
      <c r="I45" s="90"/>
      <c r="J45" s="90"/>
      <c r="K45" s="90"/>
      <c r="L45" s="90"/>
      <c r="M45" s="90"/>
      <c r="N45" s="90"/>
      <c r="O45" s="90"/>
      <c r="P45" s="89"/>
      <c r="Q45" s="90"/>
      <c r="R45" s="90"/>
      <c r="S45" s="90"/>
      <c r="T45" s="88"/>
      <c r="U45" s="89"/>
      <c r="V45" s="90"/>
      <c r="W45" s="90"/>
      <c r="X45" s="90"/>
      <c r="Y45" s="88"/>
      <c r="Z45" s="89"/>
      <c r="AA45" s="90"/>
      <c r="AB45" s="90"/>
      <c r="AC45" s="90"/>
      <c r="AD45" s="91"/>
    </row>
    <row r="46" spans="1:30" ht="30" customHeight="1" x14ac:dyDescent="0.2">
      <c r="A46" s="92">
        <v>0</v>
      </c>
      <c r="B46" s="93"/>
      <c r="C46" s="94"/>
      <c r="D46" s="95"/>
      <c r="E46" s="95"/>
      <c r="F46" s="96"/>
      <c r="G46" s="97" t="s">
        <v>99</v>
      </c>
      <c r="H46" s="98"/>
      <c r="I46" s="98"/>
      <c r="J46" s="98"/>
      <c r="K46" s="98"/>
      <c r="L46" s="98"/>
      <c r="M46" s="98"/>
      <c r="N46" s="98"/>
      <c r="O46" s="98"/>
      <c r="P46" s="84" t="s">
        <v>107</v>
      </c>
      <c r="Q46" s="85"/>
      <c r="R46" s="85"/>
      <c r="S46" s="85"/>
      <c r="T46" s="99"/>
      <c r="U46" s="84" t="s">
        <v>100</v>
      </c>
      <c r="V46" s="85"/>
      <c r="W46" s="85"/>
      <c r="X46" s="85"/>
      <c r="Y46" s="99"/>
      <c r="Z46" s="84" t="s">
        <v>101</v>
      </c>
      <c r="AA46" s="85"/>
      <c r="AB46" s="85"/>
      <c r="AC46" s="85"/>
      <c r="AD46" s="86"/>
    </row>
    <row r="47" spans="1:30" ht="15" customHeight="1" thickBot="1" x14ac:dyDescent="0.25">
      <c r="A47" s="78" t="s">
        <v>102</v>
      </c>
      <c r="B47" s="79"/>
      <c r="C47" s="80" t="s">
        <v>2</v>
      </c>
      <c r="D47" s="81"/>
      <c r="E47" s="81"/>
      <c r="F47" s="82"/>
      <c r="G47" s="80" t="s">
        <v>103</v>
      </c>
      <c r="H47" s="81"/>
      <c r="I47" s="81"/>
      <c r="J47" s="81"/>
      <c r="K47" s="81"/>
      <c r="L47" s="81"/>
      <c r="M47" s="81"/>
      <c r="N47" s="81"/>
      <c r="O47" s="81"/>
      <c r="P47" s="80" t="s">
        <v>104</v>
      </c>
      <c r="Q47" s="81"/>
      <c r="R47" s="81"/>
      <c r="S47" s="81"/>
      <c r="T47" s="82"/>
      <c r="U47" s="80" t="s">
        <v>105</v>
      </c>
      <c r="V47" s="81"/>
      <c r="W47" s="81"/>
      <c r="X47" s="81"/>
      <c r="Y47" s="81"/>
      <c r="Z47" s="80" t="s">
        <v>1</v>
      </c>
      <c r="AA47" s="81"/>
      <c r="AB47" s="81"/>
      <c r="AC47" s="81"/>
      <c r="AD47" s="83"/>
    </row>
    <row r="48" spans="1:30" ht="15" customHeight="1" thickBot="1" x14ac:dyDescent="0.25">
      <c r="A48" s="75" t="s">
        <v>108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7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53A8-EE3E-4B57-A092-B388567D539E}">
  <sheetPr codeName="Foglio3"/>
  <dimension ref="B2:F6"/>
  <sheetViews>
    <sheetView workbookViewId="0"/>
  </sheetViews>
  <sheetFormatPr defaultRowHeight="15" x14ac:dyDescent="0.25"/>
  <cols>
    <col min="1" max="1" width="2.7109375" customWidth="1"/>
    <col min="2" max="2" width="8.42578125" customWidth="1"/>
    <col min="3" max="3" width="9.140625" customWidth="1"/>
  </cols>
  <sheetData>
    <row r="2" spans="2:6" ht="23.25" x14ac:dyDescent="0.35">
      <c r="B2" s="39" t="s">
        <v>0</v>
      </c>
    </row>
    <row r="6" spans="2:6" x14ac:dyDescent="0.25">
      <c r="C6" s="41"/>
      <c r="F6" s="4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B41E8-4C25-44C2-AD21-E5649C983EFA}">
  <sheetPr codeName="Foglio2"/>
  <dimension ref="B2:U9"/>
  <sheetViews>
    <sheetView zoomScaleNormal="100" workbookViewId="0"/>
  </sheetViews>
  <sheetFormatPr defaultRowHeight="15" x14ac:dyDescent="0.25"/>
  <cols>
    <col min="1" max="1" width="2.7109375" customWidth="1"/>
    <col min="2" max="2" width="12.42578125" style="30" bestFit="1" customWidth="1"/>
    <col min="3" max="3" width="10" style="30" bestFit="1" customWidth="1"/>
    <col min="4" max="4" width="14" style="30" bestFit="1" customWidth="1"/>
    <col min="5" max="5" width="13.85546875" style="30" bestFit="1" customWidth="1"/>
    <col min="6" max="7" width="10.7109375" style="30" bestFit="1" customWidth="1"/>
    <col min="8" max="8" width="12.140625" style="30" bestFit="1" customWidth="1"/>
    <col min="9" max="11" width="12.7109375" style="30" bestFit="1" customWidth="1"/>
    <col min="12" max="13" width="12.28515625" style="30" bestFit="1" customWidth="1"/>
    <col min="14" max="14" width="2.7109375" style="30" customWidth="1"/>
    <col min="15" max="15" width="14" style="30" bestFit="1" customWidth="1"/>
    <col min="16" max="16" width="7.5703125" style="30" bestFit="1" customWidth="1"/>
    <col min="17" max="17" width="2.7109375" style="30" customWidth="1"/>
    <col min="18" max="18" width="3.140625" customWidth="1"/>
    <col min="19" max="19" width="18.140625" bestFit="1" customWidth="1"/>
    <col min="20" max="20" width="9.140625" customWidth="1"/>
  </cols>
  <sheetData>
    <row r="2" spans="2:21" ht="23.25" x14ac:dyDescent="0.35">
      <c r="B2" s="39" t="s">
        <v>3</v>
      </c>
    </row>
    <row r="3" spans="2:2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21" ht="22.5" x14ac:dyDescent="0.25">
      <c r="B4" s="32" t="s">
        <v>4</v>
      </c>
      <c r="C4" s="32" t="s">
        <v>5</v>
      </c>
      <c r="D4" s="32" t="s">
        <v>6</v>
      </c>
      <c r="E4" s="32" t="s">
        <v>7</v>
      </c>
      <c r="F4" s="32" t="s">
        <v>8</v>
      </c>
      <c r="G4" s="32" t="s">
        <v>9</v>
      </c>
      <c r="H4" s="32" t="s">
        <v>10</v>
      </c>
      <c r="I4" s="32" t="s">
        <v>11</v>
      </c>
      <c r="J4" s="32" t="s">
        <v>12</v>
      </c>
      <c r="K4" s="32" t="s">
        <v>13</v>
      </c>
      <c r="L4" s="32" t="s">
        <v>14</v>
      </c>
      <c r="M4" s="32" t="s">
        <v>15</v>
      </c>
      <c r="N4" s="27"/>
      <c r="O4" s="32" t="s">
        <v>16</v>
      </c>
      <c r="P4" s="32" t="s">
        <v>17</v>
      </c>
      <c r="Q4" s="27"/>
      <c r="S4" s="45" t="s">
        <v>18</v>
      </c>
    </row>
    <row r="5" spans="2:21" ht="18" x14ac:dyDescent="0.35">
      <c r="B5" s="28" t="s">
        <v>19</v>
      </c>
      <c r="C5" s="28" t="s">
        <v>20</v>
      </c>
      <c r="D5" s="28" t="s">
        <v>21</v>
      </c>
      <c r="E5" s="28" t="s">
        <v>22</v>
      </c>
      <c r="F5" s="28" t="s">
        <v>23</v>
      </c>
      <c r="G5" s="28" t="s">
        <v>24</v>
      </c>
      <c r="H5" s="28" t="s">
        <v>25</v>
      </c>
      <c r="I5" s="28" t="s">
        <v>26</v>
      </c>
      <c r="J5" s="28" t="s">
        <v>27</v>
      </c>
      <c r="K5" s="28" t="s">
        <v>28</v>
      </c>
      <c r="L5" s="29" t="s">
        <v>29</v>
      </c>
      <c r="M5" s="29" t="s">
        <v>30</v>
      </c>
      <c r="N5" s="29"/>
      <c r="O5" s="40" t="s">
        <v>31</v>
      </c>
      <c r="P5" s="40">
        <v>1</v>
      </c>
      <c r="Q5" s="29"/>
      <c r="S5" s="43" t="s">
        <v>32</v>
      </c>
    </row>
    <row r="6" spans="2:21" x14ac:dyDescent="0.25">
      <c r="B6" s="30">
        <v>20</v>
      </c>
      <c r="C6" s="30">
        <v>1</v>
      </c>
      <c r="D6" s="30" t="s">
        <v>33</v>
      </c>
      <c r="E6" s="30" t="s">
        <v>31</v>
      </c>
      <c r="F6" s="30">
        <v>2</v>
      </c>
      <c r="G6" s="30">
        <v>1</v>
      </c>
      <c r="H6" s="30">
        <v>22</v>
      </c>
      <c r="I6" s="30">
        <v>210</v>
      </c>
      <c r="J6" s="30">
        <v>210</v>
      </c>
      <c r="K6" s="30">
        <v>210</v>
      </c>
      <c r="L6" s="30">
        <v>35</v>
      </c>
      <c r="M6" s="30">
        <v>30</v>
      </c>
      <c r="O6" s="40" t="s">
        <v>33</v>
      </c>
      <c r="P6" s="40">
        <v>2</v>
      </c>
      <c r="S6" s="44" t="s">
        <v>34</v>
      </c>
    </row>
    <row r="7" spans="2:21" x14ac:dyDescent="0.25">
      <c r="O7" s="40" t="s">
        <v>35</v>
      </c>
      <c r="P7" s="40">
        <v>3</v>
      </c>
      <c r="S7" s="42" t="s">
        <v>36</v>
      </c>
    </row>
    <row r="8" spans="2:21" x14ac:dyDescent="0.25">
      <c r="O8" s="40" t="s">
        <v>37</v>
      </c>
      <c r="P8" s="40">
        <v>4</v>
      </c>
      <c r="T8" s="33"/>
      <c r="U8" s="33"/>
    </row>
    <row r="9" spans="2:21" x14ac:dyDescent="0.25">
      <c r="O9" s="40" t="s">
        <v>38</v>
      </c>
      <c r="P9" s="40">
        <v>5</v>
      </c>
    </row>
  </sheetData>
  <sortState xmlns:xlrd2="http://schemas.microsoft.com/office/spreadsheetml/2017/richdata2" ref="O7:O14">
    <sortCondition descending="1" ref="O7:O14"/>
  </sortState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number_fastner">
                <anchor moveWithCells="1">
                  <from>
                    <xdr:col>18</xdr:col>
                    <xdr:colOff>0</xdr:colOff>
                    <xdr:row>19</xdr:row>
                    <xdr:rowOff>0</xdr:rowOff>
                  </from>
                  <to>
                    <xdr:col>20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sommario">
                <anchor mov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20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crivi">
                <anchor moveWithCells="1">
                  <from>
                    <xdr:col>18</xdr:col>
                    <xdr:colOff>0</xdr:colOff>
                    <xdr:row>23</xdr:row>
                    <xdr:rowOff>0</xdr:rowOff>
                  </from>
                  <to>
                    <xdr:col>20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E218-6726-4877-9D7D-113D70CAC17D}">
  <sheetPr codeName="Foglio1"/>
  <dimension ref="B2:V48"/>
  <sheetViews>
    <sheetView zoomScaleNormal="100" workbookViewId="0"/>
  </sheetViews>
  <sheetFormatPr defaultRowHeight="15" x14ac:dyDescent="0.25"/>
  <cols>
    <col min="1" max="1" width="2.7109375" customWidth="1"/>
    <col min="3" max="3" width="12.7109375" customWidth="1"/>
    <col min="4" max="9" width="10.7109375" customWidth="1"/>
    <col min="10" max="10" width="12" hidden="1" customWidth="1"/>
    <col min="11" max="11" width="9.140625" hidden="1" customWidth="1"/>
    <col min="12" max="12" width="2.7109375" customWidth="1"/>
    <col min="13" max="13" width="12.42578125" bestFit="1" customWidth="1"/>
    <col min="14" max="14" width="15.7109375" bestFit="1" customWidth="1"/>
    <col min="15" max="15" width="11.5703125" bestFit="1" customWidth="1"/>
    <col min="16" max="16" width="9.42578125" bestFit="1" customWidth="1"/>
    <col min="17" max="18" width="12.7109375" bestFit="1" customWidth="1"/>
    <col min="19" max="19" width="12.28515625" bestFit="1" customWidth="1"/>
    <col min="21" max="21" width="18.140625" bestFit="1" customWidth="1"/>
  </cols>
  <sheetData>
    <row r="2" spans="2:21" ht="15" customHeight="1" x14ac:dyDescent="0.25">
      <c r="B2" s="122" t="s">
        <v>39</v>
      </c>
      <c r="C2" s="123"/>
      <c r="D2" s="123"/>
      <c r="E2" s="126"/>
      <c r="M2" s="122" t="s">
        <v>40</v>
      </c>
      <c r="N2" s="123"/>
      <c r="O2" s="123"/>
      <c r="P2" s="123"/>
      <c r="Q2" s="123"/>
      <c r="R2" s="123"/>
      <c r="S2" s="123"/>
    </row>
    <row r="3" spans="2:21" ht="18" x14ac:dyDescent="0.25">
      <c r="B3" s="46" t="s">
        <v>41</v>
      </c>
      <c r="C3" s="26">
        <f>COUNT(M:M)</f>
        <v>20</v>
      </c>
      <c r="D3" s="9" t="s">
        <v>42</v>
      </c>
      <c r="E3" s="10"/>
      <c r="M3" s="46" t="s">
        <v>19</v>
      </c>
      <c r="N3" s="46" t="s">
        <v>43</v>
      </c>
      <c r="O3" s="46" t="s">
        <v>44</v>
      </c>
      <c r="P3" s="46" t="s">
        <v>45</v>
      </c>
      <c r="Q3" s="46" t="s">
        <v>46</v>
      </c>
      <c r="R3" s="46" t="s">
        <v>47</v>
      </c>
      <c r="S3" s="46" t="s">
        <v>48</v>
      </c>
      <c r="U3" s="45" t="s">
        <v>18</v>
      </c>
    </row>
    <row r="4" spans="2:21" ht="18" x14ac:dyDescent="0.25">
      <c r="B4" s="46" t="s">
        <v>49</v>
      </c>
      <c r="C4" s="55">
        <v>1</v>
      </c>
      <c r="D4" s="5" t="s">
        <v>50</v>
      </c>
      <c r="E4" s="4"/>
      <c r="M4" s="38">
        <v>1</v>
      </c>
      <c r="N4" s="38">
        <v>1</v>
      </c>
      <c r="O4" s="38">
        <f>850/2</f>
        <v>425</v>
      </c>
      <c r="P4" s="38">
        <v>9</v>
      </c>
      <c r="Q4" s="59">
        <f>Tabella1[[#This Row],[r '[mm']]]*COS(RADIANS(Tabella1[[#This Row],[ϑ '[°']]]))</f>
        <v>419.76754475293353</v>
      </c>
      <c r="R4" s="38">
        <v>0</v>
      </c>
      <c r="S4" s="59">
        <f>Tabella1[[#This Row],[r '[mm']]]*SIN(RADIANS(Tabella1[[#This Row],[ϑ '[°']]]))</f>
        <v>66.484647642098125</v>
      </c>
      <c r="U4" s="43" t="s">
        <v>32</v>
      </c>
    </row>
    <row r="5" spans="2:21" ht="18" x14ac:dyDescent="0.25">
      <c r="B5" s="46" t="s">
        <v>51</v>
      </c>
      <c r="C5" s="26">
        <f>VLOOKUP(C7,properties[],2,FALSE)</f>
        <v>2</v>
      </c>
      <c r="D5" s="5" t="s">
        <v>52</v>
      </c>
      <c r="E5" s="4"/>
      <c r="M5" s="38">
        <v>2</v>
      </c>
      <c r="N5" s="38">
        <v>2</v>
      </c>
      <c r="O5" s="38">
        <f>850/2</f>
        <v>425</v>
      </c>
      <c r="P5" s="38">
        <v>27</v>
      </c>
      <c r="Q5" s="59">
        <f>Tabella1[[#This Row],[r '[mm']]]*COS(RADIANS(Tabella1[[#This Row],[ϑ '[°']]]))</f>
        <v>378.67777278005633</v>
      </c>
      <c r="R5" s="38">
        <v>0</v>
      </c>
      <c r="S5" s="59">
        <f>Tabella1[[#This Row],[r '[mm']]]*SIN(RADIANS(Tabella1[[#This Row],[ϑ '[°']]]))</f>
        <v>192.94596238930737</v>
      </c>
      <c r="U5" s="44" t="s">
        <v>34</v>
      </c>
    </row>
    <row r="6" spans="2:21" ht="18" x14ac:dyDescent="0.25">
      <c r="B6" s="46" t="s">
        <v>53</v>
      </c>
      <c r="C6" s="26">
        <f>VLOOKUP(C8,properties[],2,FALSE)</f>
        <v>1</v>
      </c>
      <c r="D6" s="5" t="s">
        <v>54</v>
      </c>
      <c r="E6" s="4"/>
      <c r="M6" s="38">
        <v>3</v>
      </c>
      <c r="N6" s="38">
        <v>3</v>
      </c>
      <c r="O6" s="38">
        <f t="shared" ref="O6:O23" si="0">850/2</f>
        <v>425</v>
      </c>
      <c r="P6" s="38">
        <v>45</v>
      </c>
      <c r="Q6" s="59">
        <f>Tabella1[[#This Row],[r '[mm']]]*COS(RADIANS(Tabella1[[#This Row],[ϑ '[°']]]))</f>
        <v>300.52038200428274</v>
      </c>
      <c r="R6" s="38">
        <v>0</v>
      </c>
      <c r="S6" s="59">
        <f>Tabella1[[#This Row],[r '[mm']]]*SIN(RADIANS(Tabella1[[#This Row],[ϑ '[°']]]))</f>
        <v>300.52038200428268</v>
      </c>
      <c r="U6" s="42" t="s">
        <v>36</v>
      </c>
    </row>
    <row r="7" spans="2:21" ht="18" x14ac:dyDescent="0.25">
      <c r="B7" s="46" t="s">
        <v>55</v>
      </c>
      <c r="C7" s="55" t="s">
        <v>33</v>
      </c>
      <c r="D7" s="5" t="s">
        <v>56</v>
      </c>
      <c r="E7" s="4"/>
      <c r="M7" s="38">
        <v>4</v>
      </c>
      <c r="N7" s="38">
        <v>4</v>
      </c>
      <c r="O7" s="38">
        <f t="shared" si="0"/>
        <v>425</v>
      </c>
      <c r="P7" s="38">
        <v>63</v>
      </c>
      <c r="Q7" s="59">
        <f>Tabella1[[#This Row],[r '[mm']]]*COS(RADIANS(Tabella1[[#This Row],[ϑ '[°']]]))</f>
        <v>192.9459623893074</v>
      </c>
      <c r="R7" s="38">
        <v>0</v>
      </c>
      <c r="S7" s="59">
        <f>Tabella1[[#This Row],[r '[mm']]]*SIN(RADIANS(Tabella1[[#This Row],[ϑ '[°']]]))</f>
        <v>378.67777278005633</v>
      </c>
      <c r="T7" s="3"/>
    </row>
    <row r="8" spans="2:21" ht="18" x14ac:dyDescent="0.25">
      <c r="B8" s="46" t="s">
        <v>57</v>
      </c>
      <c r="C8" s="55" t="s">
        <v>31</v>
      </c>
      <c r="D8" s="5" t="s">
        <v>58</v>
      </c>
      <c r="E8" s="4"/>
      <c r="M8" s="38">
        <v>5</v>
      </c>
      <c r="N8" s="38">
        <v>5</v>
      </c>
      <c r="O8" s="38">
        <f t="shared" si="0"/>
        <v>425</v>
      </c>
      <c r="P8" s="38">
        <v>81</v>
      </c>
      <c r="Q8" s="59">
        <f>Tabella1[[#This Row],[r '[mm']]]*COS(RADIANS(Tabella1[[#This Row],[ϑ '[°']]]))</f>
        <v>66.484647642098139</v>
      </c>
      <c r="R8" s="38">
        <v>0</v>
      </c>
      <c r="S8" s="59">
        <f>Tabella1[[#This Row],[r '[mm']]]*SIN(RADIANS(Tabella1[[#This Row],[ϑ '[°']]]))</f>
        <v>419.76754475293353</v>
      </c>
      <c r="T8" s="3"/>
    </row>
    <row r="9" spans="2:21" x14ac:dyDescent="0.25">
      <c r="B9" s="56"/>
      <c r="C9" s="57"/>
      <c r="D9" s="33"/>
      <c r="M9" s="38">
        <v>6</v>
      </c>
      <c r="N9" s="38">
        <v>6</v>
      </c>
      <c r="O9" s="38">
        <f t="shared" si="0"/>
        <v>425</v>
      </c>
      <c r="P9" s="38">
        <v>99</v>
      </c>
      <c r="Q9" s="59">
        <f>Tabella1[[#This Row],[r '[mm']]]*COS(RADIANS(Tabella1[[#This Row],[ϑ '[°']]]))</f>
        <v>-66.484647642098096</v>
      </c>
      <c r="R9" s="38">
        <v>0</v>
      </c>
      <c r="S9" s="59">
        <f>Tabella1[[#This Row],[r '[mm']]]*SIN(RADIANS(Tabella1[[#This Row],[ϑ '[°']]]))</f>
        <v>419.76754475293353</v>
      </c>
      <c r="T9" s="3"/>
    </row>
    <row r="10" spans="2:21" ht="18" customHeight="1" x14ac:dyDescent="0.25">
      <c r="B10" s="122" t="s">
        <v>59</v>
      </c>
      <c r="C10" s="123"/>
      <c r="D10" s="123"/>
      <c r="E10" s="123"/>
      <c r="F10" s="123"/>
      <c r="G10" s="123"/>
      <c r="H10" s="123"/>
      <c r="I10" s="126"/>
      <c r="J10" s="3">
        <f>C11/1000</f>
        <v>2.1999999999999999E-2</v>
      </c>
      <c r="M10" s="38">
        <v>7</v>
      </c>
      <c r="N10" s="38">
        <v>7</v>
      </c>
      <c r="O10" s="38">
        <f t="shared" si="0"/>
        <v>425</v>
      </c>
      <c r="P10" s="38">
        <v>117</v>
      </c>
      <c r="Q10" s="59">
        <f>Tabella1[[#This Row],[r '[mm']]]*COS(RADIANS(Tabella1[[#This Row],[ϑ '[°']]]))</f>
        <v>-192.94596238930734</v>
      </c>
      <c r="R10" s="38">
        <v>0</v>
      </c>
      <c r="S10" s="59">
        <f>Tabella1[[#This Row],[r '[mm']]]*SIN(RADIANS(Tabella1[[#This Row],[ϑ '[°']]]))</f>
        <v>378.67777278005633</v>
      </c>
      <c r="T10" s="3"/>
    </row>
    <row r="11" spans="2:21" ht="18" customHeight="1" x14ac:dyDescent="0.25">
      <c r="B11" s="47" t="s">
        <v>60</v>
      </c>
      <c r="C11" s="50">
        <v>22</v>
      </c>
      <c r="D11" s="125" t="s">
        <v>61</v>
      </c>
      <c r="E11" s="125"/>
      <c r="F11" s="125"/>
      <c r="G11" s="129" t="s">
        <v>62</v>
      </c>
      <c r="H11" s="129"/>
      <c r="I11" s="130"/>
      <c r="J11" s="3">
        <f>C12*1000000000</f>
        <v>210000000000</v>
      </c>
      <c r="M11" s="38">
        <v>8</v>
      </c>
      <c r="N11" s="38">
        <v>8</v>
      </c>
      <c r="O11" s="38">
        <f t="shared" si="0"/>
        <v>425</v>
      </c>
      <c r="P11" s="38">
        <v>135</v>
      </c>
      <c r="Q11" s="59">
        <f>Tabella1[[#This Row],[r '[mm']]]*COS(RADIANS(Tabella1[[#This Row],[ϑ '[°']]]))</f>
        <v>-300.52038200428268</v>
      </c>
      <c r="R11" s="38">
        <v>0</v>
      </c>
      <c r="S11" s="59">
        <f>Tabella1[[#This Row],[r '[mm']]]*SIN(RADIANS(Tabella1[[#This Row],[ϑ '[°']]]))</f>
        <v>300.52038200428274</v>
      </c>
    </row>
    <row r="12" spans="2:21" ht="18" customHeight="1" x14ac:dyDescent="0.25">
      <c r="B12" s="48" t="s">
        <v>63</v>
      </c>
      <c r="C12" s="51">
        <v>210</v>
      </c>
      <c r="D12" s="125" t="s">
        <v>64</v>
      </c>
      <c r="E12" s="125"/>
      <c r="F12" s="125"/>
      <c r="G12" s="131"/>
      <c r="H12" s="131"/>
      <c r="I12" s="132"/>
      <c r="J12" s="3">
        <f>C13</f>
        <v>0.3</v>
      </c>
      <c r="M12" s="38">
        <v>9</v>
      </c>
      <c r="N12" s="38">
        <v>9</v>
      </c>
      <c r="O12" s="38">
        <f t="shared" si="0"/>
        <v>425</v>
      </c>
      <c r="P12" s="38">
        <v>153</v>
      </c>
      <c r="Q12" s="59">
        <f>Tabella1[[#This Row],[r '[mm']]]*COS(RADIANS(Tabella1[[#This Row],[ϑ '[°']]]))</f>
        <v>-378.67777278005633</v>
      </c>
      <c r="R12" s="38">
        <v>0</v>
      </c>
      <c r="S12" s="59">
        <f>Tabella1[[#This Row],[r '[mm']]]*SIN(RADIANS(Tabella1[[#This Row],[ϑ '[°']]]))</f>
        <v>192.94596238930743</v>
      </c>
      <c r="T12" s="3"/>
    </row>
    <row r="13" spans="2:21" ht="18" customHeight="1" x14ac:dyDescent="0.25">
      <c r="B13" s="48" t="s">
        <v>65</v>
      </c>
      <c r="C13" s="51">
        <v>0.3</v>
      </c>
      <c r="D13" s="125" t="s">
        <v>66</v>
      </c>
      <c r="E13" s="125"/>
      <c r="F13" s="125"/>
      <c r="G13" s="133"/>
      <c r="H13" s="133"/>
      <c r="I13" s="134"/>
      <c r="J13" s="3">
        <f>C14/1000</f>
        <v>3.5000000000000003E-2</v>
      </c>
      <c r="M13" s="38">
        <v>10</v>
      </c>
      <c r="N13" s="38">
        <v>10</v>
      </c>
      <c r="O13" s="38">
        <f t="shared" si="0"/>
        <v>425</v>
      </c>
      <c r="P13" s="38">
        <v>171</v>
      </c>
      <c r="Q13" s="59">
        <f>Tabella1[[#This Row],[r '[mm']]]*COS(RADIANS(Tabella1[[#This Row],[ϑ '[°']]]))</f>
        <v>-419.76754475293353</v>
      </c>
      <c r="R13" s="38">
        <v>0</v>
      </c>
      <c r="S13" s="59">
        <f>Tabella1[[#This Row],[r '[mm']]]*SIN(RADIANS(Tabella1[[#This Row],[ϑ '[°']]]))</f>
        <v>66.484647642098167</v>
      </c>
      <c r="T13" s="3"/>
    </row>
    <row r="14" spans="2:21" ht="18" customHeight="1" x14ac:dyDescent="0.25">
      <c r="B14" s="47" t="s">
        <v>67</v>
      </c>
      <c r="C14" s="52">
        <v>35</v>
      </c>
      <c r="D14" s="125" t="s">
        <v>68</v>
      </c>
      <c r="E14" s="125"/>
      <c r="F14" s="125"/>
      <c r="G14" s="129" t="s">
        <v>69</v>
      </c>
      <c r="H14" s="129"/>
      <c r="I14" s="130"/>
      <c r="J14" s="3">
        <f>C15*1000000000</f>
        <v>210000000000</v>
      </c>
      <c r="M14" s="38">
        <v>11</v>
      </c>
      <c r="N14" s="38">
        <v>11</v>
      </c>
      <c r="O14" s="38">
        <f t="shared" si="0"/>
        <v>425</v>
      </c>
      <c r="P14" s="38">
        <v>189</v>
      </c>
      <c r="Q14" s="59">
        <f>Tabella1[[#This Row],[r '[mm']]]*COS(RADIANS(Tabella1[[#This Row],[ϑ '[°']]]))</f>
        <v>-419.76754475293353</v>
      </c>
      <c r="R14" s="38">
        <v>0</v>
      </c>
      <c r="S14" s="59">
        <f>Tabella1[[#This Row],[r '[mm']]]*SIN(RADIANS(Tabella1[[#This Row],[ϑ '[°']]]))</f>
        <v>-66.484647642098054</v>
      </c>
      <c r="T14" s="3"/>
    </row>
    <row r="15" spans="2:21" ht="18" customHeight="1" x14ac:dyDescent="0.25">
      <c r="B15" s="48" t="s">
        <v>70</v>
      </c>
      <c r="C15" s="53">
        <v>210</v>
      </c>
      <c r="D15" s="125" t="s">
        <v>71</v>
      </c>
      <c r="E15" s="125"/>
      <c r="F15" s="125"/>
      <c r="G15" s="131"/>
      <c r="H15" s="131"/>
      <c r="I15" s="132"/>
      <c r="J15" s="3">
        <f>C16</f>
        <v>0.3</v>
      </c>
      <c r="M15" s="38">
        <v>12</v>
      </c>
      <c r="N15" s="38">
        <v>12</v>
      </c>
      <c r="O15" s="38">
        <f t="shared" si="0"/>
        <v>425</v>
      </c>
      <c r="P15" s="38">
        <v>207</v>
      </c>
      <c r="Q15" s="59">
        <f>Tabella1[[#This Row],[r '[mm']]]*COS(RADIANS(Tabella1[[#This Row],[ϑ '[°']]]))</f>
        <v>-378.67777278005633</v>
      </c>
      <c r="R15" s="38">
        <v>0</v>
      </c>
      <c r="S15" s="59">
        <f>Tabella1[[#This Row],[r '[mm']]]*SIN(RADIANS(Tabella1[[#This Row],[ϑ '[°']]]))</f>
        <v>-192.94596238930734</v>
      </c>
      <c r="T15" s="3"/>
    </row>
    <row r="16" spans="2:21" ht="18" customHeight="1" x14ac:dyDescent="0.25">
      <c r="B16" s="49" t="s">
        <v>72</v>
      </c>
      <c r="C16" s="54">
        <v>0.3</v>
      </c>
      <c r="D16" s="125" t="s">
        <v>73</v>
      </c>
      <c r="E16" s="125"/>
      <c r="F16" s="125"/>
      <c r="G16" s="133"/>
      <c r="H16" s="133"/>
      <c r="I16" s="134"/>
      <c r="J16" s="3">
        <f>C17/1000</f>
        <v>0.03</v>
      </c>
      <c r="M16" s="38">
        <v>13</v>
      </c>
      <c r="N16" s="38">
        <v>13</v>
      </c>
      <c r="O16" s="38">
        <f t="shared" si="0"/>
        <v>425</v>
      </c>
      <c r="P16" s="38">
        <v>225</v>
      </c>
      <c r="Q16" s="59">
        <f>Tabella1[[#This Row],[r '[mm']]]*COS(RADIANS(Tabella1[[#This Row],[ϑ '[°']]]))</f>
        <v>-300.52038200428274</v>
      </c>
      <c r="R16" s="38">
        <v>0</v>
      </c>
      <c r="S16" s="59">
        <f>Tabella1[[#This Row],[r '[mm']]]*SIN(RADIANS(Tabella1[[#This Row],[ϑ '[°']]]))</f>
        <v>-300.52038200428268</v>
      </c>
    </row>
    <row r="17" spans="2:22" ht="18" customHeight="1" x14ac:dyDescent="0.25">
      <c r="B17" s="48" t="s">
        <v>74</v>
      </c>
      <c r="C17" s="52">
        <v>30</v>
      </c>
      <c r="D17" s="125" t="s">
        <v>75</v>
      </c>
      <c r="E17" s="125"/>
      <c r="F17" s="125"/>
      <c r="G17" s="129" t="s">
        <v>76</v>
      </c>
      <c r="H17" s="129"/>
      <c r="I17" s="130"/>
      <c r="J17" s="3">
        <f>C18*1000000000</f>
        <v>210000000000</v>
      </c>
      <c r="M17" s="38">
        <v>14</v>
      </c>
      <c r="N17" s="38">
        <v>14</v>
      </c>
      <c r="O17" s="38">
        <f t="shared" si="0"/>
        <v>425</v>
      </c>
      <c r="P17" s="38">
        <v>243</v>
      </c>
      <c r="Q17" s="59">
        <f>Tabella1[[#This Row],[r '[mm']]]*COS(RADIANS(Tabella1[[#This Row],[ϑ '[°']]]))</f>
        <v>-192.94596238930743</v>
      </c>
      <c r="R17" s="38">
        <v>0</v>
      </c>
      <c r="S17" s="59">
        <f>Tabella1[[#This Row],[r '[mm']]]*SIN(RADIANS(Tabella1[[#This Row],[ϑ '[°']]]))</f>
        <v>-378.67777278005633</v>
      </c>
      <c r="T17" s="3"/>
    </row>
    <row r="18" spans="2:22" ht="18" customHeight="1" x14ac:dyDescent="0.25">
      <c r="B18" s="48" t="s">
        <v>77</v>
      </c>
      <c r="C18" s="53">
        <v>210</v>
      </c>
      <c r="D18" s="125" t="s">
        <v>78</v>
      </c>
      <c r="E18" s="125"/>
      <c r="F18" s="125"/>
      <c r="G18" s="131"/>
      <c r="H18" s="131"/>
      <c r="I18" s="132"/>
      <c r="J18" s="3">
        <f>C19</f>
        <v>0.3</v>
      </c>
      <c r="M18" s="38">
        <v>15</v>
      </c>
      <c r="N18" s="38">
        <v>15</v>
      </c>
      <c r="O18" s="38">
        <f t="shared" si="0"/>
        <v>425</v>
      </c>
      <c r="P18" s="38">
        <v>261</v>
      </c>
      <c r="Q18" s="59">
        <f>Tabella1[[#This Row],[r '[mm']]]*COS(RADIANS(Tabella1[[#This Row],[ϑ '[°']]]))</f>
        <v>-66.484647642098196</v>
      </c>
      <c r="R18" s="38">
        <v>0</v>
      </c>
      <c r="S18" s="59">
        <f>Tabella1[[#This Row],[r '[mm']]]*SIN(RADIANS(Tabella1[[#This Row],[ϑ '[°']]]))</f>
        <v>-419.76754475293353</v>
      </c>
      <c r="T18" s="3"/>
    </row>
    <row r="19" spans="2:22" ht="18" x14ac:dyDescent="0.25">
      <c r="B19" s="48" t="s">
        <v>79</v>
      </c>
      <c r="C19" s="54">
        <v>0.3</v>
      </c>
      <c r="D19" s="125" t="s">
        <v>80</v>
      </c>
      <c r="E19" s="125"/>
      <c r="F19" s="125"/>
      <c r="G19" s="133"/>
      <c r="H19" s="133"/>
      <c r="I19" s="134"/>
      <c r="M19" s="38">
        <v>16</v>
      </c>
      <c r="N19" s="38">
        <v>16</v>
      </c>
      <c r="O19" s="38">
        <f t="shared" si="0"/>
        <v>425</v>
      </c>
      <c r="P19" s="38">
        <v>279</v>
      </c>
      <c r="Q19" s="59">
        <f>Tabella1[[#This Row],[r '[mm']]]*COS(RADIANS(Tabella1[[#This Row],[ϑ '[°']]]))</f>
        <v>66.484647642098039</v>
      </c>
      <c r="R19" s="38">
        <v>0</v>
      </c>
      <c r="S19" s="59">
        <f>Tabella1[[#This Row],[r '[mm']]]*SIN(RADIANS(Tabella1[[#This Row],[ϑ '[°']]]))</f>
        <v>-419.76754475293353</v>
      </c>
      <c r="T19" s="3"/>
    </row>
    <row r="20" spans="2:22" x14ac:dyDescent="0.25">
      <c r="B20" s="119" t="s">
        <v>81</v>
      </c>
      <c r="C20" s="116">
        <v>1</v>
      </c>
      <c r="D20" s="16"/>
      <c r="E20" s="17"/>
      <c r="F20" s="17"/>
      <c r="G20" s="16"/>
      <c r="H20" s="17"/>
      <c r="I20" s="18"/>
      <c r="M20" s="38">
        <v>17</v>
      </c>
      <c r="N20" s="38">
        <v>17</v>
      </c>
      <c r="O20" s="38">
        <f t="shared" si="0"/>
        <v>425</v>
      </c>
      <c r="P20" s="38">
        <v>297</v>
      </c>
      <c r="Q20" s="59">
        <f>Tabella1[[#This Row],[r '[mm']]]*COS(RADIANS(Tabella1[[#This Row],[ϑ '[°']]]))</f>
        <v>192.94596238930731</v>
      </c>
      <c r="R20" s="38">
        <v>0</v>
      </c>
      <c r="S20" s="59">
        <f>Tabella1[[#This Row],[r '[mm']]]*SIN(RADIANS(Tabella1[[#This Row],[ϑ '[°']]]))</f>
        <v>-378.67777278005633</v>
      </c>
      <c r="T20" s="3"/>
    </row>
    <row r="21" spans="2:22" x14ac:dyDescent="0.25">
      <c r="B21" s="120"/>
      <c r="C21" s="117"/>
      <c r="D21" s="19"/>
      <c r="E21" s="20"/>
      <c r="F21" s="20"/>
      <c r="G21" s="19"/>
      <c r="H21" s="20"/>
      <c r="I21" s="21"/>
      <c r="M21" s="38">
        <v>18</v>
      </c>
      <c r="N21" s="38">
        <v>18</v>
      </c>
      <c r="O21" s="38">
        <f t="shared" si="0"/>
        <v>425</v>
      </c>
      <c r="P21" s="38">
        <v>315</v>
      </c>
      <c r="Q21" s="59">
        <f>Tabella1[[#This Row],[r '[mm']]]*COS(RADIANS(Tabella1[[#This Row],[ϑ '[°']]]))</f>
        <v>300.52038200428262</v>
      </c>
      <c r="R21" s="38">
        <v>0</v>
      </c>
      <c r="S21" s="59">
        <f>Tabella1[[#This Row],[r '[mm']]]*SIN(RADIANS(Tabella1[[#This Row],[ϑ '[°']]]))</f>
        <v>-300.52038200428274</v>
      </c>
    </row>
    <row r="22" spans="2:22" x14ac:dyDescent="0.25">
      <c r="B22" s="120"/>
      <c r="C22" s="117"/>
      <c r="D22" s="19"/>
      <c r="E22" s="20"/>
      <c r="F22" s="20"/>
      <c r="G22" s="19"/>
      <c r="H22" s="20"/>
      <c r="I22" s="21"/>
      <c r="M22" s="38">
        <v>19</v>
      </c>
      <c r="N22" s="38">
        <v>19</v>
      </c>
      <c r="O22" s="38">
        <f t="shared" si="0"/>
        <v>425</v>
      </c>
      <c r="P22" s="38">
        <v>333</v>
      </c>
      <c r="Q22" s="59">
        <f>Tabella1[[#This Row],[r '[mm']]]*COS(RADIANS(Tabella1[[#This Row],[ϑ '[°']]]))</f>
        <v>378.67777278005633</v>
      </c>
      <c r="R22" s="38">
        <v>0</v>
      </c>
      <c r="S22" s="59">
        <f>Tabella1[[#This Row],[r '[mm']]]*SIN(RADIANS(Tabella1[[#This Row],[ϑ '[°']]]))</f>
        <v>-192.94596238930745</v>
      </c>
      <c r="T22" s="3"/>
    </row>
    <row r="23" spans="2:22" x14ac:dyDescent="0.25">
      <c r="B23" s="120"/>
      <c r="C23" s="117"/>
      <c r="D23" s="22"/>
      <c r="E23" s="23"/>
      <c r="F23" s="23"/>
      <c r="G23" s="22"/>
      <c r="H23" s="24"/>
      <c r="I23" s="25"/>
      <c r="M23" s="38">
        <v>20</v>
      </c>
      <c r="N23" s="38">
        <v>20</v>
      </c>
      <c r="O23" s="38">
        <f t="shared" si="0"/>
        <v>425</v>
      </c>
      <c r="P23" s="38">
        <v>351</v>
      </c>
      <c r="Q23" s="59">
        <f>Tabella1[[#This Row],[r '[mm']]]*COS(RADIANS(Tabella1[[#This Row],[ϑ '[°']]]))</f>
        <v>419.76754475293353</v>
      </c>
      <c r="R23" s="38">
        <v>0</v>
      </c>
      <c r="S23" s="59">
        <f>Tabella1[[#This Row],[r '[mm']]]*SIN(RADIANS(Tabella1[[#This Row],[ϑ '[°']]]))</f>
        <v>-66.484647642098224</v>
      </c>
      <c r="T23" s="3"/>
    </row>
    <row r="24" spans="2:22" x14ac:dyDescent="0.25">
      <c r="B24" s="121"/>
      <c r="C24" s="118"/>
      <c r="D24" s="34"/>
      <c r="E24" s="35"/>
      <c r="F24" s="35"/>
      <c r="G24" s="34"/>
      <c r="H24" s="36"/>
      <c r="I24" s="37"/>
      <c r="T24" s="3"/>
    </row>
    <row r="25" spans="2:22" x14ac:dyDescent="0.25">
      <c r="B25" s="47" t="s">
        <v>82</v>
      </c>
      <c r="C25" s="6" cm="1">
        <f t="array" ref="C25">_xlfn.IFS(I27=111,2/3,I27=211,2/5,I27=122,2/3,I27=121,2/3,I27=112,2/3)</f>
        <v>0.66666666666666663</v>
      </c>
      <c r="D25" s="127" t="s">
        <v>83</v>
      </c>
      <c r="E25" s="128"/>
      <c r="F25" s="127" t="s">
        <v>84</v>
      </c>
      <c r="G25" s="128"/>
      <c r="H25" s="127" t="s">
        <v>85</v>
      </c>
      <c r="I25" s="128"/>
      <c r="P25" s="12"/>
      <c r="Q25" s="12"/>
      <c r="R25" s="3"/>
      <c r="S25" s="3"/>
      <c r="T25" s="3"/>
    </row>
    <row r="26" spans="2:22" ht="18" x14ac:dyDescent="0.25">
      <c r="B26" s="48" t="s">
        <v>86</v>
      </c>
      <c r="C26" s="7" cm="1">
        <f t="array" ref="C26">_xlfn.IFS(I27=111,3,I27=211,2.2,I27=122,4.2,I27=121,3,I27=112,4.2)</f>
        <v>3</v>
      </c>
      <c r="D26">
        <f>IF(E26="metallic",1,2)</f>
        <v>1</v>
      </c>
      <c r="E26" s="1" t="s">
        <v>87</v>
      </c>
      <c r="F26">
        <f>IF(G26="metallic",1,2)</f>
        <v>1</v>
      </c>
      <c r="G26" s="1" t="s">
        <v>87</v>
      </c>
      <c r="H26" s="3">
        <f>IF(I26="bolted",1,2)</f>
        <v>1</v>
      </c>
      <c r="I26" s="1" t="s">
        <v>88</v>
      </c>
      <c r="P26" s="12"/>
      <c r="Q26" s="12"/>
      <c r="R26" s="3"/>
      <c r="S26" s="3"/>
    </row>
    <row r="27" spans="2:22" ht="18" x14ac:dyDescent="0.25">
      <c r="B27" s="49" t="s">
        <v>89</v>
      </c>
      <c r="C27" s="8" cm="1">
        <f t="array" ref="C27">_xlfn.IFS(I27=111,3,I27=211,2.2,I27=122,4.2,I27=121,4.2,I27=112,3)</f>
        <v>3</v>
      </c>
      <c r="D27" s="2"/>
      <c r="E27" s="4"/>
      <c r="F27" s="2"/>
      <c r="G27" s="4"/>
      <c r="H27" s="2"/>
      <c r="I27" s="4">
        <f>D26+10*F26+100*H26</f>
        <v>111</v>
      </c>
      <c r="P27" s="12"/>
      <c r="Q27" s="12"/>
      <c r="R27" s="3"/>
      <c r="S27" s="3"/>
      <c r="T27" s="3"/>
    </row>
    <row r="28" spans="2:22" x14ac:dyDescent="0.25">
      <c r="P28" s="12"/>
      <c r="Q28" s="12"/>
      <c r="R28" s="3"/>
      <c r="S28" s="3"/>
      <c r="T28" s="3"/>
    </row>
    <row r="29" spans="2:22" x14ac:dyDescent="0.25">
      <c r="B29" s="124" t="s">
        <v>90</v>
      </c>
      <c r="C29" s="124"/>
      <c r="D29" s="124"/>
      <c r="E29" s="58"/>
      <c r="J29" s="3">
        <f>J11*(PI()/4*J10^2)/((J13+J16)/2)</f>
        <v>2456242133.1605115</v>
      </c>
      <c r="K29" s="3" t="s">
        <v>91</v>
      </c>
      <c r="T29" s="3"/>
      <c r="V29" s="31"/>
    </row>
    <row r="30" spans="2:22" x14ac:dyDescent="0.25">
      <c r="B30" s="114" t="s">
        <v>92</v>
      </c>
      <c r="C30" s="115"/>
      <c r="D30" s="13">
        <f>J29/1000</f>
        <v>2456242.1331605115</v>
      </c>
      <c r="J30" s="3">
        <f>1/(((J13+J16)/(2*J10))^C25*(1/C20)*(C26/(J13*J14)+C27/(C20*J16*J17)+C26/(2*J13*J11)+C27/(2*C20*J16*J11)))</f>
        <v>581177692.91590917</v>
      </c>
      <c r="K30" s="3" t="s">
        <v>91</v>
      </c>
      <c r="P30" s="31"/>
      <c r="Q30" s="31"/>
      <c r="R30" s="3"/>
      <c r="S30" s="3"/>
      <c r="T30" s="3"/>
    </row>
    <row r="31" spans="2:22" x14ac:dyDescent="0.25">
      <c r="B31" s="114" t="s">
        <v>93</v>
      </c>
      <c r="C31" s="115"/>
      <c r="D31" s="14">
        <f t="shared" ref="D31" si="1">J30/1000</f>
        <v>581177.69291590923</v>
      </c>
      <c r="J31" s="12">
        <v>1000000</v>
      </c>
      <c r="K31" s="3" t="s">
        <v>94</v>
      </c>
      <c r="P31" s="31"/>
      <c r="Q31" s="31"/>
      <c r="R31" s="3"/>
      <c r="S31" s="3"/>
    </row>
    <row r="32" spans="2:22" x14ac:dyDescent="0.25">
      <c r="B32" s="114" t="s">
        <v>95</v>
      </c>
      <c r="C32" s="115"/>
      <c r="D32" s="14">
        <f>J31*1000</f>
        <v>1000000000</v>
      </c>
      <c r="J32" s="3">
        <v>100</v>
      </c>
      <c r="K32" s="3" t="s">
        <v>94</v>
      </c>
      <c r="P32" s="31"/>
      <c r="Q32" s="31"/>
      <c r="R32" s="3"/>
      <c r="S32" s="3"/>
    </row>
    <row r="33" spans="2:19" x14ac:dyDescent="0.25">
      <c r="B33" s="114" t="s">
        <v>96</v>
      </c>
      <c r="C33" s="115"/>
      <c r="D33" s="15">
        <f>J32*1000</f>
        <v>100000</v>
      </c>
      <c r="P33" s="31"/>
      <c r="Q33" s="31"/>
      <c r="R33" s="3"/>
      <c r="S33" s="3"/>
    </row>
    <row r="35" spans="2:19" x14ac:dyDescent="0.25">
      <c r="B35" s="11" t="s">
        <v>87</v>
      </c>
      <c r="C35" s="11" t="s">
        <v>88</v>
      </c>
      <c r="P35" s="31"/>
      <c r="Q35" s="31"/>
      <c r="R35" s="3"/>
      <c r="S35" s="3"/>
    </row>
    <row r="36" spans="2:19" x14ac:dyDescent="0.25">
      <c r="B36" s="11" t="s">
        <v>97</v>
      </c>
      <c r="C36" s="11" t="s">
        <v>98</v>
      </c>
      <c r="P36" s="31"/>
      <c r="Q36" s="31"/>
      <c r="R36" s="3"/>
      <c r="S36" s="3"/>
    </row>
    <row r="37" spans="2:19" x14ac:dyDescent="0.25">
      <c r="P37" s="31"/>
      <c r="Q37" s="31"/>
      <c r="R37" s="3"/>
      <c r="S37" s="3"/>
    </row>
    <row r="38" spans="2:19" x14ac:dyDescent="0.25">
      <c r="P38" s="31"/>
      <c r="Q38" s="31"/>
      <c r="R38" s="3"/>
      <c r="S38" s="3"/>
    </row>
    <row r="40" spans="2:19" x14ac:dyDescent="0.25">
      <c r="P40" s="31"/>
      <c r="Q40" s="31"/>
      <c r="R40" s="3"/>
      <c r="S40" s="3"/>
    </row>
    <row r="41" spans="2:19" x14ac:dyDescent="0.25">
      <c r="P41" s="31"/>
      <c r="Q41" s="31"/>
      <c r="R41" s="3"/>
      <c r="S41" s="3"/>
    </row>
    <row r="42" spans="2:19" x14ac:dyDescent="0.25">
      <c r="P42" s="31"/>
      <c r="Q42" s="31"/>
      <c r="R42" s="3"/>
      <c r="S42" s="3"/>
    </row>
    <row r="43" spans="2:19" x14ac:dyDescent="0.25">
      <c r="P43" s="31"/>
      <c r="Q43" s="31"/>
      <c r="R43" s="3"/>
      <c r="S43" s="3"/>
    </row>
    <row r="45" spans="2:19" x14ac:dyDescent="0.25">
      <c r="P45" s="31"/>
      <c r="Q45" s="31"/>
      <c r="R45" s="3"/>
      <c r="S45" s="3"/>
    </row>
    <row r="46" spans="2:19" x14ac:dyDescent="0.25">
      <c r="P46" s="31"/>
      <c r="Q46" s="31"/>
      <c r="R46" s="3"/>
      <c r="S46" s="3"/>
    </row>
    <row r="47" spans="2:19" x14ac:dyDescent="0.25">
      <c r="P47" s="31"/>
      <c r="Q47" s="31"/>
      <c r="R47" s="3"/>
      <c r="S47" s="3"/>
    </row>
    <row r="48" spans="2:19" x14ac:dyDescent="0.25">
      <c r="P48" s="31"/>
      <c r="Q48" s="31"/>
      <c r="R48" s="3"/>
      <c r="S48" s="3"/>
    </row>
  </sheetData>
  <mergeCells count="25">
    <mergeCell ref="D12:F12"/>
    <mergeCell ref="D13:F13"/>
    <mergeCell ref="G14:I16"/>
    <mergeCell ref="D14:F14"/>
    <mergeCell ref="B32:C32"/>
    <mergeCell ref="D16:F16"/>
    <mergeCell ref="G17:I19"/>
    <mergeCell ref="B30:C30"/>
    <mergeCell ref="B31:C31"/>
    <mergeCell ref="B33:C33"/>
    <mergeCell ref="C20:C24"/>
    <mergeCell ref="B20:B24"/>
    <mergeCell ref="M2:S2"/>
    <mergeCell ref="B29:D29"/>
    <mergeCell ref="D17:F17"/>
    <mergeCell ref="D18:F18"/>
    <mergeCell ref="D19:F19"/>
    <mergeCell ref="B2:E2"/>
    <mergeCell ref="B10:I10"/>
    <mergeCell ref="D25:E25"/>
    <mergeCell ref="F25:G25"/>
    <mergeCell ref="H25:I25"/>
    <mergeCell ref="G11:I13"/>
    <mergeCell ref="D11:F11"/>
    <mergeCell ref="D15:F15"/>
  </mergeCells>
  <phoneticPr fontId="7" type="noConversion"/>
  <dataValidations count="1">
    <dataValidation type="list" allowBlank="1" showInputMessage="1" showErrorMessage="1" sqref="C7:C9" xr:uid="{3A53050E-D7D1-4A84-8FDC-9D8F430C6873}">
      <formula1>INDIRECT("properties[prop.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boBox3">
          <controlPr defaultSize="0" autoLine="0" linkedCell="I26" listFillRange="C35:C36" r:id="rId5">
            <anchor moveWithCells="1">
              <from>
                <xdr:col>7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6" r:id="rId4" name="ComboBox3"/>
      </mc:Fallback>
    </mc:AlternateContent>
    <mc:AlternateContent xmlns:mc="http://schemas.openxmlformats.org/markup-compatibility/2006">
      <mc:Choice Requires="x14">
        <control shapeId="1034" r:id="rId6" name="ComboBox2">
          <controlPr defaultSize="0" autoLine="0" linkedCell="G26" listFillRange="B35:B36" r:id="rId7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4" r:id="rId6" name="ComboBox2"/>
      </mc:Fallback>
    </mc:AlternateContent>
    <mc:AlternateContent xmlns:mc="http://schemas.openxmlformats.org/markup-compatibility/2006">
      <mc:Choice Requires="x14">
        <control shapeId="1033" r:id="rId8" name="ComboBox1">
          <controlPr defaultSize="0" autoLine="0" linkedCell="E26" listFillRange="B35:B36" r:id="rId9">
            <anchor moveWithCells="1">
              <from>
                <xdr:col>3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3" r:id="rId8" name="ComboBox1"/>
      </mc:Fallback>
    </mc:AlternateContent>
    <mc:AlternateContent xmlns:mc="http://schemas.openxmlformats.org/markup-compatibility/2006">
      <mc:Choice Requires="x14">
        <control shapeId="1025" r:id="rId10" name="Option Button 1">
          <controlPr defaultSize="0" autoFill="0" autoLine="0" autoPict="0">
            <anchor moveWithCells="1">
              <from>
                <xdr:col>3</xdr:col>
                <xdr:colOff>0</xdr:colOff>
                <xdr:row>23</xdr:row>
                <xdr:rowOff>0</xdr:rowOff>
              </from>
              <to>
                <xdr:col>5</xdr:col>
                <xdr:colOff>400050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1" name="Option Button 3">
          <controlPr defaultSize="0" autoFill="0" autoLine="0" autoPict="0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8</xdr:col>
                <xdr:colOff>400050</xdr:colOff>
                <xdr:row>24</xdr:row>
                <xdr:rowOff>0</xdr:rowOff>
              </to>
            </anchor>
          </controlPr>
        </control>
      </mc:Choice>
    </mc:AlternateContent>
  </controls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097D45-9E0C-4C2F-9914-8EC2FC052E35}"/>
</file>

<file path=customXml/itemProps2.xml><?xml version="1.0" encoding="utf-8"?>
<ds:datastoreItem xmlns:ds="http://schemas.openxmlformats.org/officeDocument/2006/customXml" ds:itemID="{1EB4EE09-6A9A-4AA0-8043-0644052D0FE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f16ae08e-32aa-43c4-955b-813e13c9303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2710bc8b-17c9-4e36-a567-5a8748d28b4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ED199B6-6E30-4239-A1B5-27D6DC0C030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1</vt:i4>
      </vt:variant>
    </vt:vector>
  </HeadingPairs>
  <TitlesOfParts>
    <vt:vector size="5" baseType="lpstr">
      <vt:lpstr>Cover</vt:lpstr>
      <vt:lpstr>content</vt:lpstr>
      <vt:lpstr>summary</vt:lpstr>
      <vt:lpstr>CFAST1</vt:lpstr>
      <vt:lpstr>Cover!Area_stampa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2023-04-27T10:19:56Z</dcterms:created>
  <dcterms:modified xsi:type="dcterms:W3CDTF">2024-05-15T13:13:59Z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