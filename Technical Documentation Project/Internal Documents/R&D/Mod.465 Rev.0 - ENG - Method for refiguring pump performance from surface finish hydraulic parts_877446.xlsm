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10453\Downloads\"/>
    </mc:Choice>
  </mc:AlternateContent>
  <xr:revisionPtr revIDLastSave="0" documentId="13_ncr:1_{D52A2725-FC33-4050-8F52-AAE5D3FF46F8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Cover" sheetId="7" r:id="rId1"/>
    <sheet name="Input_Output" sheetId="5" r:id="rId2"/>
    <sheet name="Metric_Conversion" sheetId="13" r:id="rId3"/>
    <sheet name="calc" sheetId="14" r:id="rId4"/>
    <sheet name="setup" sheetId="6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</externalReferences>
  <definedNames>
    <definedName name="_bga2">#REF!</definedName>
    <definedName name="_Col1">#REF!</definedName>
    <definedName name="_Col2">#REF!</definedName>
    <definedName name="_Col3">#REF!</definedName>
    <definedName name="_Col4">#REF!</definedName>
    <definedName name="a">#REF!</definedName>
    <definedName name="Ac">#REF!</definedName>
    <definedName name="adsv">#REF!</definedName>
    <definedName name="_xlnm.Print_Area" localSheetId="0">Cover!$A$1:$AD$48</definedName>
    <definedName name="_xlnm.Print_Area" localSheetId="1">Input_Output!$B$3:$K$50</definedName>
    <definedName name="_xlnm.Print_Area" localSheetId="2">Metric_Conversion!$B$3:$K$48</definedName>
    <definedName name="asdfg">[1]DAF!$F$17:$F$20</definedName>
    <definedName name="bga">#REF!</definedName>
    <definedName name="bp">#REF!</definedName>
    <definedName name="CARATTERISTICHE">#REF!</definedName>
    <definedName name="CK">#REF!</definedName>
    <definedName name="CURVA_RIFERIMENTO">#REF!</definedName>
    <definedName name="d">#REF!</definedName>
    <definedName name="das">#REF!</definedName>
    <definedName name="DATA">[2]Bearings!$B$6:$Z$14</definedName>
    <definedName name="ddd">'[3]From RPI'!$AB$90</definedName>
    <definedName name="DEN">'[4] '!$C$5:$C$37</definedName>
    <definedName name="Doc_type">#REF!</definedName>
    <definedName name="DOCID">[5]listes!$C$2:$C$150</definedName>
    <definedName name="dpt_code">#REF!</definedName>
    <definedName name="EQPT_LIST_UNIT_31">#REF!</definedName>
    <definedName name="FACTORS">#REF!</definedName>
    <definedName name="fm">#REF!</definedName>
    <definedName name="Impeller_Eye_Area" localSheetId="0">#REF!</definedName>
    <definedName name="Impeller_Eye_Area" localSheetId="1">Input_Output!#REF!</definedName>
    <definedName name="Impeller_Eye_Area" localSheetId="2">Metric_Conversion!#REF!</definedName>
    <definedName name="Impeller_Eye_Area">#REF!</definedName>
    <definedName name="Impeller_Eye_Diameter" localSheetId="0">#REF!</definedName>
    <definedName name="Impeller_Eye_Diameter" localSheetId="1">Input_Output!#REF!</definedName>
    <definedName name="Impeller_Eye_Diameter" localSheetId="2">Metric_Conversion!#REF!</definedName>
    <definedName name="Impeller_Eye_Diameter">#REF!</definedName>
    <definedName name="Impeller_Hub_Diameter" localSheetId="0">#REF!</definedName>
    <definedName name="Impeller_Hub_Diameter" localSheetId="1">Input_Output!#REF!</definedName>
    <definedName name="Impeller_Hub_Diameter" localSheetId="2">Metric_Conversion!#REF!</definedName>
    <definedName name="Impeller_Hub_Diameter">#REF!</definedName>
    <definedName name="Impeller_Inlet_Diameter" localSheetId="0">#REF!</definedName>
    <definedName name="Impeller_Inlet_Diameter" localSheetId="1">Input_Output!#REF!</definedName>
    <definedName name="Impeller_Inlet_Diameter" localSheetId="2">Metric_Conversion!#REF!</definedName>
    <definedName name="Impeller_Inlet_Diameter">#REF!</definedName>
    <definedName name="indx">#REF!</definedName>
    <definedName name="INT_DIAM">#REF!</definedName>
    <definedName name="Items">#REF!</definedName>
    <definedName name="kl">#REF!</definedName>
    <definedName name="KR">#REF!</definedName>
    <definedName name="LAG">#REF!</definedName>
    <definedName name="Language">#REF!</definedName>
    <definedName name="Larghezza">#REF!</definedName>
    <definedName name="LENGHTS">#REF!</definedName>
    <definedName name="LINE_LIST_UNIT_31">#REF!</definedName>
    <definedName name="ListIndex">#REF!</definedName>
    <definedName name="MAT">#REF!</definedName>
    <definedName name="Number">#REF!</definedName>
    <definedName name="pipesize">#REF!</definedName>
    <definedName name="Portata">#REF!</definedName>
    <definedName name="portatacalcolo">'[6]Basi di progetto'!$D$16</definedName>
    <definedName name="portataminima">'[6]Basi di progetto'!$D$10</definedName>
    <definedName name="portatanera">'[6]Basi di progetto'!$D$14</definedName>
    <definedName name="portcalcolo">#REF!</definedName>
    <definedName name="portnera">#REF!</definedName>
    <definedName name="Print_Area_MI">#REF!</definedName>
    <definedName name="prtpioggia">'[6]Basi di progetto'!$D$12</definedName>
    <definedName name="pump">#REF!</definedName>
    <definedName name="PUMPCALC">'[7]PUMP CALCULATION'!$J$4</definedName>
    <definedName name="PUMPDATA">'[7]PUMP CALCULATION'!$J$12</definedName>
    <definedName name="q">#REF!</definedName>
    <definedName name="references">#REF!</definedName>
    <definedName name="rev">#REF!</definedName>
    <definedName name="RevTable">#REF!</definedName>
    <definedName name="Rgas">#REF!</definedName>
    <definedName name="rhokl">#REF!</definedName>
    <definedName name="ROUGHNESS">#REF!</definedName>
    <definedName name="RPM">#REF!</definedName>
    <definedName name="s">'[3]From RPI'!$AB$88</definedName>
    <definedName name="solub">#REF!</definedName>
    <definedName name="Speed">[8]Utility!$A$3</definedName>
    <definedName name="Suction_Diameter" localSheetId="0">#REF!</definedName>
    <definedName name="Suction_Diameter" localSheetId="1">Input_Output!#REF!</definedName>
    <definedName name="Suction_Diameter" localSheetId="2">Metric_Conversion!$M$16</definedName>
    <definedName name="Suction_Diameter">#REF!</definedName>
    <definedName name="Sup">#REF!</definedName>
    <definedName name="title">#REF!</definedName>
    <definedName name="TRASPORTA">#REF!</definedName>
    <definedName name="uh">#REF!</definedName>
    <definedName name="UNIT">[5]listes!$D$2:$D$150</definedName>
    <definedName name="Unit_number">#REF!</definedName>
    <definedName name="units">#REF!</definedName>
    <definedName name="Values">#REF!</definedName>
    <definedName name="velocita_di_progetto">#REF!</definedName>
    <definedName name="velocità_di_progetto">#REF!</definedName>
    <definedName name="velocitamassima">#REF!</definedName>
    <definedName name="velocitaminima">#REF!</definedName>
    <definedName name="VH">#REF!</definedName>
    <definedName name="vt">#REF!</definedName>
    <definedName name="WC">[5]listes!$A$2:$A$25</definedName>
    <definedName name="work_center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3" l="1"/>
  <c r="E14" i="14"/>
  <c r="E7" i="13"/>
  <c r="C15" i="13"/>
  <c r="H5" i="14"/>
  <c r="U27" i="5" l="1"/>
  <c r="U26" i="5"/>
  <c r="U25" i="5"/>
  <c r="U24" i="5"/>
  <c r="U23" i="5"/>
  <c r="U22" i="5"/>
  <c r="U21" i="5"/>
  <c r="U20" i="5"/>
  <c r="U19" i="5"/>
  <c r="C14" i="14"/>
  <c r="B43" i="13" s="1"/>
  <c r="B43" i="5" s="1"/>
  <c r="N23" i="5" s="1"/>
  <c r="Y23" i="5" s="1"/>
  <c r="I7" i="13"/>
  <c r="I8" i="13"/>
  <c r="I6" i="13"/>
  <c r="F5" i="14"/>
  <c r="E5" i="14" s="1"/>
  <c r="J15" i="13"/>
  <c r="Q20" i="14" s="1"/>
  <c r="I15" i="13"/>
  <c r="X20" i="14" s="1"/>
  <c r="J13" i="13"/>
  <c r="Q19" i="14" s="1"/>
  <c r="I13" i="13"/>
  <c r="X19" i="14" s="1"/>
  <c r="E11" i="13"/>
  <c r="E12" i="13"/>
  <c r="E13" i="13"/>
  <c r="E14" i="13"/>
  <c r="E15" i="13"/>
  <c r="E16" i="13"/>
  <c r="E17" i="13"/>
  <c r="E10" i="13"/>
  <c r="B11" i="13"/>
  <c r="B12" i="13"/>
  <c r="C15" i="14" s="1"/>
  <c r="B44" i="13" s="1"/>
  <c r="B44" i="5" s="1"/>
  <c r="N24" i="5" s="1"/>
  <c r="Y24" i="5" s="1"/>
  <c r="B13" i="13"/>
  <c r="C16" i="14" s="1"/>
  <c r="B45" i="13" s="1"/>
  <c r="B45" i="5" s="1"/>
  <c r="N25" i="5" s="1"/>
  <c r="Y25" i="5" s="1"/>
  <c r="B14" i="13"/>
  <c r="C17" i="14" s="1"/>
  <c r="B46" i="13" s="1"/>
  <c r="B46" i="5" s="1"/>
  <c r="N26" i="5" s="1"/>
  <c r="Y26" i="5" s="1"/>
  <c r="B15" i="13"/>
  <c r="C18" i="14" s="1"/>
  <c r="B47" i="13" s="1"/>
  <c r="B47" i="5" s="1"/>
  <c r="N27" i="5" s="1"/>
  <c r="Y27" i="5" s="1"/>
  <c r="B16" i="13"/>
  <c r="C19" i="14" s="1"/>
  <c r="B48" i="13" s="1"/>
  <c r="B48" i="5" s="1"/>
  <c r="N28" i="5" s="1"/>
  <c r="Y28" i="5" s="1"/>
  <c r="B17" i="13"/>
  <c r="C20" i="14" s="1"/>
  <c r="B49" i="13" s="1"/>
  <c r="B49" i="5" s="1"/>
  <c r="N29" i="5" s="1"/>
  <c r="Y29" i="5" s="1"/>
  <c r="B10" i="13"/>
  <c r="C13" i="14" s="1"/>
  <c r="B42" i="13" s="1"/>
  <c r="B42" i="5" s="1"/>
  <c r="N22" i="5" s="1"/>
  <c r="Y22" i="5" s="1"/>
  <c r="D41" i="13"/>
  <c r="C41" i="13"/>
  <c r="B41" i="13"/>
  <c r="J12" i="13"/>
  <c r="I12" i="13"/>
  <c r="D9" i="13"/>
  <c r="C9" i="13"/>
  <c r="B9" i="13"/>
  <c r="AB15" i="5"/>
  <c r="AB16" i="5"/>
  <c r="Z10" i="5"/>
  <c r="Q11" i="5"/>
  <c r="AB11" i="5" s="1"/>
  <c r="Q12" i="5"/>
  <c r="AB12" i="5" s="1"/>
  <c r="Q13" i="5"/>
  <c r="AB13" i="5" s="1"/>
  <c r="Q14" i="5"/>
  <c r="AB14" i="5" s="1"/>
  <c r="Q15" i="5"/>
  <c r="Q16" i="5"/>
  <c r="Q17" i="5"/>
  <c r="AB17" i="5" s="1"/>
  <c r="Q10" i="5"/>
  <c r="AB10" i="5" s="1"/>
  <c r="U15" i="5"/>
  <c r="AF15" i="5" s="1"/>
  <c r="T15" i="5"/>
  <c r="AE15" i="5" s="1"/>
  <c r="U13" i="5"/>
  <c r="AF13" i="5" s="1"/>
  <c r="T13" i="5"/>
  <c r="AE13" i="5" s="1"/>
  <c r="P17" i="5"/>
  <c r="AA17" i="5" s="1"/>
  <c r="P16" i="5"/>
  <c r="AA16" i="5" s="1"/>
  <c r="P15" i="5"/>
  <c r="AA15" i="5" s="1"/>
  <c r="P14" i="5"/>
  <c r="AA14" i="5" s="1"/>
  <c r="P13" i="5"/>
  <c r="AA13" i="5" s="1"/>
  <c r="P12" i="5"/>
  <c r="AA12" i="5" s="1"/>
  <c r="P11" i="5"/>
  <c r="AA11" i="5" s="1"/>
  <c r="P10" i="5"/>
  <c r="AA10" i="5" s="1"/>
  <c r="O17" i="5"/>
  <c r="Z17" i="5" s="1"/>
  <c r="O16" i="5"/>
  <c r="Z16" i="5" s="1"/>
  <c r="O15" i="5"/>
  <c r="Z15" i="5" s="1"/>
  <c r="O14" i="5"/>
  <c r="Z14" i="5" s="1"/>
  <c r="O13" i="5"/>
  <c r="Z13" i="5" s="1"/>
  <c r="O12" i="5"/>
  <c r="Z12" i="5" s="1"/>
  <c r="O11" i="5"/>
  <c r="Z11" i="5" s="1"/>
  <c r="O10" i="5"/>
  <c r="N17" i="5"/>
  <c r="Y17" i="5" s="1"/>
  <c r="N16" i="5"/>
  <c r="Y16" i="5" s="1"/>
  <c r="N15" i="5"/>
  <c r="Y15" i="5" s="1"/>
  <c r="N14" i="5"/>
  <c r="Y14" i="5" s="1"/>
  <c r="N13" i="5"/>
  <c r="Y13" i="5" s="1"/>
  <c r="N12" i="5"/>
  <c r="Y12" i="5" s="1"/>
  <c r="N11" i="5"/>
  <c r="Y11" i="5" s="1"/>
  <c r="N10" i="5"/>
  <c r="Y10" i="5" s="1"/>
  <c r="D41" i="5"/>
  <c r="C41" i="5"/>
  <c r="B41" i="5"/>
  <c r="J12" i="5"/>
  <c r="I12" i="5"/>
  <c r="B9" i="5"/>
  <c r="C9" i="5"/>
  <c r="D9" i="5"/>
  <c r="I5" i="14" l="1"/>
  <c r="G5" i="14" s="1"/>
  <c r="D15" i="13"/>
  <c r="D16" i="13"/>
  <c r="E19" i="14" s="1"/>
  <c r="D48" i="13" s="1"/>
  <c r="D48" i="5" s="1"/>
  <c r="P28" i="5" s="1"/>
  <c r="AA28" i="5" s="1"/>
  <c r="C11" i="13"/>
  <c r="C12" i="13"/>
  <c r="C13" i="13"/>
  <c r="D11" i="13"/>
  <c r="D43" i="13" s="1"/>
  <c r="D43" i="5" s="1"/>
  <c r="P23" i="5" s="1"/>
  <c r="AA23" i="5" s="1"/>
  <c r="D12" i="13"/>
  <c r="E15" i="14" s="1"/>
  <c r="D44" i="13" s="1"/>
  <c r="D44" i="5" s="1"/>
  <c r="P24" i="5" s="1"/>
  <c r="AA24" i="5" s="1"/>
  <c r="C16" i="13"/>
  <c r="C14" i="13"/>
  <c r="D13" i="13"/>
  <c r="E16" i="14" s="1"/>
  <c r="D45" i="13" s="1"/>
  <c r="D45" i="5" s="1"/>
  <c r="P25" i="5" s="1"/>
  <c r="AA25" i="5" s="1"/>
  <c r="C17" i="13"/>
  <c r="D17" i="13"/>
  <c r="E20" i="14" s="1"/>
  <c r="D49" i="13" s="1"/>
  <c r="D49" i="5" s="1"/>
  <c r="P29" i="5" s="1"/>
  <c r="AA29" i="5" s="1"/>
  <c r="D14" i="13"/>
  <c r="E17" i="14" s="1"/>
  <c r="D46" i="13" s="1"/>
  <c r="D46" i="5" s="1"/>
  <c r="P26" i="5" s="1"/>
  <c r="AA26" i="5" s="1"/>
  <c r="C10" i="13"/>
  <c r="E13" i="14"/>
  <c r="D42" i="13" s="1"/>
  <c r="K5" i="14" l="1"/>
  <c r="D42" i="5"/>
  <c r="P22" i="5" s="1"/>
  <c r="AA22" i="5" s="1"/>
  <c r="E18" i="14"/>
  <c r="D47" i="13" s="1"/>
  <c r="D47" i="5" s="1"/>
  <c r="P27" i="5" s="1"/>
  <c r="AA27" i="5" s="1"/>
  <c r="J5" i="14"/>
  <c r="P19" i="14"/>
  <c r="I41" i="5"/>
  <c r="J41" i="5" s="1"/>
  <c r="L5" i="14" l="1"/>
  <c r="P20" i="14"/>
  <c r="T19" i="14"/>
  <c r="V19" i="14"/>
  <c r="W19" i="14"/>
  <c r="U19" i="14"/>
  <c r="AC19" i="14" l="1"/>
  <c r="AB19" i="14"/>
  <c r="R19" i="14"/>
  <c r="S19" i="14" s="1"/>
  <c r="R20" i="14"/>
  <c r="S20" i="14" s="1"/>
  <c r="U20" i="14"/>
  <c r="W20" i="14"/>
  <c r="V20" i="14"/>
  <c r="T20" i="14"/>
  <c r="AB20" i="14" l="1"/>
  <c r="AC20" i="14"/>
  <c r="Y20" i="14"/>
  <c r="Y19" i="14"/>
  <c r="Z20" i="14" l="1"/>
  <c r="AD20" i="14"/>
  <c r="AD19" i="14"/>
  <c r="Z19" i="14"/>
  <c r="AD21" i="14" l="1"/>
  <c r="H8" i="14" l="1"/>
  <c r="H9" i="14" s="1"/>
  <c r="D13" i="14" l="1"/>
  <c r="D20" i="14"/>
  <c r="D19" i="14"/>
  <c r="D17" i="14"/>
  <c r="D18" i="14"/>
  <c r="F18" i="14" s="1"/>
  <c r="D16" i="14"/>
  <c r="F16" i="14" s="1"/>
  <c r="E45" i="5" s="1"/>
  <c r="Q25" i="5" s="1"/>
  <c r="AB25" i="5" s="1"/>
  <c r="D15" i="14"/>
  <c r="F15" i="14" s="1"/>
  <c r="E44" i="5" s="1"/>
  <c r="Q24" i="5" s="1"/>
  <c r="AB24" i="5" s="1"/>
  <c r="D14" i="14"/>
  <c r="F14" i="14" s="1"/>
  <c r="E43" i="13" s="1"/>
  <c r="C47" i="13"/>
  <c r="C47" i="5" s="1"/>
  <c r="O27" i="5" s="1"/>
  <c r="Z27" i="5" s="1"/>
  <c r="C45" i="13"/>
  <c r="C45" i="5" s="1"/>
  <c r="O25" i="5" s="1"/>
  <c r="Z25" i="5" s="1"/>
  <c r="E47" i="13"/>
  <c r="C44" i="13" l="1"/>
  <c r="C44" i="5" s="1"/>
  <c r="O24" i="5" s="1"/>
  <c r="Z24" i="5" s="1"/>
  <c r="E45" i="13"/>
  <c r="E44" i="13"/>
  <c r="F17" i="14"/>
  <c r="C46" i="13"/>
  <c r="C46" i="5" s="1"/>
  <c r="O26" i="5" s="1"/>
  <c r="Z26" i="5" s="1"/>
  <c r="E43" i="5"/>
  <c r="Q23" i="5" s="1"/>
  <c r="AB23" i="5" s="1"/>
  <c r="C48" i="13"/>
  <c r="C48" i="5" s="1"/>
  <c r="O28" i="5" s="1"/>
  <c r="Z28" i="5" s="1"/>
  <c r="F19" i="14"/>
  <c r="E48" i="13" s="1"/>
  <c r="C43" i="13"/>
  <c r="C43" i="5" s="1"/>
  <c r="O23" i="5" s="1"/>
  <c r="Z23" i="5" s="1"/>
  <c r="F20" i="14"/>
  <c r="C49" i="13"/>
  <c r="C49" i="5" s="1"/>
  <c r="O29" i="5" s="1"/>
  <c r="Z29" i="5" s="1"/>
  <c r="C42" i="13"/>
  <c r="C42" i="5" s="1"/>
  <c r="O22" i="5" s="1"/>
  <c r="Z22" i="5" s="1"/>
  <c r="F13" i="14"/>
  <c r="E47" i="5"/>
  <c r="Q27" i="5" s="1"/>
  <c r="AB27" i="5" s="1"/>
  <c r="E48" i="5" l="1"/>
  <c r="Q28" i="5" s="1"/>
  <c r="AB28" i="5" s="1"/>
  <c r="E42" i="5"/>
  <c r="Q22" i="5" s="1"/>
  <c r="AB22" i="5" s="1"/>
  <c r="E42" i="13"/>
  <c r="E49" i="5"/>
  <c r="Q29" i="5" s="1"/>
  <c r="AB29" i="5" s="1"/>
  <c r="E49" i="13"/>
  <c r="E46" i="5"/>
  <c r="Q26" i="5" s="1"/>
  <c r="AB26" i="5" s="1"/>
  <c r="E46" i="1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Mattia Biolo</author>
  </authors>
  <commentList>
    <comment ref="P19" authorId="0" shapeId="0" xr:uid="{5A07BB21-CBD4-4C1A-BAEB-1B121419ACEB}">
      <text>
        <r>
          <rPr>
            <sz val="9"/>
            <color indexed="81"/>
            <rFont val="Tahoma"/>
            <family val="2"/>
          </rPr>
          <t>Calculation formula is referred to input/output sheet based on the assumption that the user will set the same system of units in MODULE 1 and 3</t>
        </r>
      </text>
    </comment>
    <comment ref="P20" authorId="0" shapeId="0" xr:uid="{45C13D94-515F-41A2-ACAB-0164C7972312}">
      <text>
        <r>
          <rPr>
            <sz val="9"/>
            <color indexed="81"/>
            <rFont val="Tahoma"/>
            <family val="2"/>
          </rPr>
          <t>Calculation formula is referred to input/output sheet based on the assumption that the user will set the same system of units in MODULE 1 and 3</t>
        </r>
      </text>
    </comment>
  </commentList>
</comments>
</file>

<file path=xl/sharedStrings.xml><?xml version="1.0" encoding="utf-8"?>
<sst xmlns="http://schemas.openxmlformats.org/spreadsheetml/2006/main" count="226" uniqueCount="113">
  <si>
    <t>First issue</t>
  </si>
  <si>
    <t>R&amp;D - L.DeFranco</t>
  </si>
  <si>
    <t>QA/HSEM C.Delli Quadri - M.Tremolada</t>
  </si>
  <si>
    <t>R&amp;D Manager / M.Borghetti</t>
  </si>
  <si>
    <t>Rev.</t>
  </si>
  <si>
    <t>Date</t>
  </si>
  <si>
    <t>Description</t>
  </si>
  <si>
    <t>Prepared</t>
  </si>
  <si>
    <t>Checked</t>
  </si>
  <si>
    <t>Approved</t>
  </si>
  <si>
    <t>Method for Refiguring Pump Performance from surface finish for hydraulic parts</t>
  </si>
  <si>
    <t>INPUT DATA</t>
  </si>
  <si>
    <t>INPUT DATA in US unit</t>
  </si>
  <si>
    <t>INPUT DATA in SI unit</t>
  </si>
  <si>
    <t>unit system</t>
  </si>
  <si>
    <t>SI</t>
  </si>
  <si>
    <t>pump name</t>
  </si>
  <si>
    <t>US</t>
  </si>
  <si>
    <t>Pump speed</t>
  </si>
  <si>
    <t>RPM</t>
  </si>
  <si>
    <t>numbero of stages</t>
  </si>
  <si>
    <t>Q</t>
  </si>
  <si>
    <t>H</t>
  </si>
  <si>
    <t>P</t>
  </si>
  <si>
    <t>ETA</t>
  </si>
  <si>
    <t>number of suction sides</t>
  </si>
  <si>
    <t>%</t>
  </si>
  <si>
    <t>GPM</t>
  </si>
  <si>
    <t>ft</t>
  </si>
  <si>
    <t>HP</t>
  </si>
  <si>
    <t>m3h</t>
  </si>
  <si>
    <t>m</t>
  </si>
  <si>
    <t>kW</t>
  </si>
  <si>
    <t>roughenss Ra</t>
  </si>
  <si>
    <t>impeller</t>
  </si>
  <si>
    <t>diffuser/casing</t>
  </si>
  <si>
    <t>microinch</t>
  </si>
  <si>
    <t>micron</t>
  </si>
  <si>
    <t>baseline</t>
  </si>
  <si>
    <t>target</t>
  </si>
  <si>
    <t>class</t>
  </si>
  <si>
    <t>Ra [microin]</t>
  </si>
  <si>
    <t>Ra [micron]</t>
  </si>
  <si>
    <t>OUTPUT DATA</t>
  </si>
  <si>
    <t>OUTPUT DATA in US unit</t>
  </si>
  <si>
    <t>N5</t>
  </si>
  <si>
    <t>OUTPUT DATA in SI unit</t>
  </si>
  <si>
    <t>N6</t>
  </si>
  <si>
    <t>N7</t>
  </si>
  <si>
    <t>N8</t>
  </si>
  <si>
    <t>N9</t>
  </si>
  <si>
    <t>N10</t>
  </si>
  <si>
    <t>N11</t>
  </si>
  <si>
    <t>N12</t>
  </si>
  <si>
    <t>N13</t>
  </si>
  <si>
    <t>Nq</t>
  </si>
  <si>
    <t>Ns</t>
  </si>
  <si>
    <t>Hst</t>
  </si>
  <si>
    <t>Pst</t>
  </si>
  <si>
    <t>ROUGHNESS CONVERSION</t>
  </si>
  <si>
    <t>ROUGHNESS EFFECT</t>
  </si>
  <si>
    <t>BEP</t>
  </si>
  <si>
    <t>rpm</t>
  </si>
  <si>
    <t>Q [m3/h]</t>
  </si>
  <si>
    <t>eta</t>
  </si>
  <si>
    <t>POWER</t>
  </si>
  <si>
    <t>POWER S.G.1</t>
  </si>
  <si>
    <t>S.G.</t>
  </si>
  <si>
    <t>cas</t>
  </si>
  <si>
    <t>A</t>
  </si>
  <si>
    <t>B</t>
  </si>
  <si>
    <t>C</t>
  </si>
  <si>
    <t>D</t>
  </si>
  <si>
    <t>E</t>
  </si>
  <si>
    <t>F</t>
  </si>
  <si>
    <t>G</t>
  </si>
  <si>
    <t>coeff</t>
  </si>
  <si>
    <t>Nq^0</t>
  </si>
  <si>
    <t>Nq^1</t>
  </si>
  <si>
    <t>Nq^2</t>
  </si>
  <si>
    <t>Nq^3</t>
  </si>
  <si>
    <t>Nq^4</t>
  </si>
  <si>
    <t>Nq^5</t>
  </si>
  <si>
    <t>Nq^6</t>
  </si>
  <si>
    <t>C2</t>
  </si>
  <si>
    <t>Coefficient for Head correction at Dmax k1</t>
  </si>
  <si>
    <t>C1</t>
  </si>
  <si>
    <t>k1=deltaH*Q^2</t>
  </si>
  <si>
    <t>delta H</t>
  </si>
  <si>
    <t>C0</t>
  </si>
  <si>
    <t>H=Hori+k1*Q^2</t>
  </si>
  <si>
    <t>k1</t>
  </si>
  <si>
    <t>imp</t>
  </si>
  <si>
    <t>Q [mc/h]</t>
  </si>
  <si>
    <t>Hst [m]</t>
  </si>
  <si>
    <t>Pst [kW]</t>
  </si>
  <si>
    <t>eff [%]</t>
  </si>
  <si>
    <t>CASING</t>
  </si>
  <si>
    <t>IMPELLER</t>
  </si>
  <si>
    <t>NQ</t>
  </si>
  <si>
    <t>Ra</t>
  </si>
  <si>
    <t>Zle/Hst</t>
  </si>
  <si>
    <t>eta.stat</t>
  </si>
  <si>
    <t>Zla/Hst</t>
  </si>
  <si>
    <t>eta.rot</t>
  </si>
  <si>
    <t>TOT</t>
  </si>
  <si>
    <t>INITIAL</t>
  </si>
  <si>
    <t>FINAL</t>
  </si>
  <si>
    <t>ratio</t>
  </si>
  <si>
    <t>delta%</t>
  </si>
  <si>
    <t>setup for selection</t>
  </si>
  <si>
    <t>Mod.465-0</t>
  </si>
  <si>
    <t>Method for Refiguring Pump Performance from surface finish for hydraulic parts
(linked to SOP-483)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</si>
</sst>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General_)"/>
    <numFmt numFmtId="166" formatCode="&quot;$&quot;#,##0.00;[Red]\-&quot;$&quot;#,##0.00"/>
    <numFmt numFmtId="167" formatCode="0.0%"/>
    <numFmt numFmtId="168" formatCode="0.000"/>
  </numFmts>
  <fonts count="16" x14ac:knownFonts="1">
    <font>
      <sz val="10"/>
      <name val="Arial"/>
    </font>
    <font>
      <sz val="10"/>
      <name val="Arial"/>
      <family val="2"/>
    </font>
    <font>
      <sz val="14"/>
      <name val="TradeGothic"/>
    </font>
    <font>
      <sz val="10"/>
      <name val="TradeGothic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b/>
      <sz val="8"/>
      <color indexed="12"/>
      <name val="Arial"/>
      <family val="2"/>
    </font>
    <font>
      <sz val="12"/>
      <color rgb="FF000000"/>
      <name val="Calibri"/>
      <family val="2"/>
      <scheme val="minor"/>
    </font>
    <font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AC6CC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165" fontId="4" fillId="0" borderId="0"/>
    <xf numFmtId="166" fontId="10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" fontId="0" fillId="0" borderId="1" xfId="1" applyNumberFormat="1" applyFont="1" applyBorder="1" applyAlignment="1" applyProtection="1">
      <alignment horizontal="center"/>
    </xf>
    <xf numFmtId="1" fontId="0" fillId="0" borderId="11" xfId="1" applyNumberFormat="1" applyFont="1" applyBorder="1" applyAlignment="1" applyProtection="1">
      <alignment horizontal="center"/>
    </xf>
    <xf numFmtId="0" fontId="1" fillId="0" borderId="0" xfId="2"/>
    <xf numFmtId="0" fontId="1" fillId="0" borderId="0" xfId="2" applyAlignment="1">
      <alignment wrapText="1"/>
    </xf>
    <xf numFmtId="164" fontId="1" fillId="0" borderId="10" xfId="2" applyNumberFormat="1" applyBorder="1" applyAlignment="1">
      <alignment horizontal="center"/>
    </xf>
    <xf numFmtId="0" fontId="1" fillId="0" borderId="12" xfId="2" applyBorder="1"/>
    <xf numFmtId="0" fontId="1" fillId="0" borderId="0" xfId="0" applyFont="1"/>
    <xf numFmtId="0" fontId="1" fillId="3" borderId="0" xfId="2" applyFill="1"/>
    <xf numFmtId="0" fontId="1" fillId="3" borderId="0" xfId="2" applyFill="1" applyAlignment="1">
      <alignment wrapText="1"/>
    </xf>
    <xf numFmtId="0" fontId="1" fillId="3" borderId="6" xfId="2" applyFill="1" applyBorder="1" applyAlignment="1">
      <alignment wrapText="1"/>
    </xf>
    <xf numFmtId="0" fontId="3" fillId="3" borderId="0" xfId="2" applyFont="1" applyFill="1"/>
    <xf numFmtId="0" fontId="3" fillId="3" borderId="6" xfId="2" applyFont="1" applyFill="1" applyBorder="1"/>
    <xf numFmtId="0" fontId="3" fillId="2" borderId="2" xfId="2" applyFont="1" applyFill="1" applyBorder="1"/>
    <xf numFmtId="0" fontId="3" fillId="2" borderId="3" xfId="2" applyFont="1" applyFill="1" applyBorder="1"/>
    <xf numFmtId="0" fontId="3" fillId="2" borderId="4" xfId="2" applyFont="1" applyFill="1" applyBorder="1"/>
    <xf numFmtId="0" fontId="1" fillId="0" borderId="0" xfId="2" quotePrefix="1"/>
    <xf numFmtId="0" fontId="1" fillId="0" borderId="0" xfId="2" applyAlignment="1">
      <alignment horizontal="center" vertical="center"/>
    </xf>
    <xf numFmtId="0" fontId="1" fillId="0" borderId="16" xfId="3" applyBorder="1" applyAlignment="1">
      <alignment horizontal="center" vertical="center"/>
    </xf>
    <xf numFmtId="0" fontId="1" fillId="0" borderId="17" xfId="3" applyBorder="1" applyAlignment="1">
      <alignment horizontal="center" vertical="center"/>
    </xf>
    <xf numFmtId="0" fontId="1" fillId="0" borderId="18" xfId="3" applyBorder="1" applyAlignment="1">
      <alignment horizontal="center" vertical="center"/>
    </xf>
    <xf numFmtId="165" fontId="4" fillId="0" borderId="0" xfId="4"/>
    <xf numFmtId="0" fontId="1" fillId="0" borderId="19" xfId="3" applyBorder="1" applyAlignment="1">
      <alignment horizontal="center" vertical="center"/>
    </xf>
    <xf numFmtId="0" fontId="1" fillId="0" borderId="0" xfId="3" applyAlignment="1">
      <alignment horizontal="center" vertical="center"/>
    </xf>
    <xf numFmtId="0" fontId="1" fillId="0" borderId="20" xfId="3" applyBorder="1" applyAlignment="1">
      <alignment horizontal="center" vertical="center"/>
    </xf>
    <xf numFmtId="0" fontId="5" fillId="0" borderId="0" xfId="3" applyFont="1" applyAlignment="1">
      <alignment horizontal="center" vertical="top"/>
    </xf>
    <xf numFmtId="0" fontId="1" fillId="0" borderId="0" xfId="3" applyAlignment="1">
      <alignment horizontal="center"/>
    </xf>
    <xf numFmtId="0" fontId="6" fillId="0" borderId="0" xfId="3" applyFont="1" applyAlignment="1">
      <alignment horizontal="center" vertical="top"/>
    </xf>
    <xf numFmtId="0" fontId="7" fillId="0" borderId="20" xfId="3" applyFont="1" applyBorder="1" applyAlignment="1">
      <alignment horizontal="center" vertical="top"/>
    </xf>
    <xf numFmtId="0" fontId="8" fillId="0" borderId="19" xfId="3" applyFont="1" applyBorder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9" fillId="0" borderId="0" xfId="3" applyFont="1" applyAlignment="1">
      <alignment horizontal="center" vertical="center"/>
    </xf>
    <xf numFmtId="0" fontId="8" fillId="0" borderId="20" xfId="3" applyFont="1" applyBorder="1" applyAlignment="1">
      <alignment horizontal="center" vertical="center"/>
    </xf>
    <xf numFmtId="0" fontId="2" fillId="5" borderId="9" xfId="2" applyFont="1" applyFill="1" applyBorder="1"/>
    <xf numFmtId="0" fontId="3" fillId="5" borderId="14" xfId="2" applyFont="1" applyFill="1" applyBorder="1"/>
    <xf numFmtId="0" fontId="3" fillId="5" borderId="4" xfId="2" applyFont="1" applyFill="1" applyBorder="1"/>
    <xf numFmtId="0" fontId="3" fillId="6" borderId="2" xfId="2" applyFont="1" applyFill="1" applyBorder="1" applyProtection="1">
      <protection locked="0"/>
    </xf>
    <xf numFmtId="1" fontId="3" fillId="6" borderId="4" xfId="1" applyNumberFormat="1" applyFont="1" applyFill="1" applyBorder="1" applyAlignment="1" applyProtection="1">
      <alignment horizontal="center"/>
      <protection locked="0"/>
    </xf>
    <xf numFmtId="1" fontId="3" fillId="6" borderId="1" xfId="1" applyNumberFormat="1" applyFont="1" applyFill="1" applyBorder="1" applyAlignment="1" applyProtection="1">
      <alignment horizontal="center"/>
      <protection locked="0"/>
    </xf>
    <xf numFmtId="164" fontId="3" fillId="6" borderId="1" xfId="1" applyNumberFormat="1" applyFont="1" applyFill="1" applyBorder="1" applyAlignment="1" applyProtection="1">
      <alignment horizontal="center"/>
      <protection locked="0"/>
    </xf>
    <xf numFmtId="1" fontId="1" fillId="0" borderId="0" xfId="2" applyNumberFormat="1"/>
    <xf numFmtId="0" fontId="1" fillId="7" borderId="1" xfId="2" applyFill="1" applyBorder="1"/>
    <xf numFmtId="164" fontId="1" fillId="7" borderId="1" xfId="2" applyNumberFormat="1" applyFill="1" applyBorder="1"/>
    <xf numFmtId="0" fontId="3" fillId="2" borderId="1" xfId="2" applyFont="1" applyFill="1" applyBorder="1"/>
    <xf numFmtId="0" fontId="3" fillId="3" borderId="0" xfId="2" applyFont="1" applyFill="1" applyAlignment="1">
      <alignment horizontal="right"/>
    </xf>
    <xf numFmtId="0" fontId="3" fillId="3" borderId="7" xfId="2" applyFont="1" applyFill="1" applyBorder="1"/>
    <xf numFmtId="0" fontId="2" fillId="5" borderId="0" xfId="2" applyFont="1" applyFill="1"/>
    <xf numFmtId="0" fontId="2" fillId="5" borderId="7" xfId="2" applyFont="1" applyFill="1" applyBorder="1"/>
    <xf numFmtId="0" fontId="3" fillId="6" borderId="4" xfId="2" applyFont="1" applyFill="1" applyBorder="1" applyProtection="1">
      <protection locked="0"/>
    </xf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2" fontId="0" fillId="0" borderId="36" xfId="0" applyNumberFormat="1" applyBorder="1" applyAlignment="1">
      <alignment vertical="center"/>
    </xf>
    <xf numFmtId="2" fontId="0" fillId="0" borderId="37" xfId="0" applyNumberFormat="1" applyBorder="1" applyAlignment="1">
      <alignment vertical="center"/>
    </xf>
    <xf numFmtId="2" fontId="0" fillId="0" borderId="38" xfId="0" applyNumberForma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9" fontId="1" fillId="0" borderId="18" xfId="6" applyFont="1" applyBorder="1" applyAlignment="1">
      <alignment horizontal="center" vertical="center"/>
    </xf>
    <xf numFmtId="2" fontId="0" fillId="0" borderId="7" xfId="0" applyNumberFormat="1" applyBorder="1" applyAlignment="1">
      <alignment vertical="center"/>
    </xf>
    <xf numFmtId="2" fontId="0" fillId="0" borderId="6" xfId="0" applyNumberFormat="1" applyBorder="1" applyAlignment="1">
      <alignment vertical="center"/>
    </xf>
    <xf numFmtId="0" fontId="0" fillId="0" borderId="19" xfId="0" applyBorder="1" applyAlignment="1">
      <alignment vertical="center"/>
    </xf>
    <xf numFmtId="9" fontId="1" fillId="0" borderId="0" xfId="6" applyFont="1" applyBorder="1" applyAlignment="1">
      <alignment horizontal="center" vertical="center"/>
    </xf>
    <xf numFmtId="2" fontId="1" fillId="0" borderId="20" xfId="6" applyNumberForma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7" xfId="0" applyBorder="1"/>
    <xf numFmtId="0" fontId="1" fillId="0" borderId="19" xfId="0" applyFont="1" applyBorder="1" applyAlignment="1">
      <alignment horizontal="left" vertical="top"/>
    </xf>
    <xf numFmtId="1" fontId="13" fillId="0" borderId="0" xfId="0" applyNumberFormat="1" applyFont="1" applyAlignment="1" applyProtection="1">
      <alignment horizontal="center" vertical="center"/>
      <protection locked="0"/>
    </xf>
    <xf numFmtId="0" fontId="0" fillId="0" borderId="19" xfId="0" applyBorder="1" applyAlignment="1">
      <alignment horizontal="left" vertical="center"/>
    </xf>
    <xf numFmtId="0" fontId="13" fillId="0" borderId="0" xfId="0" quotePrefix="1" applyFont="1" applyAlignment="1" applyProtection="1">
      <alignment horizontal="center" vertical="center"/>
      <protection locked="0"/>
    </xf>
    <xf numFmtId="0" fontId="14" fillId="0" borderId="0" xfId="0" applyFont="1" applyAlignment="1">
      <alignment horizontal="center" vertical="center" readingOrder="1"/>
    </xf>
    <xf numFmtId="0" fontId="0" fillId="0" borderId="21" xfId="0" applyBorder="1" applyAlignment="1">
      <alignment horizontal="left" vertical="center"/>
    </xf>
    <xf numFmtId="0" fontId="13" fillId="0" borderId="22" xfId="0" applyFont="1" applyBorder="1" applyAlignment="1" applyProtection="1">
      <alignment horizontal="center" vertical="center"/>
      <protection locked="0"/>
    </xf>
    <xf numFmtId="9" fontId="1" fillId="0" borderId="22" xfId="6" applyFont="1" applyBorder="1" applyAlignment="1">
      <alignment horizontal="center" vertical="center"/>
    </xf>
    <xf numFmtId="11" fontId="1" fillId="0" borderId="23" xfId="6" applyNumberFormat="1" applyBorder="1" applyAlignment="1">
      <alignment horizontal="center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20" xfId="0" applyFont="1" applyBorder="1" applyAlignment="1" applyProtection="1">
      <alignment horizontal="center" vertical="center"/>
      <protection locked="0"/>
    </xf>
    <xf numFmtId="0" fontId="0" fillId="0" borderId="7" xfId="0" applyBorder="1" applyAlignment="1">
      <alignment vertical="center"/>
    </xf>
    <xf numFmtId="0" fontId="0" fillId="0" borderId="21" xfId="0" applyBorder="1" applyAlignment="1">
      <alignment vertical="center"/>
    </xf>
    <xf numFmtId="0" fontId="10" fillId="0" borderId="23" xfId="0" applyFont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0" xfId="0" applyAlignment="1">
      <alignment horizontal="center"/>
    </xf>
    <xf numFmtId="0" fontId="1" fillId="0" borderId="19" xfId="0" applyFont="1" applyBorder="1" applyAlignment="1">
      <alignment vertical="center"/>
    </xf>
    <xf numFmtId="0" fontId="10" fillId="0" borderId="14" xfId="0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9" xfId="0" applyBorder="1"/>
    <xf numFmtId="0" fontId="0" fillId="0" borderId="15" xfId="0" applyBorder="1" applyAlignment="1">
      <alignment vertical="center"/>
    </xf>
    <xf numFmtId="0" fontId="0" fillId="8" borderId="0" xfId="0" applyFill="1"/>
    <xf numFmtId="167" fontId="0" fillId="0" borderId="0" xfId="1" applyNumberFormat="1" applyFont="1" applyBorder="1"/>
    <xf numFmtId="11" fontId="0" fillId="0" borderId="0" xfId="0" applyNumberFormat="1"/>
    <xf numFmtId="167" fontId="0" fillId="0" borderId="6" xfId="0" applyNumberFormat="1" applyBorder="1" applyAlignment="1">
      <alignment vertical="center"/>
    </xf>
    <xf numFmtId="0" fontId="0" fillId="0" borderId="8" xfId="0" applyBorder="1"/>
    <xf numFmtId="0" fontId="0" fillId="0" borderId="5" xfId="0" applyBorder="1"/>
    <xf numFmtId="0" fontId="14" fillId="0" borderId="5" xfId="0" applyFont="1" applyBorder="1" applyAlignment="1">
      <alignment horizontal="center" vertical="center" readingOrder="1"/>
    </xf>
    <xf numFmtId="167" fontId="0" fillId="0" borderId="13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0" fontId="13" fillId="0" borderId="20" xfId="0" quotePrefix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vertical="center"/>
    </xf>
    <xf numFmtId="2" fontId="1" fillId="8" borderId="0" xfId="0" quotePrefix="1" applyNumberFormat="1" applyFont="1" applyFill="1" applyAlignment="1">
      <alignment horizontal="center" vertical="center"/>
    </xf>
    <xf numFmtId="2" fontId="1" fillId="8" borderId="0" xfId="0" applyNumberFormat="1" applyFont="1" applyFill="1" applyAlignment="1">
      <alignment horizontal="center" vertical="center"/>
    </xf>
    <xf numFmtId="0" fontId="1" fillId="0" borderId="22" xfId="0" applyFont="1" applyBorder="1" applyAlignment="1">
      <alignment vertical="center"/>
    </xf>
    <xf numFmtId="0" fontId="0" fillId="0" borderId="23" xfId="0" applyBorder="1" applyAlignment="1">
      <alignment vertical="center"/>
    </xf>
    <xf numFmtId="164" fontId="13" fillId="0" borderId="20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vertical="center"/>
    </xf>
    <xf numFmtId="1" fontId="0" fillId="8" borderId="0" xfId="0" applyNumberFormat="1" applyFill="1"/>
    <xf numFmtId="164" fontId="3" fillId="2" borderId="1" xfId="2" applyNumberFormat="1" applyFont="1" applyFill="1" applyBorder="1"/>
    <xf numFmtId="0" fontId="1" fillId="2" borderId="1" xfId="2" applyFill="1" applyBorder="1"/>
    <xf numFmtId="1" fontId="1" fillId="7" borderId="1" xfId="2" applyNumberFormat="1" applyFill="1" applyBorder="1"/>
    <xf numFmtId="168" fontId="13" fillId="0" borderId="0" xfId="0" applyNumberFormat="1" applyFont="1" applyAlignment="1" applyProtection="1">
      <alignment horizontal="center" vertical="center"/>
      <protection locked="0"/>
    </xf>
    <xf numFmtId="0" fontId="1" fillId="4" borderId="0" xfId="2" applyFill="1"/>
    <xf numFmtId="0" fontId="1" fillId="4" borderId="0" xfId="2" applyFill="1" applyAlignment="1">
      <alignment wrapText="1"/>
    </xf>
    <xf numFmtId="0" fontId="1" fillId="4" borderId="6" xfId="2" applyFill="1" applyBorder="1" applyAlignment="1">
      <alignment wrapText="1"/>
    </xf>
    <xf numFmtId="0" fontId="3" fillId="4" borderId="0" xfId="2" applyFont="1" applyFill="1"/>
    <xf numFmtId="0" fontId="3" fillId="6" borderId="2" xfId="2" applyFont="1" applyFill="1" applyBorder="1" applyAlignment="1" applyProtection="1">
      <alignment horizontal="center"/>
      <protection locked="0"/>
    </xf>
    <xf numFmtId="166" fontId="1" fillId="0" borderId="21" xfId="5" applyFont="1" applyBorder="1" applyAlignment="1">
      <alignment horizontal="right" vertical="center"/>
    </xf>
    <xf numFmtId="166" fontId="4" fillId="0" borderId="22" xfId="5" applyFont="1" applyBorder="1" applyAlignment="1">
      <alignment horizontal="right" vertical="center"/>
    </xf>
    <xf numFmtId="166" fontId="4" fillId="0" borderId="23" xfId="5" applyFont="1" applyBorder="1" applyAlignment="1">
      <alignment horizontal="right" vertical="center"/>
    </xf>
    <xf numFmtId="166" fontId="1" fillId="0" borderId="31" xfId="5" applyFont="1" applyBorder="1" applyAlignment="1">
      <alignment horizontal="center" vertical="center"/>
    </xf>
    <xf numFmtId="166" fontId="1" fillId="0" borderId="32" xfId="5" applyFont="1" applyBorder="1" applyAlignment="1">
      <alignment horizontal="center" vertical="center"/>
    </xf>
    <xf numFmtId="0" fontId="11" fillId="0" borderId="33" xfId="3" applyFont="1" applyBorder="1" applyAlignment="1">
      <alignment horizontal="center" vertical="center"/>
    </xf>
    <xf numFmtId="0" fontId="11" fillId="0" borderId="34" xfId="3" applyFont="1" applyBorder="1" applyAlignment="1">
      <alignment horizontal="center" vertical="center"/>
    </xf>
    <xf numFmtId="0" fontId="11" fillId="0" borderId="32" xfId="3" applyFont="1" applyBorder="1" applyAlignment="1">
      <alignment horizontal="center" vertical="center"/>
    </xf>
    <xf numFmtId="0" fontId="11" fillId="0" borderId="35" xfId="3" applyFont="1" applyBorder="1" applyAlignment="1">
      <alignment horizontal="center" vertical="center"/>
    </xf>
    <xf numFmtId="0" fontId="10" fillId="0" borderId="2" xfId="3" applyFont="1" applyBorder="1" applyAlignment="1">
      <alignment horizontal="center" vertical="center" wrapText="1"/>
    </xf>
    <xf numFmtId="0" fontId="10" fillId="0" borderId="3" xfId="3" applyFont="1" applyBorder="1" applyAlignment="1">
      <alignment horizontal="center" vertical="center" wrapText="1"/>
    </xf>
    <xf numFmtId="0" fontId="10" fillId="0" borderId="30" xfId="3" applyFont="1" applyBorder="1" applyAlignment="1">
      <alignment horizontal="center" vertical="center" wrapText="1"/>
    </xf>
    <xf numFmtId="0" fontId="1" fillId="0" borderId="29" xfId="3" applyBorder="1" applyAlignment="1">
      <alignment horizontal="center" vertical="center"/>
    </xf>
    <xf numFmtId="0" fontId="1" fillId="0" borderId="4" xfId="3" applyBorder="1" applyAlignment="1">
      <alignment horizontal="center" vertical="center"/>
    </xf>
    <xf numFmtId="0" fontId="1" fillId="0" borderId="2" xfId="3" applyBorder="1" applyAlignment="1">
      <alignment horizontal="center" vertical="center"/>
    </xf>
    <xf numFmtId="0" fontId="1" fillId="0" borderId="3" xfId="3" applyBorder="1" applyAlignment="1">
      <alignment horizontal="center" vertical="center"/>
    </xf>
    <xf numFmtId="0" fontId="1" fillId="0" borderId="30" xfId="3" applyBorder="1" applyAlignment="1">
      <alignment horizontal="center" vertical="center"/>
    </xf>
    <xf numFmtId="0" fontId="10" fillId="0" borderId="29" xfId="3" applyFont="1" applyBorder="1" applyAlignment="1">
      <alignment horizontal="center" vertical="center"/>
    </xf>
    <xf numFmtId="0" fontId="10" fillId="0" borderId="4" xfId="3" applyFont="1" applyBorder="1" applyAlignment="1">
      <alignment horizontal="center" vertical="center"/>
    </xf>
    <xf numFmtId="14" fontId="10" fillId="0" borderId="2" xfId="3" applyNumberFormat="1" applyFont="1" applyBorder="1" applyAlignment="1">
      <alignment horizontal="center" vertical="center"/>
    </xf>
    <xf numFmtId="14" fontId="10" fillId="0" borderId="3" xfId="3" applyNumberFormat="1" applyFont="1" applyBorder="1" applyAlignment="1">
      <alignment horizontal="center" vertical="center"/>
    </xf>
    <xf numFmtId="14" fontId="10" fillId="0" borderId="4" xfId="3" applyNumberFormat="1" applyFont="1" applyBorder="1" applyAlignment="1">
      <alignment horizontal="center" vertical="center"/>
    </xf>
    <xf numFmtId="0" fontId="10" fillId="0" borderId="2" xfId="3" applyFont="1" applyBorder="1" applyAlignment="1">
      <alignment horizontal="center" vertical="center"/>
    </xf>
    <xf numFmtId="0" fontId="10" fillId="0" borderId="3" xfId="3" applyFont="1" applyBorder="1" applyAlignment="1">
      <alignment horizontal="center" vertical="center"/>
    </xf>
    <xf numFmtId="0" fontId="10" fillId="0" borderId="4" xfId="3" applyFont="1" applyBorder="1" applyAlignment="1">
      <alignment horizontal="center" vertical="center" wrapText="1"/>
    </xf>
    <xf numFmtId="0" fontId="8" fillId="0" borderId="16" xfId="3" applyFont="1" applyBorder="1" applyAlignment="1">
      <alignment horizontal="center" vertical="center" wrapText="1"/>
    </xf>
    <xf numFmtId="0" fontId="8" fillId="0" borderId="17" xfId="3" applyFont="1" applyBorder="1" applyAlignment="1">
      <alignment horizontal="center" vertical="center" wrapText="1"/>
    </xf>
    <xf numFmtId="0" fontId="8" fillId="0" borderId="18" xfId="3" applyFont="1" applyBorder="1" applyAlignment="1">
      <alignment horizontal="center" vertical="center" wrapText="1"/>
    </xf>
    <xf numFmtId="0" fontId="8" fillId="0" borderId="19" xfId="3" applyFont="1" applyBorder="1" applyAlignment="1">
      <alignment horizontal="center" vertical="center" wrapText="1"/>
    </xf>
    <xf numFmtId="0" fontId="8" fillId="0" borderId="0" xfId="3" applyFont="1" applyAlignment="1">
      <alignment horizontal="center" vertical="center" wrapText="1"/>
    </xf>
    <xf numFmtId="0" fontId="8" fillId="0" borderId="20" xfId="3" applyFont="1" applyBorder="1" applyAlignment="1">
      <alignment horizontal="center" vertical="center" wrapText="1"/>
    </xf>
    <xf numFmtId="0" fontId="8" fillId="0" borderId="21" xfId="3" applyFont="1" applyBorder="1" applyAlignment="1">
      <alignment horizontal="center" vertical="center" wrapText="1"/>
    </xf>
    <xf numFmtId="0" fontId="8" fillId="0" borderId="22" xfId="3" applyFont="1" applyBorder="1" applyAlignment="1">
      <alignment horizontal="center" vertical="center" wrapText="1"/>
    </xf>
    <xf numFmtId="0" fontId="8" fillId="0" borderId="23" xfId="3" applyFont="1" applyBorder="1" applyAlignment="1">
      <alignment horizontal="center" vertical="center" wrapText="1"/>
    </xf>
    <xf numFmtId="0" fontId="1" fillId="0" borderId="24" xfId="3" applyBorder="1" applyAlignment="1">
      <alignment horizontal="center" vertical="center"/>
    </xf>
    <xf numFmtId="0" fontId="1" fillId="0" borderId="25" xfId="3" applyBorder="1" applyAlignment="1">
      <alignment horizontal="center" vertical="center"/>
    </xf>
    <xf numFmtId="0" fontId="1" fillId="0" borderId="26" xfId="3" applyBorder="1" applyAlignment="1">
      <alignment horizontal="center" vertical="center"/>
    </xf>
    <xf numFmtId="0" fontId="1" fillId="0" borderId="27" xfId="3" applyBorder="1" applyAlignment="1">
      <alignment horizontal="center" vertical="center"/>
    </xf>
    <xf numFmtId="0" fontId="1" fillId="0" borderId="28" xfId="3" applyBorder="1" applyAlignment="1">
      <alignment horizontal="center" vertical="center"/>
    </xf>
    <xf numFmtId="0" fontId="2" fillId="4" borderId="9" xfId="0" applyFont="1" applyFill="1" applyBorder="1" applyAlignment="1">
      <alignment horizontal="right" wrapText="1"/>
    </xf>
    <xf numFmtId="0" fontId="2" fillId="4" borderId="14" xfId="0" applyFont="1" applyFill="1" applyBorder="1" applyAlignment="1">
      <alignment horizontal="right" wrapText="1"/>
    </xf>
    <xf numFmtId="0" fontId="2" fillId="4" borderId="15" xfId="0" applyFont="1" applyFill="1" applyBorder="1" applyAlignment="1">
      <alignment horizontal="right" wrapText="1"/>
    </xf>
    <xf numFmtId="0" fontId="2" fillId="4" borderId="7" xfId="0" applyFont="1" applyFill="1" applyBorder="1" applyAlignment="1">
      <alignment horizontal="right" wrapText="1"/>
    </xf>
    <xf numFmtId="0" fontId="2" fillId="4" borderId="0" xfId="0" applyFont="1" applyFill="1" applyAlignment="1">
      <alignment horizontal="right" wrapText="1"/>
    </xf>
    <xf numFmtId="0" fontId="2" fillId="4" borderId="6" xfId="0" applyFont="1" applyFill="1" applyBorder="1" applyAlignment="1">
      <alignment horizontal="right" wrapText="1"/>
    </xf>
    <xf numFmtId="0" fontId="2" fillId="4" borderId="8" xfId="0" applyFont="1" applyFill="1" applyBorder="1" applyAlignment="1">
      <alignment horizontal="right" wrapText="1"/>
    </xf>
    <xf numFmtId="0" fontId="2" fillId="4" borderId="5" xfId="0" applyFont="1" applyFill="1" applyBorder="1" applyAlignment="1">
      <alignment horizontal="right" wrapText="1"/>
    </xf>
    <xf numFmtId="0" fontId="2" fillId="4" borderId="13" xfId="0" applyFont="1" applyFill="1" applyBorder="1" applyAlignment="1">
      <alignment horizontal="right" wrapText="1"/>
    </xf>
    <xf numFmtId="0" fontId="1" fillId="0" borderId="0" xfId="2" applyAlignment="1">
      <alignment horizontal="center"/>
    </xf>
    <xf numFmtId="0" fontId="1" fillId="0" borderId="6" xfId="2" applyBorder="1" applyAlignment="1">
      <alignment horizontal="center"/>
    </xf>
    <xf numFmtId="0" fontId="1" fillId="0" borderId="5" xfId="2" applyBorder="1" applyAlignment="1">
      <alignment horizontal="center"/>
    </xf>
    <xf numFmtId="0" fontId="1" fillId="0" borderId="13" xfId="2" applyBorder="1" applyAlignment="1">
      <alignment horizontal="center"/>
    </xf>
    <xf numFmtId="0" fontId="2" fillId="5" borderId="0" xfId="2" applyFont="1" applyFill="1" applyAlignment="1">
      <alignment horizontal="center"/>
    </xf>
    <xf numFmtId="0" fontId="2" fillId="5" borderId="6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</cellXfs>
  <cellStyles count="7">
    <cellStyle name="Normale" xfId="0" builtinId="0"/>
    <cellStyle name="Normale 2" xfId="2" xr:uid="{795928D0-5C76-4F0F-A20E-094B7972AE98}"/>
    <cellStyle name="Normale 3" xfId="4" xr:uid="{C011C091-F2B0-4EF2-B4A7-63FDBD1F912D}"/>
    <cellStyle name="Normale 4" xfId="3" xr:uid="{57B8244B-0C9E-478A-B498-3B3BB4B0A698}"/>
    <cellStyle name="Percentuale" xfId="1" builtinId="5"/>
    <cellStyle name="Percentuale 6" xfId="6" xr:uid="{D582B01E-8B1F-4B1E-AB53-1B84D468F983}"/>
    <cellStyle name="Valuta 2" xfId="5" xr:uid="{AF86A1FB-1D8C-4F3A-BB52-783ECB8E972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5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415630210753628"/>
          <c:y val="0.1699414146132586"/>
          <c:w val="0.69832030685603386"/>
          <c:h val="0.68173330511113706"/>
        </c:manualLayout>
      </c:layout>
      <c:scatterChart>
        <c:scatterStyle val="smoothMarker"/>
        <c:varyColors val="0"/>
        <c:ser>
          <c:idx val="0"/>
          <c:order val="0"/>
          <c:tx>
            <c:v>OLD.ROUGHNESS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Input_Output!$B$10:$B$17</c:f>
              <c:numCache>
                <c:formatCode>0.0</c:formatCode>
                <c:ptCount val="8"/>
                <c:pt idx="0">
                  <c:v>9.956565319077848E-8</c:v>
                </c:pt>
                <c:pt idx="1">
                  <c:v>21.278595317725756</c:v>
                </c:pt>
                <c:pt idx="2">
                  <c:v>39.188494983277593</c:v>
                </c:pt>
                <c:pt idx="3">
                  <c:v>57.095882156009374</c:v>
                </c:pt>
                <c:pt idx="4">
                  <c:v>83.942818881821225</c:v>
                </c:pt>
                <c:pt idx="5">
                  <c:v>94.230274614869387</c:v>
                </c:pt>
                <c:pt idx="6">
                  <c:v>103.06624203821656</c:v>
                </c:pt>
                <c:pt idx="7">
                  <c:v>114.85145924186514</c:v>
                </c:pt>
              </c:numCache>
            </c:numRef>
          </c:xVal>
          <c:yVal>
            <c:numRef>
              <c:f>Input_Output!$C$10:$C$17</c:f>
              <c:numCache>
                <c:formatCode>0.0</c:formatCode>
                <c:ptCount val="8"/>
                <c:pt idx="0">
                  <c:v>526.46882106708756</c:v>
                </c:pt>
                <c:pt idx="1">
                  <c:v>518.41070703108528</c:v>
                </c:pt>
                <c:pt idx="2">
                  <c:v>505.78233730890463</c:v>
                </c:pt>
                <c:pt idx="3">
                  <c:v>483.38651128063043</c:v>
                </c:pt>
                <c:pt idx="4">
                  <c:v>425.27980605620229</c:v>
                </c:pt>
                <c:pt idx="5">
                  <c:v>398.82921589414872</c:v>
                </c:pt>
                <c:pt idx="6">
                  <c:v>373.62032360402577</c:v>
                </c:pt>
                <c:pt idx="7">
                  <c:v>333.12378940741871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F4-44A6-AD57-ADCFA49EEE23}"/>
            </c:ext>
          </c:extLst>
        </c:ser>
        <c:ser>
          <c:idx val="2"/>
          <c:order val="2"/>
          <c:tx>
            <c:v>NEW.ROUGHNESS</c:v>
          </c:tx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Input_Output!$B$42:$B$49</c:f>
              <c:numCache>
                <c:formatCode>0.0</c:formatCode>
                <c:ptCount val="8"/>
                <c:pt idx="0">
                  <c:v>9.956565319077848E-8</c:v>
                </c:pt>
                <c:pt idx="1">
                  <c:v>21.278595317725756</c:v>
                </c:pt>
                <c:pt idx="2">
                  <c:v>39.188494983277593</c:v>
                </c:pt>
                <c:pt idx="3">
                  <c:v>57.095882156009374</c:v>
                </c:pt>
                <c:pt idx="4">
                  <c:v>83.942818881821225</c:v>
                </c:pt>
                <c:pt idx="5">
                  <c:v>94.230274614869387</c:v>
                </c:pt>
                <c:pt idx="6">
                  <c:v>103.06624203821656</c:v>
                </c:pt>
                <c:pt idx="7">
                  <c:v>114.85145924186514</c:v>
                </c:pt>
              </c:numCache>
            </c:numRef>
          </c:xVal>
          <c:yVal>
            <c:numRef>
              <c:f>Input_Output!$C$42:$C$49</c:f>
              <c:numCache>
                <c:formatCode>0.0</c:formatCode>
                <c:ptCount val="8"/>
                <c:pt idx="0">
                  <c:v>526.46882106708756</c:v>
                </c:pt>
                <c:pt idx="1">
                  <c:v>518.73200298636732</c:v>
                </c:pt>
                <c:pt idx="2">
                  <c:v>506.87211149893187</c:v>
                </c:pt>
                <c:pt idx="3">
                  <c:v>485.6997951147988</c:v>
                </c:pt>
                <c:pt idx="4">
                  <c:v>430.2799953564695</c:v>
                </c:pt>
                <c:pt idx="5">
                  <c:v>405.13008215656851</c:v>
                </c:pt>
                <c:pt idx="6">
                  <c:v>381.15825586958431</c:v>
                </c:pt>
                <c:pt idx="7">
                  <c:v>342.48414576590625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9F4-44A6-AD57-ADCFA49EE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728863"/>
        <c:axId val="429856783"/>
      </c:scatterChart>
      <c:scatterChart>
        <c:scatterStyle val="smoothMarker"/>
        <c:varyColors val="0"/>
        <c:ser>
          <c:idx val="1"/>
          <c:order val="1"/>
          <c:tx>
            <c:v>NEW.ROUGHNESS</c:v>
          </c:tx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Input_Output!$B$10:$B$17</c:f>
              <c:numCache>
                <c:formatCode>0.0</c:formatCode>
                <c:ptCount val="8"/>
                <c:pt idx="0">
                  <c:v>9.956565319077848E-8</c:v>
                </c:pt>
                <c:pt idx="1">
                  <c:v>21.278595317725756</c:v>
                </c:pt>
                <c:pt idx="2">
                  <c:v>39.188494983277593</c:v>
                </c:pt>
                <c:pt idx="3">
                  <c:v>57.095882156009374</c:v>
                </c:pt>
                <c:pt idx="4">
                  <c:v>83.942818881821225</c:v>
                </c:pt>
                <c:pt idx="5">
                  <c:v>94.230274614869387</c:v>
                </c:pt>
                <c:pt idx="6">
                  <c:v>103.06624203821656</c:v>
                </c:pt>
                <c:pt idx="7">
                  <c:v>114.85145924186514</c:v>
                </c:pt>
              </c:numCache>
            </c:numRef>
          </c:xVal>
          <c:yVal>
            <c:numRef>
              <c:f>Input_Output!$E$10:$E$17</c:f>
              <c:numCache>
                <c:formatCode>0.0</c:formatCode>
                <c:ptCount val="8"/>
                <c:pt idx="0">
                  <c:v>2.0228359272846058E-7</c:v>
                </c:pt>
                <c:pt idx="1">
                  <c:v>34.182490455329095</c:v>
                </c:pt>
                <c:pt idx="2">
                  <c:v>51.667028849438999</c:v>
                </c:pt>
                <c:pt idx="3">
                  <c:v>61.341643759780197</c:v>
                </c:pt>
                <c:pt idx="4">
                  <c:v>67.158923989183677</c:v>
                </c:pt>
                <c:pt idx="5">
                  <c:v>68.244731843555613</c:v>
                </c:pt>
                <c:pt idx="6">
                  <c:v>67.650604406982538</c:v>
                </c:pt>
                <c:pt idx="7">
                  <c:v>65.294834164197937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9F4-44A6-AD57-ADCFA49EEE23}"/>
            </c:ext>
          </c:extLst>
        </c:ser>
        <c:ser>
          <c:idx val="3"/>
          <c:order val="3"/>
          <c:spPr>
            <a:ln w="95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Input_Output!$B$42:$B$49</c:f>
              <c:numCache>
                <c:formatCode>0.0</c:formatCode>
                <c:ptCount val="8"/>
                <c:pt idx="0">
                  <c:v>9.956565319077848E-8</c:v>
                </c:pt>
                <c:pt idx="1">
                  <c:v>21.278595317725756</c:v>
                </c:pt>
                <c:pt idx="2">
                  <c:v>39.188494983277593</c:v>
                </c:pt>
                <c:pt idx="3">
                  <c:v>57.095882156009374</c:v>
                </c:pt>
                <c:pt idx="4">
                  <c:v>83.942818881821225</c:v>
                </c:pt>
                <c:pt idx="5">
                  <c:v>94.230274614869387</c:v>
                </c:pt>
                <c:pt idx="6">
                  <c:v>103.06624203821656</c:v>
                </c:pt>
                <c:pt idx="7">
                  <c:v>114.85145924186514</c:v>
                </c:pt>
              </c:numCache>
            </c:numRef>
          </c:xVal>
          <c:yVal>
            <c:numRef>
              <c:f>Input_Output!$E$42:$E$49</c:f>
              <c:numCache>
                <c:formatCode>0.0</c:formatCode>
                <c:ptCount val="8"/>
                <c:pt idx="0">
                  <c:v>2.0221451525286012E-7</c:v>
                </c:pt>
                <c:pt idx="1">
                  <c:v>34.191995619479101</c:v>
                </c:pt>
                <c:pt idx="2">
                  <c:v>51.760670519613754</c:v>
                </c:pt>
                <c:pt idx="3">
                  <c:v>61.614151280221144</c:v>
                </c:pt>
                <c:pt idx="4">
                  <c:v>67.925335404532035</c:v>
                </c:pt>
                <c:pt idx="5">
                  <c:v>69.299216936226316</c:v>
                </c:pt>
                <c:pt idx="6">
                  <c:v>68.991913127656773</c:v>
                </c:pt>
                <c:pt idx="7">
                  <c:v>67.106612314983863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9F4-44A6-AD57-ADCFA49EE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6739679"/>
        <c:axId val="1516741167"/>
      </c:scatterChart>
      <c:valAx>
        <c:axId val="1777728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9856783"/>
        <c:crosses val="autoZero"/>
        <c:crossBetween val="midCat"/>
      </c:valAx>
      <c:valAx>
        <c:axId val="429856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7728863"/>
        <c:crosses val="autoZero"/>
        <c:crossBetween val="midCat"/>
      </c:valAx>
      <c:valAx>
        <c:axId val="15167411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16739679"/>
        <c:crosses val="max"/>
        <c:crossBetween val="midCat"/>
      </c:valAx>
      <c:valAx>
        <c:axId val="1516739679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51674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4103042591992377"/>
          <c:y val="2.7273346568570411E-3"/>
          <c:w val="0.75896957408007626"/>
          <c:h val="0.117802123476974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53886253067378"/>
          <c:y val="0.16820843454121845"/>
          <c:w val="0.74404599743328714"/>
          <c:h val="0.69132255985723501"/>
        </c:manualLayout>
      </c:layout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Input_Output!$B$10:$B$17</c:f>
              <c:numCache>
                <c:formatCode>0.0</c:formatCode>
                <c:ptCount val="8"/>
                <c:pt idx="0">
                  <c:v>9.956565319077848E-8</c:v>
                </c:pt>
                <c:pt idx="1">
                  <c:v>21.278595317725756</c:v>
                </c:pt>
                <c:pt idx="2">
                  <c:v>39.188494983277593</c:v>
                </c:pt>
                <c:pt idx="3">
                  <c:v>57.095882156009374</c:v>
                </c:pt>
                <c:pt idx="4">
                  <c:v>83.942818881821225</c:v>
                </c:pt>
                <c:pt idx="5">
                  <c:v>94.230274614869387</c:v>
                </c:pt>
                <c:pt idx="6">
                  <c:v>103.06624203821656</c:v>
                </c:pt>
                <c:pt idx="7">
                  <c:v>114.85145924186514</c:v>
                </c:pt>
              </c:numCache>
            </c:numRef>
          </c:xVal>
          <c:yVal>
            <c:numRef>
              <c:f>Input_Output!$D$10:$D$17</c:f>
              <c:numCache>
                <c:formatCode>0.0</c:formatCode>
                <c:ptCount val="8"/>
                <c:pt idx="0">
                  <c:v>77.64323433756978</c:v>
                </c:pt>
                <c:pt idx="1">
                  <c:v>96.693056778598901</c:v>
                </c:pt>
                <c:pt idx="2">
                  <c:v>114.94519712903444</c:v>
                </c:pt>
                <c:pt idx="3">
                  <c:v>134.81120126582081</c:v>
                </c:pt>
                <c:pt idx="4">
                  <c:v>159.27098075065786</c:v>
                </c:pt>
                <c:pt idx="5">
                  <c:v>165.00243873996016</c:v>
                </c:pt>
                <c:pt idx="6">
                  <c:v>170.55219996468304</c:v>
                </c:pt>
                <c:pt idx="7">
                  <c:v>175.56802177114946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C2-44C4-8A28-C9142DD66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7728863"/>
        <c:axId val="429856783"/>
      </c:scatterChart>
      <c:valAx>
        <c:axId val="1777728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29856783"/>
        <c:crosses val="autoZero"/>
        <c:crossBetween val="midCat"/>
      </c:valAx>
      <c:valAx>
        <c:axId val="429856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777288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318894766162982E-2"/>
          <c:y val="5.327636283758222E-2"/>
          <c:w val="0.85568347720211135"/>
          <c:h val="0.85341507311586051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calc!$O$19</c:f>
              <c:strCache>
                <c:ptCount val="1"/>
                <c:pt idx="0">
                  <c:v>INITIAL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calc!$P$19</c:f>
              <c:numCache>
                <c:formatCode>0</c:formatCode>
                <c:ptCount val="1"/>
                <c:pt idx="0">
                  <c:v>16.383118752823986</c:v>
                </c:pt>
              </c:numCache>
            </c:numRef>
          </c:xVal>
          <c:yVal>
            <c:numRef>
              <c:f>calc!$R$19</c:f>
              <c:numCache>
                <c:formatCode>General</c:formatCode>
                <c:ptCount val="1"/>
                <c:pt idx="0">
                  <c:v>0.15336583458164524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27-4A90-8457-CE5802A89A94}"/>
            </c:ext>
          </c:extLst>
        </c:ser>
        <c:ser>
          <c:idx val="1"/>
          <c:order val="1"/>
          <c:tx>
            <c:strRef>
              <c:f>calc!$O$20</c:f>
              <c:strCache>
                <c:ptCount val="1"/>
                <c:pt idx="0">
                  <c:v>FINAL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calc!$P$20</c:f>
              <c:numCache>
                <c:formatCode>0</c:formatCode>
                <c:ptCount val="1"/>
                <c:pt idx="0">
                  <c:v>16.383118752823986</c:v>
                </c:pt>
              </c:numCache>
            </c:numRef>
          </c:xVal>
          <c:yVal>
            <c:numRef>
              <c:f>calc!$R$20</c:f>
              <c:numCache>
                <c:formatCode>General</c:formatCode>
                <c:ptCount val="1"/>
                <c:pt idx="0">
                  <c:v>0.14246886962551791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27-4A90-8457-CE5802A89A94}"/>
            </c:ext>
          </c:extLst>
        </c:ser>
        <c:ser>
          <c:idx val="2"/>
          <c:order val="2"/>
          <c:tx>
            <c:strRef>
              <c:f>calc!$O$19</c:f>
              <c:strCache>
                <c:ptCount val="1"/>
                <c:pt idx="0">
                  <c:v>INITIAL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calc!$W$19</c:f>
              <c:numCache>
                <c:formatCode>General</c:formatCode>
                <c:ptCount val="1"/>
                <c:pt idx="0">
                  <c:v>16.383118752823986</c:v>
                </c:pt>
              </c:numCache>
            </c:numRef>
          </c:xVal>
          <c:yVal>
            <c:numRef>
              <c:f>calc!$Y$19</c:f>
              <c:numCache>
                <c:formatCode>0.00E+00</c:formatCode>
                <c:ptCount val="1"/>
                <c:pt idx="0">
                  <c:v>2.5616346957335435E-2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27-4A90-8457-CE5802A89A94}"/>
            </c:ext>
          </c:extLst>
        </c:ser>
        <c:ser>
          <c:idx val="3"/>
          <c:order val="3"/>
          <c:tx>
            <c:strRef>
              <c:f>calc!$O$20</c:f>
              <c:strCache>
                <c:ptCount val="1"/>
                <c:pt idx="0">
                  <c:v>FINAL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calc!$W$20</c:f>
              <c:numCache>
                <c:formatCode>General</c:formatCode>
                <c:ptCount val="1"/>
                <c:pt idx="0">
                  <c:v>16.383118752823986</c:v>
                </c:pt>
              </c:numCache>
            </c:numRef>
          </c:xVal>
          <c:yVal>
            <c:numRef>
              <c:f>calc!$Y$20</c:f>
              <c:numCache>
                <c:formatCode>0.00E+00</c:formatCode>
                <c:ptCount val="1"/>
                <c:pt idx="0">
                  <c:v>2.3542538291503545E-2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27-4A90-8457-CE5802A89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061712"/>
        <c:axId val="1"/>
      </c:scatterChart>
      <c:valAx>
        <c:axId val="2087061712"/>
        <c:scaling>
          <c:orientation val="minMax"/>
          <c:max val="100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424242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424242"/>
                </a:solidFill>
                <a:latin typeface="Calibri"/>
                <a:ea typeface="Calibri"/>
                <a:cs typeface="Calibri"/>
              </a:defRPr>
            </a:pPr>
            <a:endParaRPr lang="it-IT"/>
          </a:p>
        </c:txPr>
        <c:crossAx val="2087061712"/>
        <c:crosses val="autoZero"/>
        <c:crossBetween val="midCat"/>
        <c:majorUnit val="5.000000000000001E-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3.xm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4</xdr:col>
      <xdr:colOff>294189</xdr:colOff>
      <xdr:row>2</xdr:row>
      <xdr:rowOff>210417</xdr:rowOff>
    </xdr:to>
    <xdr:pic>
      <xdr:nvPicPr>
        <xdr:cNvPr id="4" name="Immagin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16175" cy="6578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28014</xdr:colOff>
      <xdr:row>19</xdr:row>
      <xdr:rowOff>6722</xdr:rowOff>
    </xdr:from>
    <xdr:to>
      <xdr:col>6</xdr:col>
      <xdr:colOff>624051</xdr:colOff>
      <xdr:row>36</xdr:row>
      <xdr:rowOff>168087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2DB9ECDF-0AC3-5CF7-4AA9-5185C8AC0C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722586</xdr:colOff>
      <xdr:row>19</xdr:row>
      <xdr:rowOff>0</xdr:rowOff>
    </xdr:from>
    <xdr:to>
      <xdr:col>10</xdr:col>
      <xdr:colOff>302557</xdr:colOff>
      <xdr:row>36</xdr:row>
      <xdr:rowOff>100853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C0ACBC20-6BED-4AE9-9B9B-4182769DC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189698</xdr:colOff>
      <xdr:row>0</xdr:row>
      <xdr:rowOff>42423</xdr:rowOff>
    </xdr:from>
    <xdr:to>
      <xdr:col>4</xdr:col>
      <xdr:colOff>344811</xdr:colOff>
      <xdr:row>2</xdr:row>
      <xdr:rowOff>210417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698" y="42423"/>
          <a:ext cx="2312093" cy="6442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57150</xdr:colOff>
      <xdr:row>22</xdr:row>
      <xdr:rowOff>0</xdr:rowOff>
    </xdr:from>
    <xdr:to>
      <xdr:col>21</xdr:col>
      <xdr:colOff>228600</xdr:colOff>
      <xdr:row>38</xdr:row>
      <xdr:rowOff>133350</xdr:rowOff>
    </xdr:to>
    <xdr:pic>
      <xdr:nvPicPr>
        <xdr:cNvPr id="10" name="Immagine 1">
          <a:extLst>
            <a:ext uri="{FF2B5EF4-FFF2-40B4-BE49-F238E27FC236}">
              <a16:creationId xmlns:a16="http://schemas.microsoft.com/office/drawing/2014/main" id="{A6DAE0D4-E637-4B30-84D4-8F7385B9B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51" t="31541" r="33011" b="21722"/>
        <a:stretch>
          <a:fillRect/>
        </a:stretch>
      </xdr:blipFill>
      <xdr:spPr bwMode="auto">
        <a:xfrm>
          <a:off x="8705850" y="3752850"/>
          <a:ext cx="4438650" cy="272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219074</xdr:colOff>
      <xdr:row>22</xdr:row>
      <xdr:rowOff>38101</xdr:rowOff>
    </xdr:from>
    <xdr:to>
      <xdr:col>21</xdr:col>
      <xdr:colOff>304799</xdr:colOff>
      <xdr:row>38</xdr:row>
      <xdr:rowOff>114301</xdr:rowOff>
    </xdr:to>
    <xdr:graphicFrame macro="">
      <xdr:nvGraphicFramePr>
        <xdr:cNvPr id="11" name="Grafico 2">
          <a:extLst>
            <a:ext uri="{FF2B5EF4-FFF2-40B4-BE49-F238E27FC236}">
              <a16:creationId xmlns:a16="http://schemas.microsoft.com/office/drawing/2014/main" id="{40A2CCE9-2748-4FC8-8B19-BBF705BBF4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0</xdr:colOff>
      <xdr:row>23</xdr:row>
      <xdr:rowOff>161924</xdr:rowOff>
    </xdr:from>
    <xdr:to>
      <xdr:col>12</xdr:col>
      <xdr:colOff>504199</xdr:colOff>
      <xdr:row>39</xdr:row>
      <xdr:rowOff>19049</xdr:rowOff>
    </xdr:to>
    <xdr:pic>
      <xdr:nvPicPr>
        <xdr:cNvPr id="12" name="Immagine 11">
          <a:extLst>
            <a:ext uri="{FF2B5EF4-FFF2-40B4-BE49-F238E27FC236}">
              <a16:creationId xmlns:a16="http://schemas.microsoft.com/office/drawing/2014/main" id="{953BE3B9-76DC-EE47-1068-8D0C2C742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600700" y="4076699"/>
          <a:ext cx="2332999" cy="24479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97</xdr:row>
      <xdr:rowOff>28575</xdr:rowOff>
    </xdr:from>
    <xdr:to>
      <xdr:col>4</xdr:col>
      <xdr:colOff>1544026</xdr:colOff>
      <xdr:row>140</xdr:row>
      <xdr:rowOff>47625</xdr:rowOff>
    </xdr:to>
    <xdr:pic>
      <xdr:nvPicPr>
        <xdr:cNvPr id="13" name="Immagin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77525" y="16144875"/>
          <a:ext cx="6124575" cy="6981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FWENVI\WWT%20Area\1-BH-0267A%20-%20prolungamento%20studio%20di%20fattibilit&#224;%20KRC\09%20Design%20calculations\calcoli%20finali\pfd%20nuovo%20impianto%20-%20falda%20+%20processo%20con%20biologico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-SRVFILE\TMP-SpA\TM_P\OH2\5%20Design\8%20Calculation\Bearing%20Lif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tmilfs002\b1h00\PROJECTS\1-BH-0389A%20KJO-RWTF2\09%20Design%20calculations\Linee\Linee%2010_12_16%20sketch%20Bottazzi\Design%20flowrate\line%2012%20pollici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%20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fwfsc003/1cd1213a/ZoneExchange/Equipment%20list/front%20pag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c\Backup%2029-09-06\Seam%201-025%20Politecnico%20Merone\09.0%20-%20Design%20Calculation\Linea%20fanghi\Progettazione%20impianto%20civile\progetto%20impianto%20di%20depurazione%20civi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AREAS\DIP110\APPLICAT\pumps\PUMP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N-SRVFILE\TMP-SpA\Rete\Svp\Borghetti\11%20API\01%20OH2\3%20Pump%20selector\Data%20base\REV\XLS\1%20Curve\Nq15%20f=0,935%20test13%20300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c medie inquinanti "/>
      <sheetName val="Schema a blocchi"/>
      <sheetName val="calcolo servizi"/>
      <sheetName val="API"/>
      <sheetName val="DAF"/>
      <sheetName val="Caldensitàmiscela"/>
      <sheetName val="Basi di progetto biologico"/>
      <sheetName val="Biologico tradizionale"/>
      <sheetName val="Calcolo ossigeno"/>
      <sheetName val="Sedimentazione Secondaria"/>
      <sheetName val="Valutazione fanghi prodotti"/>
      <sheetName val="Ispessitore"/>
      <sheetName val="Ricalcolo acqua in ingresso API"/>
      <sheetName val="Calcolo apparecchiature"/>
      <sheetName val="Compressori"/>
      <sheetName val="CPI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earing Life"/>
      <sheetName val="Bearings"/>
    </sheet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rom RPI"/>
      <sheetName val="From Surge Tank"/>
      <sheetName val="From CPI"/>
    </sheetNames>
    <sheetDataSet>
      <sheetData sheetId="0"/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 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 rev1"/>
      <sheetName val="listes"/>
    </sheetNames>
    <sheetDataSet>
      <sheetData sheetId="0" refreshError="1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 di progetto"/>
      <sheetName val="Canaletta in ingresso"/>
      <sheetName val="Griglia grossolana"/>
      <sheetName val="Dissabbiatore"/>
      <sheetName val="Vasca di compenso"/>
      <sheetName val="Sedimentazione Primaria"/>
      <sheetName val="Biologico tradizionale"/>
      <sheetName val="Nitro"/>
      <sheetName val="Denitro"/>
      <sheetName val=" nitro denitro (T perm) e dim."/>
      <sheetName val="Sedimentazione Secondaria"/>
      <sheetName val="ossigeno in nitro"/>
      <sheetName val="Filtrazione"/>
      <sheetName val="Disinfezione"/>
      <sheetName val="Valutazione fanghi prodotti"/>
      <sheetName val="vasca di miscelazione fanghi"/>
      <sheetName val="Ispessitore"/>
      <sheetName val="Digestione Anaerobica"/>
      <sheetName val="Dimensionamento dig. anaer."/>
      <sheetName val="Filtropressatura"/>
      <sheetName val="Gasometro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UMP CALCULATION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ulo2"/>
      <sheetName val="Utility"/>
      <sheetName val="Foglio1"/>
      <sheetName val="Modulo_Dati_1"/>
      <sheetName val="Modulo_Dati"/>
    </sheetNames>
    <sheetDataSet>
      <sheetData sheetId="0" refreshError="1"/>
      <sheetData sheetId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B151D-5899-4A99-BDD0-9FBFC2863881}">
  <sheetPr>
    <tabColor rgb="FF92D050"/>
  </sheetPr>
  <dimension ref="A1:AD48"/>
  <sheetViews>
    <sheetView tabSelected="1" topLeftCell="A10" zoomScale="85" zoomScaleNormal="85" zoomScaleSheetLayoutView="100" workbookViewId="0">
      <selection activeCell="A8" sqref="A8:AD39"/>
    </sheetView>
  </sheetViews>
  <sheetFormatPr defaultRowHeight="12" x14ac:dyDescent="0.2"/>
  <cols>
    <col min="1" max="30" width="3.28515625" style="21" customWidth="1"/>
    <col min="31" max="256" width="9.140625" style="21"/>
    <col min="257" max="286" width="3.28515625" style="21" customWidth="1"/>
    <col min="287" max="512" width="9.140625" style="21"/>
    <col min="513" max="542" width="3.28515625" style="21" customWidth="1"/>
    <col min="543" max="768" width="9.140625" style="21"/>
    <col min="769" max="798" width="3.28515625" style="21" customWidth="1"/>
    <col min="799" max="1024" width="9.140625" style="21"/>
    <col min="1025" max="1054" width="3.28515625" style="21" customWidth="1"/>
    <col min="1055" max="1280" width="9.140625" style="21"/>
    <col min="1281" max="1310" width="3.28515625" style="21" customWidth="1"/>
    <col min="1311" max="1536" width="9.140625" style="21"/>
    <col min="1537" max="1566" width="3.28515625" style="21" customWidth="1"/>
    <col min="1567" max="1792" width="9.140625" style="21"/>
    <col min="1793" max="1822" width="3.28515625" style="21" customWidth="1"/>
    <col min="1823" max="2048" width="9.140625" style="21"/>
    <col min="2049" max="2078" width="3.28515625" style="21" customWidth="1"/>
    <col min="2079" max="2304" width="9.140625" style="21"/>
    <col min="2305" max="2334" width="3.28515625" style="21" customWidth="1"/>
    <col min="2335" max="2560" width="9.140625" style="21"/>
    <col min="2561" max="2590" width="3.28515625" style="21" customWidth="1"/>
    <col min="2591" max="2816" width="9.140625" style="21"/>
    <col min="2817" max="2846" width="3.28515625" style="21" customWidth="1"/>
    <col min="2847" max="3072" width="9.140625" style="21"/>
    <col min="3073" max="3102" width="3.28515625" style="21" customWidth="1"/>
    <col min="3103" max="3328" width="9.140625" style="21"/>
    <col min="3329" max="3358" width="3.28515625" style="21" customWidth="1"/>
    <col min="3359" max="3584" width="9.140625" style="21"/>
    <col min="3585" max="3614" width="3.28515625" style="21" customWidth="1"/>
    <col min="3615" max="3840" width="9.140625" style="21"/>
    <col min="3841" max="3870" width="3.28515625" style="21" customWidth="1"/>
    <col min="3871" max="4096" width="9.140625" style="21"/>
    <col min="4097" max="4126" width="3.28515625" style="21" customWidth="1"/>
    <col min="4127" max="4352" width="9.140625" style="21"/>
    <col min="4353" max="4382" width="3.28515625" style="21" customWidth="1"/>
    <col min="4383" max="4608" width="9.140625" style="21"/>
    <col min="4609" max="4638" width="3.28515625" style="21" customWidth="1"/>
    <col min="4639" max="4864" width="9.140625" style="21"/>
    <col min="4865" max="4894" width="3.28515625" style="21" customWidth="1"/>
    <col min="4895" max="5120" width="9.140625" style="21"/>
    <col min="5121" max="5150" width="3.28515625" style="21" customWidth="1"/>
    <col min="5151" max="5376" width="9.140625" style="21"/>
    <col min="5377" max="5406" width="3.28515625" style="21" customWidth="1"/>
    <col min="5407" max="5632" width="9.140625" style="21"/>
    <col min="5633" max="5662" width="3.28515625" style="21" customWidth="1"/>
    <col min="5663" max="5888" width="9.140625" style="21"/>
    <col min="5889" max="5918" width="3.28515625" style="21" customWidth="1"/>
    <col min="5919" max="6144" width="9.140625" style="21"/>
    <col min="6145" max="6174" width="3.28515625" style="21" customWidth="1"/>
    <col min="6175" max="6400" width="9.140625" style="21"/>
    <col min="6401" max="6430" width="3.28515625" style="21" customWidth="1"/>
    <col min="6431" max="6656" width="9.140625" style="21"/>
    <col min="6657" max="6686" width="3.28515625" style="21" customWidth="1"/>
    <col min="6687" max="6912" width="9.140625" style="21"/>
    <col min="6913" max="6942" width="3.28515625" style="21" customWidth="1"/>
    <col min="6943" max="7168" width="9.140625" style="21"/>
    <col min="7169" max="7198" width="3.28515625" style="21" customWidth="1"/>
    <col min="7199" max="7424" width="9.140625" style="21"/>
    <col min="7425" max="7454" width="3.28515625" style="21" customWidth="1"/>
    <col min="7455" max="7680" width="9.140625" style="21"/>
    <col min="7681" max="7710" width="3.28515625" style="21" customWidth="1"/>
    <col min="7711" max="7936" width="9.140625" style="21"/>
    <col min="7937" max="7966" width="3.28515625" style="21" customWidth="1"/>
    <col min="7967" max="8192" width="9.140625" style="21"/>
    <col min="8193" max="8222" width="3.28515625" style="21" customWidth="1"/>
    <col min="8223" max="8448" width="9.140625" style="21"/>
    <col min="8449" max="8478" width="3.28515625" style="21" customWidth="1"/>
    <col min="8479" max="8704" width="9.140625" style="21"/>
    <col min="8705" max="8734" width="3.28515625" style="21" customWidth="1"/>
    <col min="8735" max="8960" width="9.140625" style="21"/>
    <col min="8961" max="8990" width="3.28515625" style="21" customWidth="1"/>
    <col min="8991" max="9216" width="9.140625" style="21"/>
    <col min="9217" max="9246" width="3.28515625" style="21" customWidth="1"/>
    <col min="9247" max="9472" width="9.140625" style="21"/>
    <col min="9473" max="9502" width="3.28515625" style="21" customWidth="1"/>
    <col min="9503" max="9728" width="9.140625" style="21"/>
    <col min="9729" max="9758" width="3.28515625" style="21" customWidth="1"/>
    <col min="9759" max="9984" width="9.140625" style="21"/>
    <col min="9985" max="10014" width="3.28515625" style="21" customWidth="1"/>
    <col min="10015" max="10240" width="9.140625" style="21"/>
    <col min="10241" max="10270" width="3.28515625" style="21" customWidth="1"/>
    <col min="10271" max="10496" width="9.140625" style="21"/>
    <col min="10497" max="10526" width="3.28515625" style="21" customWidth="1"/>
    <col min="10527" max="10752" width="9.140625" style="21"/>
    <col min="10753" max="10782" width="3.28515625" style="21" customWidth="1"/>
    <col min="10783" max="11008" width="9.140625" style="21"/>
    <col min="11009" max="11038" width="3.28515625" style="21" customWidth="1"/>
    <col min="11039" max="11264" width="9.140625" style="21"/>
    <col min="11265" max="11294" width="3.28515625" style="21" customWidth="1"/>
    <col min="11295" max="11520" width="9.140625" style="21"/>
    <col min="11521" max="11550" width="3.28515625" style="21" customWidth="1"/>
    <col min="11551" max="11776" width="9.140625" style="21"/>
    <col min="11777" max="11806" width="3.28515625" style="21" customWidth="1"/>
    <col min="11807" max="12032" width="9.140625" style="21"/>
    <col min="12033" max="12062" width="3.28515625" style="21" customWidth="1"/>
    <col min="12063" max="12288" width="9.140625" style="21"/>
    <col min="12289" max="12318" width="3.28515625" style="21" customWidth="1"/>
    <col min="12319" max="12544" width="9.140625" style="21"/>
    <col min="12545" max="12574" width="3.28515625" style="21" customWidth="1"/>
    <col min="12575" max="12800" width="9.140625" style="21"/>
    <col min="12801" max="12830" width="3.28515625" style="21" customWidth="1"/>
    <col min="12831" max="13056" width="9.140625" style="21"/>
    <col min="13057" max="13086" width="3.28515625" style="21" customWidth="1"/>
    <col min="13087" max="13312" width="9.140625" style="21"/>
    <col min="13313" max="13342" width="3.28515625" style="21" customWidth="1"/>
    <col min="13343" max="13568" width="9.140625" style="21"/>
    <col min="13569" max="13598" width="3.28515625" style="21" customWidth="1"/>
    <col min="13599" max="13824" width="9.140625" style="21"/>
    <col min="13825" max="13854" width="3.28515625" style="21" customWidth="1"/>
    <col min="13855" max="14080" width="9.140625" style="21"/>
    <col min="14081" max="14110" width="3.28515625" style="21" customWidth="1"/>
    <col min="14111" max="14336" width="9.140625" style="21"/>
    <col min="14337" max="14366" width="3.28515625" style="21" customWidth="1"/>
    <col min="14367" max="14592" width="9.140625" style="21"/>
    <col min="14593" max="14622" width="3.28515625" style="21" customWidth="1"/>
    <col min="14623" max="14848" width="9.140625" style="21"/>
    <col min="14849" max="14878" width="3.28515625" style="21" customWidth="1"/>
    <col min="14879" max="15104" width="9.140625" style="21"/>
    <col min="15105" max="15134" width="3.28515625" style="21" customWidth="1"/>
    <col min="15135" max="15360" width="9.140625" style="21"/>
    <col min="15361" max="15390" width="3.28515625" style="21" customWidth="1"/>
    <col min="15391" max="15616" width="9.140625" style="21"/>
    <col min="15617" max="15646" width="3.28515625" style="21" customWidth="1"/>
    <col min="15647" max="15872" width="9.140625" style="21"/>
    <col min="15873" max="15902" width="3.28515625" style="21" customWidth="1"/>
    <col min="15903" max="16128" width="9.140625" style="21"/>
    <col min="16129" max="16158" width="3.28515625" style="21" customWidth="1"/>
    <col min="16159" max="16384" width="9.140625" style="21"/>
  </cols>
  <sheetData>
    <row r="1" spans="1:30" ht="15" customHeight="1" x14ac:dyDescent="0.2">
      <c r="A1" s="18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20"/>
    </row>
    <row r="2" spans="1:30" ht="15" customHeight="1" x14ac:dyDescent="0.2">
      <c r="A2" s="22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4"/>
    </row>
    <row r="3" spans="1:30" ht="15" customHeight="1" x14ac:dyDescent="0.2">
      <c r="A3" s="22"/>
      <c r="B3" s="23"/>
      <c r="C3" s="23"/>
      <c r="D3" s="23"/>
      <c r="E3" s="23"/>
      <c r="F3" s="23"/>
      <c r="G3" s="23"/>
      <c r="H3" s="25"/>
      <c r="I3" s="25"/>
      <c r="J3" s="25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7"/>
      <c r="X3" s="27"/>
      <c r="Y3" s="27"/>
      <c r="Z3" s="27"/>
      <c r="AA3" s="27"/>
      <c r="AB3" s="27"/>
      <c r="AC3" s="27"/>
      <c r="AD3" s="28"/>
    </row>
    <row r="4" spans="1:30" ht="15" customHeight="1" x14ac:dyDescent="0.2">
      <c r="A4" s="22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4"/>
    </row>
    <row r="5" spans="1:30" ht="15" customHeight="1" x14ac:dyDescent="0.2">
      <c r="A5" s="22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4"/>
    </row>
    <row r="6" spans="1:30" ht="15" customHeight="1" x14ac:dyDescent="0.2">
      <c r="A6" s="22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4"/>
    </row>
    <row r="7" spans="1:30" ht="15" customHeight="1" thickBot="1" x14ac:dyDescent="0.25">
      <c r="A7" s="29"/>
      <c r="B7" s="30"/>
      <c r="C7" s="30"/>
      <c r="D7" s="30"/>
      <c r="E7" s="30"/>
      <c r="F7" s="31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30"/>
      <c r="AB7" s="30"/>
      <c r="AC7" s="30"/>
      <c r="AD7" s="32"/>
    </row>
    <row r="8" spans="1:30" ht="15" customHeight="1" x14ac:dyDescent="0.2">
      <c r="A8" s="138" t="s">
        <v>112</v>
      </c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39"/>
      <c r="AA8" s="139"/>
      <c r="AB8" s="139"/>
      <c r="AC8" s="139"/>
      <c r="AD8" s="140"/>
    </row>
    <row r="9" spans="1:30" ht="15" customHeight="1" x14ac:dyDescent="0.2">
      <c r="A9" s="141"/>
      <c r="B9" s="142"/>
      <c r="C9" s="142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3"/>
    </row>
    <row r="10" spans="1:30" ht="15" customHeight="1" x14ac:dyDescent="0.2">
      <c r="A10" s="141"/>
      <c r="B10" s="142"/>
      <c r="C10" s="142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  <c r="Y10" s="142"/>
      <c r="Z10" s="142"/>
      <c r="AA10" s="142"/>
      <c r="AB10" s="142"/>
      <c r="AC10" s="142"/>
      <c r="AD10" s="143"/>
    </row>
    <row r="11" spans="1:30" ht="15" customHeight="1" x14ac:dyDescent="0.2">
      <c r="A11" s="141"/>
      <c r="B11" s="142"/>
      <c r="C11" s="142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  <c r="Y11" s="142"/>
      <c r="Z11" s="142"/>
      <c r="AA11" s="142"/>
      <c r="AB11" s="142"/>
      <c r="AC11" s="142"/>
      <c r="AD11" s="143"/>
    </row>
    <row r="12" spans="1:30" ht="15" customHeight="1" x14ac:dyDescent="0.2">
      <c r="A12" s="141"/>
      <c r="B12" s="142"/>
      <c r="C12" s="142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  <c r="Y12" s="142"/>
      <c r="Z12" s="142"/>
      <c r="AA12" s="142"/>
      <c r="AB12" s="142"/>
      <c r="AC12" s="142"/>
      <c r="AD12" s="143"/>
    </row>
    <row r="13" spans="1:30" ht="15" customHeight="1" x14ac:dyDescent="0.2">
      <c r="A13" s="141"/>
      <c r="B13" s="142"/>
      <c r="C13" s="142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3"/>
    </row>
    <row r="14" spans="1:30" ht="15" customHeight="1" x14ac:dyDescent="0.2">
      <c r="A14" s="141"/>
      <c r="B14" s="142"/>
      <c r="C14" s="142"/>
      <c r="D14" s="142"/>
      <c r="E14" s="142"/>
      <c r="F14" s="142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2"/>
      <c r="AB14" s="142"/>
      <c r="AC14" s="142"/>
      <c r="AD14" s="143"/>
    </row>
    <row r="15" spans="1:30" ht="15" customHeight="1" x14ac:dyDescent="0.2">
      <c r="A15" s="141"/>
      <c r="B15" s="142"/>
      <c r="C15" s="142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3"/>
    </row>
    <row r="16" spans="1:30" ht="15" customHeight="1" x14ac:dyDescent="0.2">
      <c r="A16" s="141"/>
      <c r="B16" s="142"/>
      <c r="C16" s="142"/>
      <c r="D16" s="142"/>
      <c r="E16" s="142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3"/>
    </row>
    <row r="17" spans="1:30" ht="15" customHeight="1" x14ac:dyDescent="0.2">
      <c r="A17" s="141"/>
      <c r="B17" s="142"/>
      <c r="C17" s="142"/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3"/>
    </row>
    <row r="18" spans="1:30" ht="15" customHeight="1" x14ac:dyDescent="0.2">
      <c r="A18" s="141"/>
      <c r="B18" s="142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3"/>
    </row>
    <row r="19" spans="1:30" ht="15" customHeight="1" x14ac:dyDescent="0.2">
      <c r="A19" s="141"/>
      <c r="B19" s="142"/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3"/>
    </row>
    <row r="20" spans="1:30" ht="15" customHeight="1" x14ac:dyDescent="0.2">
      <c r="A20" s="141"/>
      <c r="B20" s="142"/>
      <c r="C20" s="142"/>
      <c r="D20" s="142"/>
      <c r="E20" s="142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  <c r="Y20" s="142"/>
      <c r="Z20" s="142"/>
      <c r="AA20" s="142"/>
      <c r="AB20" s="142"/>
      <c r="AC20" s="142"/>
      <c r="AD20" s="143"/>
    </row>
    <row r="21" spans="1:30" ht="15" customHeight="1" x14ac:dyDescent="0.2">
      <c r="A21" s="141"/>
      <c r="B21" s="142"/>
      <c r="C21" s="142"/>
      <c r="D21" s="142"/>
      <c r="E21" s="142"/>
      <c r="F21" s="142"/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  <c r="Y21" s="142"/>
      <c r="Z21" s="142"/>
      <c r="AA21" s="142"/>
      <c r="AB21" s="142"/>
      <c r="AC21" s="142"/>
      <c r="AD21" s="143"/>
    </row>
    <row r="22" spans="1:30" ht="15" customHeight="1" x14ac:dyDescent="0.2">
      <c r="A22" s="141"/>
      <c r="B22" s="142"/>
      <c r="C22" s="142"/>
      <c r="D22" s="142"/>
      <c r="E22" s="142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  <c r="Y22" s="142"/>
      <c r="Z22" s="142"/>
      <c r="AA22" s="142"/>
      <c r="AB22" s="142"/>
      <c r="AC22" s="142"/>
      <c r="AD22" s="143"/>
    </row>
    <row r="23" spans="1:30" ht="15" customHeight="1" x14ac:dyDescent="0.2">
      <c r="A23" s="141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3"/>
    </row>
    <row r="24" spans="1:30" ht="15" customHeight="1" x14ac:dyDescent="0.2">
      <c r="A24" s="141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3"/>
    </row>
    <row r="25" spans="1:30" ht="15" customHeight="1" x14ac:dyDescent="0.2">
      <c r="A25" s="141"/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3"/>
    </row>
    <row r="26" spans="1:30" ht="15" customHeight="1" x14ac:dyDescent="0.2">
      <c r="A26" s="141"/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3"/>
    </row>
    <row r="27" spans="1:30" ht="15" customHeight="1" x14ac:dyDescent="0.2">
      <c r="A27" s="141"/>
      <c r="B27" s="142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3"/>
    </row>
    <row r="28" spans="1:30" ht="15" customHeight="1" x14ac:dyDescent="0.2">
      <c r="A28" s="141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3"/>
    </row>
    <row r="29" spans="1:30" ht="15" customHeight="1" x14ac:dyDescent="0.2">
      <c r="A29" s="141"/>
      <c r="B29" s="14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3"/>
    </row>
    <row r="30" spans="1:30" ht="15" customHeight="1" x14ac:dyDescent="0.2">
      <c r="A30" s="141"/>
      <c r="B30" s="142"/>
      <c r="C30" s="142"/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3"/>
    </row>
    <row r="31" spans="1:30" ht="15" customHeight="1" x14ac:dyDescent="0.2">
      <c r="A31" s="141"/>
      <c r="B31" s="142"/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3"/>
    </row>
    <row r="32" spans="1:30" ht="15" customHeight="1" x14ac:dyDescent="0.2">
      <c r="A32" s="141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3"/>
    </row>
    <row r="33" spans="1:30" ht="15" customHeight="1" x14ac:dyDescent="0.2">
      <c r="A33" s="141"/>
      <c r="B33" s="142"/>
      <c r="C33" s="142"/>
      <c r="D33" s="142"/>
      <c r="E33" s="142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3"/>
    </row>
    <row r="34" spans="1:30" ht="15" customHeight="1" x14ac:dyDescent="0.2">
      <c r="A34" s="141"/>
      <c r="B34" s="142"/>
      <c r="C34" s="142"/>
      <c r="D34" s="142"/>
      <c r="E34" s="142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3"/>
    </row>
    <row r="35" spans="1:30" ht="15" customHeight="1" x14ac:dyDescent="0.2">
      <c r="A35" s="141"/>
      <c r="B35" s="142"/>
      <c r="C35" s="142"/>
      <c r="D35" s="142"/>
      <c r="E35" s="142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3"/>
    </row>
    <row r="36" spans="1:30" ht="15" customHeight="1" x14ac:dyDescent="0.2">
      <c r="A36" s="141"/>
      <c r="B36" s="142"/>
      <c r="C36" s="142"/>
      <c r="D36" s="142"/>
      <c r="E36" s="142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3"/>
    </row>
    <row r="37" spans="1:30" ht="15" customHeight="1" x14ac:dyDescent="0.2">
      <c r="A37" s="141"/>
      <c r="B37" s="142"/>
      <c r="C37" s="142"/>
      <c r="D37" s="142"/>
      <c r="E37" s="142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3"/>
    </row>
    <row r="38" spans="1:30" ht="15" customHeight="1" x14ac:dyDescent="0.2">
      <c r="A38" s="141"/>
      <c r="B38" s="142"/>
      <c r="C38" s="142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3"/>
    </row>
    <row r="39" spans="1:30" ht="15" customHeight="1" thickBot="1" x14ac:dyDescent="0.25">
      <c r="A39" s="144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  <c r="AA39" s="145"/>
      <c r="AB39" s="145"/>
      <c r="AC39" s="145"/>
      <c r="AD39" s="146"/>
    </row>
    <row r="40" spans="1:30" ht="30" customHeight="1" x14ac:dyDescent="0.2">
      <c r="A40" s="147"/>
      <c r="B40" s="148"/>
      <c r="C40" s="149"/>
      <c r="D40" s="150"/>
      <c r="E40" s="150"/>
      <c r="F40" s="148"/>
      <c r="G40" s="149"/>
      <c r="H40" s="150"/>
      <c r="I40" s="150"/>
      <c r="J40" s="150"/>
      <c r="K40" s="150"/>
      <c r="L40" s="150"/>
      <c r="M40" s="150"/>
      <c r="N40" s="150"/>
      <c r="O40" s="150"/>
      <c r="P40" s="149"/>
      <c r="Q40" s="150"/>
      <c r="R40" s="150"/>
      <c r="S40" s="150"/>
      <c r="T40" s="148"/>
      <c r="U40" s="149"/>
      <c r="V40" s="150"/>
      <c r="W40" s="150"/>
      <c r="X40" s="150"/>
      <c r="Y40" s="148"/>
      <c r="Z40" s="149"/>
      <c r="AA40" s="150"/>
      <c r="AB40" s="150"/>
      <c r="AC40" s="150"/>
      <c r="AD40" s="151"/>
    </row>
    <row r="41" spans="1:30" ht="30" customHeight="1" x14ac:dyDescent="0.2">
      <c r="A41" s="125"/>
      <c r="B41" s="126"/>
      <c r="C41" s="127"/>
      <c r="D41" s="128"/>
      <c r="E41" s="128"/>
      <c r="F41" s="126"/>
      <c r="G41" s="127"/>
      <c r="H41" s="128"/>
      <c r="I41" s="128"/>
      <c r="J41" s="128"/>
      <c r="K41" s="128"/>
      <c r="L41" s="128"/>
      <c r="M41" s="128"/>
      <c r="N41" s="128"/>
      <c r="O41" s="128"/>
      <c r="P41" s="127"/>
      <c r="Q41" s="128"/>
      <c r="R41" s="128"/>
      <c r="S41" s="128"/>
      <c r="T41" s="126"/>
      <c r="U41" s="127"/>
      <c r="V41" s="128"/>
      <c r="W41" s="128"/>
      <c r="X41" s="128"/>
      <c r="Y41" s="126"/>
      <c r="Z41" s="127"/>
      <c r="AA41" s="128"/>
      <c r="AB41" s="128"/>
      <c r="AC41" s="128"/>
      <c r="AD41" s="129"/>
    </row>
    <row r="42" spans="1:30" ht="30" customHeight="1" x14ac:dyDescent="0.2">
      <c r="A42" s="125"/>
      <c r="B42" s="126"/>
      <c r="C42" s="127"/>
      <c r="D42" s="128"/>
      <c r="E42" s="128"/>
      <c r="F42" s="126"/>
      <c r="G42" s="127"/>
      <c r="H42" s="128"/>
      <c r="I42" s="128"/>
      <c r="J42" s="128"/>
      <c r="K42" s="128"/>
      <c r="L42" s="128"/>
      <c r="M42" s="128"/>
      <c r="N42" s="128"/>
      <c r="O42" s="128"/>
      <c r="P42" s="127"/>
      <c r="Q42" s="128"/>
      <c r="R42" s="128"/>
      <c r="S42" s="128"/>
      <c r="T42" s="126"/>
      <c r="U42" s="127"/>
      <c r="V42" s="128"/>
      <c r="W42" s="128"/>
      <c r="X42" s="128"/>
      <c r="Y42" s="126"/>
      <c r="Z42" s="127"/>
      <c r="AA42" s="128"/>
      <c r="AB42" s="128"/>
      <c r="AC42" s="128"/>
      <c r="AD42" s="129"/>
    </row>
    <row r="43" spans="1:30" ht="30" customHeight="1" x14ac:dyDescent="0.2">
      <c r="A43" s="125"/>
      <c r="B43" s="126"/>
      <c r="C43" s="127"/>
      <c r="D43" s="128"/>
      <c r="E43" s="128"/>
      <c r="F43" s="126"/>
      <c r="G43" s="127"/>
      <c r="H43" s="128"/>
      <c r="I43" s="128"/>
      <c r="J43" s="128"/>
      <c r="K43" s="128"/>
      <c r="L43" s="128"/>
      <c r="M43" s="128"/>
      <c r="N43" s="128"/>
      <c r="O43" s="128"/>
      <c r="P43" s="127"/>
      <c r="Q43" s="128"/>
      <c r="R43" s="128"/>
      <c r="S43" s="128"/>
      <c r="T43" s="126"/>
      <c r="U43" s="127"/>
      <c r="V43" s="128"/>
      <c r="W43" s="128"/>
      <c r="X43" s="128"/>
      <c r="Y43" s="126"/>
      <c r="Z43" s="127"/>
      <c r="AA43" s="128"/>
      <c r="AB43" s="128"/>
      <c r="AC43" s="128"/>
      <c r="AD43" s="129"/>
    </row>
    <row r="44" spans="1:30" ht="30" customHeight="1" x14ac:dyDescent="0.2">
      <c r="A44" s="125"/>
      <c r="B44" s="126"/>
      <c r="C44" s="127"/>
      <c r="D44" s="128"/>
      <c r="E44" s="128"/>
      <c r="F44" s="126"/>
      <c r="G44" s="127"/>
      <c r="H44" s="128"/>
      <c r="I44" s="128"/>
      <c r="J44" s="128"/>
      <c r="K44" s="128"/>
      <c r="L44" s="128"/>
      <c r="M44" s="128"/>
      <c r="N44" s="128"/>
      <c r="O44" s="128"/>
      <c r="P44" s="127"/>
      <c r="Q44" s="128"/>
      <c r="R44" s="128"/>
      <c r="S44" s="128"/>
      <c r="T44" s="126"/>
      <c r="U44" s="127"/>
      <c r="V44" s="128"/>
      <c r="W44" s="128"/>
      <c r="X44" s="128"/>
      <c r="Y44" s="126"/>
      <c r="Z44" s="127"/>
      <c r="AA44" s="128"/>
      <c r="AB44" s="128"/>
      <c r="AC44" s="128"/>
      <c r="AD44" s="129"/>
    </row>
    <row r="45" spans="1:30" ht="30" customHeight="1" x14ac:dyDescent="0.2">
      <c r="A45" s="125"/>
      <c r="B45" s="126"/>
      <c r="C45" s="127"/>
      <c r="D45" s="128"/>
      <c r="E45" s="128"/>
      <c r="F45" s="126"/>
      <c r="G45" s="127"/>
      <c r="H45" s="128"/>
      <c r="I45" s="128"/>
      <c r="J45" s="128"/>
      <c r="K45" s="128"/>
      <c r="L45" s="128"/>
      <c r="M45" s="128"/>
      <c r="N45" s="128"/>
      <c r="O45" s="128"/>
      <c r="P45" s="127"/>
      <c r="Q45" s="128"/>
      <c r="R45" s="128"/>
      <c r="S45" s="128"/>
      <c r="T45" s="126"/>
      <c r="U45" s="127"/>
      <c r="V45" s="128"/>
      <c r="W45" s="128"/>
      <c r="X45" s="128"/>
      <c r="Y45" s="126"/>
      <c r="Z45" s="127"/>
      <c r="AA45" s="128"/>
      <c r="AB45" s="128"/>
      <c r="AC45" s="128"/>
      <c r="AD45" s="129"/>
    </row>
    <row r="46" spans="1:30" ht="30" customHeight="1" x14ac:dyDescent="0.2">
      <c r="A46" s="130">
        <v>0</v>
      </c>
      <c r="B46" s="131"/>
      <c r="C46" s="132"/>
      <c r="D46" s="133"/>
      <c r="E46" s="133"/>
      <c r="F46" s="134"/>
      <c r="G46" s="135" t="s">
        <v>0</v>
      </c>
      <c r="H46" s="136"/>
      <c r="I46" s="136"/>
      <c r="J46" s="136"/>
      <c r="K46" s="136"/>
      <c r="L46" s="136"/>
      <c r="M46" s="136"/>
      <c r="N46" s="136"/>
      <c r="O46" s="136"/>
      <c r="P46" s="122" t="s">
        <v>1</v>
      </c>
      <c r="Q46" s="123"/>
      <c r="R46" s="123"/>
      <c r="S46" s="123"/>
      <c r="T46" s="137"/>
      <c r="U46" s="122" t="s">
        <v>2</v>
      </c>
      <c r="V46" s="123"/>
      <c r="W46" s="123"/>
      <c r="X46" s="123"/>
      <c r="Y46" s="137"/>
      <c r="Z46" s="122" t="s">
        <v>3</v>
      </c>
      <c r="AA46" s="123"/>
      <c r="AB46" s="123"/>
      <c r="AC46" s="123"/>
      <c r="AD46" s="124"/>
    </row>
    <row r="47" spans="1:30" ht="15" customHeight="1" thickBot="1" x14ac:dyDescent="0.25">
      <c r="A47" s="116" t="s">
        <v>4</v>
      </c>
      <c r="B47" s="117"/>
      <c r="C47" s="118" t="s">
        <v>5</v>
      </c>
      <c r="D47" s="119"/>
      <c r="E47" s="119"/>
      <c r="F47" s="120"/>
      <c r="G47" s="118" t="s">
        <v>6</v>
      </c>
      <c r="H47" s="119"/>
      <c r="I47" s="119"/>
      <c r="J47" s="119"/>
      <c r="K47" s="119"/>
      <c r="L47" s="119"/>
      <c r="M47" s="119"/>
      <c r="N47" s="119"/>
      <c r="O47" s="119"/>
      <c r="P47" s="118" t="s">
        <v>7</v>
      </c>
      <c r="Q47" s="119"/>
      <c r="R47" s="119"/>
      <c r="S47" s="119"/>
      <c r="T47" s="120"/>
      <c r="U47" s="118" t="s">
        <v>8</v>
      </c>
      <c r="V47" s="119"/>
      <c r="W47" s="119"/>
      <c r="X47" s="119"/>
      <c r="Y47" s="119"/>
      <c r="Z47" s="118" t="s">
        <v>9</v>
      </c>
      <c r="AA47" s="119"/>
      <c r="AB47" s="119"/>
      <c r="AC47" s="119"/>
      <c r="AD47" s="121"/>
    </row>
    <row r="48" spans="1:30" ht="15" customHeight="1" thickBot="1" x14ac:dyDescent="0.25">
      <c r="A48" s="113" t="s">
        <v>111</v>
      </c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5"/>
    </row>
  </sheetData>
  <mergeCells count="50">
    <mergeCell ref="A8:AD39"/>
    <mergeCell ref="A40:B40"/>
    <mergeCell ref="C40:F40"/>
    <mergeCell ref="G40:O40"/>
    <mergeCell ref="P40:T40"/>
    <mergeCell ref="U40:Y40"/>
    <mergeCell ref="Z40:AD40"/>
    <mergeCell ref="Z42:AD42"/>
    <mergeCell ref="A41:B41"/>
    <mergeCell ref="C41:F41"/>
    <mergeCell ref="G41:O41"/>
    <mergeCell ref="P41:T41"/>
    <mergeCell ref="U41:Y41"/>
    <mergeCell ref="Z41:AD41"/>
    <mergeCell ref="A42:B42"/>
    <mergeCell ref="C42:F42"/>
    <mergeCell ref="G42:O42"/>
    <mergeCell ref="P42:T42"/>
    <mergeCell ref="U42:Y42"/>
    <mergeCell ref="Z44:AD44"/>
    <mergeCell ref="A43:B43"/>
    <mergeCell ref="C43:F43"/>
    <mergeCell ref="G43:O43"/>
    <mergeCell ref="P43:T43"/>
    <mergeCell ref="U43:Y43"/>
    <mergeCell ref="Z43:AD43"/>
    <mergeCell ref="A44:B44"/>
    <mergeCell ref="C44:F44"/>
    <mergeCell ref="G44:O44"/>
    <mergeCell ref="P44:T44"/>
    <mergeCell ref="U44:Y44"/>
    <mergeCell ref="Z46:AD46"/>
    <mergeCell ref="A45:B45"/>
    <mergeCell ref="C45:F45"/>
    <mergeCell ref="G45:O45"/>
    <mergeCell ref="P45:T45"/>
    <mergeCell ref="U45:Y45"/>
    <mergeCell ref="Z45:AD45"/>
    <mergeCell ref="A46:B46"/>
    <mergeCell ref="C46:F46"/>
    <mergeCell ref="G46:O46"/>
    <mergeCell ref="P46:T46"/>
    <mergeCell ref="U46:Y46"/>
    <mergeCell ref="A48:AD48"/>
    <mergeCell ref="A47:B47"/>
    <mergeCell ref="C47:F47"/>
    <mergeCell ref="G47:O47"/>
    <mergeCell ref="P47:T47"/>
    <mergeCell ref="U47:Y47"/>
    <mergeCell ref="Z47:AD47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33B-5666-4079-AE91-3B340AA3BC9D}">
  <sheetPr codeName="Sheet2">
    <tabColor rgb="FF92D050"/>
    <pageSetUpPr fitToPage="1"/>
  </sheetPr>
  <dimension ref="A1:AI51"/>
  <sheetViews>
    <sheetView topLeftCell="A3" zoomScale="140" zoomScaleNormal="140" workbookViewId="0">
      <selection activeCell="H17" sqref="H17"/>
    </sheetView>
  </sheetViews>
  <sheetFormatPr defaultColWidth="9.140625" defaultRowHeight="12.75" x14ac:dyDescent="0.2"/>
  <cols>
    <col min="1" max="1" width="7.5703125" style="3" customWidth="1"/>
    <col min="2" max="2" width="7.7109375" style="3" customWidth="1"/>
    <col min="3" max="3" width="6.28515625" style="3" customWidth="1"/>
    <col min="4" max="4" width="11.5703125" style="3" customWidth="1"/>
    <col min="5" max="5" width="9.85546875" style="3" customWidth="1"/>
    <col min="6" max="6" width="9.5703125" style="3" customWidth="1"/>
    <col min="7" max="7" width="12.5703125" style="3" customWidth="1"/>
    <col min="8" max="8" width="17.42578125" style="3" customWidth="1"/>
    <col min="9" max="9" width="9.42578125" style="3" customWidth="1"/>
    <col min="10" max="10" width="11.28515625" style="3" customWidth="1"/>
    <col min="11" max="11" width="5.85546875" style="3" customWidth="1"/>
    <col min="12" max="12" width="9.140625" style="3" customWidth="1"/>
    <col min="13" max="16384" width="9.140625" style="3"/>
  </cols>
  <sheetData>
    <row r="1" spans="1:33" ht="18.75" customHeight="1" x14ac:dyDescent="0.2">
      <c r="A1" s="161"/>
      <c r="B1" s="161"/>
      <c r="C1" s="161"/>
      <c r="D1" s="161"/>
      <c r="E1" s="162"/>
      <c r="F1" s="152" t="s">
        <v>10</v>
      </c>
      <c r="G1" s="153"/>
      <c r="H1" s="153"/>
      <c r="I1" s="153"/>
      <c r="J1" s="153"/>
      <c r="K1" s="154"/>
    </row>
    <row r="2" spans="1:33" ht="18.75" customHeight="1" x14ac:dyDescent="0.2">
      <c r="A2" s="161"/>
      <c r="B2" s="161"/>
      <c r="C2" s="161"/>
      <c r="D2" s="161"/>
      <c r="E2" s="162"/>
      <c r="F2" s="155"/>
      <c r="G2" s="156"/>
      <c r="H2" s="156"/>
      <c r="I2" s="156"/>
      <c r="J2" s="156"/>
      <c r="K2" s="157"/>
    </row>
    <row r="3" spans="1:33" ht="18.75" customHeight="1" x14ac:dyDescent="0.2">
      <c r="A3" s="163"/>
      <c r="B3" s="163"/>
      <c r="C3" s="163"/>
      <c r="D3" s="163"/>
      <c r="E3" s="164"/>
      <c r="F3" s="158"/>
      <c r="G3" s="159"/>
      <c r="H3" s="159"/>
      <c r="I3" s="159"/>
      <c r="J3" s="159"/>
      <c r="K3" s="160"/>
    </row>
    <row r="4" spans="1:33" ht="18.75" x14ac:dyDescent="0.3">
      <c r="A4" s="47" t="s">
        <v>11</v>
      </c>
      <c r="B4" s="47"/>
      <c r="C4" s="46"/>
      <c r="D4" s="46"/>
      <c r="E4" s="46"/>
      <c r="F4" s="46"/>
      <c r="G4" s="46"/>
      <c r="H4" s="46"/>
      <c r="I4" s="46"/>
      <c r="J4" s="46"/>
      <c r="K4" s="46"/>
      <c r="M4" s="8"/>
      <c r="N4" s="33" t="s">
        <v>12</v>
      </c>
      <c r="O4" s="34"/>
      <c r="P4" s="34"/>
      <c r="Q4" s="35"/>
      <c r="R4" s="11"/>
      <c r="S4" s="11"/>
      <c r="T4" s="11"/>
      <c r="U4" s="11"/>
      <c r="V4" s="11"/>
      <c r="X4" s="8"/>
      <c r="Y4" s="33" t="s">
        <v>13</v>
      </c>
      <c r="Z4" s="34"/>
      <c r="AA4" s="34"/>
      <c r="AB4" s="35"/>
      <c r="AC4" s="11"/>
      <c r="AD4" s="11"/>
      <c r="AE4" s="11"/>
      <c r="AF4" s="11"/>
      <c r="AG4" s="11"/>
    </row>
    <row r="5" spans="1:33" x14ac:dyDescent="0.2">
      <c r="A5" s="8"/>
      <c r="B5" s="8"/>
      <c r="C5" s="8"/>
      <c r="D5" s="8"/>
      <c r="E5" s="8"/>
      <c r="F5" s="8"/>
      <c r="G5" s="11"/>
      <c r="H5" s="11"/>
      <c r="I5" s="11"/>
      <c r="J5" s="11"/>
      <c r="K5" s="11"/>
      <c r="M5" s="8"/>
      <c r="N5" s="8"/>
      <c r="O5" s="8"/>
      <c r="P5" s="8"/>
      <c r="Q5" s="8"/>
      <c r="R5" s="8"/>
      <c r="S5" s="8"/>
      <c r="T5" s="8"/>
      <c r="U5" s="8"/>
      <c r="V5" s="8"/>
      <c r="X5" s="8"/>
      <c r="Y5" s="8"/>
      <c r="Z5" s="8"/>
      <c r="AA5" s="8"/>
      <c r="AB5" s="8"/>
      <c r="AC5" s="8"/>
      <c r="AD5" s="8"/>
      <c r="AE5" s="8"/>
      <c r="AF5" s="8"/>
      <c r="AG5" s="8"/>
    </row>
    <row r="6" spans="1:33" x14ac:dyDescent="0.2">
      <c r="A6" s="8"/>
      <c r="B6" s="13" t="s">
        <v>14</v>
      </c>
      <c r="C6" s="14"/>
      <c r="D6" s="15"/>
      <c r="E6" s="37" t="s">
        <v>15</v>
      </c>
      <c r="F6" s="11"/>
      <c r="G6" s="11"/>
      <c r="H6" s="13" t="s">
        <v>16</v>
      </c>
      <c r="I6" s="36"/>
      <c r="J6" s="48"/>
      <c r="K6" s="12"/>
      <c r="M6" s="8"/>
      <c r="N6" s="13" t="s">
        <v>14</v>
      </c>
      <c r="O6" s="14"/>
      <c r="P6" s="15"/>
      <c r="Q6" s="37" t="s">
        <v>17</v>
      </c>
      <c r="R6" s="11"/>
      <c r="S6" s="11"/>
      <c r="T6" s="11"/>
      <c r="U6" s="11"/>
      <c r="V6" s="11"/>
      <c r="X6" s="8"/>
      <c r="Y6" s="13" t="s">
        <v>14</v>
      </c>
      <c r="Z6" s="14"/>
      <c r="AA6" s="15"/>
      <c r="AB6" s="37" t="s">
        <v>15</v>
      </c>
      <c r="AC6" s="11"/>
      <c r="AD6" s="11"/>
      <c r="AE6" s="11"/>
      <c r="AF6" s="11"/>
      <c r="AG6" s="11"/>
    </row>
    <row r="7" spans="1:33" x14ac:dyDescent="0.2">
      <c r="A7" s="8"/>
      <c r="B7" s="13" t="s">
        <v>18</v>
      </c>
      <c r="C7" s="14"/>
      <c r="D7" s="15"/>
      <c r="E7" s="38">
        <v>2100</v>
      </c>
      <c r="F7" s="11" t="s">
        <v>19</v>
      </c>
      <c r="G7" s="11"/>
      <c r="H7" s="13" t="s">
        <v>20</v>
      </c>
      <c r="I7" s="112">
        <v>7</v>
      </c>
      <c r="J7" s="48"/>
      <c r="K7" s="12"/>
      <c r="M7" s="8"/>
      <c r="N7" s="13" t="s">
        <v>18</v>
      </c>
      <c r="O7" s="14"/>
      <c r="P7" s="15"/>
      <c r="Q7" s="38">
        <v>750</v>
      </c>
      <c r="R7" s="11" t="s">
        <v>19</v>
      </c>
      <c r="S7" s="11"/>
      <c r="T7" s="11"/>
      <c r="U7" s="11"/>
      <c r="V7" s="11"/>
      <c r="X7" s="8"/>
      <c r="Y7" s="13" t="s">
        <v>18</v>
      </c>
      <c r="Z7" s="14"/>
      <c r="AA7" s="15"/>
      <c r="AB7" s="38">
        <v>750</v>
      </c>
      <c r="AC7" s="11" t="s">
        <v>19</v>
      </c>
      <c r="AD7" s="11"/>
      <c r="AE7" s="11"/>
      <c r="AF7" s="11"/>
      <c r="AG7" s="11"/>
    </row>
    <row r="8" spans="1:33" x14ac:dyDescent="0.2">
      <c r="A8" s="8"/>
      <c r="B8" s="43" t="s">
        <v>21</v>
      </c>
      <c r="C8" s="43" t="s">
        <v>22</v>
      </c>
      <c r="D8" s="43" t="s">
        <v>23</v>
      </c>
      <c r="E8" s="43" t="s">
        <v>24</v>
      </c>
      <c r="F8" s="11"/>
      <c r="G8" s="11"/>
      <c r="H8" s="13" t="s">
        <v>25</v>
      </c>
      <c r="I8" s="112">
        <v>1</v>
      </c>
      <c r="J8" s="48"/>
      <c r="K8" s="12"/>
      <c r="M8" s="8"/>
      <c r="N8" s="43" t="s">
        <v>21</v>
      </c>
      <c r="O8" s="43" t="s">
        <v>22</v>
      </c>
      <c r="P8" s="43" t="s">
        <v>23</v>
      </c>
      <c r="Q8" s="43" t="s">
        <v>24</v>
      </c>
      <c r="R8" s="11"/>
      <c r="S8" s="11"/>
      <c r="T8" s="11"/>
      <c r="U8" s="11"/>
      <c r="V8" s="11"/>
      <c r="X8" s="8"/>
      <c r="Y8" s="43" t="s">
        <v>21</v>
      </c>
      <c r="Z8" s="43" t="s">
        <v>22</v>
      </c>
      <c r="AA8" s="43" t="s">
        <v>23</v>
      </c>
      <c r="AB8" s="43" t="s">
        <v>24</v>
      </c>
      <c r="AC8" s="11"/>
      <c r="AD8" s="11"/>
      <c r="AE8" s="11"/>
      <c r="AF8" s="11"/>
      <c r="AG8" s="11"/>
    </row>
    <row r="9" spans="1:33" x14ac:dyDescent="0.2">
      <c r="A9" s="8"/>
      <c r="B9" s="43" t="str">
        <f>+IF($E$6="SI","m3h","GPM")</f>
        <v>m3h</v>
      </c>
      <c r="C9" s="43" t="str">
        <f>+IF($E$6="SI","m","ft")</f>
        <v>m</v>
      </c>
      <c r="D9" s="43" t="str">
        <f>+IF($E$6="SI","kW","HP")</f>
        <v>kW</v>
      </c>
      <c r="E9" s="43" t="s">
        <v>26</v>
      </c>
      <c r="F9" s="11"/>
      <c r="G9" s="11"/>
      <c r="H9" s="11"/>
      <c r="I9" s="11"/>
      <c r="J9" s="11"/>
      <c r="K9" s="12"/>
      <c r="M9" s="8"/>
      <c r="N9" s="43" t="s">
        <v>27</v>
      </c>
      <c r="O9" s="43" t="s">
        <v>28</v>
      </c>
      <c r="P9" s="43" t="s">
        <v>29</v>
      </c>
      <c r="Q9" s="43" t="s">
        <v>26</v>
      </c>
      <c r="R9" s="11"/>
      <c r="S9" s="11"/>
      <c r="T9" s="11"/>
      <c r="U9" s="11"/>
      <c r="V9" s="11"/>
      <c r="X9" s="8"/>
      <c r="Y9" s="43" t="s">
        <v>30</v>
      </c>
      <c r="Z9" s="43" t="s">
        <v>31</v>
      </c>
      <c r="AA9" s="43" t="s">
        <v>32</v>
      </c>
      <c r="AB9" s="43" t="s">
        <v>26</v>
      </c>
      <c r="AC9" s="11"/>
      <c r="AD9" s="11"/>
      <c r="AE9" s="11"/>
      <c r="AF9" s="11"/>
      <c r="AG9" s="11"/>
    </row>
    <row r="10" spans="1:33" x14ac:dyDescent="0.2">
      <c r="A10" s="8"/>
      <c r="B10" s="39">
        <v>9.956565319077848E-8</v>
      </c>
      <c r="C10" s="39">
        <v>526.46882106708756</v>
      </c>
      <c r="D10" s="39">
        <v>77.64323433756978</v>
      </c>
      <c r="E10" s="39">
        <v>2.0228359272846058E-7</v>
      </c>
      <c r="F10" s="11"/>
      <c r="G10" s="11"/>
      <c r="H10" s="11"/>
      <c r="I10" s="11" t="s">
        <v>33</v>
      </c>
      <c r="J10" s="11"/>
      <c r="K10" s="12"/>
      <c r="M10" s="8"/>
      <c r="N10" s="39">
        <f>+IF($E$6="SI",B10/0.227,B10)</f>
        <v>4.3861521229417829E-7</v>
      </c>
      <c r="O10" s="39">
        <f>+IF($E$6="SI",C10/0.3048,C10)</f>
        <v>1727.2599116374263</v>
      </c>
      <c r="P10" s="39">
        <f>+IF($E$6="SI",D10/0.7457,D10)</f>
        <v>104.12127442345417</v>
      </c>
      <c r="Q10" s="39">
        <f>+E10</f>
        <v>2.0228359272846058E-7</v>
      </c>
      <c r="R10" s="11"/>
      <c r="S10" s="11"/>
      <c r="T10" s="11" t="s">
        <v>33</v>
      </c>
      <c r="U10" s="11"/>
      <c r="V10" s="11"/>
      <c r="X10" s="8"/>
      <c r="Y10" s="39">
        <f>+N10*0.227</f>
        <v>9.956565319077848E-8</v>
      </c>
      <c r="Z10" s="39">
        <f>+O10*0.3048</f>
        <v>526.46882106708756</v>
      </c>
      <c r="AA10" s="39">
        <f>+P10*0.7457</f>
        <v>77.64323433756978</v>
      </c>
      <c r="AB10" s="39">
        <f>+Q10</f>
        <v>2.0228359272846058E-7</v>
      </c>
      <c r="AC10" s="11"/>
      <c r="AD10" s="11"/>
      <c r="AE10" s="11" t="s">
        <v>33</v>
      </c>
      <c r="AF10" s="11"/>
      <c r="AG10" s="11"/>
    </row>
    <row r="11" spans="1:33" x14ac:dyDescent="0.2">
      <c r="A11" s="8"/>
      <c r="B11" s="39">
        <v>21.278595317725756</v>
      </c>
      <c r="C11" s="39">
        <v>518.41070703108528</v>
      </c>
      <c r="D11" s="39">
        <v>96.693056778598901</v>
      </c>
      <c r="E11" s="39">
        <v>34.182490455329095</v>
      </c>
      <c r="F11" s="11"/>
      <c r="G11" s="11"/>
      <c r="H11" s="11"/>
      <c r="I11" s="13" t="s">
        <v>34</v>
      </c>
      <c r="J11" s="43" t="s">
        <v>35</v>
      </c>
      <c r="K11" s="12"/>
      <c r="M11" s="8"/>
      <c r="N11" s="39">
        <f t="shared" ref="N11:N17" si="0">+IF($E$6="SI",B11/0.227,B11)</f>
        <v>93.738305364430644</v>
      </c>
      <c r="O11" s="39">
        <f t="shared" ref="O11:O17" si="1">+IF($E$6="SI",C11/0.3048,C11)</f>
        <v>1700.8225296295448</v>
      </c>
      <c r="P11" s="39">
        <f t="shared" ref="P11:P17" si="2">+IF($E$6="SI",D11/0.7457,D11)</f>
        <v>129.66750272039548</v>
      </c>
      <c r="Q11" s="39">
        <f t="shared" ref="Q11:Q17" si="3">+E11</f>
        <v>34.182490455329095</v>
      </c>
      <c r="R11" s="11"/>
      <c r="S11" s="11"/>
      <c r="T11" s="13" t="s">
        <v>34</v>
      </c>
      <c r="U11" s="43" t="s">
        <v>35</v>
      </c>
      <c r="V11" s="11"/>
      <c r="X11" s="8"/>
      <c r="Y11" s="39">
        <f t="shared" ref="Y11:Y17" si="4">+N11*0.227</f>
        <v>21.278595317725756</v>
      </c>
      <c r="Z11" s="39">
        <f t="shared" ref="Z11:Z17" si="5">+O11*0.3048</f>
        <v>518.41070703108528</v>
      </c>
      <c r="AA11" s="39">
        <f t="shared" ref="AA11:AA17" si="6">+P11*0.7457</f>
        <v>96.693056778598915</v>
      </c>
      <c r="AB11" s="39">
        <f t="shared" ref="AB11:AB17" si="7">+Q11</f>
        <v>34.182490455329095</v>
      </c>
      <c r="AC11" s="11"/>
      <c r="AD11" s="11"/>
      <c r="AE11" s="13" t="s">
        <v>34</v>
      </c>
      <c r="AF11" s="43" t="s">
        <v>35</v>
      </c>
      <c r="AG11" s="11"/>
    </row>
    <row r="12" spans="1:33" x14ac:dyDescent="0.2">
      <c r="A12" s="8"/>
      <c r="B12" s="39">
        <v>39.188494983277593</v>
      </c>
      <c r="C12" s="39">
        <v>505.78233730890463</v>
      </c>
      <c r="D12" s="39">
        <v>114.94519712903444</v>
      </c>
      <c r="E12" s="39">
        <v>51.667028849438999</v>
      </c>
      <c r="F12" s="11"/>
      <c r="G12" s="11"/>
      <c r="H12" s="11"/>
      <c r="I12" s="13" t="str">
        <f>+IF($E$6="SI","micron","microinch")</f>
        <v>micron</v>
      </c>
      <c r="J12" s="43" t="str">
        <f>+IF($E$6="SI","micron","microinch")</f>
        <v>micron</v>
      </c>
      <c r="K12" s="12"/>
      <c r="M12" s="8"/>
      <c r="N12" s="39">
        <f t="shared" si="0"/>
        <v>172.63654177655326</v>
      </c>
      <c r="O12" s="39">
        <f t="shared" si="1"/>
        <v>1659.3908704360388</v>
      </c>
      <c r="P12" s="39">
        <f t="shared" si="2"/>
        <v>154.1440218975921</v>
      </c>
      <c r="Q12" s="39">
        <f t="shared" si="3"/>
        <v>51.667028849438999</v>
      </c>
      <c r="R12" s="11"/>
      <c r="S12" s="11"/>
      <c r="T12" s="13" t="s">
        <v>36</v>
      </c>
      <c r="U12" s="13" t="s">
        <v>36</v>
      </c>
      <c r="V12" s="11"/>
      <c r="X12" s="8"/>
      <c r="Y12" s="39">
        <f t="shared" si="4"/>
        <v>39.188494983277593</v>
      </c>
      <c r="Z12" s="39">
        <f t="shared" si="5"/>
        <v>505.78233730890463</v>
      </c>
      <c r="AA12" s="39">
        <f t="shared" si="6"/>
        <v>114.94519712903443</v>
      </c>
      <c r="AB12" s="39">
        <f t="shared" si="7"/>
        <v>51.667028849438999</v>
      </c>
      <c r="AC12" s="11"/>
      <c r="AD12" s="11"/>
      <c r="AE12" s="13" t="s">
        <v>37</v>
      </c>
      <c r="AF12" s="13" t="s">
        <v>37</v>
      </c>
      <c r="AG12" s="11"/>
    </row>
    <row r="13" spans="1:33" x14ac:dyDescent="0.2">
      <c r="A13" s="8"/>
      <c r="B13" s="39">
        <v>57.095882156009374</v>
      </c>
      <c r="C13" s="39">
        <v>483.38651128063043</v>
      </c>
      <c r="D13" s="39">
        <v>134.81120126582081</v>
      </c>
      <c r="E13" s="39">
        <v>61.341643759780197</v>
      </c>
      <c r="F13" s="11"/>
      <c r="G13" s="11"/>
      <c r="H13" s="44" t="s">
        <v>38</v>
      </c>
      <c r="I13" s="39">
        <v>12.5</v>
      </c>
      <c r="J13" s="39">
        <v>22</v>
      </c>
      <c r="K13" s="12"/>
      <c r="M13" s="8"/>
      <c r="N13" s="39">
        <f t="shared" si="0"/>
        <v>251.52370993836729</v>
      </c>
      <c r="O13" s="39">
        <f t="shared" si="1"/>
        <v>1585.9137509207035</v>
      </c>
      <c r="P13" s="39">
        <f t="shared" si="2"/>
        <v>180.78476768917903</v>
      </c>
      <c r="Q13" s="39">
        <f t="shared" si="3"/>
        <v>61.341643759780197</v>
      </c>
      <c r="R13" s="11"/>
      <c r="S13" s="44" t="s">
        <v>38</v>
      </c>
      <c r="T13" s="39">
        <f>+IF($E$6="SI",I13/25.4*1000,I13)</f>
        <v>492.12598425196853</v>
      </c>
      <c r="U13" s="39">
        <f>+IF($E$6="SI",J13/25.4*1000,J13)</f>
        <v>866.14173228346453</v>
      </c>
      <c r="V13" s="11"/>
      <c r="X13" s="8"/>
      <c r="Y13" s="39">
        <f t="shared" si="4"/>
        <v>57.095882156009374</v>
      </c>
      <c r="Z13" s="39">
        <f t="shared" si="5"/>
        <v>483.38651128063043</v>
      </c>
      <c r="AA13" s="39">
        <f t="shared" si="6"/>
        <v>134.81120126582081</v>
      </c>
      <c r="AB13" s="39">
        <f t="shared" si="7"/>
        <v>61.341643759780197</v>
      </c>
      <c r="AC13" s="11"/>
      <c r="AD13" s="44" t="s">
        <v>38</v>
      </c>
      <c r="AE13" s="39">
        <f>+T13*25.4/1000</f>
        <v>12.5</v>
      </c>
      <c r="AF13" s="39">
        <f>+U13*25.4/1000</f>
        <v>21.999999999999996</v>
      </c>
      <c r="AG13" s="11"/>
    </row>
    <row r="14" spans="1:33" x14ac:dyDescent="0.2">
      <c r="A14" s="8"/>
      <c r="B14" s="39">
        <v>83.942818881821225</v>
      </c>
      <c r="C14" s="39">
        <v>425.27980605620229</v>
      </c>
      <c r="D14" s="39">
        <v>159.27098075065786</v>
      </c>
      <c r="E14" s="39">
        <v>67.158923989183677</v>
      </c>
      <c r="F14" s="11"/>
      <c r="G14" s="11"/>
      <c r="H14" s="11"/>
      <c r="I14" s="45"/>
      <c r="J14" s="12"/>
      <c r="K14" s="12"/>
      <c r="M14" s="8"/>
      <c r="N14" s="39">
        <f t="shared" si="0"/>
        <v>369.79215366441065</v>
      </c>
      <c r="O14" s="39">
        <f t="shared" si="1"/>
        <v>1395.2749542526321</v>
      </c>
      <c r="P14" s="39">
        <f t="shared" si="2"/>
        <v>213.58586663625834</v>
      </c>
      <c r="Q14" s="39">
        <f t="shared" si="3"/>
        <v>67.158923989183677</v>
      </c>
      <c r="R14" s="11"/>
      <c r="S14" s="11"/>
      <c r="T14" s="45"/>
      <c r="U14" s="12"/>
      <c r="V14" s="11"/>
      <c r="X14" s="8"/>
      <c r="Y14" s="39">
        <f t="shared" si="4"/>
        <v>83.942818881821225</v>
      </c>
      <c r="Z14" s="39">
        <f t="shared" si="5"/>
        <v>425.27980605620229</v>
      </c>
      <c r="AA14" s="39">
        <f t="shared" si="6"/>
        <v>159.27098075065786</v>
      </c>
      <c r="AB14" s="39">
        <f t="shared" si="7"/>
        <v>67.158923989183677</v>
      </c>
      <c r="AC14" s="11"/>
      <c r="AD14" s="11"/>
      <c r="AE14" s="45"/>
      <c r="AF14" s="12"/>
      <c r="AG14" s="11"/>
    </row>
    <row r="15" spans="1:33" x14ac:dyDescent="0.2">
      <c r="A15" s="8"/>
      <c r="B15" s="39">
        <v>94.230274614869387</v>
      </c>
      <c r="C15" s="39">
        <v>398.82921589414872</v>
      </c>
      <c r="D15" s="39">
        <v>165.00243873996016</v>
      </c>
      <c r="E15" s="39">
        <v>68.244731843555613</v>
      </c>
      <c r="F15" s="11"/>
      <c r="G15" s="11"/>
      <c r="H15" s="44" t="s">
        <v>39</v>
      </c>
      <c r="I15" s="39">
        <v>6.3</v>
      </c>
      <c r="J15" s="39">
        <v>12.5</v>
      </c>
      <c r="K15" s="12"/>
      <c r="M15" s="8"/>
      <c r="N15" s="39">
        <f t="shared" si="0"/>
        <v>415.11134191572415</v>
      </c>
      <c r="O15" s="39">
        <f t="shared" si="1"/>
        <v>1308.494802802325</v>
      </c>
      <c r="P15" s="39">
        <f t="shared" si="2"/>
        <v>221.27187708188299</v>
      </c>
      <c r="Q15" s="39">
        <f t="shared" si="3"/>
        <v>68.244731843555613</v>
      </c>
      <c r="R15" s="11"/>
      <c r="S15" s="44" t="s">
        <v>39</v>
      </c>
      <c r="T15" s="39">
        <f>+IF($E$6="SI",I15/25.4*1000,I15)</f>
        <v>248.03149606299212</v>
      </c>
      <c r="U15" s="39">
        <f>+IF($E$6="SI",J15/25.4*1000,J15)</f>
        <v>492.12598425196853</v>
      </c>
      <c r="V15" s="11"/>
      <c r="X15" s="8"/>
      <c r="Y15" s="39">
        <f t="shared" si="4"/>
        <v>94.230274614869387</v>
      </c>
      <c r="Z15" s="39">
        <f t="shared" si="5"/>
        <v>398.82921589414866</v>
      </c>
      <c r="AA15" s="39">
        <f t="shared" si="6"/>
        <v>165.00243873996016</v>
      </c>
      <c r="AB15" s="39">
        <f t="shared" si="7"/>
        <v>68.244731843555613</v>
      </c>
      <c r="AC15" s="11"/>
      <c r="AD15" s="44" t="s">
        <v>39</v>
      </c>
      <c r="AE15" s="39">
        <f>+T15*25.4/1000</f>
        <v>6.2999999999999989</v>
      </c>
      <c r="AF15" s="39">
        <f>+U15*25.4/1000</f>
        <v>12.5</v>
      </c>
      <c r="AG15" s="11"/>
    </row>
    <row r="16" spans="1:33" x14ac:dyDescent="0.2">
      <c r="A16" s="8"/>
      <c r="B16" s="39">
        <v>103.06624203821656</v>
      </c>
      <c r="C16" s="39">
        <v>373.62032360402577</v>
      </c>
      <c r="D16" s="39">
        <v>170.55219996468304</v>
      </c>
      <c r="E16" s="39">
        <v>67.650604406982538</v>
      </c>
      <c r="F16" s="11"/>
      <c r="G16" s="11"/>
      <c r="H16" s="11"/>
      <c r="I16" s="11"/>
      <c r="J16" s="11"/>
      <c r="K16" s="12"/>
      <c r="M16" s="8"/>
      <c r="N16" s="39">
        <f t="shared" si="0"/>
        <v>454.03630853839894</v>
      </c>
      <c r="O16" s="39">
        <f t="shared" si="1"/>
        <v>1225.788463267801</v>
      </c>
      <c r="P16" s="39">
        <f t="shared" si="2"/>
        <v>228.71422819455952</v>
      </c>
      <c r="Q16" s="39">
        <f t="shared" si="3"/>
        <v>67.650604406982538</v>
      </c>
      <c r="R16" s="11"/>
      <c r="S16" s="11"/>
      <c r="T16" s="11"/>
      <c r="U16" s="11"/>
      <c r="V16" s="11"/>
      <c r="X16" s="8"/>
      <c r="Y16" s="39">
        <f t="shared" si="4"/>
        <v>103.06624203821656</v>
      </c>
      <c r="Z16" s="39">
        <f t="shared" si="5"/>
        <v>373.62032360402577</v>
      </c>
      <c r="AA16" s="39">
        <f t="shared" si="6"/>
        <v>170.55219996468304</v>
      </c>
      <c r="AB16" s="39">
        <f t="shared" si="7"/>
        <v>67.650604406982538</v>
      </c>
      <c r="AC16" s="11"/>
      <c r="AD16" s="11"/>
      <c r="AE16" s="11"/>
      <c r="AF16" s="11"/>
      <c r="AG16" s="11"/>
    </row>
    <row r="17" spans="1:33" x14ac:dyDescent="0.2">
      <c r="A17" s="8"/>
      <c r="B17" s="39">
        <v>114.85145924186514</v>
      </c>
      <c r="C17" s="39">
        <v>333.12378940741871</v>
      </c>
      <c r="D17" s="39">
        <v>175.56802177114946</v>
      </c>
      <c r="E17" s="39">
        <v>65.294834164197937</v>
      </c>
      <c r="F17" s="11"/>
      <c r="G17" s="11"/>
      <c r="H17" s="11"/>
      <c r="I17" s="11"/>
      <c r="J17" s="11"/>
      <c r="K17" s="12"/>
      <c r="M17" s="8"/>
      <c r="N17" s="39">
        <f t="shared" si="0"/>
        <v>505.95356494213718</v>
      </c>
      <c r="O17" s="39">
        <f t="shared" si="1"/>
        <v>1092.9258182658093</v>
      </c>
      <c r="P17" s="39">
        <f t="shared" si="2"/>
        <v>235.44055487615589</v>
      </c>
      <c r="Q17" s="39">
        <f t="shared" si="3"/>
        <v>65.294834164197937</v>
      </c>
      <c r="R17" s="11"/>
      <c r="S17" s="11"/>
      <c r="T17" s="11"/>
      <c r="U17" s="11"/>
      <c r="V17" s="11"/>
      <c r="X17" s="8"/>
      <c r="Y17" s="39">
        <f t="shared" si="4"/>
        <v>114.85145924186514</v>
      </c>
      <c r="Z17" s="39">
        <f t="shared" si="5"/>
        <v>333.12378940741871</v>
      </c>
      <c r="AA17" s="39">
        <f t="shared" si="6"/>
        <v>175.56802177114946</v>
      </c>
      <c r="AB17" s="39">
        <f t="shared" si="7"/>
        <v>65.294834164197937</v>
      </c>
      <c r="AC17" s="11"/>
      <c r="AD17" s="11"/>
      <c r="AE17" s="11"/>
      <c r="AF17" s="11"/>
      <c r="AG17" s="11"/>
    </row>
    <row r="18" spans="1:33" x14ac:dyDescent="0.2">
      <c r="A18" s="8"/>
      <c r="B18" s="8"/>
      <c r="C18" s="8"/>
      <c r="D18" s="8"/>
      <c r="E18" s="8"/>
      <c r="F18" s="8"/>
      <c r="G18" s="8"/>
      <c r="H18" s="11"/>
      <c r="I18" s="11"/>
      <c r="J18" s="11"/>
      <c r="K18" s="12"/>
      <c r="M18" s="8"/>
      <c r="N18" s="8"/>
      <c r="O18" s="8"/>
      <c r="P18" s="8"/>
      <c r="Q18" s="8"/>
      <c r="R18" s="11"/>
      <c r="S18" s="11"/>
      <c r="T18" s="43" t="s">
        <v>40</v>
      </c>
      <c r="U18" s="43" t="s">
        <v>41</v>
      </c>
      <c r="V18" s="11"/>
      <c r="X18" s="8"/>
      <c r="Y18" s="8"/>
      <c r="Z18" s="8"/>
      <c r="AA18" s="8"/>
      <c r="AB18" s="8"/>
      <c r="AC18" s="11"/>
      <c r="AD18" s="11"/>
      <c r="AE18" s="43" t="s">
        <v>40</v>
      </c>
      <c r="AF18" s="43" t="s">
        <v>42</v>
      </c>
      <c r="AG18" s="11"/>
    </row>
    <row r="19" spans="1:33" ht="18.75" x14ac:dyDescent="0.3">
      <c r="A19" s="165" t="s">
        <v>43</v>
      </c>
      <c r="B19" s="165"/>
      <c r="C19" s="165"/>
      <c r="D19" s="165"/>
      <c r="E19" s="165"/>
      <c r="F19" s="165"/>
      <c r="G19" s="165"/>
      <c r="H19" s="165"/>
      <c r="I19" s="165"/>
      <c r="J19" s="165"/>
      <c r="K19" s="166"/>
      <c r="M19" s="8"/>
      <c r="N19" s="33" t="s">
        <v>44</v>
      </c>
      <c r="O19" s="34"/>
      <c r="P19" s="34"/>
      <c r="Q19" s="35"/>
      <c r="R19" s="11"/>
      <c r="S19" s="11"/>
      <c r="T19" s="43" t="s">
        <v>45</v>
      </c>
      <c r="U19" s="104">
        <f>+AF19*1000/25.4</f>
        <v>15.748031496062993</v>
      </c>
      <c r="V19" s="11"/>
      <c r="X19" s="8"/>
      <c r="Y19" s="33" t="s">
        <v>46</v>
      </c>
      <c r="Z19" s="34"/>
      <c r="AA19" s="34"/>
      <c r="AB19" s="35"/>
      <c r="AC19" s="11"/>
      <c r="AD19" s="11"/>
      <c r="AE19" s="43" t="s">
        <v>45</v>
      </c>
      <c r="AF19" s="104">
        <v>0.4</v>
      </c>
      <c r="AG19" s="11"/>
    </row>
    <row r="20" spans="1:33" ht="14.25" customHeight="1" x14ac:dyDescent="0.2">
      <c r="A20" s="108"/>
      <c r="B20" s="108"/>
      <c r="C20" s="108"/>
      <c r="D20" s="108"/>
      <c r="E20" s="108"/>
      <c r="F20" s="108"/>
      <c r="G20" s="108"/>
      <c r="H20" s="109"/>
      <c r="I20" s="109"/>
      <c r="J20" s="109"/>
      <c r="K20" s="110"/>
      <c r="M20" s="8"/>
      <c r="N20" s="43" t="s">
        <v>21</v>
      </c>
      <c r="O20" s="43" t="s">
        <v>22</v>
      </c>
      <c r="P20" s="43" t="s">
        <v>23</v>
      </c>
      <c r="Q20" s="43" t="s">
        <v>24</v>
      </c>
      <c r="R20" s="8"/>
      <c r="S20" s="8"/>
      <c r="T20" s="43" t="s">
        <v>47</v>
      </c>
      <c r="U20" s="104">
        <f t="shared" ref="U20:U27" si="8">+AF20*1000/25.4</f>
        <v>31.496062992125985</v>
      </c>
      <c r="V20" s="8"/>
      <c r="X20" s="8"/>
      <c r="Y20" s="43" t="s">
        <v>21</v>
      </c>
      <c r="Z20" s="43" t="s">
        <v>22</v>
      </c>
      <c r="AA20" s="43" t="s">
        <v>23</v>
      </c>
      <c r="AB20" s="43" t="s">
        <v>24</v>
      </c>
      <c r="AC20" s="8"/>
      <c r="AD20" s="8"/>
      <c r="AE20" s="105" t="s">
        <v>47</v>
      </c>
      <c r="AF20" s="104">
        <v>0.8</v>
      </c>
      <c r="AG20" s="8"/>
    </row>
    <row r="21" spans="1:33" ht="14.25" customHeight="1" x14ac:dyDescent="0.2">
      <c r="A21" s="108"/>
      <c r="B21" s="108"/>
      <c r="C21" s="108"/>
      <c r="D21" s="108"/>
      <c r="E21" s="108"/>
      <c r="F21" s="108"/>
      <c r="G21" s="108"/>
      <c r="H21" s="109"/>
      <c r="I21" s="109"/>
      <c r="J21" s="109"/>
      <c r="K21" s="110"/>
      <c r="M21" s="8"/>
      <c r="N21" s="43" t="s">
        <v>27</v>
      </c>
      <c r="O21" s="43" t="s">
        <v>28</v>
      </c>
      <c r="P21" s="43" t="s">
        <v>29</v>
      </c>
      <c r="Q21" s="43" t="s">
        <v>26</v>
      </c>
      <c r="R21" s="8"/>
      <c r="S21" s="11"/>
      <c r="T21" s="43" t="s">
        <v>48</v>
      </c>
      <c r="U21" s="104">
        <f t="shared" si="8"/>
        <v>62.99212598425197</v>
      </c>
      <c r="V21" s="11"/>
      <c r="X21" s="8"/>
      <c r="Y21" s="43" t="s">
        <v>30</v>
      </c>
      <c r="Z21" s="43" t="s">
        <v>31</v>
      </c>
      <c r="AA21" s="43" t="s">
        <v>32</v>
      </c>
      <c r="AB21" s="43" t="s">
        <v>26</v>
      </c>
      <c r="AC21" s="8"/>
      <c r="AD21" s="11"/>
      <c r="AE21" s="43" t="s">
        <v>48</v>
      </c>
      <c r="AF21" s="104">
        <v>1.6</v>
      </c>
      <c r="AG21" s="11"/>
    </row>
    <row r="22" spans="1:33" ht="14.25" customHeight="1" x14ac:dyDescent="0.2">
      <c r="A22" s="108"/>
      <c r="B22" s="108"/>
      <c r="C22" s="108"/>
      <c r="D22" s="108"/>
      <c r="E22" s="108"/>
      <c r="F22" s="108"/>
      <c r="G22" s="109"/>
      <c r="H22" s="109"/>
      <c r="I22" s="109"/>
      <c r="J22" s="109"/>
      <c r="K22" s="110"/>
      <c r="M22" s="8"/>
      <c r="N22" s="39">
        <f>+IF($E$6="SI",B42/0.227,B42)</f>
        <v>4.3861521229417829E-7</v>
      </c>
      <c r="O22" s="39">
        <f>+IF($E$6="SI",C42/0.3048,C42)</f>
        <v>1727.2599116374263</v>
      </c>
      <c r="P22" s="39">
        <f>+IF($E$6="SI",D42/0.7457,D42)</f>
        <v>104.12127442345417</v>
      </c>
      <c r="Q22" s="39">
        <f>+E42</f>
        <v>2.0221451525286012E-7</v>
      </c>
      <c r="R22" s="8"/>
      <c r="S22" s="11"/>
      <c r="T22" s="43" t="s">
        <v>49</v>
      </c>
      <c r="U22" s="104">
        <f t="shared" si="8"/>
        <v>125.98425196850394</v>
      </c>
      <c r="V22" s="11"/>
      <c r="X22" s="8"/>
      <c r="Y22" s="39">
        <f>+N22*0.227</f>
        <v>9.956565319077848E-8</v>
      </c>
      <c r="Z22" s="39">
        <f>+O22*0.3048</f>
        <v>526.46882106708756</v>
      </c>
      <c r="AA22" s="39">
        <f>+P22*0.7457</f>
        <v>77.64323433756978</v>
      </c>
      <c r="AB22" s="39">
        <f>+Q22</f>
        <v>2.0221451525286012E-7</v>
      </c>
      <c r="AC22" s="8"/>
      <c r="AD22" s="11"/>
      <c r="AE22" s="43" t="s">
        <v>49</v>
      </c>
      <c r="AF22" s="104">
        <v>3.2</v>
      </c>
      <c r="AG22" s="11"/>
    </row>
    <row r="23" spans="1:33" ht="14.25" customHeight="1" x14ac:dyDescent="0.2">
      <c r="A23" s="108"/>
      <c r="B23" s="108"/>
      <c r="C23" s="108"/>
      <c r="D23" s="108"/>
      <c r="E23" s="108"/>
      <c r="F23" s="108"/>
      <c r="G23" s="109"/>
      <c r="H23" s="109"/>
      <c r="I23" s="109"/>
      <c r="J23" s="109"/>
      <c r="K23" s="110"/>
      <c r="M23" s="8"/>
      <c r="N23" s="39">
        <f t="shared" ref="N23:N29" si="9">+IF($E$6="SI",B43/0.227,B43)</f>
        <v>93.738305364430644</v>
      </c>
      <c r="O23" s="39">
        <f t="shared" ref="O23:O29" si="10">+IF($E$6="SI",C43/0.3048,C43)</f>
        <v>1701.8766502177405</v>
      </c>
      <c r="P23" s="39">
        <f t="shared" ref="P23:P29" si="11">+IF($E$6="SI",D43/0.7457,D43)</f>
        <v>129.66750272039548</v>
      </c>
      <c r="Q23" s="39">
        <f t="shared" ref="Q23:Q29" si="12">+E43</f>
        <v>34.191995619479101</v>
      </c>
      <c r="R23" s="11"/>
      <c r="S23" s="11"/>
      <c r="T23" s="43" t="s">
        <v>50</v>
      </c>
      <c r="U23" s="104">
        <f t="shared" si="8"/>
        <v>248.03149606299215</v>
      </c>
      <c r="V23" s="11"/>
      <c r="X23" s="8"/>
      <c r="Y23" s="39">
        <f t="shared" ref="Y23:Y29" si="13">+N23*0.227</f>
        <v>21.278595317725756</v>
      </c>
      <c r="Z23" s="39">
        <f t="shared" ref="Z23:Z29" si="14">+O23*0.3048</f>
        <v>518.73200298636732</v>
      </c>
      <c r="AA23" s="39">
        <f t="shared" ref="AA23:AA29" si="15">+P23*0.7457</f>
        <v>96.693056778598915</v>
      </c>
      <c r="AB23" s="39">
        <f t="shared" ref="AB23:AB29" si="16">+Q23</f>
        <v>34.191995619479101</v>
      </c>
      <c r="AC23" s="11"/>
      <c r="AD23" s="11"/>
      <c r="AE23" s="43" t="s">
        <v>50</v>
      </c>
      <c r="AF23" s="104">
        <v>6.3</v>
      </c>
      <c r="AG23" s="11"/>
    </row>
    <row r="24" spans="1:33" ht="14.25" customHeight="1" x14ac:dyDescent="0.2">
      <c r="A24" s="108"/>
      <c r="B24" s="108"/>
      <c r="C24" s="108"/>
      <c r="D24" s="108"/>
      <c r="E24" s="108"/>
      <c r="F24" s="108"/>
      <c r="G24" s="109"/>
      <c r="H24" s="109"/>
      <c r="I24" s="109"/>
      <c r="J24" s="109"/>
      <c r="K24" s="110"/>
      <c r="M24" s="8"/>
      <c r="N24" s="39">
        <f t="shared" si="9"/>
        <v>172.63654177655326</v>
      </c>
      <c r="O24" s="39">
        <f t="shared" si="10"/>
        <v>1662.9662450752357</v>
      </c>
      <c r="P24" s="39">
        <f t="shared" si="11"/>
        <v>154.1440218975921</v>
      </c>
      <c r="Q24" s="39">
        <f t="shared" si="12"/>
        <v>51.760670519613754</v>
      </c>
      <c r="R24" s="11"/>
      <c r="S24" s="11"/>
      <c r="T24" s="43" t="s">
        <v>51</v>
      </c>
      <c r="U24" s="104">
        <f t="shared" si="8"/>
        <v>492.12598425196853</v>
      </c>
      <c r="V24" s="11"/>
      <c r="X24" s="8"/>
      <c r="Y24" s="39">
        <f t="shared" si="13"/>
        <v>39.188494983277593</v>
      </c>
      <c r="Z24" s="39">
        <f t="shared" si="14"/>
        <v>506.87211149893187</v>
      </c>
      <c r="AA24" s="39">
        <f t="shared" si="15"/>
        <v>114.94519712903443</v>
      </c>
      <c r="AB24" s="39">
        <f t="shared" si="16"/>
        <v>51.760670519613754</v>
      </c>
      <c r="AC24" s="11"/>
      <c r="AD24" s="11"/>
      <c r="AE24" s="43" t="s">
        <v>51</v>
      </c>
      <c r="AF24" s="104">
        <v>12.5</v>
      </c>
      <c r="AG24" s="11"/>
    </row>
    <row r="25" spans="1:33" ht="14.25" customHeight="1" x14ac:dyDescent="0.2">
      <c r="A25" s="108"/>
      <c r="B25" s="108"/>
      <c r="C25" s="108"/>
      <c r="D25" s="108"/>
      <c r="E25" s="108"/>
      <c r="F25" s="108"/>
      <c r="G25" s="109"/>
      <c r="H25" s="109"/>
      <c r="I25" s="109"/>
      <c r="J25" s="109"/>
      <c r="K25" s="110"/>
      <c r="M25" s="8"/>
      <c r="N25" s="39">
        <f t="shared" si="9"/>
        <v>251.52370993836729</v>
      </c>
      <c r="O25" s="39">
        <f t="shared" si="10"/>
        <v>1593.503264812332</v>
      </c>
      <c r="P25" s="39">
        <f t="shared" si="11"/>
        <v>180.78476768917903</v>
      </c>
      <c r="Q25" s="39">
        <f t="shared" si="12"/>
        <v>61.614151280221144</v>
      </c>
      <c r="R25" s="11"/>
      <c r="S25" s="11"/>
      <c r="T25" s="43" t="s">
        <v>52</v>
      </c>
      <c r="U25" s="104">
        <f t="shared" si="8"/>
        <v>984.25196850393706</v>
      </c>
      <c r="V25" s="11"/>
      <c r="X25" s="8"/>
      <c r="Y25" s="39">
        <f t="shared" si="13"/>
        <v>57.095882156009374</v>
      </c>
      <c r="Z25" s="39">
        <f t="shared" si="14"/>
        <v>485.6997951147988</v>
      </c>
      <c r="AA25" s="39">
        <f t="shared" si="15"/>
        <v>134.81120126582081</v>
      </c>
      <c r="AB25" s="39">
        <f t="shared" si="16"/>
        <v>61.614151280221144</v>
      </c>
      <c r="AC25" s="11"/>
      <c r="AD25" s="11"/>
      <c r="AE25" s="43" t="s">
        <v>52</v>
      </c>
      <c r="AF25" s="104">
        <v>25</v>
      </c>
      <c r="AG25" s="11"/>
    </row>
    <row r="26" spans="1:33" ht="14.25" customHeight="1" x14ac:dyDescent="0.2">
      <c r="A26" s="108"/>
      <c r="B26" s="108"/>
      <c r="C26" s="108"/>
      <c r="D26" s="108"/>
      <c r="E26" s="108"/>
      <c r="F26" s="108"/>
      <c r="G26" s="109"/>
      <c r="H26" s="109"/>
      <c r="I26" s="109"/>
      <c r="J26" s="109"/>
      <c r="K26" s="110"/>
      <c r="M26" s="8"/>
      <c r="N26" s="39">
        <f t="shared" si="9"/>
        <v>369.79215366441065</v>
      </c>
      <c r="O26" s="39">
        <f t="shared" si="10"/>
        <v>1411.6797747915666</v>
      </c>
      <c r="P26" s="39">
        <f t="shared" si="11"/>
        <v>213.58586663625834</v>
      </c>
      <c r="Q26" s="39">
        <f t="shared" si="12"/>
        <v>67.925335404532035</v>
      </c>
      <c r="R26" s="11"/>
      <c r="S26" s="11"/>
      <c r="T26" s="43" t="s">
        <v>53</v>
      </c>
      <c r="U26" s="104">
        <f t="shared" si="8"/>
        <v>1968.5039370078741</v>
      </c>
      <c r="V26" s="11"/>
      <c r="X26" s="8"/>
      <c r="Y26" s="39">
        <f t="shared" si="13"/>
        <v>83.942818881821225</v>
      </c>
      <c r="Z26" s="39">
        <f t="shared" si="14"/>
        <v>430.2799953564695</v>
      </c>
      <c r="AA26" s="39">
        <f t="shared" si="15"/>
        <v>159.27098075065786</v>
      </c>
      <c r="AB26" s="39">
        <f t="shared" si="16"/>
        <v>67.925335404532035</v>
      </c>
      <c r="AC26" s="11"/>
      <c r="AD26" s="11"/>
      <c r="AE26" s="43" t="s">
        <v>53</v>
      </c>
      <c r="AF26" s="104">
        <v>50</v>
      </c>
      <c r="AG26" s="11"/>
    </row>
    <row r="27" spans="1:33" ht="14.25" customHeight="1" x14ac:dyDescent="0.2">
      <c r="A27" s="108"/>
      <c r="B27" s="108"/>
      <c r="C27" s="108"/>
      <c r="D27" s="108"/>
      <c r="E27" s="108"/>
      <c r="F27" s="108"/>
      <c r="G27" s="109"/>
      <c r="H27" s="109"/>
      <c r="I27" s="109"/>
      <c r="J27" s="109"/>
      <c r="K27" s="110"/>
      <c r="M27" s="8"/>
      <c r="N27" s="39">
        <f t="shared" si="9"/>
        <v>415.11134191572415</v>
      </c>
      <c r="O27" s="39">
        <f t="shared" si="10"/>
        <v>1329.1669362092141</v>
      </c>
      <c r="P27" s="39">
        <f t="shared" si="11"/>
        <v>221.27187708188299</v>
      </c>
      <c r="Q27" s="39">
        <f t="shared" si="12"/>
        <v>69.299216936226316</v>
      </c>
      <c r="R27" s="11"/>
      <c r="S27" s="11"/>
      <c r="T27" s="43" t="s">
        <v>54</v>
      </c>
      <c r="U27" s="104">
        <f t="shared" si="8"/>
        <v>3937.0078740157483</v>
      </c>
      <c r="V27" s="11"/>
      <c r="X27" s="8"/>
      <c r="Y27" s="39">
        <f t="shared" si="13"/>
        <v>94.230274614869387</v>
      </c>
      <c r="Z27" s="39">
        <f t="shared" si="14"/>
        <v>405.13008215656851</v>
      </c>
      <c r="AA27" s="39">
        <f t="shared" si="15"/>
        <v>165.00243873996016</v>
      </c>
      <c r="AB27" s="39">
        <f t="shared" si="16"/>
        <v>69.299216936226316</v>
      </c>
      <c r="AC27" s="11"/>
      <c r="AD27" s="11"/>
      <c r="AE27" s="43" t="s">
        <v>54</v>
      </c>
      <c r="AF27" s="104">
        <v>100</v>
      </c>
      <c r="AG27" s="11"/>
    </row>
    <row r="28" spans="1:33" ht="14.25" customHeight="1" x14ac:dyDescent="0.2">
      <c r="A28" s="108"/>
      <c r="B28" s="108"/>
      <c r="C28" s="108"/>
      <c r="D28" s="108"/>
      <c r="E28" s="108"/>
      <c r="F28" s="108"/>
      <c r="G28" s="109"/>
      <c r="H28" s="109"/>
      <c r="I28" s="109"/>
      <c r="J28" s="109"/>
      <c r="K28" s="110"/>
      <c r="M28" s="8"/>
      <c r="N28" s="39">
        <f t="shared" si="9"/>
        <v>454.03630853839894</v>
      </c>
      <c r="O28" s="39">
        <f t="shared" si="10"/>
        <v>1250.5192121705522</v>
      </c>
      <c r="P28" s="39">
        <f t="shared" si="11"/>
        <v>228.71422819455952</v>
      </c>
      <c r="Q28" s="39">
        <f t="shared" si="12"/>
        <v>68.991913127656773</v>
      </c>
      <c r="R28" s="11"/>
      <c r="S28" s="11"/>
      <c r="T28" s="11"/>
      <c r="U28" s="11"/>
      <c r="V28" s="11"/>
      <c r="X28" s="8"/>
      <c r="Y28" s="39">
        <f t="shared" si="13"/>
        <v>103.06624203821656</v>
      </c>
      <c r="Z28" s="39">
        <f t="shared" si="14"/>
        <v>381.15825586958437</v>
      </c>
      <c r="AA28" s="39">
        <f t="shared" si="15"/>
        <v>170.55219996468304</v>
      </c>
      <c r="AB28" s="39">
        <f t="shared" si="16"/>
        <v>68.991913127656773</v>
      </c>
      <c r="AC28" s="11"/>
      <c r="AD28" s="11"/>
      <c r="AE28" s="11"/>
      <c r="AF28" s="11"/>
      <c r="AG28" s="11"/>
    </row>
    <row r="29" spans="1:33" ht="14.25" customHeight="1" x14ac:dyDescent="0.2">
      <c r="A29" s="108"/>
      <c r="B29" s="108"/>
      <c r="C29" s="108"/>
      <c r="D29" s="108"/>
      <c r="E29" s="108"/>
      <c r="F29" s="108"/>
      <c r="G29" s="109"/>
      <c r="H29" s="109"/>
      <c r="I29" s="109"/>
      <c r="J29" s="109"/>
      <c r="K29" s="110"/>
      <c r="M29" s="8"/>
      <c r="N29" s="39">
        <f t="shared" si="9"/>
        <v>505.95356494213718</v>
      </c>
      <c r="O29" s="39">
        <f t="shared" si="10"/>
        <v>1123.6356488382751</v>
      </c>
      <c r="P29" s="39">
        <f t="shared" si="11"/>
        <v>235.44055487615589</v>
      </c>
      <c r="Q29" s="39">
        <f t="shared" si="12"/>
        <v>67.106612314983863</v>
      </c>
      <c r="R29" s="11"/>
      <c r="S29" s="11"/>
      <c r="T29" s="11"/>
      <c r="U29" s="11"/>
      <c r="V29" s="11"/>
      <c r="X29" s="8"/>
      <c r="Y29" s="39">
        <f t="shared" si="13"/>
        <v>114.85145924186514</v>
      </c>
      <c r="Z29" s="39">
        <f t="shared" si="14"/>
        <v>342.48414576590625</v>
      </c>
      <c r="AA29" s="39">
        <f t="shared" si="15"/>
        <v>175.56802177114946</v>
      </c>
      <c r="AB29" s="39">
        <f t="shared" si="16"/>
        <v>67.106612314983863</v>
      </c>
      <c r="AC29" s="11"/>
      <c r="AD29" s="11"/>
      <c r="AE29" s="11"/>
      <c r="AF29" s="11"/>
      <c r="AG29" s="11"/>
    </row>
    <row r="30" spans="1:33" ht="14.25" customHeight="1" x14ac:dyDescent="0.2">
      <c r="A30" s="108"/>
      <c r="B30" s="108"/>
      <c r="C30" s="108"/>
      <c r="D30" s="108"/>
      <c r="E30" s="108"/>
      <c r="F30" s="108"/>
      <c r="G30" s="109"/>
      <c r="H30" s="109"/>
      <c r="I30" s="109"/>
      <c r="J30" s="109"/>
      <c r="K30" s="110"/>
      <c r="M30" s="8"/>
      <c r="N30" s="8"/>
      <c r="O30" s="8"/>
      <c r="P30" s="8"/>
      <c r="Q30" s="8"/>
      <c r="R30" s="8"/>
      <c r="S30" s="8"/>
      <c r="T30" s="8"/>
      <c r="U30" s="8"/>
      <c r="V30" s="8"/>
      <c r="X30" s="8"/>
      <c r="Y30" s="8"/>
      <c r="Z30" s="8"/>
      <c r="AA30" s="8"/>
      <c r="AB30" s="8"/>
      <c r="AC30" s="8"/>
      <c r="AD30" s="8"/>
      <c r="AE30" s="8"/>
      <c r="AF30" s="8"/>
      <c r="AG30" s="8"/>
    </row>
    <row r="31" spans="1:33" ht="14.25" customHeight="1" x14ac:dyDescent="0.2">
      <c r="A31" s="108"/>
      <c r="B31" s="108"/>
      <c r="C31" s="108"/>
      <c r="D31" s="108"/>
      <c r="E31" s="108"/>
      <c r="F31" s="108"/>
      <c r="G31" s="109"/>
      <c r="H31" s="109"/>
      <c r="I31" s="109"/>
      <c r="J31" s="109"/>
      <c r="K31" s="110"/>
      <c r="M31" s="8"/>
      <c r="N31" s="8"/>
      <c r="O31" s="8"/>
      <c r="P31" s="8"/>
      <c r="Q31" s="8"/>
      <c r="R31" s="8"/>
      <c r="S31" s="8"/>
      <c r="T31" s="8"/>
      <c r="U31" s="8"/>
      <c r="V31" s="8"/>
      <c r="X31" s="8"/>
      <c r="Y31" s="8"/>
      <c r="Z31" s="8"/>
      <c r="AA31" s="8"/>
      <c r="AB31" s="8"/>
      <c r="AC31" s="8"/>
      <c r="AD31" s="8"/>
      <c r="AE31" s="8"/>
      <c r="AF31" s="8"/>
      <c r="AG31" s="8"/>
    </row>
    <row r="32" spans="1:33" ht="14.25" customHeight="1" x14ac:dyDescent="0.2">
      <c r="A32" s="108"/>
      <c r="B32" s="108"/>
      <c r="C32" s="108"/>
      <c r="D32" s="108"/>
      <c r="E32" s="108"/>
      <c r="F32" s="108"/>
      <c r="G32" s="109"/>
      <c r="H32" s="109"/>
      <c r="I32" s="109"/>
      <c r="J32" s="109"/>
      <c r="K32" s="110"/>
      <c r="M32" s="8"/>
      <c r="N32" s="8"/>
      <c r="O32" s="8"/>
      <c r="P32" s="8"/>
      <c r="Q32" s="8"/>
      <c r="R32" s="8"/>
      <c r="S32" s="8"/>
      <c r="T32" s="8"/>
      <c r="U32" s="8"/>
      <c r="V32" s="8"/>
      <c r="X32" s="8"/>
      <c r="Y32" s="8"/>
      <c r="Z32" s="8"/>
      <c r="AA32" s="8"/>
      <c r="AB32" s="8"/>
      <c r="AC32" s="8"/>
      <c r="AD32" s="8"/>
      <c r="AE32" s="8"/>
      <c r="AF32" s="8"/>
      <c r="AG32" s="8"/>
    </row>
    <row r="33" spans="1:35" ht="14.25" customHeight="1" x14ac:dyDescent="0.2">
      <c r="A33" s="109"/>
      <c r="B33" s="109"/>
      <c r="C33" s="109"/>
      <c r="D33" s="109"/>
      <c r="E33" s="109"/>
      <c r="F33" s="109"/>
      <c r="G33" s="109"/>
      <c r="H33" s="109"/>
      <c r="I33" s="109"/>
      <c r="J33" s="109"/>
      <c r="K33" s="110"/>
      <c r="M33" s="8"/>
      <c r="N33" s="8"/>
      <c r="O33" s="8"/>
      <c r="P33" s="8"/>
      <c r="Q33" s="8"/>
      <c r="R33" s="8"/>
      <c r="S33" s="8"/>
      <c r="T33" s="8"/>
      <c r="U33" s="8"/>
      <c r="V33" s="8"/>
      <c r="X33" s="8"/>
      <c r="Y33" s="8"/>
      <c r="Z33" s="8"/>
      <c r="AA33" s="8"/>
      <c r="AB33" s="8"/>
      <c r="AC33" s="8"/>
      <c r="AD33" s="8"/>
      <c r="AE33" s="8"/>
      <c r="AF33" s="8"/>
      <c r="AG33" s="8"/>
    </row>
    <row r="34" spans="1:35" ht="14.25" customHeight="1" x14ac:dyDescent="0.2">
      <c r="A34" s="109"/>
      <c r="B34" s="109"/>
      <c r="C34" s="109"/>
      <c r="D34" s="109"/>
      <c r="E34" s="109"/>
      <c r="F34" s="109"/>
      <c r="G34" s="109"/>
      <c r="H34" s="109"/>
      <c r="I34" s="109"/>
      <c r="J34" s="109"/>
      <c r="K34" s="110"/>
    </row>
    <row r="35" spans="1:35" ht="14.25" customHeight="1" x14ac:dyDescent="0.2">
      <c r="A35" s="108"/>
      <c r="B35" s="108"/>
      <c r="C35" s="108"/>
      <c r="D35" s="108"/>
      <c r="E35" s="108"/>
      <c r="F35" s="108"/>
      <c r="G35" s="108"/>
      <c r="H35" s="108"/>
      <c r="I35" s="108"/>
      <c r="J35" s="108"/>
      <c r="K35" s="110"/>
    </row>
    <row r="36" spans="1:35" ht="14.25" customHeight="1" x14ac:dyDescent="0.2">
      <c r="A36" s="108"/>
      <c r="B36" s="111"/>
      <c r="C36" s="111"/>
      <c r="D36" s="111"/>
      <c r="E36" s="111"/>
      <c r="F36" s="111"/>
      <c r="G36" s="111"/>
      <c r="H36" s="111"/>
      <c r="I36" s="108"/>
      <c r="J36" s="108"/>
      <c r="K36" s="110"/>
    </row>
    <row r="37" spans="1:35" ht="14.25" customHeight="1" x14ac:dyDescent="0.2">
      <c r="A37" s="108"/>
      <c r="B37" s="108"/>
      <c r="C37" s="108"/>
      <c r="D37" s="108"/>
      <c r="E37" s="108"/>
      <c r="F37" s="108"/>
      <c r="G37" s="111"/>
      <c r="H37" s="111"/>
      <c r="I37" s="111"/>
      <c r="J37" s="111"/>
      <c r="K37" s="110"/>
    </row>
    <row r="38" spans="1:35" ht="18.75" x14ac:dyDescent="0.3">
      <c r="A38" s="165" t="s">
        <v>43</v>
      </c>
      <c r="B38" s="165"/>
      <c r="C38" s="165"/>
      <c r="D38" s="165"/>
      <c r="E38" s="165"/>
      <c r="F38" s="165"/>
      <c r="G38" s="165"/>
      <c r="H38" s="165"/>
      <c r="I38" s="165"/>
      <c r="J38" s="165"/>
      <c r="K38" s="166"/>
    </row>
    <row r="39" spans="1:35" x14ac:dyDescent="0.2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</row>
    <row r="40" spans="1:35" x14ac:dyDescent="0.2">
      <c r="A40" s="8"/>
      <c r="B40" s="13" t="s">
        <v>21</v>
      </c>
      <c r="C40" s="13" t="s">
        <v>22</v>
      </c>
      <c r="D40" s="13" t="s">
        <v>23</v>
      </c>
      <c r="E40" s="13" t="s">
        <v>24</v>
      </c>
      <c r="F40" s="11"/>
      <c r="G40" s="11"/>
      <c r="H40" s="11"/>
      <c r="I40" s="41" t="s">
        <v>55</v>
      </c>
      <c r="J40" s="41" t="s">
        <v>56</v>
      </c>
      <c r="K40" s="8"/>
    </row>
    <row r="41" spans="1:35" x14ac:dyDescent="0.2">
      <c r="A41" s="8"/>
      <c r="B41" s="13" t="str">
        <f>+IF($E$6="SI","m3h","GPM")</f>
        <v>m3h</v>
      </c>
      <c r="C41" s="13" t="str">
        <f>+IF($E$6="SI","m","ft")</f>
        <v>m</v>
      </c>
      <c r="D41" s="13" t="str">
        <f>+IF($E$6="SI","kW","HP")</f>
        <v>kW</v>
      </c>
      <c r="E41" s="13" t="s">
        <v>26</v>
      </c>
      <c r="F41" s="11"/>
      <c r="G41" s="11"/>
      <c r="H41" s="11"/>
      <c r="I41" s="42">
        <f>+calc!$E$5</f>
        <v>16.383118752823986</v>
      </c>
      <c r="J41" s="106">
        <f>+I41*51.64</f>
        <v>846.02425239583067</v>
      </c>
      <c r="K41" s="8"/>
    </row>
    <row r="42" spans="1:35" x14ac:dyDescent="0.2">
      <c r="A42" s="8"/>
      <c r="B42" s="39">
        <f>+IF($E$6="SI",Metric_Conversion!B42,Metric_Conversion!B42/0.227)</f>
        <v>9.956565319077848E-8</v>
      </c>
      <c r="C42" s="39">
        <f>+IF($E$6="SI",Metric_Conversion!C42,Metric_Conversion!C42/0.3048)*$I$7</f>
        <v>526.46882106708756</v>
      </c>
      <c r="D42" s="39">
        <f>+IF($E$6="SI",Metric_Conversion!D42,Metric_Conversion!D42/0.7457)*$I$7</f>
        <v>77.64323433756978</v>
      </c>
      <c r="E42" s="39">
        <f>+calc!F13</f>
        <v>2.0221451525286012E-7</v>
      </c>
      <c r="F42" s="11"/>
      <c r="G42" s="11"/>
      <c r="H42" s="11"/>
      <c r="I42" s="8"/>
      <c r="J42" s="8"/>
      <c r="K42" s="8"/>
    </row>
    <row r="43" spans="1:35" x14ac:dyDescent="0.2">
      <c r="A43" s="8"/>
      <c r="B43" s="39">
        <f>+IF($E$6="SI",Metric_Conversion!B43,Metric_Conversion!B43/0.227)</f>
        <v>21.278595317725756</v>
      </c>
      <c r="C43" s="39">
        <f>+IF($E$6="SI",Metric_Conversion!C43,Metric_Conversion!C43/0.3048)*$I$7</f>
        <v>518.73200298636732</v>
      </c>
      <c r="D43" s="39">
        <f>+IF($E$6="SI",Metric_Conversion!D43,Metric_Conversion!D43/0.7457)*$I$7</f>
        <v>96.693056778598901</v>
      </c>
      <c r="E43" s="39">
        <f>+calc!F14</f>
        <v>34.191995619479101</v>
      </c>
      <c r="F43" s="11"/>
      <c r="G43" s="11"/>
      <c r="H43" s="11"/>
      <c r="I43" s="8"/>
      <c r="J43" s="8"/>
      <c r="K43" s="8"/>
    </row>
    <row r="44" spans="1:35" x14ac:dyDescent="0.2">
      <c r="A44" s="8"/>
      <c r="B44" s="39">
        <f>+IF($E$6="SI",Metric_Conversion!B44,Metric_Conversion!B44/0.227)</f>
        <v>39.188494983277593</v>
      </c>
      <c r="C44" s="39">
        <f>+IF($E$6="SI",Metric_Conversion!C44,Metric_Conversion!C44/0.3048)*$I$7</f>
        <v>506.87211149893187</v>
      </c>
      <c r="D44" s="39">
        <f>+IF($E$6="SI",Metric_Conversion!D44,Metric_Conversion!D44/0.7457)*$I$7</f>
        <v>114.94519712903443</v>
      </c>
      <c r="E44" s="39">
        <f>+calc!F15</f>
        <v>51.760670519613754</v>
      </c>
      <c r="F44" s="11"/>
      <c r="G44" s="11"/>
      <c r="H44" s="11"/>
      <c r="I44" s="8"/>
      <c r="J44" s="8"/>
      <c r="K44" s="8"/>
    </row>
    <row r="45" spans="1:35" s="4" customFormat="1" x14ac:dyDescent="0.2">
      <c r="A45" s="9"/>
      <c r="B45" s="39">
        <f>+IF($E$6="SI",Metric_Conversion!B45,Metric_Conversion!B45/0.227)</f>
        <v>57.095882156009374</v>
      </c>
      <c r="C45" s="39">
        <f>+IF($E$6="SI",Metric_Conversion!C45,Metric_Conversion!C45/0.3048)*$I$7</f>
        <v>485.6997951147988</v>
      </c>
      <c r="D45" s="39">
        <f>+IF($E$6="SI",Metric_Conversion!D45,Metric_Conversion!D45/0.7457)*$I$7</f>
        <v>134.81120126582081</v>
      </c>
      <c r="E45" s="39">
        <f>+calc!F16</f>
        <v>61.614151280221144</v>
      </c>
      <c r="F45" s="11"/>
      <c r="G45" s="11"/>
      <c r="H45" s="11"/>
      <c r="I45" s="9"/>
      <c r="J45" s="9"/>
      <c r="K45" s="9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</row>
    <row r="46" spans="1:35" x14ac:dyDescent="0.2">
      <c r="A46" s="8"/>
      <c r="B46" s="39">
        <f>+IF($E$6="SI",Metric_Conversion!B46,Metric_Conversion!B46/0.227)</f>
        <v>83.942818881821225</v>
      </c>
      <c r="C46" s="39">
        <f>+IF($E$6="SI",Metric_Conversion!C46,Metric_Conversion!C46/0.3048)*$I$7</f>
        <v>430.2799953564695</v>
      </c>
      <c r="D46" s="39">
        <f>+IF($E$6="SI",Metric_Conversion!D46,Metric_Conversion!D46/0.7457)*$I$7</f>
        <v>159.27098075065786</v>
      </c>
      <c r="E46" s="39">
        <f>+calc!F17</f>
        <v>67.925335404532035</v>
      </c>
      <c r="F46" s="11"/>
      <c r="G46" s="11"/>
      <c r="H46" s="11"/>
      <c r="I46" s="8"/>
      <c r="J46" s="8"/>
      <c r="K46" s="8"/>
    </row>
    <row r="47" spans="1:35" x14ac:dyDescent="0.2">
      <c r="A47" s="8"/>
      <c r="B47" s="39">
        <f>+IF($E$6="SI",Metric_Conversion!B47,Metric_Conversion!B47/0.227)</f>
        <v>94.230274614869387</v>
      </c>
      <c r="C47" s="39">
        <f>+IF($E$6="SI",Metric_Conversion!C47,Metric_Conversion!C47/0.3048)*$I$7</f>
        <v>405.13008215656851</v>
      </c>
      <c r="D47" s="39">
        <f>+IF($E$6="SI",Metric_Conversion!D47,Metric_Conversion!D47/0.7457)*$I$7</f>
        <v>165.00243873996016</v>
      </c>
      <c r="E47" s="39">
        <f>+calc!F18</f>
        <v>69.299216936226316</v>
      </c>
      <c r="F47" s="11"/>
      <c r="G47" s="11"/>
      <c r="H47" s="8"/>
      <c r="I47" s="8"/>
      <c r="J47" s="8"/>
      <c r="K47" s="8"/>
      <c r="L47" s="6"/>
    </row>
    <row r="48" spans="1:35" x14ac:dyDescent="0.2">
      <c r="A48" s="8"/>
      <c r="B48" s="39">
        <f>+IF($E$6="SI",Metric_Conversion!B48,Metric_Conversion!B48/0.227)</f>
        <v>103.06624203821656</v>
      </c>
      <c r="C48" s="39">
        <f>+IF($E$6="SI",Metric_Conversion!C48,Metric_Conversion!C48/0.3048)*$I$7</f>
        <v>381.15825586958431</v>
      </c>
      <c r="D48" s="39">
        <f>+IF($E$6="SI",Metric_Conversion!D48,Metric_Conversion!D48/0.7457)*$I$7</f>
        <v>170.55219996468304</v>
      </c>
      <c r="E48" s="39">
        <f>+calc!F19</f>
        <v>68.991913127656773</v>
      </c>
      <c r="F48" s="11"/>
      <c r="G48" s="11"/>
      <c r="H48" s="8"/>
      <c r="I48" s="8"/>
      <c r="J48" s="8"/>
      <c r="K48" s="8"/>
    </row>
    <row r="49" spans="1:11" x14ac:dyDescent="0.2">
      <c r="A49" s="8"/>
      <c r="B49" s="39">
        <f>+IF($E$6="SI",Metric_Conversion!B49,Metric_Conversion!B49/0.227)</f>
        <v>114.85145924186514</v>
      </c>
      <c r="C49" s="39">
        <f>+IF($E$6="SI",Metric_Conversion!C49,Metric_Conversion!C49/0.3048)*$I$7</f>
        <v>342.48414576590625</v>
      </c>
      <c r="D49" s="39">
        <f>+IF($E$6="SI",Metric_Conversion!D49,Metric_Conversion!D49/0.7457)*$I$7</f>
        <v>175.56802177114946</v>
      </c>
      <c r="E49" s="39">
        <f>+calc!F20</f>
        <v>67.106612314983863</v>
      </c>
      <c r="F49" s="11"/>
      <c r="G49" s="11"/>
      <c r="H49" s="8"/>
      <c r="I49" s="8"/>
      <c r="J49" s="8"/>
      <c r="K49" s="8"/>
    </row>
    <row r="50" spans="1:11" ht="12" customHeight="1" x14ac:dyDescent="0.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</row>
    <row r="51" spans="1:11" ht="13.5" customHeight="1" x14ac:dyDescent="0.2">
      <c r="B51" s="4"/>
      <c r="C51" s="4"/>
      <c r="D51" s="4"/>
      <c r="E51" s="4"/>
      <c r="F51" s="4"/>
      <c r="G51" s="4"/>
      <c r="H51" s="4"/>
      <c r="I51" s="4"/>
      <c r="J51" s="4"/>
      <c r="K51" s="4"/>
    </row>
  </sheetData>
  <sortState xmlns:xlrd2="http://schemas.microsoft.com/office/spreadsheetml/2017/richdata2" ref="B10:E17">
    <sortCondition ref="B10:B17"/>
  </sortState>
  <mergeCells count="4">
    <mergeCell ref="F1:K3"/>
    <mergeCell ref="A1:E3"/>
    <mergeCell ref="A38:K38"/>
    <mergeCell ref="A19:K19"/>
  </mergeCells>
  <phoneticPr fontId="12" type="noConversion"/>
  <pageMargins left="0.7" right="0.7" top="0.75" bottom="0.75" header="0.3" footer="0.3"/>
  <pageSetup scale="69" orientation="portrait" r:id="rId1"/>
  <headerFooter alignWithMargins="0">
    <oddFooter>&amp;L&amp;F&amp;R&amp;D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2B8D3C-CC52-4653-9A83-BC14AC1202F9}">
          <x14:formula1>
            <xm:f>setup!$B$5:$B$6</xm:f>
          </x14:formula1>
          <xm:sqref>E6 Q6 AB6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92C8-E364-4B96-A0CF-42317912DF10}">
  <sheetPr codeName="Sheet3">
    <pageSetUpPr fitToPage="1"/>
  </sheetPr>
  <dimension ref="A1:S50"/>
  <sheetViews>
    <sheetView zoomScale="110" zoomScaleNormal="110" workbookViewId="0">
      <selection activeCell="D11" sqref="D11"/>
    </sheetView>
  </sheetViews>
  <sheetFormatPr defaultColWidth="9.140625" defaultRowHeight="12.75" x14ac:dyDescent="0.2"/>
  <cols>
    <col min="1" max="1" width="7.5703125" style="3" customWidth="1"/>
    <col min="2" max="2" width="7.7109375" style="3" customWidth="1"/>
    <col min="3" max="3" width="6.28515625" style="3" customWidth="1"/>
    <col min="4" max="4" width="10.7109375" style="3" customWidth="1"/>
    <col min="5" max="5" width="9.85546875" style="3" customWidth="1"/>
    <col min="6" max="6" width="9.5703125" style="3" customWidth="1"/>
    <col min="7" max="7" width="12.5703125" style="3" customWidth="1"/>
    <col min="8" max="8" width="19" style="3" customWidth="1"/>
    <col min="9" max="10" width="9.42578125" style="3" customWidth="1"/>
    <col min="11" max="11" width="5.85546875" style="3" customWidth="1"/>
    <col min="12" max="12" width="10.28515625" style="3" customWidth="1"/>
    <col min="13" max="17" width="0" style="3" hidden="1" customWidth="1"/>
    <col min="18" max="16384" width="9.140625" style="3"/>
  </cols>
  <sheetData>
    <row r="1" spans="1:11" ht="18.75" customHeight="1" x14ac:dyDescent="0.2">
      <c r="A1" s="161"/>
      <c r="B1" s="161"/>
      <c r="C1" s="161"/>
      <c r="D1" s="161"/>
      <c r="E1" s="162"/>
      <c r="F1" s="152"/>
      <c r="G1" s="153"/>
      <c r="H1" s="153"/>
      <c r="I1" s="153"/>
      <c r="J1" s="153"/>
      <c r="K1" s="154"/>
    </row>
    <row r="2" spans="1:11" ht="18.75" customHeight="1" x14ac:dyDescent="0.2">
      <c r="A2" s="161"/>
      <c r="B2" s="161"/>
      <c r="C2" s="161"/>
      <c r="D2" s="161"/>
      <c r="E2" s="162"/>
      <c r="F2" s="155"/>
      <c r="G2" s="156"/>
      <c r="H2" s="156"/>
      <c r="I2" s="156"/>
      <c r="J2" s="156"/>
      <c r="K2" s="157"/>
    </row>
    <row r="3" spans="1:11" ht="18.75" customHeight="1" x14ac:dyDescent="0.2">
      <c r="A3" s="161"/>
      <c r="B3" s="161"/>
      <c r="C3" s="161"/>
      <c r="D3" s="161"/>
      <c r="E3" s="162"/>
      <c r="F3" s="158"/>
      <c r="G3" s="159"/>
      <c r="H3" s="159"/>
      <c r="I3" s="159"/>
      <c r="J3" s="159"/>
      <c r="K3" s="160"/>
    </row>
    <row r="4" spans="1:11" ht="18.75" x14ac:dyDescent="0.3">
      <c r="A4" s="47" t="s">
        <v>11</v>
      </c>
      <c r="B4" s="47"/>
      <c r="C4" s="46"/>
      <c r="D4" s="46"/>
      <c r="E4" s="46"/>
      <c r="F4" s="46"/>
      <c r="G4" s="46"/>
      <c r="H4" s="46"/>
      <c r="I4" s="46"/>
      <c r="J4" s="46"/>
      <c r="K4" s="46"/>
    </row>
    <row r="5" spans="1:11" x14ac:dyDescent="0.2">
      <c r="A5" s="8"/>
      <c r="B5" s="8"/>
      <c r="C5" s="8"/>
      <c r="D5" s="8"/>
      <c r="E5" s="8"/>
      <c r="F5" s="8"/>
      <c r="G5" s="11"/>
      <c r="H5" s="11"/>
      <c r="I5" s="11"/>
      <c r="J5" s="11"/>
      <c r="K5" s="11"/>
    </row>
    <row r="6" spans="1:11" x14ac:dyDescent="0.2">
      <c r="A6" s="8"/>
      <c r="B6" s="13" t="s">
        <v>14</v>
      </c>
      <c r="C6" s="14"/>
      <c r="D6" s="15"/>
      <c r="E6" s="37" t="s">
        <v>15</v>
      </c>
      <c r="F6" s="11"/>
      <c r="G6" s="11"/>
      <c r="H6" s="13" t="s">
        <v>16</v>
      </c>
      <c r="I6" s="36">
        <f>+Input_Output!I6</f>
        <v>0</v>
      </c>
      <c r="J6" s="48"/>
      <c r="K6" s="12"/>
    </row>
    <row r="7" spans="1:11" x14ac:dyDescent="0.2">
      <c r="A7" s="8"/>
      <c r="B7" s="13" t="s">
        <v>18</v>
      </c>
      <c r="C7" s="14"/>
      <c r="D7" s="15"/>
      <c r="E7" s="38">
        <f>+Input_Output!E7</f>
        <v>2100</v>
      </c>
      <c r="F7" s="11" t="s">
        <v>19</v>
      </c>
      <c r="G7" s="11"/>
      <c r="H7" s="13" t="s">
        <v>20</v>
      </c>
      <c r="I7" s="36">
        <f>+Input_Output!I7</f>
        <v>7</v>
      </c>
      <c r="J7" s="48"/>
      <c r="K7" s="12"/>
    </row>
    <row r="8" spans="1:11" x14ac:dyDescent="0.2">
      <c r="A8" s="8"/>
      <c r="B8" s="43" t="s">
        <v>21</v>
      </c>
      <c r="C8" s="43" t="s">
        <v>57</v>
      </c>
      <c r="D8" s="43" t="s">
        <v>58</v>
      </c>
      <c r="E8" s="43" t="s">
        <v>24</v>
      </c>
      <c r="F8" s="11"/>
      <c r="G8" s="11"/>
      <c r="H8" s="13" t="s">
        <v>25</v>
      </c>
      <c r="I8" s="36">
        <f>+Input_Output!I8</f>
        <v>1</v>
      </c>
      <c r="J8" s="48"/>
      <c r="K8" s="12"/>
    </row>
    <row r="9" spans="1:11" x14ac:dyDescent="0.2">
      <c r="A9" s="8"/>
      <c r="B9" s="43" t="str">
        <f>+IF($E$6="SI","m3h","GPM")</f>
        <v>m3h</v>
      </c>
      <c r="C9" s="43" t="str">
        <f>+IF($E$6="SI","m","ft")</f>
        <v>m</v>
      </c>
      <c r="D9" s="43" t="str">
        <f>+IF($E$6="SI","kW","HP")</f>
        <v>kW</v>
      </c>
      <c r="E9" s="43" t="s">
        <v>26</v>
      </c>
      <c r="F9" s="11"/>
      <c r="G9" s="11"/>
      <c r="H9" s="11"/>
      <c r="I9" s="11"/>
      <c r="J9" s="11"/>
      <c r="K9" s="12"/>
    </row>
    <row r="10" spans="1:11" x14ac:dyDescent="0.2">
      <c r="A10" s="8"/>
      <c r="B10" s="39">
        <f>+IF(Input_Output!$E$6="US",Input_Output!B10*0.227,Input_Output!B10)</f>
        <v>9.956565319077848E-8</v>
      </c>
      <c r="C10" s="39">
        <f>+IF(Input_Output!$E$6="US",Input_Output!C10*0.3048,Input_Output!C10)/$I$7</f>
        <v>75.209831581012509</v>
      </c>
      <c r="D10" s="39">
        <f>+IF(Input_Output!$E$6="US",Input_Output!D10*0.7457,Input_Output!D10)/$I$7</f>
        <v>11.091890619652826</v>
      </c>
      <c r="E10" s="39">
        <f>+Input_Output!E10</f>
        <v>2.0228359272846058E-7</v>
      </c>
      <c r="F10" s="11"/>
      <c r="G10" s="11"/>
      <c r="H10" s="11"/>
      <c r="I10" s="11" t="s">
        <v>33</v>
      </c>
      <c r="J10" s="11"/>
      <c r="K10" s="12"/>
    </row>
    <row r="11" spans="1:11" x14ac:dyDescent="0.2">
      <c r="A11" s="8"/>
      <c r="B11" s="39">
        <f>+IF(Input_Output!$E$6="US",Input_Output!B11*0.227,Input_Output!B11)</f>
        <v>21.278595317725756</v>
      </c>
      <c r="C11" s="39">
        <f>+IF(Input_Output!$E$6="US",Input_Output!C11*0.3048,Input_Output!C11)/$I$7</f>
        <v>74.058672433012177</v>
      </c>
      <c r="D11" s="39">
        <f>+IF(Input_Output!$E$6="US",Input_Output!D11*0.7457,Input_Output!D11)/$I$7</f>
        <v>13.813293825514128</v>
      </c>
      <c r="E11" s="39">
        <f>+Input_Output!E11</f>
        <v>34.182490455329095</v>
      </c>
      <c r="F11" s="11"/>
      <c r="G11" s="11"/>
      <c r="H11" s="11"/>
      <c r="I11" s="13" t="s">
        <v>34</v>
      </c>
      <c r="J11" s="43" t="s">
        <v>35</v>
      </c>
      <c r="K11" s="12"/>
    </row>
    <row r="12" spans="1:11" x14ac:dyDescent="0.2">
      <c r="A12" s="8"/>
      <c r="B12" s="39">
        <f>+IF(Input_Output!$E$6="US",Input_Output!B12*0.227,Input_Output!B12)</f>
        <v>39.188494983277593</v>
      </c>
      <c r="C12" s="39">
        <f>+IF(Input_Output!$E$6="US",Input_Output!C12*0.3048,Input_Output!C12)/$I$7</f>
        <v>72.2546196155578</v>
      </c>
      <c r="D12" s="39">
        <f>+IF(Input_Output!$E$6="US",Input_Output!D12*0.7457,Input_Output!D12)/$I$7</f>
        <v>16.420742447004919</v>
      </c>
      <c r="E12" s="39">
        <f>+Input_Output!E12</f>
        <v>51.667028849438999</v>
      </c>
      <c r="F12" s="11"/>
      <c r="G12" s="11"/>
      <c r="H12" s="11"/>
      <c r="I12" s="13" t="str">
        <f>+IF($E$6="SI","micron","microinch")</f>
        <v>micron</v>
      </c>
      <c r="J12" s="43" t="str">
        <f>+IF($E$6="SI","micron","microinch")</f>
        <v>micron</v>
      </c>
      <c r="K12" s="12"/>
    </row>
    <row r="13" spans="1:11" x14ac:dyDescent="0.2">
      <c r="A13" s="8"/>
      <c r="B13" s="39">
        <f>+IF(Input_Output!$E$6="US",Input_Output!B13*0.227,Input_Output!B13)</f>
        <v>57.095882156009374</v>
      </c>
      <c r="C13" s="39">
        <f>+IF(Input_Output!$E$6="US",Input_Output!C13*0.3048,Input_Output!C13)/$I$7</f>
        <v>69.055215897232912</v>
      </c>
      <c r="D13" s="39">
        <f>+IF(Input_Output!$E$6="US",Input_Output!D13*0.7457,Input_Output!D13)/$I$7</f>
        <v>19.258743037974401</v>
      </c>
      <c r="E13" s="39">
        <f>+Input_Output!E13</f>
        <v>61.341643759780197</v>
      </c>
      <c r="F13" s="11"/>
      <c r="G13" s="11"/>
      <c r="H13" s="44" t="s">
        <v>38</v>
      </c>
      <c r="I13" s="39">
        <f>+IF(Input_Output!$E$6="US",Input_Output!I13*25.4/1000,Input_Output!I13)</f>
        <v>12.5</v>
      </c>
      <c r="J13" s="39">
        <f>+IF(Input_Output!$E$6="US",Input_Output!J13*25.4/1000,Input_Output!J13)</f>
        <v>22</v>
      </c>
      <c r="K13" s="12"/>
    </row>
    <row r="14" spans="1:11" x14ac:dyDescent="0.2">
      <c r="A14" s="8"/>
      <c r="B14" s="39">
        <f>+IF(Input_Output!$E$6="US",Input_Output!B14*0.227,Input_Output!B14)</f>
        <v>83.942818881821225</v>
      </c>
      <c r="C14" s="39">
        <f>+IF(Input_Output!$E$6="US",Input_Output!C14*0.3048,Input_Output!C14)/$I$7</f>
        <v>60.754258008028899</v>
      </c>
      <c r="D14" s="39">
        <f>+IF(Input_Output!$E$6="US",Input_Output!D14*0.7457,Input_Output!D14)/$I$7</f>
        <v>22.75299725009398</v>
      </c>
      <c r="E14" s="39">
        <f>+Input_Output!E14</f>
        <v>67.158923989183677</v>
      </c>
      <c r="F14" s="11"/>
      <c r="G14" s="11"/>
      <c r="H14" s="11"/>
      <c r="I14" s="45"/>
      <c r="J14" s="12"/>
      <c r="K14" s="12"/>
    </row>
    <row r="15" spans="1:11" x14ac:dyDescent="0.2">
      <c r="A15" s="8"/>
      <c r="B15" s="39">
        <f>+IF(Input_Output!$E$6="US",Input_Output!B15*0.227,Input_Output!B15)</f>
        <v>94.230274614869387</v>
      </c>
      <c r="C15" s="39">
        <f>+IF(Input_Output!$E$6="US",Input_Output!C15*0.3048,Input_Output!C15)/$I$7</f>
        <v>56.975602270592674</v>
      </c>
      <c r="D15" s="39">
        <f>+IF(Input_Output!$E$6="US",Input_Output!D15*0.7457,Input_Output!D15)/$I$7</f>
        <v>23.571776962851452</v>
      </c>
      <c r="E15" s="39">
        <f>+Input_Output!E15</f>
        <v>68.244731843555613</v>
      </c>
      <c r="F15" s="11"/>
      <c r="G15" s="11"/>
      <c r="H15" s="44" t="s">
        <v>39</v>
      </c>
      <c r="I15" s="39">
        <f>+IF(Input_Output!$E$6="US",Input_Output!I15*25.4/1000,Input_Output!I15)</f>
        <v>6.3</v>
      </c>
      <c r="J15" s="39">
        <f>+IF(Input_Output!$E$6="US",Input_Output!J15*25.4/1000,Input_Output!J15)</f>
        <v>12.5</v>
      </c>
      <c r="K15" s="12"/>
    </row>
    <row r="16" spans="1:11" x14ac:dyDescent="0.2">
      <c r="A16" s="8"/>
      <c r="B16" s="39">
        <f>+IF(Input_Output!$E$6="US",Input_Output!B16*0.227,Input_Output!B16)</f>
        <v>103.06624203821656</v>
      </c>
      <c r="C16" s="39">
        <f>+IF(Input_Output!$E$6="US",Input_Output!C16*0.3048,Input_Output!C16)/$I$7</f>
        <v>53.374331943432253</v>
      </c>
      <c r="D16" s="39">
        <f>+IF(Input_Output!$E$6="US",Input_Output!D16*0.7457,Input_Output!D16)/$I$7</f>
        <v>24.36459999495472</v>
      </c>
      <c r="E16" s="39">
        <f>+Input_Output!E16</f>
        <v>67.650604406982538</v>
      </c>
      <c r="F16" s="11"/>
      <c r="G16" s="11"/>
      <c r="H16" s="11"/>
      <c r="I16" s="11"/>
      <c r="J16" s="11"/>
      <c r="K16" s="12"/>
    </row>
    <row r="17" spans="1:19" x14ac:dyDescent="0.2">
      <c r="A17" s="8"/>
      <c r="B17" s="39">
        <f>+IF(Input_Output!$E$6="US",Input_Output!B17*0.227,Input_Output!B17)</f>
        <v>114.85145924186514</v>
      </c>
      <c r="C17" s="39">
        <f>+IF(Input_Output!$E$6="US",Input_Output!C17*0.3048,Input_Output!C17)/$I$7</f>
        <v>47.589112772488384</v>
      </c>
      <c r="D17" s="39">
        <f>+IF(Input_Output!$E$6="US",Input_Output!D17*0.7457,Input_Output!D17)/$I$7</f>
        <v>25.081145967307066</v>
      </c>
      <c r="E17" s="39">
        <f>+Input_Output!E17</f>
        <v>65.294834164197937</v>
      </c>
      <c r="F17" s="11"/>
      <c r="G17" s="11"/>
      <c r="H17" s="11"/>
      <c r="I17" s="11"/>
      <c r="J17" s="11"/>
      <c r="K17" s="12"/>
    </row>
    <row r="18" spans="1:19" x14ac:dyDescent="0.2">
      <c r="A18" s="8"/>
      <c r="B18" s="8"/>
      <c r="C18" s="8"/>
      <c r="D18" s="8"/>
      <c r="E18" s="8"/>
      <c r="F18" s="8"/>
      <c r="G18" s="8"/>
      <c r="H18" s="11"/>
      <c r="I18" s="11"/>
      <c r="J18" s="11"/>
      <c r="K18" s="12"/>
    </row>
    <row r="19" spans="1:19" ht="18.75" x14ac:dyDescent="0.3">
      <c r="A19" s="165" t="s">
        <v>43</v>
      </c>
      <c r="B19" s="165"/>
      <c r="C19" s="165"/>
      <c r="D19" s="165"/>
      <c r="E19" s="165"/>
      <c r="F19" s="165"/>
      <c r="G19" s="165"/>
      <c r="H19" s="165"/>
      <c r="I19" s="165"/>
      <c r="J19" s="165"/>
      <c r="K19" s="166"/>
    </row>
    <row r="20" spans="1:19" x14ac:dyDescent="0.2">
      <c r="A20" s="8"/>
      <c r="B20" s="8"/>
      <c r="C20" s="8"/>
      <c r="D20" s="8"/>
      <c r="E20" s="8"/>
      <c r="F20" s="8"/>
      <c r="G20" s="8"/>
      <c r="H20" s="9"/>
      <c r="I20" s="9"/>
      <c r="J20" s="9"/>
      <c r="K20" s="10"/>
    </row>
    <row r="21" spans="1:19" x14ac:dyDescent="0.2">
      <c r="A21" s="8"/>
      <c r="B21" s="8"/>
      <c r="C21" s="8"/>
      <c r="D21" s="8"/>
      <c r="E21" s="8"/>
      <c r="F21" s="8"/>
      <c r="G21" s="8"/>
      <c r="H21" s="9"/>
      <c r="I21" s="9"/>
      <c r="J21" s="9"/>
      <c r="K21" s="10"/>
    </row>
    <row r="22" spans="1:19" ht="22.5" customHeight="1" x14ac:dyDescent="0.2">
      <c r="A22" s="8"/>
      <c r="B22" s="8"/>
      <c r="C22" s="8"/>
      <c r="D22" s="8"/>
      <c r="E22" s="8"/>
      <c r="F22" s="8"/>
      <c r="G22" s="9"/>
      <c r="H22" s="9"/>
      <c r="I22" s="9"/>
      <c r="J22" s="9"/>
      <c r="K22" s="10"/>
    </row>
    <row r="23" spans="1:19" ht="22.5" customHeight="1" x14ac:dyDescent="0.2">
      <c r="A23" s="8"/>
      <c r="B23" s="8"/>
      <c r="C23" s="8"/>
      <c r="D23" s="8"/>
      <c r="E23" s="8"/>
      <c r="F23" s="8"/>
      <c r="G23" s="9"/>
      <c r="H23" s="9"/>
      <c r="I23" s="9"/>
      <c r="J23" s="9"/>
      <c r="K23" s="10"/>
    </row>
    <row r="24" spans="1:19" ht="22.5" customHeight="1" x14ac:dyDescent="0.2">
      <c r="A24" s="8"/>
      <c r="B24" s="8"/>
      <c r="C24" s="8"/>
      <c r="D24" s="8"/>
      <c r="E24" s="8"/>
      <c r="F24" s="8"/>
      <c r="G24" s="9"/>
      <c r="H24" s="9"/>
      <c r="I24" s="9"/>
      <c r="J24" s="9"/>
      <c r="K24" s="10"/>
    </row>
    <row r="25" spans="1:19" ht="22.5" customHeight="1" x14ac:dyDescent="0.2">
      <c r="A25" s="8"/>
      <c r="B25" s="8"/>
      <c r="C25" s="8"/>
      <c r="D25" s="8"/>
      <c r="E25" s="8"/>
      <c r="F25" s="8"/>
      <c r="G25" s="9"/>
      <c r="H25" s="9"/>
      <c r="I25" s="9"/>
      <c r="J25" s="9"/>
      <c r="K25" s="10"/>
    </row>
    <row r="26" spans="1:19" ht="22.5" customHeight="1" x14ac:dyDescent="0.2">
      <c r="A26" s="8"/>
      <c r="B26" s="8"/>
      <c r="C26" s="8"/>
      <c r="D26" s="8"/>
      <c r="E26" s="8"/>
      <c r="F26" s="8"/>
      <c r="G26" s="9"/>
      <c r="H26" s="9"/>
      <c r="I26" s="9"/>
      <c r="J26" s="9"/>
      <c r="K26" s="10"/>
    </row>
    <row r="27" spans="1:19" ht="22.5" customHeight="1" x14ac:dyDescent="0.2">
      <c r="A27" s="8"/>
      <c r="B27" s="8"/>
      <c r="C27" s="8"/>
      <c r="D27" s="8"/>
      <c r="E27" s="8"/>
      <c r="F27" s="8"/>
      <c r="G27" s="9"/>
      <c r="H27" s="9"/>
      <c r="I27" s="9"/>
      <c r="J27" s="9"/>
      <c r="K27" s="10"/>
    </row>
    <row r="28" spans="1:19" ht="22.5" customHeight="1" x14ac:dyDescent="0.2">
      <c r="A28" s="8"/>
      <c r="B28" s="8"/>
      <c r="C28" s="8"/>
      <c r="D28" s="8"/>
      <c r="E28" s="8"/>
      <c r="F28" s="8"/>
      <c r="G28" s="9"/>
      <c r="H28" s="9"/>
      <c r="I28" s="9"/>
      <c r="J28" s="9"/>
      <c r="K28" s="10"/>
      <c r="S28" s="17"/>
    </row>
    <row r="29" spans="1:19" ht="22.5" customHeight="1" x14ac:dyDescent="0.2">
      <c r="A29" s="8"/>
      <c r="B29" s="8"/>
      <c r="C29" s="8"/>
      <c r="D29" s="8"/>
      <c r="E29" s="8"/>
      <c r="F29" s="8"/>
      <c r="G29" s="9"/>
      <c r="H29" s="9"/>
      <c r="I29" s="9"/>
      <c r="J29" s="9"/>
      <c r="K29" s="10"/>
    </row>
    <row r="30" spans="1:19" ht="22.5" customHeight="1" x14ac:dyDescent="0.2">
      <c r="A30" s="8"/>
      <c r="B30" s="8"/>
      <c r="C30" s="8"/>
      <c r="D30" s="8"/>
      <c r="E30" s="8"/>
      <c r="F30" s="8"/>
      <c r="G30" s="9"/>
      <c r="H30" s="9"/>
      <c r="I30" s="9"/>
      <c r="J30" s="9"/>
      <c r="K30" s="10"/>
    </row>
    <row r="31" spans="1:19" ht="22.5" customHeight="1" x14ac:dyDescent="0.2">
      <c r="A31" s="8"/>
      <c r="B31" s="8"/>
      <c r="C31" s="8"/>
      <c r="D31" s="8"/>
      <c r="E31" s="8"/>
      <c r="F31" s="8"/>
      <c r="G31" s="9"/>
      <c r="H31" s="9"/>
      <c r="I31" s="9"/>
      <c r="J31" s="9"/>
      <c r="K31" s="10"/>
    </row>
    <row r="32" spans="1:19" ht="22.5" customHeight="1" x14ac:dyDescent="0.2">
      <c r="A32" s="8"/>
      <c r="B32" s="8"/>
      <c r="C32" s="8"/>
      <c r="D32" s="8"/>
      <c r="E32" s="8"/>
      <c r="F32" s="8"/>
      <c r="G32" s="9"/>
      <c r="H32" s="9"/>
      <c r="I32" s="9"/>
      <c r="J32" s="9"/>
      <c r="K32" s="10"/>
    </row>
    <row r="33" spans="1:17" x14ac:dyDescent="0.2">
      <c r="A33" s="9"/>
      <c r="B33" s="9"/>
      <c r="C33" s="9"/>
      <c r="D33" s="9"/>
      <c r="E33" s="9"/>
      <c r="F33" s="9"/>
      <c r="G33" s="9"/>
      <c r="H33" s="9"/>
      <c r="I33" s="9"/>
      <c r="J33" s="9"/>
      <c r="K33" s="10"/>
    </row>
    <row r="34" spans="1:17" x14ac:dyDescent="0.2">
      <c r="A34" s="9"/>
      <c r="B34" s="9"/>
      <c r="C34" s="9"/>
      <c r="D34" s="9"/>
      <c r="E34" s="9"/>
      <c r="F34" s="9"/>
      <c r="G34" s="9"/>
      <c r="H34" s="9"/>
      <c r="I34" s="9"/>
      <c r="J34" s="9"/>
      <c r="K34" s="10"/>
    </row>
    <row r="35" spans="1:17" x14ac:dyDescent="0.2">
      <c r="A35" s="8"/>
      <c r="B35" s="8"/>
      <c r="C35" s="8"/>
      <c r="D35" s="8"/>
      <c r="E35" s="8"/>
      <c r="F35" s="8"/>
      <c r="G35" s="8"/>
      <c r="H35" s="8"/>
      <c r="I35" s="8"/>
      <c r="J35" s="8"/>
      <c r="K35" s="10"/>
      <c r="L35" s="16"/>
    </row>
    <row r="36" spans="1:17" x14ac:dyDescent="0.2">
      <c r="A36" s="8"/>
      <c r="B36" s="11"/>
      <c r="C36" s="11"/>
      <c r="D36" s="11"/>
      <c r="E36" s="11"/>
      <c r="F36" s="11"/>
      <c r="G36" s="11"/>
      <c r="H36" s="11"/>
      <c r="I36" s="8"/>
      <c r="J36" s="8"/>
      <c r="K36" s="10"/>
    </row>
    <row r="37" spans="1:17" ht="13.5" thickBot="1" x14ac:dyDescent="0.25">
      <c r="A37" s="8"/>
      <c r="B37" s="8"/>
      <c r="C37" s="8"/>
      <c r="D37" s="8"/>
      <c r="E37" s="8"/>
      <c r="F37" s="8"/>
      <c r="G37" s="11"/>
      <c r="H37" s="11"/>
      <c r="I37" s="11"/>
      <c r="J37" s="11"/>
      <c r="K37" s="10"/>
    </row>
    <row r="38" spans="1:17" ht="19.5" thickBot="1" x14ac:dyDescent="0.35">
      <c r="A38" s="165" t="s">
        <v>43</v>
      </c>
      <c r="B38" s="165"/>
      <c r="C38" s="165"/>
      <c r="D38" s="165"/>
      <c r="E38" s="165"/>
      <c r="F38" s="165"/>
      <c r="G38" s="165"/>
      <c r="H38" s="165"/>
      <c r="I38" s="165"/>
      <c r="J38" s="165"/>
      <c r="K38" s="166"/>
      <c r="M38" s="5"/>
      <c r="P38" s="5"/>
    </row>
    <row r="39" spans="1:17" x14ac:dyDescent="0.2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</row>
    <row r="40" spans="1:17" x14ac:dyDescent="0.2">
      <c r="A40" s="8"/>
      <c r="B40" s="13" t="s">
        <v>21</v>
      </c>
      <c r="C40" s="13" t="s">
        <v>57</v>
      </c>
      <c r="D40" s="13" t="s">
        <v>58</v>
      </c>
      <c r="E40" s="13" t="s">
        <v>24</v>
      </c>
      <c r="F40" s="11"/>
      <c r="G40" s="11"/>
      <c r="H40" s="11"/>
      <c r="I40" s="11"/>
      <c r="J40" s="11"/>
      <c r="K40" s="11"/>
    </row>
    <row r="41" spans="1:17" x14ac:dyDescent="0.2">
      <c r="A41" s="8"/>
      <c r="B41" s="13" t="str">
        <f>+IF($E$6="SI","m3h","GPM")</f>
        <v>m3h</v>
      </c>
      <c r="C41" s="13" t="str">
        <f>+IF($E$6="SI","m","ft")</f>
        <v>m</v>
      </c>
      <c r="D41" s="13" t="str">
        <f>+IF($E$6="SI","kW","HP")</f>
        <v>kW</v>
      </c>
      <c r="E41" s="13" t="s">
        <v>26</v>
      </c>
      <c r="F41" s="11"/>
      <c r="G41" s="11"/>
      <c r="H41" s="11"/>
      <c r="I41" s="11"/>
      <c r="J41" s="11"/>
      <c r="K41" s="11"/>
    </row>
    <row r="42" spans="1:17" x14ac:dyDescent="0.2">
      <c r="A42" s="8"/>
      <c r="B42" s="39">
        <f>+calc!C13</f>
        <v>9.956565319077848E-8</v>
      </c>
      <c r="C42" s="39">
        <f>+calc!D13</f>
        <v>75.209831581012509</v>
      </c>
      <c r="D42" s="39">
        <f>+calc!E13</f>
        <v>11.091890619652826</v>
      </c>
      <c r="E42" s="39">
        <f>+calc!F13</f>
        <v>2.0221451525286012E-7</v>
      </c>
      <c r="F42" s="11"/>
      <c r="G42" s="11"/>
      <c r="H42" s="11"/>
      <c r="I42" s="8"/>
      <c r="J42" s="8"/>
      <c r="K42" s="8"/>
    </row>
    <row r="43" spans="1:17" x14ac:dyDescent="0.2">
      <c r="A43" s="8"/>
      <c r="B43" s="39">
        <f>+calc!C14</f>
        <v>21.278595317725756</v>
      </c>
      <c r="C43" s="39">
        <f>+calc!D14</f>
        <v>74.104571855195331</v>
      </c>
      <c r="D43" s="39">
        <f>+calc!E14</f>
        <v>13.813293825514128</v>
      </c>
      <c r="E43" s="39">
        <f>+calc!F14</f>
        <v>34.191995619479101</v>
      </c>
      <c r="F43" s="11"/>
      <c r="G43" s="11"/>
      <c r="H43" s="11"/>
      <c r="I43" s="8"/>
      <c r="J43" s="8"/>
      <c r="K43" s="8"/>
    </row>
    <row r="44" spans="1:17" x14ac:dyDescent="0.2">
      <c r="A44" s="8"/>
      <c r="B44" s="39">
        <f>+calc!C15</f>
        <v>39.188494983277593</v>
      </c>
      <c r="C44" s="39">
        <f>+calc!D15</f>
        <v>72.410301642704553</v>
      </c>
      <c r="D44" s="39">
        <f>+calc!E15</f>
        <v>16.420742447004919</v>
      </c>
      <c r="E44" s="39">
        <f>+calc!F15</f>
        <v>51.760670519613754</v>
      </c>
      <c r="F44" s="11"/>
      <c r="G44" s="11"/>
      <c r="H44" s="11"/>
      <c r="I44" s="8"/>
      <c r="J44" s="8"/>
      <c r="K44" s="8"/>
    </row>
    <row r="45" spans="1:17" x14ac:dyDescent="0.2">
      <c r="A45" s="9"/>
      <c r="B45" s="39">
        <f>+calc!C16</f>
        <v>57.095882156009374</v>
      </c>
      <c r="C45" s="39">
        <f>+calc!D16</f>
        <v>69.385685016399833</v>
      </c>
      <c r="D45" s="39">
        <f>+calc!E16</f>
        <v>19.258743037974401</v>
      </c>
      <c r="E45" s="39">
        <f>+calc!F16</f>
        <v>61.614151280221144</v>
      </c>
      <c r="F45" s="11"/>
      <c r="G45" s="11"/>
      <c r="H45" s="11"/>
      <c r="I45" s="9"/>
      <c r="J45" s="9"/>
      <c r="K45" s="9"/>
      <c r="M45" s="1"/>
      <c r="N45" s="6"/>
      <c r="P45" s="1"/>
      <c r="Q45" s="6"/>
    </row>
    <row r="46" spans="1:17" x14ac:dyDescent="0.2">
      <c r="A46" s="8"/>
      <c r="B46" s="39">
        <f>+calc!C17</f>
        <v>83.942818881821225</v>
      </c>
      <c r="C46" s="39">
        <f>+calc!D17</f>
        <v>61.468570765209932</v>
      </c>
      <c r="D46" s="39">
        <f>+calc!E17</f>
        <v>22.75299725009398</v>
      </c>
      <c r="E46" s="39">
        <f>+calc!F17</f>
        <v>67.925335404532035</v>
      </c>
      <c r="F46" s="11"/>
      <c r="G46" s="11"/>
      <c r="H46" s="11"/>
      <c r="I46" s="8"/>
      <c r="J46" s="8"/>
      <c r="K46" s="8"/>
      <c r="M46" s="2"/>
    </row>
    <row r="47" spans="1:17" x14ac:dyDescent="0.2">
      <c r="A47" s="8"/>
      <c r="B47" s="39">
        <f>+calc!C18</f>
        <v>94.230274614869387</v>
      </c>
      <c r="C47" s="39">
        <f>+calc!D18</f>
        <v>57.875726022366933</v>
      </c>
      <c r="D47" s="39">
        <f>+calc!E18</f>
        <v>23.571776962851452</v>
      </c>
      <c r="E47" s="39">
        <f>+calc!F18</f>
        <v>69.299216936226316</v>
      </c>
      <c r="F47" s="11"/>
      <c r="G47" s="11"/>
      <c r="H47" s="8"/>
      <c r="I47" s="8"/>
      <c r="J47" s="8"/>
      <c r="K47" s="8"/>
    </row>
    <row r="48" spans="1:17" ht="41.25" customHeight="1" x14ac:dyDescent="0.2">
      <c r="A48" s="8"/>
      <c r="B48" s="39">
        <f>+calc!C19</f>
        <v>103.06624203821656</v>
      </c>
      <c r="C48" s="39">
        <f>+calc!D19</f>
        <v>54.451179409940615</v>
      </c>
      <c r="D48" s="39">
        <f>+calc!E19</f>
        <v>24.36459999495472</v>
      </c>
      <c r="E48" s="39">
        <f>+calc!F19</f>
        <v>68.991913127656773</v>
      </c>
      <c r="F48" s="11"/>
      <c r="G48" s="11"/>
      <c r="H48" s="8"/>
      <c r="I48" s="8"/>
      <c r="J48" s="8"/>
      <c r="K48" s="8"/>
    </row>
    <row r="49" spans="1:11" ht="13.5" customHeight="1" x14ac:dyDescent="0.2">
      <c r="A49" s="8"/>
      <c r="B49" s="39">
        <f>+calc!C20</f>
        <v>114.85145924186514</v>
      </c>
      <c r="C49" s="39">
        <f>+calc!D20</f>
        <v>48.926306537986605</v>
      </c>
      <c r="D49" s="39">
        <f>+calc!E20</f>
        <v>25.081145967307066</v>
      </c>
      <c r="E49" s="39">
        <f>+calc!F20</f>
        <v>67.106612314983863</v>
      </c>
      <c r="F49" s="11"/>
      <c r="G49" s="11"/>
      <c r="H49" s="8"/>
      <c r="I49" s="8"/>
      <c r="J49" s="8"/>
      <c r="K49" s="8"/>
    </row>
    <row r="50" spans="1:11" x14ac:dyDescent="0.2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</row>
  </sheetData>
  <mergeCells count="4">
    <mergeCell ref="A1:E3"/>
    <mergeCell ref="F1:K3"/>
    <mergeCell ref="A19:K19"/>
    <mergeCell ref="A38:K38"/>
  </mergeCells>
  <pageMargins left="0.7" right="0.7" top="0.75" bottom="0.75" header="0.3" footer="0.3"/>
  <pageSetup scale="78" orientation="portrait" r:id="rId1"/>
  <headerFooter alignWithMargins="0">
    <oddFooter>&amp;L&amp;F&amp;R&amp;D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C9EF1B-0A5A-47BD-ABCC-DF4F66DD8941}">
          <x14:formula1>
            <xm:f>setup!$B$5:$B$6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2021B-B90A-42B9-9B33-CB1ABA66B038}">
  <sheetPr codeName="Foglio6"/>
  <dimension ref="B1:CI47"/>
  <sheetViews>
    <sheetView zoomScale="85" zoomScaleNormal="85" workbookViewId="0">
      <selection activeCell="F20" sqref="F20"/>
    </sheetView>
  </sheetViews>
  <sheetFormatPr defaultRowHeight="12.75" x14ac:dyDescent="0.2"/>
  <cols>
    <col min="1" max="3" width="9.140625" style="3"/>
    <col min="4" max="4" width="10" style="3" bestFit="1" customWidth="1"/>
    <col min="5" max="8" width="9.140625" style="3"/>
    <col min="9" max="9" width="10" style="3" bestFit="1" customWidth="1"/>
    <col min="10" max="22" width="9.140625" style="3"/>
    <col min="23" max="23" width="14.42578125" style="3" bestFit="1" customWidth="1"/>
    <col min="24" max="68" width="9.140625" style="3"/>
    <col min="69" max="69" width="10.28515625" style="3" bestFit="1" customWidth="1"/>
    <col min="70" max="70" width="10.28515625" style="3" customWidth="1"/>
    <col min="71" max="75" width="10.140625" style="3" bestFit="1" customWidth="1"/>
    <col min="76" max="76" width="13.140625" style="3" bestFit="1" customWidth="1"/>
    <col min="77" max="78" width="9.140625" style="3"/>
    <col min="79" max="80" width="10.140625" style="3" bestFit="1" customWidth="1"/>
    <col min="81" max="81" width="13.140625" style="3" bestFit="1" customWidth="1"/>
    <col min="82" max="83" width="9.140625" style="3"/>
    <col min="84" max="85" width="10.140625" style="3" bestFit="1" customWidth="1"/>
    <col min="86" max="86" width="13.140625" style="3" bestFit="1" customWidth="1"/>
    <col min="87" max="16384" width="9.140625" style="3"/>
  </cols>
  <sheetData>
    <row r="1" spans="2:87" ht="13.5" thickBot="1" x14ac:dyDescent="0.25"/>
    <row r="2" spans="2:87" ht="13.5" thickBot="1" x14ac:dyDescent="0.25"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50"/>
      <c r="O2" s="51" t="s">
        <v>59</v>
      </c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3"/>
    </row>
    <row r="3" spans="2:87" x14ac:dyDescent="0.2">
      <c r="B3" s="54" t="s">
        <v>60</v>
      </c>
      <c r="C3" s="55"/>
      <c r="D3" s="55"/>
      <c r="E3" s="55"/>
      <c r="F3" s="55"/>
      <c r="G3" s="56"/>
      <c r="H3" s="57" t="s">
        <v>61</v>
      </c>
      <c r="I3" s="94"/>
      <c r="J3" s="49"/>
      <c r="K3" s="49"/>
      <c r="L3" s="49"/>
      <c r="M3" s="49"/>
      <c r="N3" s="50"/>
      <c r="O3" s="58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9"/>
    </row>
    <row r="4" spans="2:87" x14ac:dyDescent="0.2">
      <c r="B4" s="60"/>
      <c r="C4" s="49"/>
      <c r="D4" s="49"/>
      <c r="E4" s="49" t="s">
        <v>55</v>
      </c>
      <c r="F4" s="49" t="s">
        <v>62</v>
      </c>
      <c r="G4" s="61" t="s">
        <v>63</v>
      </c>
      <c r="H4" s="61" t="s">
        <v>22</v>
      </c>
      <c r="I4" s="3" t="s">
        <v>64</v>
      </c>
      <c r="J4" s="63" t="s">
        <v>65</v>
      </c>
      <c r="K4" s="63" t="s">
        <v>66</v>
      </c>
      <c r="L4" s="63" t="s">
        <v>67</v>
      </c>
      <c r="M4" s="63"/>
      <c r="N4" s="50"/>
      <c r="O4" s="64"/>
      <c r="P4"/>
      <c r="Q4"/>
      <c r="R4"/>
      <c r="S4"/>
      <c r="T4"/>
      <c r="U4"/>
      <c r="V4" s="7" t="s">
        <v>68</v>
      </c>
      <c r="W4" t="s">
        <v>69</v>
      </c>
      <c r="X4" t="s">
        <v>70</v>
      </c>
      <c r="Y4" t="s">
        <v>71</v>
      </c>
      <c r="Z4" t="s">
        <v>72</v>
      </c>
      <c r="AA4" t="s">
        <v>73</v>
      </c>
      <c r="AB4" t="s">
        <v>74</v>
      </c>
      <c r="AC4" t="s">
        <v>75</v>
      </c>
      <c r="AD4" s="59"/>
    </row>
    <row r="5" spans="2:87" x14ac:dyDescent="0.2">
      <c r="C5" s="49"/>
      <c r="D5" s="49"/>
      <c r="E5" s="66">
        <f>+F5/60*(G5/Input_Output!I8)^0.5/(H5)^0.75</f>
        <v>16.383118752823986</v>
      </c>
      <c r="F5" s="102">
        <f>+Metric_Conversion!E7</f>
        <v>2100</v>
      </c>
      <c r="G5" s="62">
        <f>+_xlfn.XLOOKUP($I$5,Metric_Conversion!$E$10:$E$17,Metric_Conversion!B10:B17)</f>
        <v>94.230274614869387</v>
      </c>
      <c r="H5" s="62">
        <f>+_xlfn.XLOOKUP($I$5,Metric_Conversion!$E$10:$E$17,Metric_Conversion!C10:C17)</f>
        <v>56.975602270592674</v>
      </c>
      <c r="I5" s="101">
        <f>+MAX(Metric_Conversion!E10:E17)</f>
        <v>68.244731843555613</v>
      </c>
      <c r="J5" s="66">
        <f>+_xlfn.XLOOKUP($I$5,Metric_Conversion!$E$10:$E$17,Metric_Conversion!D10:D17)</f>
        <v>23.571776962851452</v>
      </c>
      <c r="K5" s="66">
        <f>1000*9.81/3600*G5*H5/I5/10</f>
        <v>21.437629281290931</v>
      </c>
      <c r="L5" s="107">
        <f>+J5/K5</f>
        <v>1.099551478083588</v>
      </c>
      <c r="M5" s="66"/>
      <c r="N5" s="50"/>
      <c r="O5" s="64"/>
      <c r="P5"/>
      <c r="Q5"/>
      <c r="R5"/>
      <c r="S5"/>
      <c r="T5"/>
      <c r="U5"/>
      <c r="V5" t="s">
        <v>76</v>
      </c>
      <c r="W5" t="s">
        <v>77</v>
      </c>
      <c r="X5" t="s">
        <v>78</v>
      </c>
      <c r="Y5" t="s">
        <v>79</v>
      </c>
      <c r="Z5" t="s">
        <v>80</v>
      </c>
      <c r="AA5" t="s">
        <v>81</v>
      </c>
      <c r="AB5" t="s">
        <v>82</v>
      </c>
      <c r="AC5" t="s">
        <v>83</v>
      </c>
      <c r="AD5" s="59"/>
    </row>
    <row r="6" spans="2:87" ht="15.75" x14ac:dyDescent="0.2">
      <c r="J6" s="68"/>
      <c r="K6" s="68"/>
      <c r="L6" s="68"/>
      <c r="M6" s="68"/>
      <c r="N6" s="50"/>
      <c r="O6" s="64"/>
      <c r="P6"/>
      <c r="Q6"/>
      <c r="R6"/>
      <c r="S6"/>
      <c r="T6"/>
      <c r="U6"/>
      <c r="V6" t="s">
        <v>84</v>
      </c>
      <c r="W6" s="69">
        <v>-3.5510101892873801E-5</v>
      </c>
      <c r="X6" s="69">
        <v>8.8390704420050508E-6</v>
      </c>
      <c r="Y6" s="69">
        <v>-7.0512066717701701E-7</v>
      </c>
      <c r="Z6" s="69">
        <v>2.49653395156557E-8</v>
      </c>
      <c r="AA6" s="69">
        <v>-4.3597831732067699E-10</v>
      </c>
      <c r="AB6" s="69">
        <v>3.6877897826269003E-12</v>
      </c>
      <c r="AC6" s="69">
        <v>-1.2083110023400001E-14</v>
      </c>
      <c r="AD6" s="59"/>
    </row>
    <row r="7" spans="2:87" ht="15.75" x14ac:dyDescent="0.2">
      <c r="B7" s="65" t="s">
        <v>85</v>
      </c>
      <c r="I7" s="95"/>
      <c r="J7" s="74"/>
      <c r="K7" s="74"/>
      <c r="L7" s="74"/>
      <c r="M7" s="74"/>
      <c r="N7" s="50"/>
      <c r="O7" s="76"/>
      <c r="P7" s="49"/>
      <c r="Q7" s="49"/>
      <c r="R7" s="49"/>
      <c r="S7" s="49"/>
      <c r="T7" s="49"/>
      <c r="U7" s="49"/>
      <c r="V7" t="s">
        <v>86</v>
      </c>
      <c r="W7" s="69">
        <v>2.124888143268E-3</v>
      </c>
      <c r="X7" s="69">
        <v>-3.1137224392000201E-4</v>
      </c>
      <c r="Y7" s="69">
        <v>2.89350399387762E-5</v>
      </c>
      <c r="Z7" s="69">
        <v>-1.1551132512986101E-6</v>
      </c>
      <c r="AA7" s="69">
        <v>2.1702406115676601E-8</v>
      </c>
      <c r="AB7" s="69">
        <v>-1.92323215176062E-10</v>
      </c>
      <c r="AC7" s="69">
        <v>6.5031464378550004E-13</v>
      </c>
      <c r="AD7" s="59"/>
    </row>
    <row r="8" spans="2:87" ht="15.75" x14ac:dyDescent="0.2">
      <c r="B8" s="67" t="s">
        <v>87</v>
      </c>
      <c r="C8" s="49"/>
      <c r="D8" s="49"/>
      <c r="E8" s="68"/>
      <c r="F8" s="49"/>
      <c r="G8" s="61" t="s">
        <v>88</v>
      </c>
      <c r="H8" s="62">
        <f>+H5*AD21</f>
        <v>0.90012375177425663</v>
      </c>
      <c r="I8" s="75"/>
      <c r="J8" s="63"/>
      <c r="K8" s="63"/>
      <c r="L8" s="63"/>
      <c r="M8" s="63"/>
      <c r="N8" s="50"/>
      <c r="O8" s="76"/>
      <c r="P8" s="49"/>
      <c r="Q8" s="49"/>
      <c r="R8" s="49"/>
      <c r="S8" s="49"/>
      <c r="T8" s="49"/>
      <c r="U8" s="49"/>
      <c r="V8" t="s">
        <v>89</v>
      </c>
      <c r="W8" s="69">
        <v>0.156231558298528</v>
      </c>
      <c r="X8" s="69">
        <v>-6.0030177323700702E-3</v>
      </c>
      <c r="Y8" s="69">
        <v>6.0877699188241496E-4</v>
      </c>
      <c r="Z8" s="69">
        <v>-2.9768204994838199E-5</v>
      </c>
      <c r="AA8" s="69">
        <v>6.2479032670846301E-7</v>
      </c>
      <c r="AB8" s="69">
        <v>-5.9034428725112899E-9</v>
      </c>
      <c r="AC8" s="69">
        <v>2.07711150960152E-11</v>
      </c>
      <c r="AD8" s="59"/>
    </row>
    <row r="9" spans="2:87" ht="13.5" thickBot="1" x14ac:dyDescent="0.25">
      <c r="B9" s="70" t="s">
        <v>90</v>
      </c>
      <c r="C9" s="71"/>
      <c r="D9" s="71"/>
      <c r="E9" s="71"/>
      <c r="F9" s="71"/>
      <c r="G9" s="72" t="s">
        <v>91</v>
      </c>
      <c r="H9" s="73">
        <f>+H8/G5^2</f>
        <v>1.013727686951992E-4</v>
      </c>
      <c r="I9" s="78"/>
      <c r="J9" s="49"/>
      <c r="K9" s="49"/>
      <c r="L9" s="49"/>
      <c r="M9" s="49"/>
      <c r="N9" s="50"/>
      <c r="O9" s="64"/>
      <c r="P9"/>
      <c r="Q9"/>
      <c r="R9"/>
      <c r="S9" s="167"/>
      <c r="T9" s="167"/>
      <c r="U9" s="167"/>
      <c r="V9" s="167"/>
      <c r="W9" s="80"/>
      <c r="X9"/>
      <c r="Y9"/>
      <c r="Z9"/>
      <c r="AA9"/>
      <c r="AB9"/>
      <c r="AC9"/>
      <c r="AD9" s="59"/>
    </row>
    <row r="10" spans="2:87" x14ac:dyDescent="0.2">
      <c r="B10" s="60"/>
      <c r="C10" s="49"/>
      <c r="D10" s="49"/>
      <c r="E10" s="49"/>
      <c r="F10" s="49"/>
      <c r="G10" s="49"/>
      <c r="H10" s="49"/>
      <c r="I10" s="79"/>
      <c r="J10" s="49"/>
      <c r="K10" s="49"/>
      <c r="L10" s="49"/>
      <c r="M10" s="49"/>
      <c r="N10" s="50"/>
      <c r="O10" s="64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 s="59"/>
    </row>
    <row r="11" spans="2:87" x14ac:dyDescent="0.2">
      <c r="B11" s="60"/>
      <c r="C11" s="49"/>
      <c r="D11" s="49"/>
      <c r="E11" s="49"/>
      <c r="F11" s="49"/>
      <c r="G11" s="49"/>
      <c r="H11" s="49"/>
      <c r="I11" s="79"/>
      <c r="J11" s="49"/>
      <c r="K11" s="49"/>
      <c r="L11" s="49"/>
      <c r="M11" s="49"/>
      <c r="N11" s="50"/>
      <c r="O11" s="76"/>
      <c r="P11" s="49"/>
      <c r="Q11" s="49"/>
      <c r="R11" s="49"/>
      <c r="S11" s="49"/>
      <c r="T11" s="49"/>
      <c r="U11" s="49"/>
      <c r="V11" t="s">
        <v>92</v>
      </c>
      <c r="W11" t="s">
        <v>69</v>
      </c>
      <c r="X11" t="s">
        <v>70</v>
      </c>
      <c r="Y11" t="s">
        <v>71</v>
      </c>
      <c r="Z11" t="s">
        <v>72</v>
      </c>
      <c r="AA11" t="s">
        <v>73</v>
      </c>
      <c r="AB11" t="s">
        <v>74</v>
      </c>
      <c r="AC11" t="s">
        <v>75</v>
      </c>
      <c r="AD11" s="59"/>
    </row>
    <row r="12" spans="2:87" x14ac:dyDescent="0.2">
      <c r="B12" s="81"/>
      <c r="C12" s="63" t="s">
        <v>93</v>
      </c>
      <c r="D12" s="63" t="s">
        <v>94</v>
      </c>
      <c r="E12" s="82" t="s">
        <v>95</v>
      </c>
      <c r="F12" s="63" t="s">
        <v>96</v>
      </c>
      <c r="G12" s="96"/>
      <c r="H12" s="96"/>
      <c r="I12" s="79"/>
      <c r="J12" s="49"/>
      <c r="K12" s="49"/>
      <c r="L12" s="49"/>
      <c r="M12" s="49"/>
      <c r="N12" s="49"/>
      <c r="O12" s="76"/>
      <c r="P12" s="49"/>
      <c r="Q12" s="49"/>
      <c r="R12" s="49"/>
      <c r="S12" s="49"/>
      <c r="T12" s="49"/>
      <c r="U12" s="49"/>
      <c r="V12"/>
      <c r="W12" t="s">
        <v>77</v>
      </c>
      <c r="X12" t="s">
        <v>78</v>
      </c>
      <c r="Y12" t="s">
        <v>79</v>
      </c>
      <c r="Z12" t="s">
        <v>80</v>
      </c>
      <c r="AA12" t="s">
        <v>81</v>
      </c>
      <c r="AB12" t="s">
        <v>82</v>
      </c>
      <c r="AC12" t="s">
        <v>83</v>
      </c>
      <c r="AD12" s="83"/>
    </row>
    <row r="13" spans="2:87" x14ac:dyDescent="0.2">
      <c r="B13" s="60"/>
      <c r="C13" s="97">
        <f>+Metric_Conversion!B10</f>
        <v>9.956565319077848E-8</v>
      </c>
      <c r="D13" s="97">
        <f>+Metric_Conversion!C10+$H$9*Metric_Conversion!B10^2</f>
        <v>75.209831581012509</v>
      </c>
      <c r="E13" s="98">
        <f>+Metric_Conversion!D10</f>
        <v>11.091890619652826</v>
      </c>
      <c r="F13" s="97">
        <f>+($L$5*1000*9.80665/3600)*C13*D13/E13/10</f>
        <v>2.0221451525286012E-7</v>
      </c>
      <c r="G13" s="96"/>
      <c r="H13" s="96"/>
      <c r="I13" s="79"/>
      <c r="J13" s="49"/>
      <c r="K13" s="49"/>
      <c r="L13" s="49"/>
      <c r="M13" s="49"/>
      <c r="N13" s="49"/>
      <c r="O13" s="64"/>
      <c r="P13"/>
      <c r="Q13"/>
      <c r="R13"/>
      <c r="S13"/>
      <c r="T13"/>
      <c r="U13"/>
      <c r="V13" t="s">
        <v>86</v>
      </c>
      <c r="W13">
        <v>3.3485889454060299E-4</v>
      </c>
      <c r="X13">
        <v>7.7369270566647399E-6</v>
      </c>
      <c r="Y13">
        <v>-1.1369217094605701E-6</v>
      </c>
      <c r="Z13">
        <v>5.5992562799662097E-8</v>
      </c>
      <c r="AA13">
        <v>-1.09924162217963E-9</v>
      </c>
      <c r="AB13">
        <v>9.8684210375839999E-12</v>
      </c>
      <c r="AC13">
        <v>-3.3371472110599997E-14</v>
      </c>
      <c r="AD13" s="83"/>
    </row>
    <row r="14" spans="2:87" x14ac:dyDescent="0.2">
      <c r="B14" s="60"/>
      <c r="C14" s="97">
        <f>+Metric_Conversion!B11</f>
        <v>21.278595317725756</v>
      </c>
      <c r="D14" s="97">
        <f>+Metric_Conversion!C11+$H$9*Metric_Conversion!B11^2</f>
        <v>74.104571855195331</v>
      </c>
      <c r="E14" s="98">
        <f>+Metric_Conversion!D11</f>
        <v>13.813293825514128</v>
      </c>
      <c r="F14" s="97">
        <f t="shared" ref="F14:F20" si="0">+($L$5*1000*9.80665/3600)*C14*D14/E14/10</f>
        <v>34.191995619479101</v>
      </c>
      <c r="G14" s="96"/>
      <c r="H14" s="96"/>
      <c r="I14" s="79"/>
      <c r="J14" s="49"/>
      <c r="K14" s="49"/>
      <c r="L14" s="49"/>
      <c r="M14" s="49"/>
      <c r="N14" s="49"/>
      <c r="O14" s="64"/>
      <c r="P14"/>
      <c r="Q14"/>
      <c r="R14"/>
      <c r="S14"/>
      <c r="T14"/>
      <c r="U14"/>
      <c r="V14" t="s">
        <v>89</v>
      </c>
      <c r="W14">
        <v>1.54237227987241E-2</v>
      </c>
      <c r="X14">
        <v>2.4906852736814901E-4</v>
      </c>
      <c r="Y14">
        <v>1.3206352097848401E-5</v>
      </c>
      <c r="Z14">
        <v>-5.3057948543241801E-7</v>
      </c>
      <c r="AA14">
        <v>1.19145384396595E-8</v>
      </c>
      <c r="AB14">
        <v>-1.25632590862681E-10</v>
      </c>
      <c r="AC14">
        <v>4.8801805172470001E-13</v>
      </c>
      <c r="AD14" s="83"/>
    </row>
    <row r="15" spans="2:87" x14ac:dyDescent="0.2">
      <c r="B15" s="60"/>
      <c r="C15" s="97">
        <f>+Metric_Conversion!B12</f>
        <v>39.188494983277593</v>
      </c>
      <c r="D15" s="97">
        <f>+Metric_Conversion!C12+$H$9*Metric_Conversion!B12^2</f>
        <v>72.410301642704553</v>
      </c>
      <c r="E15" s="98">
        <f>+Metric_Conversion!D12</f>
        <v>16.420742447004919</v>
      </c>
      <c r="F15" s="97">
        <f t="shared" si="0"/>
        <v>51.760670519613754</v>
      </c>
      <c r="G15" s="96"/>
      <c r="H15" s="96"/>
      <c r="I15" s="79"/>
      <c r="J15" s="49"/>
      <c r="K15" s="49"/>
      <c r="L15" s="49"/>
      <c r="M15" s="49"/>
      <c r="N15" s="49"/>
      <c r="O15" s="76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83"/>
    </row>
    <row r="16" spans="2:87" x14ac:dyDescent="0.2">
      <c r="B16" s="60"/>
      <c r="C16" s="97">
        <f>+Metric_Conversion!B13</f>
        <v>57.095882156009374</v>
      </c>
      <c r="D16" s="97">
        <f>+Metric_Conversion!C13+$H$9*Metric_Conversion!B13^2</f>
        <v>69.385685016399833</v>
      </c>
      <c r="E16" s="98">
        <f>+Metric_Conversion!D13</f>
        <v>19.258743037974401</v>
      </c>
      <c r="F16" s="97">
        <f t="shared" si="0"/>
        <v>61.614151280221144</v>
      </c>
      <c r="G16" s="96"/>
      <c r="H16" s="96"/>
      <c r="I16" s="79"/>
      <c r="J16" s="49"/>
      <c r="K16" s="49"/>
      <c r="L16" s="49"/>
      <c r="M16" s="49"/>
      <c r="N16" s="49"/>
      <c r="O16" s="76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83"/>
      <c r="BY16" s="40"/>
      <c r="CD16" s="40"/>
      <c r="CI16" s="40"/>
    </row>
    <row r="17" spans="2:87" x14ac:dyDescent="0.2">
      <c r="B17" s="60"/>
      <c r="C17" s="97">
        <f>+Metric_Conversion!B14</f>
        <v>83.942818881821225</v>
      </c>
      <c r="D17" s="97">
        <f>+Metric_Conversion!C14+$H$9*Metric_Conversion!B14^2</f>
        <v>61.468570765209932</v>
      </c>
      <c r="E17" s="98">
        <f>+Metric_Conversion!D14</f>
        <v>22.75299725009398</v>
      </c>
      <c r="F17" s="97">
        <f t="shared" si="0"/>
        <v>67.925335404532035</v>
      </c>
      <c r="G17" s="96"/>
      <c r="H17" s="96"/>
      <c r="I17" s="79"/>
      <c r="J17" s="49"/>
      <c r="K17" s="49"/>
      <c r="L17" s="49"/>
      <c r="M17" s="49"/>
      <c r="N17" s="49"/>
      <c r="O17" s="84"/>
      <c r="P17" s="168" t="s">
        <v>97</v>
      </c>
      <c r="Q17" s="168"/>
      <c r="R17" s="168"/>
      <c r="S17" s="168"/>
      <c r="T17" s="168"/>
      <c r="U17" s="168"/>
      <c r="V17" s="168"/>
      <c r="W17" s="168" t="s">
        <v>98</v>
      </c>
      <c r="X17" s="168"/>
      <c r="Y17" s="168"/>
      <c r="Z17" s="168"/>
      <c r="AA17" s="168"/>
      <c r="AB17" s="168"/>
      <c r="AC17" s="168"/>
      <c r="AD17" s="85"/>
    </row>
    <row r="18" spans="2:87" x14ac:dyDescent="0.2">
      <c r="B18" s="60"/>
      <c r="C18" s="97">
        <f>+Metric_Conversion!B15</f>
        <v>94.230274614869387</v>
      </c>
      <c r="D18" s="97">
        <f>+Metric_Conversion!C15+$H$9*Metric_Conversion!B15^2</f>
        <v>57.875726022366933</v>
      </c>
      <c r="E18" s="98">
        <f>+Metric_Conversion!D15</f>
        <v>23.571776962851452</v>
      </c>
      <c r="F18" s="97">
        <f t="shared" si="0"/>
        <v>69.299216936226316</v>
      </c>
      <c r="G18" s="96"/>
      <c r="H18" s="96"/>
      <c r="I18" s="79"/>
      <c r="J18" s="49"/>
      <c r="K18" s="49"/>
      <c r="L18" s="49"/>
      <c r="M18" s="49"/>
      <c r="N18" s="49"/>
      <c r="O18" s="76"/>
      <c r="P18" t="s">
        <v>99</v>
      </c>
      <c r="Q18" t="s">
        <v>100</v>
      </c>
      <c r="R18" t="s">
        <v>101</v>
      </c>
      <c r="S18" t="s">
        <v>102</v>
      </c>
      <c r="T18" t="s">
        <v>84</v>
      </c>
      <c r="U18" t="s">
        <v>86</v>
      </c>
      <c r="V18" t="s">
        <v>89</v>
      </c>
      <c r="W18" t="s">
        <v>99</v>
      </c>
      <c r="X18" t="s">
        <v>100</v>
      </c>
      <c r="Y18" t="s">
        <v>103</v>
      </c>
      <c r="Z18" t="s">
        <v>104</v>
      </c>
      <c r="AA18" t="s">
        <v>84</v>
      </c>
      <c r="AB18" t="s">
        <v>86</v>
      </c>
      <c r="AC18" t="s">
        <v>89</v>
      </c>
      <c r="AD18" s="83" t="s">
        <v>105</v>
      </c>
      <c r="BY18" s="16"/>
      <c r="CD18" s="16"/>
      <c r="CI18" s="16"/>
    </row>
    <row r="19" spans="2:87" x14ac:dyDescent="0.2">
      <c r="B19" s="60"/>
      <c r="C19" s="97">
        <f>+Metric_Conversion!B16</f>
        <v>103.06624203821656</v>
      </c>
      <c r="D19" s="97">
        <f>+Metric_Conversion!C16+$H$9*Metric_Conversion!B16^2</f>
        <v>54.451179409940615</v>
      </c>
      <c r="E19" s="98">
        <f>+Metric_Conversion!D16</f>
        <v>24.36459999495472</v>
      </c>
      <c r="F19" s="97">
        <f t="shared" si="0"/>
        <v>68.991913127656773</v>
      </c>
      <c r="G19" s="96"/>
      <c r="H19" s="96"/>
      <c r="I19" s="79"/>
      <c r="J19" s="49"/>
      <c r="K19" s="49"/>
      <c r="L19" s="49"/>
      <c r="M19" s="49"/>
      <c r="N19" s="49"/>
      <c r="O19" s="76" t="s">
        <v>106</v>
      </c>
      <c r="P19" s="103">
        <f>+E5</f>
        <v>16.383118752823986</v>
      </c>
      <c r="Q19" s="86">
        <f>+Metric_Conversion!J13</f>
        <v>22</v>
      </c>
      <c r="R19">
        <f>$T$19*Q19^2+$U$19*Q19+$V$19</f>
        <v>0.15336583458164524</v>
      </c>
      <c r="S19" s="87">
        <f>1-R19</f>
        <v>0.84663416541835479</v>
      </c>
      <c r="T19" s="88">
        <f>$W$6+P19*$X$6+$Y$6*P19^2+$Z$6*P19^3+$AA$6*P19^4+$AB$6*P19^5+$AC$6*P19^6</f>
        <v>2.5335869594487987E-6</v>
      </c>
      <c r="U19" s="88">
        <f>$W$7+P19*$X$7+$Y$7*P19^2+$Z$7*P19^3+$AA$7*P19^4+$AB$7*P19^5+$AC$7*P19^6</f>
        <v>1.0596401926492632E-3</v>
      </c>
      <c r="V19" s="88">
        <f>$W$8+P19*$X$8+$Y$8*P19^2+$Z$8*P19^3+$AA$8*P19^4+$AB$8*P19^5+$AC$8*P19^6</f>
        <v>0.12882749425498824</v>
      </c>
      <c r="W19" s="86">
        <f>P19</f>
        <v>16.383118752823986</v>
      </c>
      <c r="X19" s="86">
        <f>+Metric_Conversion!I13</f>
        <v>12.5</v>
      </c>
      <c r="Y19" s="88">
        <f>$AB$19*X19+$AC$19</f>
        <v>2.5616346957335435E-2</v>
      </c>
      <c r="Z19" s="87">
        <f>1-Y19</f>
        <v>0.97438365304266461</v>
      </c>
      <c r="AA19" s="88"/>
      <c r="AB19" s="88">
        <f>$W$13+W19*$X$13+$Y$13*W19^2+$Z$13*W19^3+$AA$13*W19^4+$AB$13*W19^5+$AC$13*W19^6</f>
        <v>3.3448526868256245E-4</v>
      </c>
      <c r="AC19" s="88">
        <f>$W$14+W19*$X$14+$Y$14*W19^2+$Z$14*W19^3+$AA$14*W19^4+$AB$14*W19^5+$AC$14*W19^6</f>
        <v>2.1435281098803403E-2</v>
      </c>
      <c r="AD19" s="89">
        <f>1-(Y19+R19)</f>
        <v>0.82101781846101929</v>
      </c>
    </row>
    <row r="20" spans="2:87" x14ac:dyDescent="0.2">
      <c r="B20" s="60"/>
      <c r="C20" s="97">
        <f>+Metric_Conversion!B17</f>
        <v>114.85145924186514</v>
      </c>
      <c r="D20" s="97">
        <f>+Metric_Conversion!C17+$H$9*Metric_Conversion!B17^2</f>
        <v>48.926306537986605</v>
      </c>
      <c r="E20" s="98">
        <f>+Metric_Conversion!D17</f>
        <v>25.081145967307066</v>
      </c>
      <c r="F20" s="97">
        <f t="shared" si="0"/>
        <v>67.106612314983863</v>
      </c>
      <c r="G20" s="96"/>
      <c r="H20" s="96"/>
      <c r="I20" s="79"/>
      <c r="J20" s="49"/>
      <c r="K20" s="49"/>
      <c r="L20" s="49"/>
      <c r="M20" s="49"/>
      <c r="N20" s="49"/>
      <c r="O20" s="64" t="s">
        <v>107</v>
      </c>
      <c r="P20" s="103">
        <f>+P19</f>
        <v>16.383118752823986</v>
      </c>
      <c r="Q20" s="86">
        <f>+Metric_Conversion!J15</f>
        <v>12.5</v>
      </c>
      <c r="R20">
        <f>$T$19*Q20^2+$U$19*Q20+$V$19</f>
        <v>0.14246886962551791</v>
      </c>
      <c r="S20" s="87">
        <f>1-R20</f>
        <v>0.85753113037448214</v>
      </c>
      <c r="T20" s="88">
        <f>$W$6+P20*$X$6+$Y$6*P20^2+$Z$6*P20^3+$AA$6*P20^4+$AB$6*P20^5+$AC$6*P20^6</f>
        <v>2.5335869594487987E-6</v>
      </c>
      <c r="U20" s="88">
        <f>$W$7+P20*$X$7+$Y$7*P20^2+$Z$7*P20^3+$AA$7*P20^4+$AB$7*P20^5+$AC$7*P20^6</f>
        <v>1.0596401926492632E-3</v>
      </c>
      <c r="V20" s="88">
        <f>$W$8+P20*$X$8+$Y$8*P20^2+$Z$8*P20^3+$AA$8*P20^4+$AB$8*P20^5+$AC$8*P20^6</f>
        <v>0.12882749425498824</v>
      </c>
      <c r="W20" s="86">
        <f>P20</f>
        <v>16.383118752823986</v>
      </c>
      <c r="X20" s="86">
        <f>+Metric_Conversion!I15</f>
        <v>6.3</v>
      </c>
      <c r="Y20" s="88">
        <f>$AB$19*X20+$AC$19</f>
        <v>2.3542538291503545E-2</v>
      </c>
      <c r="Z20" s="87">
        <f>1-Y20</f>
        <v>0.97645746170849645</v>
      </c>
      <c r="AA20" s="88"/>
      <c r="AB20" s="88">
        <f>$W$13+W20*$X$13+$Y$13*W20^2+$Z$13*W20^3+$AA$13*W20^4+$AB$13*W20^5+$AC$13*W20^6</f>
        <v>3.3448526868256245E-4</v>
      </c>
      <c r="AC20" s="88">
        <f>$W$14+W20*$X$14+$Y$14*W20^2+$Z$14*W20^3+$AA$14*W20^4+$AB$14*W20^5+$AC$14*W20^6</f>
        <v>2.1435281098803403E-2</v>
      </c>
      <c r="AD20" s="89">
        <f>1-(Y20+R20)</f>
        <v>0.8339885920829786</v>
      </c>
    </row>
    <row r="21" spans="2:87" ht="16.5" thickBot="1" x14ac:dyDescent="0.25">
      <c r="B21" s="77"/>
      <c r="C21" s="99"/>
      <c r="D21" s="99"/>
      <c r="E21" s="99"/>
      <c r="F21" s="99"/>
      <c r="G21" s="96"/>
      <c r="H21" s="96"/>
      <c r="I21" s="100"/>
      <c r="J21" s="49"/>
      <c r="K21" s="49"/>
      <c r="L21" s="49"/>
      <c r="M21" s="49"/>
      <c r="N21" s="49"/>
      <c r="O21" s="90" t="s">
        <v>108</v>
      </c>
      <c r="P21" s="91"/>
      <c r="Q21" s="91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 t="s">
        <v>109</v>
      </c>
      <c r="AD21" s="93">
        <f>+(AD20-AD19)/AD19</f>
        <v>1.5798406965481883E-2</v>
      </c>
    </row>
    <row r="22" spans="2:87" x14ac:dyDescent="0.2">
      <c r="N22" s="49"/>
      <c r="O22"/>
      <c r="P22"/>
      <c r="Q22"/>
      <c r="R22"/>
      <c r="S22"/>
      <c r="T22"/>
      <c r="U22"/>
      <c r="V22"/>
      <c r="W22" s="80"/>
      <c r="X22"/>
      <c r="Y22"/>
      <c r="Z22"/>
      <c r="AA22"/>
      <c r="AB22"/>
      <c r="AC22"/>
      <c r="AD22" s="49"/>
    </row>
    <row r="23" spans="2:87" x14ac:dyDescent="0.2">
      <c r="N23"/>
      <c r="O23"/>
      <c r="P23"/>
      <c r="Q23"/>
      <c r="R23"/>
      <c r="S23"/>
      <c r="T23"/>
      <c r="U23"/>
      <c r="V23"/>
      <c r="W23"/>
      <c r="X23"/>
      <c r="Y23"/>
      <c r="Z23"/>
      <c r="AA23" s="49"/>
      <c r="AB23" s="49"/>
      <c r="AC23" s="49"/>
      <c r="AD23" s="49"/>
    </row>
    <row r="24" spans="2:87" x14ac:dyDescent="0.2">
      <c r="N24" s="49"/>
      <c r="O24"/>
      <c r="P24"/>
      <c r="Q24"/>
      <c r="R24"/>
      <c r="S24"/>
      <c r="T24"/>
      <c r="U24"/>
      <c r="V24"/>
      <c r="W24"/>
      <c r="X24"/>
      <c r="Y24"/>
      <c r="Z24"/>
      <c r="AA24" s="49"/>
      <c r="AB24" s="49"/>
      <c r="AC24" s="49"/>
      <c r="AD24" s="49"/>
    </row>
    <row r="25" spans="2:87" x14ac:dyDescent="0.2">
      <c r="BQ25" s="16"/>
      <c r="BW25" s="16"/>
      <c r="CB25" s="16"/>
      <c r="CG25" s="16"/>
    </row>
    <row r="26" spans="2:87" x14ac:dyDescent="0.2">
      <c r="BQ26" s="16"/>
      <c r="BW26" s="16"/>
      <c r="CB26" s="16"/>
      <c r="CG26" s="16"/>
    </row>
    <row r="27" spans="2:87" x14ac:dyDescent="0.2">
      <c r="BQ27" s="16"/>
    </row>
    <row r="28" spans="2:87" x14ac:dyDescent="0.2">
      <c r="BQ28" s="16"/>
    </row>
    <row r="29" spans="2:87" x14ac:dyDescent="0.2">
      <c r="BQ29" s="16"/>
      <c r="BW29" s="16"/>
      <c r="CB29" s="16"/>
      <c r="CG29" s="16"/>
    </row>
    <row r="45" spans="56:62" x14ac:dyDescent="0.2">
      <c r="BJ45" s="16"/>
    </row>
    <row r="47" spans="56:62" x14ac:dyDescent="0.2">
      <c r="BD47" s="40"/>
    </row>
  </sheetData>
  <mergeCells count="3">
    <mergeCell ref="S9:V9"/>
    <mergeCell ref="P17:V17"/>
    <mergeCell ref="W17:AC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52DFE-242D-4FCC-84C2-9137FCE22458}">
  <sheetPr codeName="Sheet4"/>
  <dimension ref="B2:E12"/>
  <sheetViews>
    <sheetView zoomScale="145" zoomScaleNormal="145" workbookViewId="0">
      <selection activeCell="C4" sqref="C4"/>
    </sheetView>
  </sheetViews>
  <sheetFormatPr defaultRowHeight="12.75" x14ac:dyDescent="0.2"/>
  <cols>
    <col min="2" max="2" width="17.28515625" customWidth="1"/>
    <col min="3" max="3" width="21.140625" bestFit="1" customWidth="1"/>
    <col min="4" max="4" width="20.28515625" customWidth="1"/>
    <col min="5" max="5" width="23.5703125" bestFit="1" customWidth="1"/>
    <col min="6" max="6" width="18.28515625" customWidth="1"/>
    <col min="7" max="7" width="18.85546875" customWidth="1"/>
    <col min="9" max="9" width="12.42578125" customWidth="1"/>
    <col min="10" max="10" width="16.85546875" customWidth="1"/>
  </cols>
  <sheetData>
    <row r="2" spans="2:5" x14ac:dyDescent="0.2">
      <c r="B2" t="s">
        <v>110</v>
      </c>
    </row>
    <row r="4" spans="2:5" x14ac:dyDescent="0.2">
      <c r="B4" t="s">
        <v>14</v>
      </c>
      <c r="C4" s="7"/>
    </row>
    <row r="5" spans="2:5" x14ac:dyDescent="0.2">
      <c r="B5" t="s">
        <v>17</v>
      </c>
    </row>
    <row r="6" spans="2:5" x14ac:dyDescent="0.2">
      <c r="B6" t="s">
        <v>15</v>
      </c>
    </row>
    <row r="7" spans="2:5" x14ac:dyDescent="0.2">
      <c r="E7" s="7"/>
    </row>
    <row r="10" spans="2:5" x14ac:dyDescent="0.2">
      <c r="C10" s="7"/>
    </row>
    <row r="11" spans="2:5" x14ac:dyDescent="0.2">
      <c r="C11" s="7"/>
    </row>
    <row r="12" spans="2:5" x14ac:dyDescent="0.2">
      <c r="C12" s="7"/>
    </row>
  </sheetData>
  <pageMargins left="0.75" right="0.75" top="1" bottom="1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E961EFD-A296-4056-9CA0-D56B7664BBC8}"/>
</file>

<file path=customXml/itemProps2.xml><?xml version="1.0" encoding="utf-8"?>
<ds:datastoreItem xmlns:ds="http://schemas.openxmlformats.org/officeDocument/2006/customXml" ds:itemID="{538C65AC-3B22-428A-8782-54C85D6EF4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098DE5-6FF4-4227-B3D4-609AB9ECB213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4</vt:i4>
      </vt:variant>
    </vt:vector>
  </HeadingPairs>
  <TitlesOfParts>
    <vt:vector size="9" baseType="lpstr">
      <vt:lpstr>Cover</vt:lpstr>
      <vt:lpstr>Input_Output</vt:lpstr>
      <vt:lpstr>Metric_Conversion</vt:lpstr>
      <vt:lpstr>calc</vt:lpstr>
      <vt:lpstr>setup</vt:lpstr>
      <vt:lpstr>Cover!Area_stampa</vt:lpstr>
      <vt:lpstr>Input_Output!Area_stampa</vt:lpstr>
      <vt:lpstr>Metric_Conversion!Area_stampa</vt:lpstr>
      <vt:lpstr>Metric_Conversion!Suction_Diameter</vt:lpstr>
    </vt:vector>
  </TitlesOfParts>
  <Manager/>
  <Company>Sulzer Pumps (US) Inc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Luigi DeFranco</dc:creator>
  <cp:keywords/>
  <dc:description/>
  <cp:lastModifiedBy>Carmine Delli Quadri</cp:lastModifiedBy>
  <cp:revision/>
  <dcterms:created xsi:type="dcterms:W3CDTF">2005-04-18T17:50:19Z</dcterms:created>
  <dcterms:modified xsi:type="dcterms:W3CDTF">2024-04-16T12:32:54Z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