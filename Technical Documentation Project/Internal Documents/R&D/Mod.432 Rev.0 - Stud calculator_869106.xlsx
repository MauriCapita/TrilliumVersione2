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Questa_cartella_di_lavoro" defaultThemeVersion="166925"/>
  <mc:AlternateContent xmlns:mc="http://schemas.openxmlformats.org/markup-compatibility/2006">
    <mc:Choice Requires="x15">
      <x15ac:absPath xmlns:x15ac="http://schemas.microsoft.com/office/spreadsheetml/2010/11/ac" url="C:\Users\110453\Downloads\"/>
    </mc:Choice>
  </mc:AlternateContent>
  <xr:revisionPtr revIDLastSave="0" documentId="13_ncr:1_{34D9BEBF-66AC-4809-8614-182080705F17}" xr6:coauthVersionLast="47" xr6:coauthVersionMax="47" xr10:uidLastSave="{00000000-0000-0000-0000-000000000000}"/>
  <bookViews>
    <workbookView xWindow="-19320" yWindow="-120" windowWidth="19440" windowHeight="15000" xr2:uid="{59100E87-5B8D-4583-9F76-C01BA044BCEC}"/>
  </bookViews>
  <sheets>
    <sheet name="content" sheetId="3" r:id="rId1"/>
    <sheet name="stud" sheetId="1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_bga2">#REF!</definedName>
    <definedName name="a">#REF!</definedName>
    <definedName name="Ac">#REF!</definedName>
    <definedName name="adsv">#REF!</definedName>
    <definedName name="_xlnm.Print_Area" localSheetId="0">content!$A$1:$AD$48</definedName>
    <definedName name="asdfg">[1]DAF!$F$17:$F$20</definedName>
    <definedName name="bga">#REF!</definedName>
    <definedName name="bp">#REF!</definedName>
    <definedName name="CK">#REF!</definedName>
    <definedName name="d">#REF!</definedName>
    <definedName name="das">#REF!</definedName>
    <definedName name="ddd">'[2]From RPI'!$AB$90</definedName>
    <definedName name="Doc_type">#REF!</definedName>
    <definedName name="DOCID">[3]listes!$C$2:$C$150</definedName>
    <definedName name="dpt_code">#REF!</definedName>
    <definedName name="EQPT_LIST_UNIT_31">#REF!</definedName>
    <definedName name="FACTORS">#REF!</definedName>
    <definedName name="fm">#REF!</definedName>
    <definedName name="Impeller_Eye_Area" localSheetId="0">#REF!</definedName>
    <definedName name="Impeller_Eye_Area">#REF!</definedName>
    <definedName name="Impeller_Eye_Diameter" localSheetId="0">#REF!</definedName>
    <definedName name="Impeller_Eye_Diameter">#REF!</definedName>
    <definedName name="Impeller_Hub_Diameter" localSheetId="0">#REF!</definedName>
    <definedName name="Impeller_Hub_Diameter">#REF!</definedName>
    <definedName name="Impeller_Inlet_Diameter" localSheetId="0">#REF!</definedName>
    <definedName name="Impeller_Inlet_Diameter">#REF!</definedName>
    <definedName name="INT_DIAM">#REF!</definedName>
    <definedName name="kl">#REF!</definedName>
    <definedName name="KR">#REF!</definedName>
    <definedName name="Language">#REF!</definedName>
    <definedName name="Larghezza">#REF!</definedName>
    <definedName name="LENGHTS">#REF!</definedName>
    <definedName name="LINE_LIST_UNIT_31">#REF!</definedName>
    <definedName name="Number">#REF!</definedName>
    <definedName name="pipesize">#REF!</definedName>
    <definedName name="Portata">#REF!</definedName>
    <definedName name="portatacalcolo">'[4]Basi di progetto'!$D$16</definedName>
    <definedName name="portataminima">'[4]Basi di progetto'!$D$10</definedName>
    <definedName name="portatanera">'[4]Basi di progetto'!$D$14</definedName>
    <definedName name="portcalcolo">#REF!</definedName>
    <definedName name="portnera">#REF!</definedName>
    <definedName name="Print_Area_MI">#REF!</definedName>
    <definedName name="prtpioggia">'[4]Basi di progetto'!$D$12</definedName>
    <definedName name="pump">#REF!</definedName>
    <definedName name="PUMPCALC">'[5]PUMP CALCULATION'!$J$4</definedName>
    <definedName name="PUMPDATA">'[5]PUMP CALCULATION'!$J$12</definedName>
    <definedName name="q">#REF!</definedName>
    <definedName name="references">#REF!</definedName>
    <definedName name="rev">#REF!</definedName>
    <definedName name="RevTable">#REF!</definedName>
    <definedName name="Rgas">#REF!</definedName>
    <definedName name="rhokl">#REF!</definedName>
    <definedName name="ROUGHNESS">#REF!</definedName>
    <definedName name="s">'[2]From RPI'!$AB$88</definedName>
    <definedName name="solub">#REF!</definedName>
    <definedName name="Suction_Diameter" localSheetId="0">#REF!</definedName>
    <definedName name="Suction_Diameter">#REF!</definedName>
    <definedName name="Sup">#REF!</definedName>
    <definedName name="title">#REF!</definedName>
    <definedName name="uh">#REF!</definedName>
    <definedName name="UNIT">[3]listes!$D$2:$D$150</definedName>
    <definedName name="Unit_number">#REF!</definedName>
    <definedName name="units">#REF!</definedName>
    <definedName name="velocita_di_progetto">#REF!</definedName>
    <definedName name="velocità_di_progetto">#REF!</definedName>
    <definedName name="velocitamassima">#REF!</definedName>
    <definedName name="velocitaminima">#REF!</definedName>
    <definedName name="VH">#REF!</definedName>
    <definedName name="vt">#REF!</definedName>
    <definedName name="WC">[3]listes!$A$2:$A$25</definedName>
    <definedName name="work_center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1" l="1"/>
  <c r="C12" i="1" s="1"/>
  <c r="C11" i="1"/>
  <c r="C38" i="1" l="1"/>
  <c r="C41" i="1" s="1"/>
  <c r="C34" i="1" l="1"/>
  <c r="C14" i="1"/>
  <c r="C17" i="1" s="1"/>
  <c r="C13" i="1"/>
  <c r="C18" i="1" l="1"/>
  <c r="J4" i="1" s="1"/>
  <c r="C25" i="1"/>
  <c r="C31" i="1" l="1"/>
  <c r="L13" i="1"/>
  <c r="J14" i="1"/>
  <c r="J12" i="1"/>
  <c r="C33" i="1"/>
  <c r="J13" i="1"/>
  <c r="J9" i="1"/>
  <c r="C32" i="1"/>
  <c r="I6" i="1" l="1"/>
  <c r="J6" i="1" s="1"/>
  <c r="L9" i="1" s="1"/>
  <c r="L8" i="1" s="1"/>
  <c r="K5" i="1"/>
  <c r="K4" i="1" s="1"/>
  <c r="L4" i="1" s="1"/>
  <c r="I5" i="1"/>
  <c r="K6" i="1"/>
  <c r="L6" i="1" s="1"/>
  <c r="I10" i="1" l="1"/>
  <c r="J10" i="1" s="1"/>
  <c r="C30" i="1" s="1"/>
  <c r="K39" i="1" s="1"/>
  <c r="K12" i="1"/>
  <c r="K13" i="1"/>
  <c r="L5" i="1"/>
  <c r="J5" i="1"/>
  <c r="I8" i="1"/>
  <c r="I14" i="1" s="1"/>
  <c r="I13" i="1"/>
  <c r="I9" i="1"/>
  <c r="J8" i="1" l="1"/>
  <c r="C29" i="1" l="1"/>
  <c r="K40" i="1" l="1"/>
  <c r="C35" i="1"/>
  <c r="K38" i="1" s="1"/>
</calcChain>
</file>

<file path=xl/sharedStrings.xml><?xml version="1.0" encoding="utf-8"?>
<sst xmlns="http://schemas.openxmlformats.org/spreadsheetml/2006/main" count="111" uniqueCount="102">
  <si>
    <t>First issue</t>
  </si>
  <si>
    <t>R&amp;D - F. Cademartori</t>
  </si>
  <si>
    <t>QA/HSEM C.Delli Quadri - M.Tremolada</t>
  </si>
  <si>
    <t>R&amp;D Manager / M.Borghetti</t>
  </si>
  <si>
    <t>Rev.</t>
  </si>
  <si>
    <t>Date</t>
  </si>
  <si>
    <t>Description</t>
  </si>
  <si>
    <t>Prepared</t>
  </si>
  <si>
    <t>Checked</t>
  </si>
  <si>
    <t>Approved</t>
  </si>
  <si>
    <t>bolt</t>
  </si>
  <si>
    <t>stud</t>
  </si>
  <si>
    <t>flange</t>
  </si>
  <si>
    <t>nominal diameter</t>
  </si>
  <si>
    <t>pitch</t>
  </si>
  <si>
    <r>
      <t>E</t>
    </r>
    <r>
      <rPr>
        <b/>
        <vertAlign val="subscript"/>
        <sz val="11"/>
        <color theme="0"/>
        <rFont val="Calibri"/>
        <family val="2"/>
        <scheme val="minor"/>
      </rPr>
      <t>b</t>
    </r>
    <r>
      <rPr>
        <b/>
        <sz val="11"/>
        <color theme="0"/>
        <rFont val="Calibri"/>
        <family val="2"/>
        <scheme val="minor"/>
      </rPr>
      <t xml:space="preserve"> [GPa]</t>
    </r>
  </si>
  <si>
    <t>(Young's modulus of bolt material)</t>
  </si>
  <si>
    <t>δ [mm]</t>
  </si>
  <si>
    <t>F [N]</t>
  </si>
  <si>
    <t>D [mm]</t>
  </si>
  <si>
    <t>p [mm]</t>
  </si>
  <si>
    <r>
      <t>σ</t>
    </r>
    <r>
      <rPr>
        <b/>
        <vertAlign val="subscript"/>
        <sz val="11"/>
        <color theme="0"/>
        <rFont val="Calibri"/>
        <family val="2"/>
        <scheme val="minor"/>
      </rPr>
      <t>yb</t>
    </r>
    <r>
      <rPr>
        <b/>
        <sz val="11"/>
        <color theme="0"/>
        <rFont val="Calibri"/>
        <family val="2"/>
        <scheme val="minor"/>
      </rPr>
      <t xml:space="preserve"> [MPa]</t>
    </r>
  </si>
  <si>
    <t>(yield stress of bolt)</t>
  </si>
  <si>
    <r>
      <t>d</t>
    </r>
    <r>
      <rPr>
        <b/>
        <vertAlign val="subscript"/>
        <sz val="11"/>
        <color theme="0"/>
        <rFont val="Calibri"/>
        <family val="2"/>
        <scheme val="minor"/>
      </rPr>
      <t>n</t>
    </r>
    <r>
      <rPr>
        <b/>
        <sz val="11"/>
        <color theme="0"/>
        <rFont val="Calibri"/>
        <family val="2"/>
        <scheme val="minor"/>
      </rPr>
      <t xml:space="preserve"> [mm]</t>
    </r>
  </si>
  <si>
    <t>(nut diameter)</t>
  </si>
  <si>
    <r>
      <t>d</t>
    </r>
    <r>
      <rPr>
        <b/>
        <vertAlign val="subscript"/>
        <sz val="11"/>
        <color theme="0"/>
        <rFont val="Calibri"/>
        <family val="2"/>
        <scheme val="minor"/>
      </rPr>
      <t>u</t>
    </r>
    <r>
      <rPr>
        <b/>
        <sz val="11"/>
        <color theme="0"/>
        <rFont val="Calibri"/>
        <family val="2"/>
        <scheme val="minor"/>
      </rPr>
      <t xml:space="preserve"> [mm]</t>
    </r>
  </si>
  <si>
    <t>(bolt diameter, unthreaded part)</t>
  </si>
  <si>
    <r>
      <t>L</t>
    </r>
    <r>
      <rPr>
        <b/>
        <vertAlign val="subscript"/>
        <sz val="11"/>
        <color theme="0"/>
        <rFont val="Calibri"/>
        <family val="2"/>
        <scheme val="minor"/>
      </rPr>
      <t>u</t>
    </r>
    <r>
      <rPr>
        <b/>
        <sz val="11"/>
        <color theme="0"/>
        <rFont val="Calibri"/>
        <family val="2"/>
        <scheme val="minor"/>
      </rPr>
      <t xml:space="preserve"> [mm]</t>
    </r>
  </si>
  <si>
    <t>(lenght of threaded part)</t>
  </si>
  <si>
    <r>
      <t>d</t>
    </r>
    <r>
      <rPr>
        <b/>
        <vertAlign val="subscript"/>
        <sz val="11"/>
        <color theme="0"/>
        <rFont val="Calibri"/>
        <family val="2"/>
        <scheme val="minor"/>
      </rPr>
      <t>t</t>
    </r>
    <r>
      <rPr>
        <b/>
        <sz val="11"/>
        <color theme="0"/>
        <rFont val="Calibri"/>
        <family val="2"/>
        <scheme val="minor"/>
      </rPr>
      <t xml:space="preserve"> [mm]</t>
    </r>
  </si>
  <si>
    <t>(bolt diameter, threaded part)</t>
  </si>
  <si>
    <t>(pitch)</t>
  </si>
  <si>
    <r>
      <t>s</t>
    </r>
    <r>
      <rPr>
        <b/>
        <vertAlign val="subscript"/>
        <sz val="11"/>
        <color theme="0"/>
        <rFont val="Calibri"/>
        <family val="2"/>
        <scheme val="minor"/>
      </rPr>
      <t>w</t>
    </r>
    <r>
      <rPr>
        <b/>
        <sz val="11"/>
        <color theme="0"/>
        <rFont val="Calibri"/>
        <family val="2"/>
        <scheme val="minor"/>
      </rPr>
      <t xml:space="preserve"> [mm]</t>
    </r>
  </si>
  <si>
    <t>(washer thickness)</t>
  </si>
  <si>
    <r>
      <t>d</t>
    </r>
    <r>
      <rPr>
        <b/>
        <vertAlign val="subscript"/>
        <sz val="11"/>
        <color theme="0"/>
        <rFont val="Calibri"/>
        <family val="2"/>
        <scheme val="minor"/>
      </rPr>
      <t>r</t>
    </r>
    <r>
      <rPr>
        <b/>
        <sz val="11"/>
        <color theme="0"/>
        <rFont val="Calibri"/>
        <family val="2"/>
        <scheme val="minor"/>
      </rPr>
      <t xml:space="preserve"> [mm]</t>
    </r>
  </si>
  <si>
    <t>(tensile stress bolt diameter)</t>
  </si>
  <si>
    <r>
      <t>L</t>
    </r>
    <r>
      <rPr>
        <b/>
        <vertAlign val="subscript"/>
        <sz val="11"/>
        <color theme="0"/>
        <rFont val="Calibri"/>
        <family val="2"/>
        <scheme val="minor"/>
      </rPr>
      <t>t</t>
    </r>
    <r>
      <rPr>
        <b/>
        <sz val="11"/>
        <color theme="0"/>
        <rFont val="Calibri"/>
        <family val="2"/>
        <scheme val="minor"/>
      </rPr>
      <t xml:space="preserve"> [mm]</t>
    </r>
  </si>
  <si>
    <r>
      <t>A</t>
    </r>
    <r>
      <rPr>
        <b/>
        <vertAlign val="subscript"/>
        <sz val="11"/>
        <color theme="0"/>
        <rFont val="Calibri"/>
        <family val="2"/>
        <scheme val="minor"/>
      </rPr>
      <t>u</t>
    </r>
    <r>
      <rPr>
        <b/>
        <sz val="11"/>
        <color theme="0"/>
        <rFont val="Calibri"/>
        <family val="2"/>
        <scheme val="minor"/>
      </rPr>
      <t xml:space="preserve"> [mm</t>
    </r>
    <r>
      <rPr>
        <b/>
        <vertAlign val="superscript"/>
        <sz val="11"/>
        <color theme="0"/>
        <rFont val="Calibri"/>
        <family val="2"/>
        <scheme val="minor"/>
      </rPr>
      <t>2</t>
    </r>
    <r>
      <rPr>
        <b/>
        <sz val="11"/>
        <color theme="0"/>
        <rFont val="Calibri"/>
        <family val="2"/>
        <scheme val="minor"/>
      </rPr>
      <t>]</t>
    </r>
  </si>
  <si>
    <t>(area of unthreaded part)</t>
  </si>
  <si>
    <r>
      <t>A</t>
    </r>
    <r>
      <rPr>
        <b/>
        <vertAlign val="subscript"/>
        <sz val="11"/>
        <color theme="0"/>
        <rFont val="Calibri"/>
        <family val="2"/>
        <scheme val="minor"/>
      </rPr>
      <t>t</t>
    </r>
    <r>
      <rPr>
        <b/>
        <sz val="11"/>
        <color theme="0"/>
        <rFont val="Calibri"/>
        <family val="2"/>
        <scheme val="minor"/>
      </rPr>
      <t xml:space="preserve"> [mm</t>
    </r>
    <r>
      <rPr>
        <b/>
        <vertAlign val="superscript"/>
        <sz val="11"/>
        <color theme="0"/>
        <rFont val="Calibri"/>
        <family val="2"/>
        <scheme val="minor"/>
      </rPr>
      <t>2</t>
    </r>
    <r>
      <rPr>
        <b/>
        <sz val="11"/>
        <color theme="0"/>
        <rFont val="Calibri"/>
        <family val="2"/>
        <scheme val="minor"/>
      </rPr>
      <t>]</t>
    </r>
  </si>
  <si>
    <t>(area of threaded part)</t>
  </si>
  <si>
    <r>
      <t>L</t>
    </r>
    <r>
      <rPr>
        <b/>
        <vertAlign val="subscript"/>
        <sz val="11"/>
        <color theme="0"/>
        <rFont val="Calibri"/>
        <family val="2"/>
        <scheme val="minor"/>
      </rPr>
      <t>e</t>
    </r>
    <r>
      <rPr>
        <b/>
        <sz val="11"/>
        <color theme="0"/>
        <rFont val="Calibri"/>
        <family val="2"/>
        <scheme val="minor"/>
      </rPr>
      <t xml:space="preserve"> [mm]</t>
    </r>
  </si>
  <si>
    <t>(bolt effective total lenght)</t>
  </si>
  <si>
    <t>ξ [-]</t>
  </si>
  <si>
    <t>(tightening ratio)</t>
  </si>
  <si>
    <r>
      <t>F</t>
    </r>
    <r>
      <rPr>
        <b/>
        <vertAlign val="subscript"/>
        <sz val="11"/>
        <color theme="0"/>
        <rFont val="Calibri"/>
        <family val="2"/>
        <scheme val="minor"/>
      </rPr>
      <t>0</t>
    </r>
    <r>
      <rPr>
        <b/>
        <sz val="11"/>
        <color theme="0"/>
        <rFont val="Calibri"/>
        <family val="2"/>
        <scheme val="minor"/>
      </rPr>
      <t xml:space="preserve"> [N]</t>
    </r>
  </si>
  <si>
    <t>(tightening force)</t>
  </si>
  <si>
    <r>
      <t>k</t>
    </r>
    <r>
      <rPr>
        <b/>
        <vertAlign val="subscript"/>
        <sz val="11"/>
        <color theme="0"/>
        <rFont val="Calibri"/>
        <family val="2"/>
        <scheme val="minor"/>
      </rPr>
      <t>b</t>
    </r>
    <r>
      <rPr>
        <b/>
        <sz val="11"/>
        <color theme="0"/>
        <rFont val="Calibri"/>
        <family val="2"/>
        <scheme val="minor"/>
      </rPr>
      <t xml:space="preserve"> [N/mm]</t>
    </r>
  </si>
  <si>
    <t>(bolt stiffness)</t>
  </si>
  <si>
    <t>1.25 o 1</t>
  </si>
  <si>
    <t>1.5 o 1.25</t>
  </si>
  <si>
    <t>α [°]</t>
  </si>
  <si>
    <t>(half apex angle of Rotscher pressure cone)</t>
  </si>
  <si>
    <r>
      <t>E</t>
    </r>
    <r>
      <rPr>
        <b/>
        <vertAlign val="subscript"/>
        <sz val="11"/>
        <color theme="0"/>
        <rFont val="Calibri"/>
        <family val="2"/>
        <scheme val="minor"/>
      </rPr>
      <t>f</t>
    </r>
    <r>
      <rPr>
        <b/>
        <sz val="11"/>
        <color theme="0"/>
        <rFont val="Calibri"/>
        <family val="2"/>
        <scheme val="minor"/>
      </rPr>
      <t xml:space="preserve"> [GPa]</t>
    </r>
  </si>
  <si>
    <t>(Young's modulus of flange material)</t>
  </si>
  <si>
    <t>Legend</t>
  </si>
  <si>
    <t>2 o 1.5</t>
  </si>
  <si>
    <t>d [mm]</t>
  </si>
  <si>
    <t>(hole diameter)</t>
  </si>
  <si>
    <t>input data</t>
  </si>
  <si>
    <t>t [mm]</t>
  </si>
  <si>
    <t>(flange thickness)</t>
  </si>
  <si>
    <t>descriptor</t>
  </si>
  <si>
    <r>
      <t>k</t>
    </r>
    <r>
      <rPr>
        <b/>
        <vertAlign val="subscript"/>
        <sz val="11"/>
        <color theme="0"/>
        <rFont val="Calibri"/>
        <family val="2"/>
        <scheme val="minor"/>
      </rPr>
      <t>f</t>
    </r>
    <r>
      <rPr>
        <b/>
        <sz val="11"/>
        <color theme="0"/>
        <rFont val="Calibri"/>
        <family val="2"/>
        <scheme val="minor"/>
      </rPr>
      <t xml:space="preserve"> [N/mm]</t>
    </r>
  </si>
  <si>
    <t>(flange stiffness)</t>
  </si>
  <si>
    <t>calculated</t>
  </si>
  <si>
    <t>annotation</t>
  </si>
  <si>
    <t>results</t>
  </si>
  <si>
    <r>
      <t>F</t>
    </r>
    <r>
      <rPr>
        <b/>
        <vertAlign val="subscript"/>
        <sz val="11"/>
        <color theme="0"/>
        <rFont val="Calibri"/>
        <family val="2"/>
        <scheme val="minor"/>
      </rPr>
      <t>e</t>
    </r>
    <r>
      <rPr>
        <b/>
        <sz val="11"/>
        <color theme="0"/>
        <rFont val="Calibri"/>
        <family val="2"/>
        <scheme val="minor"/>
      </rPr>
      <t xml:space="preserve"> [N]</t>
    </r>
  </si>
  <si>
    <t>(external force on the single bolt)</t>
  </si>
  <si>
    <r>
      <t>F</t>
    </r>
    <r>
      <rPr>
        <b/>
        <vertAlign val="subscript"/>
        <sz val="11"/>
        <color theme="0"/>
        <rFont val="Calibri"/>
        <family val="2"/>
        <scheme val="minor"/>
      </rPr>
      <t>b</t>
    </r>
    <r>
      <rPr>
        <b/>
        <sz val="11"/>
        <color theme="0"/>
        <rFont val="Calibri"/>
        <family val="2"/>
        <scheme val="minor"/>
      </rPr>
      <t xml:space="preserve"> [N]</t>
    </r>
  </si>
  <si>
    <t>(part of Fext that increases traction on bolt)</t>
  </si>
  <si>
    <r>
      <t>F</t>
    </r>
    <r>
      <rPr>
        <b/>
        <vertAlign val="subscript"/>
        <sz val="11"/>
        <color theme="0"/>
        <rFont val="Calibri"/>
        <family val="2"/>
        <scheme val="minor"/>
      </rPr>
      <t>f</t>
    </r>
    <r>
      <rPr>
        <b/>
        <sz val="11"/>
        <color theme="0"/>
        <rFont val="Calibri"/>
        <family val="2"/>
        <scheme val="minor"/>
      </rPr>
      <t xml:space="preserve"> [N]</t>
    </r>
  </si>
  <si>
    <r>
      <t>(part of F</t>
    </r>
    <r>
      <rPr>
        <vertAlign val="subscript"/>
        <sz val="11"/>
        <color theme="0" tint="-0.499984740745262"/>
        <rFont val="Calibri"/>
        <family val="2"/>
        <scheme val="minor"/>
      </rPr>
      <t>ext</t>
    </r>
    <r>
      <rPr>
        <sz val="11"/>
        <color theme="0" tint="-0.499984740745262"/>
        <rFont val="Calibri"/>
        <family val="2"/>
        <scheme val="minor"/>
      </rPr>
      <t xml:space="preserve"> that reduces contact force on flange)</t>
    </r>
  </si>
  <si>
    <r>
      <t xml:space="preserve">(change of </t>
    </r>
    <r>
      <rPr>
        <sz val="11"/>
        <color theme="0" tint="-0.499984740745262"/>
        <rFont val="Calibri"/>
        <family val="2"/>
      </rPr>
      <t>δ</t>
    </r>
    <r>
      <rPr>
        <vertAlign val="subscript"/>
        <sz val="11"/>
        <color theme="0" tint="-0.499984740745262"/>
        <rFont val="Calibri"/>
        <family val="2"/>
      </rPr>
      <t>b</t>
    </r>
    <r>
      <rPr>
        <sz val="11"/>
        <color theme="0" tint="-0.499984740745262"/>
        <rFont val="Calibri"/>
        <family val="2"/>
      </rPr>
      <t xml:space="preserve"> and δ</t>
    </r>
    <r>
      <rPr>
        <vertAlign val="subscript"/>
        <sz val="11"/>
        <color theme="0" tint="-0.499984740745262"/>
        <rFont val="Calibri"/>
        <family val="2"/>
      </rPr>
      <t>f</t>
    </r>
    <r>
      <rPr>
        <sz val="11"/>
        <color theme="0" tint="-0.499984740745262"/>
        <rFont val="Calibri"/>
        <family val="2"/>
      </rPr>
      <t xml:space="preserve"> due to F</t>
    </r>
    <r>
      <rPr>
        <vertAlign val="subscript"/>
        <sz val="11"/>
        <color theme="0" tint="-0.499984740745262"/>
        <rFont val="Calibri"/>
        <family val="2"/>
      </rPr>
      <t>ext</t>
    </r>
    <r>
      <rPr>
        <sz val="11"/>
        <color theme="0" tint="-0.499984740745262"/>
        <rFont val="Calibri"/>
        <family val="2"/>
      </rPr>
      <t>)</t>
    </r>
  </si>
  <si>
    <r>
      <t>δ</t>
    </r>
    <r>
      <rPr>
        <b/>
        <vertAlign val="subscript"/>
        <sz val="11"/>
        <color theme="0"/>
        <rFont val="Calibri"/>
        <family val="2"/>
        <scheme val="minor"/>
      </rPr>
      <t>b</t>
    </r>
    <r>
      <rPr>
        <b/>
        <sz val="11"/>
        <color theme="0"/>
        <rFont val="Calibri"/>
        <family val="2"/>
        <scheme val="minor"/>
      </rPr>
      <t xml:space="preserve"> [mm]</t>
    </r>
  </si>
  <si>
    <r>
      <t>(bolt elongation due to F</t>
    </r>
    <r>
      <rPr>
        <vertAlign val="subscript"/>
        <sz val="11"/>
        <color theme="0" tint="-0.499984740745262"/>
        <rFont val="Calibri"/>
        <family val="2"/>
        <scheme val="minor"/>
      </rPr>
      <t>0</t>
    </r>
    <r>
      <rPr>
        <sz val="11"/>
        <color theme="0" tint="-0.499984740745262"/>
        <rFont val="Calibri"/>
        <family val="2"/>
        <scheme val="minor"/>
      </rPr>
      <t>)</t>
    </r>
  </si>
  <si>
    <r>
      <t>δ</t>
    </r>
    <r>
      <rPr>
        <b/>
        <vertAlign val="subscript"/>
        <sz val="11"/>
        <color theme="0"/>
        <rFont val="Calibri"/>
        <family val="2"/>
        <scheme val="minor"/>
      </rPr>
      <t>f</t>
    </r>
    <r>
      <rPr>
        <b/>
        <sz val="11"/>
        <color theme="0"/>
        <rFont val="Calibri"/>
        <family val="2"/>
        <scheme val="minor"/>
      </rPr>
      <t xml:space="preserve"> [mm]</t>
    </r>
  </si>
  <si>
    <r>
      <t>(flange contraction due to F</t>
    </r>
    <r>
      <rPr>
        <vertAlign val="subscript"/>
        <sz val="11"/>
        <color theme="0" tint="-0.499984740745262"/>
        <rFont val="Calibri"/>
        <family val="2"/>
        <scheme val="minor"/>
      </rPr>
      <t>0</t>
    </r>
    <r>
      <rPr>
        <sz val="11"/>
        <color theme="0" tint="-0.499984740745262"/>
        <rFont val="Calibri"/>
        <family val="2"/>
        <scheme val="minor"/>
      </rPr>
      <t>)</t>
    </r>
  </si>
  <si>
    <r>
      <t>σ</t>
    </r>
    <r>
      <rPr>
        <b/>
        <vertAlign val="subscript"/>
        <sz val="11"/>
        <color theme="0"/>
        <rFont val="Calibri"/>
        <family val="2"/>
      </rPr>
      <t>b0</t>
    </r>
    <r>
      <rPr>
        <b/>
        <sz val="11"/>
        <color theme="0"/>
        <rFont val="Calibri"/>
        <family val="2"/>
      </rPr>
      <t xml:space="preserve"> [MPa]</t>
    </r>
  </si>
  <si>
    <r>
      <t>(axial stress on bolt due to F</t>
    </r>
    <r>
      <rPr>
        <vertAlign val="subscript"/>
        <sz val="11"/>
        <color theme="0" tint="-0.499984740745262"/>
        <rFont val="Calibri"/>
        <family val="2"/>
        <scheme val="minor"/>
      </rPr>
      <t>0</t>
    </r>
    <r>
      <rPr>
        <sz val="11"/>
        <color theme="0" tint="-0.499984740745262"/>
        <rFont val="Calibri"/>
        <family val="2"/>
        <scheme val="minor"/>
      </rPr>
      <t>)</t>
    </r>
  </si>
  <si>
    <r>
      <t>σ</t>
    </r>
    <r>
      <rPr>
        <b/>
        <vertAlign val="subscript"/>
        <sz val="11"/>
        <color theme="0"/>
        <rFont val="Calibri"/>
        <family val="2"/>
      </rPr>
      <t>b</t>
    </r>
    <r>
      <rPr>
        <b/>
        <sz val="11"/>
        <color theme="0"/>
        <rFont val="Calibri"/>
        <family val="2"/>
      </rPr>
      <t xml:space="preserve"> [MPa]</t>
    </r>
  </si>
  <si>
    <r>
      <t>(axial stress on bolt due to F</t>
    </r>
    <r>
      <rPr>
        <vertAlign val="subscript"/>
        <sz val="11"/>
        <color theme="0" tint="-0.499984740745262"/>
        <rFont val="Calibri"/>
        <family val="2"/>
        <scheme val="minor"/>
      </rPr>
      <t>0</t>
    </r>
    <r>
      <rPr>
        <sz val="11"/>
        <color theme="0" tint="-0.499984740745262"/>
        <rFont val="Calibri"/>
        <family val="2"/>
        <scheme val="minor"/>
      </rPr>
      <t xml:space="preserve"> and F</t>
    </r>
    <r>
      <rPr>
        <vertAlign val="subscript"/>
        <sz val="11"/>
        <color theme="0" tint="-0.499984740745262"/>
        <rFont val="Calibri"/>
        <family val="2"/>
        <scheme val="minor"/>
      </rPr>
      <t>ext</t>
    </r>
    <r>
      <rPr>
        <sz val="11"/>
        <color theme="0" tint="-0.499984740745262"/>
        <rFont val="Calibri"/>
        <family val="2"/>
        <scheme val="minor"/>
      </rPr>
      <t>)</t>
    </r>
  </si>
  <si>
    <t>nut</t>
  </si>
  <si>
    <t>Acceptability criteria</t>
  </si>
  <si>
    <r>
      <t>n</t>
    </r>
    <r>
      <rPr>
        <b/>
        <vertAlign val="subscript"/>
        <sz val="11"/>
        <color theme="0"/>
        <rFont val="Calibri"/>
        <family val="2"/>
      </rPr>
      <t>t</t>
    </r>
    <r>
      <rPr>
        <b/>
        <sz val="11"/>
        <color theme="0"/>
        <rFont val="Calibri"/>
        <family val="2"/>
      </rPr>
      <t xml:space="preserve"> [-]</t>
    </r>
  </si>
  <si>
    <t>(number of threads gripping the nut except one)</t>
  </si>
  <si>
    <r>
      <t>σ</t>
    </r>
    <r>
      <rPr>
        <b/>
        <vertAlign val="subscript"/>
        <sz val="11"/>
        <color theme="0"/>
        <rFont val="Calibri"/>
        <family val="2"/>
      </rPr>
      <t>b</t>
    </r>
    <r>
      <rPr>
        <b/>
        <sz val="11"/>
        <color theme="0"/>
        <rFont val="Calibri"/>
        <family val="2"/>
      </rPr>
      <t>/σ</t>
    </r>
    <r>
      <rPr>
        <b/>
        <vertAlign val="subscript"/>
        <sz val="11"/>
        <color theme="0"/>
        <rFont val="Calibri"/>
        <family val="2"/>
      </rPr>
      <t>yb</t>
    </r>
    <r>
      <rPr>
        <b/>
        <sz val="11"/>
        <color theme="0"/>
        <rFont val="Calibri"/>
        <family val="2"/>
      </rPr>
      <t xml:space="preserve"> [-]</t>
    </r>
  </si>
  <si>
    <t>(bolt stress ratio less than 90%)</t>
  </si>
  <si>
    <t>(in grey the second choice)</t>
  </si>
  <si>
    <r>
      <t>L</t>
    </r>
    <r>
      <rPr>
        <b/>
        <vertAlign val="subscript"/>
        <sz val="11"/>
        <color theme="0"/>
        <rFont val="Calibri"/>
        <family val="2"/>
        <scheme val="minor"/>
      </rPr>
      <t>h</t>
    </r>
    <r>
      <rPr>
        <b/>
        <sz val="11"/>
        <color theme="0"/>
        <rFont val="Calibri"/>
        <family val="2"/>
        <scheme val="minor"/>
      </rPr>
      <t xml:space="preserve"> [mm]</t>
    </r>
  </si>
  <si>
    <t>(lenght of threaded part of the hole)</t>
  </si>
  <si>
    <r>
      <t>F</t>
    </r>
    <r>
      <rPr>
        <b/>
        <vertAlign val="subscript"/>
        <sz val="11"/>
        <color theme="0"/>
        <rFont val="Calibri"/>
        <family val="2"/>
      </rPr>
      <t>f</t>
    </r>
    <r>
      <rPr>
        <b/>
        <sz val="11"/>
        <color theme="0"/>
        <rFont val="Calibri"/>
        <family val="2"/>
      </rPr>
      <t>/F</t>
    </r>
    <r>
      <rPr>
        <b/>
        <vertAlign val="subscript"/>
        <sz val="11"/>
        <color theme="0"/>
        <rFont val="Calibri"/>
        <family val="2"/>
      </rPr>
      <t>0</t>
    </r>
    <r>
      <rPr>
        <b/>
        <sz val="11"/>
        <color theme="0"/>
        <rFont val="Calibri"/>
        <family val="2"/>
      </rPr>
      <t xml:space="preserve"> [-]</t>
    </r>
  </si>
  <si>
    <t>(contact force reduction less than 60% of initial tightening)</t>
  </si>
  <si>
    <r>
      <t>σ</t>
    </r>
    <r>
      <rPr>
        <b/>
        <vertAlign val="subscript"/>
        <sz val="11"/>
        <color theme="0"/>
        <rFont val="Calibri"/>
        <family val="2"/>
        <scheme val="minor"/>
      </rPr>
      <t>yf</t>
    </r>
    <r>
      <rPr>
        <b/>
        <sz val="11"/>
        <color theme="0"/>
        <rFont val="Calibri"/>
        <family val="2"/>
        <scheme val="minor"/>
      </rPr>
      <t xml:space="preserve"> [MPa]</t>
    </r>
  </si>
  <si>
    <t>(yield stress of flange)</t>
  </si>
  <si>
    <r>
      <t>(F</t>
    </r>
    <r>
      <rPr>
        <b/>
        <vertAlign val="subscript"/>
        <sz val="11"/>
        <color theme="0"/>
        <rFont val="Calibri"/>
        <family val="2"/>
      </rPr>
      <t>0</t>
    </r>
    <r>
      <rPr>
        <b/>
        <sz val="11"/>
        <color theme="0"/>
        <rFont val="Calibri"/>
        <family val="2"/>
      </rPr>
      <t>+F</t>
    </r>
    <r>
      <rPr>
        <b/>
        <vertAlign val="subscript"/>
        <sz val="11"/>
        <color theme="0"/>
        <rFont val="Calibri"/>
        <family val="2"/>
      </rPr>
      <t>b</t>
    </r>
    <r>
      <rPr>
        <b/>
        <sz val="11"/>
        <color theme="0"/>
        <rFont val="Calibri"/>
        <family val="2"/>
      </rPr>
      <t>)/F</t>
    </r>
    <r>
      <rPr>
        <b/>
        <vertAlign val="subscript"/>
        <sz val="11"/>
        <color theme="0"/>
        <rFont val="Calibri"/>
        <family val="2"/>
      </rPr>
      <t>max</t>
    </r>
    <r>
      <rPr>
        <b/>
        <sz val="11"/>
        <color theme="0"/>
        <rFont val="Calibri"/>
        <family val="2"/>
      </rPr>
      <t xml:space="preserve"> [-]</t>
    </r>
  </si>
  <si>
    <r>
      <t>(bolt axial force and F</t>
    </r>
    <r>
      <rPr>
        <vertAlign val="subscript"/>
        <sz val="11"/>
        <color theme="0" tint="-0.499984740745262"/>
        <rFont val="Calibri"/>
        <family val="2"/>
        <scheme val="minor"/>
      </rPr>
      <t>max</t>
    </r>
    <r>
      <rPr>
        <sz val="11"/>
        <color theme="0" tint="-0.499984740745262"/>
        <rFont val="Calibri"/>
        <family val="2"/>
        <scheme val="minor"/>
      </rPr>
      <t xml:space="preserve"> ratio less than 80%)</t>
    </r>
  </si>
  <si>
    <r>
      <t>F</t>
    </r>
    <r>
      <rPr>
        <b/>
        <vertAlign val="subscript"/>
        <sz val="9"/>
        <color theme="0"/>
        <rFont val="Calibri"/>
        <family val="2"/>
        <scheme val="minor"/>
      </rPr>
      <t>max</t>
    </r>
    <r>
      <rPr>
        <b/>
        <sz val="9"/>
        <color theme="0"/>
        <rFont val="Calibri"/>
        <family val="2"/>
        <scheme val="minor"/>
      </rPr>
      <t xml:space="preserve"> [N]</t>
    </r>
  </si>
  <si>
    <t>(maximum admissible load on thread)</t>
  </si>
  <si>
    <t>Mod.432-0</t>
  </si>
  <si>
    <t>Stud calculator
(linked to SOP-477)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</si>
</sst>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General_)"/>
    <numFmt numFmtId="166" formatCode="&quot;$&quot;#,##0.00;[Red]\-&quot;$&quot;#,##0.00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vertAlign val="subscript"/>
      <sz val="11"/>
      <color theme="0"/>
      <name val="Calibri"/>
      <family val="2"/>
      <scheme val="minor"/>
    </font>
    <font>
      <b/>
      <vertAlign val="superscript"/>
      <sz val="11"/>
      <color theme="0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i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</font>
    <font>
      <b/>
      <vertAlign val="subscript"/>
      <sz val="11"/>
      <color theme="0"/>
      <name val="Calibri"/>
      <family val="2"/>
    </font>
    <font>
      <b/>
      <vertAlign val="subscript"/>
      <sz val="9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vertAlign val="subscript"/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</font>
    <font>
      <vertAlign val="subscript"/>
      <sz val="11"/>
      <color theme="0" tint="-0.499984740745262"/>
      <name val="Calibri"/>
      <family val="2"/>
    </font>
    <font>
      <b/>
      <sz val="11"/>
      <color theme="0"/>
      <name val="Calibri"/>
      <family val="2"/>
    </font>
    <font>
      <sz val="10"/>
      <name val="Arial"/>
      <family val="2"/>
    </font>
    <font>
      <sz val="9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2"/>
      <color indexed="9"/>
      <name val="Arial"/>
      <family val="2"/>
    </font>
    <font>
      <sz val="26"/>
      <name val="Arial"/>
      <family val="2"/>
    </font>
    <font>
      <b/>
      <sz val="26"/>
      <name val="Arial"/>
      <family val="2"/>
    </font>
    <font>
      <sz val="8"/>
      <name val="Arial"/>
      <family val="2"/>
    </font>
    <font>
      <i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9" fillId="0" borderId="0"/>
    <xf numFmtId="165" fontId="20" fillId="0" borderId="0"/>
    <xf numFmtId="166" fontId="26" fillId="0" borderId="0" applyFont="0" applyFill="0" applyBorder="0" applyAlignment="0" applyProtection="0"/>
  </cellStyleXfs>
  <cellXfs count="12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4" fillId="0" borderId="13" xfId="0" applyFont="1" applyBorder="1" applyAlignment="1">
      <alignment horizontal="center" vertical="center" wrapText="1"/>
    </xf>
    <xf numFmtId="0" fontId="0" fillId="0" borderId="16" xfId="0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10" fillId="4" borderId="2" xfId="0" applyFont="1" applyFill="1" applyBorder="1" applyAlignment="1">
      <alignment horizontal="center"/>
    </xf>
    <xf numFmtId="9" fontId="10" fillId="4" borderId="6" xfId="0" applyNumberFormat="1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2" fillId="3" borderId="18" xfId="0" applyFont="1" applyFill="1" applyBorder="1" applyAlignment="1">
      <alignment horizontal="center"/>
    </xf>
    <xf numFmtId="0" fontId="11" fillId="3" borderId="10" xfId="0" applyFont="1" applyFill="1" applyBorder="1" applyAlignment="1">
      <alignment horizontal="center"/>
    </xf>
    <xf numFmtId="0" fontId="11" fillId="3" borderId="6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0" fillId="4" borderId="2" xfId="0" applyFill="1" applyBorder="1" applyAlignment="1">
      <alignment horizontal="center"/>
    </xf>
    <xf numFmtId="164" fontId="0" fillId="0" borderId="0" xfId="0" applyNumberFormat="1"/>
    <xf numFmtId="2" fontId="10" fillId="4" borderId="2" xfId="0" applyNumberFormat="1" applyFont="1" applyFill="1" applyBorder="1" applyAlignment="1">
      <alignment horizontal="center"/>
    </xf>
    <xf numFmtId="2" fontId="10" fillId="4" borderId="6" xfId="0" applyNumberFormat="1" applyFont="1" applyFill="1" applyBorder="1" applyAlignment="1">
      <alignment horizontal="center"/>
    </xf>
    <xf numFmtId="2" fontId="9" fillId="0" borderId="6" xfId="0" applyNumberFormat="1" applyFont="1" applyBorder="1" applyAlignment="1">
      <alignment horizontal="center"/>
    </xf>
    <xf numFmtId="2" fontId="9" fillId="0" borderId="10" xfId="0" applyNumberFormat="1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2" fontId="0" fillId="4" borderId="6" xfId="0" applyNumberFormat="1" applyFill="1" applyBorder="1" applyAlignment="1">
      <alignment horizontal="center"/>
    </xf>
    <xf numFmtId="2" fontId="0" fillId="4" borderId="19" xfId="0" applyNumberFormat="1" applyFill="1" applyBorder="1" applyAlignment="1">
      <alignment horizontal="center"/>
    </xf>
    <xf numFmtId="0" fontId="0" fillId="0" borderId="17" xfId="0" applyBorder="1" applyAlignment="1">
      <alignment horizontal="center" vertical="center" wrapText="1"/>
    </xf>
    <xf numFmtId="0" fontId="0" fillId="0" borderId="17" xfId="0" applyBorder="1" applyAlignment="1">
      <alignment horizontal="center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8" fillId="0" borderId="6" xfId="0" applyFont="1" applyBorder="1" applyAlignment="1">
      <alignment horizontal="center"/>
    </xf>
    <xf numFmtId="0" fontId="8" fillId="0" borderId="6" xfId="0" applyFont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164" fontId="9" fillId="0" borderId="10" xfId="0" applyNumberFormat="1" applyFont="1" applyBorder="1" applyAlignment="1">
      <alignment horizontal="center"/>
    </xf>
    <xf numFmtId="2" fontId="3" fillId="0" borderId="10" xfId="0" applyNumberFormat="1" applyFont="1" applyBorder="1" applyAlignment="1">
      <alignment horizontal="center"/>
    </xf>
    <xf numFmtId="0" fontId="19" fillId="0" borderId="28" xfId="1" applyBorder="1" applyAlignment="1">
      <alignment horizontal="center" vertical="center"/>
    </xf>
    <xf numFmtId="0" fontId="19" fillId="0" borderId="29" xfId="1" applyBorder="1" applyAlignment="1">
      <alignment horizontal="center" vertical="center"/>
    </xf>
    <xf numFmtId="0" fontId="19" fillId="0" borderId="30" xfId="1" applyBorder="1" applyAlignment="1">
      <alignment horizontal="center" vertical="center"/>
    </xf>
    <xf numFmtId="165" fontId="20" fillId="0" borderId="0" xfId="2"/>
    <xf numFmtId="0" fontId="19" fillId="0" borderId="31" xfId="1" applyBorder="1" applyAlignment="1">
      <alignment horizontal="center" vertical="center"/>
    </xf>
    <xf numFmtId="0" fontId="19" fillId="0" borderId="0" xfId="1" applyAlignment="1">
      <alignment horizontal="center" vertical="center"/>
    </xf>
    <xf numFmtId="0" fontId="19" fillId="0" borderId="32" xfId="1" applyBorder="1" applyAlignment="1">
      <alignment horizontal="center" vertical="center"/>
    </xf>
    <xf numFmtId="0" fontId="21" fillId="0" borderId="0" xfId="1" applyFont="1" applyAlignment="1">
      <alignment horizontal="center" vertical="top"/>
    </xf>
    <xf numFmtId="0" fontId="19" fillId="0" borderId="0" xfId="1" applyAlignment="1">
      <alignment horizontal="center"/>
    </xf>
    <xf numFmtId="0" fontId="22" fillId="0" borderId="0" xfId="1" applyFont="1" applyAlignment="1">
      <alignment horizontal="center" vertical="top"/>
    </xf>
    <xf numFmtId="0" fontId="23" fillId="0" borderId="32" xfId="1" applyFont="1" applyBorder="1" applyAlignment="1">
      <alignment horizontal="center" vertical="top"/>
    </xf>
    <xf numFmtId="0" fontId="24" fillId="0" borderId="31" xfId="1" applyFont="1" applyBorder="1" applyAlignment="1">
      <alignment horizontal="center" vertical="center"/>
    </xf>
    <xf numFmtId="0" fontId="24" fillId="0" borderId="0" xfId="1" applyFont="1" applyAlignment="1">
      <alignment horizontal="center" vertical="center"/>
    </xf>
    <xf numFmtId="0" fontId="25" fillId="0" borderId="0" xfId="1" applyFont="1" applyAlignment="1">
      <alignment horizontal="center" vertical="center"/>
    </xf>
    <xf numFmtId="0" fontId="24" fillId="0" borderId="32" xfId="1" applyFont="1" applyBorder="1" applyAlignment="1">
      <alignment horizontal="center" vertical="center"/>
    </xf>
    <xf numFmtId="166" fontId="19" fillId="0" borderId="33" xfId="3" applyFont="1" applyBorder="1" applyAlignment="1">
      <alignment horizontal="right" vertical="center"/>
    </xf>
    <xf numFmtId="166" fontId="20" fillId="0" borderId="34" xfId="3" applyFont="1" applyBorder="1" applyAlignment="1">
      <alignment horizontal="right" vertical="center"/>
    </xf>
    <xf numFmtId="166" fontId="20" fillId="0" borderId="35" xfId="3" applyFont="1" applyBorder="1" applyAlignment="1">
      <alignment horizontal="right" vertical="center"/>
    </xf>
    <xf numFmtId="166" fontId="19" fillId="0" borderId="43" xfId="3" applyFont="1" applyBorder="1" applyAlignment="1">
      <alignment horizontal="center" vertical="center"/>
    </xf>
    <xf numFmtId="166" fontId="19" fillId="0" borderId="44" xfId="3" applyFont="1" applyBorder="1" applyAlignment="1">
      <alignment horizontal="center" vertical="center"/>
    </xf>
    <xf numFmtId="0" fontId="27" fillId="0" borderId="45" xfId="1" applyFont="1" applyBorder="1" applyAlignment="1">
      <alignment horizontal="center" vertical="center"/>
    </xf>
    <xf numFmtId="0" fontId="27" fillId="0" borderId="46" xfId="1" applyFont="1" applyBorder="1" applyAlignment="1">
      <alignment horizontal="center" vertical="center"/>
    </xf>
    <xf numFmtId="0" fontId="27" fillId="0" borderId="44" xfId="1" applyFont="1" applyBorder="1" applyAlignment="1">
      <alignment horizontal="center" vertical="center"/>
    </xf>
    <xf numFmtId="0" fontId="27" fillId="0" borderId="47" xfId="1" applyFont="1" applyBorder="1" applyAlignment="1">
      <alignment horizontal="center" vertical="center"/>
    </xf>
    <xf numFmtId="0" fontId="26" fillId="0" borderId="13" xfId="1" applyFont="1" applyBorder="1" applyAlignment="1">
      <alignment horizontal="center" vertical="center" wrapText="1"/>
    </xf>
    <xf numFmtId="0" fontId="26" fillId="0" borderId="14" xfId="1" applyFont="1" applyBorder="1" applyAlignment="1">
      <alignment horizontal="center" vertical="center" wrapText="1"/>
    </xf>
    <xf numFmtId="0" fontId="26" fillId="0" borderId="42" xfId="1" applyFont="1" applyBorder="1" applyAlignment="1">
      <alignment horizontal="center" vertical="center" wrapText="1"/>
    </xf>
    <xf numFmtId="0" fontId="19" fillId="0" borderId="41" xfId="1" applyBorder="1" applyAlignment="1">
      <alignment horizontal="center" vertical="center"/>
    </xf>
    <xf numFmtId="0" fontId="19" fillId="0" borderId="15" xfId="1" applyBorder="1" applyAlignment="1">
      <alignment horizontal="center" vertical="center"/>
    </xf>
    <xf numFmtId="0" fontId="19" fillId="0" borderId="13" xfId="1" applyBorder="1" applyAlignment="1">
      <alignment horizontal="center" vertical="center"/>
    </xf>
    <xf numFmtId="0" fontId="19" fillId="0" borderId="14" xfId="1" applyBorder="1" applyAlignment="1">
      <alignment horizontal="center" vertical="center"/>
    </xf>
    <xf numFmtId="0" fontId="19" fillId="0" borderId="42" xfId="1" applyBorder="1" applyAlignment="1">
      <alignment horizontal="center" vertical="center"/>
    </xf>
    <xf numFmtId="0" fontId="26" fillId="0" borderId="41" xfId="1" applyFont="1" applyBorder="1" applyAlignment="1">
      <alignment horizontal="center" vertical="center"/>
    </xf>
    <xf numFmtId="0" fontId="26" fillId="0" borderId="15" xfId="1" applyFont="1" applyBorder="1" applyAlignment="1">
      <alignment horizontal="center" vertical="center"/>
    </xf>
    <xf numFmtId="14" fontId="26" fillId="0" borderId="13" xfId="1" applyNumberFormat="1" applyFont="1" applyBorder="1" applyAlignment="1">
      <alignment horizontal="center" vertical="center"/>
    </xf>
    <xf numFmtId="14" fontId="26" fillId="0" borderId="14" xfId="1" applyNumberFormat="1" applyFont="1" applyBorder="1" applyAlignment="1">
      <alignment horizontal="center" vertical="center"/>
    </xf>
    <xf numFmtId="14" fontId="26" fillId="0" borderId="15" xfId="1" applyNumberFormat="1" applyFont="1" applyBorder="1" applyAlignment="1">
      <alignment horizontal="center" vertical="center"/>
    </xf>
    <xf numFmtId="0" fontId="26" fillId="0" borderId="13" xfId="1" applyFont="1" applyBorder="1" applyAlignment="1">
      <alignment horizontal="center" vertical="center"/>
    </xf>
    <xf numFmtId="0" fontId="26" fillId="0" borderId="14" xfId="1" applyFont="1" applyBorder="1" applyAlignment="1">
      <alignment horizontal="center" vertical="center"/>
    </xf>
    <xf numFmtId="0" fontId="26" fillId="0" borderId="15" xfId="1" applyFont="1" applyBorder="1" applyAlignment="1">
      <alignment horizontal="center" vertical="center" wrapText="1"/>
    </xf>
    <xf numFmtId="0" fontId="24" fillId="0" borderId="28" xfId="1" applyFont="1" applyBorder="1" applyAlignment="1">
      <alignment horizontal="center" vertical="center" wrapText="1"/>
    </xf>
    <xf numFmtId="0" fontId="24" fillId="0" borderId="29" xfId="1" applyFont="1" applyBorder="1" applyAlignment="1">
      <alignment horizontal="center" vertical="center" wrapText="1"/>
    </xf>
    <xf numFmtId="0" fontId="24" fillId="0" borderId="30" xfId="1" applyFont="1" applyBorder="1" applyAlignment="1">
      <alignment horizontal="center" vertical="center" wrapText="1"/>
    </xf>
    <xf numFmtId="0" fontId="24" fillId="0" borderId="31" xfId="1" applyFont="1" applyBorder="1" applyAlignment="1">
      <alignment horizontal="center" vertical="center" wrapText="1"/>
    </xf>
    <xf numFmtId="0" fontId="24" fillId="0" borderId="0" xfId="1" applyFont="1" applyAlignment="1">
      <alignment horizontal="center" vertical="center" wrapText="1"/>
    </xf>
    <xf numFmtId="0" fontId="24" fillId="0" borderId="32" xfId="1" applyFont="1" applyBorder="1" applyAlignment="1">
      <alignment horizontal="center" vertical="center" wrapText="1"/>
    </xf>
    <xf numFmtId="0" fontId="24" fillId="0" borderId="33" xfId="1" applyFont="1" applyBorder="1" applyAlignment="1">
      <alignment horizontal="center" vertical="center" wrapText="1"/>
    </xf>
    <xf numFmtId="0" fontId="24" fillId="0" borderId="34" xfId="1" applyFont="1" applyBorder="1" applyAlignment="1">
      <alignment horizontal="center" vertical="center" wrapText="1"/>
    </xf>
    <xf numFmtId="0" fontId="24" fillId="0" borderId="35" xfId="1" applyFont="1" applyBorder="1" applyAlignment="1">
      <alignment horizontal="center" vertical="center" wrapText="1"/>
    </xf>
    <xf numFmtId="0" fontId="19" fillId="0" borderId="36" xfId="1" applyBorder="1" applyAlignment="1">
      <alignment horizontal="center" vertical="center"/>
    </xf>
    <xf numFmtId="0" fontId="19" fillId="0" borderId="37" xfId="1" applyBorder="1" applyAlignment="1">
      <alignment horizontal="center" vertical="center"/>
    </xf>
    <xf numFmtId="0" fontId="19" fillId="0" borderId="38" xfId="1" applyBorder="1" applyAlignment="1">
      <alignment horizontal="center" vertical="center"/>
    </xf>
    <xf numFmtId="0" fontId="19" fillId="0" borderId="39" xfId="1" applyBorder="1" applyAlignment="1">
      <alignment horizontal="center" vertical="center"/>
    </xf>
    <xf numFmtId="0" fontId="19" fillId="0" borderId="40" xfId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2" fontId="10" fillId="4" borderId="16" xfId="0" applyNumberFormat="1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2" fontId="9" fillId="0" borderId="13" xfId="0" applyNumberFormat="1" applyFont="1" applyBorder="1" applyAlignment="1">
      <alignment horizontal="center" vertical="center"/>
    </xf>
    <xf numFmtId="0" fontId="8" fillId="0" borderId="13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5" fillId="2" borderId="1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4" fillId="0" borderId="13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10" fontId="3" fillId="0" borderId="21" xfId="0" applyNumberFormat="1" applyFont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10" fontId="3" fillId="0" borderId="22" xfId="0" applyNumberFormat="1" applyFont="1" applyBorder="1" applyAlignment="1">
      <alignment horizontal="center"/>
    </xf>
    <xf numFmtId="0" fontId="8" fillId="0" borderId="23" xfId="0" applyFont="1" applyBorder="1" applyAlignment="1">
      <alignment horizontal="center"/>
    </xf>
    <xf numFmtId="0" fontId="8" fillId="0" borderId="25" xfId="0" applyFont="1" applyBorder="1" applyAlignment="1">
      <alignment horizontal="center"/>
    </xf>
    <xf numFmtId="0" fontId="8" fillId="0" borderId="21" xfId="0" applyFont="1" applyBorder="1" applyAlignment="1">
      <alignment horizontal="center"/>
    </xf>
    <xf numFmtId="0" fontId="8" fillId="0" borderId="26" xfId="0" applyFont="1" applyBorder="1" applyAlignment="1">
      <alignment horizontal="center"/>
    </xf>
    <xf numFmtId="0" fontId="8" fillId="0" borderId="24" xfId="0" applyFont="1" applyBorder="1" applyAlignment="1">
      <alignment horizontal="center"/>
    </xf>
    <xf numFmtId="0" fontId="8" fillId="0" borderId="27" xfId="0" applyFont="1" applyBorder="1" applyAlignment="1">
      <alignment horizontal="center"/>
    </xf>
    <xf numFmtId="0" fontId="18" fillId="3" borderId="21" xfId="0" applyFont="1" applyFill="1" applyBorder="1" applyAlignment="1">
      <alignment horizontal="center"/>
    </xf>
  </cellXfs>
  <cellStyles count="4">
    <cellStyle name="Normale" xfId="0" builtinId="0"/>
    <cellStyle name="Normale 3" xfId="2" xr:uid="{3A687B80-1025-4D7D-A811-869E147C9005}"/>
    <cellStyle name="Normale 4" xfId="1" xr:uid="{A5D7BC8F-6B26-4495-A542-1D5FE75277F5}"/>
    <cellStyle name="Valuta 2" xfId="3" xr:uid="{7F7BE6C8-FADE-49D8-A03D-ED294711EC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stud!$J$2</c:f>
              <c:strCache>
                <c:ptCount val="1"/>
                <c:pt idx="0">
                  <c:v>stud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stud!$I$4:$I$6</c:f>
              <c:numCache>
                <c:formatCode>General</c:formatCode>
                <c:ptCount val="3"/>
                <c:pt idx="0">
                  <c:v>0</c:v>
                </c:pt>
                <c:pt idx="1">
                  <c:v>9.6000000000000002E-2</c:v>
                </c:pt>
                <c:pt idx="2">
                  <c:v>0.12913773087688385</c:v>
                </c:pt>
              </c:numCache>
            </c:numRef>
          </c:xVal>
          <c:yVal>
            <c:numRef>
              <c:f>stud!$J$4:$J$6</c:f>
              <c:numCache>
                <c:formatCode>General</c:formatCode>
                <c:ptCount val="3"/>
                <c:pt idx="0">
                  <c:v>0</c:v>
                </c:pt>
                <c:pt idx="1">
                  <c:v>91472.903608100096</c:v>
                </c:pt>
                <c:pt idx="2">
                  <c:v>123047.95009031217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31-4DF9-8548-33DCEBE7607F}"/>
            </c:ext>
          </c:extLst>
        </c:ser>
        <c:ser>
          <c:idx val="1"/>
          <c:order val="1"/>
          <c:tx>
            <c:strRef>
              <c:f>stud!$L$2</c:f>
              <c:strCache>
                <c:ptCount val="1"/>
                <c:pt idx="0">
                  <c:v>flange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stud!$K$4:$K$6</c:f>
              <c:numCache>
                <c:formatCode>General</c:formatCode>
                <c:ptCount val="3"/>
                <c:pt idx="0">
                  <c:v>9.6000000000000002E-2</c:v>
                </c:pt>
                <c:pt idx="1">
                  <c:v>9.6000000000000002E-2</c:v>
                </c:pt>
                <c:pt idx="2">
                  <c:v>0.12913773087688385</c:v>
                </c:pt>
              </c:numCache>
            </c:numRef>
          </c:xVal>
          <c:yVal>
            <c:numRef>
              <c:f>stud!$L$4:$L$6</c:f>
              <c:numCache>
                <c:formatCode>General</c:formatCode>
                <c:ptCount val="3"/>
                <c:pt idx="0">
                  <c:v>91472.903608100096</c:v>
                </c:pt>
                <c:pt idx="1">
                  <c:v>91472.903608100096</c:v>
                </c:pt>
                <c:pt idx="2">
                  <c:v>1.9154020399800712E-11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F31-4DF9-8548-33DCEBE7607F}"/>
            </c:ext>
          </c:extLst>
        </c:ser>
        <c:ser>
          <c:idx val="2"/>
          <c:order val="2"/>
          <c:tx>
            <c:v>F*</c:v>
          </c:tx>
          <c:spPr>
            <a:ln w="19050" cap="rnd">
              <a:solidFill>
                <a:schemeClr val="bg1"/>
              </a:solidFill>
              <a:prstDash val="solid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stud!$I$8:$I$10</c:f>
              <c:numCache>
                <c:formatCode>General</c:formatCode>
                <c:ptCount val="3"/>
                <c:pt idx="0">
                  <c:v>0.10865745061230536</c:v>
                </c:pt>
                <c:pt idx="1">
                  <c:v>0.10865745061230536</c:v>
                </c:pt>
                <c:pt idx="2">
                  <c:v>0.10865745061230536</c:v>
                </c:pt>
              </c:numCache>
            </c:numRef>
          </c:xVal>
          <c:yVal>
            <c:numRef>
              <c:f>stud!$J$8:$J$10</c:f>
              <c:numCache>
                <c:formatCode>General</c:formatCode>
                <c:ptCount val="3"/>
                <c:pt idx="0">
                  <c:v>103533.46360584693</c:v>
                </c:pt>
                <c:pt idx="1">
                  <c:v>91472.903608100096</c:v>
                </c:pt>
                <c:pt idx="2">
                  <c:v>56533.463605846926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F31-4DF9-8548-33DCEBE7607F}"/>
            </c:ext>
          </c:extLst>
        </c:ser>
        <c:ser>
          <c:idx val="3"/>
          <c:order val="3"/>
          <c:tx>
            <c:v>separation</c:v>
          </c:tx>
          <c:spPr>
            <a:ln w="19050" cap="rnd">
              <a:solidFill>
                <a:schemeClr val="bg1"/>
              </a:solidFill>
              <a:prstDash val="dashDot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stud!$I$12:$I$14</c:f>
              <c:numCache>
                <c:formatCode>General</c:formatCode>
                <c:ptCount val="3"/>
                <c:pt idx="0">
                  <c:v>0</c:v>
                </c:pt>
                <c:pt idx="1">
                  <c:v>9.6000000000000002E-2</c:v>
                </c:pt>
                <c:pt idx="2">
                  <c:v>0.10865745061230536</c:v>
                </c:pt>
              </c:numCache>
            </c:numRef>
          </c:xVal>
          <c:yVal>
            <c:numRef>
              <c:f>stud!$J$12:$J$14</c:f>
              <c:numCache>
                <c:formatCode>General</c:formatCode>
                <c:ptCount val="3"/>
                <c:pt idx="0">
                  <c:v>91472.903608100096</c:v>
                </c:pt>
                <c:pt idx="1">
                  <c:v>91472.903608100096</c:v>
                </c:pt>
                <c:pt idx="2">
                  <c:v>91472.903608100096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DB-414C-AA68-8AC1A55D8C43}"/>
            </c:ext>
          </c:extLst>
        </c:ser>
        <c:ser>
          <c:idx val="4"/>
          <c:order val="4"/>
          <c:tx>
            <c:v>Fo</c:v>
          </c:tx>
          <c:spPr>
            <a:ln w="19050" cap="rnd">
              <a:solidFill>
                <a:schemeClr val="bg1"/>
              </a:solidFill>
              <a:prstDash val="dashDot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stud!$K$12:$K$13</c:f>
              <c:numCache>
                <c:formatCode>General</c:formatCode>
                <c:ptCount val="2"/>
                <c:pt idx="0">
                  <c:v>9.6000000000000002E-2</c:v>
                </c:pt>
                <c:pt idx="1">
                  <c:v>9.6000000000000002E-2</c:v>
                </c:pt>
              </c:numCache>
            </c:numRef>
          </c:xVal>
          <c:yVal>
            <c:numRef>
              <c:f>stud!$L$12:$L$13</c:f>
              <c:numCache>
                <c:formatCode>General</c:formatCode>
                <c:ptCount val="2"/>
                <c:pt idx="0">
                  <c:v>0</c:v>
                </c:pt>
                <c:pt idx="1">
                  <c:v>91472.903608100096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DB-414C-AA68-8AC1A55D8C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5762672"/>
        <c:axId val="2043379440"/>
      </c:scatterChart>
      <c:valAx>
        <c:axId val="2055762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none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cap="none" baseline="0">
                    <a:latin typeface="Calibri" panose="020F0502020204030204" pitchFamily="34" charset="0"/>
                    <a:cs typeface="Calibri" panose="020F0502020204030204" pitchFamily="34" charset="0"/>
                  </a:rPr>
                  <a:t>δ</a:t>
                </a:r>
                <a:r>
                  <a:rPr lang="it-IT" cap="none" baseline="0">
                    <a:latin typeface="Calibri" panose="020F0502020204030204" pitchFamily="34" charset="0"/>
                    <a:cs typeface="Calibri" panose="020F0502020204030204" pitchFamily="34" charset="0"/>
                  </a:rPr>
                  <a:t> [mm]</a:t>
                </a:r>
                <a:endParaRPr lang="it-IT" cap="none" baseline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none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3379440"/>
        <c:crosses val="autoZero"/>
        <c:crossBetween val="midCat"/>
      </c:valAx>
      <c:valAx>
        <c:axId val="20433794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none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cap="none" baseline="0"/>
                  <a:t>F [N]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none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55762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209550</xdr:colOff>
      <xdr:row>1</xdr:row>
      <xdr:rowOff>114300</xdr:rowOff>
    </xdr:from>
    <xdr:to>
      <xdr:col>19</xdr:col>
      <xdr:colOff>95250</xdr:colOff>
      <xdr:row>4</xdr:row>
      <xdr:rowOff>145782</xdr:rowOff>
    </xdr:to>
    <xdr:pic>
      <xdr:nvPicPr>
        <xdr:cNvPr id="2" name="Picture 2" descr="trillium 2">
          <a:extLst>
            <a:ext uri="{FF2B5EF4-FFF2-40B4-BE49-F238E27FC236}">
              <a16:creationId xmlns:a16="http://schemas.microsoft.com/office/drawing/2014/main" id="{7CC125B8-C38F-4B8E-BB22-B79B4FEC4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3075" y="304800"/>
          <a:ext cx="2514600" cy="6029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95250</xdr:colOff>
      <xdr:row>30</xdr:row>
      <xdr:rowOff>57150</xdr:rowOff>
    </xdr:from>
    <xdr:to>
      <xdr:col>29</xdr:col>
      <xdr:colOff>19050</xdr:colOff>
      <xdr:row>38</xdr:row>
      <xdr:rowOff>47625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1316BB5-74FB-4521-AE53-B9CA1C54FEB4}"/>
            </a:ext>
          </a:extLst>
        </xdr:cNvPr>
        <xdr:cNvSpPr txBox="1"/>
      </xdr:nvSpPr>
      <xdr:spPr>
        <a:xfrm>
          <a:off x="95250" y="5772150"/>
          <a:ext cx="6276975" cy="151447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/>
            <a:t>INSTRUCTIONS</a:t>
          </a:r>
        </a:p>
        <a:p>
          <a:r>
            <a:rPr lang="en-US" sz="1100" b="0" u="none"/>
            <a:t>These worksheet</a:t>
          </a:r>
          <a:r>
            <a:rPr lang="en-US" sz="1100" b="0" u="none" baseline="0"/>
            <a:t> calculates the ripartition of an external force on a bolted connection on the basis of the stud and flange stiffness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 u="none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u="none" baseline="0"/>
            <a:t>Sheet "stud"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This calculations are base on formulas derived from litearature.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ref. Shingley's Mechanical Engineering Design - R. G. Budynas J. K. Nisbet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it-IT">
              <a:effectLst/>
            </a:rPr>
            <a:t>ref.</a:t>
          </a:r>
          <a:r>
            <a:rPr lang="it-IT" baseline="0">
              <a:effectLst/>
            </a:rPr>
            <a:t> </a:t>
          </a:r>
          <a:r>
            <a:rPr lang="it-IT">
              <a:effectLst/>
            </a:rPr>
            <a:t>Fundamentals of Machine Component Design – R.C. Juvinall K.M. Marshek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it-IT">
            <a:effectLst/>
          </a:endParaRPr>
        </a:p>
        <a:p>
          <a:endParaRPr lang="it-IT">
            <a:effectLst/>
          </a:endParaRPr>
        </a:p>
        <a:p>
          <a:endParaRPr lang="en-US" sz="1100" b="0" u="none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1</xdr:row>
      <xdr:rowOff>80</xdr:rowOff>
    </xdr:from>
    <xdr:to>
      <xdr:col>24</xdr:col>
      <xdr:colOff>0</xdr:colOff>
      <xdr:row>19</xdr:row>
      <xdr:rowOff>74150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21</xdr:row>
      <xdr:rowOff>19050</xdr:rowOff>
    </xdr:from>
    <xdr:to>
      <xdr:col>13</xdr:col>
      <xdr:colOff>302955</xdr:colOff>
      <xdr:row>34</xdr:row>
      <xdr:rowOff>0</xdr:rowOff>
    </xdr:to>
    <xdr:grpSp>
      <xdr:nvGrpSpPr>
        <xdr:cNvPr id="20" name="Gruppo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GrpSpPr/>
      </xdr:nvGrpSpPr>
      <xdr:grpSpPr>
        <a:xfrm>
          <a:off x="5086350" y="4933950"/>
          <a:ext cx="3350955" cy="2952750"/>
          <a:chOff x="5017771" y="5600700"/>
          <a:chExt cx="3350955" cy="2952750"/>
        </a:xfrm>
      </xdr:grpSpPr>
      <xdr:pic>
        <xdr:nvPicPr>
          <xdr:cNvPr id="3" name="Immagine 2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5086350" y="5600700"/>
            <a:ext cx="3233211" cy="2952750"/>
          </a:xfrm>
          <a:prstGeom prst="rect">
            <a:avLst/>
          </a:prstGeom>
        </xdr:spPr>
      </xdr:pic>
      <xdr:sp macro="" textlink="">
        <xdr:nvSpPr>
          <xdr:cNvPr id="5" name="CasellaDiTesto 4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SpPr txBox="1"/>
        </xdr:nvSpPr>
        <xdr:spPr>
          <a:xfrm>
            <a:off x="5017771" y="6098474"/>
            <a:ext cx="297133" cy="26627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it-IT" sz="1100" b="1">
                <a:solidFill>
                  <a:schemeClr val="bg1"/>
                </a:solidFill>
              </a:rPr>
              <a:t>F</a:t>
            </a:r>
            <a:r>
              <a:rPr lang="it-IT" sz="1100" b="1" baseline="-25000">
                <a:solidFill>
                  <a:schemeClr val="bg1"/>
                </a:solidFill>
              </a:rPr>
              <a:t>0</a:t>
            </a:r>
            <a:endParaRPr lang="it-IT" sz="1100" b="1">
              <a:solidFill>
                <a:schemeClr val="bg1"/>
              </a:solidFill>
            </a:endParaRPr>
          </a:p>
        </xdr:txBody>
      </xdr:sp>
      <xdr:sp macro="" textlink="">
        <xdr:nvSpPr>
          <xdr:cNvPr id="6" name="CasellaDiTesto 5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 txBox="1"/>
        </xdr:nvSpPr>
        <xdr:spPr>
          <a:xfrm>
            <a:off x="7996060" y="6602527"/>
            <a:ext cx="372666" cy="26627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it-IT" sz="1100" b="1">
                <a:solidFill>
                  <a:schemeClr val="bg1"/>
                </a:solidFill>
              </a:rPr>
              <a:t>F</a:t>
            </a:r>
            <a:r>
              <a:rPr lang="it-IT" sz="1100" b="1" baseline="-25000">
                <a:solidFill>
                  <a:schemeClr val="bg1"/>
                </a:solidFill>
              </a:rPr>
              <a:t>ext</a:t>
            </a:r>
            <a:endParaRPr lang="it-IT" sz="1100" b="1">
              <a:solidFill>
                <a:schemeClr val="bg1"/>
              </a:solidFill>
            </a:endParaRPr>
          </a:p>
        </xdr:txBody>
      </xdr:sp>
      <xdr:cxnSp macro="">
        <xdr:nvCxnSpPr>
          <xdr:cNvPr id="8" name="Connettore 2 7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CxnSpPr/>
        </xdr:nvCxnSpPr>
        <xdr:spPr>
          <a:xfrm>
            <a:off x="8062913" y="6065662"/>
            <a:ext cx="0" cy="1284638"/>
          </a:xfrm>
          <a:prstGeom prst="straightConnector1">
            <a:avLst/>
          </a:prstGeom>
          <a:ln>
            <a:solidFill>
              <a:schemeClr val="bg1"/>
            </a:solidFill>
            <a:headEnd type="triangle" w="sm" len="sm"/>
            <a:tailEnd type="triangl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" name="Connettore 2 10">
            <a:extLst>
              <a:ext uri="{FF2B5EF4-FFF2-40B4-BE49-F238E27FC236}">
                <a16:creationId xmlns:a16="http://schemas.microsoft.com/office/drawing/2014/main" id="{00000000-0008-0000-0100-00000B000000}"/>
              </a:ext>
            </a:extLst>
          </xdr:cNvPr>
          <xdr:cNvCxnSpPr/>
        </xdr:nvCxnSpPr>
        <xdr:spPr>
          <a:xfrm>
            <a:off x="7729538" y="6032107"/>
            <a:ext cx="360000" cy="0"/>
          </a:xfrm>
          <a:prstGeom prst="straightConnector1">
            <a:avLst/>
          </a:prstGeom>
          <a:ln>
            <a:solidFill>
              <a:schemeClr val="bg1"/>
            </a:solidFill>
            <a:tailEnd type="non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" name="Connettore 2 11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CxnSpPr/>
        </xdr:nvCxnSpPr>
        <xdr:spPr>
          <a:xfrm>
            <a:off x="7729538" y="7369472"/>
            <a:ext cx="360000" cy="0"/>
          </a:xfrm>
          <a:prstGeom prst="straightConnector1">
            <a:avLst/>
          </a:prstGeom>
          <a:ln>
            <a:solidFill>
              <a:schemeClr val="bg1"/>
            </a:solidFill>
            <a:tailEnd type="non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" name="CasellaDiTesto 12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SpPr txBox="1"/>
        </xdr:nvSpPr>
        <xdr:spPr>
          <a:xfrm>
            <a:off x="7690840" y="6748249"/>
            <a:ext cx="282065" cy="26627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it-IT" sz="1100" b="1">
                <a:solidFill>
                  <a:schemeClr val="bg1"/>
                </a:solidFill>
              </a:rPr>
              <a:t>F</a:t>
            </a:r>
            <a:r>
              <a:rPr lang="it-IT" sz="1100" b="1" baseline="-25000">
                <a:solidFill>
                  <a:schemeClr val="bg1"/>
                </a:solidFill>
              </a:rPr>
              <a:t>f</a:t>
            </a:r>
            <a:endParaRPr lang="it-IT" sz="1100" b="1">
              <a:solidFill>
                <a:schemeClr val="bg1"/>
              </a:solidFill>
            </a:endParaRPr>
          </a:p>
        </xdr:txBody>
      </xdr:sp>
      <xdr:sp macro="" textlink="">
        <xdr:nvSpPr>
          <xdr:cNvPr id="14" name="CasellaDiTesto 13">
            <a:extLst>
              <a:ext uri="{FF2B5EF4-FFF2-40B4-BE49-F238E27FC236}">
                <a16:creationId xmlns:a16="http://schemas.microsoft.com/office/drawing/2014/main" id="{00000000-0008-0000-0100-00000E000000}"/>
              </a:ext>
            </a:extLst>
          </xdr:cNvPr>
          <xdr:cNvSpPr txBox="1"/>
        </xdr:nvSpPr>
        <xdr:spPr>
          <a:xfrm>
            <a:off x="7697167" y="6004310"/>
            <a:ext cx="299890" cy="26627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it-IT" sz="1100" b="1">
                <a:solidFill>
                  <a:schemeClr val="bg1"/>
                </a:solidFill>
              </a:rPr>
              <a:t>F</a:t>
            </a:r>
            <a:r>
              <a:rPr lang="it-IT" sz="1100" b="1" baseline="-25000">
                <a:solidFill>
                  <a:schemeClr val="bg1"/>
                </a:solidFill>
              </a:rPr>
              <a:t>b</a:t>
            </a:r>
            <a:endParaRPr lang="it-IT" sz="1100" b="1">
              <a:solidFill>
                <a:schemeClr val="bg1"/>
              </a:solidFill>
            </a:endParaRPr>
          </a:p>
        </xdr:txBody>
      </xdr:sp>
      <xdr:sp macro="" textlink="">
        <xdr:nvSpPr>
          <xdr:cNvPr id="15" name="CasellaDiTesto 14">
            <a:extLst>
              <a:ext uri="{FF2B5EF4-FFF2-40B4-BE49-F238E27FC236}">
                <a16:creationId xmlns:a16="http://schemas.microsoft.com/office/drawing/2014/main" id="{00000000-0008-0000-0100-00000F000000}"/>
              </a:ext>
            </a:extLst>
          </xdr:cNvPr>
          <xdr:cNvSpPr txBox="1"/>
        </xdr:nvSpPr>
        <xdr:spPr>
          <a:xfrm>
            <a:off x="5901182" y="7524783"/>
            <a:ext cx="302840" cy="26627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it-IT" sz="1100" b="1">
                <a:solidFill>
                  <a:schemeClr val="bg1"/>
                </a:solidFill>
              </a:rPr>
              <a:t>k</a:t>
            </a:r>
            <a:r>
              <a:rPr lang="it-IT" sz="1100" b="1" baseline="-25000">
                <a:solidFill>
                  <a:schemeClr val="bg1"/>
                </a:solidFill>
              </a:rPr>
              <a:t>b</a:t>
            </a:r>
            <a:endParaRPr lang="it-IT" sz="1100" b="1">
              <a:solidFill>
                <a:schemeClr val="bg1"/>
              </a:solidFill>
            </a:endParaRPr>
          </a:p>
        </xdr:txBody>
      </xdr:sp>
      <xdr:sp macro="" textlink="">
        <xdr:nvSpPr>
          <xdr:cNvPr id="16" name="CasellaDiTesto 15">
            <a:extLst>
              <a:ext uri="{FF2B5EF4-FFF2-40B4-BE49-F238E27FC236}">
                <a16:creationId xmlns:a16="http://schemas.microsoft.com/office/drawing/2014/main" id="{00000000-0008-0000-0100-000010000000}"/>
              </a:ext>
            </a:extLst>
          </xdr:cNvPr>
          <xdr:cNvSpPr txBox="1"/>
        </xdr:nvSpPr>
        <xdr:spPr>
          <a:xfrm>
            <a:off x="7645086" y="7534372"/>
            <a:ext cx="282129" cy="26627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it-IT" sz="1100" b="1">
                <a:solidFill>
                  <a:schemeClr val="bg1"/>
                </a:solidFill>
              </a:rPr>
              <a:t>k</a:t>
            </a:r>
            <a:r>
              <a:rPr lang="it-IT" sz="1100" b="1" baseline="-25000">
                <a:solidFill>
                  <a:schemeClr val="bg1"/>
                </a:solidFill>
              </a:rPr>
              <a:t>f</a:t>
            </a:r>
            <a:endParaRPr lang="it-IT" sz="1100" b="1">
              <a:solidFill>
                <a:schemeClr val="bg1"/>
              </a:solidFill>
            </a:endParaRPr>
          </a:p>
        </xdr:txBody>
      </xdr:sp>
      <xdr:sp macro="" textlink="">
        <xdr:nvSpPr>
          <xdr:cNvPr id="17" name="CasellaDiTesto 16">
            <a:extLst>
              <a:ext uri="{FF2B5EF4-FFF2-40B4-BE49-F238E27FC236}">
                <a16:creationId xmlns:a16="http://schemas.microsoft.com/office/drawing/2014/main" id="{00000000-0008-0000-0100-000011000000}"/>
              </a:ext>
            </a:extLst>
          </xdr:cNvPr>
          <xdr:cNvSpPr txBox="1"/>
        </xdr:nvSpPr>
        <xdr:spPr>
          <a:xfrm>
            <a:off x="6496051" y="8054934"/>
            <a:ext cx="307520" cy="26627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l-GR" sz="1100" b="1">
                <a:solidFill>
                  <a:schemeClr val="bg1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δ</a:t>
            </a:r>
            <a:r>
              <a:rPr lang="it-IT" sz="1100" b="1" baseline="-25000">
                <a:solidFill>
                  <a:schemeClr val="bg1"/>
                </a:solidFill>
              </a:rPr>
              <a:t>b</a:t>
            </a:r>
            <a:endParaRPr lang="it-IT" sz="1100" b="1">
              <a:solidFill>
                <a:schemeClr val="bg1"/>
              </a:solidFill>
            </a:endParaRPr>
          </a:p>
        </xdr:txBody>
      </xdr:sp>
      <xdr:sp macro="" textlink="">
        <xdr:nvSpPr>
          <xdr:cNvPr id="18" name="CasellaDiTesto 17">
            <a:extLst>
              <a:ext uri="{FF2B5EF4-FFF2-40B4-BE49-F238E27FC236}">
                <a16:creationId xmlns:a16="http://schemas.microsoft.com/office/drawing/2014/main" id="{00000000-0008-0000-0100-000012000000}"/>
              </a:ext>
            </a:extLst>
          </xdr:cNvPr>
          <xdr:cNvSpPr txBox="1"/>
        </xdr:nvSpPr>
        <xdr:spPr>
          <a:xfrm>
            <a:off x="7570471" y="8070273"/>
            <a:ext cx="289566" cy="26627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l-GR" sz="1100" b="1">
                <a:solidFill>
                  <a:schemeClr val="bg1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δ</a:t>
            </a:r>
            <a:r>
              <a:rPr lang="it-IT" sz="1100" b="1" baseline="-25000">
                <a:solidFill>
                  <a:schemeClr val="bg1"/>
                </a:solidFill>
              </a:rPr>
              <a:t>f</a:t>
            </a:r>
            <a:endParaRPr lang="it-IT" sz="1100" b="1">
              <a:solidFill>
                <a:schemeClr val="bg1"/>
              </a:solidFill>
            </a:endParaRPr>
          </a:p>
        </xdr:txBody>
      </xdr:sp>
      <xdr:sp macro="" textlink="">
        <xdr:nvSpPr>
          <xdr:cNvPr id="9" name="CasellaDiTesto 8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SpPr txBox="1"/>
        </xdr:nvSpPr>
        <xdr:spPr>
          <a:xfrm>
            <a:off x="7515226" y="6064209"/>
            <a:ext cx="307520" cy="26627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l-GR" sz="1100" b="1">
                <a:solidFill>
                  <a:schemeClr val="bg1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δ</a:t>
            </a:r>
            <a:endParaRPr lang="it-IT" sz="1100" b="1">
              <a:solidFill>
                <a:schemeClr val="bg1"/>
              </a:solidFill>
            </a:endParaRPr>
          </a:p>
        </xdr:txBody>
      </xdr:sp>
    </xdr:grpSp>
    <xdr:clientData/>
  </xdr:twoCellAnchor>
  <xdr:twoCellAnchor editAs="absolute">
    <xdr:from>
      <xdr:col>14</xdr:col>
      <xdr:colOff>0</xdr:colOff>
      <xdr:row>26</xdr:row>
      <xdr:rowOff>190501</xdr:rowOff>
    </xdr:from>
    <xdr:to>
      <xdr:col>21</xdr:col>
      <xdr:colOff>104775</xdr:colOff>
      <xdr:row>34</xdr:row>
      <xdr:rowOff>0</xdr:rowOff>
    </xdr:to>
    <xdr:sp macro="" textlink="">
      <xdr:nvSpPr>
        <xdr:cNvPr id="51" name="TextBox 1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8743950" y="6248401"/>
          <a:ext cx="4371975" cy="1638299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/>
            <a:t>INSTRUCTIONS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u="none" baseline="0"/>
            <a:t>1) </a:t>
          </a: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Compile the input data cells.</a:t>
          </a:r>
          <a:endParaRPr lang="it-IT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it-IT" sz="1100" b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Select</a:t>
          </a:r>
          <a:r>
            <a:rPr lang="it-IT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tightening ratio </a:t>
          </a:r>
          <a:r>
            <a:rPr lang="el-GR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ξ</a:t>
          </a:r>
          <a:r>
            <a:rPr lang="it-IT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(suggested value 70% - 80%)</a:t>
          </a:r>
        </a:p>
        <a:p>
          <a:pPr eaLnBrk="1" fontAlgn="auto" latinLnBrk="0" hangingPunct="1"/>
          <a:r>
            <a:rPr lang="it-IT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 Verify that the three criteria are satisfied.</a:t>
          </a:r>
        </a:p>
      </xdr:txBody>
    </xdr:sp>
    <xdr:clientData/>
  </xdr:twoCellAnchor>
  <xdr:twoCellAnchor>
    <xdr:from>
      <xdr:col>8</xdr:col>
      <xdr:colOff>7074</xdr:colOff>
      <xdr:row>1</xdr:row>
      <xdr:rowOff>0</xdr:rowOff>
    </xdr:from>
    <xdr:to>
      <xdr:col>16</xdr:col>
      <xdr:colOff>0</xdr:colOff>
      <xdr:row>19</xdr:row>
      <xdr:rowOff>74231</xdr:rowOff>
    </xdr:to>
    <xdr:grpSp>
      <xdr:nvGrpSpPr>
        <xdr:cNvPr id="44" name="Gruppo 43">
          <a:extLst>
            <a:ext uri="{FF2B5EF4-FFF2-40B4-BE49-F238E27FC236}">
              <a16:creationId xmlns:a16="http://schemas.microsoft.com/office/drawing/2014/main" id="{8D4E34F9-FB59-06AF-051A-AE059C738CD7}"/>
            </a:ext>
          </a:extLst>
        </xdr:cNvPr>
        <xdr:cNvGrpSpPr/>
      </xdr:nvGrpSpPr>
      <xdr:grpSpPr>
        <a:xfrm>
          <a:off x="5093424" y="190500"/>
          <a:ext cx="4869726" cy="4341431"/>
          <a:chOff x="5093424" y="344869"/>
          <a:chExt cx="4869726" cy="4341431"/>
        </a:xfrm>
      </xdr:grpSpPr>
      <xdr:pic>
        <xdr:nvPicPr>
          <xdr:cNvPr id="19" name="Immagine 18">
            <a:extLst>
              <a:ext uri="{FF2B5EF4-FFF2-40B4-BE49-F238E27FC236}">
                <a16:creationId xmlns:a16="http://schemas.microsoft.com/office/drawing/2014/main" id="{00000000-0008-0000-0100-00001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5093424" y="344869"/>
            <a:ext cx="4869726" cy="4341431"/>
          </a:xfrm>
          <a:prstGeom prst="rect">
            <a:avLst/>
          </a:prstGeom>
        </xdr:spPr>
      </xdr:pic>
      <xdr:cxnSp macro="">
        <xdr:nvCxnSpPr>
          <xdr:cNvPr id="21" name="Connettore 2 20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CxnSpPr/>
        </xdr:nvCxnSpPr>
        <xdr:spPr>
          <a:xfrm>
            <a:off x="8893899" y="1487869"/>
            <a:ext cx="0" cy="763144"/>
          </a:xfrm>
          <a:prstGeom prst="straightConnector1">
            <a:avLst/>
          </a:prstGeom>
          <a:ln>
            <a:solidFill>
              <a:sysClr val="windowText" lastClr="000000"/>
            </a:solidFill>
            <a:headEnd type="stealth" w="lg" len="lg"/>
            <a:tailEnd type="stealth" w="lg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Connettore 2 21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CxnSpPr/>
        </xdr:nvCxnSpPr>
        <xdr:spPr>
          <a:xfrm>
            <a:off x="6703149" y="2252250"/>
            <a:ext cx="0" cy="2014413"/>
          </a:xfrm>
          <a:prstGeom prst="straightConnector1">
            <a:avLst/>
          </a:prstGeom>
          <a:ln>
            <a:solidFill>
              <a:sysClr val="windowText" lastClr="000000"/>
            </a:solidFill>
            <a:headEnd type="none" w="lg" len="lg"/>
            <a:tailEnd type="none" w="lg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Connettore 2 22">
            <a:extLst>
              <a:ext uri="{FF2B5EF4-FFF2-40B4-BE49-F238E27FC236}">
                <a16:creationId xmlns:a16="http://schemas.microsoft.com/office/drawing/2014/main" id="{00000000-0008-0000-0100-000017000000}"/>
              </a:ext>
            </a:extLst>
          </xdr:cNvPr>
          <xdr:cNvCxnSpPr/>
        </xdr:nvCxnSpPr>
        <xdr:spPr>
          <a:xfrm>
            <a:off x="7606437" y="2252250"/>
            <a:ext cx="0" cy="2014413"/>
          </a:xfrm>
          <a:prstGeom prst="straightConnector1">
            <a:avLst/>
          </a:prstGeom>
          <a:ln>
            <a:solidFill>
              <a:sysClr val="windowText" lastClr="000000"/>
            </a:solidFill>
            <a:headEnd type="none" w="lg" len="lg"/>
            <a:tailEnd type="none" w="lg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" name="Connettore 2 23">
            <a:extLst>
              <a:ext uri="{FF2B5EF4-FFF2-40B4-BE49-F238E27FC236}">
                <a16:creationId xmlns:a16="http://schemas.microsoft.com/office/drawing/2014/main" id="{00000000-0008-0000-0100-000018000000}"/>
              </a:ext>
            </a:extLst>
          </xdr:cNvPr>
          <xdr:cNvCxnSpPr/>
        </xdr:nvCxnSpPr>
        <xdr:spPr>
          <a:xfrm>
            <a:off x="6709498" y="4243775"/>
            <a:ext cx="896825" cy="0"/>
          </a:xfrm>
          <a:prstGeom prst="straightConnector1">
            <a:avLst/>
          </a:prstGeom>
          <a:ln>
            <a:solidFill>
              <a:sysClr val="windowText" lastClr="000000"/>
            </a:solidFill>
            <a:headEnd type="stealth" w="lg" len="lg"/>
            <a:tailEnd type="stealth" w="lg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" name="Connettore 2 24">
            <a:extLst>
              <a:ext uri="{FF2B5EF4-FFF2-40B4-BE49-F238E27FC236}">
                <a16:creationId xmlns:a16="http://schemas.microsoft.com/office/drawing/2014/main" id="{00000000-0008-0000-0100-000019000000}"/>
              </a:ext>
            </a:extLst>
          </xdr:cNvPr>
          <xdr:cNvCxnSpPr/>
        </xdr:nvCxnSpPr>
        <xdr:spPr>
          <a:xfrm>
            <a:off x="7679463" y="629846"/>
            <a:ext cx="0" cy="751237"/>
          </a:xfrm>
          <a:prstGeom prst="straightConnector1">
            <a:avLst/>
          </a:prstGeom>
          <a:ln>
            <a:solidFill>
              <a:sysClr val="windowText" lastClr="000000"/>
            </a:solidFill>
            <a:headEnd type="none" w="lg" len="lg"/>
            <a:tailEnd type="none" w="lg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8" name="Connettore 2 27">
            <a:extLst>
              <a:ext uri="{FF2B5EF4-FFF2-40B4-BE49-F238E27FC236}">
                <a16:creationId xmlns:a16="http://schemas.microsoft.com/office/drawing/2014/main" id="{00000000-0008-0000-0100-00001C000000}"/>
              </a:ext>
            </a:extLst>
          </xdr:cNvPr>
          <xdr:cNvCxnSpPr/>
        </xdr:nvCxnSpPr>
        <xdr:spPr>
          <a:xfrm>
            <a:off x="6595200" y="629846"/>
            <a:ext cx="0" cy="715237"/>
          </a:xfrm>
          <a:prstGeom prst="straightConnector1">
            <a:avLst/>
          </a:prstGeom>
          <a:ln>
            <a:solidFill>
              <a:sysClr val="windowText" lastClr="000000"/>
            </a:solidFill>
            <a:headEnd type="none" w="lg" len="lg"/>
            <a:tailEnd type="none" w="lg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9" name="Connettore 2 28">
            <a:extLst>
              <a:ext uri="{FF2B5EF4-FFF2-40B4-BE49-F238E27FC236}">
                <a16:creationId xmlns:a16="http://schemas.microsoft.com/office/drawing/2014/main" id="{00000000-0008-0000-0100-00001D000000}"/>
              </a:ext>
            </a:extLst>
          </xdr:cNvPr>
          <xdr:cNvCxnSpPr/>
        </xdr:nvCxnSpPr>
        <xdr:spPr>
          <a:xfrm>
            <a:off x="6599961" y="646501"/>
            <a:ext cx="1076825" cy="0"/>
          </a:xfrm>
          <a:prstGeom prst="straightConnector1">
            <a:avLst/>
          </a:prstGeom>
          <a:ln>
            <a:solidFill>
              <a:sysClr val="windowText" lastClr="000000"/>
            </a:solidFill>
            <a:headEnd type="stealth" w="lg" len="lg"/>
            <a:tailEnd type="stealth" w="lg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0" name="Connettore 2 29">
            <a:extLst>
              <a:ext uri="{FF2B5EF4-FFF2-40B4-BE49-F238E27FC236}">
                <a16:creationId xmlns:a16="http://schemas.microsoft.com/office/drawing/2014/main" id="{00000000-0008-0000-0100-00001E000000}"/>
              </a:ext>
            </a:extLst>
          </xdr:cNvPr>
          <xdr:cNvCxnSpPr/>
        </xdr:nvCxnSpPr>
        <xdr:spPr>
          <a:xfrm>
            <a:off x="7482612" y="3158723"/>
            <a:ext cx="0" cy="504000"/>
          </a:xfrm>
          <a:prstGeom prst="straightConnector1">
            <a:avLst/>
          </a:prstGeom>
          <a:ln>
            <a:solidFill>
              <a:sysClr val="windowText" lastClr="000000"/>
            </a:solidFill>
            <a:headEnd type="none" w="lg" len="lg"/>
            <a:tailEnd type="none" w="lg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1" name="Connettore 2 30">
            <a:extLst>
              <a:ext uri="{FF2B5EF4-FFF2-40B4-BE49-F238E27FC236}">
                <a16:creationId xmlns:a16="http://schemas.microsoft.com/office/drawing/2014/main" id="{00000000-0008-0000-0100-00001F000000}"/>
              </a:ext>
            </a:extLst>
          </xdr:cNvPr>
          <xdr:cNvCxnSpPr/>
        </xdr:nvCxnSpPr>
        <xdr:spPr>
          <a:xfrm>
            <a:off x="6819038" y="3158723"/>
            <a:ext cx="0" cy="504000"/>
          </a:xfrm>
          <a:prstGeom prst="straightConnector1">
            <a:avLst/>
          </a:prstGeom>
          <a:ln>
            <a:solidFill>
              <a:sysClr val="windowText" lastClr="000000"/>
            </a:solidFill>
            <a:headEnd type="none" w="lg" len="lg"/>
            <a:tailEnd type="none" w="lg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2" name="Connettore 2 31">
            <a:extLst>
              <a:ext uri="{FF2B5EF4-FFF2-40B4-BE49-F238E27FC236}">
                <a16:creationId xmlns:a16="http://schemas.microsoft.com/office/drawing/2014/main" id="{00000000-0008-0000-0100-000020000000}"/>
              </a:ext>
            </a:extLst>
          </xdr:cNvPr>
          <xdr:cNvCxnSpPr/>
        </xdr:nvCxnSpPr>
        <xdr:spPr>
          <a:xfrm>
            <a:off x="6830148" y="3665925"/>
            <a:ext cx="646412" cy="0"/>
          </a:xfrm>
          <a:prstGeom prst="straightConnector1">
            <a:avLst/>
          </a:prstGeom>
          <a:ln>
            <a:solidFill>
              <a:sysClr val="windowText" lastClr="000000"/>
            </a:solidFill>
            <a:headEnd type="stealth" w="lg" len="lg"/>
            <a:tailEnd type="stealth" w="lg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4" name="Connettore 2 33">
            <a:extLst>
              <a:ext uri="{FF2B5EF4-FFF2-40B4-BE49-F238E27FC236}">
                <a16:creationId xmlns:a16="http://schemas.microsoft.com/office/drawing/2014/main" id="{00000000-0008-0000-0100-000022000000}"/>
              </a:ext>
            </a:extLst>
          </xdr:cNvPr>
          <xdr:cNvCxnSpPr/>
        </xdr:nvCxnSpPr>
        <xdr:spPr>
          <a:xfrm>
            <a:off x="7949337" y="1379125"/>
            <a:ext cx="1040825" cy="0"/>
          </a:xfrm>
          <a:prstGeom prst="straightConnector1">
            <a:avLst/>
          </a:prstGeom>
          <a:ln>
            <a:solidFill>
              <a:sysClr val="windowText" lastClr="000000"/>
            </a:solidFill>
            <a:headEnd type="none" w="lg" len="lg"/>
            <a:tailEnd type="none" w="lg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5" name="Connettore 2 34">
            <a:extLst>
              <a:ext uri="{FF2B5EF4-FFF2-40B4-BE49-F238E27FC236}">
                <a16:creationId xmlns:a16="http://schemas.microsoft.com/office/drawing/2014/main" id="{00000000-0008-0000-0100-000023000000}"/>
              </a:ext>
            </a:extLst>
          </xdr:cNvPr>
          <xdr:cNvCxnSpPr/>
        </xdr:nvCxnSpPr>
        <xdr:spPr>
          <a:xfrm>
            <a:off x="8893899" y="1133856"/>
            <a:ext cx="0" cy="250412"/>
          </a:xfrm>
          <a:prstGeom prst="straightConnector1">
            <a:avLst/>
          </a:prstGeom>
          <a:ln>
            <a:solidFill>
              <a:sysClr val="windowText" lastClr="000000"/>
            </a:solidFill>
            <a:headEnd type="none" w="lg" len="lg"/>
            <a:tailEnd type="stealth" w="lg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6" name="Connettore 2 35">
            <a:extLst>
              <a:ext uri="{FF2B5EF4-FFF2-40B4-BE49-F238E27FC236}">
                <a16:creationId xmlns:a16="http://schemas.microsoft.com/office/drawing/2014/main" id="{00000000-0008-0000-0100-000024000000}"/>
              </a:ext>
            </a:extLst>
          </xdr:cNvPr>
          <xdr:cNvCxnSpPr/>
        </xdr:nvCxnSpPr>
        <xdr:spPr>
          <a:xfrm>
            <a:off x="8893899" y="1284668"/>
            <a:ext cx="0" cy="250413"/>
          </a:xfrm>
          <a:prstGeom prst="straightConnector1">
            <a:avLst/>
          </a:prstGeom>
          <a:ln>
            <a:solidFill>
              <a:sysClr val="windowText" lastClr="000000"/>
            </a:solidFill>
            <a:headEnd type="none" w="lg" len="lg"/>
            <a:tailEnd type="none" w="lg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$C$5">
        <xdr:nvSpPr>
          <xdr:cNvPr id="37" name="CasellaDiTesto 36">
            <a:extLst>
              <a:ext uri="{FF2B5EF4-FFF2-40B4-BE49-F238E27FC236}">
                <a16:creationId xmlns:a16="http://schemas.microsoft.com/office/drawing/2014/main" id="{00000000-0008-0000-0100-000025000000}"/>
              </a:ext>
            </a:extLst>
          </xdr:cNvPr>
          <xdr:cNvSpPr txBox="1"/>
        </xdr:nvSpPr>
        <xdr:spPr>
          <a:xfrm>
            <a:off x="6893649" y="402019"/>
            <a:ext cx="506229" cy="2645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rtlCol="0" anchor="t">
            <a:noAutofit/>
          </a:bodyPr>
          <a:lstStyle/>
          <a:p>
            <a:fld id="{44627546-000F-477C-9882-6749AC30BEE2}" type="TxLink">
              <a:rPr lang="en-US" sz="1100" b="0" i="1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23,00</a:t>
            </a:fld>
            <a:endParaRPr lang="it-IT" sz="1100" i="1"/>
          </a:p>
        </xdr:txBody>
      </xdr:sp>
      <xdr:sp macro="" textlink="$C$8">
        <xdr:nvSpPr>
          <xdr:cNvPr id="38" name="CasellaDiTesto 37">
            <a:extLst>
              <a:ext uri="{FF2B5EF4-FFF2-40B4-BE49-F238E27FC236}">
                <a16:creationId xmlns:a16="http://schemas.microsoft.com/office/drawing/2014/main" id="{00000000-0008-0000-0100-000026000000}"/>
              </a:ext>
            </a:extLst>
          </xdr:cNvPr>
          <xdr:cNvSpPr txBox="1"/>
        </xdr:nvSpPr>
        <xdr:spPr>
          <a:xfrm>
            <a:off x="6903174" y="3440494"/>
            <a:ext cx="506229" cy="2645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rtlCol="0" anchor="t">
            <a:noAutofit/>
          </a:bodyPr>
          <a:lstStyle/>
          <a:p>
            <a:fld id="{D6166094-ACDA-49D9-B47E-BAB4DF4E0798}" type="TxLink">
              <a:rPr lang="en-US" sz="1100" b="0" i="1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18,00</a:t>
            </a:fld>
            <a:endParaRPr lang="it-IT" sz="1100" i="1"/>
          </a:p>
        </xdr:txBody>
      </xdr:sp>
      <xdr:sp macro="" textlink="$C$23">
        <xdr:nvSpPr>
          <xdr:cNvPr id="39" name="CasellaDiTesto 38">
            <a:extLst>
              <a:ext uri="{FF2B5EF4-FFF2-40B4-BE49-F238E27FC236}">
                <a16:creationId xmlns:a16="http://schemas.microsoft.com/office/drawing/2014/main" id="{00000000-0008-0000-0100-000027000000}"/>
              </a:ext>
            </a:extLst>
          </xdr:cNvPr>
          <xdr:cNvSpPr txBox="1"/>
        </xdr:nvSpPr>
        <xdr:spPr>
          <a:xfrm>
            <a:off x="6912699" y="4002469"/>
            <a:ext cx="506229" cy="2645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rtlCol="0" anchor="t">
            <a:noAutofit/>
          </a:bodyPr>
          <a:lstStyle/>
          <a:p>
            <a:fld id="{E927675D-43EE-4DBC-B51F-30755487F03F}" type="TxLink">
              <a:rPr lang="en-US" sz="1100" b="0" i="1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17,00</a:t>
            </a:fld>
            <a:endParaRPr lang="it-IT" sz="1100" i="1"/>
          </a:p>
        </xdr:txBody>
      </xdr:sp>
      <xdr:sp macro="" textlink="$C$24">
        <xdr:nvSpPr>
          <xdr:cNvPr id="40" name="CasellaDiTesto 39">
            <a:extLst>
              <a:ext uri="{FF2B5EF4-FFF2-40B4-BE49-F238E27FC236}">
                <a16:creationId xmlns:a16="http://schemas.microsoft.com/office/drawing/2014/main" id="{00000000-0008-0000-0100-000028000000}"/>
              </a:ext>
            </a:extLst>
          </xdr:cNvPr>
          <xdr:cNvSpPr txBox="1"/>
        </xdr:nvSpPr>
        <xdr:spPr>
          <a:xfrm>
            <a:off x="8903424" y="1754569"/>
            <a:ext cx="506229" cy="2645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rtlCol="0" anchor="t">
            <a:noAutofit/>
          </a:bodyPr>
          <a:lstStyle/>
          <a:p>
            <a:fld id="{A3CE77EA-0727-4E30-82B4-9D13DEE17C1F}" type="TxLink">
              <a:rPr lang="en-US" sz="1100" b="0" i="1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35,00</a:t>
            </a:fld>
            <a:endParaRPr lang="it-IT" sz="1100" i="1"/>
          </a:p>
        </xdr:txBody>
      </xdr:sp>
      <xdr:sp macro="" textlink="$C$10">
        <xdr:nvSpPr>
          <xdr:cNvPr id="41" name="CasellaDiTesto 40">
            <a:extLst>
              <a:ext uri="{FF2B5EF4-FFF2-40B4-BE49-F238E27FC236}">
                <a16:creationId xmlns:a16="http://schemas.microsoft.com/office/drawing/2014/main" id="{00000000-0008-0000-0100-000029000000}"/>
              </a:ext>
            </a:extLst>
          </xdr:cNvPr>
          <xdr:cNvSpPr txBox="1"/>
        </xdr:nvSpPr>
        <xdr:spPr>
          <a:xfrm>
            <a:off x="8893899" y="1030669"/>
            <a:ext cx="434734" cy="2645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rtlCol="0" anchor="t">
            <a:noAutofit/>
          </a:bodyPr>
          <a:lstStyle/>
          <a:p>
            <a:fld id="{8BAB68AE-3D36-46FC-8994-788F8BFACA72}" type="TxLink">
              <a:rPr lang="en-US" sz="1100" b="0" i="1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1,00</a:t>
            </a:fld>
            <a:endParaRPr lang="it-IT" sz="1100" i="1"/>
          </a:p>
        </xdr:txBody>
      </xdr:sp>
      <xdr:sp macro="" textlink="$C$15">
        <xdr:nvSpPr>
          <xdr:cNvPr id="42" name="CasellaDiTesto 41">
            <a:extLst>
              <a:ext uri="{FF2B5EF4-FFF2-40B4-BE49-F238E27FC236}">
                <a16:creationId xmlns:a16="http://schemas.microsoft.com/office/drawing/2014/main" id="{00000000-0008-0000-0100-00002A000000}"/>
              </a:ext>
            </a:extLst>
          </xdr:cNvPr>
          <xdr:cNvSpPr txBox="1"/>
        </xdr:nvSpPr>
        <xdr:spPr>
          <a:xfrm>
            <a:off x="5226774" y="1859344"/>
            <a:ext cx="535403" cy="280205"/>
          </a:xfrm>
          <a:prstGeom prst="rect">
            <a:avLst/>
          </a:prstGeom>
          <a:solidFill>
            <a:schemeClr val="bg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rtlCol="0" anchor="t">
            <a:noAutofit/>
          </a:bodyPr>
          <a:lstStyle/>
          <a:p>
            <a:fld id="{27EB09C7-CC7F-4905-80FE-6D9E1284BF71}" type="TxLink">
              <a:rPr lang="en-US" sz="1200" b="0" i="1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45,00</a:t>
            </a:fld>
            <a:endParaRPr lang="it-IT" sz="1200" b="1" i="1"/>
          </a:p>
        </xdr:txBody>
      </xdr:sp>
      <xdr:cxnSp macro="">
        <xdr:nvCxnSpPr>
          <xdr:cNvPr id="10" name="Connettore 2 9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CxnSpPr/>
        </xdr:nvCxnSpPr>
        <xdr:spPr>
          <a:xfrm>
            <a:off x="7531824" y="1764094"/>
            <a:ext cx="576000" cy="0"/>
          </a:xfrm>
          <a:prstGeom prst="straightConnector1">
            <a:avLst/>
          </a:prstGeom>
          <a:ln>
            <a:solidFill>
              <a:sysClr val="windowText" lastClr="000000"/>
            </a:solidFill>
            <a:headEnd type="none" w="lg" len="lg"/>
            <a:tailEnd type="none" w="lg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6" name="Connettore 2 25">
            <a:extLst>
              <a:ext uri="{FF2B5EF4-FFF2-40B4-BE49-F238E27FC236}">
                <a16:creationId xmlns:a16="http://schemas.microsoft.com/office/drawing/2014/main" id="{00000000-0008-0000-0100-00001A000000}"/>
              </a:ext>
            </a:extLst>
          </xdr:cNvPr>
          <xdr:cNvCxnSpPr/>
        </xdr:nvCxnSpPr>
        <xdr:spPr>
          <a:xfrm>
            <a:off x="8103324" y="1392619"/>
            <a:ext cx="0" cy="360000"/>
          </a:xfrm>
          <a:prstGeom prst="straightConnector1">
            <a:avLst/>
          </a:prstGeom>
          <a:ln>
            <a:solidFill>
              <a:sysClr val="windowText" lastClr="000000"/>
            </a:solidFill>
            <a:headEnd type="stealth" w="lg" len="lg"/>
            <a:tailEnd type="stealth" w="lg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$C$7">
        <xdr:nvSpPr>
          <xdr:cNvPr id="27" name="CasellaDiTesto 26">
            <a:extLst>
              <a:ext uri="{FF2B5EF4-FFF2-40B4-BE49-F238E27FC236}">
                <a16:creationId xmlns:a16="http://schemas.microsoft.com/office/drawing/2014/main" id="{00000000-0008-0000-0100-00001B000000}"/>
              </a:ext>
            </a:extLst>
          </xdr:cNvPr>
          <xdr:cNvSpPr txBox="1"/>
        </xdr:nvSpPr>
        <xdr:spPr>
          <a:xfrm>
            <a:off x="8093799" y="1430719"/>
            <a:ext cx="434734" cy="2645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rtlCol="0" anchor="t">
            <a:noAutofit/>
          </a:bodyPr>
          <a:lstStyle/>
          <a:p>
            <a:fld id="{33B59AFD-DD5D-4F29-AB9A-A17319A633A2}" type="TxLink">
              <a:rPr lang="en-US" sz="1100" b="0" i="1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0,00</a:t>
            </a:fld>
            <a:endParaRPr lang="it-IT" sz="1100" i="1"/>
          </a:p>
        </xdr:txBody>
      </xdr:sp>
      <xdr:sp macro="" textlink="$C$6">
        <xdr:nvSpPr>
          <xdr:cNvPr id="33" name="CasellaDiTesto 32">
            <a:extLst>
              <a:ext uri="{FF2B5EF4-FFF2-40B4-BE49-F238E27FC236}">
                <a16:creationId xmlns:a16="http://schemas.microsoft.com/office/drawing/2014/main" id="{00000000-0008-0000-0100-000021000000}"/>
              </a:ext>
            </a:extLst>
          </xdr:cNvPr>
          <xdr:cNvSpPr txBox="1"/>
        </xdr:nvSpPr>
        <xdr:spPr>
          <a:xfrm>
            <a:off x="6903174" y="1411669"/>
            <a:ext cx="506229" cy="2645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rtlCol="0" anchor="t">
            <a:noAutofit/>
          </a:bodyPr>
          <a:lstStyle/>
          <a:p>
            <a:fld id="{E8182060-D08C-4DD6-8988-D1C1EF638524}" type="TxLink">
              <a:rPr lang="en-US" sz="1100" b="0" i="1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0,00</a:t>
            </a:fld>
            <a:endParaRPr lang="it-IT" sz="1100" i="1"/>
          </a:p>
        </xdr:txBody>
      </xdr:sp>
      <xdr:cxnSp macro="">
        <xdr:nvCxnSpPr>
          <xdr:cNvPr id="43" name="Connettore 2 42">
            <a:extLst>
              <a:ext uri="{FF2B5EF4-FFF2-40B4-BE49-F238E27FC236}">
                <a16:creationId xmlns:a16="http://schemas.microsoft.com/office/drawing/2014/main" id="{00000000-0008-0000-0100-00002B000000}"/>
              </a:ext>
            </a:extLst>
          </xdr:cNvPr>
          <xdr:cNvCxnSpPr/>
        </xdr:nvCxnSpPr>
        <xdr:spPr>
          <a:xfrm>
            <a:off x="6769824" y="1649794"/>
            <a:ext cx="756000" cy="0"/>
          </a:xfrm>
          <a:prstGeom prst="straightConnector1">
            <a:avLst/>
          </a:prstGeom>
          <a:ln>
            <a:solidFill>
              <a:sysClr val="windowText" lastClr="000000"/>
            </a:solidFill>
            <a:headEnd type="stealth" w="lg" len="lg"/>
            <a:tailEnd type="stealth" w="lg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reas\FWENVI\WWT%20Area\1-BH-0267A%20-%20prolungamento%20studio%20di%20fattibilit&#224;%20KRC\09%20Design%20calculations\calcoli%20finali\pfd%20nuovo%20impianto%20-%20falda%20+%20processo%20con%20biologic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tmilfs002\b1h00\PROJECTS\1-BH-0389A%20KJO-RWTF2\09%20Design%20calculations\Linee\Linee%2010_12_16%20sketch%20Bottazzi\Design%20flowrate\line%2012%20pollici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wfsc003/1cd1213a/ZoneExchange/Equipment%20list/front%20pag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c\Backup%2029-09-06\Seam%201-025%20Politecnico%20Merone\09.0%20-%20Design%20Calculation\Linea%20fanghi\Progettazione%20impianto%20civile\progetto%20impianto%20di%20depurazione%20civil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REAS\DIP110\APPLICAT\pumps\PUM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c medie inquinanti "/>
      <sheetName val="Schema a blocchi"/>
      <sheetName val="calcolo servizi"/>
      <sheetName val="API"/>
      <sheetName val="DAF"/>
      <sheetName val="Caldensitàmiscela"/>
      <sheetName val="Basi di progetto biologico"/>
      <sheetName val="Biologico tradizionale"/>
      <sheetName val="Calcolo ossigeno"/>
      <sheetName val="Sedimentazione Secondaria"/>
      <sheetName val="Valutazione fanghi prodotti"/>
      <sheetName val="Ispessitore"/>
      <sheetName val="Ricalcolo acqua in ingresso API"/>
      <sheetName val="Calcolo apparecchiature"/>
      <sheetName val="Compressori"/>
      <sheetName val="CPI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m RPI"/>
      <sheetName val="From Surge Tank"/>
      <sheetName val="From CPI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rev1"/>
      <sheetName val="listes"/>
    </sheetNames>
    <sheetDataSet>
      <sheetData sheetId="0" refreshError="1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 di progetto"/>
      <sheetName val="Canaletta in ingresso"/>
      <sheetName val="Griglia grossolana"/>
      <sheetName val="Dissabbiatore"/>
      <sheetName val="Vasca di compenso"/>
      <sheetName val="Sedimentazione Primaria"/>
      <sheetName val="Biologico tradizionale"/>
      <sheetName val="Nitro"/>
      <sheetName val="Denitro"/>
      <sheetName val=" nitro denitro (T perm) e dim."/>
      <sheetName val="Sedimentazione Secondaria"/>
      <sheetName val="ossigeno in nitro"/>
      <sheetName val="Filtrazione"/>
      <sheetName val="Disinfezione"/>
      <sheetName val="Valutazione fanghi prodotti"/>
      <sheetName val="vasca di miscelazione fanghi"/>
      <sheetName val="Ispessitore"/>
      <sheetName val="Digestione Anaerobica"/>
      <sheetName val="Dimensionamento dig. anaer."/>
      <sheetName val="Filtropressatura"/>
      <sheetName val="Gasometro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UMP CALCULATION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55CA1-5DAB-4B1D-94B4-FD05EEF1EA24}">
  <dimension ref="A1:AD48"/>
  <sheetViews>
    <sheetView tabSelected="1" topLeftCell="A8" zoomScaleNormal="100" zoomScaleSheetLayoutView="100" workbookViewId="0">
      <selection activeCell="A8" sqref="A8:AD39"/>
    </sheetView>
  </sheetViews>
  <sheetFormatPr defaultRowHeight="12" x14ac:dyDescent="0.2"/>
  <cols>
    <col min="1" max="30" width="3.28515625" style="41" customWidth="1"/>
    <col min="31" max="256" width="9.140625" style="41"/>
    <col min="257" max="286" width="3.28515625" style="41" customWidth="1"/>
    <col min="287" max="512" width="9.140625" style="41"/>
    <col min="513" max="542" width="3.28515625" style="41" customWidth="1"/>
    <col min="543" max="768" width="9.140625" style="41"/>
    <col min="769" max="798" width="3.28515625" style="41" customWidth="1"/>
    <col min="799" max="1024" width="9.140625" style="41"/>
    <col min="1025" max="1054" width="3.28515625" style="41" customWidth="1"/>
    <col min="1055" max="1280" width="9.140625" style="41"/>
    <col min="1281" max="1310" width="3.28515625" style="41" customWidth="1"/>
    <col min="1311" max="1536" width="9.140625" style="41"/>
    <col min="1537" max="1566" width="3.28515625" style="41" customWidth="1"/>
    <col min="1567" max="1792" width="9.140625" style="41"/>
    <col min="1793" max="1822" width="3.28515625" style="41" customWidth="1"/>
    <col min="1823" max="2048" width="9.140625" style="41"/>
    <col min="2049" max="2078" width="3.28515625" style="41" customWidth="1"/>
    <col min="2079" max="2304" width="9.140625" style="41"/>
    <col min="2305" max="2334" width="3.28515625" style="41" customWidth="1"/>
    <col min="2335" max="2560" width="9.140625" style="41"/>
    <col min="2561" max="2590" width="3.28515625" style="41" customWidth="1"/>
    <col min="2591" max="2816" width="9.140625" style="41"/>
    <col min="2817" max="2846" width="3.28515625" style="41" customWidth="1"/>
    <col min="2847" max="3072" width="9.140625" style="41"/>
    <col min="3073" max="3102" width="3.28515625" style="41" customWidth="1"/>
    <col min="3103" max="3328" width="9.140625" style="41"/>
    <col min="3329" max="3358" width="3.28515625" style="41" customWidth="1"/>
    <col min="3359" max="3584" width="9.140625" style="41"/>
    <col min="3585" max="3614" width="3.28515625" style="41" customWidth="1"/>
    <col min="3615" max="3840" width="9.140625" style="41"/>
    <col min="3841" max="3870" width="3.28515625" style="41" customWidth="1"/>
    <col min="3871" max="4096" width="9.140625" style="41"/>
    <col min="4097" max="4126" width="3.28515625" style="41" customWidth="1"/>
    <col min="4127" max="4352" width="9.140625" style="41"/>
    <col min="4353" max="4382" width="3.28515625" style="41" customWidth="1"/>
    <col min="4383" max="4608" width="9.140625" style="41"/>
    <col min="4609" max="4638" width="3.28515625" style="41" customWidth="1"/>
    <col min="4639" max="4864" width="9.140625" style="41"/>
    <col min="4865" max="4894" width="3.28515625" style="41" customWidth="1"/>
    <col min="4895" max="5120" width="9.140625" style="41"/>
    <col min="5121" max="5150" width="3.28515625" style="41" customWidth="1"/>
    <col min="5151" max="5376" width="9.140625" style="41"/>
    <col min="5377" max="5406" width="3.28515625" style="41" customWidth="1"/>
    <col min="5407" max="5632" width="9.140625" style="41"/>
    <col min="5633" max="5662" width="3.28515625" style="41" customWidth="1"/>
    <col min="5663" max="5888" width="9.140625" style="41"/>
    <col min="5889" max="5918" width="3.28515625" style="41" customWidth="1"/>
    <col min="5919" max="6144" width="9.140625" style="41"/>
    <col min="6145" max="6174" width="3.28515625" style="41" customWidth="1"/>
    <col min="6175" max="6400" width="9.140625" style="41"/>
    <col min="6401" max="6430" width="3.28515625" style="41" customWidth="1"/>
    <col min="6431" max="6656" width="9.140625" style="41"/>
    <col min="6657" max="6686" width="3.28515625" style="41" customWidth="1"/>
    <col min="6687" max="6912" width="9.140625" style="41"/>
    <col min="6913" max="6942" width="3.28515625" style="41" customWidth="1"/>
    <col min="6943" max="7168" width="9.140625" style="41"/>
    <col min="7169" max="7198" width="3.28515625" style="41" customWidth="1"/>
    <col min="7199" max="7424" width="9.140625" style="41"/>
    <col min="7425" max="7454" width="3.28515625" style="41" customWidth="1"/>
    <col min="7455" max="7680" width="9.140625" style="41"/>
    <col min="7681" max="7710" width="3.28515625" style="41" customWidth="1"/>
    <col min="7711" max="7936" width="9.140625" style="41"/>
    <col min="7937" max="7966" width="3.28515625" style="41" customWidth="1"/>
    <col min="7967" max="8192" width="9.140625" style="41"/>
    <col min="8193" max="8222" width="3.28515625" style="41" customWidth="1"/>
    <col min="8223" max="8448" width="9.140625" style="41"/>
    <col min="8449" max="8478" width="3.28515625" style="41" customWidth="1"/>
    <col min="8479" max="8704" width="9.140625" style="41"/>
    <col min="8705" max="8734" width="3.28515625" style="41" customWidth="1"/>
    <col min="8735" max="8960" width="9.140625" style="41"/>
    <col min="8961" max="8990" width="3.28515625" style="41" customWidth="1"/>
    <col min="8991" max="9216" width="9.140625" style="41"/>
    <col min="9217" max="9246" width="3.28515625" style="41" customWidth="1"/>
    <col min="9247" max="9472" width="9.140625" style="41"/>
    <col min="9473" max="9502" width="3.28515625" style="41" customWidth="1"/>
    <col min="9503" max="9728" width="9.140625" style="41"/>
    <col min="9729" max="9758" width="3.28515625" style="41" customWidth="1"/>
    <col min="9759" max="9984" width="9.140625" style="41"/>
    <col min="9985" max="10014" width="3.28515625" style="41" customWidth="1"/>
    <col min="10015" max="10240" width="9.140625" style="41"/>
    <col min="10241" max="10270" width="3.28515625" style="41" customWidth="1"/>
    <col min="10271" max="10496" width="9.140625" style="41"/>
    <col min="10497" max="10526" width="3.28515625" style="41" customWidth="1"/>
    <col min="10527" max="10752" width="9.140625" style="41"/>
    <col min="10753" max="10782" width="3.28515625" style="41" customWidth="1"/>
    <col min="10783" max="11008" width="9.140625" style="41"/>
    <col min="11009" max="11038" width="3.28515625" style="41" customWidth="1"/>
    <col min="11039" max="11264" width="9.140625" style="41"/>
    <col min="11265" max="11294" width="3.28515625" style="41" customWidth="1"/>
    <col min="11295" max="11520" width="9.140625" style="41"/>
    <col min="11521" max="11550" width="3.28515625" style="41" customWidth="1"/>
    <col min="11551" max="11776" width="9.140625" style="41"/>
    <col min="11777" max="11806" width="3.28515625" style="41" customWidth="1"/>
    <col min="11807" max="12032" width="9.140625" style="41"/>
    <col min="12033" max="12062" width="3.28515625" style="41" customWidth="1"/>
    <col min="12063" max="12288" width="9.140625" style="41"/>
    <col min="12289" max="12318" width="3.28515625" style="41" customWidth="1"/>
    <col min="12319" max="12544" width="9.140625" style="41"/>
    <col min="12545" max="12574" width="3.28515625" style="41" customWidth="1"/>
    <col min="12575" max="12800" width="9.140625" style="41"/>
    <col min="12801" max="12830" width="3.28515625" style="41" customWidth="1"/>
    <col min="12831" max="13056" width="9.140625" style="41"/>
    <col min="13057" max="13086" width="3.28515625" style="41" customWidth="1"/>
    <col min="13087" max="13312" width="9.140625" style="41"/>
    <col min="13313" max="13342" width="3.28515625" style="41" customWidth="1"/>
    <col min="13343" max="13568" width="9.140625" style="41"/>
    <col min="13569" max="13598" width="3.28515625" style="41" customWidth="1"/>
    <col min="13599" max="13824" width="9.140625" style="41"/>
    <col min="13825" max="13854" width="3.28515625" style="41" customWidth="1"/>
    <col min="13855" max="14080" width="9.140625" style="41"/>
    <col min="14081" max="14110" width="3.28515625" style="41" customWidth="1"/>
    <col min="14111" max="14336" width="9.140625" style="41"/>
    <col min="14337" max="14366" width="3.28515625" style="41" customWidth="1"/>
    <col min="14367" max="14592" width="9.140625" style="41"/>
    <col min="14593" max="14622" width="3.28515625" style="41" customWidth="1"/>
    <col min="14623" max="14848" width="9.140625" style="41"/>
    <col min="14849" max="14878" width="3.28515625" style="41" customWidth="1"/>
    <col min="14879" max="15104" width="9.140625" style="41"/>
    <col min="15105" max="15134" width="3.28515625" style="41" customWidth="1"/>
    <col min="15135" max="15360" width="9.140625" style="41"/>
    <col min="15361" max="15390" width="3.28515625" style="41" customWidth="1"/>
    <col min="15391" max="15616" width="9.140625" style="41"/>
    <col min="15617" max="15646" width="3.28515625" style="41" customWidth="1"/>
    <col min="15647" max="15872" width="9.140625" style="41"/>
    <col min="15873" max="15902" width="3.28515625" style="41" customWidth="1"/>
    <col min="15903" max="16128" width="9.140625" style="41"/>
    <col min="16129" max="16158" width="3.28515625" style="41" customWidth="1"/>
    <col min="16159" max="16384" width="9.140625" style="41"/>
  </cols>
  <sheetData>
    <row r="1" spans="1:30" ht="15" customHeight="1" x14ac:dyDescent="0.2">
      <c r="A1" s="38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40"/>
    </row>
    <row r="2" spans="1:30" ht="15" customHeight="1" x14ac:dyDescent="0.2">
      <c r="A2" s="42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4"/>
    </row>
    <row r="3" spans="1:30" ht="15" customHeight="1" x14ac:dyDescent="0.2">
      <c r="A3" s="42"/>
      <c r="B3" s="43"/>
      <c r="C3" s="43"/>
      <c r="D3" s="43"/>
      <c r="E3" s="43"/>
      <c r="F3" s="43"/>
      <c r="G3" s="43"/>
      <c r="H3" s="45"/>
      <c r="I3" s="45"/>
      <c r="J3" s="45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7"/>
      <c r="X3" s="47"/>
      <c r="Y3" s="47"/>
      <c r="Z3" s="47"/>
      <c r="AA3" s="47"/>
      <c r="AB3" s="47"/>
      <c r="AC3" s="47"/>
      <c r="AD3" s="48"/>
    </row>
    <row r="4" spans="1:30" ht="15" customHeight="1" x14ac:dyDescent="0.2">
      <c r="A4" s="42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4"/>
    </row>
    <row r="5" spans="1:30" ht="15" customHeight="1" x14ac:dyDescent="0.2">
      <c r="A5" s="42"/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4"/>
    </row>
    <row r="6" spans="1:30" ht="15" customHeight="1" x14ac:dyDescent="0.2">
      <c r="A6" s="42"/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4"/>
    </row>
    <row r="7" spans="1:30" ht="15" customHeight="1" thickBot="1" x14ac:dyDescent="0.25">
      <c r="A7" s="49"/>
      <c r="B7" s="50"/>
      <c r="C7" s="50"/>
      <c r="D7" s="50"/>
      <c r="E7" s="50"/>
      <c r="F7" s="51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50"/>
      <c r="AB7" s="50"/>
      <c r="AC7" s="50"/>
      <c r="AD7" s="52"/>
    </row>
    <row r="8" spans="1:30" ht="15" customHeight="1" x14ac:dyDescent="0.2">
      <c r="A8" s="78" t="s">
        <v>101</v>
      </c>
      <c r="B8" s="79"/>
      <c r="C8" s="79"/>
      <c r="D8" s="79"/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80"/>
    </row>
    <row r="9" spans="1:30" ht="15" customHeight="1" x14ac:dyDescent="0.2">
      <c r="A9" s="81"/>
      <c r="B9" s="82"/>
      <c r="C9" s="82"/>
      <c r="D9" s="82"/>
      <c r="E9" s="82"/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3"/>
    </row>
    <row r="10" spans="1:30" ht="15" customHeight="1" x14ac:dyDescent="0.2">
      <c r="A10" s="81"/>
      <c r="B10" s="82"/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3"/>
    </row>
    <row r="11" spans="1:30" ht="15" customHeight="1" x14ac:dyDescent="0.2">
      <c r="A11" s="81"/>
      <c r="B11" s="82"/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3"/>
    </row>
    <row r="12" spans="1:30" ht="15" customHeight="1" x14ac:dyDescent="0.2">
      <c r="A12" s="81"/>
      <c r="B12" s="82"/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3"/>
    </row>
    <row r="13" spans="1:30" ht="15" customHeight="1" x14ac:dyDescent="0.2">
      <c r="A13" s="81"/>
      <c r="B13" s="82"/>
      <c r="C13" s="82"/>
      <c r="D13" s="82"/>
      <c r="E13" s="82"/>
      <c r="F13" s="82"/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3"/>
    </row>
    <row r="14" spans="1:30" ht="15" customHeight="1" x14ac:dyDescent="0.2">
      <c r="A14" s="81"/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3"/>
    </row>
    <row r="15" spans="1:30" ht="15" customHeight="1" x14ac:dyDescent="0.2">
      <c r="A15" s="81"/>
      <c r="B15" s="82"/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3"/>
    </row>
    <row r="16" spans="1:30" ht="15" customHeight="1" x14ac:dyDescent="0.2">
      <c r="A16" s="81"/>
      <c r="B16" s="82"/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3"/>
    </row>
    <row r="17" spans="1:30" ht="15" customHeight="1" x14ac:dyDescent="0.2">
      <c r="A17" s="81"/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3"/>
    </row>
    <row r="18" spans="1:30" ht="15" customHeight="1" x14ac:dyDescent="0.2">
      <c r="A18" s="81"/>
      <c r="B18" s="82"/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3"/>
    </row>
    <row r="19" spans="1:30" ht="15" customHeight="1" x14ac:dyDescent="0.2">
      <c r="A19" s="81"/>
      <c r="B19" s="82"/>
      <c r="C19" s="82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3"/>
    </row>
    <row r="20" spans="1:30" ht="15" customHeight="1" x14ac:dyDescent="0.2">
      <c r="A20" s="81"/>
      <c r="B20" s="82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3"/>
    </row>
    <row r="21" spans="1:30" ht="15" customHeight="1" x14ac:dyDescent="0.2">
      <c r="A21" s="81"/>
      <c r="B21" s="82"/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3"/>
    </row>
    <row r="22" spans="1:30" ht="15" customHeight="1" x14ac:dyDescent="0.2">
      <c r="A22" s="81"/>
      <c r="B22" s="82"/>
      <c r="C22" s="82"/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3"/>
    </row>
    <row r="23" spans="1:30" ht="15" customHeight="1" x14ac:dyDescent="0.2">
      <c r="A23" s="81"/>
      <c r="B23" s="82"/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3"/>
    </row>
    <row r="24" spans="1:30" ht="15" customHeight="1" x14ac:dyDescent="0.2">
      <c r="A24" s="81"/>
      <c r="B24" s="82"/>
      <c r="C24" s="82"/>
      <c r="D24" s="82"/>
      <c r="E24" s="82"/>
      <c r="F24" s="82"/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  <c r="AD24" s="83"/>
    </row>
    <row r="25" spans="1:30" ht="15" customHeight="1" x14ac:dyDescent="0.2">
      <c r="A25" s="81"/>
      <c r="B25" s="82"/>
      <c r="C25" s="82"/>
      <c r="D25" s="82"/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3"/>
    </row>
    <row r="26" spans="1:30" ht="15" customHeight="1" x14ac:dyDescent="0.2">
      <c r="A26" s="81"/>
      <c r="B26" s="82"/>
      <c r="C26" s="82"/>
      <c r="D26" s="82"/>
      <c r="E26" s="82"/>
      <c r="F26" s="82"/>
      <c r="G26" s="82"/>
      <c r="H26" s="82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  <c r="AD26" s="83"/>
    </row>
    <row r="27" spans="1:30" ht="15" customHeight="1" x14ac:dyDescent="0.2">
      <c r="A27" s="81"/>
      <c r="B27" s="82"/>
      <c r="C27" s="82"/>
      <c r="D27" s="82"/>
      <c r="E27" s="82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82"/>
      <c r="AD27" s="83"/>
    </row>
    <row r="28" spans="1:30" ht="15" customHeight="1" x14ac:dyDescent="0.2">
      <c r="A28" s="81"/>
      <c r="B28" s="82"/>
      <c r="C28" s="82"/>
      <c r="D28" s="82"/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  <c r="AD28" s="83"/>
    </row>
    <row r="29" spans="1:30" ht="15" customHeight="1" x14ac:dyDescent="0.2">
      <c r="A29" s="81"/>
      <c r="B29" s="82"/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3"/>
    </row>
    <row r="30" spans="1:30" ht="15" customHeight="1" x14ac:dyDescent="0.2">
      <c r="A30" s="81"/>
      <c r="B30" s="82"/>
      <c r="C30" s="82"/>
      <c r="D30" s="82"/>
      <c r="E30" s="82"/>
      <c r="F30" s="82"/>
      <c r="G30" s="82"/>
      <c r="H30" s="82"/>
      <c r="I30" s="82"/>
      <c r="J30" s="82"/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82"/>
      <c r="AD30" s="83"/>
    </row>
    <row r="31" spans="1:30" ht="15" customHeight="1" x14ac:dyDescent="0.2">
      <c r="A31" s="81"/>
      <c r="B31" s="82"/>
      <c r="C31" s="82"/>
      <c r="D31" s="82"/>
      <c r="E31" s="82"/>
      <c r="F31" s="82"/>
      <c r="G31" s="82"/>
      <c r="H31" s="82"/>
      <c r="I31" s="82"/>
      <c r="J31" s="82"/>
      <c r="K31" s="82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  <c r="AA31" s="82"/>
      <c r="AB31" s="82"/>
      <c r="AC31" s="82"/>
      <c r="AD31" s="83"/>
    </row>
    <row r="32" spans="1:30" ht="15" customHeight="1" x14ac:dyDescent="0.2">
      <c r="A32" s="81"/>
      <c r="B32" s="82"/>
      <c r="C32" s="82"/>
      <c r="D32" s="82"/>
      <c r="E32" s="82"/>
      <c r="F32" s="82"/>
      <c r="G32" s="82"/>
      <c r="H32" s="82"/>
      <c r="I32" s="82"/>
      <c r="J32" s="82"/>
      <c r="K32" s="82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  <c r="AA32" s="82"/>
      <c r="AB32" s="82"/>
      <c r="AC32" s="82"/>
      <c r="AD32" s="83"/>
    </row>
    <row r="33" spans="1:30" ht="15" customHeight="1" x14ac:dyDescent="0.2">
      <c r="A33" s="81"/>
      <c r="B33" s="82"/>
      <c r="C33" s="82"/>
      <c r="D33" s="82"/>
      <c r="E33" s="82"/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83"/>
    </row>
    <row r="34" spans="1:30" ht="15" customHeight="1" x14ac:dyDescent="0.2">
      <c r="A34" s="81"/>
      <c r="B34" s="82"/>
      <c r="C34" s="82"/>
      <c r="D34" s="82"/>
      <c r="E34" s="82"/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3"/>
    </row>
    <row r="35" spans="1:30" ht="15" customHeight="1" x14ac:dyDescent="0.2">
      <c r="A35" s="81"/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2"/>
      <c r="AD35" s="83"/>
    </row>
    <row r="36" spans="1:30" ht="15" customHeight="1" x14ac:dyDescent="0.2">
      <c r="A36" s="81"/>
      <c r="B36" s="82"/>
      <c r="C36" s="82"/>
      <c r="D36" s="82"/>
      <c r="E36" s="82"/>
      <c r="F36" s="82"/>
      <c r="G36" s="82"/>
      <c r="H36" s="82"/>
      <c r="I36" s="82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  <c r="AA36" s="82"/>
      <c r="AB36" s="82"/>
      <c r="AC36" s="82"/>
      <c r="AD36" s="83"/>
    </row>
    <row r="37" spans="1:30" ht="15" customHeight="1" x14ac:dyDescent="0.2">
      <c r="A37" s="81"/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3"/>
    </row>
    <row r="38" spans="1:30" ht="15" customHeight="1" x14ac:dyDescent="0.2">
      <c r="A38" s="81"/>
      <c r="B38" s="82"/>
      <c r="C38" s="82"/>
      <c r="D38" s="82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  <c r="AA38" s="82"/>
      <c r="AB38" s="82"/>
      <c r="AC38" s="82"/>
      <c r="AD38" s="83"/>
    </row>
    <row r="39" spans="1:30" ht="15" customHeight="1" thickBot="1" x14ac:dyDescent="0.25">
      <c r="A39" s="84"/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  <c r="AD39" s="86"/>
    </row>
    <row r="40" spans="1:30" ht="30" customHeight="1" x14ac:dyDescent="0.2">
      <c r="A40" s="87"/>
      <c r="B40" s="88"/>
      <c r="C40" s="89"/>
      <c r="D40" s="90"/>
      <c r="E40" s="90"/>
      <c r="F40" s="88"/>
      <c r="G40" s="89"/>
      <c r="H40" s="90"/>
      <c r="I40" s="90"/>
      <c r="J40" s="90"/>
      <c r="K40" s="90"/>
      <c r="L40" s="90"/>
      <c r="M40" s="90"/>
      <c r="N40" s="90"/>
      <c r="O40" s="90"/>
      <c r="P40" s="89"/>
      <c r="Q40" s="90"/>
      <c r="R40" s="90"/>
      <c r="S40" s="90"/>
      <c r="T40" s="88"/>
      <c r="U40" s="89"/>
      <c r="V40" s="90"/>
      <c r="W40" s="90"/>
      <c r="X40" s="90"/>
      <c r="Y40" s="88"/>
      <c r="Z40" s="89"/>
      <c r="AA40" s="90"/>
      <c r="AB40" s="90"/>
      <c r="AC40" s="90"/>
      <c r="AD40" s="91"/>
    </row>
    <row r="41" spans="1:30" ht="30" customHeight="1" x14ac:dyDescent="0.2">
      <c r="A41" s="65"/>
      <c r="B41" s="66"/>
      <c r="C41" s="67"/>
      <c r="D41" s="68"/>
      <c r="E41" s="68"/>
      <c r="F41" s="66"/>
      <c r="G41" s="67"/>
      <c r="H41" s="68"/>
      <c r="I41" s="68"/>
      <c r="J41" s="68"/>
      <c r="K41" s="68"/>
      <c r="L41" s="68"/>
      <c r="M41" s="68"/>
      <c r="N41" s="68"/>
      <c r="O41" s="68"/>
      <c r="P41" s="67"/>
      <c r="Q41" s="68"/>
      <c r="R41" s="68"/>
      <c r="S41" s="68"/>
      <c r="T41" s="66"/>
      <c r="U41" s="67"/>
      <c r="V41" s="68"/>
      <c r="W41" s="68"/>
      <c r="X41" s="68"/>
      <c r="Y41" s="66"/>
      <c r="Z41" s="67"/>
      <c r="AA41" s="68"/>
      <c r="AB41" s="68"/>
      <c r="AC41" s="68"/>
      <c r="AD41" s="69"/>
    </row>
    <row r="42" spans="1:30" ht="30" customHeight="1" x14ac:dyDescent="0.2">
      <c r="A42" s="65"/>
      <c r="B42" s="66"/>
      <c r="C42" s="67"/>
      <c r="D42" s="68"/>
      <c r="E42" s="68"/>
      <c r="F42" s="66"/>
      <c r="G42" s="67"/>
      <c r="H42" s="68"/>
      <c r="I42" s="68"/>
      <c r="J42" s="68"/>
      <c r="K42" s="68"/>
      <c r="L42" s="68"/>
      <c r="M42" s="68"/>
      <c r="N42" s="68"/>
      <c r="O42" s="68"/>
      <c r="P42" s="67"/>
      <c r="Q42" s="68"/>
      <c r="R42" s="68"/>
      <c r="S42" s="68"/>
      <c r="T42" s="66"/>
      <c r="U42" s="67"/>
      <c r="V42" s="68"/>
      <c r="W42" s="68"/>
      <c r="X42" s="68"/>
      <c r="Y42" s="66"/>
      <c r="Z42" s="67"/>
      <c r="AA42" s="68"/>
      <c r="AB42" s="68"/>
      <c r="AC42" s="68"/>
      <c r="AD42" s="69"/>
    </row>
    <row r="43" spans="1:30" ht="30" customHeight="1" x14ac:dyDescent="0.2">
      <c r="A43" s="65"/>
      <c r="B43" s="66"/>
      <c r="C43" s="67"/>
      <c r="D43" s="68"/>
      <c r="E43" s="68"/>
      <c r="F43" s="66"/>
      <c r="G43" s="67"/>
      <c r="H43" s="68"/>
      <c r="I43" s="68"/>
      <c r="J43" s="68"/>
      <c r="K43" s="68"/>
      <c r="L43" s="68"/>
      <c r="M43" s="68"/>
      <c r="N43" s="68"/>
      <c r="O43" s="68"/>
      <c r="P43" s="67"/>
      <c r="Q43" s="68"/>
      <c r="R43" s="68"/>
      <c r="S43" s="68"/>
      <c r="T43" s="66"/>
      <c r="U43" s="67"/>
      <c r="V43" s="68"/>
      <c r="W43" s="68"/>
      <c r="X43" s="68"/>
      <c r="Y43" s="66"/>
      <c r="Z43" s="67"/>
      <c r="AA43" s="68"/>
      <c r="AB43" s="68"/>
      <c r="AC43" s="68"/>
      <c r="AD43" s="69"/>
    </row>
    <row r="44" spans="1:30" ht="30" customHeight="1" x14ac:dyDescent="0.2">
      <c r="A44" s="65"/>
      <c r="B44" s="66"/>
      <c r="C44" s="67"/>
      <c r="D44" s="68"/>
      <c r="E44" s="68"/>
      <c r="F44" s="66"/>
      <c r="G44" s="67"/>
      <c r="H44" s="68"/>
      <c r="I44" s="68"/>
      <c r="J44" s="68"/>
      <c r="K44" s="68"/>
      <c r="L44" s="68"/>
      <c r="M44" s="68"/>
      <c r="N44" s="68"/>
      <c r="O44" s="68"/>
      <c r="P44" s="67"/>
      <c r="Q44" s="68"/>
      <c r="R44" s="68"/>
      <c r="S44" s="68"/>
      <c r="T44" s="66"/>
      <c r="U44" s="67"/>
      <c r="V44" s="68"/>
      <c r="W44" s="68"/>
      <c r="X44" s="68"/>
      <c r="Y44" s="66"/>
      <c r="Z44" s="67"/>
      <c r="AA44" s="68"/>
      <c r="AB44" s="68"/>
      <c r="AC44" s="68"/>
      <c r="AD44" s="69"/>
    </row>
    <row r="45" spans="1:30" ht="30" customHeight="1" x14ac:dyDescent="0.2">
      <c r="A45" s="65"/>
      <c r="B45" s="66"/>
      <c r="C45" s="67"/>
      <c r="D45" s="68"/>
      <c r="E45" s="68"/>
      <c r="F45" s="66"/>
      <c r="G45" s="67"/>
      <c r="H45" s="68"/>
      <c r="I45" s="68"/>
      <c r="J45" s="68"/>
      <c r="K45" s="68"/>
      <c r="L45" s="68"/>
      <c r="M45" s="68"/>
      <c r="N45" s="68"/>
      <c r="O45" s="68"/>
      <c r="P45" s="67"/>
      <c r="Q45" s="68"/>
      <c r="R45" s="68"/>
      <c r="S45" s="68"/>
      <c r="T45" s="66"/>
      <c r="U45" s="67"/>
      <c r="V45" s="68"/>
      <c r="W45" s="68"/>
      <c r="X45" s="68"/>
      <c r="Y45" s="66"/>
      <c r="Z45" s="67"/>
      <c r="AA45" s="68"/>
      <c r="AB45" s="68"/>
      <c r="AC45" s="68"/>
      <c r="AD45" s="69"/>
    </row>
    <row r="46" spans="1:30" ht="30" customHeight="1" x14ac:dyDescent="0.2">
      <c r="A46" s="70">
        <v>0</v>
      </c>
      <c r="B46" s="71"/>
      <c r="C46" s="72">
        <v>45355</v>
      </c>
      <c r="D46" s="73"/>
      <c r="E46" s="73"/>
      <c r="F46" s="74"/>
      <c r="G46" s="75" t="s">
        <v>0</v>
      </c>
      <c r="H46" s="76"/>
      <c r="I46" s="76"/>
      <c r="J46" s="76"/>
      <c r="K46" s="76"/>
      <c r="L46" s="76"/>
      <c r="M46" s="76"/>
      <c r="N46" s="76"/>
      <c r="O46" s="76"/>
      <c r="P46" s="62" t="s">
        <v>1</v>
      </c>
      <c r="Q46" s="63"/>
      <c r="R46" s="63"/>
      <c r="S46" s="63"/>
      <c r="T46" s="77"/>
      <c r="U46" s="62" t="s">
        <v>2</v>
      </c>
      <c r="V46" s="63"/>
      <c r="W46" s="63"/>
      <c r="X46" s="63"/>
      <c r="Y46" s="77"/>
      <c r="Z46" s="62" t="s">
        <v>3</v>
      </c>
      <c r="AA46" s="63"/>
      <c r="AB46" s="63"/>
      <c r="AC46" s="63"/>
      <c r="AD46" s="64"/>
    </row>
    <row r="47" spans="1:30" ht="15" customHeight="1" thickBot="1" x14ac:dyDescent="0.25">
      <c r="A47" s="56" t="s">
        <v>4</v>
      </c>
      <c r="B47" s="57"/>
      <c r="C47" s="58" t="s">
        <v>5</v>
      </c>
      <c r="D47" s="59"/>
      <c r="E47" s="59"/>
      <c r="F47" s="60"/>
      <c r="G47" s="58" t="s">
        <v>6</v>
      </c>
      <c r="H47" s="59"/>
      <c r="I47" s="59"/>
      <c r="J47" s="59"/>
      <c r="K47" s="59"/>
      <c r="L47" s="59"/>
      <c r="M47" s="59"/>
      <c r="N47" s="59"/>
      <c r="O47" s="59"/>
      <c r="P47" s="58" t="s">
        <v>7</v>
      </c>
      <c r="Q47" s="59"/>
      <c r="R47" s="59"/>
      <c r="S47" s="59"/>
      <c r="T47" s="60"/>
      <c r="U47" s="58" t="s">
        <v>8</v>
      </c>
      <c r="V47" s="59"/>
      <c r="W47" s="59"/>
      <c r="X47" s="59"/>
      <c r="Y47" s="59"/>
      <c r="Z47" s="58" t="s">
        <v>9</v>
      </c>
      <c r="AA47" s="59"/>
      <c r="AB47" s="59"/>
      <c r="AC47" s="59"/>
      <c r="AD47" s="61"/>
    </row>
    <row r="48" spans="1:30" ht="15" customHeight="1" thickBot="1" x14ac:dyDescent="0.25">
      <c r="A48" s="53" t="s">
        <v>100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5"/>
    </row>
  </sheetData>
  <mergeCells count="50">
    <mergeCell ref="A8:AD39"/>
    <mergeCell ref="A40:B40"/>
    <mergeCell ref="C40:F40"/>
    <mergeCell ref="G40:O40"/>
    <mergeCell ref="P40:T40"/>
    <mergeCell ref="U40:Y40"/>
    <mergeCell ref="Z40:AD40"/>
    <mergeCell ref="Z42:AD42"/>
    <mergeCell ref="A41:B41"/>
    <mergeCell ref="C41:F41"/>
    <mergeCell ref="G41:O41"/>
    <mergeCell ref="P41:T41"/>
    <mergeCell ref="U41:Y41"/>
    <mergeCell ref="Z41:AD41"/>
    <mergeCell ref="A42:B42"/>
    <mergeCell ref="C42:F42"/>
    <mergeCell ref="G42:O42"/>
    <mergeCell ref="P42:T42"/>
    <mergeCell ref="U42:Y42"/>
    <mergeCell ref="Z44:AD44"/>
    <mergeCell ref="A43:B43"/>
    <mergeCell ref="C43:F43"/>
    <mergeCell ref="G43:O43"/>
    <mergeCell ref="P43:T43"/>
    <mergeCell ref="U43:Y43"/>
    <mergeCell ref="Z43:AD43"/>
    <mergeCell ref="A44:B44"/>
    <mergeCell ref="C44:F44"/>
    <mergeCell ref="G44:O44"/>
    <mergeCell ref="P44:T44"/>
    <mergeCell ref="U44:Y44"/>
    <mergeCell ref="Z46:AD46"/>
    <mergeCell ref="A45:B45"/>
    <mergeCell ref="C45:F45"/>
    <mergeCell ref="G45:O45"/>
    <mergeCell ref="P45:T45"/>
    <mergeCell ref="U45:Y45"/>
    <mergeCell ref="Z45:AD45"/>
    <mergeCell ref="A46:B46"/>
    <mergeCell ref="C46:F46"/>
    <mergeCell ref="G46:O46"/>
    <mergeCell ref="P46:T46"/>
    <mergeCell ref="U46:Y46"/>
    <mergeCell ref="A48:AD48"/>
    <mergeCell ref="A47:B47"/>
    <mergeCell ref="C47:F47"/>
    <mergeCell ref="G47:O47"/>
    <mergeCell ref="P47:T47"/>
    <mergeCell ref="U47:Y47"/>
    <mergeCell ref="Z47:AD47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90" fitToWidth="3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40BE3-9B9C-4A27-844D-C50A1ED58C94}">
  <sheetPr codeName="Foglio1"/>
  <dimension ref="B2:AB42"/>
  <sheetViews>
    <sheetView zoomScaleNormal="100" workbookViewId="0">
      <selection activeCell="C17" sqref="C17"/>
    </sheetView>
  </sheetViews>
  <sheetFormatPr defaultRowHeight="15" x14ac:dyDescent="0.25"/>
  <cols>
    <col min="1" max="1" width="2.7109375" customWidth="1"/>
    <col min="2" max="2" width="14.85546875" bestFit="1" customWidth="1"/>
    <col min="3" max="3" width="12.5703125" bestFit="1" customWidth="1"/>
    <col min="4" max="4" width="11" customWidth="1"/>
    <col min="5" max="5" width="14.140625" bestFit="1" customWidth="1"/>
    <col min="8" max="8" width="2.7109375" customWidth="1"/>
    <col min="12" max="12" width="9.140625" customWidth="1"/>
    <col min="25" max="25" width="2.7109375" customWidth="1"/>
    <col min="26" max="28" width="11.5703125" customWidth="1"/>
    <col min="29" max="29" width="2.7109375" customWidth="1"/>
    <col min="30" max="30" width="10.7109375" bestFit="1" customWidth="1"/>
  </cols>
  <sheetData>
    <row r="2" spans="2:28" ht="30" x14ac:dyDescent="0.25">
      <c r="B2" s="102" t="s">
        <v>10</v>
      </c>
      <c r="C2" s="102"/>
      <c r="D2" s="102"/>
      <c r="E2" s="102"/>
      <c r="F2" s="102"/>
      <c r="G2" s="102"/>
      <c r="J2" s="1" t="s">
        <v>11</v>
      </c>
      <c r="L2" s="1" t="s">
        <v>12</v>
      </c>
      <c r="Z2" s="4" t="s">
        <v>13</v>
      </c>
      <c r="AA2" s="110" t="s">
        <v>14</v>
      </c>
      <c r="AB2" s="110"/>
    </row>
    <row r="3" spans="2:28" ht="18" customHeight="1" x14ac:dyDescent="0.35">
      <c r="B3" s="6" t="s">
        <v>15</v>
      </c>
      <c r="C3" s="21">
        <v>210</v>
      </c>
      <c r="D3" s="98" t="s">
        <v>16</v>
      </c>
      <c r="E3" s="98"/>
      <c r="F3" s="98"/>
      <c r="G3" s="98"/>
      <c r="I3" s="2" t="s">
        <v>17</v>
      </c>
      <c r="J3" s="1" t="s">
        <v>18</v>
      </c>
      <c r="K3" s="2" t="s">
        <v>17</v>
      </c>
      <c r="L3" s="1" t="s">
        <v>18</v>
      </c>
      <c r="Z3" s="5" t="s">
        <v>19</v>
      </c>
      <c r="AA3" s="5" t="s">
        <v>20</v>
      </c>
      <c r="AB3" s="5" t="s">
        <v>20</v>
      </c>
    </row>
    <row r="4" spans="2:28" ht="18" customHeight="1" x14ac:dyDescent="0.35">
      <c r="B4" s="7" t="s">
        <v>21</v>
      </c>
      <c r="C4" s="22">
        <v>640</v>
      </c>
      <c r="D4" s="111" t="s">
        <v>22</v>
      </c>
      <c r="E4" s="111"/>
      <c r="F4" s="111"/>
      <c r="G4" s="111"/>
      <c r="I4" s="1">
        <v>0</v>
      </c>
      <c r="J4" s="1">
        <f>I4*$C$18</f>
        <v>0</v>
      </c>
      <c r="K4" s="1">
        <f>K5</f>
        <v>9.6000000000000002E-2</v>
      </c>
      <c r="L4" s="1">
        <f>-$C$25*(K4-$C$32-$C$33)</f>
        <v>91472.903608100096</v>
      </c>
      <c r="Z4" s="28">
        <v>1</v>
      </c>
      <c r="AA4" s="28">
        <v>0.25</v>
      </c>
      <c r="AB4" s="29"/>
    </row>
    <row r="5" spans="2:28" ht="18" customHeight="1" x14ac:dyDescent="0.35">
      <c r="B5" s="7" t="s">
        <v>23</v>
      </c>
      <c r="C5" s="22">
        <v>23</v>
      </c>
      <c r="D5" s="100" t="s">
        <v>24</v>
      </c>
      <c r="E5" s="100"/>
      <c r="F5" s="100"/>
      <c r="G5" s="100"/>
      <c r="I5" s="1">
        <f>C32</f>
        <v>9.6000000000000002E-2</v>
      </c>
      <c r="J5" s="1">
        <f>I5*$C$18</f>
        <v>91472.903608100096</v>
      </c>
      <c r="K5" s="1">
        <f>C32</f>
        <v>9.6000000000000002E-2</v>
      </c>
      <c r="L5" s="1">
        <f>-$C$25*(K5-$C$32-$C$33)</f>
        <v>91472.903608100096</v>
      </c>
      <c r="Z5" s="30">
        <v>1.2</v>
      </c>
      <c r="AA5" s="30">
        <v>0.25</v>
      </c>
      <c r="AB5" s="31"/>
    </row>
    <row r="6" spans="2:28" ht="18" customHeight="1" x14ac:dyDescent="0.35">
      <c r="B6" s="7" t="s">
        <v>25</v>
      </c>
      <c r="C6" s="22">
        <v>0</v>
      </c>
      <c r="D6" s="97" t="s">
        <v>26</v>
      </c>
      <c r="E6" s="97"/>
      <c r="F6" s="97"/>
      <c r="G6" s="97"/>
      <c r="I6" s="1">
        <f>C32+C33</f>
        <v>0.12913773087688385</v>
      </c>
      <c r="J6" s="1">
        <f>I6*$C$18</f>
        <v>123047.95009031217</v>
      </c>
      <c r="K6" s="1">
        <f>C32+C33</f>
        <v>0.12913773087688385</v>
      </c>
      <c r="L6" s="1">
        <f>-$C$25*(K6-$C$32-$C$33)</f>
        <v>1.9154020399800712E-11</v>
      </c>
      <c r="Z6" s="34">
        <v>1.4</v>
      </c>
      <c r="AA6" s="34">
        <v>0.3</v>
      </c>
      <c r="AB6" s="33"/>
    </row>
    <row r="7" spans="2:28" ht="18" customHeight="1" x14ac:dyDescent="0.35">
      <c r="B7" s="7" t="s">
        <v>27</v>
      </c>
      <c r="C7" s="22">
        <v>0</v>
      </c>
      <c r="D7" s="97" t="s">
        <v>28</v>
      </c>
      <c r="E7" s="97"/>
      <c r="F7" s="97"/>
      <c r="G7" s="97"/>
      <c r="Z7" s="30">
        <v>1.6</v>
      </c>
      <c r="AA7" s="30">
        <v>0.35</v>
      </c>
      <c r="AB7" s="31"/>
    </row>
    <row r="8" spans="2:28" ht="18" customHeight="1" x14ac:dyDescent="0.35">
      <c r="B8" s="7" t="s">
        <v>29</v>
      </c>
      <c r="C8" s="22">
        <v>18</v>
      </c>
      <c r="D8" s="97" t="s">
        <v>30</v>
      </c>
      <c r="E8" s="97"/>
      <c r="F8" s="97"/>
      <c r="G8" s="97"/>
      <c r="I8" s="1">
        <f>$I$5+C31</f>
        <v>0.10865745061230536</v>
      </c>
      <c r="J8" s="1">
        <f>I8*$C$18</f>
        <v>103533.46360584693</v>
      </c>
      <c r="L8" s="20">
        <f>85%*L9</f>
        <v>104590.75757676533</v>
      </c>
      <c r="Z8" s="34">
        <v>1.8</v>
      </c>
      <c r="AA8" s="34">
        <v>0.35</v>
      </c>
      <c r="AB8" s="33"/>
    </row>
    <row r="9" spans="2:28" ht="18" customHeight="1" x14ac:dyDescent="0.25">
      <c r="B9" s="7" t="s">
        <v>20</v>
      </c>
      <c r="C9" s="22">
        <v>2</v>
      </c>
      <c r="D9" s="97" t="s">
        <v>31</v>
      </c>
      <c r="E9" s="97"/>
      <c r="F9" s="97"/>
      <c r="G9" s="97"/>
      <c r="I9" s="1">
        <f>$I$5+C31</f>
        <v>0.10865745061230536</v>
      </c>
      <c r="J9" s="1">
        <f>C17</f>
        <v>91472.903608100096</v>
      </c>
      <c r="L9" s="1">
        <f>J6</f>
        <v>123047.95009031217</v>
      </c>
      <c r="Z9" s="30">
        <v>2</v>
      </c>
      <c r="AA9" s="30">
        <v>0.4</v>
      </c>
      <c r="AB9" s="31"/>
    </row>
    <row r="10" spans="2:28" ht="18" customHeight="1" x14ac:dyDescent="0.35">
      <c r="B10" s="7" t="s">
        <v>32</v>
      </c>
      <c r="C10" s="22">
        <v>1</v>
      </c>
      <c r="D10" s="100" t="s">
        <v>33</v>
      </c>
      <c r="E10" s="100"/>
      <c r="F10" s="100"/>
      <c r="G10" s="100"/>
      <c r="I10" s="1">
        <f>$I$5+C31</f>
        <v>0.10865745061230536</v>
      </c>
      <c r="J10" s="1">
        <f>-$C$25*(I10-$C$32-$C$33)</f>
        <v>56533.463605846926</v>
      </c>
      <c r="Z10" s="30">
        <v>2.5</v>
      </c>
      <c r="AA10" s="30">
        <v>0.45</v>
      </c>
      <c r="AB10" s="31"/>
    </row>
    <row r="11" spans="2:28" ht="18" customHeight="1" x14ac:dyDescent="0.35">
      <c r="B11" s="7" t="s">
        <v>34</v>
      </c>
      <c r="C11" s="23">
        <f>AVERAGE(C8-1.22687*C9,C8-0.64952*C9)</f>
        <v>16.123609999999999</v>
      </c>
      <c r="D11" s="97" t="s">
        <v>35</v>
      </c>
      <c r="E11" s="97"/>
      <c r="F11" s="97"/>
      <c r="G11" s="97"/>
      <c r="Z11" s="30">
        <v>3</v>
      </c>
      <c r="AA11" s="30">
        <v>0.5</v>
      </c>
      <c r="AB11" s="31"/>
    </row>
    <row r="12" spans="2:28" ht="18" customHeight="1" x14ac:dyDescent="0.35">
      <c r="B12" s="7" t="s">
        <v>36</v>
      </c>
      <c r="C12" s="23">
        <f>C15-C7</f>
        <v>45</v>
      </c>
      <c r="D12" s="97" t="s">
        <v>28</v>
      </c>
      <c r="E12" s="97"/>
      <c r="F12" s="97"/>
      <c r="G12" s="97"/>
      <c r="I12">
        <v>0</v>
      </c>
      <c r="J12">
        <f>C17</f>
        <v>91472.903608100096</v>
      </c>
      <c r="K12">
        <f>I5</f>
        <v>9.6000000000000002E-2</v>
      </c>
      <c r="L12">
        <v>0</v>
      </c>
      <c r="Z12" s="34">
        <v>3.5</v>
      </c>
      <c r="AA12" s="34">
        <v>0.6</v>
      </c>
      <c r="AB12" s="33"/>
    </row>
    <row r="13" spans="2:28" ht="18" customHeight="1" x14ac:dyDescent="0.35">
      <c r="B13" s="7" t="s">
        <v>37</v>
      </c>
      <c r="C13" s="23">
        <f>PI()/4*C6^2</f>
        <v>0</v>
      </c>
      <c r="D13" s="97" t="s">
        <v>38</v>
      </c>
      <c r="E13" s="97"/>
      <c r="F13" s="97"/>
      <c r="G13" s="97"/>
      <c r="I13">
        <f>I5</f>
        <v>9.6000000000000002E-2</v>
      </c>
      <c r="J13">
        <f>C17</f>
        <v>91472.903608100096</v>
      </c>
      <c r="K13">
        <f>I5</f>
        <v>9.6000000000000002E-2</v>
      </c>
      <c r="L13">
        <f>C17</f>
        <v>91472.903608100096</v>
      </c>
      <c r="Z13" s="30">
        <v>4</v>
      </c>
      <c r="AA13" s="30">
        <v>0.7</v>
      </c>
      <c r="AB13" s="31"/>
    </row>
    <row r="14" spans="2:28" ht="18" customHeight="1" x14ac:dyDescent="0.35">
      <c r="B14" s="7" t="s">
        <v>39</v>
      </c>
      <c r="C14" s="23">
        <f>PI()/4*C11^2</f>
        <v>204.1805884109377</v>
      </c>
      <c r="D14" s="97" t="s">
        <v>40</v>
      </c>
      <c r="E14" s="97"/>
      <c r="F14" s="97"/>
      <c r="G14" s="97"/>
      <c r="I14">
        <f>I8</f>
        <v>0.10865745061230536</v>
      </c>
      <c r="J14">
        <f>C17</f>
        <v>91472.903608100096</v>
      </c>
      <c r="Z14" s="30">
        <v>5</v>
      </c>
      <c r="AA14" s="30">
        <v>0.8</v>
      </c>
      <c r="AB14" s="31"/>
    </row>
    <row r="15" spans="2:28" ht="18" customHeight="1" x14ac:dyDescent="0.35">
      <c r="B15" s="7" t="s">
        <v>41</v>
      </c>
      <c r="C15" s="23">
        <f>C24+C8/2+C10</f>
        <v>45</v>
      </c>
      <c r="D15" s="97" t="s">
        <v>42</v>
      </c>
      <c r="E15" s="97"/>
      <c r="F15" s="97"/>
      <c r="G15" s="97"/>
      <c r="I15" s="1"/>
      <c r="J15" s="1"/>
      <c r="Z15" s="30">
        <v>6</v>
      </c>
      <c r="AA15" s="30">
        <v>1</v>
      </c>
      <c r="AB15" s="30">
        <v>0.75</v>
      </c>
    </row>
    <row r="16" spans="2:28" ht="18" customHeight="1" x14ac:dyDescent="0.25">
      <c r="B16" s="7" t="s">
        <v>43</v>
      </c>
      <c r="C16" s="10">
        <v>0.7</v>
      </c>
      <c r="D16" s="97" t="s">
        <v>44</v>
      </c>
      <c r="E16" s="97"/>
      <c r="F16" s="97"/>
      <c r="G16" s="97"/>
      <c r="Z16" s="34">
        <v>7</v>
      </c>
      <c r="AA16" s="34">
        <v>1</v>
      </c>
      <c r="AB16" s="34"/>
    </row>
    <row r="17" spans="2:28" ht="18" customHeight="1" x14ac:dyDescent="0.35">
      <c r="B17" s="7" t="s">
        <v>45</v>
      </c>
      <c r="C17" s="23">
        <f>C16*C4*IF(C6*C7&lt;&gt;0,MIN(C14,C13),C14)</f>
        <v>91472.903608100096</v>
      </c>
      <c r="D17" s="97" t="s">
        <v>46</v>
      </c>
      <c r="E17" s="97"/>
      <c r="F17" s="97"/>
      <c r="G17" s="97"/>
      <c r="Z17" s="30">
        <v>8</v>
      </c>
      <c r="AA17" s="30">
        <v>1.25</v>
      </c>
      <c r="AB17" s="30">
        <v>1</v>
      </c>
    </row>
    <row r="18" spans="2:28" ht="18" customHeight="1" x14ac:dyDescent="0.35">
      <c r="B18" s="8" t="s">
        <v>47</v>
      </c>
      <c r="C18" s="24">
        <f>IF(C13*C7&lt;&gt;0,C3*1000*C13*C14/(C14*C7+C13*C12),C3*1000*C14/C15)</f>
        <v>952842.74591770931</v>
      </c>
      <c r="D18" s="105" t="s">
        <v>48</v>
      </c>
      <c r="E18" s="105"/>
      <c r="F18" s="105"/>
      <c r="G18" s="105"/>
      <c r="Z18" s="30">
        <v>10</v>
      </c>
      <c r="AA18" s="30">
        <v>1.5</v>
      </c>
      <c r="AB18" s="30" t="s">
        <v>49</v>
      </c>
    </row>
    <row r="19" spans="2:28" ht="18" customHeight="1" x14ac:dyDescent="0.25">
      <c r="D19" s="3"/>
      <c r="Z19" s="30">
        <v>12</v>
      </c>
      <c r="AA19" s="30">
        <v>1.75</v>
      </c>
      <c r="AB19" s="30" t="s">
        <v>50</v>
      </c>
    </row>
    <row r="20" spans="2:28" ht="18" customHeight="1" x14ac:dyDescent="0.25">
      <c r="B20" s="102" t="s">
        <v>12</v>
      </c>
      <c r="C20" s="102"/>
      <c r="D20" s="102"/>
      <c r="E20" s="102"/>
      <c r="F20" s="102"/>
      <c r="G20" s="102"/>
      <c r="Z20" s="34">
        <v>14</v>
      </c>
      <c r="AA20" s="34">
        <v>2</v>
      </c>
      <c r="AB20" s="34">
        <v>1.5</v>
      </c>
    </row>
    <row r="21" spans="2:28" ht="18" customHeight="1" x14ac:dyDescent="0.25">
      <c r="B21" s="12" t="s">
        <v>51</v>
      </c>
      <c r="C21" s="19">
        <v>30</v>
      </c>
      <c r="D21" s="98" t="s">
        <v>52</v>
      </c>
      <c r="E21" s="98"/>
      <c r="F21" s="98"/>
      <c r="G21" s="98"/>
      <c r="Z21" s="30">
        <v>16</v>
      </c>
      <c r="AA21" s="30">
        <v>2</v>
      </c>
      <c r="AB21" s="30">
        <v>1.5</v>
      </c>
    </row>
    <row r="22" spans="2:28" ht="18" customHeight="1" x14ac:dyDescent="0.35">
      <c r="B22" s="7" t="s">
        <v>53</v>
      </c>
      <c r="C22" s="26">
        <v>210</v>
      </c>
      <c r="D22" s="97" t="s">
        <v>54</v>
      </c>
      <c r="E22" s="97"/>
      <c r="F22" s="97"/>
      <c r="G22" s="97"/>
      <c r="O22" s="92" t="s">
        <v>55</v>
      </c>
      <c r="P22" s="92"/>
      <c r="Z22" s="34">
        <v>18</v>
      </c>
      <c r="AA22" s="34">
        <v>2.5</v>
      </c>
      <c r="AB22" s="34" t="s">
        <v>56</v>
      </c>
    </row>
    <row r="23" spans="2:28" ht="18" customHeight="1" x14ac:dyDescent="0.25">
      <c r="B23" s="13" t="s">
        <v>57</v>
      </c>
      <c r="C23" s="27">
        <v>17</v>
      </c>
      <c r="D23" s="97" t="s">
        <v>58</v>
      </c>
      <c r="E23" s="97"/>
      <c r="F23" s="97"/>
      <c r="G23" s="97"/>
      <c r="O23" s="93" t="s">
        <v>59</v>
      </c>
      <c r="P23" s="93"/>
      <c r="Z23" s="30">
        <v>20</v>
      </c>
      <c r="AA23" s="30">
        <v>2.5</v>
      </c>
      <c r="AB23" s="30" t="s">
        <v>56</v>
      </c>
    </row>
    <row r="24" spans="2:28" ht="18" customHeight="1" x14ac:dyDescent="0.25">
      <c r="B24" s="7" t="s">
        <v>60</v>
      </c>
      <c r="C24" s="22">
        <v>35</v>
      </c>
      <c r="D24" s="97" t="s">
        <v>61</v>
      </c>
      <c r="E24" s="97"/>
      <c r="F24" s="97"/>
      <c r="G24" s="97"/>
      <c r="O24" s="94" t="s">
        <v>62</v>
      </c>
      <c r="P24" s="94"/>
      <c r="Z24" s="34">
        <v>22</v>
      </c>
      <c r="AA24" s="34">
        <v>2.5</v>
      </c>
      <c r="AB24" s="34" t="s">
        <v>56</v>
      </c>
    </row>
    <row r="25" spans="2:28" ht="18" customHeight="1" x14ac:dyDescent="0.35">
      <c r="B25" s="8" t="s">
        <v>63</v>
      </c>
      <c r="C25" s="18">
        <f>PI()*(1000*C22)*C23*TAN(RADIANS(C21))/2/LN((C15*TAN(RADIANS(C21))+C5-C23)*(C5+C23)/(C15*TAN(RADIANS(C21))+C5+C23)/(C5-C23))</f>
        <v>2760385.2523260596</v>
      </c>
      <c r="D25" s="105" t="s">
        <v>64</v>
      </c>
      <c r="E25" s="105"/>
      <c r="F25" s="105"/>
      <c r="G25" s="105"/>
      <c r="O25" s="95" t="s">
        <v>65</v>
      </c>
      <c r="P25" s="95"/>
      <c r="Z25" s="30">
        <v>24</v>
      </c>
      <c r="AA25" s="30">
        <v>3</v>
      </c>
      <c r="AB25" s="30">
        <v>2</v>
      </c>
    </row>
    <row r="26" spans="2:28" ht="18" customHeight="1" x14ac:dyDescent="0.25">
      <c r="D26" s="3"/>
      <c r="O26" s="96" t="s">
        <v>66</v>
      </c>
      <c r="P26" s="96"/>
      <c r="Z26" s="34">
        <v>27</v>
      </c>
      <c r="AA26" s="34">
        <v>3</v>
      </c>
      <c r="AB26" s="34">
        <v>2</v>
      </c>
    </row>
    <row r="27" spans="2:28" ht="18" customHeight="1" x14ac:dyDescent="0.25">
      <c r="B27" s="102" t="s">
        <v>67</v>
      </c>
      <c r="C27" s="102"/>
      <c r="D27" s="102"/>
      <c r="E27" s="102"/>
      <c r="F27" s="102"/>
      <c r="G27" s="92"/>
      <c r="Z27" s="30">
        <v>30</v>
      </c>
      <c r="AA27" s="30">
        <v>3.5</v>
      </c>
      <c r="AB27" s="30">
        <v>2</v>
      </c>
    </row>
    <row r="28" spans="2:28" ht="18" customHeight="1" x14ac:dyDescent="0.35">
      <c r="B28" s="16" t="s">
        <v>68</v>
      </c>
      <c r="C28" s="9">
        <v>47000</v>
      </c>
      <c r="D28" s="112" t="s">
        <v>69</v>
      </c>
      <c r="E28" s="112"/>
      <c r="F28" s="112"/>
      <c r="G28" s="113"/>
      <c r="Z28" s="34">
        <v>33</v>
      </c>
      <c r="AA28" s="34">
        <v>3.5</v>
      </c>
      <c r="AB28" s="34">
        <v>2</v>
      </c>
    </row>
    <row r="29" spans="2:28" ht="18" customHeight="1" x14ac:dyDescent="0.35">
      <c r="B29" s="17" t="s">
        <v>70</v>
      </c>
      <c r="C29" s="23">
        <f>J8-C17</f>
        <v>12060.559997746837</v>
      </c>
      <c r="D29" s="100" t="s">
        <v>71</v>
      </c>
      <c r="E29" s="100"/>
      <c r="F29" s="100"/>
      <c r="G29" s="101"/>
      <c r="Z29" s="30">
        <v>36</v>
      </c>
      <c r="AA29" s="30">
        <v>4</v>
      </c>
      <c r="AB29" s="30">
        <v>3</v>
      </c>
    </row>
    <row r="30" spans="2:28" ht="18" customHeight="1" x14ac:dyDescent="0.35">
      <c r="B30" s="17" t="s">
        <v>72</v>
      </c>
      <c r="C30" s="23">
        <f>C17-J10</f>
        <v>34939.44000225317</v>
      </c>
      <c r="D30" s="100" t="s">
        <v>73</v>
      </c>
      <c r="E30" s="100"/>
      <c r="F30" s="100"/>
      <c r="G30" s="101"/>
      <c r="Z30" s="34">
        <v>39</v>
      </c>
      <c r="AA30" s="34">
        <v>4</v>
      </c>
      <c r="AB30" s="34">
        <v>3</v>
      </c>
    </row>
    <row r="31" spans="2:28" ht="18" customHeight="1" x14ac:dyDescent="0.35">
      <c r="B31" s="17" t="s">
        <v>17</v>
      </c>
      <c r="C31" s="25">
        <f>C28/(C25+C18)</f>
        <v>1.2657450612305362E-2</v>
      </c>
      <c r="D31" s="100" t="s">
        <v>74</v>
      </c>
      <c r="E31" s="100"/>
      <c r="F31" s="100"/>
      <c r="G31" s="101"/>
      <c r="Z31" s="30">
        <v>42</v>
      </c>
      <c r="AA31" s="30">
        <v>4.5</v>
      </c>
      <c r="AB31" s="30">
        <v>3</v>
      </c>
    </row>
    <row r="32" spans="2:28" ht="18" customHeight="1" x14ac:dyDescent="0.35">
      <c r="B32" s="17" t="s">
        <v>75</v>
      </c>
      <c r="C32" s="25">
        <f>C17/C18</f>
        <v>9.6000000000000002E-2</v>
      </c>
      <c r="D32" s="100" t="s">
        <v>76</v>
      </c>
      <c r="E32" s="100"/>
      <c r="F32" s="100"/>
      <c r="G32" s="101"/>
      <c r="Z32" s="34">
        <v>45</v>
      </c>
      <c r="AA32" s="34">
        <v>4.5</v>
      </c>
      <c r="AB32" s="34">
        <v>3</v>
      </c>
    </row>
    <row r="33" spans="2:28" ht="18" customHeight="1" x14ac:dyDescent="0.35">
      <c r="B33" s="17" t="s">
        <v>77</v>
      </c>
      <c r="C33" s="25">
        <f>C17/C25</f>
        <v>3.3137730876883854E-2</v>
      </c>
      <c r="D33" s="100" t="s">
        <v>78</v>
      </c>
      <c r="E33" s="100"/>
      <c r="F33" s="100"/>
      <c r="G33" s="101"/>
      <c r="Z33" s="30">
        <v>48</v>
      </c>
      <c r="AA33" s="30">
        <v>5</v>
      </c>
      <c r="AB33" s="30">
        <v>3</v>
      </c>
    </row>
    <row r="34" spans="2:28" ht="18" customHeight="1" x14ac:dyDescent="0.35">
      <c r="B34" s="15" t="s">
        <v>79</v>
      </c>
      <c r="C34" s="23">
        <f>C16*C4</f>
        <v>448</v>
      </c>
      <c r="D34" s="100" t="s">
        <v>80</v>
      </c>
      <c r="E34" s="100"/>
      <c r="F34" s="100"/>
      <c r="G34" s="101"/>
      <c r="Z34" s="34">
        <v>52</v>
      </c>
      <c r="AA34" s="34">
        <v>5</v>
      </c>
      <c r="AB34" s="34">
        <v>4</v>
      </c>
    </row>
    <row r="35" spans="2:28" ht="18" customHeight="1" x14ac:dyDescent="0.35">
      <c r="B35" s="14" t="s">
        <v>81</v>
      </c>
      <c r="C35" s="36">
        <f>(C29+C17)/IF(C6*C7&lt;&gt;0,MIN(C14,C13),C14)</f>
        <v>507.06810285742506</v>
      </c>
      <c r="D35" s="106" t="s">
        <v>82</v>
      </c>
      <c r="E35" s="106"/>
      <c r="F35" s="106"/>
      <c r="G35" s="107"/>
      <c r="Z35" s="30">
        <v>56</v>
      </c>
      <c r="AA35" s="30">
        <v>5.5</v>
      </c>
      <c r="AB35" s="30">
        <v>4</v>
      </c>
    </row>
    <row r="36" spans="2:28" ht="18" customHeight="1" x14ac:dyDescent="0.25">
      <c r="Z36" s="34">
        <v>60</v>
      </c>
      <c r="AA36" s="34">
        <v>5.5</v>
      </c>
      <c r="AB36" s="34">
        <v>4</v>
      </c>
    </row>
    <row r="37" spans="2:28" ht="18" customHeight="1" x14ac:dyDescent="0.25">
      <c r="B37" s="102" t="s">
        <v>83</v>
      </c>
      <c r="C37" s="103"/>
      <c r="D37" s="103"/>
      <c r="E37" s="103"/>
      <c r="F37" s="103"/>
      <c r="G37" s="104"/>
      <c r="I37" s="102" t="s">
        <v>84</v>
      </c>
      <c r="J37" s="102"/>
      <c r="K37" s="102"/>
      <c r="L37" s="102"/>
      <c r="M37" s="102"/>
      <c r="N37" s="102"/>
      <c r="O37" s="102"/>
      <c r="P37" s="102"/>
      <c r="Q37" s="102"/>
      <c r="R37" s="92"/>
      <c r="Z37" s="32">
        <v>64</v>
      </c>
      <c r="AA37" s="32">
        <v>6</v>
      </c>
      <c r="AB37" s="32">
        <v>4</v>
      </c>
    </row>
    <row r="38" spans="2:28" ht="18" customHeight="1" x14ac:dyDescent="0.35">
      <c r="B38" s="6" t="s">
        <v>85</v>
      </c>
      <c r="C38" s="11">
        <f>INT(C39/C9)-1</f>
        <v>11</v>
      </c>
      <c r="D38" s="98" t="s">
        <v>86</v>
      </c>
      <c r="E38" s="98"/>
      <c r="F38" s="98"/>
      <c r="G38" s="99"/>
      <c r="I38" s="124" t="s">
        <v>87</v>
      </c>
      <c r="J38" s="124"/>
      <c r="K38" s="115">
        <f>C35/C4</f>
        <v>0.79229391071472666</v>
      </c>
      <c r="L38" s="115"/>
      <c r="M38" s="118" t="s">
        <v>88</v>
      </c>
      <c r="N38" s="118"/>
      <c r="O38" s="118"/>
      <c r="P38" s="118"/>
      <c r="Q38" s="118"/>
      <c r="R38" s="119"/>
      <c r="AA38" s="35" t="s">
        <v>89</v>
      </c>
      <c r="AB38" s="1"/>
    </row>
    <row r="39" spans="2:28" ht="18" customHeight="1" x14ac:dyDescent="0.35">
      <c r="B39" s="7" t="s">
        <v>90</v>
      </c>
      <c r="C39" s="26">
        <v>24</v>
      </c>
      <c r="D39" s="97" t="s">
        <v>91</v>
      </c>
      <c r="E39" s="97"/>
      <c r="F39" s="97"/>
      <c r="G39" s="109"/>
      <c r="I39" s="114" t="s">
        <v>92</v>
      </c>
      <c r="J39" s="114"/>
      <c r="K39" s="115">
        <f>C30/C17</f>
        <v>0.38196491664837912</v>
      </c>
      <c r="L39" s="115"/>
      <c r="M39" s="120" t="s">
        <v>93</v>
      </c>
      <c r="N39" s="120"/>
      <c r="O39" s="120"/>
      <c r="P39" s="120"/>
      <c r="Q39" s="120"/>
      <c r="R39" s="121"/>
    </row>
    <row r="40" spans="2:28" ht="18" customHeight="1" x14ac:dyDescent="0.35">
      <c r="B40" s="7" t="s">
        <v>94</v>
      </c>
      <c r="C40" s="26">
        <v>415</v>
      </c>
      <c r="D40" s="97" t="s">
        <v>95</v>
      </c>
      <c r="E40" s="97"/>
      <c r="F40" s="97"/>
      <c r="G40" s="109"/>
      <c r="I40" s="116" t="s">
        <v>96</v>
      </c>
      <c r="J40" s="116"/>
      <c r="K40" s="117">
        <f>(C29+C17)/C41</f>
        <v>0.46311297820781222</v>
      </c>
      <c r="L40" s="117"/>
      <c r="M40" s="122" t="s">
        <v>97</v>
      </c>
      <c r="N40" s="122"/>
      <c r="O40" s="122"/>
      <c r="P40" s="122"/>
      <c r="Q40" s="122"/>
      <c r="R40" s="123"/>
    </row>
    <row r="41" spans="2:28" ht="18" customHeight="1" x14ac:dyDescent="0.25">
      <c r="B41" s="8" t="s">
        <v>98</v>
      </c>
      <c r="C41" s="37">
        <f>PI()*C8*(75%*C38*C9)*(C40/SQRT(3))</f>
        <v>223559.84063868853</v>
      </c>
      <c r="D41" s="105" t="s">
        <v>99</v>
      </c>
      <c r="E41" s="105"/>
      <c r="F41" s="105"/>
      <c r="G41" s="108"/>
    </row>
    <row r="42" spans="2:28" ht="18" customHeight="1" x14ac:dyDescent="0.25"/>
  </sheetData>
  <mergeCells count="53">
    <mergeCell ref="I39:J39"/>
    <mergeCell ref="K39:L39"/>
    <mergeCell ref="I40:J40"/>
    <mergeCell ref="K40:L40"/>
    <mergeCell ref="I37:R37"/>
    <mergeCell ref="M38:R38"/>
    <mergeCell ref="M39:R39"/>
    <mergeCell ref="M40:R40"/>
    <mergeCell ref="K38:L38"/>
    <mergeCell ref="I38:J38"/>
    <mergeCell ref="D32:G32"/>
    <mergeCell ref="D33:G33"/>
    <mergeCell ref="D34:G34"/>
    <mergeCell ref="B27:G27"/>
    <mergeCell ref="D28:G28"/>
    <mergeCell ref="D31:G31"/>
    <mergeCell ref="D41:G41"/>
    <mergeCell ref="D39:G39"/>
    <mergeCell ref="D40:G40"/>
    <mergeCell ref="AA2:AB2"/>
    <mergeCell ref="B2:G2"/>
    <mergeCell ref="B20:G20"/>
    <mergeCell ref="D16:G16"/>
    <mergeCell ref="D17:G17"/>
    <mergeCell ref="D18:G18"/>
    <mergeCell ref="D3:G3"/>
    <mergeCell ref="D4:G4"/>
    <mergeCell ref="D5:G5"/>
    <mergeCell ref="D6:G6"/>
    <mergeCell ref="D8:G8"/>
    <mergeCell ref="D15:G15"/>
    <mergeCell ref="D7:G7"/>
    <mergeCell ref="D9:G9"/>
    <mergeCell ref="D11:G11"/>
    <mergeCell ref="D12:G12"/>
    <mergeCell ref="D38:G38"/>
    <mergeCell ref="D29:G29"/>
    <mergeCell ref="D10:G10"/>
    <mergeCell ref="B37:G37"/>
    <mergeCell ref="D30:G30"/>
    <mergeCell ref="D13:G13"/>
    <mergeCell ref="D14:G14"/>
    <mergeCell ref="D24:G24"/>
    <mergeCell ref="D23:G23"/>
    <mergeCell ref="D21:G21"/>
    <mergeCell ref="D22:G22"/>
    <mergeCell ref="D25:G25"/>
    <mergeCell ref="D35:G35"/>
    <mergeCell ref="O22:P22"/>
    <mergeCell ref="O23:P23"/>
    <mergeCell ref="O24:P24"/>
    <mergeCell ref="O25:P25"/>
    <mergeCell ref="O26:P26"/>
  </mergeCells>
  <conditionalFormatting sqref="K38">
    <cfRule type="iconSet" priority="4">
      <iconSet iconSet="3Symbols" reverse="1">
        <cfvo type="percent" val="0"/>
        <cfvo type="num" val="0.85"/>
        <cfvo type="num" val="0.9"/>
      </iconSet>
    </cfRule>
  </conditionalFormatting>
  <conditionalFormatting sqref="K39:L39">
    <cfRule type="iconSet" priority="2">
      <iconSet iconSet="3Symbols" reverse="1">
        <cfvo type="percent" val="0"/>
        <cfvo type="num" val="0.5"/>
        <cfvo type="num" val="0.6"/>
      </iconSet>
    </cfRule>
  </conditionalFormatting>
  <conditionalFormatting sqref="K40:L40">
    <cfRule type="iconSet" priority="1">
      <iconSet iconSet="3Symbols" reverse="1">
        <cfvo type="percent" val="0"/>
        <cfvo type="num" val="0.7"/>
        <cfvo type="num" val="0.8"/>
      </iconSet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FF5BB9810E8454BA2B38D00B6D18848" ma:contentTypeVersion="3" ma:contentTypeDescription="Creare un nuovo documento." ma:contentTypeScope="" ma:versionID="85968c8a5930af966cb491cc87274750">
  <xsd:schema xmlns:xsd="http://www.w3.org/2001/XMLSchema" xmlns:xs="http://www.w3.org/2001/XMLSchema" xmlns:p="http://schemas.microsoft.com/office/2006/metadata/properties" xmlns:ns2="427a1db5-2437-44f3-a84b-464aead4a71a" targetNamespace="http://schemas.microsoft.com/office/2006/metadata/properties" ma:root="true" ma:fieldsID="d822db9e2d05bc620d08fbffa4bfffa8" ns2:_="">
    <xsd:import namespace="427a1db5-2437-44f3-a84b-464aead4a7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a1db5-2437-44f3-a84b-464aead4a7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14D86C8-A100-4551-817A-EB52061F86D6}">
  <ds:schemaRefs>
    <ds:schemaRef ds:uri="http://schemas.microsoft.com/office/2006/metadata/properties"/>
    <ds:schemaRef ds:uri="http://schemas.microsoft.com/office/infopath/2007/PartnerControls"/>
    <ds:schemaRef ds:uri="2710bc8b-17c9-4e36-a567-5a8748d28b44"/>
    <ds:schemaRef ds:uri="f16ae08e-32aa-43c4-955b-813e13c9303e"/>
  </ds:schemaRefs>
</ds:datastoreItem>
</file>

<file path=customXml/itemProps2.xml><?xml version="1.0" encoding="utf-8"?>
<ds:datastoreItem xmlns:ds="http://schemas.openxmlformats.org/officeDocument/2006/customXml" ds:itemID="{E67D2030-3610-47BD-B827-39F72868BFF5}"/>
</file>

<file path=customXml/itemProps3.xml><?xml version="1.0" encoding="utf-8"?>
<ds:datastoreItem xmlns:ds="http://schemas.openxmlformats.org/officeDocument/2006/customXml" ds:itemID="{8F72CBDE-8A2D-4AEE-9F17-70BF3597C07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2</vt:i4>
      </vt:variant>
      <vt:variant>
        <vt:lpstr>Intervalli denominati</vt:lpstr>
      </vt:variant>
      <vt:variant>
        <vt:i4>1</vt:i4>
      </vt:variant>
    </vt:vector>
  </HeadingPairs>
  <TitlesOfParts>
    <vt:vector size="3" baseType="lpstr">
      <vt:lpstr>content</vt:lpstr>
      <vt:lpstr>stud</vt:lpstr>
      <vt:lpstr>content!Area_stampa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Fabrizio Cademartori</dc:creator>
  <cp:keywords/>
  <dc:description/>
  <cp:lastModifiedBy>Carmine Delli Quadri</cp:lastModifiedBy>
  <cp:revision/>
  <dcterms:created xsi:type="dcterms:W3CDTF">2023-11-28T17:35:28Z</dcterms:created>
  <dcterms:modified xsi:type="dcterms:W3CDTF">2024-03-18T07:47:29Z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0x0101003FF5BB9810E8454BA2B38D00B6D18848</vt:lpwstr>
  </property>
  <property fmtid="{D5CDD505-2E9C-101B-9397-08002B2CF9AE}" pid="3" name="MediaServiceImageTags">
    <vt:lpwstr/>
  </property>
</Properties>
</file>