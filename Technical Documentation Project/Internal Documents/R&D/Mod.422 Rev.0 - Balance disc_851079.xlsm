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110453\Downloads\Borghetti\"/>
    </mc:Choice>
  </mc:AlternateContent>
  <xr:revisionPtr revIDLastSave="0" documentId="13_ncr:1_{D4650FC0-9416-4362-8E85-67E7F896D6EC}" xr6:coauthVersionLast="47" xr6:coauthVersionMax="47" xr10:uidLastSave="{00000000-0000-0000-0000-000000000000}"/>
  <bookViews>
    <workbookView xWindow="-120" yWindow="-120" windowWidth="19440" windowHeight="15000" tabRatio="591" xr2:uid="{00000000-000D-0000-FFFF-FFFF00000000}"/>
  </bookViews>
  <sheets>
    <sheet name="cover" sheetId="4" r:id="rId1"/>
    <sheet name="balance_disc" sheetId="3" r:id="rId2"/>
  </sheets>
  <calcPr calcId="191028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3" l="1"/>
  <c r="Q6" i="3"/>
  <c r="N7" i="3"/>
  <c r="N10" i="3"/>
  <c r="N8" i="3" l="1"/>
  <c r="N5" i="3"/>
  <c r="N6" i="3"/>
  <c r="G25" i="3" l="1"/>
  <c r="H24" i="3"/>
  <c r="G24" i="3"/>
  <c r="Q5" i="3" s="1"/>
  <c r="F24" i="3"/>
  <c r="P5" i="3" s="1"/>
  <c r="C105" i="3" l="1"/>
  <c r="C104" i="3"/>
  <c r="C103" i="3"/>
  <c r="G26" i="3" l="1"/>
  <c r="G20" i="3"/>
  <c r="G22" i="3" s="1"/>
  <c r="G23" i="3" l="1"/>
  <c r="G21" i="3"/>
  <c r="C75" i="3"/>
  <c r="C74" i="3"/>
  <c r="C66" i="3"/>
  <c r="C90" i="3"/>
  <c r="C52" i="3" l="1"/>
  <c r="C32" i="3"/>
  <c r="C46" i="3"/>
  <c r="C29" i="3"/>
  <c r="G11" i="3"/>
  <c r="C87" i="3"/>
  <c r="C68" i="3" l="1"/>
  <c r="C65" i="3" s="1"/>
  <c r="C67" i="3" l="1"/>
  <c r="C64" i="3" s="1"/>
  <c r="C76" i="3"/>
  <c r="C101" i="3" l="1"/>
  <c r="C47" i="3" l="1"/>
  <c r="C51" i="3" l="1"/>
  <c r="C16" i="3"/>
  <c r="C48" i="3" s="1"/>
  <c r="C50" i="3" s="1"/>
  <c r="C31" i="3" l="1"/>
  <c r="C30" i="3"/>
  <c r="C33" i="3" s="1"/>
  <c r="C89" i="3"/>
  <c r="C88" i="3"/>
  <c r="C70" i="3"/>
  <c r="C71" i="3" s="1"/>
  <c r="C69" i="3"/>
  <c r="C49" i="3"/>
  <c r="C53" i="3"/>
  <c r="C77" i="3" l="1"/>
  <c r="C93" i="3"/>
  <c r="C91" i="3"/>
  <c r="C92" i="3" s="1"/>
  <c r="C54" i="3"/>
  <c r="C34" i="3"/>
  <c r="C35" i="3"/>
  <c r="C55" i="3"/>
  <c r="C94" i="3" l="1"/>
  <c r="C95" i="3" s="1"/>
  <c r="C96" i="3" s="1"/>
  <c r="C36" i="3"/>
  <c r="C37" i="3" s="1"/>
  <c r="C78" i="3"/>
  <c r="C56" i="3"/>
  <c r="C57" i="3" s="1"/>
  <c r="C58" i="3" s="1"/>
  <c r="C38" i="3" l="1"/>
  <c r="G12" i="3" s="1"/>
  <c r="N11" i="3" s="1"/>
  <c r="C100" i="3"/>
  <c r="C106" i="3" s="1"/>
  <c r="C102" i="3"/>
  <c r="C107" i="3" s="1"/>
  <c r="C109" i="3" l="1"/>
  <c r="G13" i="3"/>
  <c r="C108" i="3"/>
  <c r="G15" i="3" l="1"/>
  <c r="G16" i="3" s="1"/>
  <c r="N12" i="3"/>
  <c r="G14" i="3"/>
  <c r="N13" i="3" s="1"/>
  <c r="N9" i="3" l="1"/>
  <c r="G17" i="3"/>
  <c r="C110" i="3"/>
  <c r="G18" i="3" s="1"/>
  <c r="G19" i="3" s="1"/>
</calcChain>
</file>

<file path=xl/sharedStrings.xml><?xml version="1.0" encoding="utf-8"?>
<sst xmlns="http://schemas.openxmlformats.org/spreadsheetml/2006/main" count="242" uniqueCount="195">
  <si>
    <t>Balance disc design</t>
  </si>
  <si>
    <t>Revision</t>
  </si>
  <si>
    <t>By</t>
  </si>
  <si>
    <t>Approved</t>
  </si>
  <si>
    <t>Date</t>
  </si>
  <si>
    <t>Detail of revision</t>
  </si>
  <si>
    <t>draft</t>
  </si>
  <si>
    <t>Mattia Di Somma</t>
  </si>
  <si>
    <t>Balance disc calculation</t>
  </si>
  <si>
    <t>Legend</t>
  </si>
  <si>
    <t>Warnings legend</t>
  </si>
  <si>
    <t>Notes for sketch:</t>
  </si>
  <si>
    <t>input data</t>
  </si>
  <si>
    <t>= Acceptable data.</t>
  </si>
  <si>
    <t>mils</t>
  </si>
  <si>
    <t>descriptor</t>
  </si>
  <si>
    <t>= Not optimal data. User shall modify input data to have fully acceptable solution (green). If not possibile, yellow fields can be accepted as well.</t>
  </si>
  <si>
    <t>gpm</t>
  </si>
  <si>
    <t>calculated formula</t>
  </si>
  <si>
    <t>= Not acceptable data. User shall modify input data to find an acceptable solution.</t>
  </si>
  <si>
    <t>OPERATING DATA</t>
  </si>
  <si>
    <t>CALCULATED DATA</t>
  </si>
  <si>
    <t>CALCULATION PARAMETERS</t>
  </si>
  <si>
    <r>
      <t>Q [m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/h]</t>
    </r>
  </si>
  <si>
    <t>Pump operating flowrate</t>
  </si>
  <si>
    <r>
      <t>Q</t>
    </r>
    <r>
      <rPr>
        <vertAlign val="subscript"/>
        <sz val="11"/>
        <color theme="0"/>
        <rFont val="Calibri"/>
        <family val="2"/>
        <scheme val="minor"/>
      </rPr>
      <t>leakage</t>
    </r>
    <r>
      <rPr>
        <sz val="11"/>
        <color theme="0"/>
        <rFont val="Calibri"/>
        <family val="2"/>
        <scheme val="minor"/>
      </rPr>
      <t xml:space="preserve"> [m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/h]</t>
    </r>
  </si>
  <si>
    <t>Leakage flow</t>
  </si>
  <si>
    <t>iterations</t>
  </si>
  <si>
    <t>Number of max iterations for the calculation</t>
  </si>
  <si>
    <t>H [m]</t>
  </si>
  <si>
    <t>Pump head</t>
  </si>
  <si>
    <r>
      <t>Q</t>
    </r>
    <r>
      <rPr>
        <vertAlign val="subscript"/>
        <sz val="11"/>
        <color theme="0"/>
        <rFont val="Calibri"/>
        <family val="2"/>
        <scheme val="minor"/>
      </rPr>
      <t>leakage</t>
    </r>
    <r>
      <rPr>
        <sz val="11"/>
        <color theme="0"/>
        <rFont val="Calibri"/>
        <family val="2"/>
        <scheme val="minor"/>
      </rPr>
      <t xml:space="preserve"> [%]</t>
    </r>
  </si>
  <si>
    <t xml:space="preserve">Volmetric loss </t>
  </si>
  <si>
    <t xml:space="preserve"> accuracy [%]</t>
  </si>
  <si>
    <t>Required accuracy</t>
  </si>
  <si>
    <r>
      <t>D</t>
    </r>
    <r>
      <rPr>
        <vertAlign val="sub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 xml:space="preserve"> [mm]</t>
    </r>
  </si>
  <si>
    <t>Impeller diameter</t>
  </si>
  <si>
    <r>
      <t>P</t>
    </r>
    <r>
      <rPr>
        <vertAlign val="subscript"/>
        <sz val="11"/>
        <color theme="0"/>
        <rFont val="Calibri"/>
        <family val="2"/>
        <scheme val="minor"/>
      </rPr>
      <t xml:space="preserve">bushing </t>
    </r>
    <r>
      <rPr>
        <sz val="11"/>
        <color theme="0"/>
        <rFont val="Calibri"/>
        <family val="2"/>
        <scheme val="minor"/>
      </rPr>
      <t>[barg]</t>
    </r>
  </si>
  <si>
    <t>Pressure downstream bushing</t>
  </si>
  <si>
    <t>N [rpm]</t>
  </si>
  <si>
    <t>Operating speed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</si>
  <si>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disc</t>
    </r>
    <r>
      <rPr>
        <b/>
        <sz val="11"/>
        <color theme="0"/>
        <rFont val="Calibri"/>
        <family val="2"/>
        <scheme val="minor"/>
      </rPr>
      <t xml:space="preserve"> [barg]</t>
    </r>
  </si>
  <si>
    <t>Pressure downstream disc</t>
  </si>
  <si>
    <r>
      <t>ρ [kg/m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]</t>
    </r>
  </si>
  <si>
    <t>Fluid density</t>
  </si>
  <si>
    <r>
      <t>P</t>
    </r>
    <r>
      <rPr>
        <b/>
        <vertAlign val="subscript"/>
        <sz val="11"/>
        <color theme="0"/>
        <rFont val="Calibri"/>
        <family val="2"/>
        <scheme val="minor"/>
      </rPr>
      <t>disc</t>
    </r>
    <r>
      <rPr>
        <b/>
        <sz val="11"/>
        <color theme="0"/>
        <rFont val="Calibri"/>
        <family val="2"/>
        <scheme val="minor"/>
      </rPr>
      <t>* [barg]</t>
    </r>
  </si>
  <si>
    <t>Pressure downstream disc at shaft diameter</t>
  </si>
  <si>
    <t>μ [Pa*s]</t>
  </si>
  <si>
    <t>Fluid dynamic viscosity</t>
  </si>
  <si>
    <r>
      <t>P</t>
    </r>
    <r>
      <rPr>
        <vertAlign val="subscript"/>
        <sz val="11"/>
        <color theme="0"/>
        <rFont val="Calibri"/>
        <family val="2"/>
        <scheme val="minor"/>
      </rPr>
      <t>stuffing box</t>
    </r>
    <r>
      <rPr>
        <sz val="11"/>
        <color theme="0"/>
        <rFont val="Calibri"/>
        <family val="2"/>
        <scheme val="minor"/>
      </rPr>
      <t xml:space="preserve"> [barg]</t>
    </r>
  </si>
  <si>
    <t>Stuffing box pressure</t>
  </si>
  <si>
    <r>
      <rPr>
        <sz val="11"/>
        <color theme="0"/>
        <rFont val="Calibri"/>
        <family val="2"/>
      </rPr>
      <t xml:space="preserve">ν </t>
    </r>
    <r>
      <rPr>
        <sz val="11"/>
        <color theme="0"/>
        <rFont val="Calibri"/>
        <family val="2"/>
        <scheme val="minor"/>
      </rPr>
      <t>[m</t>
    </r>
    <r>
      <rPr>
        <vertAlign val="super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>/s]</t>
    </r>
  </si>
  <si>
    <t>Fluid kinematic viscosity</t>
  </si>
  <si>
    <r>
      <t>P</t>
    </r>
    <r>
      <rPr>
        <vertAlign val="subscript"/>
        <sz val="11"/>
        <color theme="0"/>
        <rFont val="Calibri"/>
        <family val="2"/>
        <scheme val="minor"/>
      </rPr>
      <t>suction</t>
    </r>
    <r>
      <rPr>
        <sz val="11"/>
        <color theme="0"/>
        <rFont val="Calibri"/>
        <family val="2"/>
        <scheme val="minor"/>
      </rPr>
      <t>* [barg]</t>
    </r>
  </si>
  <si>
    <t>Calculated suction pressure</t>
  </si>
  <si>
    <r>
      <t>P</t>
    </r>
    <r>
      <rPr>
        <vertAlign val="subscript"/>
        <sz val="11"/>
        <color theme="0"/>
        <rFont val="Calibri"/>
        <family val="2"/>
        <scheme val="minor"/>
      </rPr>
      <t>discharge</t>
    </r>
    <r>
      <rPr>
        <sz val="11"/>
        <color theme="0"/>
        <rFont val="Calibri"/>
        <family val="2"/>
        <scheme val="minor"/>
      </rPr>
      <t>* [barg]</t>
    </r>
  </si>
  <si>
    <t>Pressure downstream balance disc</t>
  </si>
  <si>
    <r>
      <t>∆P</t>
    </r>
    <r>
      <rPr>
        <vertAlign val="subscript"/>
        <sz val="11"/>
        <color theme="0"/>
        <rFont val="Calibri"/>
        <family val="2"/>
        <scheme val="minor"/>
      </rPr>
      <t xml:space="preserve">verification </t>
    </r>
    <r>
      <rPr>
        <sz val="11"/>
        <color theme="0"/>
        <rFont val="Calibri"/>
        <family val="2"/>
        <scheme val="minor"/>
      </rPr>
      <t>[%]</t>
    </r>
  </si>
  <si>
    <t>Check for the calculation</t>
  </si>
  <si>
    <r>
      <t>∆P</t>
    </r>
    <r>
      <rPr>
        <vertAlign val="subscript"/>
        <sz val="11"/>
        <color theme="0"/>
        <rFont val="Calibri"/>
        <family val="2"/>
        <scheme val="minor"/>
      </rPr>
      <t>disc</t>
    </r>
    <r>
      <rPr>
        <sz val="11"/>
        <color theme="0"/>
        <rFont val="Calibri"/>
        <family val="2"/>
        <scheme val="minor"/>
      </rPr>
      <t xml:space="preserve"> [bar]</t>
    </r>
  </si>
  <si>
    <t>Pressure drop on balancing disc from external to internal radius</t>
  </si>
  <si>
    <r>
      <t>∆F</t>
    </r>
    <r>
      <rPr>
        <vertAlign val="subscript"/>
        <sz val="11"/>
        <color theme="0"/>
        <rFont val="Calibri"/>
        <family val="2"/>
        <scheme val="minor"/>
      </rPr>
      <t>tot</t>
    </r>
    <r>
      <rPr>
        <sz val="11"/>
        <color theme="0"/>
        <rFont val="Calibri"/>
        <family val="2"/>
        <scheme val="minor"/>
      </rPr>
      <t xml:space="preserve"> [N]</t>
    </r>
  </si>
  <si>
    <t>Residual axial thrust</t>
  </si>
  <si>
    <r>
      <t>P</t>
    </r>
    <r>
      <rPr>
        <vertAlign val="subscript"/>
        <sz val="11"/>
        <color theme="0"/>
        <rFont val="Calibri"/>
        <family val="2"/>
        <scheme val="minor"/>
      </rPr>
      <t>suction</t>
    </r>
    <r>
      <rPr>
        <sz val="11"/>
        <color theme="0"/>
        <rFont val="Calibri"/>
        <family val="2"/>
        <scheme val="minor"/>
      </rPr>
      <t xml:space="preserve"> [barg]</t>
    </r>
  </si>
  <si>
    <t>Suction pressure</t>
  </si>
  <si>
    <r>
      <t>∆F</t>
    </r>
    <r>
      <rPr>
        <vertAlign val="subscript"/>
        <sz val="11"/>
        <color theme="0"/>
        <rFont val="Calibri"/>
        <family val="2"/>
        <scheme val="minor"/>
      </rPr>
      <t>tot</t>
    </r>
    <r>
      <rPr>
        <sz val="11"/>
        <color theme="0"/>
        <rFont val="Calibri"/>
        <family val="2"/>
        <scheme val="minor"/>
      </rPr>
      <t xml:space="preserve"> [%]</t>
    </r>
  </si>
  <si>
    <t>Total axial thrust</t>
  </si>
  <si>
    <r>
      <t>F</t>
    </r>
    <r>
      <rPr>
        <vertAlign val="subscript"/>
        <sz val="11"/>
        <color theme="0"/>
        <rFont val="Calibri"/>
        <family val="2"/>
        <scheme val="minor"/>
      </rPr>
      <t xml:space="preserve">axial </t>
    </r>
    <r>
      <rPr>
        <sz val="11"/>
        <color theme="0"/>
        <rFont val="Calibri"/>
        <family val="2"/>
        <scheme val="minor"/>
      </rPr>
      <t>[N]</t>
    </r>
  </si>
  <si>
    <t xml:space="preserve">Total axial thrust due to pressure distribution and to momentum variation on impellers </t>
  </si>
  <si>
    <r>
      <t>r</t>
    </r>
    <r>
      <rPr>
        <vertAlign val="subscript"/>
        <sz val="11"/>
        <color theme="0"/>
        <rFont val="Calibri"/>
        <family val="2"/>
        <scheme val="minor"/>
      </rPr>
      <t>a</t>
    </r>
    <r>
      <rPr>
        <sz val="11"/>
        <color theme="0"/>
        <rFont val="Calibri"/>
        <family val="2"/>
        <scheme val="minor"/>
      </rPr>
      <t>* [mm]</t>
    </r>
  </si>
  <si>
    <t>Reference external disc radius as per internal practice</t>
  </si>
  <si>
    <r>
      <t>r</t>
    </r>
    <r>
      <rPr>
        <vertAlign val="subscript"/>
        <sz val="11"/>
        <color theme="0"/>
        <rFont val="Calibri"/>
        <family val="2"/>
        <scheme val="minor"/>
      </rPr>
      <t>a</t>
    </r>
    <r>
      <rPr>
        <sz val="11"/>
        <color theme="0"/>
        <rFont val="Calibri"/>
        <family val="2"/>
        <scheme val="minor"/>
      </rPr>
      <t>/r</t>
    </r>
    <r>
      <rPr>
        <vertAlign val="subscript"/>
        <sz val="11"/>
        <color theme="0"/>
        <rFont val="Calibri"/>
        <family val="2"/>
        <scheme val="minor"/>
      </rPr>
      <t>a</t>
    </r>
    <r>
      <rPr>
        <sz val="11"/>
        <color theme="0"/>
        <rFont val="Calibri"/>
        <family val="2"/>
        <scheme val="minor"/>
      </rPr>
      <t>* [%]</t>
    </r>
  </si>
  <si>
    <t>Difference between selected and Turboinstitut external disc radii</t>
  </si>
  <si>
    <t>BUSHING</t>
  </si>
  <si>
    <r>
      <t>r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>* [mm]</t>
    </r>
  </si>
  <si>
    <t>Reference disc's internal radius as per Turboinstitut</t>
  </si>
  <si>
    <t>s [mm]</t>
  </si>
  <si>
    <t>Bushing radial clearance</t>
  </si>
  <si>
    <r>
      <t>r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>/r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>* [%]</t>
    </r>
  </si>
  <si>
    <t>Difference between selected and Turboinstitut internal disc radii</t>
  </si>
  <si>
    <t>L [mm]</t>
  </si>
  <si>
    <t>Bushing length</t>
  </si>
  <si>
    <r>
      <t>D</t>
    </r>
    <r>
      <rPr>
        <vertAlign val="subscript"/>
        <sz val="11"/>
        <color theme="0"/>
        <rFont val="Calibri"/>
        <family val="2"/>
        <scheme val="minor"/>
      </rPr>
      <t>sp</t>
    </r>
    <r>
      <rPr>
        <sz val="11"/>
        <color theme="0"/>
        <rFont val="Calibri"/>
        <family val="2"/>
        <scheme val="minor"/>
      </rPr>
      <t xml:space="preserve"> [mm]</t>
    </r>
  </si>
  <si>
    <t>Bushing diameter</t>
  </si>
  <si>
    <r>
      <t>s/s</t>
    </r>
    <r>
      <rPr>
        <vertAlign val="subscript"/>
        <sz val="11"/>
        <color theme="0"/>
        <rFont val="Calibri"/>
        <family val="2"/>
        <scheme val="minor"/>
      </rPr>
      <t>min</t>
    </r>
    <r>
      <rPr>
        <sz val="11"/>
        <color theme="0"/>
        <rFont val="Calibri"/>
        <family val="2"/>
        <scheme val="minor"/>
      </rPr>
      <t xml:space="preserve"> [%]</t>
    </r>
  </si>
  <si>
    <t>Ratio between calculated and min recommended axial gap (0.05 mm)</t>
  </si>
  <si>
    <r>
      <t>ζ</t>
    </r>
    <r>
      <rPr>
        <vertAlign val="subscript"/>
        <sz val="11"/>
        <color theme="0"/>
        <rFont val="Calibri"/>
        <family val="2"/>
        <scheme val="minor"/>
      </rPr>
      <t>EA</t>
    </r>
  </si>
  <si>
    <t>Inlet and outlet loss coefficient (from 1 to 1.2)</t>
  </si>
  <si>
    <r>
      <t>s/s</t>
    </r>
    <r>
      <rPr>
        <vertAlign val="subscript"/>
        <sz val="11"/>
        <color theme="0"/>
        <rFont val="Calibri"/>
        <family val="2"/>
        <scheme val="minor"/>
      </rPr>
      <t>max</t>
    </r>
    <r>
      <rPr>
        <sz val="11"/>
        <color theme="0"/>
        <rFont val="Calibri"/>
        <family val="2"/>
        <scheme val="minor"/>
      </rPr>
      <t xml:space="preserve"> [%]</t>
    </r>
  </si>
  <si>
    <t>Ratio between calculated and min recommended axial gap (0.1 mm)</t>
  </si>
  <si>
    <t>ε [mm]</t>
  </si>
  <si>
    <t>Surface roughness</t>
  </si>
  <si>
    <r>
      <t>e</t>
    </r>
    <r>
      <rPr>
        <vertAlign val="subscript"/>
        <sz val="11"/>
        <color theme="0"/>
        <rFont val="Calibri"/>
        <family val="2"/>
        <scheme val="minor"/>
      </rPr>
      <t>x</t>
    </r>
    <r>
      <rPr>
        <sz val="11"/>
        <color theme="0"/>
        <rFont val="Calibri"/>
        <family val="2"/>
        <scheme val="minor"/>
      </rPr>
      <t xml:space="preserve"> [mm]</t>
    </r>
  </si>
  <si>
    <t>Eccentricity (typical 0)</t>
  </si>
  <si>
    <r>
      <t>c</t>
    </r>
    <r>
      <rPr>
        <vertAlign val="subscript"/>
        <sz val="11"/>
        <color theme="0"/>
        <rFont val="Calibri"/>
        <family val="2"/>
        <scheme val="minor"/>
      </rPr>
      <t>ax</t>
    </r>
    <r>
      <rPr>
        <sz val="11"/>
        <color theme="0"/>
        <rFont val="Calibri"/>
        <family val="2"/>
        <scheme val="minor"/>
      </rPr>
      <t xml:space="preserve"> [m/s]</t>
    </r>
  </si>
  <si>
    <t>Fluid axial speed</t>
  </si>
  <si>
    <t>Re</t>
  </si>
  <si>
    <t>Reynolds number on axial speed</t>
  </si>
  <si>
    <r>
      <t>Re</t>
    </r>
    <r>
      <rPr>
        <vertAlign val="subscript"/>
        <sz val="11"/>
        <color theme="0"/>
        <rFont val="Calibri"/>
        <family val="2"/>
        <scheme val="minor"/>
      </rPr>
      <t>u</t>
    </r>
  </si>
  <si>
    <t>Reynolds number on tangential speed</t>
  </si>
  <si>
    <t>A</t>
  </si>
  <si>
    <t>Seal surface coefficient</t>
  </si>
  <si>
    <r>
      <t>λ</t>
    </r>
    <r>
      <rPr>
        <vertAlign val="subscript"/>
        <sz val="11"/>
        <color theme="0"/>
        <rFont val="Calibri"/>
        <family val="2"/>
      </rPr>
      <t>0</t>
    </r>
  </si>
  <si>
    <t>Friction coefficient for laminar flow (Re&lt;2000), ref. J. F. Gulich's Centrifugal Pumps 3.7.11</t>
  </si>
  <si>
    <r>
      <t>λ</t>
    </r>
    <r>
      <rPr>
        <vertAlign val="subscript"/>
        <sz val="11"/>
        <color theme="0"/>
        <rFont val="Calibri"/>
        <family val="2"/>
        <scheme val="minor"/>
      </rPr>
      <t>laminar</t>
    </r>
  </si>
  <si>
    <t>Friction coefficient for laminar flow (Re&lt;2000), ref. J. F. Gulich's Centrifugal Pumps 3.7.14</t>
  </si>
  <si>
    <t>Friction coefficient for turbulent flow (Re&gt;2000), ref. J. F. Gulich's Centrifugal Pumps 3.7.12</t>
  </si>
  <si>
    <r>
      <t>λ</t>
    </r>
    <r>
      <rPr>
        <vertAlign val="subscript"/>
        <sz val="11"/>
        <color theme="0"/>
        <rFont val="Calibri"/>
        <family val="2"/>
        <scheme val="minor"/>
      </rPr>
      <t>turbulent</t>
    </r>
  </si>
  <si>
    <t>Friction coefficient for turbulent flow (Re&gt;2000), ref. J. F. Gulich's Centrifugal Pumps 3.7.13</t>
  </si>
  <si>
    <t>λ</t>
  </si>
  <si>
    <t>Friction coefficient</t>
  </si>
  <si>
    <r>
      <t>∆P</t>
    </r>
    <r>
      <rPr>
        <vertAlign val="subscript"/>
        <sz val="11"/>
        <color theme="0"/>
        <rFont val="Calibri"/>
        <family val="2"/>
        <scheme val="minor"/>
      </rPr>
      <t xml:space="preserve">bushing </t>
    </r>
    <r>
      <rPr>
        <sz val="11"/>
        <color theme="0"/>
        <rFont val="Calibri"/>
        <family val="2"/>
        <scheme val="minor"/>
      </rPr>
      <t>[bar]</t>
    </r>
  </si>
  <si>
    <t>Pressure drop across bushing, ref. J. F. Gulich's Centrifugal Pumps 3.7.6</t>
  </si>
  <si>
    <t>BALANCING DISC</t>
  </si>
  <si>
    <t>Axial gap between disc and couterdisc</t>
  </si>
  <si>
    <r>
      <t>r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 xml:space="preserve"> [mm]</t>
    </r>
  </si>
  <si>
    <t>Internal radius</t>
  </si>
  <si>
    <r>
      <t>r</t>
    </r>
    <r>
      <rPr>
        <vertAlign val="subscript"/>
        <sz val="11"/>
        <color theme="0"/>
        <rFont val="Calibri"/>
        <family val="2"/>
        <scheme val="minor"/>
      </rPr>
      <t>a</t>
    </r>
    <r>
      <rPr>
        <sz val="11"/>
        <color theme="0"/>
        <rFont val="Calibri"/>
        <family val="2"/>
        <scheme val="minor"/>
      </rPr>
      <t xml:space="preserve"> [mm]</t>
    </r>
  </si>
  <si>
    <t>External radius</t>
  </si>
  <si>
    <r>
      <t>ζ</t>
    </r>
    <r>
      <rPr>
        <vertAlign val="subscript"/>
        <sz val="11"/>
        <color theme="0"/>
        <rFont val="Calibri"/>
        <family val="2"/>
        <scheme val="minor"/>
      </rPr>
      <t>E</t>
    </r>
  </si>
  <si>
    <t>Loss coefficient (from 1 to 1.2)</t>
  </si>
  <si>
    <r>
      <t>c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 xml:space="preserve"> [m/s]</t>
    </r>
  </si>
  <si>
    <t>Fluid radial speed in disc gap at internal diameter</t>
  </si>
  <si>
    <r>
      <t>a</t>
    </r>
    <r>
      <rPr>
        <vertAlign val="subscript"/>
        <sz val="11"/>
        <color theme="0"/>
        <rFont val="Calibri"/>
        <family val="2"/>
        <scheme val="minor"/>
      </rPr>
      <t>r</t>
    </r>
  </si>
  <si>
    <t>disc diameters' ratio</t>
  </si>
  <si>
    <t>Reynolds number on radial speed</t>
  </si>
  <si>
    <t>k</t>
  </si>
  <si>
    <r>
      <t>Rotation factor (for radially outwards, 0.5 if Re&lt;10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0.6 if Re&gt;10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</si>
  <si>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t>ω [rad/s]</t>
  </si>
  <si>
    <t>Rotational speed</t>
  </si>
  <si>
    <t>A=</t>
  </si>
  <si>
    <r>
      <t>∆P</t>
    </r>
    <r>
      <rPr>
        <b/>
        <vertAlign val="subscript"/>
        <sz val="11"/>
        <color theme="0"/>
        <rFont val="Calibri"/>
        <family val="2"/>
        <scheme val="minor"/>
      </rPr>
      <t>disc</t>
    </r>
    <r>
      <rPr>
        <b/>
        <sz val="11"/>
        <color theme="0"/>
        <rFont val="Calibri"/>
        <family val="2"/>
        <scheme val="minor"/>
      </rPr>
      <t xml:space="preserve"> [bar]</t>
    </r>
  </si>
  <si>
    <t>Pressure drop across disc, ref. J. F. Gulich's Centrifugal Pumps 3.7.23</t>
  </si>
  <si>
    <t>BALANCING LINE ORIFICE</t>
  </si>
  <si>
    <r>
      <t>d</t>
    </r>
    <r>
      <rPr>
        <vertAlign val="subscript"/>
        <sz val="11"/>
        <color theme="0"/>
        <rFont val="Calibri"/>
        <family val="2"/>
        <scheme val="minor"/>
      </rPr>
      <t>orifice</t>
    </r>
    <r>
      <rPr>
        <sz val="11"/>
        <color theme="0"/>
        <rFont val="Calibri"/>
        <family val="2"/>
        <scheme val="minor"/>
      </rPr>
      <t xml:space="preserve"> [mm]</t>
    </r>
  </si>
  <si>
    <t>Orifice diameter</t>
  </si>
  <si>
    <r>
      <t>D</t>
    </r>
    <r>
      <rPr>
        <vertAlign val="subscript"/>
        <sz val="11"/>
        <color theme="0"/>
        <rFont val="Calibri"/>
        <family val="2"/>
        <scheme val="minor"/>
      </rPr>
      <t>pipe</t>
    </r>
    <r>
      <rPr>
        <sz val="11"/>
        <color theme="0"/>
        <rFont val="Calibri"/>
        <family val="2"/>
        <scheme val="minor"/>
      </rPr>
      <t xml:space="preserve"> [mm]</t>
    </r>
  </si>
  <si>
    <t>Piping internal diameter</t>
  </si>
  <si>
    <r>
      <t>t</t>
    </r>
    <r>
      <rPr>
        <vertAlign val="subscript"/>
        <sz val="11"/>
        <color theme="0"/>
        <rFont val="Calibri"/>
        <family val="2"/>
        <scheme val="minor"/>
      </rPr>
      <t>orifice</t>
    </r>
    <r>
      <rPr>
        <sz val="11"/>
        <color theme="0"/>
        <rFont val="Calibri"/>
        <family val="2"/>
        <scheme val="minor"/>
      </rPr>
      <t xml:space="preserve"> [mm]</t>
    </r>
  </si>
  <si>
    <t>Orifice thickness</t>
  </si>
  <si>
    <r>
      <t>c</t>
    </r>
    <r>
      <rPr>
        <vertAlign val="subscript"/>
        <sz val="11"/>
        <color theme="0"/>
        <rFont val="Calibri"/>
        <family val="2"/>
        <scheme val="minor"/>
      </rPr>
      <t>orifice</t>
    </r>
    <r>
      <rPr>
        <sz val="11"/>
        <color theme="0"/>
        <rFont val="Calibri"/>
        <family val="2"/>
        <scheme val="minor"/>
      </rPr>
      <t xml:space="preserve"> [m/s]</t>
    </r>
  </si>
  <si>
    <t xml:space="preserve">Fluid speed in orifice </t>
  </si>
  <si>
    <r>
      <t>c</t>
    </r>
    <r>
      <rPr>
        <vertAlign val="subscript"/>
        <sz val="11"/>
        <color theme="0"/>
        <rFont val="Calibri"/>
        <family val="2"/>
        <scheme val="minor"/>
      </rPr>
      <t>pipe</t>
    </r>
    <r>
      <rPr>
        <sz val="11"/>
        <color theme="0"/>
        <rFont val="Calibri"/>
        <family val="2"/>
        <scheme val="minor"/>
      </rPr>
      <t xml:space="preserve"> [m/s]</t>
    </r>
  </si>
  <si>
    <t>Fluid speed in pipe</t>
  </si>
  <si>
    <t>β</t>
  </si>
  <si>
    <t>Orifice and pipe diameters ratio</t>
  </si>
  <si>
    <r>
      <t>A</t>
    </r>
    <r>
      <rPr>
        <vertAlign val="subscript"/>
        <sz val="11"/>
        <color theme="0"/>
        <rFont val="Calibri"/>
        <family val="2"/>
        <scheme val="minor"/>
      </rPr>
      <t>orifice</t>
    </r>
    <r>
      <rPr>
        <sz val="11"/>
        <color theme="0"/>
        <rFont val="Calibri"/>
        <family val="2"/>
        <scheme val="minor"/>
      </rPr>
      <t xml:space="preserve"> [mm2]</t>
    </r>
  </si>
  <si>
    <t>Orifice area</t>
  </si>
  <si>
    <r>
      <t>A</t>
    </r>
    <r>
      <rPr>
        <vertAlign val="subscript"/>
        <sz val="11"/>
        <color theme="0"/>
        <rFont val="Calibri"/>
        <family val="2"/>
        <scheme val="minor"/>
      </rPr>
      <t>pipe</t>
    </r>
    <r>
      <rPr>
        <sz val="11"/>
        <color theme="0"/>
        <rFont val="Calibri"/>
        <family val="2"/>
        <scheme val="minor"/>
      </rPr>
      <t xml:space="preserve"> [mm2]</t>
    </r>
  </si>
  <si>
    <t>Pipe area</t>
  </si>
  <si>
    <r>
      <t>Re</t>
    </r>
    <r>
      <rPr>
        <vertAlign val="subscript"/>
        <sz val="11"/>
        <color theme="0"/>
        <rFont val="Calibri"/>
        <family val="2"/>
        <scheme val="minor"/>
      </rPr>
      <t>d</t>
    </r>
  </si>
  <si>
    <t>Reynolds number referred to orifice diameter</t>
  </si>
  <si>
    <r>
      <t>Re</t>
    </r>
    <r>
      <rPr>
        <vertAlign val="subscript"/>
        <sz val="11"/>
        <color theme="0"/>
        <rFont val="Calibri"/>
        <family val="2"/>
        <scheme val="minor"/>
      </rPr>
      <t>D</t>
    </r>
  </si>
  <si>
    <t>Reynolds number referred to piping diameter</t>
  </si>
  <si>
    <r>
      <t>l</t>
    </r>
    <r>
      <rPr>
        <vertAlign val="subscript"/>
        <sz val="11"/>
        <color theme="0"/>
        <rFont val="Calibri"/>
        <family val="2"/>
        <scheme val="minor"/>
      </rPr>
      <t>1</t>
    </r>
    <r>
      <rPr>
        <sz val="11"/>
        <color theme="0"/>
        <rFont val="Calibri"/>
        <family val="2"/>
        <scheme val="minor"/>
      </rPr>
      <t xml:space="preserve"> [mm]</t>
    </r>
  </si>
  <si>
    <t>Distance of the upstream tapping point from the upstream face of the orifice plate</t>
  </si>
  <si>
    <r>
      <t>l</t>
    </r>
    <r>
      <rPr>
        <vertAlign val="subscript"/>
        <sz val="11"/>
        <color theme="0"/>
        <rFont val="Calibri"/>
        <family val="2"/>
        <scheme val="minor"/>
      </rPr>
      <t>2</t>
    </r>
    <r>
      <rPr>
        <sz val="11"/>
        <color theme="0"/>
        <rFont val="Calibri"/>
        <family val="2"/>
        <scheme val="minor"/>
      </rPr>
      <t xml:space="preserve"> [mm]</t>
    </r>
  </si>
  <si>
    <t>Distance of the downstream tapping point from the downstream face of the orifice plate</t>
  </si>
  <si>
    <r>
      <t>L</t>
    </r>
    <r>
      <rPr>
        <vertAlign val="subscript"/>
        <sz val="11"/>
        <color theme="0"/>
        <rFont val="Calibri"/>
        <family val="2"/>
        <scheme val="minor"/>
      </rPr>
      <t>1</t>
    </r>
  </si>
  <si>
    <r>
      <t>L</t>
    </r>
    <r>
      <rPr>
        <vertAlign val="subscript"/>
        <sz val="11"/>
        <color theme="0"/>
        <rFont val="Calibri"/>
        <family val="2"/>
        <scheme val="minor"/>
      </rPr>
      <t>2</t>
    </r>
  </si>
  <si>
    <t>M2</t>
  </si>
  <si>
    <t>C</t>
  </si>
  <si>
    <t>Discharge coefficient (ref. ISO 5167-2 sect. 5.3.2.1)</t>
  </si>
  <si>
    <r>
      <t>∆P</t>
    </r>
    <r>
      <rPr>
        <vertAlign val="subscript"/>
        <sz val="11"/>
        <color theme="0"/>
        <rFont val="Calibri"/>
        <family val="2"/>
        <scheme val="minor"/>
      </rPr>
      <t>orifice</t>
    </r>
    <r>
      <rPr>
        <sz val="11"/>
        <color theme="0"/>
        <rFont val="Calibri"/>
        <family val="2"/>
        <scheme val="minor"/>
      </rPr>
      <t xml:space="preserve"> [bar]</t>
    </r>
  </si>
  <si>
    <t>Pressure drop across balancing orifice (ref. ISO 5167-2 sect. 4)</t>
  </si>
  <si>
    <t>CASING SEAT</t>
  </si>
  <si>
    <t>Radial clearance</t>
  </si>
  <si>
    <t>Seat length</t>
  </si>
  <si>
    <t>Seat diameter</t>
  </si>
  <si>
    <r>
      <t>∆P</t>
    </r>
    <r>
      <rPr>
        <vertAlign val="subscript"/>
        <sz val="11"/>
        <color theme="0"/>
        <rFont val="Calibri"/>
        <family val="2"/>
        <scheme val="minor"/>
      </rPr>
      <t>casing</t>
    </r>
    <r>
      <rPr>
        <sz val="11"/>
        <color theme="0"/>
        <rFont val="Calibri"/>
        <family val="2"/>
        <scheme val="minor"/>
      </rPr>
      <t xml:space="preserve"> [bar]</t>
    </r>
  </si>
  <si>
    <t>Pressure drop across bushing (ref. J. F. Gulich's Centrifugal Pumps 3.7.6)</t>
  </si>
  <si>
    <t>BALANCINC DISC'S AXIAL THRUST</t>
  </si>
  <si>
    <r>
      <t>ζ</t>
    </r>
    <r>
      <rPr>
        <vertAlign val="subscript"/>
        <sz val="11"/>
        <color theme="0"/>
        <rFont val="Calibri"/>
        <family val="2"/>
        <scheme val="minor"/>
      </rPr>
      <t>2i</t>
    </r>
  </si>
  <si>
    <t>Entrance pressure loss coefficient of balancing disc</t>
  </si>
  <si>
    <r>
      <t>λ</t>
    </r>
    <r>
      <rPr>
        <vertAlign val="subscript"/>
        <sz val="11"/>
        <color theme="0"/>
        <rFont val="Calibri"/>
        <family val="2"/>
        <scheme val="minor"/>
      </rPr>
      <t>b</t>
    </r>
  </si>
  <si>
    <t>Friction coefficient of piston</t>
  </si>
  <si>
    <r>
      <t>ζ</t>
    </r>
    <r>
      <rPr>
        <vertAlign val="subscript"/>
        <sz val="11"/>
        <color theme="0"/>
        <rFont val="Calibri"/>
        <family val="2"/>
        <scheme val="minor"/>
      </rPr>
      <t>1io</t>
    </r>
  </si>
  <si>
    <t>Entrance and exit pressure loss coefficient of piston</t>
  </si>
  <si>
    <r>
      <t>λ</t>
    </r>
    <r>
      <rPr>
        <vertAlign val="subscript"/>
        <sz val="11"/>
        <color theme="0"/>
        <rFont val="Calibri"/>
        <family val="2"/>
        <scheme val="minor"/>
      </rPr>
      <t>bd</t>
    </r>
  </si>
  <si>
    <t>Friction coefficient of balancing disc</t>
  </si>
  <si>
    <r>
      <t>ζ</t>
    </r>
    <r>
      <rPr>
        <vertAlign val="subscript"/>
        <sz val="11"/>
        <color theme="0"/>
        <rFont val="Calibri"/>
        <family val="2"/>
        <scheme val="minor"/>
      </rPr>
      <t>2io</t>
    </r>
  </si>
  <si>
    <t>Entrance and exit pressure loss coefficient of balancing disc</t>
  </si>
  <si>
    <r>
      <t>ρ</t>
    </r>
    <r>
      <rPr>
        <vertAlign val="subscript"/>
        <sz val="7.7"/>
        <color theme="0"/>
        <rFont val="Calibri"/>
        <family val="2"/>
      </rPr>
      <t>1</t>
    </r>
  </si>
  <si>
    <t>Ratio between internal and external radius of balancing disc</t>
  </si>
  <si>
    <r>
      <t>ρ</t>
    </r>
    <r>
      <rPr>
        <vertAlign val="subscript"/>
        <sz val="11"/>
        <color theme="0"/>
        <rFont val="Calibri"/>
        <family val="2"/>
        <scheme val="minor"/>
      </rPr>
      <t>b</t>
    </r>
  </si>
  <si>
    <t>Ratio between piston and external disc radius</t>
  </si>
  <si>
    <r>
      <t>ζ</t>
    </r>
    <r>
      <rPr>
        <vertAlign val="subscript"/>
        <sz val="11"/>
        <color theme="0"/>
        <rFont val="Calibri"/>
        <family val="2"/>
        <scheme val="minor"/>
      </rPr>
      <t>1</t>
    </r>
  </si>
  <si>
    <t>Total pressure loss coefficient across piston</t>
  </si>
  <si>
    <r>
      <t>ζ</t>
    </r>
    <r>
      <rPr>
        <vertAlign val="subscript"/>
        <sz val="11"/>
        <color theme="0"/>
        <rFont val="Calibri"/>
        <family val="2"/>
        <scheme val="minor"/>
      </rPr>
      <t>2</t>
    </r>
  </si>
  <si>
    <t>Total pressure loss coefficient across balancing disc</t>
  </si>
  <si>
    <t>α</t>
  </si>
  <si>
    <t>Pressure ratio: differential pressure due to entrance and exit losses of balancing disc / differential pressure between intermediate pressure behind the balancing disc</t>
  </si>
  <si>
    <t xml:space="preserve">Pressure ratio: differential pressure between intermediate pressure behind the balancing disc / differential pressure between the pressures in front of and behind balancing disc </t>
  </si>
  <si>
    <r>
      <t>F</t>
    </r>
    <r>
      <rPr>
        <vertAlign val="subscript"/>
        <sz val="11"/>
        <color theme="0"/>
        <rFont val="Calibri"/>
        <family val="2"/>
        <scheme val="minor"/>
      </rPr>
      <t>bd</t>
    </r>
    <r>
      <rPr>
        <sz val="11"/>
        <color theme="0"/>
        <rFont val="Calibri"/>
        <family val="2"/>
        <scheme val="minor"/>
      </rPr>
      <t xml:space="preserve"> [N]</t>
    </r>
  </si>
  <si>
    <t>Axail thrust due to balancing disc (ref. TurboInstitut sect. 10.2)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</si>
</sst>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0"/>
    <numFmt numFmtId="167" formatCode="0.0"/>
    <numFmt numFmtId="168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vertAlign val="subscript"/>
      <sz val="7.7"/>
      <color theme="0"/>
      <name val="Calibri"/>
      <family val="2"/>
    </font>
    <font>
      <b/>
      <vertAlign val="subscript"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10" fillId="0" borderId="0" xfId="2" applyFont="1"/>
    <xf numFmtId="0" fontId="8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2" fillId="2" borderId="4" xfId="0" applyFont="1" applyFill="1" applyBorder="1" applyAlignment="1">
      <alignment horizontal="center" vertical="center"/>
    </xf>
    <xf numFmtId="2" fontId="13" fillId="0" borderId="4" xfId="0" applyNumberFormat="1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2" fontId="14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left"/>
    </xf>
    <xf numFmtId="0" fontId="13" fillId="0" borderId="3" xfId="0" applyFont="1" applyBorder="1" applyAlignment="1" applyProtection="1">
      <alignment horizontal="center" vertical="center"/>
      <protection locked="0"/>
    </xf>
    <xf numFmtId="2" fontId="13" fillId="0" borderId="3" xfId="0" applyNumberFormat="1" applyFont="1" applyBorder="1" applyAlignment="1" applyProtection="1">
      <alignment horizontal="center" vertical="center"/>
      <protection locked="0"/>
    </xf>
    <xf numFmtId="164" fontId="13" fillId="0" borderId="3" xfId="0" applyNumberFormat="1" applyFont="1" applyBorder="1" applyAlignment="1" applyProtection="1">
      <alignment horizontal="center" vertical="center"/>
      <protection locked="0"/>
    </xf>
    <xf numFmtId="167" fontId="13" fillId="0" borderId="3" xfId="0" applyNumberFormat="1" applyFont="1" applyBorder="1" applyAlignment="1" applyProtection="1">
      <alignment horizontal="center"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64" fontId="14" fillId="0" borderId="3" xfId="0" applyNumberFormat="1" applyFont="1" applyBorder="1" applyAlignment="1">
      <alignment horizontal="center" vertical="center"/>
    </xf>
    <xf numFmtId="2" fontId="14" fillId="0" borderId="3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center" vertical="center"/>
    </xf>
    <xf numFmtId="168" fontId="14" fillId="0" borderId="3" xfId="1" applyNumberFormat="1" applyFont="1" applyFill="1" applyBorder="1" applyAlignment="1">
      <alignment horizontal="center" vertical="center"/>
    </xf>
    <xf numFmtId="166" fontId="14" fillId="0" borderId="3" xfId="0" applyNumberFormat="1" applyFont="1" applyBorder="1" applyAlignment="1">
      <alignment horizontal="center" vertical="center"/>
    </xf>
    <xf numFmtId="9" fontId="14" fillId="0" borderId="3" xfId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65" fontId="14" fillId="0" borderId="3" xfId="0" applyNumberFormat="1" applyFont="1" applyBorder="1" applyAlignment="1">
      <alignment horizontal="center" vertical="center"/>
    </xf>
    <xf numFmtId="167" fontId="14" fillId="0" borderId="3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1" fillId="0" borderId="5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12" fillId="2" borderId="4" xfId="0" applyFont="1" applyFill="1" applyBorder="1" applyAlignment="1">
      <alignment horizontal="left" vertical="center"/>
    </xf>
    <xf numFmtId="0" fontId="0" fillId="0" borderId="4" xfId="0" quotePrefix="1" applyBorder="1" applyAlignment="1">
      <alignment horizontal="left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</cellXfs>
  <cellStyles count="3">
    <cellStyle name="Normale" xfId="0" builtinId="0"/>
    <cellStyle name="Percentuale" xfId="1" builtinId="5"/>
    <cellStyle name="Titolo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096080466614444"/>
          <c:y val="0.19638653352848007"/>
          <c:w val="0.63320101825420172"/>
          <c:h val="0.59547419021594938"/>
        </c:manualLayout>
      </c:layout>
      <c:scatterChart>
        <c:scatterStyle val="lineMarker"/>
        <c:varyColors val="0"/>
        <c:ser>
          <c:idx val="0"/>
          <c:order val="0"/>
          <c:tx>
            <c:v>Operating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balance_disc!$Q$5</c:f>
              <c:numCache>
                <c:formatCode>General</c:formatCode>
                <c:ptCount val="1"/>
                <c:pt idx="0">
                  <c:v>3.8643965441490349</c:v>
                </c:pt>
              </c:numCache>
            </c:numRef>
          </c:xVal>
          <c:yVal>
            <c:numRef>
              <c:f>balance_disc!$Q$6</c:f>
              <c:numCache>
                <c:formatCode>General</c:formatCode>
                <c:ptCount val="1"/>
                <c:pt idx="0">
                  <c:v>15.337118416721498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1B-458A-8A0C-60B18CFBC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572527"/>
        <c:axId val="984798703"/>
      </c:scatterChart>
      <c:valAx>
        <c:axId val="743572527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84798703"/>
        <c:crosses val="autoZero"/>
        <c:crossBetween val="midCat"/>
      </c:valAx>
      <c:valAx>
        <c:axId val="984798703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3572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13</xdr:col>
      <xdr:colOff>0</xdr:colOff>
      <xdr:row>27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0975" y="676275"/>
          <a:ext cx="7315200" cy="457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This</a:t>
          </a:r>
          <a:r>
            <a:rPr lang="en-US" sz="1100" b="0" u="none" baseline="0"/>
            <a:t> worksheet provides the procedure to define and validate the balancing disc's design.</a:t>
          </a:r>
        </a:p>
        <a:p>
          <a:endParaRPr lang="en-US" sz="1100" b="0" u="none" baseline="0"/>
        </a:p>
        <a:p>
          <a:r>
            <a:rPr lang="en-US" sz="1100" b="1" u="none" baseline="0"/>
            <a:t>Balance disc</a:t>
          </a: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calculates the axial gap between disc and counter disc and leakage flow, given the pump's geometric and operating data.</a:t>
          </a:r>
          <a:endParaRPr lang="en-US" sz="1100" b="0" u="none"/>
        </a:p>
        <a:p>
          <a:endParaRPr lang="en-US" sz="1100" b="0" u="none" baseline="0"/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0</xdr:colOff>
      <xdr:row>16</xdr:row>
      <xdr:rowOff>1</xdr:rowOff>
    </xdr:from>
    <xdr:to>
      <xdr:col>12</xdr:col>
      <xdr:colOff>0</xdr:colOff>
      <xdr:row>38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5893143" y="3442608"/>
          <a:ext cx="5429250" cy="292553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Follow the steps</a:t>
          </a:r>
          <a:r>
            <a:rPr lang="en-US" sz="1100" b="0" u="none" baseline="0"/>
            <a:t> to allow calculation to be initialized:</a:t>
          </a:r>
        </a:p>
        <a:p>
          <a:r>
            <a:rPr lang="en-US" sz="1100" b="0" u="none" baseline="0"/>
            <a:t>1)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data in </a:t>
          </a:r>
          <a:r>
            <a:rPr lang="en-US" sz="1100" b="0" u="none" baseline="0"/>
            <a:t>Operating data.</a:t>
          </a:r>
        </a:p>
        <a:p>
          <a:r>
            <a:rPr lang="en-US" sz="1100" b="0" u="none" baseline="0"/>
            <a:t>2)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data in g</a:t>
          </a:r>
          <a:r>
            <a:rPr lang="en-US" sz="1100" b="0" u="none" baseline="0"/>
            <a:t>eometric data of bushing between last stage impeller and disc.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data in geometric data of balancing disc.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data in geometric data of restriction orifice installed in the balancing line.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Compile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input data in geometric data of casing seat for the shaft.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As general note, the loss coefficients in all the sections have already been pre-compiled. It is not recommended to modify them, unless it is necessary for sensitivity analysis.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Run the calculation with the dedicated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Check the results in the "Calculated data" section.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9) If all the results are acceptable, the calculation is completed. Otherwise, input diameters of the disc shall be modified and the calculation shall be run again.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10) Accuracy can be updated, if necessary. If the result is not aligned with the set accuracy, the number of iterations shall be increased.</a:t>
          </a:r>
          <a:endParaRPr lang="en-US" sz="1100" b="0" u="none"/>
        </a:p>
      </xdr:txBody>
    </xdr:sp>
    <xdr:clientData/>
  </xdr:twoCellAnchor>
  <xdr:twoCellAnchor editAs="absolute">
    <xdr:from>
      <xdr:col>5</xdr:col>
      <xdr:colOff>57923</xdr:colOff>
      <xdr:row>40</xdr:row>
      <xdr:rowOff>33180</xdr:rowOff>
    </xdr:from>
    <xdr:to>
      <xdr:col>15</xdr:col>
      <xdr:colOff>2942</xdr:colOff>
      <xdr:row>115</xdr:row>
      <xdr:rowOff>159930</xdr:rowOff>
    </xdr:to>
    <xdr:grpSp>
      <xdr:nvGrpSpPr>
        <xdr:cNvPr id="1039" name="Gruppo 1038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GrpSpPr/>
      </xdr:nvGrpSpPr>
      <xdr:grpSpPr>
        <a:xfrm>
          <a:off x="8766494" y="6782323"/>
          <a:ext cx="13348055" cy="6141107"/>
          <a:chOff x="9332901" y="7240601"/>
          <a:chExt cx="13363481" cy="6048476"/>
        </a:xfrm>
      </xdr:grpSpPr>
      <xdr:grpSp>
        <xdr:nvGrpSpPr>
          <xdr:cNvPr id="20" name="Gruppo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GrpSpPr/>
        </xdr:nvGrpSpPr>
        <xdr:grpSpPr>
          <a:xfrm>
            <a:off x="9332901" y="7240601"/>
            <a:ext cx="13363481" cy="6048476"/>
            <a:chOff x="18808513" y="921126"/>
            <a:chExt cx="14866844" cy="6811291"/>
          </a:xfrm>
        </xdr:grpSpPr>
        <xdr:pic>
          <xdr:nvPicPr>
            <xdr:cNvPr id="21" name="Immagine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8808513" y="921126"/>
              <a:ext cx="14866844" cy="6811291"/>
            </a:xfrm>
            <a:prstGeom prst="rect">
              <a:avLst/>
            </a:prstGeom>
          </xdr:spPr>
        </xdr:pic>
        <xdr:cxnSp macro="">
          <xdr:nvCxnSpPr>
            <xdr:cNvPr id="32" name="Connettore 2 31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CxnSpPr>
              <a:cxnSpLocks/>
              <a:stCxn id="36" idx="3"/>
            </xdr:cNvCxnSpPr>
          </xdr:nvCxnSpPr>
          <xdr:spPr>
            <a:xfrm>
              <a:off x="22288740" y="1338139"/>
              <a:ext cx="1571385" cy="2509961"/>
            </a:xfrm>
            <a:prstGeom prst="straightConnector1">
              <a:avLst/>
            </a:prstGeom>
            <a:ln w="12700">
              <a:solidFill>
                <a:srgbClr val="FFC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N$5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16821630" y="12566597"/>
            <a:ext cx="1668076" cy="29946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6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E766B59-2ECA-4078-8CFB-543F74094E4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Q_leakage = 3.483 [m3/h]</a:t>
            </a:fld>
            <a:endParaRPr lang="it-IT" sz="1100"/>
          </a:p>
        </xdr:txBody>
      </xdr:sp>
      <xdr:sp macro="" textlink="$N$6">
        <xdr:nvSpPr>
          <xdr:cNvPr id="4" name="CasellaDiTest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5324604" y="12329832"/>
            <a:ext cx="1240447" cy="29799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ACF8F64-4208-4ED0-85C1-D499857506D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d_orifice = 7 [mm]</a:t>
            </a:fld>
            <a:endParaRPr lang="it-IT" sz="1100"/>
          </a:p>
        </xdr:txBody>
      </xdr:sp>
      <xdr:cxnSp macro="">
        <xdr:nvCxnSpPr>
          <xdr:cNvPr id="9" name="Connettore 2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>
            <a:cxnSpLocks/>
            <a:stCxn id="38" idx="3"/>
          </xdr:cNvCxnSpPr>
        </xdr:nvCxnSpPr>
        <xdr:spPr>
          <a:xfrm>
            <a:off x="11351818" y="8305676"/>
            <a:ext cx="1546153" cy="1589118"/>
          </a:xfrm>
          <a:prstGeom prst="straightConnector1">
            <a:avLst/>
          </a:prstGeom>
          <a:ln w="1270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N$10">
        <xdr:nvSpPr>
          <xdr:cNvPr id="15" name="CasellaDiTes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5531353" y="7765677"/>
            <a:ext cx="1938877" cy="295588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C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28B7BF6-39D3-4963-9CE1-3DF453A50B7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P_discharge* = 32.431 [barg]</a:t>
            </a:fld>
            <a:endParaRPr lang="it-IT" sz="1100"/>
          </a:p>
        </xdr:txBody>
      </xdr:sp>
      <xdr:cxnSp macro="">
        <xdr:nvCxnSpPr>
          <xdr:cNvPr id="16" name="Connettore 2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CxnSpPr>
            <a:stCxn id="15" idx="3"/>
          </xdr:cNvCxnSpPr>
        </xdr:nvCxnSpPr>
        <xdr:spPr>
          <a:xfrm>
            <a:off x="17470230" y="7913471"/>
            <a:ext cx="1467711" cy="1925294"/>
          </a:xfrm>
          <a:prstGeom prst="straightConnector1">
            <a:avLst/>
          </a:prstGeom>
          <a:ln w="1270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N$8">
        <xdr:nvSpPr>
          <xdr:cNvPr id="36" name="CasellaDiTesto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10522324" y="7463118"/>
            <a:ext cx="1938877" cy="295588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C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08D26C-FE90-4C95-A8A7-0DA2881C26E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P_suction = 1.5 [barg]</a:t>
            </a:fld>
            <a:endParaRPr lang="it-IT" sz="1100"/>
          </a:p>
        </xdr:txBody>
      </xdr:sp>
      <xdr:sp macro="" textlink="$N$9">
        <xdr:nvSpPr>
          <xdr:cNvPr id="38" name="CasellaDiTesto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9412941" y="8157882"/>
            <a:ext cx="1938877" cy="295588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C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858FB19-6E2D-4305-9B44-9A5A10042AA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P_stuffing box = 1.765 [barg]</a:t>
            </a:fld>
            <a:endParaRPr lang="it-IT" sz="1100"/>
          </a:p>
        </xdr:txBody>
      </xdr:sp>
      <xdr:sp macro="" textlink="$N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 txBox="1"/>
        </xdr:nvSpPr>
        <xdr:spPr>
          <a:xfrm>
            <a:off x="15542559" y="7373471"/>
            <a:ext cx="1938877" cy="29135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C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BD8BE23-F216-42B0-9854-97C4C744833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P_bushing = 32.24 [barg]</a:t>
            </a:fld>
            <a:endParaRPr lang="it-IT" sz="1100"/>
          </a:p>
        </xdr:txBody>
      </xdr:sp>
      <xdr:cxnSp macro="">
        <xdr:nvCxnSpPr>
          <xdr:cNvPr id="41" name="Connettore 2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CxnSpPr>
            <a:stCxn id="40" idx="3"/>
          </xdr:cNvCxnSpPr>
        </xdr:nvCxnSpPr>
        <xdr:spPr>
          <a:xfrm>
            <a:off x="17481436" y="7519148"/>
            <a:ext cx="1994388" cy="2274793"/>
          </a:xfrm>
          <a:prstGeom prst="straightConnector1">
            <a:avLst/>
          </a:prstGeom>
          <a:ln w="1270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N$12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 txBox="1"/>
        </xdr:nvSpPr>
        <xdr:spPr>
          <a:xfrm>
            <a:off x="20686059" y="7384676"/>
            <a:ext cx="1938877" cy="29135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C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409652F-52CB-491E-8268-7C2302348C6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P_disc = 10.095 [barg]</a:t>
            </a:fld>
            <a:endParaRPr lang="it-IT" sz="1100"/>
          </a:p>
        </xdr:txBody>
      </xdr:sp>
      <xdr:cxnSp macro="">
        <xdr:nvCxnSpPr>
          <xdr:cNvPr id="45" name="Connettore 2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CxnSpPr>
            <a:stCxn id="44" idx="1"/>
          </xdr:cNvCxnSpPr>
        </xdr:nvCxnSpPr>
        <xdr:spPr>
          <a:xfrm flipH="1">
            <a:off x="19733559" y="7530353"/>
            <a:ext cx="952500" cy="1848971"/>
          </a:xfrm>
          <a:prstGeom prst="straightConnector1">
            <a:avLst/>
          </a:prstGeom>
          <a:ln w="1270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N$13">
        <xdr:nvSpPr>
          <xdr:cNvPr id="49" name="CasellaDiTesto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 txBox="1"/>
        </xdr:nvSpPr>
        <xdr:spPr>
          <a:xfrm>
            <a:off x="20681577" y="7772399"/>
            <a:ext cx="1938877" cy="29135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FFC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DC8CA0A-E8F4-4E3D-95C6-29FFFD1A677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P_disc* = 8.375 [barg]</a:t>
            </a:fld>
            <a:endParaRPr lang="it-IT" sz="1100"/>
          </a:p>
        </xdr:txBody>
      </xdr:sp>
      <xdr:cxnSp macro="">
        <xdr:nvCxnSpPr>
          <xdr:cNvPr id="50" name="Connettore 2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CxnSpPr>
            <a:stCxn id="49" idx="1"/>
          </xdr:cNvCxnSpPr>
        </xdr:nvCxnSpPr>
        <xdr:spPr>
          <a:xfrm flipH="1">
            <a:off x="19823206" y="7918076"/>
            <a:ext cx="858371" cy="1775012"/>
          </a:xfrm>
          <a:prstGeom prst="straightConnector1">
            <a:avLst/>
          </a:prstGeom>
          <a:ln w="1270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N$7">
        <xdr:nvSpPr>
          <xdr:cNvPr id="52" name="CasellaDiTesto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 txBox="1"/>
        </xdr:nvSpPr>
        <xdr:spPr>
          <a:xfrm>
            <a:off x="18633862" y="8217455"/>
            <a:ext cx="1234844" cy="29799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accent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1055C4FD-635A-4241-AD88-BD9250B2131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 = 0.098 [mm]</a:t>
            </a:fld>
            <a:endParaRPr lang="it-IT" sz="1100"/>
          </a:p>
        </xdr:txBody>
      </xdr:sp>
      <xdr:cxnSp macro="">
        <xdr:nvCxnSpPr>
          <xdr:cNvPr id="1029" name="Connettore 2 1028">
            <a:extLst>
              <a:ext uri="{FF2B5EF4-FFF2-40B4-BE49-F238E27FC236}">
                <a16:creationId xmlns:a16="http://schemas.microsoft.com/office/drawing/2014/main" id="{00000000-0008-0000-0100-000005040000}"/>
              </a:ext>
            </a:extLst>
          </xdr:cNvPr>
          <xdr:cNvCxnSpPr/>
        </xdr:nvCxnSpPr>
        <xdr:spPr>
          <a:xfrm flipH="1">
            <a:off x="19498490" y="9404537"/>
            <a:ext cx="290079" cy="0"/>
          </a:xfrm>
          <a:prstGeom prst="straightConnector1">
            <a:avLst/>
          </a:prstGeom>
          <a:ln w="12700">
            <a:solidFill>
              <a:schemeClr val="accent1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0" name="Connettore 2 1029">
            <a:extLst>
              <a:ext uri="{FF2B5EF4-FFF2-40B4-BE49-F238E27FC236}">
                <a16:creationId xmlns:a16="http://schemas.microsoft.com/office/drawing/2014/main" id="{00000000-0008-0000-0100-000006040000}"/>
              </a:ext>
            </a:extLst>
          </xdr:cNvPr>
          <xdr:cNvCxnSpPr/>
        </xdr:nvCxnSpPr>
        <xdr:spPr>
          <a:xfrm>
            <a:off x="19256035" y="9404537"/>
            <a:ext cx="226003" cy="866"/>
          </a:xfrm>
          <a:prstGeom prst="straightConnector1">
            <a:avLst/>
          </a:prstGeom>
          <a:ln w="12700">
            <a:solidFill>
              <a:schemeClr val="accent1">
                <a:lumMod val="7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4" name="Connettore diritto 1033">
            <a:extLst>
              <a:ext uri="{FF2B5EF4-FFF2-40B4-BE49-F238E27FC236}">
                <a16:creationId xmlns:a16="http://schemas.microsoft.com/office/drawing/2014/main" id="{00000000-0008-0000-0100-00000A040000}"/>
              </a:ext>
            </a:extLst>
          </xdr:cNvPr>
          <xdr:cNvCxnSpPr/>
        </xdr:nvCxnSpPr>
        <xdr:spPr>
          <a:xfrm flipV="1">
            <a:off x="19254934" y="8515625"/>
            <a:ext cx="3961" cy="892948"/>
          </a:xfrm>
          <a:prstGeom prst="line">
            <a:avLst/>
          </a:prstGeom>
          <a:ln w="12700">
            <a:solidFill>
              <a:schemeClr val="accent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13</xdr:col>
      <xdr:colOff>0</xdr:colOff>
      <xdr:row>3</xdr:row>
      <xdr:rowOff>0</xdr:rowOff>
    </xdr:from>
    <xdr:to>
      <xdr:col>27</xdr:col>
      <xdr:colOff>0</xdr:colOff>
      <xdr:row>39</xdr:row>
      <xdr:rowOff>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E2F94-A488-4C02-B8C6-8DD8FB95ACCA}">
  <sheetPr codeName="Foglio1"/>
  <dimension ref="B2:M36"/>
  <sheetViews>
    <sheetView tabSelected="1" workbookViewId="0">
      <selection activeCell="E10" sqref="E10"/>
    </sheetView>
  </sheetViews>
  <sheetFormatPr defaultRowHeight="15" x14ac:dyDescent="0.25"/>
  <cols>
    <col min="1" max="1" width="2.7109375" customWidth="1"/>
  </cols>
  <sheetData>
    <row r="2" spans="2:2" ht="23.25" x14ac:dyDescent="0.35">
      <c r="B2" s="5" t="s">
        <v>0</v>
      </c>
    </row>
    <row r="29" spans="2:13" x14ac:dyDescent="0.25">
      <c r="B29" s="6" t="s">
        <v>1</v>
      </c>
      <c r="C29" s="32" t="s">
        <v>2</v>
      </c>
      <c r="D29" s="33"/>
      <c r="E29" s="34"/>
      <c r="F29" s="35" t="s">
        <v>3</v>
      </c>
      <c r="G29" s="36"/>
      <c r="H29" s="37"/>
      <c r="I29" s="38" t="s">
        <v>4</v>
      </c>
      <c r="J29" s="39"/>
      <c r="K29" s="38" t="s">
        <v>5</v>
      </c>
      <c r="L29" s="40"/>
      <c r="M29" s="39"/>
    </row>
    <row r="30" spans="2:13" x14ac:dyDescent="0.25">
      <c r="B30" s="7" t="s">
        <v>6</v>
      </c>
      <c r="C30" s="41" t="s">
        <v>7</v>
      </c>
      <c r="D30" s="42"/>
      <c r="E30" s="43"/>
      <c r="F30" s="44"/>
      <c r="G30" s="45"/>
      <c r="H30" s="46"/>
      <c r="I30" s="47">
        <v>45279</v>
      </c>
      <c r="J30" s="48"/>
      <c r="K30" s="44"/>
      <c r="L30" s="45"/>
      <c r="M30" s="46"/>
    </row>
    <row r="31" spans="2:13" x14ac:dyDescent="0.25">
      <c r="B31" s="7"/>
      <c r="C31" s="41"/>
      <c r="D31" s="42"/>
      <c r="E31" s="43"/>
      <c r="F31" s="44"/>
      <c r="G31" s="45"/>
      <c r="H31" s="46"/>
      <c r="I31" s="48"/>
      <c r="J31" s="48"/>
      <c r="K31" s="44"/>
      <c r="L31" s="45"/>
      <c r="M31" s="46"/>
    </row>
    <row r="32" spans="2:13" x14ac:dyDescent="0.25">
      <c r="B32" s="7"/>
      <c r="C32" s="41"/>
      <c r="D32" s="42"/>
      <c r="E32" s="43"/>
      <c r="F32" s="44"/>
      <c r="G32" s="45"/>
      <c r="H32" s="46"/>
      <c r="I32" s="48"/>
      <c r="J32" s="48"/>
      <c r="K32" s="44"/>
      <c r="L32" s="45"/>
      <c r="M32" s="46"/>
    </row>
    <row r="33" spans="2:13" x14ac:dyDescent="0.25">
      <c r="B33" s="7"/>
      <c r="C33" s="41"/>
      <c r="D33" s="42"/>
      <c r="E33" s="43"/>
      <c r="F33" s="44"/>
      <c r="G33" s="45"/>
      <c r="H33" s="46"/>
      <c r="I33" s="48"/>
      <c r="J33" s="48"/>
      <c r="K33" s="44"/>
      <c r="L33" s="45"/>
      <c r="M33" s="46"/>
    </row>
    <row r="34" spans="2:13" x14ac:dyDescent="0.25">
      <c r="B34" s="7"/>
      <c r="C34" s="41"/>
      <c r="D34" s="42"/>
      <c r="E34" s="43"/>
      <c r="F34" s="44"/>
      <c r="G34" s="45"/>
      <c r="H34" s="46"/>
      <c r="I34" s="48"/>
      <c r="J34" s="48"/>
      <c r="K34" s="44"/>
      <c r="L34" s="45"/>
      <c r="M34" s="46"/>
    </row>
    <row r="35" spans="2:13" x14ac:dyDescent="0.25">
      <c r="B35" s="7"/>
      <c r="C35" s="41"/>
      <c r="D35" s="42"/>
      <c r="E35" s="43"/>
      <c r="F35" s="44"/>
      <c r="G35" s="45"/>
      <c r="H35" s="46"/>
      <c r="I35" s="48"/>
      <c r="J35" s="48"/>
      <c r="K35" s="44"/>
      <c r="L35" s="45"/>
      <c r="M35" s="46"/>
    </row>
    <row r="36" spans="2:13" x14ac:dyDescent="0.25">
      <c r="B36" s="7"/>
      <c r="C36" s="41"/>
      <c r="D36" s="42"/>
      <c r="E36" s="43"/>
      <c r="F36" s="44"/>
      <c r="G36" s="45"/>
      <c r="H36" s="46"/>
      <c r="I36" s="48"/>
      <c r="J36" s="48"/>
      <c r="K36" s="44"/>
      <c r="L36" s="45"/>
      <c r="M36" s="46"/>
    </row>
  </sheetData>
  <sheetProtection sheet="1" objects="1" scenarios="1"/>
  <mergeCells count="32">
    <mergeCell ref="C35:E35"/>
    <mergeCell ref="F35:H35"/>
    <mergeCell ref="I35:J35"/>
    <mergeCell ref="K35:M35"/>
    <mergeCell ref="C36:E36"/>
    <mergeCell ref="F36:H36"/>
    <mergeCell ref="I36:J36"/>
    <mergeCell ref="K36:M36"/>
    <mergeCell ref="C33:E33"/>
    <mergeCell ref="F33:H33"/>
    <mergeCell ref="I33:J33"/>
    <mergeCell ref="K33:M33"/>
    <mergeCell ref="C34:E34"/>
    <mergeCell ref="F34:H34"/>
    <mergeCell ref="I34:J34"/>
    <mergeCell ref="K34:M34"/>
    <mergeCell ref="C31:E31"/>
    <mergeCell ref="F31:H31"/>
    <mergeCell ref="I31:J31"/>
    <mergeCell ref="K31:M31"/>
    <mergeCell ref="C32:E32"/>
    <mergeCell ref="F32:H32"/>
    <mergeCell ref="I32:J32"/>
    <mergeCell ref="K32:M32"/>
    <mergeCell ref="C29:E29"/>
    <mergeCell ref="F29:H29"/>
    <mergeCell ref="I29:J29"/>
    <mergeCell ref="K29:M29"/>
    <mergeCell ref="C30:E30"/>
    <mergeCell ref="F30:H30"/>
    <mergeCell ref="I30:J30"/>
    <mergeCell ref="K30:M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2:AD111"/>
  <sheetViews>
    <sheetView zoomScale="70" zoomScaleNormal="70" workbookViewId="0">
      <selection activeCell="D4" sqref="D4"/>
    </sheetView>
  </sheetViews>
  <sheetFormatPr defaultRowHeight="15" outlineLevelRow="1" outlineLevelCol="1" x14ac:dyDescent="0.25"/>
  <cols>
    <col min="1" max="1" width="2.7109375" customWidth="1"/>
    <col min="2" max="2" width="22.7109375" style="1" customWidth="1"/>
    <col min="3" max="3" width="15.7109375" style="8" customWidth="1"/>
    <col min="4" max="4" width="87" style="1" bestFit="1" customWidth="1"/>
    <col min="5" max="5" width="2.7109375" customWidth="1"/>
    <col min="6" max="6" width="22.7109375" style="1" customWidth="1"/>
    <col min="7" max="7" width="15.7109375" style="1" customWidth="1"/>
    <col min="8" max="8" width="66.7109375" style="1" bestFit="1" customWidth="1"/>
    <col min="9" max="9" width="2.7109375" customWidth="1"/>
    <col min="10" max="10" width="22.7109375" style="1" customWidth="1"/>
    <col min="11" max="11" width="15.7109375" style="1" customWidth="1"/>
    <col min="12" max="12" width="43.140625" style="1" bestFit="1" customWidth="1"/>
    <col min="13" max="13" width="2.7109375" customWidth="1"/>
    <col min="14" max="14" width="30" style="1" hidden="1" customWidth="1" outlineLevel="1"/>
    <col min="15" max="15" width="9.140625" style="1" collapsed="1"/>
    <col min="16" max="16384" width="9.140625" style="1"/>
  </cols>
  <sheetData>
    <row r="2" spans="2:30" ht="23.25" x14ac:dyDescent="0.35">
      <c r="B2" s="5" t="s">
        <v>8</v>
      </c>
    </row>
    <row r="3" spans="2:30" x14ac:dyDescent="0.25">
      <c r="T3"/>
      <c r="U3"/>
      <c r="V3"/>
      <c r="W3"/>
      <c r="X3"/>
      <c r="Y3"/>
      <c r="Z3"/>
      <c r="AA3"/>
      <c r="AB3"/>
      <c r="AC3"/>
      <c r="AD3"/>
    </row>
    <row r="4" spans="2:30" x14ac:dyDescent="0.25">
      <c r="B4" s="10" t="s">
        <v>9</v>
      </c>
      <c r="F4" s="49" t="s">
        <v>10</v>
      </c>
      <c r="G4" s="49"/>
      <c r="H4" s="49"/>
      <c r="I4" s="49"/>
      <c r="J4" s="49"/>
      <c r="K4" s="49"/>
      <c r="L4" s="49"/>
      <c r="M4" s="1"/>
      <c r="N4" s="1" t="s">
        <v>11</v>
      </c>
      <c r="T4"/>
      <c r="U4"/>
      <c r="V4"/>
      <c r="W4"/>
      <c r="X4"/>
      <c r="Y4"/>
      <c r="Z4"/>
      <c r="AA4"/>
      <c r="AB4"/>
      <c r="AC4"/>
      <c r="AD4"/>
    </row>
    <row r="5" spans="2:30" x14ac:dyDescent="0.25">
      <c r="B5" s="11" t="s">
        <v>12</v>
      </c>
      <c r="F5" s="17">
        <v>1</v>
      </c>
      <c r="G5" s="50" t="s">
        <v>13</v>
      </c>
      <c r="H5" s="50"/>
      <c r="I5" s="50"/>
      <c r="J5" s="50"/>
      <c r="K5" s="50"/>
      <c r="L5" s="50"/>
      <c r="M5" s="1"/>
      <c r="N5" s="1" t="str">
        <f>"Q_leakage = " &amp;TRUNC(G10,3) &amp;" [m3/h]"</f>
        <v>Q_leakage = 3.483 [m3/h]</v>
      </c>
      <c r="P5" t="str">
        <f>+F24</f>
        <v>s [mm]</v>
      </c>
      <c r="Q5" s="1">
        <f>+G24/25.4*1000</f>
        <v>3.8643965441490349</v>
      </c>
      <c r="R5" s="1" t="s">
        <v>14</v>
      </c>
      <c r="S5"/>
      <c r="T5"/>
      <c r="U5"/>
      <c r="V5"/>
      <c r="W5"/>
      <c r="X5"/>
      <c r="Y5"/>
      <c r="Z5"/>
      <c r="AA5"/>
      <c r="AB5"/>
      <c r="AC5"/>
      <c r="AD5"/>
    </row>
    <row r="6" spans="2:30" x14ac:dyDescent="0.25">
      <c r="B6" s="12" t="s">
        <v>15</v>
      </c>
      <c r="F6" s="17">
        <v>0.5</v>
      </c>
      <c r="G6" s="50" t="s">
        <v>16</v>
      </c>
      <c r="H6" s="50"/>
      <c r="I6" s="50"/>
      <c r="J6" s="50"/>
      <c r="K6" s="50"/>
      <c r="L6" s="50"/>
      <c r="M6" s="1"/>
      <c r="N6" s="1" t="str">
        <f>+"d_orifice = " &amp;C61&amp;" [mm]"</f>
        <v>d_orifice = 7 [mm]</v>
      </c>
      <c r="P6" t="str">
        <f>+F10</f>
        <v>Qleakage [m3/h]</v>
      </c>
      <c r="Q6" s="1">
        <f>+G10*4.40287</f>
        <v>15.337118416721498</v>
      </c>
      <c r="R6" s="1" t="s">
        <v>17</v>
      </c>
      <c r="S6"/>
      <c r="T6"/>
      <c r="U6"/>
      <c r="V6"/>
      <c r="W6"/>
      <c r="X6"/>
      <c r="Y6"/>
      <c r="Z6"/>
      <c r="AA6"/>
      <c r="AB6"/>
      <c r="AC6"/>
      <c r="AD6"/>
    </row>
    <row r="7" spans="2:30" x14ac:dyDescent="0.25">
      <c r="B7" s="13" t="s">
        <v>18</v>
      </c>
      <c r="F7" s="17">
        <v>0</v>
      </c>
      <c r="G7" s="50" t="s">
        <v>19</v>
      </c>
      <c r="H7" s="50"/>
      <c r="I7" s="50"/>
      <c r="J7" s="50"/>
      <c r="K7" s="50"/>
      <c r="L7" s="50"/>
      <c r="M7" s="1"/>
      <c r="N7" s="1" t="str">
        <f>"s = " &amp;TRUNC(C41,3)&amp;" [mm]"</f>
        <v>s = 0.098 [mm]</v>
      </c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2:30" x14ac:dyDescent="0.25">
      <c r="N8" s="1" t="str">
        <f>"P_suction = " &amp;TRUNC(C19,3) &amp; " [barg]"</f>
        <v>P_suction = 1.5 [barg]</v>
      </c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2:30" x14ac:dyDescent="0.25">
      <c r="B9" s="51" t="s">
        <v>20</v>
      </c>
      <c r="C9" s="52"/>
      <c r="D9" s="53"/>
      <c r="F9" s="51" t="s">
        <v>21</v>
      </c>
      <c r="G9" s="52"/>
      <c r="H9" s="53"/>
      <c r="J9" s="51" t="s">
        <v>22</v>
      </c>
      <c r="K9" s="52"/>
      <c r="L9" s="53"/>
      <c r="N9" s="1" t="str">
        <f>"P_stuffing box = " &amp;TRUNC(G15,3) &amp; " [barg]"</f>
        <v>P_stuffing box = 1.765 [barg]</v>
      </c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2:30" ht="18" x14ac:dyDescent="0.25">
      <c r="B10" s="15" t="s">
        <v>23</v>
      </c>
      <c r="C10" s="18">
        <v>270</v>
      </c>
      <c r="D10" s="3" t="s">
        <v>24</v>
      </c>
      <c r="F10" s="15" t="s">
        <v>25</v>
      </c>
      <c r="G10" s="23">
        <v>3.4834365803944922</v>
      </c>
      <c r="H10" s="3" t="s">
        <v>26</v>
      </c>
      <c r="J10" s="15" t="s">
        <v>27</v>
      </c>
      <c r="K10" s="22">
        <v>1000</v>
      </c>
      <c r="L10" s="3" t="s">
        <v>28</v>
      </c>
      <c r="N10" s="1" t="str">
        <f>"P_discharge* = " &amp;TRUNC(C17,3) &amp; " [barg]"</f>
        <v>P_discharge* = 32.431 [barg]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2:30" ht="18" x14ac:dyDescent="0.25">
      <c r="B11" s="16" t="s">
        <v>29</v>
      </c>
      <c r="C11" s="18">
        <v>395</v>
      </c>
      <c r="D11" s="3" t="s">
        <v>30</v>
      </c>
      <c r="F11" s="16" t="s">
        <v>31</v>
      </c>
      <c r="G11" s="23">
        <f>+G10/C10</f>
        <v>1.2901616964424045E-2</v>
      </c>
      <c r="H11" s="3" t="s">
        <v>32</v>
      </c>
      <c r="J11" s="16" t="s">
        <v>33</v>
      </c>
      <c r="K11" s="20">
        <v>0.1</v>
      </c>
      <c r="L11" s="3" t="s">
        <v>34</v>
      </c>
      <c r="N11" s="1" t="str">
        <f>"P_bushing = " &amp;TRUNC(G12,3) &amp; " [barg]"</f>
        <v>P_bushing = 32.24 [barg]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2:30" ht="18" x14ac:dyDescent="0.25">
      <c r="B12" s="16" t="s">
        <v>35</v>
      </c>
      <c r="C12" s="18">
        <v>270</v>
      </c>
      <c r="D12" s="3" t="s">
        <v>36</v>
      </c>
      <c r="F12" s="16" t="s">
        <v>37</v>
      </c>
      <c r="G12" s="23">
        <f>C17-C38</f>
        <v>32.240313048216422</v>
      </c>
      <c r="H12" s="3" t="s">
        <v>38</v>
      </c>
      <c r="N12" s="1" t="str">
        <f>"P_disc = " &amp;TRUNC(G13,3) &amp; " [barg]"</f>
        <v>P_disc = 10.095 [barg]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2:30" ht="18" x14ac:dyDescent="0.25">
      <c r="B13" s="16" t="s">
        <v>39</v>
      </c>
      <c r="C13" s="18">
        <v>2990</v>
      </c>
      <c r="D13" s="3" t="s">
        <v>40</v>
      </c>
      <c r="F13" s="16" t="s">
        <v>41</v>
      </c>
      <c r="G13" s="24">
        <f>+G12-C58</f>
        <v>10.095193808319213</v>
      </c>
      <c r="H13" s="3" t="s">
        <v>42</v>
      </c>
      <c r="N13" s="1" t="str">
        <f>"P_disc* = " &amp;TRUNC(G14,3) &amp; " [barg]"</f>
        <v>P_disc* = 8.375 [barg]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2:30" ht="18" x14ac:dyDescent="0.25">
      <c r="B14" s="16" t="s">
        <v>43</v>
      </c>
      <c r="C14" s="18">
        <v>1000</v>
      </c>
      <c r="D14" s="3" t="s">
        <v>44</v>
      </c>
      <c r="F14" s="16" t="s">
        <v>45</v>
      </c>
      <c r="G14" s="23">
        <f>+G13-C18</f>
        <v>8.3756368739729581</v>
      </c>
      <c r="H14" s="3" t="s">
        <v>46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2:30" ht="18" x14ac:dyDescent="0.25">
      <c r="B15" s="16" t="s">
        <v>47</v>
      </c>
      <c r="C15" s="18">
        <v>1E-3</v>
      </c>
      <c r="D15" s="3" t="s">
        <v>48</v>
      </c>
      <c r="F15" s="16" t="s">
        <v>49</v>
      </c>
      <c r="G15" s="24">
        <f>+G13-C78</f>
        <v>1.7651548635330965</v>
      </c>
      <c r="H15" s="3" t="s">
        <v>50</v>
      </c>
      <c r="O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2:30" ht="18" x14ac:dyDescent="0.25">
      <c r="B16" s="16" t="s">
        <v>51</v>
      </c>
      <c r="C16" s="29">
        <f>C15/C14</f>
        <v>9.9999999999999995E-7</v>
      </c>
      <c r="D16" s="3" t="s">
        <v>52</v>
      </c>
      <c r="F16" s="16" t="s">
        <v>53</v>
      </c>
      <c r="G16" s="23">
        <f>+G15-C96</f>
        <v>1.5001294966103562</v>
      </c>
      <c r="H16" s="3" t="s">
        <v>54</v>
      </c>
      <c r="O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2:30" ht="18" x14ac:dyDescent="0.25">
      <c r="B17" s="16" t="s">
        <v>55</v>
      </c>
      <c r="C17" s="19">
        <v>32.431148601212797</v>
      </c>
      <c r="D17" s="3" t="s">
        <v>56</v>
      </c>
      <c r="F17" s="16" t="s">
        <v>57</v>
      </c>
      <c r="G17" s="23">
        <f>(G16-C19)/C19*100</f>
        <v>8.6331073570811157E-3</v>
      </c>
      <c r="H17" s="3" t="s">
        <v>58</v>
      </c>
      <c r="J17"/>
      <c r="K17"/>
      <c r="L17"/>
      <c r="O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2:30" ht="18" x14ac:dyDescent="0.25">
      <c r="B18" s="16" t="s">
        <v>59</v>
      </c>
      <c r="C18" s="20">
        <v>1.7195569343462538</v>
      </c>
      <c r="D18" s="3" t="s">
        <v>60</v>
      </c>
      <c r="F18" s="16" t="s">
        <v>61</v>
      </c>
      <c r="G18" s="25">
        <f>C20-C110</f>
        <v>-38.010282003757311</v>
      </c>
      <c r="H18" s="3" t="s">
        <v>62</v>
      </c>
      <c r="J18"/>
      <c r="K18"/>
      <c r="L18"/>
      <c r="O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2:30" ht="18" x14ac:dyDescent="0.25">
      <c r="B19" s="16" t="s">
        <v>63</v>
      </c>
      <c r="C19" s="18">
        <v>1.5</v>
      </c>
      <c r="D19" s="3" t="s">
        <v>64</v>
      </c>
      <c r="F19" s="16" t="s">
        <v>65</v>
      </c>
      <c r="G19" s="23">
        <f>+G18/C20*100</f>
        <v>-8.4467293341682917E-2</v>
      </c>
      <c r="H19" s="3" t="s">
        <v>66</v>
      </c>
      <c r="J19"/>
      <c r="K19"/>
      <c r="L19"/>
      <c r="N19"/>
      <c r="O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2:30" ht="18" x14ac:dyDescent="0.25">
      <c r="B20" s="16" t="s">
        <v>67</v>
      </c>
      <c r="C20" s="18">
        <v>45000</v>
      </c>
      <c r="D20" s="3" t="s">
        <v>68</v>
      </c>
      <c r="F20" s="16" t="s">
        <v>69</v>
      </c>
      <c r="G20" s="24">
        <f>+C12*0.75/2</f>
        <v>101.25</v>
      </c>
      <c r="H20" s="3" t="s">
        <v>70</v>
      </c>
      <c r="J20"/>
      <c r="K20"/>
      <c r="L20"/>
      <c r="N20"/>
      <c r="O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2:30" ht="18" x14ac:dyDescent="0.25">
      <c r="F21" s="16" t="s">
        <v>71</v>
      </c>
      <c r="G21" s="26">
        <f>ABS(C43/G20-1)</f>
        <v>0.13580246913580241</v>
      </c>
      <c r="H21" s="3" t="s">
        <v>72</v>
      </c>
      <c r="J21"/>
      <c r="K21"/>
      <c r="L21"/>
      <c r="N21"/>
      <c r="O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2:30" ht="18" x14ac:dyDescent="0.25">
      <c r="B22" s="51" t="s">
        <v>73</v>
      </c>
      <c r="C22" s="52"/>
      <c r="D22" s="53"/>
      <c r="F22" s="16" t="s">
        <v>74</v>
      </c>
      <c r="G22" s="24">
        <f>+G20*0.75</f>
        <v>75.9375</v>
      </c>
      <c r="H22" s="3" t="s">
        <v>75</v>
      </c>
      <c r="J22"/>
      <c r="K22"/>
      <c r="L22"/>
      <c r="N22"/>
      <c r="O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2:30" ht="18" x14ac:dyDescent="0.25">
      <c r="B23" s="15" t="s">
        <v>76</v>
      </c>
      <c r="C23" s="20">
        <v>1</v>
      </c>
      <c r="D23" s="3" t="s">
        <v>77</v>
      </c>
      <c r="F23" s="16" t="s">
        <v>78</v>
      </c>
      <c r="G23" s="26">
        <f>ABS(C42/G22-1)</f>
        <v>5.3497942386831365E-2</v>
      </c>
      <c r="H23" s="3" t="s">
        <v>79</v>
      </c>
      <c r="J23"/>
      <c r="K23"/>
      <c r="L23"/>
      <c r="O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2:30" x14ac:dyDescent="0.25">
      <c r="B24" s="16" t="s">
        <v>80</v>
      </c>
      <c r="C24" s="18">
        <v>82.5</v>
      </c>
      <c r="D24" s="3" t="s">
        <v>81</v>
      </c>
      <c r="F24" s="16" t="str">
        <f>+B41</f>
        <v>s [mm]</v>
      </c>
      <c r="G24" s="27">
        <f>+C41</f>
        <v>9.8155672221385479E-2</v>
      </c>
      <c r="H24" s="3" t="str">
        <f>+D41</f>
        <v>Axial gap between disc and couterdisc</v>
      </c>
      <c r="J24"/>
      <c r="K24"/>
      <c r="L24"/>
      <c r="O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2:30" ht="18" x14ac:dyDescent="0.25">
      <c r="B25" s="16" t="s">
        <v>82</v>
      </c>
      <c r="C25" s="18">
        <v>110</v>
      </c>
      <c r="D25" s="3" t="s">
        <v>83</v>
      </c>
      <c r="F25" s="16" t="s">
        <v>84</v>
      </c>
      <c r="G25" s="28">
        <f>+C41/0.05</f>
        <v>1.9631134444277094</v>
      </c>
      <c r="H25" s="3" t="s">
        <v>85</v>
      </c>
      <c r="J25"/>
      <c r="K25"/>
      <c r="L25"/>
      <c r="O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2:30" ht="18" x14ac:dyDescent="0.25">
      <c r="B26" s="16" t="s">
        <v>86</v>
      </c>
      <c r="C26" s="21">
        <v>1.2</v>
      </c>
      <c r="D26" s="3" t="s">
        <v>87</v>
      </c>
      <c r="F26" s="16" t="s">
        <v>88</v>
      </c>
      <c r="G26" s="28">
        <f>+C41/0.1</f>
        <v>0.9815567222138547</v>
      </c>
      <c r="H26" s="3" t="s">
        <v>89</v>
      </c>
      <c r="J26"/>
      <c r="K26"/>
      <c r="L26"/>
      <c r="O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2:30" x14ac:dyDescent="0.25">
      <c r="B27" s="16" t="s">
        <v>90</v>
      </c>
      <c r="C27" s="18">
        <v>4.0000000000000001E-3</v>
      </c>
      <c r="D27" s="3" t="s">
        <v>91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2:30" ht="18" x14ac:dyDescent="0.25">
      <c r="B28" s="16" t="s">
        <v>92</v>
      </c>
      <c r="C28" s="18">
        <v>0</v>
      </c>
      <c r="D28" s="3" t="s">
        <v>93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2:30" ht="18" hidden="1" customHeight="1" outlineLevel="1" x14ac:dyDescent="0.25">
      <c r="B29" s="16" t="s">
        <v>94</v>
      </c>
      <c r="C29" s="24">
        <f>$G$10/(PI()*C23*C25)/3600*1000000</f>
        <v>2.8000310642268276</v>
      </c>
      <c r="D29" s="3" t="s">
        <v>95</v>
      </c>
      <c r="J29" s="2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2:30" hidden="1" outlineLevel="1" x14ac:dyDescent="0.25">
      <c r="B30" s="16" t="s">
        <v>96</v>
      </c>
      <c r="C30" s="24">
        <f>2*C23*C29/C16/1000</f>
        <v>5600.0621284536555</v>
      </c>
      <c r="D30" s="3" t="s">
        <v>97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2:30" ht="18" hidden="1" outlineLevel="1" x14ac:dyDescent="0.25">
      <c r="B31" s="16" t="s">
        <v>98</v>
      </c>
      <c r="C31" s="24">
        <f>2*C23*(PI()*C25*C13/60)/C16/1000000</f>
        <v>34442.327458856096</v>
      </c>
      <c r="D31" s="3" t="s">
        <v>99</v>
      </c>
      <c r="J31" s="2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2:30" hidden="1" outlineLevel="1" x14ac:dyDescent="0.25">
      <c r="B32" s="16" t="s">
        <v>100</v>
      </c>
      <c r="C32" s="30">
        <f>0.135*C27/C23</f>
        <v>5.4000000000000001E-4</v>
      </c>
      <c r="D32" s="3" t="s">
        <v>101</v>
      </c>
      <c r="J32" s="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2:30" ht="18" hidden="1" outlineLevel="1" x14ac:dyDescent="0.25">
      <c r="B33" s="16" t="s">
        <v>102</v>
      </c>
      <c r="C33" s="27">
        <f>96/C30*(1-0.6*C28/C23)</f>
        <v>1.7142666955823303E-2</v>
      </c>
      <c r="D33" s="3" t="s">
        <v>103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2:30" ht="18" hidden="1" outlineLevel="1" x14ac:dyDescent="0.25">
      <c r="B34" s="16" t="s">
        <v>104</v>
      </c>
      <c r="C34" s="27">
        <f>C33*(1+0.2*(C31/2000)^1.03)</f>
        <v>8.1448853226589304E-2</v>
      </c>
      <c r="D34" s="3" t="s">
        <v>105</v>
      </c>
      <c r="J34" s="2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2:30" ht="18" hidden="1" outlineLevel="1" x14ac:dyDescent="0.25">
      <c r="B35" s="16" t="s">
        <v>102</v>
      </c>
      <c r="C35" s="27">
        <f>0.31/(LOG(C32+6.5/C30))^2</f>
        <v>4.0420261828063304E-2</v>
      </c>
      <c r="D35" s="3" t="s">
        <v>106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2:30" ht="18" hidden="1" outlineLevel="1" x14ac:dyDescent="0.25">
      <c r="B36" s="16" t="s">
        <v>107</v>
      </c>
      <c r="C36" s="27">
        <f>C35*(1+0.19*(C31/C30)^2)^0.375</f>
        <v>8.8924748712197549E-2</v>
      </c>
      <c r="D36" s="3" t="s">
        <v>108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2:30" hidden="1" outlineLevel="1" x14ac:dyDescent="0.25">
      <c r="B37" s="16" t="s">
        <v>109</v>
      </c>
      <c r="C37" s="27">
        <f>IF(C30&gt;2000,C36,C34)</f>
        <v>8.8924748712197549E-2</v>
      </c>
      <c r="D37" s="3" t="s">
        <v>110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2:30" ht="18" collapsed="1" x14ac:dyDescent="0.25">
      <c r="B38" s="16" t="s">
        <v>111</v>
      </c>
      <c r="C38" s="27">
        <f>+C14/2*(C29^2*(C26+C37*C24/(2*C23)))*0.00001</f>
        <v>0.19083555299637539</v>
      </c>
      <c r="D38" s="3" t="s">
        <v>112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2:30" x14ac:dyDescent="0.25">
      <c r="B39" s="14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2:30" x14ac:dyDescent="0.25">
      <c r="B40" s="51" t="s">
        <v>113</v>
      </c>
      <c r="C40" s="52"/>
      <c r="D40" s="53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2:30" x14ac:dyDescent="0.25">
      <c r="B41" s="15" t="s">
        <v>76</v>
      </c>
      <c r="C41" s="27">
        <v>9.8155672221385479E-2</v>
      </c>
      <c r="D41" s="3" t="s">
        <v>114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2:30" ht="18" x14ac:dyDescent="0.25">
      <c r="B42" s="16" t="s">
        <v>115</v>
      </c>
      <c r="C42" s="18">
        <v>80</v>
      </c>
      <c r="D42" s="3" t="s">
        <v>116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2:30" ht="18" customHeight="1" x14ac:dyDescent="0.25">
      <c r="B43" s="16" t="s">
        <v>117</v>
      </c>
      <c r="C43" s="18">
        <v>115</v>
      </c>
      <c r="D43" s="3" t="s">
        <v>118</v>
      </c>
      <c r="J43" s="2"/>
    </row>
    <row r="44" spans="2:30" ht="18" x14ac:dyDescent="0.25">
      <c r="B44" s="16" t="s">
        <v>119</v>
      </c>
      <c r="C44" s="21">
        <v>1.2</v>
      </c>
      <c r="D44" s="3" t="s">
        <v>120</v>
      </c>
    </row>
    <row r="45" spans="2:30" x14ac:dyDescent="0.25">
      <c r="B45" s="16" t="s">
        <v>90</v>
      </c>
      <c r="C45" s="18">
        <v>4.0000000000000001E-3</v>
      </c>
      <c r="D45" s="3" t="s">
        <v>91</v>
      </c>
    </row>
    <row r="46" spans="2:30" ht="15" hidden="1" customHeight="1" outlineLevel="1" x14ac:dyDescent="0.25">
      <c r="B46" s="16" t="s">
        <v>121</v>
      </c>
      <c r="C46" s="24">
        <f>G10/(2*PI()*C42*C41)*1000000/3600</f>
        <v>19.611921686136988</v>
      </c>
      <c r="D46" s="3" t="s">
        <v>122</v>
      </c>
    </row>
    <row r="47" spans="2:30" ht="18" hidden="1" customHeight="1" outlineLevel="1" x14ac:dyDescent="0.25">
      <c r="B47" s="16" t="s">
        <v>123</v>
      </c>
      <c r="C47" s="23">
        <f>C42/C43</f>
        <v>0.69565217391304346</v>
      </c>
      <c r="D47" s="3" t="s">
        <v>124</v>
      </c>
    </row>
    <row r="48" spans="2:30" ht="15" hidden="1" customHeight="1" outlineLevel="1" x14ac:dyDescent="0.25">
      <c r="B48" s="16" t="s">
        <v>96</v>
      </c>
      <c r="C48" s="24">
        <f>2*C41*C46/C16*SQRT(C47)/1000</f>
        <v>3211.1576018437545</v>
      </c>
      <c r="D48" s="3" t="s">
        <v>125</v>
      </c>
    </row>
    <row r="49" spans="2:10" ht="15" hidden="1" customHeight="1" outlineLevel="1" x14ac:dyDescent="0.25">
      <c r="B49" s="16" t="s">
        <v>98</v>
      </c>
      <c r="C49" s="24">
        <f>2*C41*C43*2*PI()*C13/60/1000000*SQRT(C47)/C16</f>
        <v>5895.7507825599969</v>
      </c>
      <c r="D49" s="3" t="s">
        <v>99</v>
      </c>
    </row>
    <row r="50" spans="2:10" ht="18" hidden="1" customHeight="1" outlineLevel="1" x14ac:dyDescent="0.25">
      <c r="B50" s="16" t="s">
        <v>126</v>
      </c>
      <c r="C50" s="27">
        <f>+IF(C48&lt;10^4,0.5,0.6)</f>
        <v>0.5</v>
      </c>
      <c r="D50" s="3" t="s">
        <v>127</v>
      </c>
      <c r="J50" s="2"/>
    </row>
    <row r="51" spans="2:10" ht="18" hidden="1" customHeight="1" outlineLevel="1" x14ac:dyDescent="0.25">
      <c r="B51" s="16" t="s">
        <v>128</v>
      </c>
      <c r="C51" s="27">
        <f>2*PI()*C13/60</f>
        <v>313.11206780778269</v>
      </c>
      <c r="D51" s="3" t="s">
        <v>129</v>
      </c>
    </row>
    <row r="52" spans="2:10" ht="18" hidden="1" customHeight="1" outlineLevel="1" x14ac:dyDescent="0.25">
      <c r="B52" s="16" t="s">
        <v>130</v>
      </c>
      <c r="C52" s="27">
        <f>0.135*C45/C41</f>
        <v>5.501465048113119E-3</v>
      </c>
      <c r="D52" s="3" t="s">
        <v>101</v>
      </c>
    </row>
    <row r="53" spans="2:10" ht="18" hidden="1" customHeight="1" outlineLevel="1" x14ac:dyDescent="0.25">
      <c r="B53" s="16" t="s">
        <v>102</v>
      </c>
      <c r="C53" s="27">
        <f>96/C48</f>
        <v>2.9895760938323163E-2</v>
      </c>
      <c r="D53" s="3" t="s">
        <v>103</v>
      </c>
    </row>
    <row r="54" spans="2:10" ht="18" hidden="1" customHeight="1" outlineLevel="1" x14ac:dyDescent="0.25">
      <c r="B54" s="16" t="s">
        <v>104</v>
      </c>
      <c r="C54" s="27">
        <f>C53*(1+0.2*(C49/2000)^2)^(1.03)</f>
        <v>8.4365533410597979E-2</v>
      </c>
      <c r="D54" s="3" t="s">
        <v>105</v>
      </c>
    </row>
    <row r="55" spans="2:10" ht="18" hidden="1" customHeight="1" outlineLevel="1" x14ac:dyDescent="0.25">
      <c r="B55" s="16" t="s">
        <v>102</v>
      </c>
      <c r="C55" s="27">
        <f>0.31/(LOG(C52+6.5/C48))^2</f>
        <v>6.8750417135464453E-2</v>
      </c>
      <c r="D55" s="3" t="s">
        <v>106</v>
      </c>
    </row>
    <row r="56" spans="2:10" ht="18" hidden="1" customHeight="1" outlineLevel="1" x14ac:dyDescent="0.25">
      <c r="B56" s="16" t="s">
        <v>107</v>
      </c>
      <c r="C56" s="27">
        <f>C55*(1+0.19*(C49/C48)^2)^0.375</f>
        <v>8.2773226118039556E-2</v>
      </c>
      <c r="D56" s="3" t="s">
        <v>108</v>
      </c>
    </row>
    <row r="57" spans="2:10" hidden="1" outlineLevel="1" x14ac:dyDescent="0.25">
      <c r="B57" s="16" t="s">
        <v>109</v>
      </c>
      <c r="C57" s="27">
        <f>IF(C48&gt;2000,C56,C54)</f>
        <v>8.2773226118039556E-2</v>
      </c>
      <c r="D57" s="3" t="s">
        <v>110</v>
      </c>
    </row>
    <row r="58" spans="2:10" ht="18" collapsed="1" x14ac:dyDescent="0.25">
      <c r="B58" s="16" t="s">
        <v>131</v>
      </c>
      <c r="C58" s="24">
        <f>+C14/2*(C46^2*(C44+C57*C42/(2*C41)*(1-C47)+C47^2)-C50^2*C51^2/1000000*C43^2*(1-C47^2))*0.00001</f>
        <v>22.145119239897209</v>
      </c>
      <c r="D58" s="3" t="s">
        <v>132</v>
      </c>
    </row>
    <row r="60" spans="2:10" x14ac:dyDescent="0.25">
      <c r="B60" s="51" t="s">
        <v>133</v>
      </c>
      <c r="C60" s="52"/>
      <c r="D60" s="53"/>
    </row>
    <row r="61" spans="2:10" ht="18" x14ac:dyDescent="0.25">
      <c r="B61" s="15" t="s">
        <v>134</v>
      </c>
      <c r="C61" s="18">
        <v>7</v>
      </c>
      <c r="D61" s="3" t="s">
        <v>135</v>
      </c>
    </row>
    <row r="62" spans="2:10" ht="18" customHeight="1" x14ac:dyDescent="0.25">
      <c r="B62" s="16" t="s">
        <v>136</v>
      </c>
      <c r="C62" s="18">
        <v>18.850000000000001</v>
      </c>
      <c r="D62" s="3" t="s">
        <v>137</v>
      </c>
    </row>
    <row r="63" spans="2:10" ht="18" customHeight="1" x14ac:dyDescent="0.25">
      <c r="B63" s="16" t="s">
        <v>138</v>
      </c>
      <c r="C63" s="18">
        <v>3</v>
      </c>
      <c r="D63" s="3" t="s">
        <v>139</v>
      </c>
    </row>
    <row r="64" spans="2:10" ht="15" hidden="1" customHeight="1" outlineLevel="1" x14ac:dyDescent="0.25">
      <c r="B64" s="16" t="s">
        <v>140</v>
      </c>
      <c r="C64" s="23">
        <f>+G10/3600/C67*1000000</f>
        <v>25.143136086934781</v>
      </c>
      <c r="D64" s="3" t="s">
        <v>141</v>
      </c>
    </row>
    <row r="65" spans="2:4" ht="18" hidden="1" customHeight="1" outlineLevel="1" x14ac:dyDescent="0.25">
      <c r="B65" s="16" t="s">
        <v>142</v>
      </c>
      <c r="C65" s="23">
        <f>+G10/3600/C68*1000000</f>
        <v>3.4673111560900427</v>
      </c>
      <c r="D65" s="3" t="s">
        <v>143</v>
      </c>
    </row>
    <row r="66" spans="2:4" ht="18" hidden="1" customHeight="1" outlineLevel="1" x14ac:dyDescent="0.25">
      <c r="B66" s="16" t="s">
        <v>144</v>
      </c>
      <c r="C66" s="23">
        <f>+C61/C62</f>
        <v>0.37135278514588854</v>
      </c>
      <c r="D66" s="3" t="s">
        <v>145</v>
      </c>
    </row>
    <row r="67" spans="2:4" ht="18" hidden="1" customHeight="1" outlineLevel="1" x14ac:dyDescent="0.25">
      <c r="B67" s="16" t="s">
        <v>146</v>
      </c>
      <c r="C67" s="23">
        <f>+C61^2/4*PI()</f>
        <v>38.484510006474963</v>
      </c>
      <c r="D67" s="3" t="s">
        <v>147</v>
      </c>
    </row>
    <row r="68" spans="2:4" ht="18" hidden="1" customHeight="1" outlineLevel="1" x14ac:dyDescent="0.25">
      <c r="B68" s="16" t="s">
        <v>148</v>
      </c>
      <c r="C68" s="23">
        <f>+C62^2/4*PI()</f>
        <v>279.06963891378984</v>
      </c>
      <c r="D68" s="3" t="s">
        <v>149</v>
      </c>
    </row>
    <row r="69" spans="2:4" ht="15" hidden="1" customHeight="1" outlineLevel="1" x14ac:dyDescent="0.25">
      <c r="B69" s="16" t="s">
        <v>150</v>
      </c>
      <c r="C69" s="23">
        <f>+C61/1000*C64/$C$16</f>
        <v>176001.95260854348</v>
      </c>
      <c r="D69" s="3" t="s">
        <v>151</v>
      </c>
    </row>
    <row r="70" spans="2:4" ht="18" hidden="1" customHeight="1" outlineLevel="1" x14ac:dyDescent="0.25">
      <c r="B70" s="16" t="s">
        <v>152</v>
      </c>
      <c r="C70" s="23">
        <f>+C62/1000*C65/$C$16</f>
        <v>65358.815292297317</v>
      </c>
      <c r="D70" s="3" t="s">
        <v>153</v>
      </c>
    </row>
    <row r="71" spans="2:4" ht="18" hidden="1" customHeight="1" outlineLevel="1" x14ac:dyDescent="0.25">
      <c r="B71" s="16" t="s">
        <v>100</v>
      </c>
      <c r="C71" s="23">
        <f>+(19000*C66/C70)^0.8</f>
        <v>0.16849572707080138</v>
      </c>
      <c r="D71" s="3"/>
    </row>
    <row r="72" spans="2:4" ht="18" hidden="1" customHeight="1" outlineLevel="1" x14ac:dyDescent="0.25">
      <c r="B72" s="16" t="s">
        <v>154</v>
      </c>
      <c r="C72" s="23">
        <v>0</v>
      </c>
      <c r="D72" s="3" t="s">
        <v>155</v>
      </c>
    </row>
    <row r="73" spans="2:4" ht="18" hidden="1" customHeight="1" outlineLevel="1" x14ac:dyDescent="0.25">
      <c r="B73" s="16" t="s">
        <v>156</v>
      </c>
      <c r="C73" s="23">
        <v>0</v>
      </c>
      <c r="D73" s="3" t="s">
        <v>157</v>
      </c>
    </row>
    <row r="74" spans="2:4" ht="15" hidden="1" customHeight="1" outlineLevel="1" x14ac:dyDescent="0.25">
      <c r="B74" s="16" t="s">
        <v>158</v>
      </c>
      <c r="C74" s="23">
        <f>+C72/C61</f>
        <v>0</v>
      </c>
      <c r="D74" s="3"/>
    </row>
    <row r="75" spans="2:4" ht="15" hidden="1" customHeight="1" outlineLevel="1" x14ac:dyDescent="0.25">
      <c r="B75" s="16" t="s">
        <v>159</v>
      </c>
      <c r="C75" s="23">
        <f>C73/C61</f>
        <v>0</v>
      </c>
      <c r="D75" s="3"/>
    </row>
    <row r="76" spans="2:4" ht="18" hidden="1" customHeight="1" outlineLevel="1" x14ac:dyDescent="0.25">
      <c r="B76" s="16" t="s">
        <v>160</v>
      </c>
      <c r="C76" s="23">
        <f>2*C75/(1-C66)</f>
        <v>0</v>
      </c>
      <c r="D76" s="3"/>
    </row>
    <row r="77" spans="2:4" hidden="1" outlineLevel="1" x14ac:dyDescent="0.25">
      <c r="B77" s="16" t="s">
        <v>161</v>
      </c>
      <c r="C77" s="23">
        <f xml:space="preserve"> 0.5961+0.0261*C66^2-0.216*C66^8+0.000521*(C66*10^6/C69)^0.7+(0.0188+0.0063*C71)*C66^3.5*(10^6/C69)^0.3+(0.043+0.08*EXP(-10*C74)-0.123*EXP(-7*C74))*(1-0.11*C71)*C66^4/(1-C66^4)-0.031*(C76-0.8*C76^1.1)*C66^1.3+IF(C62&lt;71.12,0.011*(0.75-C66)*(2.8-C62/25.4),0)</f>
        <v>0.61011489396309482</v>
      </c>
      <c r="D77" s="3" t="s">
        <v>162</v>
      </c>
    </row>
    <row r="78" spans="2:4" ht="18" collapsed="1" x14ac:dyDescent="0.25">
      <c r="B78" s="16" t="s">
        <v>163</v>
      </c>
      <c r="C78" s="23">
        <f>IF(C61&lt;=C62,G10^2/(2*$C$14)*(1-C66^4)/(C77^2*C67^2)*$C$14^2/3600^2*10^12/10^5,0)</f>
        <v>8.3300389447861161</v>
      </c>
      <c r="D78" s="3" t="s">
        <v>164</v>
      </c>
    </row>
    <row r="80" spans="2:4" x14ac:dyDescent="0.25">
      <c r="B80" s="51" t="s">
        <v>165</v>
      </c>
      <c r="C80" s="52"/>
      <c r="D80" s="53"/>
    </row>
    <row r="81" spans="2:10" x14ac:dyDescent="0.25">
      <c r="B81" s="15" t="s">
        <v>76</v>
      </c>
      <c r="C81" s="18">
        <v>1</v>
      </c>
      <c r="D81" s="3" t="s">
        <v>166</v>
      </c>
    </row>
    <row r="82" spans="2:10" x14ac:dyDescent="0.25">
      <c r="B82" s="16" t="s">
        <v>80</v>
      </c>
      <c r="C82" s="18">
        <v>55</v>
      </c>
      <c r="D82" s="3" t="s">
        <v>167</v>
      </c>
    </row>
    <row r="83" spans="2:10" ht="18" customHeight="1" x14ac:dyDescent="0.25">
      <c r="B83" s="16" t="s">
        <v>82</v>
      </c>
      <c r="C83" s="18">
        <v>67</v>
      </c>
      <c r="D83" s="3" t="s">
        <v>168</v>
      </c>
    </row>
    <row r="84" spans="2:10" ht="15" customHeight="1" x14ac:dyDescent="0.25">
      <c r="B84" s="16" t="s">
        <v>86</v>
      </c>
      <c r="C84" s="21">
        <v>1.2</v>
      </c>
      <c r="D84" s="3" t="s">
        <v>87</v>
      </c>
    </row>
    <row r="85" spans="2:10" x14ac:dyDescent="0.25">
      <c r="B85" s="16" t="s">
        <v>90</v>
      </c>
      <c r="C85" s="18">
        <v>4.0000000000000001E-3</v>
      </c>
      <c r="D85" s="3" t="s">
        <v>91</v>
      </c>
    </row>
    <row r="86" spans="2:10" ht="18" x14ac:dyDescent="0.25">
      <c r="B86" s="16" t="s">
        <v>92</v>
      </c>
      <c r="C86" s="18">
        <v>0</v>
      </c>
      <c r="D86" s="3" t="s">
        <v>93</v>
      </c>
    </row>
    <row r="87" spans="2:10" ht="18" hidden="1" customHeight="1" outlineLevel="1" x14ac:dyDescent="0.25">
      <c r="B87" s="16" t="s">
        <v>94</v>
      </c>
      <c r="C87" s="23">
        <f>$G$10/(PI()*C81*C83)/3600*1000000</f>
        <v>4.5970659263425535</v>
      </c>
      <c r="D87" s="3" t="s">
        <v>95</v>
      </c>
    </row>
    <row r="88" spans="2:10" ht="15" hidden="1" customHeight="1" outlineLevel="1" x14ac:dyDescent="0.25">
      <c r="B88" s="16" t="s">
        <v>96</v>
      </c>
      <c r="C88" s="24">
        <f>2*C81*C87/C16/1000</f>
        <v>9194.1318526851064</v>
      </c>
      <c r="D88" s="3" t="s">
        <v>97</v>
      </c>
    </row>
    <row r="89" spans="2:10" ht="18" hidden="1" customHeight="1" outlineLevel="1" x14ac:dyDescent="0.25">
      <c r="B89" s="16" t="s">
        <v>98</v>
      </c>
      <c r="C89" s="24">
        <f>2*C81*(PI()*C83*C13/60)/C16/1000000</f>
        <v>20978.508543121443</v>
      </c>
      <c r="D89" s="3" t="s">
        <v>99</v>
      </c>
    </row>
    <row r="90" spans="2:10" ht="15" hidden="1" customHeight="1" outlineLevel="1" x14ac:dyDescent="0.25">
      <c r="B90" s="16" t="s">
        <v>100</v>
      </c>
      <c r="C90" s="30">
        <f>0.135*C85/C81</f>
        <v>5.4000000000000001E-4</v>
      </c>
      <c r="D90" s="3" t="s">
        <v>101</v>
      </c>
      <c r="F90" s="2"/>
    </row>
    <row r="91" spans="2:10" ht="18" hidden="1" outlineLevel="1" x14ac:dyDescent="0.25">
      <c r="B91" s="16" t="s">
        <v>102</v>
      </c>
      <c r="C91" s="27">
        <f>96/C88*(1-0.6*C86/C81)</f>
        <v>1.0441442600365104E-2</v>
      </c>
      <c r="D91" s="3" t="s">
        <v>103</v>
      </c>
    </row>
    <row r="92" spans="2:10" ht="18" hidden="1" outlineLevel="1" x14ac:dyDescent="0.25">
      <c r="B92" s="16" t="s">
        <v>104</v>
      </c>
      <c r="C92" s="27">
        <f>C91*(1+0.2*(C89/2000)^1.03)</f>
        <v>3.3946290910006525E-2</v>
      </c>
      <c r="D92" s="3" t="s">
        <v>105</v>
      </c>
      <c r="J92" s="2"/>
    </row>
    <row r="93" spans="2:10" ht="18" hidden="1" customHeight="1" outlineLevel="1" x14ac:dyDescent="0.25">
      <c r="B93" s="16" t="s">
        <v>102</v>
      </c>
      <c r="C93" s="27">
        <f>0.31/(LOG(C90+6.5/C88))^2</f>
        <v>3.6755783149902285E-2</v>
      </c>
      <c r="D93" s="3" t="s">
        <v>106</v>
      </c>
    </row>
    <row r="94" spans="2:10" ht="18" hidden="1" customHeight="1" outlineLevel="1" x14ac:dyDescent="0.25">
      <c r="B94" s="16" t="s">
        <v>107</v>
      </c>
      <c r="C94" s="27">
        <f>C93*(1+0.19*(C89/C88)^2)^0.375</f>
        <v>4.7569609672359209E-2</v>
      </c>
      <c r="D94" s="3" t="s">
        <v>108</v>
      </c>
    </row>
    <row r="95" spans="2:10" hidden="1" outlineLevel="1" x14ac:dyDescent="0.25">
      <c r="B95" s="16" t="s">
        <v>109</v>
      </c>
      <c r="C95" s="27">
        <f>IF(C88&gt;2000,C94,C92)</f>
        <v>4.7569609672359209E-2</v>
      </c>
      <c r="D95" s="3" t="s">
        <v>110</v>
      </c>
    </row>
    <row r="96" spans="2:10" ht="18" collapsed="1" x14ac:dyDescent="0.25">
      <c r="B96" s="16" t="s">
        <v>169</v>
      </c>
      <c r="C96" s="23">
        <f>C14/2*(C87^2*(C84+C95*C82/(2*C81)))*0.00001</f>
        <v>0.2650253669227402</v>
      </c>
      <c r="D96" s="3" t="s">
        <v>170</v>
      </c>
    </row>
    <row r="98" spans="2:4" x14ac:dyDescent="0.25">
      <c r="B98" s="51" t="s">
        <v>171</v>
      </c>
      <c r="C98" s="52"/>
      <c r="D98" s="53"/>
    </row>
    <row r="99" spans="2:4" ht="18" customHeight="1" x14ac:dyDescent="0.25">
      <c r="B99" s="15" t="s">
        <v>172</v>
      </c>
      <c r="C99" s="21">
        <v>0.2</v>
      </c>
      <c r="D99" s="3" t="s">
        <v>173</v>
      </c>
    </row>
    <row r="100" spans="2:4" ht="18" hidden="1" customHeight="1" outlineLevel="1" x14ac:dyDescent="0.25">
      <c r="B100" s="16" t="s">
        <v>174</v>
      </c>
      <c r="C100" s="23">
        <f>C37</f>
        <v>8.8924748712197549E-2</v>
      </c>
      <c r="D100" s="3" t="s">
        <v>175</v>
      </c>
    </row>
    <row r="101" spans="2:4" ht="18" hidden="1" customHeight="1" outlineLevel="1" x14ac:dyDescent="0.25">
      <c r="B101" s="16" t="s">
        <v>176</v>
      </c>
      <c r="C101" s="31">
        <f>C26</f>
        <v>1.2</v>
      </c>
      <c r="D101" s="3" t="s">
        <v>177</v>
      </c>
    </row>
    <row r="102" spans="2:4" ht="18" hidden="1" customHeight="1" outlineLevel="1" x14ac:dyDescent="0.25">
      <c r="B102" s="16" t="s">
        <v>178</v>
      </c>
      <c r="C102" s="23">
        <f>C57</f>
        <v>8.2773226118039556E-2</v>
      </c>
      <c r="D102" s="3" t="s">
        <v>179</v>
      </c>
    </row>
    <row r="103" spans="2:4" ht="15" hidden="1" customHeight="1" outlineLevel="1" x14ac:dyDescent="0.25">
      <c r="B103" s="16" t="s">
        <v>180</v>
      </c>
      <c r="C103" s="31">
        <f>+C44</f>
        <v>1.2</v>
      </c>
      <c r="D103" s="3" t="s">
        <v>181</v>
      </c>
    </row>
    <row r="104" spans="2:4" ht="18" hidden="1" customHeight="1" outlineLevel="1" x14ac:dyDescent="0.25">
      <c r="B104" s="16" t="s">
        <v>182</v>
      </c>
      <c r="C104" s="23">
        <f>C42/C43</f>
        <v>0.69565217391304346</v>
      </c>
      <c r="D104" s="3" t="s">
        <v>183</v>
      </c>
    </row>
    <row r="105" spans="2:4" ht="18" hidden="1" customHeight="1" outlineLevel="1" x14ac:dyDescent="0.25">
      <c r="B105" s="16" t="s">
        <v>184</v>
      </c>
      <c r="C105" s="23">
        <f>(C25/2)/C43</f>
        <v>0.47826086956521741</v>
      </c>
      <c r="D105" s="3" t="s">
        <v>185</v>
      </c>
    </row>
    <row r="106" spans="2:4" ht="15" hidden="1" customHeight="1" outlineLevel="1" x14ac:dyDescent="0.25">
      <c r="B106" s="16" t="s">
        <v>186</v>
      </c>
      <c r="C106" s="23">
        <f>C100*C24/(2*C23)+C101</f>
        <v>4.8681458843781487</v>
      </c>
      <c r="D106" s="3" t="s">
        <v>187</v>
      </c>
    </row>
    <row r="107" spans="2:4" ht="15" hidden="1" customHeight="1" outlineLevel="1" x14ac:dyDescent="0.25">
      <c r="B107" s="16" t="s">
        <v>188</v>
      </c>
      <c r="C107" s="23">
        <f>C104^2+(1-C104)*C104*(C102*C43/(2*C41))+C99</f>
        <v>10.950012697007816</v>
      </c>
      <c r="D107" s="3" t="s">
        <v>189</v>
      </c>
    </row>
    <row r="108" spans="2:4" ht="30" hidden="1" outlineLevel="1" x14ac:dyDescent="0.25">
      <c r="B108" s="16" t="s">
        <v>190</v>
      </c>
      <c r="C108" s="23">
        <f>C103/C107</f>
        <v>0.10958891402271252</v>
      </c>
      <c r="D108" s="4" t="s">
        <v>191</v>
      </c>
    </row>
    <row r="109" spans="2:4" ht="30" hidden="1" outlineLevel="1" x14ac:dyDescent="0.25">
      <c r="B109" s="16" t="s">
        <v>144</v>
      </c>
      <c r="C109" s="24">
        <f>1/(1+(C106/C107)*(C42*C41/((C25/2)*C23))^2)</f>
        <v>0.99101917123522432</v>
      </c>
      <c r="D109" s="4" t="s">
        <v>192</v>
      </c>
    </row>
    <row r="110" spans="2:4" ht="18" hidden="1" outlineLevel="1" x14ac:dyDescent="0.25">
      <c r="B110" s="16" t="s">
        <v>193</v>
      </c>
      <c r="C110" s="23">
        <f>PI()/3*((G12-((G13+G14)/2))/10)*C43^2*(1+C104+C104^2-3*C105^2-C108*(1+C104-2*C104^2))</f>
        <v>45038.010282003757</v>
      </c>
      <c r="D110" s="3" t="s">
        <v>194</v>
      </c>
    </row>
    <row r="111" spans="2:4" collapsed="1" x14ac:dyDescent="0.25">
      <c r="C111" s="9"/>
    </row>
  </sheetData>
  <mergeCells count="12">
    <mergeCell ref="F4:L4"/>
    <mergeCell ref="G7:L7"/>
    <mergeCell ref="G5:L5"/>
    <mergeCell ref="J9:L9"/>
    <mergeCell ref="B98:D98"/>
    <mergeCell ref="B80:D80"/>
    <mergeCell ref="B40:D40"/>
    <mergeCell ref="F9:H9"/>
    <mergeCell ref="B9:D9"/>
    <mergeCell ref="B22:D22"/>
    <mergeCell ref="B60:D60"/>
    <mergeCell ref="G6:L6"/>
  </mergeCells>
  <phoneticPr fontId="4" type="noConversion"/>
  <conditionalFormatting sqref="G25">
    <cfRule type="iconSet" priority="4">
      <iconSet>
        <cfvo type="percent" val="0"/>
        <cfvo type="num" val="0.8" gte="0"/>
        <cfvo type="num" val="0.9"/>
      </iconSet>
    </cfRule>
  </conditionalFormatting>
  <conditionalFormatting sqref="G26">
    <cfRule type="iconSet" priority="3">
      <iconSet reverse="1">
        <cfvo type="percent" val="0"/>
        <cfvo type="num" val="1.1000000000000001" gte="0"/>
        <cfvo type="num" val="1.2" gte="0"/>
      </iconSet>
    </cfRule>
  </conditionalFormatting>
  <conditionalFormatting sqref="F5:F7">
    <cfRule type="iconSet" priority="2">
      <iconSet>
        <cfvo type="percent" val="0"/>
        <cfvo type="num" val="0.5"/>
        <cfvo type="num" val="1"/>
      </iconSe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9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" id="{19082F74-92F2-48DB-BDC4-7010D94095D6}">
            <x14:iconSet custom="1">
              <x14:cfvo type="percent">
                <xm:f>0</xm:f>
              </x14:cfvo>
              <x14:cfvo type="num">
                <xm:f>-0.5</xm:f>
              </x14:cfvo>
              <x14:cfvo type="num">
                <xm:f>0.5</xm:f>
              </x14:cfvo>
              <x14:cfIcon iconSet="3Symbols" iconId="0"/>
              <x14:cfIcon iconSet="3Symbols" iconId="2"/>
              <x14:cfIcon iconSet="3Symbols" iconId="0"/>
            </x14:iconSet>
          </x14:cfRule>
          <xm:sqref>J34</xm:sqref>
        </x14:conditionalFormatting>
        <x14:conditionalFormatting xmlns:xm="http://schemas.microsoft.com/office/excel/2006/main">
          <x14:cfRule type="iconSet" priority="16" id="{0D66CD6B-1FDE-4069-B956-1C1A7A602D03}">
            <x14:iconSet custom="1">
              <x14:cfvo type="percent">
                <xm:f>0</xm:f>
              </x14:cfvo>
              <x14:cfvo type="num">
                <xm:f>1</xm:f>
              </x14:cfvo>
              <x14:cfvo type="num" gte="0">
                <xm:f>1.2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C44</xm:sqref>
        </x14:conditionalFormatting>
        <x14:conditionalFormatting xmlns:xm="http://schemas.microsoft.com/office/excel/2006/main">
          <x14:cfRule type="iconSet" priority="15" id="{78AFD6B5-D4ED-4F49-B703-04C445DC9E8A}">
            <x14:iconSet custom="1">
              <x14:cfvo type="percent">
                <xm:f>0</xm:f>
              </x14:cfvo>
              <x14:cfvo type="num">
                <xm:f>1</xm:f>
              </x14:cfvo>
              <x14:cfvo type="num" gte="0">
                <xm:f>1.2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C26</xm:sqref>
        </x14:conditionalFormatting>
        <x14:conditionalFormatting xmlns:xm="http://schemas.microsoft.com/office/excel/2006/main">
          <x14:cfRule type="iconSet" priority="14" id="{54CF314F-BC01-4AA2-905D-29BB052093B0}">
            <x14:iconSet custom="1">
              <x14:cfvo type="percent">
                <xm:f>0</xm:f>
              </x14:cfvo>
              <x14:cfvo type="num">
                <xm:f>1</xm:f>
              </x14:cfvo>
              <x14:cfvo type="num" gte="0">
                <xm:f>1.2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C84</xm:sqref>
        </x14:conditionalFormatting>
        <x14:conditionalFormatting xmlns:xm="http://schemas.microsoft.com/office/excel/2006/main">
          <x14:cfRule type="iconSet" priority="13" id="{F84A0A07-DE4B-4CD5-BC3F-92661882FCDF}">
            <x14:iconSet custom="1">
              <x14:cfvo type="percent">
                <xm:f>0</xm:f>
              </x14:cfvo>
              <x14:cfvo type="num">
                <xm:f>-0.5</xm:f>
              </x14:cfvo>
              <x14:cfvo type="num">
                <xm:f>0.5</xm:f>
              </x14:cfvo>
              <x14:cfIcon iconSet="3Symbols" iconId="0"/>
              <x14:cfIcon iconSet="3Symbols" iconId="2"/>
              <x14:cfIcon iconSet="3Symbols" iconId="0"/>
            </x14:iconSet>
          </x14:cfRule>
          <xm:sqref>J92</xm:sqref>
        </x14:conditionalFormatting>
        <x14:conditionalFormatting xmlns:xm="http://schemas.microsoft.com/office/excel/2006/main">
          <x14:cfRule type="iconSet" priority="11" id="{ADDE4674-8C92-456E-92E8-76D1D7632DF7}">
            <x14:iconSet custom="1">
              <x14:cfvo type="percent">
                <xm:f>0</xm:f>
              </x14:cfvo>
              <x14:cfvo type="formula">
                <xm:f>-$K$11</xm:f>
              </x14:cfvo>
              <x14:cfvo type="formula" gte="0">
                <xm:f>$K$11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G17</xm:sqref>
        </x14:conditionalFormatting>
        <x14:conditionalFormatting xmlns:xm="http://schemas.microsoft.com/office/excel/2006/main">
          <x14:cfRule type="iconSet" priority="1" id="{0B9CCEBE-EDE1-4F4B-B24F-5CEA6F81617D}">
            <x14:iconSet custom="1">
              <x14:cfvo type="percent">
                <xm:f>0</xm:f>
              </x14:cfvo>
              <x14:cfvo type="formula">
                <xm:f>-$K$11</xm:f>
              </x14:cfvo>
              <x14:cfvo type="formula" gte="0">
                <xm:f>$K$11</xm:f>
              </x14:cfvo>
              <x14:cfIcon iconSet="3TrafficLights1" iconId="0"/>
              <x14:cfIcon iconSet="3TrafficLights1" iconId="2"/>
              <x14:cfIcon iconSet="3TrafficLights1" iconId="0"/>
            </x14:iconSet>
          </x14:cfRule>
          <xm:sqref>G19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3E917D-D5AE-4B7D-9C6C-A729E9C933C3}"/>
</file>

<file path=customXml/itemProps2.xml><?xml version="1.0" encoding="utf-8"?>
<ds:datastoreItem xmlns:ds="http://schemas.openxmlformats.org/officeDocument/2006/customXml" ds:itemID="{690B1E50-863A-4834-8590-0B70767C1E7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262C4BC-864F-46EA-950B-391104E659B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cover</vt:lpstr>
      <vt:lpstr>balance_disc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Giovanni Tellini</dc:creator>
  <cp:keywords/>
  <dc:description/>
  <cp:lastModifiedBy>Carmine Delli Quadri</cp:lastModifiedBy>
  <cp:revision/>
  <dcterms:created xsi:type="dcterms:W3CDTF">2021-08-25T06:52:22Z</dcterms:created>
  <dcterms:modified xsi:type="dcterms:W3CDTF">2023-12-21T09:23:18Z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