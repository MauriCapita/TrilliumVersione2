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trilliumflow-my.sharepoint.com/personal/fabrizio_cademartori_trilliumflow_com/Documents/Desktop/temporanei/moficare/"/>
    </mc:Choice>
  </mc:AlternateContent>
  <xr:revisionPtr revIDLastSave="46" documentId="13_ncr:1_{7DDD13AB-267B-4C33-B01C-103CAF99E82D}" xr6:coauthVersionLast="47" xr6:coauthVersionMax="47" xr10:uidLastSave="{0647BECF-86EC-4079-A188-85F92A540A27}"/>
  <bookViews>
    <workbookView xWindow="-120" yWindow="-120" windowWidth="38640" windowHeight="21240" xr2:uid="{D409C0DE-E00F-4444-98C8-EE4CEAC3FDC7}"/>
  </bookViews>
  <sheets>
    <sheet name="content" sheetId="10" r:id="rId1"/>
    <sheet name="material" sheetId="1" r:id="rId2"/>
    <sheet name="Haigh (Goodman) diagram" sheetId="4" r:id="rId3"/>
    <sheet name="envelope" sheetId="5" r:id="rId4"/>
    <sheet name="VFD" sheetId="7" r:id="rId5"/>
    <sheet name="line" sheetId="8" r:id="rId6"/>
    <sheet name="linex2" sheetId="9" r:id="rId7"/>
  </sheets>
  <functionGroups builtInGroupCount="19"/>
  <definedNames>
    <definedName name="coeff_D">'Haigh (Goodman) diagram'!$D$6</definedName>
    <definedName name="coeff_S">'Haigh (Goodman) diagram'!$C$6</definedName>
    <definedName name="damping_ratio">'Haigh (Goodman) diagram'!$C$46</definedName>
    <definedName name="dim_ele">0</definedName>
    <definedName name="dim_freq">0</definedName>
    <definedName name="dim_freq2">0</definedName>
    <definedName name="dim_har">0</definedName>
    <definedName name="dim_speed">0</definedName>
    <definedName name="dim_VFD">0</definedName>
    <definedName name="i_static">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4" l="1"/>
  <c r="O5" i="4"/>
  <c r="P5" i="4"/>
  <c r="P15" i="1" a="1"/>
  <c r="P15" i="1" s="1"/>
  <c r="P14" i="1" a="1"/>
  <c r="P14" i="1" s="1"/>
  <c r="I16" i="1" a="1"/>
  <c r="I16" i="1" s="1"/>
  <c r="S10" i="4"/>
  <c r="C4" i="5"/>
  <c r="H25" i="1"/>
  <c r="I26" i="1"/>
  <c r="I27" i="1"/>
  <c r="I28" i="1"/>
  <c r="I29" i="1"/>
  <c r="I30" i="1"/>
  <c r="I31" i="1"/>
  <c r="I32" i="1"/>
  <c r="I33" i="1"/>
  <c r="I34" i="1"/>
  <c r="I35" i="1"/>
  <c r="I36" i="1"/>
  <c r="I25" i="1"/>
  <c r="C38" i="4"/>
  <c r="C36" i="4"/>
  <c r="C34" i="4"/>
  <c r="C28" i="4"/>
  <c r="C32" i="4"/>
  <c r="C24" i="4" a="1"/>
  <c r="C30" i="4" a="1"/>
  <c r="P18" i="1" a="1"/>
  <c r="P17" i="1" a="1"/>
  <c r="P17" i="1" l="1"/>
  <c r="P18" i="1"/>
  <c r="C30" i="4"/>
  <c r="C24" i="4"/>
  <c r="C26" i="4" s="1"/>
  <c r="D26" i="9"/>
  <c r="C4" i="9"/>
  <c r="D26" i="8"/>
  <c r="C4" i="8"/>
  <c r="C4" i="7"/>
  <c r="D26" i="7"/>
  <c r="D25" i="5"/>
  <c r="C44" i="4"/>
  <c r="P7" i="1" l="1"/>
  <c r="D5" i="4"/>
  <c r="C5" i="4"/>
  <c r="C6" i="4" a="1"/>
  <c r="D6" i="4" a="1"/>
  <c r="C6" i="4" l="1"/>
  <c r="D6" i="4"/>
  <c r="S7" i="4" l="1"/>
  <c r="S5" i="4" s="1"/>
  <c r="S8" i="4" s="1"/>
  <c r="I17" i="1" l="1"/>
  <c r="P16" i="1" s="1"/>
  <c r="T6" i="4"/>
  <c r="P19" i="1"/>
  <c r="P8" i="1" l="1"/>
  <c r="H26" i="1"/>
  <c r="C13" i="1" a="1"/>
  <c r="C9" i="1" a="1"/>
  <c r="C6" i="1" a="1"/>
  <c r="C7" i="1" a="1"/>
  <c r="C12" i="1" a="1"/>
  <c r="C10" i="1" a="1"/>
  <c r="C8" i="1" a="1"/>
  <c r="C11" i="1" a="1"/>
  <c r="P11" i="1" a="1"/>
  <c r="C6" i="1" l="1"/>
  <c r="C7" i="1"/>
  <c r="C12" i="1"/>
  <c r="C9" i="1"/>
  <c r="C11" i="1"/>
  <c r="C13" i="1"/>
  <c r="C8" i="1"/>
  <c r="C10" i="1"/>
  <c r="P11" i="1"/>
  <c r="T9" i="4" l="1"/>
  <c r="T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<sst xmlns="http://schemas.openxmlformats.org/spreadsheetml/2006/main" count="205" uniqueCount="132">
  <si>
    <t>Shaft Fatigue Verification</t>
  </si>
  <si>
    <t>Revision</t>
  </si>
  <si>
    <t>By</t>
  </si>
  <si>
    <t>Approved</t>
  </si>
  <si>
    <t>Date</t>
  </si>
  <si>
    <t>Detail of revision</t>
  </si>
  <si>
    <t>draft</t>
  </si>
  <si>
    <t>Fabrizio Cademartori</t>
  </si>
  <si>
    <t>Material properties</t>
  </si>
  <si>
    <t>material name</t>
  </si>
  <si>
    <t>steel</t>
  </si>
  <si>
    <t>N [-]</t>
  </si>
  <si>
    <r>
      <t>S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[MPa]</t>
    </r>
  </si>
  <si>
    <r>
      <t>S</t>
    </r>
    <r>
      <rPr>
        <b/>
        <vertAlign val="subscript"/>
        <sz val="11"/>
        <color theme="0"/>
        <rFont val="Calibri"/>
        <family val="2"/>
        <scheme val="minor"/>
      </rPr>
      <t>y</t>
    </r>
    <r>
      <rPr>
        <b/>
        <sz val="11"/>
        <color theme="0"/>
        <rFont val="Calibri"/>
        <family val="2"/>
        <scheme val="minor"/>
      </rPr>
      <t xml:space="preserve"> [MPa]</t>
    </r>
  </si>
  <si>
    <t>(yield stress)</t>
  </si>
  <si>
    <t>input data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</si>
  <si>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u</t>
    </r>
    <r>
      <rPr>
        <b/>
        <sz val="11"/>
        <color theme="0"/>
        <rFont val="Calibri"/>
        <family val="2"/>
        <scheme val="minor"/>
      </rPr>
      <t xml:space="preserve"> [MPa]</t>
    </r>
  </si>
  <si>
    <t>(ultimate tensile stress)</t>
  </si>
  <si>
    <t>descriptor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</si>
  <si>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1000</t>
    </r>
    <r>
      <rPr>
        <b/>
        <sz val="11"/>
        <color theme="0"/>
        <rFont val="Calibri"/>
        <family val="2"/>
        <scheme val="minor"/>
      </rPr>
      <t xml:space="preserve"> [MPa]</t>
    </r>
  </si>
  <si>
    <t>(1000 cycles)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</si>
  <si>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1000000</t>
    </r>
    <r>
      <rPr>
        <b/>
        <sz val="11"/>
        <color theme="0"/>
        <rFont val="Calibri"/>
        <family val="2"/>
        <scheme val="minor"/>
      </rPr>
      <t xml:space="preserve"> [MPa]</t>
    </r>
  </si>
  <si>
    <t>(1000000 cycles)</t>
  </si>
  <si>
    <t xml:space="preserve"> </t>
  </si>
  <si>
    <r>
      <t>S</t>
    </r>
    <r>
      <rPr>
        <b/>
        <vertAlign val="subscript"/>
        <sz val="11"/>
        <color theme="0"/>
        <rFont val="Calibri"/>
        <family val="2"/>
        <scheme val="minor"/>
      </rPr>
      <t>f</t>
    </r>
    <r>
      <rPr>
        <b/>
        <sz val="11"/>
        <color theme="0"/>
        <rFont val="Calibri"/>
        <family val="2"/>
        <scheme val="minor"/>
      </rPr>
      <t xml:space="preserve"> [MPa]</t>
    </r>
  </si>
  <si>
    <r>
      <t>C</t>
    </r>
    <r>
      <rPr>
        <b/>
        <vertAlign val="subscript"/>
        <sz val="11"/>
        <color theme="0"/>
        <rFont val="Calibri"/>
        <family val="2"/>
        <scheme val="minor"/>
      </rPr>
      <t>L</t>
    </r>
    <r>
      <rPr>
        <b/>
        <sz val="11"/>
        <color theme="0"/>
        <rFont val="Calibri"/>
        <family val="2"/>
        <scheme val="minor"/>
      </rPr>
      <t xml:space="preserve"> (load factor)</t>
    </r>
  </si>
  <si>
    <t>torsion</t>
  </si>
  <si>
    <t>b</t>
  </si>
  <si>
    <t>a</t>
  </si>
  <si>
    <t>t</t>
  </si>
  <si>
    <t>g</t>
  </si>
  <si>
    <r>
      <t>C</t>
    </r>
    <r>
      <rPr>
        <b/>
        <vertAlign val="subscript"/>
        <sz val="11"/>
        <color theme="0"/>
        <rFont val="Calibri"/>
        <family val="2"/>
        <scheme val="minor"/>
      </rPr>
      <t>G</t>
    </r>
    <r>
      <rPr>
        <b/>
        <sz val="11"/>
        <color theme="0"/>
        <rFont val="Calibri"/>
        <family val="2"/>
        <scheme val="minor"/>
      </rPr>
      <t xml:space="preserve"> (gradient factor)</t>
    </r>
  </si>
  <si>
    <t>diameter [mm]</t>
  </si>
  <si>
    <t>bending</t>
  </si>
  <si>
    <r>
      <t>C</t>
    </r>
    <r>
      <rPr>
        <b/>
        <vertAlign val="subscript"/>
        <sz val="11"/>
        <color theme="0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 xml:space="preserve"> (surface factor)</t>
    </r>
  </si>
  <si>
    <t>machined or cold drawn</t>
  </si>
  <si>
    <t>axial</t>
  </si>
  <si>
    <r>
      <t>C</t>
    </r>
    <r>
      <rPr>
        <b/>
        <vertAlign val="subscript"/>
        <sz val="11"/>
        <color theme="0"/>
        <rFont val="Calibri"/>
        <family val="2"/>
        <scheme val="minor"/>
      </rPr>
      <t>T</t>
    </r>
    <r>
      <rPr>
        <b/>
        <sz val="11"/>
        <color theme="0"/>
        <rFont val="Calibri"/>
        <family val="2"/>
        <scheme val="minor"/>
      </rPr>
      <t xml:space="preserve"> (temperature factor)</t>
    </r>
  </si>
  <si>
    <t>T [°C]</t>
  </si>
  <si>
    <r>
      <t>C</t>
    </r>
    <r>
      <rPr>
        <b/>
        <vertAlign val="subscript"/>
        <sz val="11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 xml:space="preserve"> (reliability factor)</t>
    </r>
  </si>
  <si>
    <t>realiability</t>
  </si>
  <si>
    <r>
      <t>S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[ksi]</t>
    </r>
  </si>
  <si>
    <t>mirror polished</t>
  </si>
  <si>
    <t>fine ground or commercially polished</t>
  </si>
  <si>
    <t>hot-rolled</t>
  </si>
  <si>
    <t>as forged</t>
  </si>
  <si>
    <r>
      <t>S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[MPa]</t>
    </r>
  </si>
  <si>
    <t>Haigh (Goodman) diagram</t>
  </si>
  <si>
    <t>STRESS TABLE</t>
  </si>
  <si>
    <t>static</t>
  </si>
  <si>
    <t>dynamic</t>
  </si>
  <si>
    <t>ele ID</t>
  </si>
  <si>
    <t>node ID</t>
  </si>
  <si>
    <t>k</t>
  </si>
  <si>
    <r>
      <t>σ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[MPa]</t>
    </r>
  </si>
  <si>
    <r>
      <t>σ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[MPa]</t>
    </r>
  </si>
  <si>
    <r>
      <t>kσ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[MPa]</t>
    </r>
  </si>
  <si>
    <r>
      <t>kσ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[MPa]</t>
    </r>
  </si>
  <si>
    <t>Point</t>
  </si>
  <si>
    <r>
      <rPr>
        <sz val="11"/>
        <color theme="1"/>
        <rFont val="Calibri"/>
        <family val="2"/>
      </rPr>
      <t>σ</t>
    </r>
    <r>
      <rPr>
        <vertAlign val="subscript"/>
        <sz val="8.8000000000000007"/>
        <color theme="1"/>
        <rFont val="Calibri"/>
        <family val="2"/>
      </rPr>
      <t>m</t>
    </r>
    <r>
      <rPr>
        <sz val="8.8000000000000007"/>
        <color theme="1"/>
        <rFont val="Calibri"/>
        <family val="2"/>
      </rPr>
      <t xml:space="preserve"> [MPa]</t>
    </r>
  </si>
  <si>
    <r>
      <t>σ</t>
    </r>
    <r>
      <rPr>
        <vertAlign val="subscript"/>
        <sz val="8.8000000000000007"/>
        <color theme="1"/>
        <rFont val="Calibri"/>
        <family val="2"/>
      </rPr>
      <t>a</t>
    </r>
    <r>
      <rPr>
        <sz val="8.8000000000000007"/>
        <color theme="1"/>
        <rFont val="Calibri"/>
        <family val="2"/>
      </rPr>
      <t xml:space="preserve"> [MPa]</t>
    </r>
  </si>
  <si>
    <t>τ</t>
  </si>
  <si>
    <t>1X</t>
  </si>
  <si>
    <t xml:space="preserve"> A'</t>
  </si>
  <si>
    <t>σ</t>
  </si>
  <si>
    <t>2X</t>
  </si>
  <si>
    <t xml:space="preserve"> A''</t>
  </si>
  <si>
    <t>3X</t>
  </si>
  <si>
    <t xml:space="preserve"> A</t>
  </si>
  <si>
    <t>4X</t>
  </si>
  <si>
    <t xml:space="preserve"> H</t>
  </si>
  <si>
    <t>5X</t>
  </si>
  <si>
    <t xml:space="preserve"> C</t>
  </si>
  <si>
    <t>6X</t>
  </si>
  <si>
    <t xml:space="preserve"> B</t>
  </si>
  <si>
    <t>7X</t>
  </si>
  <si>
    <t>8X</t>
  </si>
  <si>
    <t>shaft name list</t>
  </si>
  <si>
    <t>nX</t>
  </si>
  <si>
    <t>VFD</t>
  </si>
  <si>
    <t>line</t>
  </si>
  <si>
    <t>linex2</t>
  </si>
  <si>
    <t>nat freq</t>
  </si>
  <si>
    <t>ready to run</t>
  </si>
  <si>
    <t>completed</t>
  </si>
  <si>
    <t>shaft name</t>
  </si>
  <si>
    <t>description</t>
  </si>
  <si>
    <t>file name</t>
  </si>
  <si>
    <t>line freq [Hz]</t>
  </si>
  <si>
    <t>stat. results</t>
  </si>
  <si>
    <t>dyn. results</t>
  </si>
  <si>
    <t>n elements</t>
  </si>
  <si>
    <t>n nodes</t>
  </si>
  <si>
    <t>ξ [-]</t>
  </si>
  <si>
    <t>sep. margin</t>
  </si>
  <si>
    <t>ID</t>
  </si>
  <si>
    <t>nat freq [Hz]</t>
  </si>
  <si>
    <t>Harmonic excitations envelope (graph)</t>
  </si>
  <si>
    <t>n [rpm]</t>
  </si>
  <si>
    <t>load 1</t>
  </si>
  <si>
    <t>load 2</t>
  </si>
  <si>
    <t>load 3</t>
  </si>
  <si>
    <t>envelope</t>
  </si>
  <si>
    <t>left</t>
  </si>
  <si>
    <t>right</t>
  </si>
  <si>
    <t>Ele ID</t>
  </si>
  <si>
    <t>side</t>
  </si>
  <si>
    <t>min speed [rpm]</t>
  </si>
  <si>
    <t>max speed [rpm]</t>
  </si>
  <si>
    <t>VFD excitations combination (graph)</t>
  </si>
  <si>
    <t>freq [Hz]</t>
  </si>
  <si>
    <r>
      <t>σ</t>
    </r>
    <r>
      <rPr>
        <vertAlign val="subscript"/>
        <sz val="11"/>
        <color theme="1"/>
        <rFont val="Calibri"/>
        <family val="2"/>
        <scheme val="minor"/>
      </rPr>
      <t>left</t>
    </r>
    <r>
      <rPr>
        <sz val="11"/>
        <color theme="1"/>
        <rFont val="Calibri"/>
        <family val="2"/>
        <scheme val="minor"/>
      </rPr>
      <t xml:space="preserve"> [MPa]</t>
    </r>
  </si>
  <si>
    <r>
      <t>σ</t>
    </r>
    <r>
      <rPr>
        <vertAlign val="subscript"/>
        <sz val="11"/>
        <color theme="1"/>
        <rFont val="Calibri"/>
        <family val="2"/>
        <scheme val="minor"/>
      </rPr>
      <t>right</t>
    </r>
    <r>
      <rPr>
        <sz val="11"/>
        <color theme="1"/>
        <rFont val="Calibri"/>
        <family val="2"/>
        <scheme val="minor"/>
      </rPr>
      <t xml:space="preserve"> [MPa]</t>
    </r>
  </si>
  <si>
    <t>min freq [Hz]</t>
  </si>
  <si>
    <t>max freq [Hz]</t>
  </si>
  <si>
    <r>
      <t>VFD</t>
    </r>
    <r>
      <rPr>
        <b/>
        <i/>
        <vertAlign val="subscript"/>
        <sz val="10"/>
        <color theme="0"/>
        <rFont val="Calibri"/>
        <family val="2"/>
        <scheme val="minor"/>
      </rPr>
      <t>left sum</t>
    </r>
    <r>
      <rPr>
        <b/>
        <i/>
        <sz val="10"/>
        <color theme="0"/>
        <rFont val="Calibri"/>
        <family val="2"/>
        <scheme val="minor"/>
      </rPr>
      <t xml:space="preserve"> [MPa]</t>
    </r>
  </si>
  <si>
    <r>
      <t>VFD</t>
    </r>
    <r>
      <rPr>
        <b/>
        <i/>
        <vertAlign val="subscript"/>
        <sz val="10"/>
        <color theme="0"/>
        <rFont val="Calibri"/>
        <family val="2"/>
        <scheme val="minor"/>
      </rPr>
      <t>right sum</t>
    </r>
    <r>
      <rPr>
        <b/>
        <i/>
        <sz val="10"/>
        <color theme="0"/>
        <rFont val="Calibri"/>
        <family val="2"/>
        <scheme val="minor"/>
      </rPr>
      <t xml:space="preserve"> [MPa]</t>
    </r>
  </si>
  <si>
    <t>Line frequency excitation (graph)</t>
  </si>
  <si>
    <t>Twice the line frequency excitation (graph)</t>
  </si>
  <si>
    <t>general biaxial</t>
  </si>
  <si>
    <t>n.a.</t>
  </si>
  <si>
    <t>static.txt</t>
  </si>
  <si>
    <t>line.txt</t>
  </si>
  <si>
    <t>eigenvalue.txt</t>
  </si>
  <si>
    <t>harmonic.txt</t>
  </si>
  <si>
    <t>vfd.txt</t>
  </si>
  <si>
    <t>2xline.txt</t>
  </si>
  <si>
    <t>Legend</t>
  </si>
  <si>
    <t>calculated</t>
  </si>
  <si>
    <t>annotation</t>
  </si>
  <si>
    <r>
      <t>10</t>
    </r>
    <r>
      <rPr>
        <vertAlign val="superscript"/>
        <sz val="10"/>
        <color theme="0" tint="-0.499984740745262"/>
        <rFont val="Calibri"/>
        <family val="2"/>
        <scheme val="minor"/>
      </rPr>
      <t>3</t>
    </r>
  </si>
  <si>
    <r>
      <t>10</t>
    </r>
    <r>
      <rPr>
        <vertAlign val="superscript"/>
        <sz val="10"/>
        <color theme="0" tint="-0.499984740745262"/>
        <rFont val="Calibri"/>
        <family val="2"/>
        <scheme val="minor"/>
      </rPr>
      <t>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</si>
</sst>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E+00"/>
    <numFmt numFmtId="165" formatCode="0.000"/>
    <numFmt numFmtId="166" formatCode="0.0%"/>
    <numFmt numFmtId="167" formatCode="0.000%"/>
    <numFmt numFmtId="168" formatCode="0.0000%"/>
    <numFmt numFmtId="169" formatCode="0.00000"/>
  </numFmts>
  <fonts count="29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b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8.8000000000000007"/>
      <color theme="1"/>
      <name val="Calibri"/>
      <family val="2"/>
    </font>
    <font>
      <vertAlign val="subscript"/>
      <sz val="8.8000000000000007"/>
      <color theme="1"/>
      <name val="Calibri"/>
      <family val="2"/>
    </font>
    <font>
      <i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vertAlign val="subscript"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i/>
      <sz val="11"/>
      <color theme="0" tint="-0.499984740745262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vertAlign val="superscript"/>
      <sz val="10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6">
    <xf numFmtId="0" fontId="0" fillId="0" borderId="0" xfId="0"/>
    <xf numFmtId="0" fontId="15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2" applyFont="1"/>
    <xf numFmtId="0" fontId="23" fillId="0" borderId="0" xfId="2" applyFont="1" applyProtection="1"/>
    <xf numFmtId="0" fontId="18" fillId="0" borderId="0" xfId="0" applyFont="1"/>
    <xf numFmtId="0" fontId="3" fillId="2" borderId="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/>
    </xf>
    <xf numFmtId="2" fontId="11" fillId="0" borderId="8" xfId="0" applyNumberFormat="1" applyFont="1" applyBorder="1" applyAlignment="1">
      <alignment horizontal="center"/>
    </xf>
    <xf numFmtId="0" fontId="12" fillId="0" borderId="0" xfId="0" applyFont="1"/>
    <xf numFmtId="2" fontId="11" fillId="0" borderId="20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6" xfId="0" applyFont="1" applyFill="1" applyBorder="1" applyAlignment="1">
      <alignment horizontal="center"/>
    </xf>
    <xf numFmtId="10" fontId="0" fillId="0" borderId="0" xfId="0" applyNumberFormat="1"/>
    <xf numFmtId="0" fontId="3" fillId="2" borderId="4" xfId="0" applyFont="1" applyFill="1" applyBorder="1" applyAlignment="1">
      <alignment horizontal="center"/>
    </xf>
    <xf numFmtId="167" fontId="0" fillId="0" borderId="0" xfId="0" applyNumberFormat="1"/>
    <xf numFmtId="168" fontId="0" fillId="0" borderId="0" xfId="0" applyNumberFormat="1"/>
    <xf numFmtId="0" fontId="3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vertical="center" textRotation="90" wrapText="1"/>
    </xf>
    <xf numFmtId="0" fontId="8" fillId="0" borderId="0" xfId="0" applyFont="1" applyAlignment="1">
      <alignment horizontal="center"/>
    </xf>
    <xf numFmtId="0" fontId="8" fillId="0" borderId="0" xfId="0" applyFont="1"/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1" fontId="12" fillId="0" borderId="0" xfId="0" applyNumberFormat="1" applyFont="1" applyAlignment="1">
      <alignment horizontal="center"/>
    </xf>
    <xf numFmtId="1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17" fillId="3" borderId="20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20" fillId="2" borderId="6" xfId="0" applyFont="1" applyFill="1" applyBorder="1" applyAlignment="1">
      <alignment horizontal="center"/>
    </xf>
    <xf numFmtId="0" fontId="20" fillId="2" borderId="8" xfId="0" applyFont="1" applyFill="1" applyBorder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20" fillId="2" borderId="10" xfId="0" applyFont="1" applyFill="1" applyBorder="1" applyAlignment="1">
      <alignment horizontal="center"/>
    </xf>
    <xf numFmtId="0" fontId="7" fillId="0" borderId="22" xfId="0" applyFont="1" applyBorder="1"/>
    <xf numFmtId="0" fontId="7" fillId="0" borderId="26" xfId="0" applyFont="1" applyBorder="1"/>
    <xf numFmtId="0" fontId="0" fillId="0" borderId="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/>
    <xf numFmtId="0" fontId="24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9" fillId="3" borderId="20" xfId="0" applyFont="1" applyFill="1" applyBorder="1" applyAlignment="1">
      <alignment horizontal="center" vertical="center"/>
    </xf>
    <xf numFmtId="2" fontId="18" fillId="5" borderId="20" xfId="0" applyNumberFormat="1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2" fontId="11" fillId="0" borderId="20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horizontal="center"/>
    </xf>
    <xf numFmtId="2" fontId="11" fillId="0" borderId="10" xfId="0" applyNumberFormat="1" applyFont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2" fontId="18" fillId="5" borderId="8" xfId="0" applyNumberFormat="1" applyFont="1" applyFill="1" applyBorder="1" applyAlignment="1">
      <alignment horizontal="center"/>
    </xf>
    <xf numFmtId="11" fontId="18" fillId="5" borderId="6" xfId="0" applyNumberFormat="1" applyFont="1" applyFill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18" fillId="5" borderId="8" xfId="0" applyFont="1" applyFill="1" applyBorder="1" applyAlignment="1">
      <alignment horizontal="center"/>
    </xf>
    <xf numFmtId="166" fontId="18" fillId="5" borderId="8" xfId="0" applyNumberFormat="1" applyFont="1" applyFill="1" applyBorder="1" applyAlignment="1">
      <alignment horizontal="center"/>
    </xf>
    <xf numFmtId="166" fontId="18" fillId="5" borderId="10" xfId="1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8" fillId="5" borderId="21" xfId="0" applyFont="1" applyFill="1" applyBorder="1" applyAlignment="1">
      <alignment horizontal="center"/>
    </xf>
    <xf numFmtId="2" fontId="26" fillId="5" borderId="16" xfId="0" applyNumberFormat="1" applyFont="1" applyFill="1" applyBorder="1" applyAlignment="1">
      <alignment horizontal="center"/>
    </xf>
    <xf numFmtId="0" fontId="26" fillId="5" borderId="16" xfId="0" applyFont="1" applyFill="1" applyBorder="1" applyAlignment="1">
      <alignment horizontal="center"/>
    </xf>
    <xf numFmtId="10" fontId="26" fillId="5" borderId="19" xfId="1" applyNumberFormat="1" applyFont="1" applyFill="1" applyBorder="1" applyAlignment="1" applyProtection="1">
      <alignment horizontal="center"/>
    </xf>
    <xf numFmtId="0" fontId="27" fillId="0" borderId="12" xfId="0" quotePrefix="1" applyFont="1" applyBorder="1" applyAlignment="1">
      <alignment horizontal="center"/>
    </xf>
    <xf numFmtId="0" fontId="27" fillId="0" borderId="15" xfId="0" quotePrefix="1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2" fontId="11" fillId="0" borderId="15" xfId="0" applyNumberFormat="1" applyFont="1" applyBorder="1" applyAlignment="1">
      <alignment horizontal="center"/>
    </xf>
    <xf numFmtId="165" fontId="11" fillId="0" borderId="15" xfId="0" applyNumberFormat="1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169" fontId="11" fillId="0" borderId="15" xfId="0" applyNumberFormat="1" applyFont="1" applyBorder="1" applyAlignment="1">
      <alignment horizontal="center"/>
    </xf>
    <xf numFmtId="0" fontId="16" fillId="0" borderId="21" xfId="0" applyFont="1" applyBorder="1" applyAlignment="1">
      <alignment horizontal="left"/>
    </xf>
    <xf numFmtId="0" fontId="16" fillId="0" borderId="28" xfId="0" applyFont="1" applyBorder="1" applyAlignment="1">
      <alignment horizontal="left"/>
    </xf>
    <xf numFmtId="0" fontId="16" fillId="0" borderId="29" xfId="0" applyFont="1" applyBorder="1" applyAlignment="1">
      <alignment horizontal="left"/>
    </xf>
    <xf numFmtId="0" fontId="8" fillId="0" borderId="21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0" xfId="0" applyBorder="1" applyAlignment="1">
      <alignment horizontal="center"/>
    </xf>
    <xf numFmtId="0" fontId="15" fillId="0" borderId="21" xfId="0" applyFont="1" applyBorder="1" applyAlignment="1">
      <alignment horizontal="left"/>
    </xf>
    <xf numFmtId="0" fontId="15" fillId="0" borderId="28" xfId="0" applyFont="1" applyBorder="1" applyAlignment="1">
      <alignment horizontal="left"/>
    </xf>
    <xf numFmtId="0" fontId="15" fillId="0" borderId="29" xfId="0" applyFont="1" applyBorder="1" applyAlignment="1">
      <alignment horizontal="left"/>
    </xf>
    <xf numFmtId="0" fontId="15" fillId="0" borderId="21" xfId="0" applyFont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0" fontId="26" fillId="5" borderId="15" xfId="0" applyFont="1" applyFill="1" applyBorder="1" applyAlignment="1">
      <alignment horizontal="center"/>
    </xf>
    <xf numFmtId="0" fontId="26" fillId="5" borderId="16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6" fillId="5" borderId="13" xfId="0" applyFont="1" applyFill="1" applyBorder="1" applyAlignment="1">
      <alignment horizontal="center" vertical="center"/>
    </xf>
    <xf numFmtId="0" fontId="26" fillId="5" borderId="16" xfId="0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/>
    </xf>
    <xf numFmtId="0" fontId="7" fillId="0" borderId="20" xfId="0" applyFont="1" applyBorder="1" applyAlignment="1">
      <alignment horizontal="center" vertical="center"/>
    </xf>
    <xf numFmtId="0" fontId="7" fillId="0" borderId="2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7" fillId="5" borderId="20" xfId="0" applyFont="1" applyFill="1" applyBorder="1" applyAlignment="1">
      <alignment horizontal="center"/>
    </xf>
  </cellXfs>
  <cellStyles count="3">
    <cellStyle name="Normale" xfId="0" builtinId="0"/>
    <cellStyle name="Percentuale" xfId="1" builtinId="5"/>
    <cellStyle name="Titolo" xfId="2" builtinId="15"/>
  </cellStyles>
  <dxfs count="47"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 val="0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15" formatCode="0.00E+00"/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15" formatCode="0.00E+00"/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15" formatCode="0.00E+00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i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protection locked="1" hidden="0"/>
    </dxf>
    <dxf>
      <font>
        <i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protection locked="1" hidden="0"/>
    </dxf>
    <dxf>
      <font>
        <i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curva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bg1"/>
              </a:solidFill>
              <a:ln w="19050" cap="rnd">
                <a:solidFill>
                  <a:schemeClr val="accent1">
                    <a:alpha val="97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material!$B$6:$B$13</c:f>
              <c:numCache>
                <c:formatCode>0E+00</c:formatCode>
                <c:ptCount val="8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10000000000</c:v>
                </c:pt>
              </c:numCache>
            </c:numRef>
          </c:xVal>
          <c:yVal>
            <c:numRef>
              <c:f>material!$C$6:$C$13</c:f>
              <c:numCache>
                <c:formatCode>0.00</c:formatCode>
                <c:ptCount val="8"/>
                <c:pt idx="0">
                  <c:v>800</c:v>
                </c:pt>
                <c:pt idx="1">
                  <c:v>717.02475944914636</c:v>
                </c:pt>
                <c:pt idx="2">
                  <c:v>642.65563207888272</c:v>
                </c:pt>
                <c:pt idx="3">
                  <c:v>576.00000000000023</c:v>
                </c:pt>
                <c:pt idx="4">
                  <c:v>310.76270497275937</c:v>
                </c:pt>
                <c:pt idx="5">
                  <c:v>167.66225486455946</c:v>
                </c:pt>
                <c:pt idx="6">
                  <c:v>90.45690250615047</c:v>
                </c:pt>
                <c:pt idx="7">
                  <c:v>90.456902506150414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8E-4CF2-B2D4-9DF65FA70E95}"/>
            </c:ext>
          </c:extLst>
        </c:ser>
        <c:ser>
          <c:idx val="1"/>
          <c:order val="1"/>
          <c:tx>
            <c:v>cursore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10"/>
            <c:spPr>
              <a:noFill/>
              <a:ln w="25400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material!$P$10</c:f>
              <c:numCache>
                <c:formatCode>0.00E+00</c:formatCode>
                <c:ptCount val="1"/>
                <c:pt idx="0">
                  <c:v>100000000</c:v>
                </c:pt>
              </c:numCache>
            </c:numRef>
          </c:xVal>
          <c:yVal>
            <c:numRef>
              <c:f>material!$P$11</c:f>
              <c:numCache>
                <c:formatCode>0.00</c:formatCode>
                <c:ptCount val="1"/>
                <c:pt idx="0">
                  <c:v>90.456902506150414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85-455C-AF19-A91F5EA33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008751"/>
        <c:axId val="870853167"/>
      </c:scatterChart>
      <c:valAx>
        <c:axId val="8620087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N [cycles]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70853167"/>
        <c:crosses val="autoZero"/>
        <c:crossBetween val="midCat"/>
      </c:valAx>
      <c:valAx>
        <c:axId val="87085316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S</a:t>
                </a:r>
                <a:r>
                  <a:rPr lang="it-IT" cap="none" baseline="-25000"/>
                  <a:t>f</a:t>
                </a:r>
                <a:r>
                  <a:rPr lang="it-IT" cap="none" baseline="0"/>
                  <a:t> 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200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material!$C$24</c:f>
              <c:strCache>
                <c:ptCount val="1"/>
                <c:pt idx="0">
                  <c:v>mirror polished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material!$I$25:$I$36</c:f>
              <c:numCache>
                <c:formatCode>General</c:formatCode>
                <c:ptCount val="12"/>
                <c:pt idx="0">
                  <c:v>413.68543759010169</c:v>
                </c:pt>
                <c:pt idx="1">
                  <c:v>551.58058345346888</c:v>
                </c:pt>
                <c:pt idx="2">
                  <c:v>689.47572931683612</c:v>
                </c:pt>
                <c:pt idx="3">
                  <c:v>827.37087518020337</c:v>
                </c:pt>
                <c:pt idx="4">
                  <c:v>965.26602104357062</c:v>
                </c:pt>
                <c:pt idx="5">
                  <c:v>1068.6873804410959</c:v>
                </c:pt>
                <c:pt idx="6">
                  <c:v>1103.1611669069378</c:v>
                </c:pt>
                <c:pt idx="7">
                  <c:v>1241.0563127703051</c:v>
                </c:pt>
                <c:pt idx="8">
                  <c:v>1378.9514586336722</c:v>
                </c:pt>
                <c:pt idx="9">
                  <c:v>1516.8466044970394</c:v>
                </c:pt>
                <c:pt idx="10">
                  <c:v>1654.7417503604067</c:v>
                </c:pt>
                <c:pt idx="11">
                  <c:v>1792.6368962237739</c:v>
                </c:pt>
              </c:numCache>
            </c:numRef>
          </c:xVal>
          <c:yVal>
            <c:numRef>
              <c:f>material!$C$25:$C$36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F-457B-BDBB-28EE4C2EB8BE}"/>
            </c:ext>
          </c:extLst>
        </c:ser>
        <c:ser>
          <c:idx val="1"/>
          <c:order val="1"/>
          <c:tx>
            <c:strRef>
              <c:f>material!$D$24</c:f>
              <c:strCache>
                <c:ptCount val="1"/>
                <c:pt idx="0">
                  <c:v>fine ground or commercially polished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material!$I$25:$I$36</c:f>
              <c:numCache>
                <c:formatCode>General</c:formatCode>
                <c:ptCount val="12"/>
                <c:pt idx="0">
                  <c:v>413.68543759010169</c:v>
                </c:pt>
                <c:pt idx="1">
                  <c:v>551.58058345346888</c:v>
                </c:pt>
                <c:pt idx="2">
                  <c:v>689.47572931683612</c:v>
                </c:pt>
                <c:pt idx="3">
                  <c:v>827.37087518020337</c:v>
                </c:pt>
                <c:pt idx="4">
                  <c:v>965.26602104357062</c:v>
                </c:pt>
                <c:pt idx="5">
                  <c:v>1068.6873804410959</c:v>
                </c:pt>
                <c:pt idx="6">
                  <c:v>1103.1611669069378</c:v>
                </c:pt>
                <c:pt idx="7">
                  <c:v>1241.0563127703051</c:v>
                </c:pt>
                <c:pt idx="8">
                  <c:v>1378.9514586336722</c:v>
                </c:pt>
                <c:pt idx="9">
                  <c:v>1516.8466044970394</c:v>
                </c:pt>
                <c:pt idx="10">
                  <c:v>1654.7417503604067</c:v>
                </c:pt>
                <c:pt idx="11">
                  <c:v>1792.6368962237739</c:v>
                </c:pt>
              </c:numCache>
            </c:numRef>
          </c:xVal>
          <c:yVal>
            <c:numRef>
              <c:f>material!$D$25:$D$36</c:f>
              <c:numCache>
                <c:formatCode>0.00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0.89974554707379095</c:v>
                </c:pt>
                <c:pt idx="5">
                  <c:v>0.90076335877862501</c:v>
                </c:pt>
                <c:pt idx="6">
                  <c:v>0.89262086513994898</c:v>
                </c:pt>
                <c:pt idx="7">
                  <c:v>0.86259541984732802</c:v>
                </c:pt>
                <c:pt idx="8">
                  <c:v>0.83206106870229002</c:v>
                </c:pt>
                <c:pt idx="9">
                  <c:v>0.79643765903307795</c:v>
                </c:pt>
                <c:pt idx="10">
                  <c:v>0.75674300254452898</c:v>
                </c:pt>
                <c:pt idx="11">
                  <c:v>0.71145038167938901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5F-457B-BDBB-28EE4C2EB8BE}"/>
            </c:ext>
          </c:extLst>
        </c:ser>
        <c:ser>
          <c:idx val="2"/>
          <c:order val="2"/>
          <c:tx>
            <c:strRef>
              <c:f>material!$E$24</c:f>
              <c:strCache>
                <c:ptCount val="1"/>
                <c:pt idx="0">
                  <c:v>machined or cold drawn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material!$I$25:$I$36</c:f>
              <c:numCache>
                <c:formatCode>General</c:formatCode>
                <c:ptCount val="12"/>
                <c:pt idx="0">
                  <c:v>413.68543759010169</c:v>
                </c:pt>
                <c:pt idx="1">
                  <c:v>551.58058345346888</c:v>
                </c:pt>
                <c:pt idx="2">
                  <c:v>689.47572931683612</c:v>
                </c:pt>
                <c:pt idx="3">
                  <c:v>827.37087518020337</c:v>
                </c:pt>
                <c:pt idx="4">
                  <c:v>965.26602104357062</c:v>
                </c:pt>
                <c:pt idx="5">
                  <c:v>1068.6873804410959</c:v>
                </c:pt>
                <c:pt idx="6">
                  <c:v>1103.1611669069378</c:v>
                </c:pt>
                <c:pt idx="7">
                  <c:v>1241.0563127703051</c:v>
                </c:pt>
                <c:pt idx="8">
                  <c:v>1378.9514586336722</c:v>
                </c:pt>
                <c:pt idx="9">
                  <c:v>1516.8466044970394</c:v>
                </c:pt>
                <c:pt idx="10">
                  <c:v>1654.7417503604067</c:v>
                </c:pt>
                <c:pt idx="11">
                  <c:v>1792.6368962237739</c:v>
                </c:pt>
              </c:numCache>
            </c:numRef>
          </c:xVal>
          <c:yVal>
            <c:numRef>
              <c:f>material!$E$25:$E$36</c:f>
              <c:numCache>
                <c:formatCode>0.00</c:formatCode>
                <c:ptCount val="12"/>
                <c:pt idx="0">
                  <c:v>0.8</c:v>
                </c:pt>
                <c:pt idx="1">
                  <c:v>0.78117048346055895</c:v>
                </c:pt>
                <c:pt idx="2">
                  <c:v>0.75928753180661501</c:v>
                </c:pt>
                <c:pt idx="3">
                  <c:v>0.73486005089058504</c:v>
                </c:pt>
                <c:pt idx="4">
                  <c:v>0.71043256997455395</c:v>
                </c:pt>
                <c:pt idx="5">
                  <c:v>0.68854961832060702</c:v>
                </c:pt>
                <c:pt idx="6">
                  <c:v>0.68346055979643705</c:v>
                </c:pt>
                <c:pt idx="7">
                  <c:v>0.65445292620865103</c:v>
                </c:pt>
                <c:pt idx="8">
                  <c:v>0.62595419847328204</c:v>
                </c:pt>
                <c:pt idx="9">
                  <c:v>0.59185750636132295</c:v>
                </c:pt>
                <c:pt idx="10">
                  <c:v>0.55572519083969096</c:v>
                </c:pt>
                <c:pt idx="11">
                  <c:v>0.51348600508905595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5F-457B-BDBB-28EE4C2EB8BE}"/>
            </c:ext>
          </c:extLst>
        </c:ser>
        <c:ser>
          <c:idx val="3"/>
          <c:order val="3"/>
          <c:tx>
            <c:strRef>
              <c:f>material!$F$24</c:f>
              <c:strCache>
                <c:ptCount val="1"/>
                <c:pt idx="0">
                  <c:v>hot-rolled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material!$I$25:$I$36</c:f>
              <c:numCache>
                <c:formatCode>General</c:formatCode>
                <c:ptCount val="12"/>
                <c:pt idx="0">
                  <c:v>413.68543759010169</c:v>
                </c:pt>
                <c:pt idx="1">
                  <c:v>551.58058345346888</c:v>
                </c:pt>
                <c:pt idx="2">
                  <c:v>689.47572931683612</c:v>
                </c:pt>
                <c:pt idx="3">
                  <c:v>827.37087518020337</c:v>
                </c:pt>
                <c:pt idx="4">
                  <c:v>965.26602104357062</c:v>
                </c:pt>
                <c:pt idx="5">
                  <c:v>1068.6873804410959</c:v>
                </c:pt>
                <c:pt idx="6">
                  <c:v>1103.1611669069378</c:v>
                </c:pt>
                <c:pt idx="7">
                  <c:v>1241.0563127703051</c:v>
                </c:pt>
                <c:pt idx="8">
                  <c:v>1378.9514586336722</c:v>
                </c:pt>
                <c:pt idx="9">
                  <c:v>1516.8466044970394</c:v>
                </c:pt>
                <c:pt idx="10">
                  <c:v>1654.7417503604067</c:v>
                </c:pt>
                <c:pt idx="11">
                  <c:v>1792.6368962237739</c:v>
                </c:pt>
              </c:numCache>
            </c:numRef>
          </c:xVal>
          <c:yVal>
            <c:numRef>
              <c:f>material!$F$25:$F$36</c:f>
              <c:numCache>
                <c:formatCode>0.00</c:formatCode>
                <c:ptCount val="12"/>
                <c:pt idx="0">
                  <c:v>0.73536895674300196</c:v>
                </c:pt>
                <c:pt idx="1">
                  <c:v>0.64173027989821796</c:v>
                </c:pt>
                <c:pt idx="2">
                  <c:v>0.57506361323155197</c:v>
                </c:pt>
                <c:pt idx="3">
                  <c:v>0.52111959287531795</c:v>
                </c:pt>
                <c:pt idx="4">
                  <c:v>0.473282442748091</c:v>
                </c:pt>
                <c:pt idx="5">
                  <c:v>0.43664122137404998</c:v>
                </c:pt>
                <c:pt idx="6">
                  <c:v>0.42951653944020302</c:v>
                </c:pt>
                <c:pt idx="7">
                  <c:v>0.38829516539440201</c:v>
                </c:pt>
                <c:pt idx="8">
                  <c:v>0.35063613231552099</c:v>
                </c:pt>
                <c:pt idx="9">
                  <c:v>0.314503816793893</c:v>
                </c:pt>
                <c:pt idx="10">
                  <c:v>0.27888040712468098</c:v>
                </c:pt>
                <c:pt idx="11">
                  <c:v>0.24122137404580099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5F-457B-BDBB-28EE4C2EB8BE}"/>
            </c:ext>
          </c:extLst>
        </c:ser>
        <c:ser>
          <c:idx val="4"/>
          <c:order val="4"/>
          <c:tx>
            <c:strRef>
              <c:f>material!$G$24</c:f>
              <c:strCache>
                <c:ptCount val="1"/>
                <c:pt idx="0">
                  <c:v>as forged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material!$I$25:$I$36</c:f>
              <c:numCache>
                <c:formatCode>General</c:formatCode>
                <c:ptCount val="12"/>
                <c:pt idx="0">
                  <c:v>413.68543759010169</c:v>
                </c:pt>
                <c:pt idx="1">
                  <c:v>551.58058345346888</c:v>
                </c:pt>
                <c:pt idx="2">
                  <c:v>689.47572931683612</c:v>
                </c:pt>
                <c:pt idx="3">
                  <c:v>827.37087518020337</c:v>
                </c:pt>
                <c:pt idx="4">
                  <c:v>965.26602104357062</c:v>
                </c:pt>
                <c:pt idx="5">
                  <c:v>1068.6873804410959</c:v>
                </c:pt>
                <c:pt idx="6">
                  <c:v>1103.1611669069378</c:v>
                </c:pt>
                <c:pt idx="7">
                  <c:v>1241.0563127703051</c:v>
                </c:pt>
                <c:pt idx="8">
                  <c:v>1378.9514586336722</c:v>
                </c:pt>
                <c:pt idx="9">
                  <c:v>1516.8466044970394</c:v>
                </c:pt>
                <c:pt idx="10">
                  <c:v>1654.7417503604067</c:v>
                </c:pt>
                <c:pt idx="11">
                  <c:v>1792.6368962237739</c:v>
                </c:pt>
              </c:numCache>
            </c:numRef>
          </c:xVal>
          <c:yVal>
            <c:numRef>
              <c:f>material!$G$25:$G$36</c:f>
              <c:numCache>
                <c:formatCode>0.00</c:formatCode>
                <c:ptCount val="12"/>
                <c:pt idx="0">
                  <c:v>0.56946564885496098</c:v>
                </c:pt>
                <c:pt idx="1">
                  <c:v>0.473282442748091</c:v>
                </c:pt>
                <c:pt idx="2">
                  <c:v>0.41424936386768402</c:v>
                </c:pt>
                <c:pt idx="3">
                  <c:v>0.36641221374045702</c:v>
                </c:pt>
                <c:pt idx="4">
                  <c:v>0.330788804071246</c:v>
                </c:pt>
                <c:pt idx="5">
                  <c:v>0.30483460559796399</c:v>
                </c:pt>
                <c:pt idx="6">
                  <c:v>0.29720101781170399</c:v>
                </c:pt>
                <c:pt idx="7">
                  <c:v>0.26564885496183199</c:v>
                </c:pt>
                <c:pt idx="8">
                  <c:v>0.235114503816793</c:v>
                </c:pt>
                <c:pt idx="9">
                  <c:v>0.205089058524172</c:v>
                </c:pt>
                <c:pt idx="10">
                  <c:v>0.17150127226463099</c:v>
                </c:pt>
                <c:pt idx="11">
                  <c:v>0.13944020356234099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B5F-457B-BDBB-28EE4C2EB8BE}"/>
            </c:ext>
          </c:extLst>
        </c:ser>
        <c:ser>
          <c:idx val="5"/>
          <c:order val="5"/>
          <c:tx>
            <c:v>selection</c:v>
          </c:tx>
          <c:spPr>
            <a:ln w="9525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10"/>
            <c:spPr>
              <a:noFill/>
              <a:ln w="25400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material!$H$25</c:f>
              <c:numCache>
                <c:formatCode>0.00</c:formatCode>
                <c:ptCount val="1"/>
                <c:pt idx="0">
                  <c:v>800</c:v>
                </c:pt>
              </c:numCache>
            </c:numRef>
          </c:xVal>
          <c:yVal>
            <c:numRef>
              <c:f>material!$H$26</c:f>
              <c:numCache>
                <c:formatCode>General</c:formatCode>
                <c:ptCount val="1"/>
                <c:pt idx="0">
                  <c:v>0.73970867356641101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B5F-457B-BDBB-28EE4C2EB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317616"/>
        <c:axId val="992262352"/>
      </c:scatterChart>
      <c:valAx>
        <c:axId val="33831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/>
                  <a:t>S</a:t>
                </a:r>
                <a:r>
                  <a:rPr lang="it-IT" cap="none" baseline="-25000"/>
                  <a:t>u</a:t>
                </a:r>
                <a:r>
                  <a:rPr lang="it-IT" cap="none" baseline="0"/>
                  <a:t> [MPa]</a:t>
                </a:r>
                <a:endParaRPr lang="it-IT" cap="non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92262352"/>
        <c:crosses val="autoZero"/>
        <c:crossBetween val="midCat"/>
      </c:valAx>
      <c:valAx>
        <c:axId val="99226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/>
                  <a:t>C</a:t>
                </a:r>
                <a:r>
                  <a:rPr lang="it-IT" cap="none" baseline="-25000"/>
                  <a:t>s</a:t>
                </a:r>
                <a:r>
                  <a:rPr lang="it-IT" cap="none" baseline="0"/>
                  <a:t> [-]</a:t>
                </a:r>
                <a:endParaRPr lang="it-IT" cap="non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3831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yield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99329B-0FAD-4B98-8910-D739BB6558EF}" type="CELLRANGE">
                      <a:rPr lang="en-US"/>
                      <a:pPr/>
                      <a:t>[INTERVALLOCELLE]</a:t>
                    </a:fld>
                    <a:endParaRPr lang="it-I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809-4790-856B-28DB5D8614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560440-D5DD-4799-8199-4624A59F0F6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09-4790-856B-28DB5D8614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9F1088-2D9D-4DD5-A1A8-10EF627C3DB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09-4790-856B-28DB5D8614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'Haigh (Goodman) diagram'!$S$5:$S$7</c:f>
              <c:numCache>
                <c:formatCode>0.00</c:formatCode>
                <c:ptCount val="3"/>
                <c:pt idx="0">
                  <c:v>-377</c:v>
                </c:pt>
                <c:pt idx="1">
                  <c:v>0</c:v>
                </c:pt>
                <c:pt idx="2">
                  <c:v>377</c:v>
                </c:pt>
              </c:numCache>
            </c:numRef>
          </c:xVal>
          <c:yVal>
            <c:numRef>
              <c:f>'Haigh (Goodman) diagram'!$T$5:$T$7</c:f>
              <c:numCache>
                <c:formatCode>0.00</c:formatCode>
                <c:ptCount val="3"/>
                <c:pt idx="0">
                  <c:v>0</c:v>
                </c:pt>
                <c:pt idx="1">
                  <c:v>377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'Haigh (Goodman) diagram'!$R$5:$R$7</c15:f>
                <c15:dlblRangeCache>
                  <c:ptCount val="3"/>
                  <c:pt idx="0">
                    <c:v> A'</c:v>
                  </c:pt>
                  <c:pt idx="1">
                    <c:v> A''</c:v>
                  </c:pt>
                  <c:pt idx="2">
                    <c:v> 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809-4790-856B-28DB5D86144A}"/>
            </c:ext>
          </c:extLst>
        </c:ser>
        <c:ser>
          <c:idx val="1"/>
          <c:order val="1"/>
          <c:tx>
            <c:v>fatigue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DBA65D-023B-4813-B939-6CD3B151ECCF}" type="CELLRANGE">
                      <a:rPr lang="en-US"/>
                      <a:pPr/>
                      <a:t>[INTERVALLOCELLE]</a:t>
                    </a:fld>
                    <a:endParaRPr lang="it-I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809-4790-856B-28DB5D8614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F4FC4D-D0AA-4F32-8CE6-B35EE4F4695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09-4790-856B-28DB5D8614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187179-187C-46C9-A8A2-97029D79E80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09-4790-856B-28DB5D8614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'Haigh (Goodman) diagram'!$S$8:$S$10</c:f>
              <c:numCache>
                <c:formatCode>0.00</c:formatCode>
                <c:ptCount val="3"/>
                <c:pt idx="0">
                  <c:v>-377</c:v>
                </c:pt>
                <c:pt idx="1">
                  <c:v>0</c:v>
                </c:pt>
                <c:pt idx="2">
                  <c:v>640</c:v>
                </c:pt>
              </c:numCache>
            </c:numRef>
          </c:xVal>
          <c:yVal>
            <c:numRef>
              <c:f>'Haigh (Goodman) diagram'!$T$8:$T$10</c:f>
              <c:numCache>
                <c:formatCode>0.00</c:formatCode>
                <c:ptCount val="3"/>
                <c:pt idx="0">
                  <c:v>90.456902506150414</c:v>
                </c:pt>
                <c:pt idx="1">
                  <c:v>90.456902506150414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'Haigh (Goodman) diagram'!$R$8:$R$10</c15:f>
                <c15:dlblRangeCache>
                  <c:ptCount val="3"/>
                  <c:pt idx="0">
                    <c:v> H</c:v>
                  </c:pt>
                  <c:pt idx="1">
                    <c:v> C</c:v>
                  </c:pt>
                  <c:pt idx="2">
                    <c:v> B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F809-4790-856B-28DB5D86144A}"/>
            </c:ext>
          </c:extLst>
        </c:ser>
        <c:ser>
          <c:idx val="2"/>
          <c:order val="2"/>
          <c:tx>
            <c:v>shaft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C00000"/>
                </a:solidFill>
                <a:round/>
              </a:ln>
              <a:effectLst/>
            </c:spPr>
          </c:marker>
          <c:xVal>
            <c:numRef>
              <c:f>'Haigh (Goodman) diagram'!$O$5:$O$5</c:f>
              <c:numCache>
                <c:formatCode>0.00E+00</c:formatCode>
                <c:ptCount val="1"/>
                <c:pt idx="0">
                  <c:v>0</c:v>
                </c:pt>
              </c:numCache>
            </c:numRef>
          </c:xVal>
          <c:yVal>
            <c:numRef>
              <c:f>'Haigh (Goodman) diagram'!$P$5:$P$5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28-46E6-A3B1-9744E9C40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906511"/>
        <c:axId val="1980612447"/>
      </c:scatterChart>
      <c:valAx>
        <c:axId val="1984906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/>
                  <a:t>σ</a:t>
                </a:r>
                <a:r>
                  <a:rPr lang="it-IT" cap="none" baseline="-25000"/>
                  <a:t>m</a:t>
                </a:r>
                <a:r>
                  <a:rPr lang="it-IT" cap="none" baseline="0"/>
                  <a:t> 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0612447"/>
        <c:crosses val="autoZero"/>
        <c:crossBetween val="midCat"/>
      </c:valAx>
      <c:valAx>
        <c:axId val="198061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/>
                  <a:t>σ</a:t>
                </a:r>
                <a:r>
                  <a:rPr lang="it-IT" cap="none" baseline="-25000"/>
                  <a:t>a</a:t>
                </a:r>
                <a:r>
                  <a:rPr lang="it-IT" cap="none" baseline="0"/>
                  <a:t> 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4906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envelope!$C$4</c:f>
          <c:strCache>
            <c:ptCount val="1"/>
            <c:pt idx="0">
              <c:v>element 1 (left side)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envelope!$O$4</c:f>
              <c:strCache>
                <c:ptCount val="1"/>
                <c:pt idx="0">
                  <c:v>load 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envelope!$N$5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envelope!$O$5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A6-442B-8170-EDB4E1ED7124}"/>
            </c:ext>
          </c:extLst>
        </c:ser>
        <c:ser>
          <c:idx val="1"/>
          <c:order val="1"/>
          <c:tx>
            <c:strRef>
              <c:f>envelope!$P$4</c:f>
              <c:strCache>
                <c:ptCount val="1"/>
                <c:pt idx="0">
                  <c:v>load 2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envelope!$N$5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envelope!$P$5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74-430C-8FE8-82F9235C236B}"/>
            </c:ext>
          </c:extLst>
        </c:ser>
        <c:ser>
          <c:idx val="2"/>
          <c:order val="2"/>
          <c:tx>
            <c:strRef>
              <c:f>envelope!$Q$4</c:f>
              <c:strCache>
                <c:ptCount val="1"/>
                <c:pt idx="0">
                  <c:v>load 3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envelope!$N$5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envelope!$Q$5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74-430C-8FE8-82F9235C236B}"/>
            </c:ext>
          </c:extLst>
        </c:ser>
        <c:ser>
          <c:idx val="3"/>
          <c:order val="3"/>
          <c:tx>
            <c:strRef>
              <c:f>envelope!$R$4</c:f>
              <c:strCache>
                <c:ptCount val="1"/>
                <c:pt idx="0">
                  <c:v>envelope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envelope!$N$5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envelope!$R$5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3-4856-827C-6998063FF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171440"/>
        <c:axId val="2040260432"/>
      </c:scatterChart>
      <c:valAx>
        <c:axId val="185717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n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260432"/>
        <c:crosses val="autoZero"/>
        <c:crossBetween val="midCat"/>
      </c:valAx>
      <c:valAx>
        <c:axId val="20402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it-IT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[MPa]</a:t>
                </a:r>
                <a:endParaRPr lang="it-IT" cap="none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717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VFD!$C$4</c:f>
          <c:strCache>
            <c:ptCount val="1"/>
            <c:pt idx="0">
              <c:v>element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VFD!$O$4</c:f>
              <c:strCache>
                <c:ptCount val="1"/>
                <c:pt idx="0">
                  <c:v>σleft [MPa]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VFD!$N$5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VFD!$O$5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A-42A5-8F76-158A46A4D63F}"/>
            </c:ext>
          </c:extLst>
        </c:ser>
        <c:ser>
          <c:idx val="1"/>
          <c:order val="1"/>
          <c:tx>
            <c:strRef>
              <c:f>VFD!$P$4</c:f>
              <c:strCache>
                <c:ptCount val="1"/>
                <c:pt idx="0">
                  <c:v>σright [MPa]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VFD!$N$5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VFD!$P$5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1-43DD-80A2-489D66D6E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171440"/>
        <c:axId val="2040260432"/>
      </c:scatterChart>
      <c:valAx>
        <c:axId val="185717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f [Hz]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260432"/>
        <c:crosses val="autoZero"/>
        <c:crossBetween val="midCat"/>
      </c:valAx>
      <c:valAx>
        <c:axId val="20402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it-IT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[MPa]</a:t>
                </a:r>
                <a:endParaRPr lang="it-IT" cap="none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717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line!$C$4</c:f>
          <c:strCache>
            <c:ptCount val="1"/>
            <c:pt idx="0">
              <c:v>element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line!$O$4</c:f>
              <c:strCache>
                <c:ptCount val="1"/>
                <c:pt idx="0">
                  <c:v>σleft [MPa]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line!$N$5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line!$O$5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6F-4B1E-ACAF-F2390F7AD186}"/>
            </c:ext>
          </c:extLst>
        </c:ser>
        <c:ser>
          <c:idx val="1"/>
          <c:order val="1"/>
          <c:tx>
            <c:strRef>
              <c:f>line!$P$4</c:f>
              <c:strCache>
                <c:ptCount val="1"/>
                <c:pt idx="0">
                  <c:v>σright [MPa]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line!$N$5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line!$P$5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6F-4B1E-ACAF-F2390F7AD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171440"/>
        <c:axId val="2040260432"/>
      </c:scatterChart>
      <c:valAx>
        <c:axId val="185717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f [Hz]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260432"/>
        <c:crosses val="autoZero"/>
        <c:crossBetween val="midCat"/>
      </c:valAx>
      <c:valAx>
        <c:axId val="20402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it-IT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[MPa]</a:t>
                </a:r>
                <a:endParaRPr lang="it-IT" cap="none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717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linex2!$C$4</c:f>
          <c:strCache>
            <c:ptCount val="1"/>
            <c:pt idx="0">
              <c:v>element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linex2!$O$4</c:f>
              <c:strCache>
                <c:ptCount val="1"/>
                <c:pt idx="0">
                  <c:v>σleft [MPa]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linex2!$N$5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linex2!$O$5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8-45EA-BCD4-4CAF0CE2BF43}"/>
            </c:ext>
          </c:extLst>
        </c:ser>
        <c:ser>
          <c:idx val="1"/>
          <c:order val="1"/>
          <c:tx>
            <c:strRef>
              <c:f>linex2!$P$4</c:f>
              <c:strCache>
                <c:ptCount val="1"/>
                <c:pt idx="0">
                  <c:v>σright [MPa]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linex2!$N$5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linex2!$P$5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8-45EA-BCD4-4CAF0CE2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171440"/>
        <c:axId val="2040260432"/>
      </c:scatterChart>
      <c:valAx>
        <c:axId val="185717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f [Hz]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40260432"/>
        <c:crosses val="autoZero"/>
        <c:crossBetween val="midCat"/>
      </c:valAx>
      <c:valAx>
        <c:axId val="20402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it-IT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[MPa]</a:t>
                </a:r>
                <a:endParaRPr lang="it-IT" cap="none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717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13</xdr:col>
      <xdr:colOff>0</xdr:colOff>
      <xdr:row>32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0975" y="676275"/>
          <a:ext cx="7315200" cy="5524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worksheets elaborate the results</a:t>
          </a:r>
          <a:r>
            <a:rPr lang="en-US" sz="1100" b="0" u="none" baseline="0"/>
            <a:t> from torsional response frequency analysis calculated with MADYN2000 and perform a shaft fatigue verification.</a:t>
          </a:r>
        </a:p>
        <a:p>
          <a:r>
            <a:rPr lang="en-US" sz="1100" b="0" u="none" baseline="0"/>
            <a:t>Put in a local working directory with read/write permission:</a:t>
          </a:r>
        </a:p>
        <a:p>
          <a:r>
            <a:rPr lang="en-US" sz="1100" b="0" u="none" baseline="0"/>
            <a:t>1) this worksheet;</a:t>
          </a:r>
        </a:p>
        <a:p>
          <a:r>
            <a:rPr lang="en-US" sz="1100" b="0" u="none" baseline="0"/>
            <a:t>2) MOD408-Torsional_analysis-Shaft_Fatigue_Verification-Annex1-Compare_harmonics.py;</a:t>
          </a:r>
        </a:p>
        <a:p>
          <a:r>
            <a:rPr lang="en-US" sz="1100" b="0" u="none" baseline="0"/>
            <a:t>3) all the results files from Madyn2000.</a:t>
          </a:r>
        </a:p>
        <a:p>
          <a:endParaRPr lang="en-US" sz="1100" b="0" u="none" baseline="0"/>
        </a:p>
        <a:p>
          <a:r>
            <a:rPr lang="en-US" sz="1100" b="1" u="none" baseline="0"/>
            <a:t>Sheet "material"</a:t>
          </a:r>
        </a:p>
        <a:p>
          <a:r>
            <a:rPr lang="en-US" sz="1100" b="0" u="none" baseline="0"/>
            <a:t>Defines material mechanical properties and creates the Generalized S-N curve diagram</a:t>
          </a:r>
        </a:p>
        <a:p>
          <a:r>
            <a:rPr lang="en-US" sz="1100" b="0" u="none" baseline="0"/>
            <a:t>(ref. "Fundamentals of Machine Component Design - Ed 7 - R.C. Juvinall, K. M. Marshek." </a:t>
          </a:r>
          <a:r>
            <a:rPr lang="en-US" sz="1100" b="0" u="none" baseline="0">
              <a:solidFill>
                <a:sysClr val="windowText" lastClr="000000"/>
              </a:solidFill>
            </a:rPr>
            <a:t>or SOP-460 Level 2 undamped torsional natural frequency analysis)</a:t>
          </a:r>
        </a:p>
        <a:p>
          <a:endParaRPr lang="en-US" sz="1100" b="0" u="none" baseline="0"/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"Haigh (Goodman) diagram"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Creates a Haigh diagram reading Torsional Response Frequency result files from Madyn2000: it includes excitations from harmonic responses, VFD, line frequency and twice the line frequency.</a:t>
          </a:r>
        </a:p>
        <a:p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"envelope"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Creates a diagram with the envelope of torsional responses to all active harmonic excitations for a selected element. Should be used if at least one critical speed due to harmonic excitation has an inadequate separation margin.</a:t>
          </a:r>
        </a:p>
        <a:p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"VFD"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Creates a diagram with the the sum of peak responses to a torsional excitation due to VFD for a selected element. Should be used if a </a:t>
          </a:r>
          <a:r>
            <a:rPr lang="it-IT" i="1"/>
            <a:t>Impressed voltage converter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VFD is included in the torsional train.</a:t>
          </a:r>
        </a:p>
        <a:p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"line"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Creates a diagram with the peak responses to a torsional excitation due to motor line frequency for a selected element. Should be used if line frequency excitation has an inadequate separation margin.</a:t>
          </a:r>
          <a:endParaRPr lang="it-IT">
            <a:effectLst/>
          </a:endParaRPr>
        </a:p>
        <a:p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"linex2"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Creates a diagram with the peak responses to a torsional excitation due to motor twice the line frequency for a selected element. Should be used if twce the line frequency excitation has an inadequate separation margin.</a:t>
          </a:r>
          <a:endParaRPr lang="it-IT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29</xdr:col>
      <xdr:colOff>0</xdr:colOff>
      <xdr:row>32</xdr:row>
      <xdr:rowOff>1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77150" y="2771775"/>
          <a:ext cx="9144000" cy="3429001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 u="sng"/>
            <a:t>NOTE FOR HARMONIC</a:t>
          </a:r>
          <a:r>
            <a:rPr lang="en-US" sz="1100" b="1" i="0" u="sng" baseline="0"/>
            <a:t> EXCITATIONS</a:t>
          </a:r>
          <a:endParaRPr lang="en-US" sz="1100" b="0" u="none"/>
        </a:p>
        <a:p>
          <a:r>
            <a:rPr lang="en-US" sz="1100" b="1" u="sng"/>
            <a:t>If</a:t>
          </a:r>
          <a:r>
            <a:rPr lang="en-US" sz="1100" b="1" u="sng" baseline="0"/>
            <a:t> the same harmonic excitation order intersect two or more torsional natural frequencies in the range of unacceptability</a:t>
          </a:r>
          <a:r>
            <a:rPr lang="en-US" sz="1100" b="0" u="none" baseline="0"/>
            <a:t>, the envelope of maximum responses of all these excitations should be considered in the fatigue analysis instead of all single contribution.</a:t>
          </a:r>
        </a:p>
        <a:p>
          <a:r>
            <a:rPr lang="en-US" sz="1100" b="0" u="none" baseline="0"/>
            <a:t>To assolve this task a python module has been created.</a:t>
          </a:r>
        </a:p>
        <a:p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INSTRUCTIONS FOR PYTHON MODULE</a:t>
          </a:r>
          <a:endParaRPr lang="it-IT">
            <a:effectLst/>
          </a:endParaRPr>
        </a:p>
        <a:p>
          <a:r>
            <a:rPr lang="en-US" sz="1100" b="0" u="none"/>
            <a:t>1) Create</a:t>
          </a:r>
          <a:r>
            <a:rPr lang="en-US" sz="1100" b="0" u="none" baseline="0"/>
            <a:t> a text file called "input.txt" with this format (do not change line order):</a:t>
          </a:r>
        </a:p>
        <a:p>
          <a:r>
            <a:rPr lang="en-US" sz="1100" b="0" u="none" baseline="0"/>
            <a:t># Output file name</a:t>
          </a:r>
        </a:p>
        <a:p>
          <a:r>
            <a:rPr lang="en-US" sz="1100" b="0" u="none" baseline="0"/>
            <a:t>file.txt</a:t>
          </a:r>
        </a:p>
        <a:p>
          <a:r>
            <a:rPr lang="en-US" sz="1100" b="0" u="none" baseline="0"/>
            <a:t># Input file list</a:t>
          </a:r>
        </a:p>
        <a:p>
          <a:r>
            <a:rPr lang="en-US" sz="1100" b="0" u="none" baseline="0"/>
            <a:t>first file.txt</a:t>
          </a:r>
        </a:p>
        <a:p>
          <a:r>
            <a:rPr lang="en-US" sz="1100" b="0" u="none" baseline="0"/>
            <a:t>second file.txt</a:t>
          </a:r>
        </a:p>
        <a:p>
          <a:r>
            <a:rPr lang="en-US" sz="1100" b="0" u="none" baseline="0"/>
            <a:t>third file.txt</a:t>
          </a:r>
        </a:p>
        <a:p>
          <a:r>
            <a:rPr lang="en-US" sz="1100" b="0" u="none" baseline="0"/>
            <a:t>...</a:t>
          </a:r>
          <a:endParaRPr lang="it-IT">
            <a:effectLst/>
          </a:endParaRPr>
        </a:p>
        <a:p>
          <a:r>
            <a:rPr lang="it-IT">
              <a:effectLst/>
            </a:rPr>
            <a:t>2) </a:t>
          </a:r>
          <a:r>
            <a:rPr lang="it-IT" baseline="0">
              <a:effectLst/>
            </a:rPr>
            <a:t>Go to "Start" in windows and digit "Anaconda Prompt".</a:t>
          </a:r>
        </a:p>
        <a:p>
          <a:r>
            <a:rPr lang="it-IT" baseline="0">
              <a:effectLst/>
            </a:rPr>
            <a:t>3) In anaconda prompt window, go to the working directory using dos commands (cd, cd.., etc...).</a:t>
          </a:r>
        </a:p>
        <a:p>
          <a:r>
            <a:rPr lang="it-IT" baseline="0">
              <a:effectLst/>
            </a:rPr>
            <a:t>4) </a:t>
          </a:r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anaconda prompt window, digit "python MOD408-Torsional_analysis-Shaft_Fatigue_Verification-Annex1-Compare_harmonics.py" and press enter.</a:t>
          </a:r>
        </a:p>
        <a:p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In the working directory there will be a result file called as defined in the first step</a:t>
          </a:r>
        </a:p>
        <a:p>
          <a:r>
            <a:rPr lang="it-IT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Use only this file for the fatigue  verification procedure instead of all the other files used in the python module.</a:t>
          </a:r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5080</xdr:rowOff>
    </xdr:from>
    <xdr:to>
      <xdr:col>13</xdr:col>
      <xdr:colOff>0</xdr:colOff>
      <xdr:row>22</xdr:row>
      <xdr:rowOff>0</xdr:rowOff>
    </xdr:to>
    <xdr:graphicFrame macro="">
      <xdr:nvGraphicFramePr>
        <xdr:cNvPr id="3" name="Sf(n)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13</xdr:col>
      <xdr:colOff>0</xdr:colOff>
      <xdr:row>38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8</xdr:row>
      <xdr:rowOff>0</xdr:rowOff>
    </xdr:from>
    <xdr:to>
      <xdr:col>30</xdr:col>
      <xdr:colOff>9525</xdr:colOff>
      <xdr:row>19</xdr:row>
      <xdr:rowOff>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2268200" y="1781175"/>
          <a:ext cx="7324725" cy="23241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Compile input cells data </a:t>
          </a:r>
          <a:r>
            <a:rPr lang="en-US" sz="1100" b="0" u="none" baseline="0"/>
            <a:t>to create the S-N curve:</a:t>
          </a:r>
        </a:p>
        <a:p>
          <a:r>
            <a:rPr lang="en-US" sz="1100" b="0" u="none" baseline="0"/>
            <a:t>1) material name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2) S</a:t>
          </a:r>
          <a:r>
            <a:rPr lang="en-US" sz="1100" b="0" u="none" baseline="-25000"/>
            <a:t>y</a:t>
          </a:r>
          <a:r>
            <a:rPr lang="en-US" sz="1100" b="0" u="none" baseline="0"/>
            <a:t> (yield stress)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S</a:t>
          </a:r>
          <a:r>
            <a:rPr lang="en-US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(ultimate stress)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N (number of cycles)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excitation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bending/axialtorsion/general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shaft diameter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surface conditions = </a:t>
          </a:r>
          <a:r>
            <a:rPr lang="en-US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mirror polished/fine ground or commercially polished/machined or cold drawn/hot-rolled/as forged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temperature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reliability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10) go to Haigh (Goodman) diagram sheet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en-US" sz="1100" b="0" u="none" baseline="0"/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0: read shaft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1: set dimension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7</xdr:col>
      <xdr:colOff>0</xdr:colOff>
      <xdr:row>21</xdr:row>
      <xdr:rowOff>0</xdr:rowOff>
    </xdr:to>
    <xdr:graphicFrame macro="">
      <xdr:nvGraphicFramePr>
        <xdr:cNvPr id="2" name="Haigh-Goodma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2: read static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3: read natural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4: read harmonic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5: read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6: read linex2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7: read VFD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45</xdr:row>
      <xdr:rowOff>190499</xdr:rowOff>
    </xdr:from>
    <xdr:to>
      <xdr:col>7</xdr:col>
      <xdr:colOff>0</xdr:colOff>
      <xdr:row>69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733800" y="8867774"/>
          <a:ext cx="4010025" cy="4381501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1) press "RESET" button</a:t>
          </a:r>
        </a:p>
        <a:p>
          <a:r>
            <a:rPr lang="en-US" sz="1100" b="0" u="none" baseline="0"/>
            <a:t>2) compile </a:t>
          </a:r>
          <a:r>
            <a:rPr lang="en-US" sz="1100" b="1" u="none" baseline="0"/>
            <a:t>description/filename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table</a:t>
          </a: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3) press "step 0: read shaft"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</a:t>
          </a: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select from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shaft name list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 shaft to study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insert line freq value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select stat. and dyn. result stress format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insert damping ratio </a:t>
          </a:r>
          <a:r>
            <a:rPr lang="el-G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ξ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8) insert sep. margin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9) press "step 1: set dimension" button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10) press "step 2: read static" button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11) press "step 3: read natural" button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12) press "step 4: read harmonic" button (optional)</a:t>
          </a:r>
          <a:r>
            <a:rPr lang="it-IT" sz="1100" b="0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**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13) press "step 5: read line" button (optional)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14) press "step 6: read linex2" button (optional)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15) press "step7: read VFD" button (optional)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16) complete the stress table with stress concentration factors k for all stations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>
              <a:effectLst/>
            </a:rPr>
            <a:t>NOTE: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ordinal number near to each button related to dynamic load indicates the number of times it is considered. With each press, it is increased by one unit.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>
              <a:effectLst/>
            </a:rPr>
            <a:t>**) each excitations</a:t>
          </a:r>
          <a:r>
            <a:rPr lang="it-IT" baseline="0">
              <a:effectLst/>
            </a:rPr>
            <a:t> must have identical n</a:t>
          </a:r>
          <a:r>
            <a:rPr lang="it-IT" baseline="-25000">
              <a:effectLst/>
            </a:rPr>
            <a:t>min</a:t>
          </a:r>
          <a:r>
            <a:rPr lang="it-IT" baseline="0">
              <a:effectLst/>
            </a:rPr>
            <a:t>, n</a:t>
          </a:r>
          <a:r>
            <a:rPr lang="it-IT" baseline="-25000">
              <a:effectLst/>
            </a:rPr>
            <a:t>max</a:t>
          </a:r>
          <a:r>
            <a:rPr lang="it-IT" baseline="0">
              <a:effectLst/>
            </a:rPr>
            <a:t> and </a:t>
          </a:r>
          <a:r>
            <a:rPr lang="el-GR" baseline="0">
              <a:effectLst/>
              <a:latin typeface="Calibri" panose="020F0502020204030204" pitchFamily="34" charset="0"/>
              <a:cs typeface="Calibri" panose="020F0502020204030204" pitchFamily="34" charset="0"/>
            </a:rPr>
            <a:t>Δ</a:t>
          </a:r>
          <a:r>
            <a:rPr lang="it-IT" baseline="0">
              <a:effectLst/>
              <a:latin typeface="Calibri" panose="020F0502020204030204" pitchFamily="34" charset="0"/>
              <a:cs typeface="Calibri" panose="020F0502020204030204" pitchFamily="34" charset="0"/>
            </a:rPr>
            <a:t>n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12</xdr:col>
      <xdr:colOff>0</xdr:colOff>
      <xdr:row>23</xdr:row>
      <xdr:rowOff>0</xdr:rowOff>
    </xdr:to>
    <xdr:graphicFrame macro="">
      <xdr:nvGraphicFramePr>
        <xdr:cNvPr id="3" name="env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29</xdr:row>
      <xdr:rowOff>0</xdr:rowOff>
    </xdr:from>
    <xdr:to>
      <xdr:col>10</xdr:col>
      <xdr:colOff>266700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981200" y="5629275"/>
          <a:ext cx="4600575" cy="15240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1) insert Ele ID</a:t>
          </a:r>
        </a:p>
        <a:p>
          <a:r>
            <a:rPr lang="en-US" sz="1100" b="0" u="none" baseline="0"/>
            <a:t>2) select </a:t>
          </a:r>
          <a:r>
            <a:rPr lang="en-US" sz="1100" b="0" i="1" u="none" baseline="0"/>
            <a:t>left/right </a:t>
          </a:r>
          <a:r>
            <a:rPr lang="en-US" sz="1100" b="0" i="0" u="none" baseline="0"/>
            <a:t>side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3) press "graph"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</a:t>
          </a:r>
          <a:endParaRPr lang="en-US" sz="1100" b="0" u="none" baseline="0"/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press "autoscale" button to define automatically speed range in the graph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press "manual" button to define manually speed range in the graph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speed (for manual scaling)</a:t>
          </a:r>
        </a:p>
        <a:p>
          <a:pPr eaLnBrk="1" fontAlgn="auto" latinLnBrk="0" hangingPunct="1"/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 speed (for manual scaling)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" name="graphVF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32</xdr:row>
      <xdr:rowOff>0</xdr:rowOff>
    </xdr:from>
    <xdr:to>
      <xdr:col>10</xdr:col>
      <xdr:colOff>266700</xdr:colOff>
      <xdr:row>39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981200" y="6238875"/>
          <a:ext cx="4600575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1) insert Ele 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2) press "graph"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</a:t>
          </a:r>
          <a:endParaRPr lang="en-US" sz="1100" b="0" u="none" baseline="0"/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press "autoscale" button to define automatically speed range in the graph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press "manual" button to define manuallly speed range in the graph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freq (for manual scaling)</a:t>
          </a:r>
        </a:p>
        <a:p>
          <a:pPr eaLnBrk="1" fontAlgn="auto" latinLnBrk="0" hangingPunct="1"/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 freq (for manual scaling)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" name="graphlin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29</xdr:row>
      <xdr:rowOff>0</xdr:rowOff>
    </xdr:from>
    <xdr:to>
      <xdr:col>10</xdr:col>
      <xdr:colOff>266700</xdr:colOff>
      <xdr:row>36</xdr:row>
      <xdr:rowOff>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981200" y="5667375"/>
          <a:ext cx="4600575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1) insert Ele 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2) press "graph"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</a:t>
          </a:r>
          <a:endParaRPr lang="en-US" sz="1100" b="0" u="none" baseline="0"/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press "autoscale" button to define automatically speed range in the graph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press "manual" button to define manuallly speed range in the graph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freq (for manual scaling)</a:t>
          </a:r>
        </a:p>
        <a:p>
          <a:pPr eaLnBrk="1" fontAlgn="auto" latinLnBrk="0" hangingPunct="1"/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 freq (for manual scaling)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" name="graphline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29</xdr:row>
      <xdr:rowOff>0</xdr:rowOff>
    </xdr:from>
    <xdr:to>
      <xdr:col>10</xdr:col>
      <xdr:colOff>266700</xdr:colOff>
      <xdr:row>36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981200" y="5667375"/>
          <a:ext cx="4600575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1) insert Ele 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2) press "graph"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button</a:t>
          </a:r>
          <a:endParaRPr lang="en-US" sz="1100" b="0" u="none" baseline="0"/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press "autoscale" button to define automatically speed range in the graph</a:t>
          </a:r>
          <a:endParaRPr lang="it-IT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press "manual" button to define manuallly speed range in the graph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 freq (for manual scaling)</a:t>
          </a:r>
        </a:p>
        <a:p>
          <a:pPr eaLnBrk="1" fontAlgn="auto" latinLnBrk="0" hangingPunct="1"/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insert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 freq (for manual scaling)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4C435F-0769-48C1-90ED-A6E1013B63AF}" name="punti" displayName="punti" ref="R4:T10" totalsRowShown="0" headerRowDxfId="46" dataDxfId="45">
  <autoFilter ref="R4:T10" xr:uid="{E54C435F-0769-48C1-90ED-A6E1013B63AF}"/>
  <tableColumns count="3">
    <tableColumn id="1" xr3:uid="{861CEE08-C0B9-4831-AC6D-06D857D33457}" name="Point" dataDxfId="44"/>
    <tableColumn id="2" xr3:uid="{30661678-306F-4656-8963-45BAF66DC01D}" name="σm [MPa]" dataDxfId="43"/>
    <tableColumn id="3" xr3:uid="{9B3F9A32-D6F3-41F5-A3EE-B32EF0EDB28D}" name="σa [MPa]" dataDxfId="42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2FB98-D913-4EC3-AD7B-97807C4CB332}" name="file" displayName="file" ref="F25:G45" totalsRowShown="0" headerRowDxfId="41" dataDxfId="40">
  <autoFilter ref="F25:G45" xr:uid="{7542FB98-D913-4EC3-AD7B-97807C4CB332}"/>
  <tableColumns count="2">
    <tableColumn id="1" xr3:uid="{4374CD30-CD81-4FA9-B12A-571E3F49D487}" name="description" dataDxfId="39"/>
    <tableColumn id="2" xr3:uid="{596CCACC-4DF6-4B4D-AAC7-800DF9421E0D}" name="file name" dataDxfId="38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816613-914E-4BC1-9942-EFC07FB70D9D}" name="shaft" displayName="shaft" ref="J4:P5" totalsRowShown="0" headerRowDxfId="37" dataDxfId="36">
  <autoFilter ref="J4:P5" xr:uid="{2A816613-914E-4BC1-9942-EFC07FB70D9D}"/>
  <tableColumns count="7">
    <tableColumn id="1" xr3:uid="{CA4B3830-C913-4454-8CC7-FB9CE085CA3E}" name="ele ID" dataDxfId="35"/>
    <tableColumn id="2" xr3:uid="{CF26DC0E-BBCD-4AB5-83F9-FA9AC9E4168B}" name="node ID" dataDxfId="34"/>
    <tableColumn id="3" xr3:uid="{A3E8BBF2-2855-4739-89A5-6EF1C83BE5A0}" name="k" dataDxfId="33"/>
    <tableColumn id="4" xr3:uid="{1B5C5C4B-3AB1-4963-B5FD-5A479C04298E}" name="σm [MPa]" dataDxfId="32"/>
    <tableColumn id="5" xr3:uid="{8F37BB50-AFBE-42AD-97A1-D2A3AECAFDF1}" name="σa [MPa]" dataDxfId="31"/>
    <tableColumn id="6" xr3:uid="{C80DBA6A-C872-43C5-A55F-CD63CDB20F79}" name="kσm [MPa]" dataDxfId="30">
      <calculatedColumnFormula>L5*M5</calculatedColumnFormula>
    </tableColumn>
    <tableColumn id="7" xr3:uid="{20B793F4-F0F6-42C6-B403-AEE0B60484A6}" name="kσa [MPa]" dataDxfId="29">
      <calculatedColumnFormula>L5*N5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4C57BC-F015-44B2-8775-DDDEC2924AB3}" name="natfreq" displayName="natfreq" ref="B49:C50" totalsRowShown="0" headerRowDxfId="28" dataDxfId="27">
  <autoFilter ref="B49:C50" xr:uid="{FA4C57BC-F015-44B2-8775-DDDEC2924AB3}"/>
  <tableColumns count="2">
    <tableColumn id="1" xr3:uid="{53AF1DCF-3285-408A-82D3-8E6FA5708C5B}" name="ID" dataDxfId="26"/>
    <tableColumn id="2" xr3:uid="{4CADD7B6-0470-4076-81EE-DAD9A8BE2A03}" name="nat freq [Hz]" dataDxfId="2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ABF12-4EE7-481E-A060-E7FE21F02FD8}" name="shaftname" displayName="shaftname" ref="R12:R13" totalsRowShown="0" headerRowDxfId="24" dataDxfId="23">
  <autoFilter ref="R12:R13" xr:uid="{416ABF12-4EE7-481E-A060-E7FE21F02FD8}"/>
  <tableColumns count="1">
    <tableColumn id="1" xr3:uid="{9FB20533-9A71-400E-8997-02B26A7DFC20}" name="shaft name list" dataDxfId="22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DCB437-6A07-4713-A37B-8AD37EB5CE73}" name="envelope" displayName="envelope" ref="N4:R5" totalsRowShown="0" headerRowDxfId="21" dataDxfId="20">
  <autoFilter ref="N4:R5" xr:uid="{5EDCB437-6A07-4713-A37B-8AD37EB5CE73}"/>
  <tableColumns count="5">
    <tableColumn id="212" xr3:uid="{FDB8F521-2995-4046-87D5-C9B00FBFE8F5}" name="n [rpm]" dataDxfId="19"/>
    <tableColumn id="12" xr3:uid="{9708F776-247B-475F-BFDC-6F1A8C771F9C}" name="load 1" dataDxfId="18"/>
    <tableColumn id="14" xr3:uid="{ABFE18FF-B454-4E81-891F-B4D4845BCD6E}" name="load 2" dataDxfId="17"/>
    <tableColumn id="1" xr3:uid="{599E9357-F63C-4F10-8EBD-199CB83A15F0}" name="load 3" dataDxfId="16"/>
    <tableColumn id="2" xr3:uid="{3154B1CC-6C56-4F7D-9396-9373DE907DCC}" name="envelope" dataDxfId="15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00DA82-C362-429B-9442-ADBE172C83F1}" name="VFD" displayName="VFD" ref="N4:P5" totalsRowShown="0" headerRowDxfId="14" dataDxfId="13">
  <autoFilter ref="N4:P5" xr:uid="{5EDCB437-6A07-4713-A37B-8AD37EB5CE73}"/>
  <tableColumns count="3">
    <tableColumn id="212" xr3:uid="{8052675C-178A-4EE9-AA23-13DE512D98A6}" name="freq [Hz]" dataDxfId="12"/>
    <tableColumn id="14" xr3:uid="{2B3F799B-6293-4D59-ACD2-A97E5F811AA2}" name="σleft [MPa]" dataDxfId="11"/>
    <tableColumn id="1" xr3:uid="{2C347C8A-BBF6-4625-BD20-4E00F7A61CAC}" name="σright [MPa]" dataDxfId="10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2707A9-5E23-4CF2-8DC5-2BD33E004450}" name="line" displayName="line" ref="N4:P5" totalsRowShown="0" headerRowDxfId="9" dataDxfId="8">
  <autoFilter ref="N4:P5" xr:uid="{5EDCB437-6A07-4713-A37B-8AD37EB5CE73}"/>
  <tableColumns count="3">
    <tableColumn id="212" xr3:uid="{AB0CA695-35DB-465E-9946-DE8D19B165C4}" name="freq [Hz]" dataDxfId="7"/>
    <tableColumn id="14" xr3:uid="{37091402-1D0E-4205-85D0-70AFE168A87F}" name="σleft [MPa]" dataDxfId="6"/>
    <tableColumn id="1" xr3:uid="{6AE4C265-9482-407F-9BA1-10D0655008A9}" name="σright [MPa]" dataDxfId="5"/>
  </tableColumns>
  <tableStyleInfo name="TableStyleLight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5EB883-66B1-4E97-8240-8B46AF56C29A}" name="linex2" displayName="linex2" ref="N4:P5" totalsRowShown="0" headerRowDxfId="4" dataDxfId="3">
  <autoFilter ref="N4:P5" xr:uid="{5EDCB437-6A07-4713-A37B-8AD37EB5CE73}"/>
  <tableColumns count="3">
    <tableColumn id="212" xr3:uid="{D25D3E1A-DA42-4E4B-8CC2-B006F04BAACE}" name="freq [Hz]" dataDxfId="2"/>
    <tableColumn id="14" xr3:uid="{73D9C30B-1581-460D-BDC4-A99FA65079DB}" name="σleft [MPa]" dataDxfId="1"/>
    <tableColumn id="1" xr3:uid="{14567CCB-8721-40A7-B57A-4E7B0858A1EF}" name="σright [MPa]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5.xml"/><Relationship Id="rId2" Type="http://schemas.openxmlformats.org/officeDocument/2006/relationships/drawing" Target="../drawings/drawing3.xml"/><Relationship Id="rId16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DDA2D-2FF7-4724-853A-958516FCD2CC}">
  <sheetPr codeName="Foglio7"/>
  <dimension ref="B2:M42"/>
  <sheetViews>
    <sheetView tabSelected="1" workbookViewId="0"/>
  </sheetViews>
  <sheetFormatPr defaultRowHeight="15" x14ac:dyDescent="0.25"/>
  <cols>
    <col min="1" max="1" width="2.7109375" customWidth="1"/>
    <col min="14" max="14" width="2.7109375" customWidth="1"/>
  </cols>
  <sheetData>
    <row r="2" spans="2:2" ht="23.25" x14ac:dyDescent="0.35">
      <c r="B2" s="3" t="s">
        <v>0</v>
      </c>
    </row>
    <row r="35" spans="2:13" x14ac:dyDescent="0.25">
      <c r="B35" s="1" t="s">
        <v>1</v>
      </c>
      <c r="C35" s="84" t="s">
        <v>2</v>
      </c>
      <c r="D35" s="85"/>
      <c r="E35" s="86"/>
      <c r="F35" s="94" t="s">
        <v>3</v>
      </c>
      <c r="G35" s="95"/>
      <c r="H35" s="96"/>
      <c r="I35" s="97" t="s">
        <v>4</v>
      </c>
      <c r="J35" s="98"/>
      <c r="K35" s="97" t="s">
        <v>5</v>
      </c>
      <c r="L35" s="99"/>
      <c r="M35" s="98"/>
    </row>
    <row r="36" spans="2:13" x14ac:dyDescent="0.25">
      <c r="B36" s="2" t="s">
        <v>6</v>
      </c>
      <c r="C36" s="87" t="s">
        <v>7</v>
      </c>
      <c r="D36" s="88"/>
      <c r="E36" s="89"/>
      <c r="F36" s="90"/>
      <c r="G36" s="91"/>
      <c r="H36" s="92"/>
      <c r="I36" s="100">
        <v>45260</v>
      </c>
      <c r="J36" s="93"/>
      <c r="K36" s="90"/>
      <c r="L36" s="91"/>
      <c r="M36" s="92"/>
    </row>
    <row r="37" spans="2:13" x14ac:dyDescent="0.25">
      <c r="B37" s="2"/>
      <c r="C37" s="87"/>
      <c r="D37" s="88"/>
      <c r="E37" s="89"/>
      <c r="F37" s="90"/>
      <c r="G37" s="91"/>
      <c r="H37" s="92"/>
      <c r="I37" s="93"/>
      <c r="J37" s="93"/>
      <c r="K37" s="90"/>
      <c r="L37" s="91"/>
      <c r="M37" s="92"/>
    </row>
    <row r="38" spans="2:13" x14ac:dyDescent="0.25">
      <c r="B38" s="2"/>
      <c r="C38" s="87"/>
      <c r="D38" s="88"/>
      <c r="E38" s="89"/>
      <c r="F38" s="90"/>
      <c r="G38" s="91"/>
      <c r="H38" s="92"/>
      <c r="I38" s="93"/>
      <c r="J38" s="93"/>
      <c r="K38" s="90"/>
      <c r="L38" s="91"/>
      <c r="M38" s="92"/>
    </row>
    <row r="39" spans="2:13" x14ac:dyDescent="0.25">
      <c r="B39" s="2"/>
      <c r="C39" s="87"/>
      <c r="D39" s="88"/>
      <c r="E39" s="89"/>
      <c r="F39" s="90"/>
      <c r="G39" s="91"/>
      <c r="H39" s="92"/>
      <c r="I39" s="93"/>
      <c r="J39" s="93"/>
      <c r="K39" s="90"/>
      <c r="L39" s="91"/>
      <c r="M39" s="92"/>
    </row>
    <row r="40" spans="2:13" x14ac:dyDescent="0.25">
      <c r="B40" s="2"/>
      <c r="C40" s="87"/>
      <c r="D40" s="88"/>
      <c r="E40" s="89"/>
      <c r="F40" s="90"/>
      <c r="G40" s="91"/>
      <c r="H40" s="92"/>
      <c r="I40" s="93"/>
      <c r="J40" s="93"/>
      <c r="K40" s="90"/>
      <c r="L40" s="91"/>
      <c r="M40" s="92"/>
    </row>
    <row r="41" spans="2:13" x14ac:dyDescent="0.25">
      <c r="B41" s="2"/>
      <c r="C41" s="87"/>
      <c r="D41" s="88"/>
      <c r="E41" s="89"/>
      <c r="F41" s="90"/>
      <c r="G41" s="91"/>
      <c r="H41" s="92"/>
      <c r="I41" s="93"/>
      <c r="J41" s="93"/>
      <c r="K41" s="90"/>
      <c r="L41" s="91"/>
      <c r="M41" s="92"/>
    </row>
    <row r="42" spans="2:13" x14ac:dyDescent="0.25">
      <c r="B42" s="2"/>
      <c r="C42" s="87"/>
      <c r="D42" s="88"/>
      <c r="E42" s="89"/>
      <c r="F42" s="90"/>
      <c r="G42" s="91"/>
      <c r="H42" s="92"/>
      <c r="I42" s="93"/>
      <c r="J42" s="93"/>
      <c r="K42" s="90"/>
      <c r="L42" s="91"/>
      <c r="M42" s="92"/>
    </row>
  </sheetData>
  <mergeCells count="32">
    <mergeCell ref="K42:M42"/>
    <mergeCell ref="F38:H38"/>
    <mergeCell ref="K38:M38"/>
    <mergeCell ref="F39:H39"/>
    <mergeCell ref="K39:M39"/>
    <mergeCell ref="F40:H40"/>
    <mergeCell ref="K40:M40"/>
    <mergeCell ref="I42:J42"/>
    <mergeCell ref="C41:E41"/>
    <mergeCell ref="C42:E42"/>
    <mergeCell ref="I39:J39"/>
    <mergeCell ref="I40:J40"/>
    <mergeCell ref="C39:E39"/>
    <mergeCell ref="C40:E40"/>
    <mergeCell ref="F41:H41"/>
    <mergeCell ref="F42:H42"/>
    <mergeCell ref="C35:E35"/>
    <mergeCell ref="C36:E36"/>
    <mergeCell ref="F37:H37"/>
    <mergeCell ref="K37:M37"/>
    <mergeCell ref="I41:J41"/>
    <mergeCell ref="I37:J37"/>
    <mergeCell ref="I38:J38"/>
    <mergeCell ref="C37:E37"/>
    <mergeCell ref="C38:E38"/>
    <mergeCell ref="F35:H35"/>
    <mergeCell ref="I35:J35"/>
    <mergeCell ref="K35:M35"/>
    <mergeCell ref="F36:H36"/>
    <mergeCell ref="K36:M36"/>
    <mergeCell ref="I36:J36"/>
    <mergeCell ref="K41:M4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75A7-9621-4B47-9762-84EF3D77A046}">
  <sheetPr codeName="Foglio1"/>
  <dimension ref="B2:V36"/>
  <sheetViews>
    <sheetView zoomScaleNormal="100" workbookViewId="0"/>
  </sheetViews>
  <sheetFormatPr defaultRowHeight="15" x14ac:dyDescent="0.25"/>
  <cols>
    <col min="1" max="1" width="2.7109375" customWidth="1"/>
    <col min="5" max="5" width="10.28515625" customWidth="1"/>
    <col min="6" max="6" width="10.28515625" bestFit="1" customWidth="1"/>
    <col min="9" max="9" width="9.28515625" customWidth="1"/>
    <col min="14" max="14" width="2.5703125" customWidth="1"/>
    <col min="15" max="15" width="21.7109375" bestFit="1" customWidth="1"/>
    <col min="16" max="17" width="12.7109375" customWidth="1"/>
    <col min="18" max="18" width="16.7109375" customWidth="1"/>
    <col min="19" max="19" width="2.7109375" customWidth="1"/>
    <col min="20" max="20" width="18.28515625" bestFit="1" customWidth="1"/>
  </cols>
  <sheetData>
    <row r="2" spans="2:22" ht="23.25" x14ac:dyDescent="0.35">
      <c r="B2" s="4" t="s">
        <v>8</v>
      </c>
      <c r="P2" s="5"/>
    </row>
    <row r="4" spans="2:22" x14ac:dyDescent="0.25">
      <c r="O4" s="6" t="s">
        <v>9</v>
      </c>
      <c r="P4" s="60" t="s">
        <v>10</v>
      </c>
      <c r="T4" s="54" t="s">
        <v>127</v>
      </c>
    </row>
    <row r="5" spans="2:22" ht="18" x14ac:dyDescent="0.35">
      <c r="B5" s="7" t="s">
        <v>11</v>
      </c>
      <c r="C5" s="7" t="s">
        <v>12</v>
      </c>
      <c r="F5" s="7">
        <v>4</v>
      </c>
      <c r="G5" s="7"/>
      <c r="O5" s="8" t="s">
        <v>13</v>
      </c>
      <c r="P5" s="61">
        <v>650</v>
      </c>
      <c r="Q5" s="10" t="s">
        <v>14</v>
      </c>
      <c r="T5" s="55" t="s">
        <v>15</v>
      </c>
    </row>
    <row r="6" spans="2:22" ht="18" x14ac:dyDescent="0.35">
      <c r="B6" s="12">
        <v>1</v>
      </c>
      <c r="C6" s="13" cm="1">
        <f t="array" aca="1" ref="C6" ca="1">Sf(B6,$P$6,$P$7,$P$8)</f>
        <v>800</v>
      </c>
      <c r="F6" s="14">
        <v>0.5</v>
      </c>
      <c r="G6" s="7">
        <v>1</v>
      </c>
      <c r="O6" s="8" t="s">
        <v>16</v>
      </c>
      <c r="P6" s="61">
        <v>800</v>
      </c>
      <c r="Q6" s="10" t="s">
        <v>17</v>
      </c>
      <c r="T6" s="56" t="s">
        <v>18</v>
      </c>
    </row>
    <row r="7" spans="2:22" ht="18" x14ac:dyDescent="0.35">
      <c r="B7" s="12">
        <v>10</v>
      </c>
      <c r="C7" s="13" cm="1">
        <f t="array" aca="1" ref="C7" ca="1">Sf(B7,$P$6,$P$7,$P$8)</f>
        <v>717.02475944914636</v>
      </c>
      <c r="F7" s="14">
        <v>0.9</v>
      </c>
      <c r="G7" s="7">
        <v>0.89700000000000002</v>
      </c>
      <c r="O7" s="8" t="s">
        <v>19</v>
      </c>
      <c r="P7" s="9">
        <f ca="1">P14*P6*P18</f>
        <v>576</v>
      </c>
      <c r="Q7" s="10" t="s">
        <v>20</v>
      </c>
      <c r="T7" s="57" t="s">
        <v>128</v>
      </c>
    </row>
    <row r="8" spans="2:22" ht="18" x14ac:dyDescent="0.35">
      <c r="B8" s="12">
        <v>100</v>
      </c>
      <c r="C8" s="13" cm="1">
        <f t="array" aca="1" ref="C8" ca="1">Sf(B8,$P$6,$P$7,$P$8)</f>
        <v>642.65563207888272</v>
      </c>
      <c r="F8" s="14">
        <v>0.95</v>
      </c>
      <c r="G8" s="7">
        <v>0.86799999999999999</v>
      </c>
      <c r="O8" s="16" t="s">
        <v>21</v>
      </c>
      <c r="P8" s="59">
        <f ca="1">P6/2*P15*P16*P17*P18*P19</f>
        <v>90.456902506150414</v>
      </c>
      <c r="Q8" s="10" t="s">
        <v>22</v>
      </c>
      <c r="T8" s="58" t="s">
        <v>129</v>
      </c>
      <c r="V8" t="s">
        <v>23</v>
      </c>
    </row>
    <row r="9" spans="2:22" x14ac:dyDescent="0.25">
      <c r="B9" s="12">
        <v>1000</v>
      </c>
      <c r="C9" s="13" cm="1">
        <f t="array" aca="1" ref="C9" ca="1">Sf(B9,$P$6,$P$7,$P$8)</f>
        <v>576.00000000000023</v>
      </c>
      <c r="F9" s="14">
        <v>0.99</v>
      </c>
      <c r="G9" s="7">
        <v>0.81399999999999995</v>
      </c>
    </row>
    <row r="10" spans="2:22" x14ac:dyDescent="0.25">
      <c r="B10" s="12">
        <v>10000</v>
      </c>
      <c r="C10" s="13" cm="1">
        <f t="array" aca="1" ref="C10" ca="1">Sf(B10,$P$6,$P$7,$P$8)</f>
        <v>310.76270497275937</v>
      </c>
      <c r="F10" s="17">
        <v>0.999</v>
      </c>
      <c r="G10" s="7">
        <v>0.753</v>
      </c>
      <c r="O10" s="18" t="s">
        <v>11</v>
      </c>
      <c r="P10" s="62">
        <v>100000000</v>
      </c>
    </row>
    <row r="11" spans="2:22" ht="18" x14ac:dyDescent="0.35">
      <c r="B11" s="12">
        <v>100000</v>
      </c>
      <c r="C11" s="13" cm="1">
        <f t="array" aca="1" ref="C11" ca="1">Sf(B11,$P$6,$P$7,$P$8)</f>
        <v>167.66225486455946</v>
      </c>
      <c r="F11" s="19"/>
      <c r="O11" s="20" t="s">
        <v>24</v>
      </c>
      <c r="P11" s="63" cm="1">
        <f t="array" aca="1" ref="P11" ca="1">Sf(P10,P6,P7,P8)</f>
        <v>90.456902506150414</v>
      </c>
    </row>
    <row r="12" spans="2:22" x14ac:dyDescent="0.25">
      <c r="B12" s="12">
        <v>1000000</v>
      </c>
      <c r="C12" s="13" cm="1">
        <f t="array" aca="1" ref="C12" ca="1">Sf(B12,$P$6,$P$7,$P$8)</f>
        <v>90.45690250615047</v>
      </c>
      <c r="F12" s="21"/>
    </row>
    <row r="13" spans="2:22" x14ac:dyDescent="0.25">
      <c r="B13" s="12">
        <v>10000000000</v>
      </c>
      <c r="C13" s="13" cm="1">
        <f t="array" aca="1" ref="C13" ca="1">Sf(B13,$P$6,$P$7,$P$8)</f>
        <v>90.456902506150414</v>
      </c>
      <c r="F13" s="22"/>
    </row>
    <row r="14" spans="2:22" ht="18" customHeight="1" x14ac:dyDescent="0.25">
      <c r="O14" s="103" t="s">
        <v>25</v>
      </c>
      <c r="P14" s="78" cm="1">
        <f t="array" ref="P14">_xlfn.IFS(R14="bending",0.9,R14="axial",0.75,R14="torsion",0.72,R14="general biaxial",0.9)</f>
        <v>0.72</v>
      </c>
      <c r="Q14" s="76" t="s">
        <v>130</v>
      </c>
      <c r="R14" s="105" t="s">
        <v>26</v>
      </c>
    </row>
    <row r="15" spans="2:22" ht="18" customHeight="1" x14ac:dyDescent="0.25">
      <c r="O15" s="104"/>
      <c r="P15" s="79" cm="1">
        <f t="array" ref="P15">_xlfn.IFS(R14="bending",1,R14="axial",1,R14="torsion",0.58,R14="general biaxial",1)</f>
        <v>0.57999999999999996</v>
      </c>
      <c r="Q15" s="77" t="s">
        <v>131</v>
      </c>
      <c r="R15" s="106"/>
    </row>
    <row r="16" spans="2:22" ht="15" customHeight="1" x14ac:dyDescent="0.35">
      <c r="B16" s="7">
        <v>3</v>
      </c>
      <c r="D16" s="7"/>
      <c r="E16" s="7" t="s">
        <v>27</v>
      </c>
      <c r="F16" s="7" t="s">
        <v>28</v>
      </c>
      <c r="G16" s="7" t="s">
        <v>29</v>
      </c>
      <c r="H16" s="7" t="s">
        <v>30</v>
      </c>
      <c r="I16" s="7" cm="1">
        <f t="array" ref="I16">_xlfn.IFS(R14="bending",2,R14="axial",3,R14="torsion",4,R14="general biaxial",5)</f>
        <v>4</v>
      </c>
      <c r="O16" s="23" t="s">
        <v>31</v>
      </c>
      <c r="P16" s="80">
        <f>I17</f>
        <v>0.7</v>
      </c>
      <c r="Q16" s="24" t="s">
        <v>32</v>
      </c>
      <c r="R16" s="73">
        <v>100</v>
      </c>
    </row>
    <row r="17" spans="2:18" ht="18" x14ac:dyDescent="0.35">
      <c r="B17" s="53" t="s">
        <v>33</v>
      </c>
      <c r="D17" s="7">
        <v>0</v>
      </c>
      <c r="E17" s="7">
        <v>1</v>
      </c>
      <c r="F17" s="7">
        <v>0.7</v>
      </c>
      <c r="G17" s="7">
        <v>1</v>
      </c>
      <c r="H17" s="7">
        <v>1</v>
      </c>
      <c r="I17" s="7">
        <f>VLOOKUP(R16,D17:H20,I16,TRUE)</f>
        <v>0.7</v>
      </c>
      <c r="O17" s="23" t="s">
        <v>34</v>
      </c>
      <c r="P17" s="83" cm="1">
        <f t="array" aca="1" ref="P17" ca="1">surface_factor(P6,Q17)</f>
        <v>0.73970867356641101</v>
      </c>
      <c r="Q17" s="101" t="s">
        <v>35</v>
      </c>
      <c r="R17" s="102"/>
    </row>
    <row r="18" spans="2:18" ht="18" x14ac:dyDescent="0.35">
      <c r="B18" s="53" t="s">
        <v>36</v>
      </c>
      <c r="D18" s="7">
        <v>10</v>
      </c>
      <c r="E18" s="7">
        <v>0.9</v>
      </c>
      <c r="F18" s="7">
        <v>0.7</v>
      </c>
      <c r="G18" s="7">
        <v>0.9</v>
      </c>
      <c r="H18" s="7">
        <v>0.9</v>
      </c>
      <c r="O18" s="23" t="s">
        <v>37</v>
      </c>
      <c r="P18" s="81" cm="1">
        <f t="array" aca="1" ref="P18" ca="1">temperature_factor(R18)</f>
        <v>1</v>
      </c>
      <c r="Q18" s="24" t="s">
        <v>38</v>
      </c>
      <c r="R18" s="74">
        <v>20</v>
      </c>
    </row>
    <row r="19" spans="2:18" ht="18" x14ac:dyDescent="0.35">
      <c r="B19" s="53" t="s">
        <v>26</v>
      </c>
      <c r="D19" s="7">
        <v>50</v>
      </c>
      <c r="E19" s="7">
        <v>0.8</v>
      </c>
      <c r="F19" s="7">
        <v>0.6</v>
      </c>
      <c r="G19" s="7">
        <v>0.8</v>
      </c>
      <c r="H19" s="7">
        <v>0.8</v>
      </c>
      <c r="O19" s="25" t="s">
        <v>39</v>
      </c>
      <c r="P19" s="82">
        <f>VLOOKUP(R19,F6:G10,2,FALSE)</f>
        <v>0.753</v>
      </c>
      <c r="Q19" s="26" t="s">
        <v>40</v>
      </c>
      <c r="R19" s="75">
        <v>0.999</v>
      </c>
    </row>
    <row r="20" spans="2:18" x14ac:dyDescent="0.25">
      <c r="B20" s="53" t="s">
        <v>119</v>
      </c>
      <c r="D20" s="7">
        <v>100</v>
      </c>
      <c r="E20" s="7">
        <v>0.7</v>
      </c>
      <c r="F20" s="7">
        <v>0.5</v>
      </c>
      <c r="G20" s="7">
        <v>0.7</v>
      </c>
      <c r="H20" s="7">
        <v>0.7</v>
      </c>
    </row>
    <row r="21" spans="2:18" x14ac:dyDescent="0.25">
      <c r="D21" s="7"/>
      <c r="E21" s="7"/>
      <c r="F21" s="7"/>
      <c r="G21" s="7"/>
      <c r="H21" s="7"/>
    </row>
    <row r="24" spans="2:18" ht="112.5" x14ac:dyDescent="0.25">
      <c r="B24" s="27" t="s">
        <v>41</v>
      </c>
      <c r="C24" s="28" t="s">
        <v>42</v>
      </c>
      <c r="D24" s="29" t="s">
        <v>43</v>
      </c>
      <c r="E24" s="29" t="s">
        <v>35</v>
      </c>
      <c r="F24" s="28" t="s">
        <v>44</v>
      </c>
      <c r="G24" s="28" t="s">
        <v>45</v>
      </c>
      <c r="H24" s="28"/>
      <c r="I24" s="27" t="s">
        <v>46</v>
      </c>
    </row>
    <row r="25" spans="2:18" x14ac:dyDescent="0.25">
      <c r="B25" s="7">
        <v>60</v>
      </c>
      <c r="C25" s="13">
        <v>1</v>
      </c>
      <c r="D25" s="13">
        <v>0.9</v>
      </c>
      <c r="E25" s="13">
        <v>0.8</v>
      </c>
      <c r="F25" s="13">
        <v>0.73536895674300196</v>
      </c>
      <c r="G25" s="13">
        <v>0.56946564885496098</v>
      </c>
      <c r="H25" s="13">
        <f>P6</f>
        <v>800</v>
      </c>
      <c r="I25">
        <f>CONVERT(1000*B25,"psi","MPa")</f>
        <v>413.68543759010169</v>
      </c>
    </row>
    <row r="26" spans="2:18" x14ac:dyDescent="0.25">
      <c r="B26" s="7">
        <v>80</v>
      </c>
      <c r="C26" s="13">
        <v>1</v>
      </c>
      <c r="D26" s="13">
        <v>0.9</v>
      </c>
      <c r="E26" s="13">
        <v>0.78117048346055895</v>
      </c>
      <c r="F26" s="13">
        <v>0.64173027989821796</v>
      </c>
      <c r="G26" s="13">
        <v>0.473282442748091</v>
      </c>
      <c r="H26" s="7">
        <f ca="1">P17</f>
        <v>0.73970867356641101</v>
      </c>
      <c r="I26">
        <f t="shared" ref="I26:I36" si="0">CONVERT(1000*B26,"psi","MPa")</f>
        <v>551.58058345346888</v>
      </c>
    </row>
    <row r="27" spans="2:18" x14ac:dyDescent="0.25">
      <c r="B27" s="7">
        <v>100</v>
      </c>
      <c r="C27" s="13">
        <v>1</v>
      </c>
      <c r="D27" s="13">
        <v>0.9</v>
      </c>
      <c r="E27" s="13">
        <v>0.75928753180661501</v>
      </c>
      <c r="F27" s="13">
        <v>0.57506361323155197</v>
      </c>
      <c r="G27" s="13">
        <v>0.41424936386768402</v>
      </c>
      <c r="H27" s="7"/>
      <c r="I27">
        <f t="shared" si="0"/>
        <v>689.47572931683612</v>
      </c>
    </row>
    <row r="28" spans="2:18" x14ac:dyDescent="0.25">
      <c r="B28" s="7">
        <v>120</v>
      </c>
      <c r="C28" s="13">
        <v>1</v>
      </c>
      <c r="D28" s="13">
        <v>0.9</v>
      </c>
      <c r="E28" s="13">
        <v>0.73486005089058504</v>
      </c>
      <c r="F28" s="13">
        <v>0.52111959287531795</v>
      </c>
      <c r="G28" s="13">
        <v>0.36641221374045702</v>
      </c>
      <c r="H28" s="7"/>
      <c r="I28">
        <f t="shared" si="0"/>
        <v>827.37087518020337</v>
      </c>
    </row>
    <row r="29" spans="2:18" x14ac:dyDescent="0.25">
      <c r="B29" s="7">
        <v>140</v>
      </c>
      <c r="C29" s="13">
        <v>1</v>
      </c>
      <c r="D29" s="13">
        <v>0.89974554707379095</v>
      </c>
      <c r="E29" s="13">
        <v>0.71043256997455395</v>
      </c>
      <c r="F29" s="13">
        <v>0.473282442748091</v>
      </c>
      <c r="G29" s="13">
        <v>0.330788804071246</v>
      </c>
      <c r="H29" s="7"/>
      <c r="I29">
        <f t="shared" si="0"/>
        <v>965.26602104357062</v>
      </c>
    </row>
    <row r="30" spans="2:18" x14ac:dyDescent="0.25">
      <c r="B30" s="7">
        <v>155</v>
      </c>
      <c r="C30" s="13">
        <v>1</v>
      </c>
      <c r="D30" s="13">
        <v>0.90076335877862501</v>
      </c>
      <c r="E30" s="13">
        <v>0.68854961832060702</v>
      </c>
      <c r="F30" s="13">
        <v>0.43664122137404998</v>
      </c>
      <c r="G30" s="13">
        <v>0.30483460559796399</v>
      </c>
      <c r="H30" s="7"/>
      <c r="I30">
        <f t="shared" si="0"/>
        <v>1068.6873804410959</v>
      </c>
    </row>
    <row r="31" spans="2:18" x14ac:dyDescent="0.25">
      <c r="B31" s="7">
        <v>160</v>
      </c>
      <c r="C31" s="13">
        <v>1</v>
      </c>
      <c r="D31" s="13">
        <v>0.89262086513994898</v>
      </c>
      <c r="E31" s="13">
        <v>0.68346055979643705</v>
      </c>
      <c r="F31" s="13">
        <v>0.42951653944020302</v>
      </c>
      <c r="G31" s="13">
        <v>0.29720101781170399</v>
      </c>
      <c r="H31" s="7"/>
      <c r="I31">
        <f t="shared" si="0"/>
        <v>1103.1611669069378</v>
      </c>
    </row>
    <row r="32" spans="2:18" x14ac:dyDescent="0.25">
      <c r="B32" s="7">
        <v>180</v>
      </c>
      <c r="C32" s="13">
        <v>1</v>
      </c>
      <c r="D32" s="13">
        <v>0.86259541984732802</v>
      </c>
      <c r="E32" s="13">
        <v>0.65445292620865103</v>
      </c>
      <c r="F32" s="13">
        <v>0.38829516539440201</v>
      </c>
      <c r="G32" s="13">
        <v>0.26564885496183199</v>
      </c>
      <c r="H32" s="7"/>
      <c r="I32">
        <f t="shared" si="0"/>
        <v>1241.0563127703051</v>
      </c>
    </row>
    <row r="33" spans="2:9" x14ac:dyDescent="0.25">
      <c r="B33" s="7">
        <v>200</v>
      </c>
      <c r="C33" s="13">
        <v>1</v>
      </c>
      <c r="D33" s="13">
        <v>0.83206106870229002</v>
      </c>
      <c r="E33" s="13">
        <v>0.62595419847328204</v>
      </c>
      <c r="F33" s="13">
        <v>0.35063613231552099</v>
      </c>
      <c r="G33" s="13">
        <v>0.235114503816793</v>
      </c>
      <c r="H33" s="7"/>
      <c r="I33">
        <f t="shared" si="0"/>
        <v>1378.9514586336722</v>
      </c>
    </row>
    <row r="34" spans="2:9" x14ac:dyDescent="0.25">
      <c r="B34" s="7">
        <v>220</v>
      </c>
      <c r="C34" s="13">
        <v>1</v>
      </c>
      <c r="D34" s="13">
        <v>0.79643765903307795</v>
      </c>
      <c r="E34" s="13">
        <v>0.59185750636132295</v>
      </c>
      <c r="F34" s="13">
        <v>0.314503816793893</v>
      </c>
      <c r="G34" s="13">
        <v>0.205089058524172</v>
      </c>
      <c r="H34" s="7"/>
      <c r="I34">
        <f t="shared" si="0"/>
        <v>1516.8466044970394</v>
      </c>
    </row>
    <row r="35" spans="2:9" x14ac:dyDescent="0.25">
      <c r="B35" s="7">
        <v>240</v>
      </c>
      <c r="C35" s="13">
        <v>1</v>
      </c>
      <c r="D35" s="13">
        <v>0.75674300254452898</v>
      </c>
      <c r="E35" s="13">
        <v>0.55572519083969096</v>
      </c>
      <c r="F35" s="13">
        <v>0.27888040712468098</v>
      </c>
      <c r="G35" s="13">
        <v>0.17150127226463099</v>
      </c>
      <c r="H35" s="7"/>
      <c r="I35">
        <f t="shared" si="0"/>
        <v>1654.7417503604067</v>
      </c>
    </row>
    <row r="36" spans="2:9" x14ac:dyDescent="0.25">
      <c r="B36" s="7">
        <v>260</v>
      </c>
      <c r="C36" s="13">
        <v>1</v>
      </c>
      <c r="D36" s="13">
        <v>0.71145038167938901</v>
      </c>
      <c r="E36" s="13">
        <v>0.51348600508905595</v>
      </c>
      <c r="F36" s="13">
        <v>0.24122137404580099</v>
      </c>
      <c r="G36" s="13">
        <v>0.13944020356234099</v>
      </c>
      <c r="H36" s="7"/>
      <c r="I36">
        <f t="shared" si="0"/>
        <v>1792.6368962237739</v>
      </c>
    </row>
  </sheetData>
  <mergeCells count="3">
    <mergeCell ref="Q17:R17"/>
    <mergeCell ref="O14:O15"/>
    <mergeCell ref="R14:R15"/>
  </mergeCells>
  <dataValidations count="3">
    <dataValidation type="list" allowBlank="1" showInputMessage="1" showErrorMessage="1" sqref="R19" xr:uid="{E6B8E94B-A283-4821-96D8-B013D566D0A0}">
      <formula1>$F$6:$F$10</formula1>
    </dataValidation>
    <dataValidation type="list" allowBlank="1" showInputMessage="1" showErrorMessage="1" sqref="Q17" xr:uid="{469CA85D-D3F3-4228-863E-25E845134D06}">
      <formula1>$C$24:$G$24</formula1>
    </dataValidation>
    <dataValidation type="list" allowBlank="1" showInputMessage="1" showErrorMessage="1" sqref="R14:R15" xr:uid="{634CFC69-F462-4E46-A33C-33444A3492BE}">
      <formula1>$B$17:$B$20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8477-EC4D-47F0-A294-D3A1FE1EEBA4}">
  <sheetPr codeName="Foglio2"/>
  <dimension ref="B1:W50"/>
  <sheetViews>
    <sheetView zoomScaleNormal="100" workbookViewId="0"/>
  </sheetViews>
  <sheetFormatPr defaultRowHeight="15" x14ac:dyDescent="0.25"/>
  <cols>
    <col min="1" max="1" width="2.7109375" customWidth="1"/>
    <col min="2" max="2" width="20.7109375" style="51" customWidth="1"/>
    <col min="3" max="3" width="16.5703125" style="51" bestFit="1" customWidth="1"/>
    <col min="4" max="4" width="13.28515625" bestFit="1" customWidth="1"/>
    <col min="5" max="5" width="2.7109375" customWidth="1"/>
    <col min="6" max="6" width="15.7109375" style="38" bestFit="1" customWidth="1"/>
    <col min="7" max="7" width="44.42578125" style="38" bestFit="1" customWidth="1"/>
    <col min="8" max="9" width="2.7109375" customWidth="1"/>
    <col min="10" max="16" width="14.28515625" customWidth="1"/>
    <col min="17" max="17" width="2.7109375" customWidth="1"/>
    <col min="18" max="18" width="35.7109375" style="32" customWidth="1"/>
    <col min="19" max="20" width="13.7109375" bestFit="1" customWidth="1"/>
    <col min="21" max="21" width="2.7109375" customWidth="1"/>
    <col min="22" max="22" width="15.7109375" customWidth="1"/>
  </cols>
  <sheetData>
    <row r="1" spans="2:23" x14ac:dyDescent="0.25">
      <c r="B1"/>
      <c r="C1"/>
      <c r="F1"/>
      <c r="G1"/>
      <c r="R1"/>
    </row>
    <row r="2" spans="2:23" ht="23.25" x14ac:dyDescent="0.35">
      <c r="B2" s="4" t="s">
        <v>47</v>
      </c>
      <c r="C2"/>
      <c r="F2"/>
      <c r="G2"/>
      <c r="R2"/>
    </row>
    <row r="3" spans="2:23" x14ac:dyDescent="0.25">
      <c r="B3"/>
      <c r="C3"/>
      <c r="F3"/>
      <c r="G3"/>
      <c r="J3" s="107" t="s">
        <v>48</v>
      </c>
      <c r="K3" s="107"/>
      <c r="L3" s="107"/>
      <c r="M3" s="107"/>
      <c r="N3" s="107"/>
      <c r="O3" s="107"/>
      <c r="P3" s="107"/>
      <c r="R3"/>
    </row>
    <row r="4" spans="2:23" ht="15" customHeight="1" x14ac:dyDescent="0.35">
      <c r="B4"/>
      <c r="C4" s="7" t="s">
        <v>49</v>
      </c>
      <c r="D4" s="7" t="s">
        <v>50</v>
      </c>
      <c r="F4" t="s">
        <v>49</v>
      </c>
      <c r="G4"/>
      <c r="J4" s="7" t="s">
        <v>51</v>
      </c>
      <c r="K4" s="7" t="s">
        <v>52</v>
      </c>
      <c r="L4" s="7" t="s">
        <v>53</v>
      </c>
      <c r="M4" s="7" t="s">
        <v>54</v>
      </c>
      <c r="N4" s="7" t="s">
        <v>55</v>
      </c>
      <c r="O4" s="7" t="s">
        <v>56</v>
      </c>
      <c r="P4" s="7" t="s">
        <v>57</v>
      </c>
      <c r="R4" s="7" t="s">
        <v>58</v>
      </c>
      <c r="S4" s="30" t="s">
        <v>59</v>
      </c>
      <c r="T4" s="30" t="s">
        <v>60</v>
      </c>
      <c r="V4" s="54" t="s">
        <v>127</v>
      </c>
    </row>
    <row r="5" spans="2:23" x14ac:dyDescent="0.25">
      <c r="B5" s="31" t="s">
        <v>61</v>
      </c>
      <c r="C5" t="b">
        <f>(C42=B5)</f>
        <v>1</v>
      </c>
      <c r="D5" t="b">
        <f>(C43=B5)</f>
        <v>1</v>
      </c>
      <c r="F5" t="s">
        <v>62</v>
      </c>
      <c r="G5"/>
      <c r="J5" s="32">
        <v>0</v>
      </c>
      <c r="K5" s="33"/>
      <c r="L5" s="7"/>
      <c r="M5" s="34"/>
      <c r="N5" s="33"/>
      <c r="O5" s="35">
        <f>L5*M5</f>
        <v>0</v>
      </c>
      <c r="P5" s="35">
        <f>L5*N5</f>
        <v>0</v>
      </c>
      <c r="R5" s="7" t="s">
        <v>63</v>
      </c>
      <c r="S5" s="36">
        <f>-S7</f>
        <v>-377</v>
      </c>
      <c r="T5" s="36">
        <v>0</v>
      </c>
      <c r="V5" s="55" t="s">
        <v>15</v>
      </c>
      <c r="W5" s="7"/>
    </row>
    <row r="6" spans="2:23" x14ac:dyDescent="0.25">
      <c r="B6" s="31" t="s">
        <v>64</v>
      </c>
      <c r="C6" s="7" cm="1">
        <f t="array" ref="C6">sigmatau(material!R14,C5)</f>
        <v>9.9999999999999995E-7</v>
      </c>
      <c r="D6" s="7" cm="1">
        <f t="array" ref="D6">sigmatau(material!R14,D5)</f>
        <v>9.9999999999999995E-7</v>
      </c>
      <c r="F6" t="s">
        <v>65</v>
      </c>
      <c r="G6"/>
      <c r="R6" s="7" t="s">
        <v>66</v>
      </c>
      <c r="S6" s="36">
        <v>0</v>
      </c>
      <c r="T6" s="36">
        <f>S7</f>
        <v>377</v>
      </c>
      <c r="V6" s="56" t="s">
        <v>18</v>
      </c>
    </row>
    <row r="7" spans="2:23" x14ac:dyDescent="0.25">
      <c r="B7"/>
      <c r="C7"/>
      <c r="F7" t="s">
        <v>67</v>
      </c>
      <c r="G7"/>
      <c r="R7" s="7" t="s">
        <v>68</v>
      </c>
      <c r="S7" s="36">
        <f>IF(material!R14="torsion",0.58*material!P5,material!P5)</f>
        <v>377</v>
      </c>
      <c r="T7" s="36">
        <v>0</v>
      </c>
      <c r="V7" s="57" t="s">
        <v>128</v>
      </c>
    </row>
    <row r="8" spans="2:23" x14ac:dyDescent="0.25">
      <c r="B8"/>
      <c r="C8"/>
      <c r="F8" t="s">
        <v>69</v>
      </c>
      <c r="G8"/>
      <c r="R8" s="7" t="s">
        <v>70</v>
      </c>
      <c r="S8" s="36">
        <f>S5</f>
        <v>-377</v>
      </c>
      <c r="T8" s="36">
        <f ca="1">T9</f>
        <v>90.456902506150414</v>
      </c>
      <c r="V8" s="58" t="s">
        <v>129</v>
      </c>
    </row>
    <row r="9" spans="2:23" x14ac:dyDescent="0.25">
      <c r="B9"/>
      <c r="C9"/>
      <c r="F9" t="s">
        <v>71</v>
      </c>
      <c r="G9"/>
      <c r="R9" s="7" t="s">
        <v>72</v>
      </c>
      <c r="S9" s="36">
        <v>0</v>
      </c>
      <c r="T9" s="36">
        <f ca="1">material!P11</f>
        <v>90.456902506150414</v>
      </c>
    </row>
    <row r="10" spans="2:23" x14ac:dyDescent="0.25">
      <c r="B10"/>
      <c r="C10"/>
      <c r="F10" t="s">
        <v>73</v>
      </c>
      <c r="G10"/>
      <c r="R10" s="7" t="s">
        <v>74</v>
      </c>
      <c r="S10" s="36">
        <f>IF(material!R14="torsion",0.8*material!P6,material!P6)</f>
        <v>640</v>
      </c>
      <c r="T10" s="36">
        <v>0</v>
      </c>
    </row>
    <row r="11" spans="2:23" x14ac:dyDescent="0.25">
      <c r="B11"/>
      <c r="C11"/>
      <c r="F11" t="s">
        <v>75</v>
      </c>
      <c r="G11"/>
      <c r="R11"/>
    </row>
    <row r="12" spans="2:23" x14ac:dyDescent="0.25">
      <c r="B12"/>
      <c r="C12"/>
      <c r="F12" t="s">
        <v>76</v>
      </c>
      <c r="G12"/>
      <c r="R12" s="7" t="s">
        <v>77</v>
      </c>
    </row>
    <row r="13" spans="2:23" x14ac:dyDescent="0.25">
      <c r="B13"/>
      <c r="C13"/>
      <c r="F13" t="s">
        <v>78</v>
      </c>
      <c r="G13"/>
      <c r="R13" s="32" t="s">
        <v>120</v>
      </c>
    </row>
    <row r="14" spans="2:23" x14ac:dyDescent="0.25">
      <c r="B14"/>
      <c r="C14"/>
      <c r="F14" t="s">
        <v>79</v>
      </c>
      <c r="G14"/>
    </row>
    <row r="15" spans="2:23" x14ac:dyDescent="0.25">
      <c r="B15"/>
      <c r="C15"/>
      <c r="F15" t="s">
        <v>80</v>
      </c>
      <c r="G15"/>
    </row>
    <row r="16" spans="2:23" x14ac:dyDescent="0.25">
      <c r="B16"/>
      <c r="C16"/>
      <c r="F16" t="s">
        <v>81</v>
      </c>
      <c r="G16"/>
    </row>
    <row r="17" spans="3:19" customFormat="1" x14ac:dyDescent="0.25">
      <c r="F17" t="s">
        <v>82</v>
      </c>
      <c r="R17" s="32"/>
    </row>
    <row r="18" spans="3:19" customFormat="1" x14ac:dyDescent="0.25">
      <c r="R18" s="32"/>
    </row>
    <row r="19" spans="3:19" customFormat="1" x14ac:dyDescent="0.25">
      <c r="R19" s="32"/>
    </row>
    <row r="20" spans="3:19" customFormat="1" x14ac:dyDescent="0.25">
      <c r="R20" s="32"/>
    </row>
    <row r="21" spans="3:19" customFormat="1" x14ac:dyDescent="0.25">
      <c r="R21" s="32"/>
    </row>
    <row r="22" spans="3:19" customFormat="1" x14ac:dyDescent="0.25">
      <c r="R22" s="32"/>
    </row>
    <row r="23" spans="3:19" customFormat="1" x14ac:dyDescent="0.25">
      <c r="C23" s="37" t="s">
        <v>83</v>
      </c>
      <c r="D23" s="37" t="s">
        <v>84</v>
      </c>
      <c r="F23" s="15" t="s">
        <v>85</v>
      </c>
      <c r="G23" s="115"/>
      <c r="R23" s="32"/>
    </row>
    <row r="24" spans="3:19" customFormat="1" ht="15" customHeight="1" x14ac:dyDescent="0.25">
      <c r="C24" s="110" t="str" cm="1">
        <f t="array" aca="1" ref="C24" ca="1">readyS()</f>
        <v>ok</v>
      </c>
      <c r="D24" s="109">
        <v>0</v>
      </c>
      <c r="R24" s="32"/>
      <c r="S24" s="7"/>
    </row>
    <row r="25" spans="3:19" customFormat="1" x14ac:dyDescent="0.25">
      <c r="C25" s="111"/>
      <c r="D25" s="109"/>
      <c r="F25" s="7" t="s">
        <v>86</v>
      </c>
      <c r="G25" t="s">
        <v>87</v>
      </c>
      <c r="R25" s="32"/>
    </row>
    <row r="26" spans="3:19" customFormat="1" x14ac:dyDescent="0.25">
      <c r="C26" s="110" t="str">
        <f ca="1">IF((C24="ok")*(G23&lt;&gt;""),"ok","not ok")</f>
        <v>not ok</v>
      </c>
      <c r="D26" s="109">
        <v>0</v>
      </c>
      <c r="F26" s="69" t="s">
        <v>49</v>
      </c>
      <c r="G26" s="69" t="s">
        <v>121</v>
      </c>
      <c r="R26" s="32"/>
    </row>
    <row r="27" spans="3:19" customFormat="1" x14ac:dyDescent="0.25">
      <c r="C27" s="111"/>
      <c r="D27" s="109"/>
      <c r="F27" s="70" t="s">
        <v>82</v>
      </c>
      <c r="G27" s="70" t="s">
        <v>123</v>
      </c>
      <c r="R27" s="32"/>
    </row>
    <row r="28" spans="3:19" customFormat="1" x14ac:dyDescent="0.25">
      <c r="C28" s="110" t="str">
        <f>IF(dim_ele&gt;0,"ok","not ok")</f>
        <v>not ok</v>
      </c>
      <c r="D28" s="109">
        <v>0</v>
      </c>
      <c r="F28" s="69" t="s">
        <v>62</v>
      </c>
      <c r="G28" s="69" t="s">
        <v>124</v>
      </c>
      <c r="R28" s="32"/>
    </row>
    <row r="29" spans="3:19" customFormat="1" x14ac:dyDescent="0.25">
      <c r="C29" s="111"/>
      <c r="D29" s="109"/>
      <c r="F29" s="70" t="s">
        <v>65</v>
      </c>
      <c r="G29" s="70" t="s">
        <v>124</v>
      </c>
      <c r="R29" s="32"/>
    </row>
    <row r="30" spans="3:19" customFormat="1" x14ac:dyDescent="0.25">
      <c r="C30" s="110" t="str" cm="1">
        <f t="array" aca="1" ref="C30" ca="1">readyN()</f>
        <v>ok</v>
      </c>
      <c r="D30" s="109">
        <v>0</v>
      </c>
      <c r="F30" s="69" t="s">
        <v>67</v>
      </c>
      <c r="G30" s="69" t="s">
        <v>124</v>
      </c>
      <c r="R30" s="32"/>
    </row>
    <row r="31" spans="3:19" customFormat="1" x14ac:dyDescent="0.25">
      <c r="C31" s="111"/>
      <c r="D31" s="109"/>
      <c r="F31" s="70" t="s">
        <v>69</v>
      </c>
      <c r="G31" s="70" t="s">
        <v>124</v>
      </c>
      <c r="R31" s="32"/>
    </row>
    <row r="32" spans="3:19" customFormat="1" x14ac:dyDescent="0.25">
      <c r="C32" s="110" t="str">
        <f>IF(dim_har&gt;0,"ok","not ok")</f>
        <v>not ok</v>
      </c>
      <c r="D32" s="108">
        <v>0</v>
      </c>
      <c r="F32" s="69" t="s">
        <v>71</v>
      </c>
      <c r="G32" s="69" t="s">
        <v>124</v>
      </c>
      <c r="H32" s="7"/>
      <c r="R32" s="32"/>
    </row>
    <row r="33" spans="2:8" x14ac:dyDescent="0.25">
      <c r="B33"/>
      <c r="C33" s="111"/>
      <c r="D33" s="108"/>
      <c r="F33" s="70" t="s">
        <v>73</v>
      </c>
      <c r="G33" s="70" t="s">
        <v>124</v>
      </c>
      <c r="H33" s="7"/>
    </row>
    <row r="34" spans="2:8" x14ac:dyDescent="0.25">
      <c r="B34"/>
      <c r="C34" s="110" t="str">
        <f>IF(dim_freq&gt;0,"ok","not ok")</f>
        <v>not ok</v>
      </c>
      <c r="D34" s="108">
        <v>0</v>
      </c>
      <c r="F34" s="69" t="s">
        <v>75</v>
      </c>
      <c r="G34" s="69" t="s">
        <v>124</v>
      </c>
    </row>
    <row r="35" spans="2:8" x14ac:dyDescent="0.25">
      <c r="B35"/>
      <c r="C35" s="111"/>
      <c r="D35" s="108"/>
      <c r="F35" s="70" t="s">
        <v>76</v>
      </c>
      <c r="G35" s="70" t="s">
        <v>124</v>
      </c>
    </row>
    <row r="36" spans="2:8" x14ac:dyDescent="0.25">
      <c r="B36"/>
      <c r="C36" s="110" t="str">
        <f>IF(dim_freq2&gt;0,"ok","not ok")</f>
        <v>not ok</v>
      </c>
      <c r="D36" s="108">
        <v>0</v>
      </c>
      <c r="F36" s="69" t="s">
        <v>78</v>
      </c>
      <c r="G36" s="69" t="s">
        <v>124</v>
      </c>
    </row>
    <row r="37" spans="2:8" x14ac:dyDescent="0.25">
      <c r="B37"/>
      <c r="C37" s="111"/>
      <c r="D37" s="108"/>
      <c r="F37" s="70" t="s">
        <v>79</v>
      </c>
      <c r="G37" s="70" t="s">
        <v>125</v>
      </c>
    </row>
    <row r="38" spans="2:8" x14ac:dyDescent="0.25">
      <c r="B38"/>
      <c r="C38" s="110" t="str">
        <f>IF(dim_VFD&gt;0,"ok","not ok")</f>
        <v>not ok</v>
      </c>
      <c r="D38" s="108">
        <v>0</v>
      </c>
      <c r="F38" s="69" t="s">
        <v>80</v>
      </c>
      <c r="G38" s="69" t="s">
        <v>122</v>
      </c>
    </row>
    <row r="39" spans="2:8" x14ac:dyDescent="0.25">
      <c r="B39"/>
      <c r="C39" s="111"/>
      <c r="D39" s="108"/>
      <c r="F39" s="70" t="s">
        <v>81</v>
      </c>
      <c r="G39" s="70" t="s">
        <v>126</v>
      </c>
    </row>
    <row r="40" spans="2:8" x14ac:dyDescent="0.25">
      <c r="B40"/>
      <c r="C40"/>
      <c r="F40" s="69"/>
      <c r="G40" s="69"/>
    </row>
    <row r="41" spans="2:8" x14ac:dyDescent="0.25">
      <c r="B41" s="18" t="s">
        <v>88</v>
      </c>
      <c r="C41" s="60">
        <v>50</v>
      </c>
      <c r="F41" s="70"/>
      <c r="G41" s="70"/>
    </row>
    <row r="42" spans="2:8" x14ac:dyDescent="0.25">
      <c r="B42" s="64" t="s">
        <v>89</v>
      </c>
      <c r="C42" s="66" t="s">
        <v>61</v>
      </c>
      <c r="F42" s="69"/>
      <c r="G42" s="69"/>
    </row>
    <row r="43" spans="2:8" x14ac:dyDescent="0.25">
      <c r="B43" s="64" t="s">
        <v>90</v>
      </c>
      <c r="C43" s="66" t="s">
        <v>61</v>
      </c>
      <c r="F43" s="70"/>
      <c r="G43" s="70"/>
    </row>
    <row r="44" spans="2:8" x14ac:dyDescent="0.25">
      <c r="B44" s="64" t="s">
        <v>91</v>
      </c>
      <c r="C44" s="41">
        <f>dim_ele</f>
        <v>0</v>
      </c>
      <c r="F44" s="69"/>
      <c r="G44" s="69"/>
    </row>
    <row r="45" spans="2:8" x14ac:dyDescent="0.25">
      <c r="B45" s="64" t="s">
        <v>92</v>
      </c>
      <c r="C45" s="41">
        <f>IF(C44=0,0,C44+1)</f>
        <v>0</v>
      </c>
      <c r="F45" s="70"/>
      <c r="G45" s="70"/>
    </row>
    <row r="46" spans="2:8" x14ac:dyDescent="0.25">
      <c r="B46" s="64" t="s">
        <v>93</v>
      </c>
      <c r="C46" s="67">
        <v>0.01</v>
      </c>
    </row>
    <row r="47" spans="2:8" x14ac:dyDescent="0.25">
      <c r="B47" s="65" t="s">
        <v>94</v>
      </c>
      <c r="C47" s="68">
        <v>0.1</v>
      </c>
    </row>
    <row r="48" spans="2:8" x14ac:dyDescent="0.25">
      <c r="B48"/>
      <c r="C48"/>
    </row>
    <row r="49" spans="2:3" x14ac:dyDescent="0.25">
      <c r="B49" s="7" t="s">
        <v>95</v>
      </c>
      <c r="C49" s="7" t="s">
        <v>96</v>
      </c>
    </row>
    <row r="50" spans="2:3" x14ac:dyDescent="0.25">
      <c r="B50" s="32">
        <v>0</v>
      </c>
      <c r="C50" s="36"/>
    </row>
  </sheetData>
  <mergeCells count="17">
    <mergeCell ref="C34:C35"/>
    <mergeCell ref="C36:C37"/>
    <mergeCell ref="C38:C39"/>
    <mergeCell ref="C24:C25"/>
    <mergeCell ref="C26:C27"/>
    <mergeCell ref="C28:C29"/>
    <mergeCell ref="C30:C31"/>
    <mergeCell ref="C32:C33"/>
    <mergeCell ref="J3:P3"/>
    <mergeCell ref="D38:D39"/>
    <mergeCell ref="D24:D25"/>
    <mergeCell ref="D36:D37"/>
    <mergeCell ref="D34:D35"/>
    <mergeCell ref="D26:D27"/>
    <mergeCell ref="D28:D29"/>
    <mergeCell ref="D30:D31"/>
    <mergeCell ref="D32:D33"/>
  </mergeCells>
  <phoneticPr fontId="13" type="noConversion"/>
  <dataValidations count="3">
    <dataValidation type="list" allowBlank="1" showInputMessage="1" showErrorMessage="1" sqref="C42:C43" xr:uid="{F6694BC5-213A-4BA4-8909-E08D988CA90C}">
      <formula1>$B$5:$B$6</formula1>
    </dataValidation>
    <dataValidation type="list" allowBlank="1" showInputMessage="1" showErrorMessage="1" sqref="F26:F45" xr:uid="{0D8808E0-5593-4C2A-ADF9-794A4D4A963F}">
      <formula1>$F$4:$F$17</formula1>
    </dataValidation>
    <dataValidation type="list" allowBlank="1" showInputMessage="1" showErrorMessage="1" sqref="G23" xr:uid="{2A402094-861F-4A20-A9FE-255C43A8DAC6}">
      <formula1>INDIRECT("shaftname[shaft name list]")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haft_name">
                <anchor moveWithCells="1" siz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dimen">
                <anchor moveWithCells="1" siz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static_resultSAN">
                <anchor moveWithCells="1" siz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read_nat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Button 2">
              <controlPr defaultSize="0" print="0" autoFill="0" autoPict="0" macro="[0]!dynamic_resultHAR">
                <anchor moveWithCells="1" siz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Button 4">
              <controlPr defaultSize="0" print="0" autoFill="0" autoPict="0" macro="[0]!line_freq">
                <anchor moveWithCells="1" siz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1" name="Button 5">
              <controlPr defaultSize="0" print="0" autoFill="0" autoPict="0" macro="[0]!line_freqx2">
                <anchor moveWithCells="1" siz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2" name="Button 6">
              <controlPr defaultSize="0" print="0" autoFill="0" autoPict="0" macro="[0]!freq_results.VFD">
                <anchor moveWithCells="1" siz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5">
    <tablePart r:id="rId13"/>
    <tablePart r:id="rId14"/>
    <tablePart r:id="rId15"/>
    <tablePart r:id="rId16"/>
    <tablePart r:id="rId1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00000000-000E-0000-0100-000005000000}">
            <x14:iconSet iconSet="3Symbols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Icon iconSet="3Symbols" iconId="0"/>
              <x14:cfIcon iconSet="3Symbols" iconId="2"/>
              <x14:cfIcon iconSet="3Symbols" iconId="1"/>
            </x14:iconSet>
          </x14:cfRule>
          <xm:sqref>D32:D39</xm:sqref>
        </x14:conditionalFormatting>
        <x14:conditionalFormatting xmlns:xm="http://schemas.microsoft.com/office/excel/2006/main">
          <x14:cfRule type="iconSet" priority="1" id="{74FC61AF-9EC8-4F74-B3ED-4C7E9E15CEE7}">
            <x14:iconSet iconSet="3Symbol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Icon iconSet="3Symbols" iconId="0"/>
              <x14:cfIcon iconSet="3Symbols" iconId="2"/>
              <x14:cfIcon iconSet="3Symbols" iconId="1"/>
            </x14:iconSet>
          </x14:cfRule>
          <xm:sqref>D24:D31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7650C-539B-4451-B082-626B6F87F81D}">
  <sheetPr codeName="Foglio3"/>
  <dimension ref="B1:R34"/>
  <sheetViews>
    <sheetView zoomScaleNormal="100" workbookViewId="0"/>
  </sheetViews>
  <sheetFormatPr defaultColWidth="9.28515625" defaultRowHeight="15" x14ac:dyDescent="0.25"/>
  <cols>
    <col min="1" max="1" width="2.7109375" style="7" customWidth="1"/>
    <col min="2" max="2" width="17.7109375" style="7" customWidth="1"/>
    <col min="3" max="12" width="9.28515625" style="7" customWidth="1"/>
    <col min="13" max="13" width="2.7109375" style="7" customWidth="1"/>
    <col min="14" max="18" width="13.28515625" style="32" customWidth="1"/>
    <col min="19" max="24" width="13.28515625" style="7" customWidth="1"/>
    <col min="25" max="208" width="9.28515625" style="7" bestFit="1" customWidth="1"/>
    <col min="209" max="209" width="9.7109375" style="7" customWidth="1"/>
    <col min="210" max="210" width="10.28515625" style="7" customWidth="1"/>
    <col min="211" max="211" width="9.7109375" style="7" customWidth="1"/>
    <col min="212" max="212" width="10.28515625" style="7" customWidth="1"/>
    <col min="213" max="213" width="9.7109375" style="7" customWidth="1"/>
    <col min="214" max="214" width="10.28515625" style="7" customWidth="1"/>
    <col min="215" max="215" width="9.7109375" style="7" customWidth="1"/>
    <col min="216" max="216" width="10.28515625" style="7" customWidth="1"/>
    <col min="217" max="219" width="9.28515625" style="7" bestFit="1" customWidth="1"/>
    <col min="220" max="220" width="9.28515625" style="7" customWidth="1"/>
    <col min="221" max="16384" width="9.28515625" style="7"/>
  </cols>
  <sheetData>
    <row r="1" spans="2:18" x14ac:dyDescent="0.25">
      <c r="N1" s="7"/>
      <c r="O1" s="7"/>
      <c r="P1" s="7"/>
      <c r="Q1" s="7"/>
      <c r="R1" s="7"/>
    </row>
    <row r="2" spans="2:18" ht="23.25" x14ac:dyDescent="0.35">
      <c r="B2" s="4" t="s">
        <v>97</v>
      </c>
      <c r="N2" s="7"/>
      <c r="O2" s="7"/>
      <c r="P2" s="7"/>
      <c r="Q2" s="7"/>
      <c r="R2" s="7"/>
    </row>
    <row r="3" spans="2:18" x14ac:dyDescent="0.25">
      <c r="N3" s="7"/>
      <c r="O3"/>
      <c r="P3"/>
      <c r="Q3" s="7"/>
      <c r="R3" s="7"/>
    </row>
    <row r="4" spans="2:18" x14ac:dyDescent="0.25">
      <c r="C4" s="7" t="str">
        <f>"element " &amp;C25&amp;" ("&amp;C26&amp;" side)"</f>
        <v>element 1 (left side)</v>
      </c>
      <c r="N4" s="7" t="s">
        <v>98</v>
      </c>
      <c r="O4" s="7" t="s">
        <v>99</v>
      </c>
      <c r="P4" s="7" t="s">
        <v>100</v>
      </c>
      <c r="Q4" s="7" t="s">
        <v>101</v>
      </c>
      <c r="R4" s="7" t="s">
        <v>102</v>
      </c>
    </row>
    <row r="5" spans="2:18" x14ac:dyDescent="0.25">
      <c r="N5" s="32">
        <v>0</v>
      </c>
    </row>
    <row r="6" spans="2:18" x14ac:dyDescent="0.25">
      <c r="C6" s="7" t="s">
        <v>103</v>
      </c>
    </row>
    <row r="7" spans="2:18" x14ac:dyDescent="0.25">
      <c r="C7" s="7" t="s">
        <v>104</v>
      </c>
    </row>
    <row r="25" spans="2:10" x14ac:dyDescent="0.25">
      <c r="B25" s="39" t="s">
        <v>105</v>
      </c>
      <c r="C25" s="71">
        <v>1</v>
      </c>
      <c r="D25" s="112" t="str">
        <f>"(from 1 to "&amp; dim_ele &amp;")"</f>
        <v>(from 1 to 0)</v>
      </c>
      <c r="E25" s="113"/>
      <c r="F25" s="114"/>
      <c r="I25" s="32"/>
      <c r="J25" s="32"/>
    </row>
    <row r="26" spans="2:10" x14ac:dyDescent="0.25">
      <c r="B26" s="40" t="s">
        <v>106</v>
      </c>
      <c r="C26" s="72" t="s">
        <v>103</v>
      </c>
      <c r="D26" s="43"/>
      <c r="E26" s="44"/>
      <c r="F26" s="45"/>
      <c r="I26" s="32"/>
      <c r="J26" s="32"/>
    </row>
    <row r="27" spans="2:10" x14ac:dyDescent="0.25">
      <c r="B27" s="40" t="s">
        <v>107</v>
      </c>
      <c r="C27" s="72">
        <v>1200</v>
      </c>
      <c r="D27" s="46"/>
      <c r="F27" s="47"/>
      <c r="I27" s="32"/>
      <c r="J27" s="32"/>
    </row>
    <row r="28" spans="2:10" x14ac:dyDescent="0.25">
      <c r="B28" s="42" t="s">
        <v>108</v>
      </c>
      <c r="C28" s="72">
        <v>1800</v>
      </c>
      <c r="D28" s="48"/>
      <c r="E28" s="49"/>
      <c r="F28" s="50"/>
      <c r="I28" s="32"/>
      <c r="J28" s="32"/>
    </row>
    <row r="29" spans="2:10" x14ac:dyDescent="0.25">
      <c r="I29" s="32"/>
      <c r="J29" s="32"/>
    </row>
    <row r="30" spans="2:10" x14ac:dyDescent="0.25">
      <c r="B30" s="54" t="s">
        <v>127</v>
      </c>
    </row>
    <row r="31" spans="2:10" x14ac:dyDescent="0.25">
      <c r="B31" s="55" t="s">
        <v>15</v>
      </c>
    </row>
    <row r="32" spans="2:10" x14ac:dyDescent="0.25">
      <c r="B32" s="56" t="s">
        <v>18</v>
      </c>
    </row>
    <row r="33" spans="2:2" x14ac:dyDescent="0.25">
      <c r="B33" s="57" t="s">
        <v>128</v>
      </c>
    </row>
    <row r="34" spans="2:2" x14ac:dyDescent="0.25">
      <c r="B34" s="58" t="s">
        <v>129</v>
      </c>
    </row>
  </sheetData>
  <mergeCells count="1">
    <mergeCell ref="D25:F25"/>
  </mergeCells>
  <phoneticPr fontId="13" type="noConversion"/>
  <dataValidations count="1">
    <dataValidation type="list" allowBlank="1" showInputMessage="1" showErrorMessage="1" sqref="C26" xr:uid="{B1B60F65-BE3E-4D78-A8CE-62A6A9E9FA11}">
      <formula1>$C$6:$C$7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autoscale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nual">
                <anchor moveWithCells="1" siz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graficoHAR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xr:uid="{C1A19BF8-84CE-46F8-A707-B951A8C9B211}">
          <x14:formula1>
            <xm:f>1</xm:f>
          </x14:formula1>
          <x14:formula2>
            <xm:f>'Haigh (Goodman) diagram'!C44</xm:f>
          </x14:formula2>
          <xm:sqref>C25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5C37C-F434-4177-9908-5901D4033422}">
  <sheetPr codeName="Foglio4"/>
  <dimension ref="B1:P37"/>
  <sheetViews>
    <sheetView zoomScaleNormal="100" workbookViewId="0"/>
  </sheetViews>
  <sheetFormatPr defaultColWidth="9.28515625" defaultRowHeight="15" x14ac:dyDescent="0.25"/>
  <cols>
    <col min="1" max="1" width="2.7109375" style="7" customWidth="1"/>
    <col min="2" max="2" width="17.7109375" style="7" customWidth="1"/>
    <col min="3" max="12" width="9.28515625" style="7" customWidth="1"/>
    <col min="13" max="13" width="2.7109375" style="7" customWidth="1"/>
    <col min="14" max="16" width="15.7109375" style="32" customWidth="1"/>
    <col min="17" max="205" width="9.28515625" style="7" bestFit="1" customWidth="1"/>
    <col min="206" max="206" width="9.7109375" style="7" customWidth="1"/>
    <col min="207" max="207" width="10.28515625" style="7" customWidth="1"/>
    <col min="208" max="208" width="9.7109375" style="7" customWidth="1"/>
    <col min="209" max="209" width="10.28515625" style="7" customWidth="1"/>
    <col min="210" max="210" width="9.7109375" style="7" customWidth="1"/>
    <col min="211" max="211" width="10.28515625" style="7" customWidth="1"/>
    <col min="212" max="212" width="9.7109375" style="7" customWidth="1"/>
    <col min="213" max="213" width="10.28515625" style="7" customWidth="1"/>
    <col min="214" max="216" width="9.28515625" style="7" bestFit="1" customWidth="1"/>
    <col min="217" max="217" width="9.28515625" style="7" customWidth="1"/>
    <col min="218" max="16384" width="9.28515625" style="7"/>
  </cols>
  <sheetData>
    <row r="1" spans="2:16" x14ac:dyDescent="0.25">
      <c r="N1" s="7"/>
      <c r="O1" s="7"/>
      <c r="P1" s="7"/>
    </row>
    <row r="2" spans="2:16" ht="23.25" x14ac:dyDescent="0.35">
      <c r="B2" s="4" t="s">
        <v>109</v>
      </c>
      <c r="N2" s="7"/>
      <c r="O2" s="7"/>
      <c r="P2" s="7"/>
    </row>
    <row r="3" spans="2:16" x14ac:dyDescent="0.25">
      <c r="N3" s="7"/>
      <c r="O3"/>
      <c r="P3" s="7"/>
    </row>
    <row r="4" spans="2:16" ht="18" x14ac:dyDescent="0.35">
      <c r="C4" s="7" t="str">
        <f>"element " &amp;C26</f>
        <v>element 1</v>
      </c>
      <c r="N4" s="7" t="s">
        <v>110</v>
      </c>
      <c r="O4" s="7" t="s">
        <v>111</v>
      </c>
      <c r="P4" s="7" t="s">
        <v>112</v>
      </c>
    </row>
    <row r="5" spans="2:16" x14ac:dyDescent="0.25">
      <c r="N5" s="32">
        <v>0</v>
      </c>
      <c r="P5" s="52"/>
    </row>
    <row r="6" spans="2:16" x14ac:dyDescent="0.25">
      <c r="C6" s="7" t="s">
        <v>103</v>
      </c>
    </row>
    <row r="7" spans="2:16" x14ac:dyDescent="0.25">
      <c r="C7" s="7" t="s">
        <v>104</v>
      </c>
    </row>
    <row r="26" spans="2:6" x14ac:dyDescent="0.25">
      <c r="B26" s="39" t="s">
        <v>105</v>
      </c>
      <c r="C26" s="71">
        <v>1</v>
      </c>
      <c r="D26" s="112" t="str">
        <f>"(from 1 to "&amp; dim_ele &amp;")"</f>
        <v>(from 1 to 0)</v>
      </c>
      <c r="E26" s="113"/>
      <c r="F26" s="114"/>
    </row>
    <row r="27" spans="2:6" x14ac:dyDescent="0.25">
      <c r="B27" s="40" t="s">
        <v>113</v>
      </c>
      <c r="C27" s="72">
        <v>0</v>
      </c>
      <c r="D27" s="46"/>
      <c r="F27" s="47"/>
    </row>
    <row r="28" spans="2:6" x14ac:dyDescent="0.25">
      <c r="B28" s="42" t="s">
        <v>114</v>
      </c>
      <c r="C28" s="72">
        <v>1000</v>
      </c>
      <c r="D28" s="48"/>
      <c r="E28" s="49"/>
      <c r="F28" s="50"/>
    </row>
    <row r="30" spans="2:6" x14ac:dyDescent="0.25">
      <c r="B30" s="39" t="s">
        <v>115</v>
      </c>
      <c r="C30" s="11">
        <v>0</v>
      </c>
    </row>
    <row r="31" spans="2:6" x14ac:dyDescent="0.25">
      <c r="B31" s="42" t="s">
        <v>116</v>
      </c>
      <c r="C31" s="11">
        <v>0</v>
      </c>
    </row>
    <row r="33" spans="2:2" x14ac:dyDescent="0.25">
      <c r="B33" s="54" t="s">
        <v>127</v>
      </c>
    </row>
    <row r="34" spans="2:2" x14ac:dyDescent="0.25">
      <c r="B34" s="55" t="s">
        <v>15</v>
      </c>
    </row>
    <row r="35" spans="2:2" x14ac:dyDescent="0.25">
      <c r="B35" s="56" t="s">
        <v>18</v>
      </c>
    </row>
    <row r="36" spans="2:2" x14ac:dyDescent="0.25">
      <c r="B36" s="57" t="s">
        <v>128</v>
      </c>
    </row>
    <row r="37" spans="2:2" x14ac:dyDescent="0.25">
      <c r="B37" s="58" t="s">
        <v>129</v>
      </c>
    </row>
  </sheetData>
  <mergeCells count="1">
    <mergeCell ref="D26:F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utoscale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nual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graph_VFD">
                <anchor moveWithCells="1" siz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whole" allowBlank="1" showInputMessage="1" showErrorMessage="1" xr:uid="{C4A5C741-4B1B-464F-894A-FBE27431F029}">
          <x14:formula1>
            <xm:f>1</xm:f>
          </x14:formula1>
          <x14:formula2>
            <xm:f>'Haigh (Goodman) diagram'!#REF!</xm:f>
          </x14:formula2>
          <xm:sqref>C30</xm:sqref>
        </x14:dataValidation>
        <x14:dataValidation type="whole" allowBlank="1" showInputMessage="1" showErrorMessage="1" xr:uid="{CD038BEA-14F3-41AE-824E-407080A0C5C4}">
          <x14:formula1>
            <xm:f>1</xm:f>
          </x14:formula1>
          <x14:formula2>
            <xm:f>'Haigh (Goodman) diagram'!C44</xm:f>
          </x14:formula2>
          <xm:sqref>C26 C31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FAFB-6DA7-4FE9-B3A0-927ADBE06E76}">
  <sheetPr codeName="Foglio5"/>
  <dimension ref="B1:P34"/>
  <sheetViews>
    <sheetView zoomScaleNormal="100" workbookViewId="0"/>
  </sheetViews>
  <sheetFormatPr defaultColWidth="9.28515625" defaultRowHeight="15" x14ac:dyDescent="0.25"/>
  <cols>
    <col min="1" max="1" width="2.7109375" style="7" customWidth="1"/>
    <col min="2" max="2" width="17.7109375" style="7" customWidth="1"/>
    <col min="3" max="12" width="9.28515625" style="7" customWidth="1"/>
    <col min="13" max="13" width="2.7109375" style="7" customWidth="1"/>
    <col min="14" max="16" width="15.7109375" style="32" customWidth="1"/>
    <col min="17" max="205" width="9.28515625" style="7" bestFit="1" customWidth="1"/>
    <col min="206" max="206" width="9.7109375" style="7" customWidth="1"/>
    <col min="207" max="207" width="10.28515625" style="7" customWidth="1"/>
    <col min="208" max="208" width="9.7109375" style="7" customWidth="1"/>
    <col min="209" max="209" width="10.28515625" style="7" customWidth="1"/>
    <col min="210" max="210" width="9.7109375" style="7" customWidth="1"/>
    <col min="211" max="211" width="10.28515625" style="7" customWidth="1"/>
    <col min="212" max="212" width="9.7109375" style="7" customWidth="1"/>
    <col min="213" max="213" width="10.28515625" style="7" customWidth="1"/>
    <col min="214" max="216" width="9.28515625" style="7" bestFit="1" customWidth="1"/>
    <col min="217" max="217" width="9.28515625" style="7" customWidth="1"/>
    <col min="218" max="16384" width="9.28515625" style="7"/>
  </cols>
  <sheetData>
    <row r="1" spans="2:16" x14ac:dyDescent="0.25">
      <c r="N1" s="7"/>
      <c r="O1" s="7"/>
      <c r="P1" s="7"/>
    </row>
    <row r="2" spans="2:16" ht="23.25" x14ac:dyDescent="0.35">
      <c r="B2" s="4" t="s">
        <v>117</v>
      </c>
      <c r="N2" s="7"/>
      <c r="O2" s="7"/>
      <c r="P2" s="7"/>
    </row>
    <row r="3" spans="2:16" x14ac:dyDescent="0.25">
      <c r="N3" s="7"/>
      <c r="O3"/>
      <c r="P3" s="7"/>
    </row>
    <row r="4" spans="2:16" ht="18" x14ac:dyDescent="0.35">
      <c r="C4" s="7" t="str">
        <f>"element " &amp;C26</f>
        <v>element 1</v>
      </c>
      <c r="N4" s="7" t="s">
        <v>110</v>
      </c>
      <c r="O4" s="7" t="s">
        <v>111</v>
      </c>
      <c r="P4" s="7" t="s">
        <v>112</v>
      </c>
    </row>
    <row r="5" spans="2:16" x14ac:dyDescent="0.25">
      <c r="N5" s="32">
        <v>0</v>
      </c>
      <c r="P5" s="52"/>
    </row>
    <row r="6" spans="2:16" x14ac:dyDescent="0.25">
      <c r="C6" s="7" t="s">
        <v>103</v>
      </c>
    </row>
    <row r="7" spans="2:16" x14ac:dyDescent="0.25">
      <c r="C7" s="7" t="s">
        <v>104</v>
      </c>
    </row>
    <row r="26" spans="2:6" x14ac:dyDescent="0.25">
      <c r="B26" s="39" t="s">
        <v>105</v>
      </c>
      <c r="C26" s="71">
        <v>1</v>
      </c>
      <c r="D26" s="112" t="str">
        <f>"(from 1 to "&amp; dim_ele &amp;")"</f>
        <v>(from 1 to 0)</v>
      </c>
      <c r="E26" s="113"/>
      <c r="F26" s="114"/>
    </row>
    <row r="27" spans="2:6" x14ac:dyDescent="0.25">
      <c r="B27" s="40" t="s">
        <v>113</v>
      </c>
      <c r="C27" s="72">
        <v>0</v>
      </c>
      <c r="D27" s="46"/>
      <c r="F27" s="47"/>
    </row>
    <row r="28" spans="2:6" x14ac:dyDescent="0.25">
      <c r="B28" s="42" t="s">
        <v>114</v>
      </c>
      <c r="C28" s="72">
        <v>150</v>
      </c>
      <c r="D28" s="48"/>
      <c r="E28" s="49"/>
      <c r="F28" s="50"/>
    </row>
    <row r="30" spans="2:6" x14ac:dyDescent="0.25">
      <c r="B30" s="54" t="s">
        <v>127</v>
      </c>
    </row>
    <row r="31" spans="2:6" x14ac:dyDescent="0.25">
      <c r="B31" s="55" t="s">
        <v>15</v>
      </c>
    </row>
    <row r="32" spans="2:6" x14ac:dyDescent="0.25">
      <c r="B32" s="56" t="s">
        <v>18</v>
      </c>
    </row>
    <row r="33" spans="2:2" x14ac:dyDescent="0.25">
      <c r="B33" s="57" t="s">
        <v>128</v>
      </c>
    </row>
    <row r="34" spans="2:2" x14ac:dyDescent="0.25">
      <c r="B34" s="58" t="s">
        <v>129</v>
      </c>
    </row>
  </sheetData>
  <mergeCells count="1">
    <mergeCell ref="D26:F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utoscale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nual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raph_line_freq">
                <anchor moveWithCells="1" siz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xr:uid="{0BD290B1-1C61-4A64-89F5-F8D59F6F8CE1}">
          <x14:formula1>
            <xm:f>1</xm:f>
          </x14:formula1>
          <x14:formula2>
            <xm:f>'Haigh (Goodman) diagram'!C44</xm:f>
          </x14:formula2>
          <xm:sqref>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D4539-E814-4AF0-AB48-F4FDEF948492}">
  <sheetPr codeName="Foglio6"/>
  <dimension ref="B1:P34"/>
  <sheetViews>
    <sheetView zoomScaleNormal="100" workbookViewId="0"/>
  </sheetViews>
  <sheetFormatPr defaultColWidth="9.28515625" defaultRowHeight="15" x14ac:dyDescent="0.25"/>
  <cols>
    <col min="1" max="1" width="2.7109375" style="7" customWidth="1"/>
    <col min="2" max="2" width="17.7109375" style="7" customWidth="1"/>
    <col min="3" max="12" width="9.28515625" style="7" customWidth="1"/>
    <col min="13" max="13" width="2.7109375" style="7" customWidth="1"/>
    <col min="14" max="16" width="15.7109375" style="32" customWidth="1"/>
    <col min="17" max="205" width="9.28515625" style="7" bestFit="1" customWidth="1"/>
    <col min="206" max="206" width="9.7109375" style="7" customWidth="1"/>
    <col min="207" max="207" width="10.28515625" style="7" customWidth="1"/>
    <col min="208" max="208" width="9.7109375" style="7" customWidth="1"/>
    <col min="209" max="209" width="10.28515625" style="7" customWidth="1"/>
    <col min="210" max="210" width="9.7109375" style="7" customWidth="1"/>
    <col min="211" max="211" width="10.28515625" style="7" customWidth="1"/>
    <col min="212" max="212" width="9.7109375" style="7" customWidth="1"/>
    <col min="213" max="213" width="10.28515625" style="7" customWidth="1"/>
    <col min="214" max="216" width="9.28515625" style="7" bestFit="1" customWidth="1"/>
    <col min="217" max="217" width="9.28515625" style="7" customWidth="1"/>
    <col min="218" max="16384" width="9.28515625" style="7"/>
  </cols>
  <sheetData>
    <row r="1" spans="2:16" x14ac:dyDescent="0.25">
      <c r="N1" s="7"/>
      <c r="O1" s="7"/>
      <c r="P1" s="7"/>
    </row>
    <row r="2" spans="2:16" ht="23.25" x14ac:dyDescent="0.35">
      <c r="B2" s="4" t="s">
        <v>118</v>
      </c>
      <c r="N2" s="7"/>
      <c r="O2" s="7"/>
      <c r="P2" s="7"/>
    </row>
    <row r="3" spans="2:16" x14ac:dyDescent="0.25">
      <c r="N3" s="7"/>
      <c r="O3"/>
      <c r="P3" s="7"/>
    </row>
    <row r="4" spans="2:16" ht="18" x14ac:dyDescent="0.35">
      <c r="C4" s="7" t="str">
        <f>"element " &amp;C26</f>
        <v>element 1</v>
      </c>
      <c r="N4" s="7" t="s">
        <v>110</v>
      </c>
      <c r="O4" s="7" t="s">
        <v>111</v>
      </c>
      <c r="P4" s="7" t="s">
        <v>112</v>
      </c>
    </row>
    <row r="5" spans="2:16" x14ac:dyDescent="0.25">
      <c r="N5" s="32">
        <v>0</v>
      </c>
      <c r="P5" s="52"/>
    </row>
    <row r="6" spans="2:16" x14ac:dyDescent="0.25">
      <c r="C6" s="7" t="s">
        <v>103</v>
      </c>
    </row>
    <row r="7" spans="2:16" x14ac:dyDescent="0.25">
      <c r="C7" s="7" t="s">
        <v>104</v>
      </c>
    </row>
    <row r="26" spans="2:6" x14ac:dyDescent="0.25">
      <c r="B26" s="39" t="s">
        <v>105</v>
      </c>
      <c r="C26" s="71">
        <v>1</v>
      </c>
      <c r="D26" s="112" t="str">
        <f>"(from 1 to "&amp; dim_ele &amp;")"</f>
        <v>(from 1 to 0)</v>
      </c>
      <c r="E26" s="113"/>
      <c r="F26" s="114"/>
    </row>
    <row r="27" spans="2:6" x14ac:dyDescent="0.25">
      <c r="B27" s="40" t="s">
        <v>113</v>
      </c>
      <c r="C27" s="72">
        <v>0</v>
      </c>
      <c r="D27" s="46"/>
      <c r="F27" s="47"/>
    </row>
    <row r="28" spans="2:6" x14ac:dyDescent="0.25">
      <c r="B28" s="42" t="s">
        <v>114</v>
      </c>
      <c r="C28" s="72">
        <v>1000</v>
      </c>
      <c r="D28" s="48"/>
      <c r="E28" s="49"/>
      <c r="F28" s="50"/>
    </row>
    <row r="30" spans="2:6" x14ac:dyDescent="0.25">
      <c r="B30" s="54" t="s">
        <v>127</v>
      </c>
    </row>
    <row r="31" spans="2:6" x14ac:dyDescent="0.25">
      <c r="B31" s="55" t="s">
        <v>15</v>
      </c>
    </row>
    <row r="32" spans="2:6" x14ac:dyDescent="0.25">
      <c r="B32" s="56" t="s">
        <v>18</v>
      </c>
    </row>
    <row r="33" spans="2:2" x14ac:dyDescent="0.25">
      <c r="B33" s="57" t="s">
        <v>128</v>
      </c>
    </row>
    <row r="34" spans="2:2" x14ac:dyDescent="0.25">
      <c r="B34" s="58" t="s">
        <v>129</v>
      </c>
    </row>
  </sheetData>
  <mergeCells count="1">
    <mergeCell ref="D26:F2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utoscale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anual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graph_line_freqx2">
                <anchor moveWithCells="1" siz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allowBlank="1" showInputMessage="1" showErrorMessage="1" xr:uid="{50A40393-4AEC-4FE4-8662-9CDE0E78D2FF}">
          <x14:formula1>
            <xm:f>1</xm:f>
          </x14:formula1>
          <x14:formula2>
            <xm:f>'Haigh (Goodman) diagram'!C44</xm:f>
          </x14:formula2>
          <xm:sqref>C26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24825A-FD47-422C-8A1D-086799B7390F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6FFA7FFC-0F55-4A45-A119-576C3ADE2A90}"/>
</file>

<file path=customXml/itemProps3.xml><?xml version="1.0" encoding="utf-8"?>
<ds:datastoreItem xmlns:ds="http://schemas.openxmlformats.org/officeDocument/2006/customXml" ds:itemID="{619AC9D8-2C95-4719-B0A3-7879C5084D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3</vt:i4>
      </vt:variant>
    </vt:vector>
  </HeadingPairs>
  <TitlesOfParts>
    <vt:vector size="10" baseType="lpstr">
      <vt:lpstr>content</vt:lpstr>
      <vt:lpstr>material</vt:lpstr>
      <vt:lpstr>Haigh (Goodman) diagram</vt:lpstr>
      <vt:lpstr>envelope</vt:lpstr>
      <vt:lpstr>VFD</vt:lpstr>
      <vt:lpstr>line</vt:lpstr>
      <vt:lpstr>linex2</vt:lpstr>
      <vt:lpstr>coeff_D</vt:lpstr>
      <vt:lpstr>coeff_S</vt:lpstr>
      <vt:lpstr>damping_ratio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Fabrizio Cademartori</cp:lastModifiedBy>
  <cp:revision/>
  <dcterms:created xsi:type="dcterms:W3CDTF">2023-06-07T15:06:24Z</dcterms:created>
  <dcterms:modified xsi:type="dcterms:W3CDTF">2025-01-30T15:51:19Z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