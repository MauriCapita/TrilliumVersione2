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"/>
    </mc:Choice>
  </mc:AlternateContent>
  <xr:revisionPtr revIDLastSave="0" documentId="13_ncr:1_{2005B3DD-2CB7-41A0-9D2C-AE1CE0F3FD77}" xr6:coauthVersionLast="47" xr6:coauthVersionMax="47" xr10:uidLastSave="{00000000-0000-0000-0000-000000000000}"/>
  <bookViews>
    <workbookView xWindow="-19320" yWindow="-120" windowWidth="19440" windowHeight="15000" xr2:uid="{1A85CF9C-624A-4D5E-AADB-715C5F7AD3E4}"/>
  </bookViews>
  <sheets>
    <sheet name="content" sheetId="4" r:id="rId1"/>
    <sheet name="circular gasket" sheetId="2" r:id="rId2"/>
    <sheet name="not-circular gasket" sheetId="3" r:id="rId3"/>
    <sheet name="gasket table" sheetId="1" r:id="rId4"/>
  </sheets>
  <definedNames>
    <definedName name="Fig_2">'gasket table'!$J$20</definedName>
    <definedName name="Fig_3">'gasket table'!$J$24</definedName>
    <definedName name="Fig_4">'gasket table'!$J$28</definedName>
    <definedName name="Fig_5">'gasket table'!$J$32</definedName>
    <definedName name="Fig_6">'gasket table'!$J$36</definedName>
    <definedName name="Fig1a">'gasket table'!$J$4</definedName>
    <definedName name="Fig1b">'gasket table'!$J$8</definedName>
    <definedName name="Fig1c">'gasket table'!$J$12</definedName>
    <definedName name="Fig1d">'gasket table'!$J$16</definedName>
    <definedName name="myfig">INDIRECT('circular gasket'!$E$8)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F24" i="3"/>
  <c r="F23" i="3"/>
  <c r="F22" i="3"/>
  <c r="F21" i="3"/>
  <c r="F20" i="3"/>
  <c r="F19" i="3"/>
  <c r="F18" i="3"/>
  <c r="F17" i="3"/>
  <c r="F16" i="3"/>
  <c r="F15" i="3"/>
  <c r="F24" i="2"/>
  <c r="F25" i="2"/>
  <c r="F26" i="2"/>
  <c r="F27" i="2"/>
  <c r="F28" i="2"/>
  <c r="F29" i="2"/>
  <c r="F30" i="2"/>
  <c r="F31" i="2"/>
  <c r="F32" i="2"/>
  <c r="F23" i="2"/>
  <c r="C8" i="3"/>
  <c r="H12" i="2"/>
  <c r="H13" i="2"/>
  <c r="H11" i="2"/>
  <c r="F33" i="2"/>
  <c r="F25" i="3"/>
  <c r="V11" i="1"/>
  <c r="W11" i="1"/>
  <c r="W9" i="1"/>
  <c r="E8" i="2"/>
  <c r="C10" i="3"/>
  <c r="V3" i="1"/>
  <c r="W3" i="1"/>
  <c r="V4" i="1"/>
  <c r="W4" i="1"/>
  <c r="V8" i="1"/>
  <c r="V6" i="1"/>
  <c r="V5" i="1"/>
  <c r="W7" i="1"/>
  <c r="V7" i="1"/>
  <c r="W6" i="1"/>
  <c r="W5" i="1"/>
  <c r="W8" i="1"/>
  <c r="V9" i="1"/>
  <c r="V10" i="1"/>
  <c r="W10" i="1"/>
  <c r="C14" i="2"/>
  <c r="C15" i="2"/>
  <c r="C13" i="2"/>
  <c r="C17" i="2"/>
  <c r="C16" i="2"/>
  <c r="C18" i="2"/>
</calcChain>
</file>

<file path=xl/sharedStrings.xml><?xml version="1.0" encoding="utf-8"?>
<sst xmlns="http://schemas.openxmlformats.org/spreadsheetml/2006/main" count="248" uniqueCount="155">
  <si>
    <t>First issue</t>
  </si>
  <si>
    <t>R&amp;D - M. Di Somma</t>
  </si>
  <si>
    <t>Rev.</t>
  </si>
  <si>
    <t>Date</t>
  </si>
  <si>
    <t>Description</t>
  </si>
  <si>
    <t>Prepared</t>
  </si>
  <si>
    <t>Checked</t>
  </si>
  <si>
    <t>Approved</t>
  </si>
  <si>
    <t>Gasket</t>
  </si>
  <si>
    <t>Legend</t>
  </si>
  <si>
    <r>
      <t>OD</t>
    </r>
    <r>
      <rPr>
        <b/>
        <vertAlign val="subscript"/>
        <sz val="11"/>
        <color theme="0"/>
        <rFont val="Aptos Narrow"/>
        <family val="2"/>
        <scheme val="minor"/>
      </rPr>
      <t>gasket</t>
    </r>
    <r>
      <rPr>
        <b/>
        <sz val="11"/>
        <color theme="0"/>
        <rFont val="Aptos Narrow"/>
        <family val="2"/>
        <scheme val="minor"/>
      </rPr>
      <t xml:space="preserve"> [mm]</t>
    </r>
  </si>
  <si>
    <t>(outside diameter)</t>
  </si>
  <si>
    <t>input data</t>
  </si>
  <si>
    <r>
      <t>ID</t>
    </r>
    <r>
      <rPr>
        <b/>
        <vertAlign val="subscript"/>
        <sz val="11"/>
        <color theme="0"/>
        <rFont val="Aptos Narrow"/>
        <family val="2"/>
        <scheme val="minor"/>
      </rPr>
      <t>gasket</t>
    </r>
    <r>
      <rPr>
        <b/>
        <sz val="11"/>
        <color theme="0"/>
        <rFont val="Aptos Narrow"/>
        <family val="2"/>
        <scheme val="minor"/>
      </rPr>
      <t xml:space="preserve"> [mm]</t>
    </r>
  </si>
  <si>
    <t>(inside diameter)</t>
  </si>
  <si>
    <t>descriptor</t>
  </si>
  <si>
    <t>p [bar]</t>
  </si>
  <si>
    <t>(internal design pressure)</t>
  </si>
  <si>
    <t>calculated</t>
  </si>
  <si>
    <t>m [-]</t>
  </si>
  <si>
    <t>(gasket factor)</t>
  </si>
  <si>
    <t>annotation</t>
  </si>
  <si>
    <t>y [MPa]</t>
  </si>
  <si>
    <t>(gasket seating load)</t>
  </si>
  <si>
    <t>Gasket material</t>
  </si>
  <si>
    <t>Elastomers</t>
  </si>
  <si>
    <t>Facing Sketch</t>
  </si>
  <si>
    <t>(1a)</t>
  </si>
  <si>
    <t>N [mm]</t>
  </si>
  <si>
    <t>(gasket width)</t>
  </si>
  <si>
    <t>w [mm]</t>
  </si>
  <si>
    <t>(width)</t>
  </si>
  <si>
    <t>T [mm]</t>
  </si>
  <si>
    <t>(gasket thickness)</t>
  </si>
  <si>
    <t>G [mm]</t>
  </si>
  <si>
    <t>(diameter at location of gasket load)</t>
  </si>
  <si>
    <r>
      <t>b</t>
    </r>
    <r>
      <rPr>
        <b/>
        <vertAlign val="subscript"/>
        <sz val="11"/>
        <color theme="0"/>
        <rFont val="Aptos Narrow"/>
        <family val="2"/>
        <scheme val="minor"/>
      </rPr>
      <t>0</t>
    </r>
    <r>
      <rPr>
        <b/>
        <sz val="11"/>
        <color theme="0"/>
        <rFont val="Aptos Narrow"/>
        <family val="2"/>
        <scheme val="minor"/>
      </rPr>
      <t xml:space="preserve"> [mm]</t>
    </r>
  </si>
  <si>
    <t>(basic gasket seating width)</t>
  </si>
  <si>
    <t>b [mm]</t>
  </si>
  <si>
    <t>(effective gasket seating width)</t>
  </si>
  <si>
    <r>
      <t>W</t>
    </r>
    <r>
      <rPr>
        <b/>
        <vertAlign val="subscript"/>
        <sz val="11"/>
        <color theme="0"/>
        <rFont val="Aptos Narrow"/>
        <family val="2"/>
        <scheme val="minor"/>
      </rPr>
      <t>m1</t>
    </r>
    <r>
      <rPr>
        <b/>
        <sz val="11"/>
        <color theme="0"/>
        <rFont val="Aptos Narrow"/>
        <family val="2"/>
        <scheme val="minor"/>
      </rPr>
      <t xml:space="preserve"> [N]</t>
    </r>
  </si>
  <si>
    <t>(minimum required bolt load for operating conditions)</t>
  </si>
  <si>
    <r>
      <t>W</t>
    </r>
    <r>
      <rPr>
        <b/>
        <vertAlign val="subscript"/>
        <sz val="11"/>
        <color theme="0"/>
        <rFont val="Aptos Narrow"/>
        <family val="2"/>
        <scheme val="minor"/>
      </rPr>
      <t>m2</t>
    </r>
    <r>
      <rPr>
        <b/>
        <sz val="11"/>
        <color theme="0"/>
        <rFont val="Aptos Narrow"/>
        <family val="2"/>
        <scheme val="minor"/>
      </rPr>
      <t xml:space="preserve"> [N]</t>
    </r>
  </si>
  <si>
    <t>(minimum required bolt load for gasket seating)</t>
  </si>
  <si>
    <t>W [N]</t>
  </si>
  <si>
    <t>(required bolt load)</t>
  </si>
  <si>
    <t>Bolt</t>
  </si>
  <si>
    <t>(ratio of axial vs yield stress at serration)</t>
  </si>
  <si>
    <t>(number of bolt/stud)</t>
  </si>
  <si>
    <t>(bolt material yield stress)</t>
  </si>
  <si>
    <t>(resistant diameter of bolt/stud)</t>
  </si>
  <si>
    <t>(tightening force of bolt/stud)</t>
  </si>
  <si>
    <t>tightratio [-]</t>
  </si>
  <si>
    <r>
      <t>n</t>
    </r>
    <r>
      <rPr>
        <b/>
        <vertAlign val="subscript"/>
        <sz val="11"/>
        <color theme="0"/>
        <rFont val="Aptos Narrow"/>
        <family val="2"/>
        <scheme val="minor"/>
      </rPr>
      <t>bolt</t>
    </r>
    <r>
      <rPr>
        <b/>
        <sz val="11"/>
        <color theme="0"/>
        <rFont val="Aptos Narrow"/>
        <family val="2"/>
        <scheme val="minor"/>
      </rPr>
      <t xml:space="preserve"> [-]</t>
    </r>
  </si>
  <si>
    <r>
      <t>σ</t>
    </r>
    <r>
      <rPr>
        <b/>
        <vertAlign val="subscript"/>
        <sz val="11"/>
        <color theme="0"/>
        <rFont val="Aptos Narrow"/>
        <family val="2"/>
        <scheme val="minor"/>
      </rPr>
      <t>yield</t>
    </r>
    <r>
      <rPr>
        <b/>
        <sz val="11"/>
        <color theme="0"/>
        <rFont val="Aptos Narrow"/>
        <family val="2"/>
        <scheme val="minor"/>
      </rPr>
      <t xml:space="preserve"> [MPa]</t>
    </r>
  </si>
  <si>
    <r>
      <t>d</t>
    </r>
    <r>
      <rPr>
        <b/>
        <vertAlign val="subscript"/>
        <sz val="11"/>
        <color theme="0"/>
        <rFont val="Aptos Narrow"/>
        <family val="2"/>
        <scheme val="minor"/>
      </rPr>
      <t>res</t>
    </r>
    <r>
      <rPr>
        <b/>
        <sz val="11"/>
        <color theme="0"/>
        <rFont val="Aptos Narrow"/>
        <family val="2"/>
        <scheme val="minor"/>
      </rPr>
      <t xml:space="preserve"> [mm]</t>
    </r>
  </si>
  <si>
    <r>
      <t>F</t>
    </r>
    <r>
      <rPr>
        <b/>
        <vertAlign val="subscript"/>
        <sz val="11"/>
        <color theme="0"/>
        <rFont val="Aptos Narrow"/>
        <family val="2"/>
        <scheme val="minor"/>
      </rPr>
      <t>bolt</t>
    </r>
    <r>
      <rPr>
        <b/>
        <sz val="11"/>
        <color theme="0"/>
        <rFont val="Aptos Narrow"/>
        <family val="2"/>
        <scheme val="minor"/>
      </rPr>
      <t xml:space="preserve"> [N]</t>
    </r>
  </si>
  <si>
    <t>Warnings legend</t>
  </si>
  <si>
    <t>not allowable</t>
  </si>
  <si>
    <t>near to limit</t>
  </si>
  <si>
    <r>
      <t>F</t>
    </r>
    <r>
      <rPr>
        <b/>
        <vertAlign val="subscript"/>
        <sz val="11"/>
        <color theme="0"/>
        <rFont val="Aptos Narrow"/>
        <family val="2"/>
        <scheme val="minor"/>
      </rPr>
      <t>tot</t>
    </r>
    <r>
      <rPr>
        <b/>
        <sz val="11"/>
        <color theme="0"/>
        <rFont val="Aptos Narrow"/>
        <family val="2"/>
        <scheme val="minor"/>
      </rPr>
      <t xml:space="preserve"> [N]</t>
    </r>
  </si>
  <si>
    <t>allowable</t>
  </si>
  <si>
    <r>
      <t>A</t>
    </r>
    <r>
      <rPr>
        <b/>
        <vertAlign val="subscript"/>
        <sz val="11"/>
        <color theme="0"/>
        <rFont val="Aptos Narrow"/>
        <family val="2"/>
        <scheme val="minor"/>
      </rPr>
      <t>wet</t>
    </r>
    <r>
      <rPr>
        <b/>
        <sz val="11"/>
        <color theme="0"/>
        <rFont val="Aptos Narrow"/>
        <family val="2"/>
        <scheme val="minor"/>
      </rPr>
      <t xml:space="preserve"> [mm</t>
    </r>
    <r>
      <rPr>
        <b/>
        <vertAlign val="super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>]</t>
    </r>
  </si>
  <si>
    <t>(effective wet area of the pump)</t>
  </si>
  <si>
    <r>
      <t>A</t>
    </r>
    <r>
      <rPr>
        <b/>
        <vertAlign val="subscript"/>
        <sz val="11"/>
        <color theme="0"/>
        <rFont val="Aptos Narrow"/>
        <family val="2"/>
        <scheme val="minor"/>
      </rPr>
      <t>gasket</t>
    </r>
    <r>
      <rPr>
        <b/>
        <sz val="11"/>
        <color theme="0"/>
        <rFont val="Aptos Narrow"/>
        <family val="2"/>
        <scheme val="minor"/>
      </rPr>
      <t xml:space="preserve"> [mm</t>
    </r>
    <r>
      <rPr>
        <b/>
        <vertAlign val="super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>]</t>
    </r>
  </si>
  <si>
    <t>(effective compressed area of the gasket)</t>
  </si>
  <si>
    <t>GASKET MATERIALS AND CONTACT FACINGS</t>
  </si>
  <si>
    <t>Facing Sketch (Exaggerated)</t>
  </si>
  <si>
    <r>
      <t>Basic Gasket Seating Width b</t>
    </r>
    <r>
      <rPr>
        <vertAlign val="subscript"/>
        <sz val="11"/>
        <color theme="1"/>
        <rFont val="Aptos Narrow"/>
        <family val="2"/>
        <scheme val="minor"/>
      </rPr>
      <t>o</t>
    </r>
  </si>
  <si>
    <t>Column I</t>
  </si>
  <si>
    <t>Column II</t>
  </si>
  <si>
    <t>Fig1a</t>
  </si>
  <si>
    <t>Gasket Material</t>
  </si>
  <si>
    <r>
      <t xml:space="preserve">Gasket Factor
</t>
    </r>
    <r>
      <rPr>
        <b/>
        <i/>
        <sz val="11"/>
        <color theme="1"/>
        <rFont val="Aptos Narrow"/>
        <family val="2"/>
        <scheme val="minor"/>
      </rPr>
      <t>m</t>
    </r>
    <r>
      <rPr>
        <b/>
        <sz val="11"/>
        <color theme="1"/>
        <rFont val="Aptos Narrow"/>
        <family val="2"/>
        <scheme val="minor"/>
      </rPr>
      <t xml:space="preserve"> [-]</t>
    </r>
  </si>
  <si>
    <r>
      <t xml:space="preserve">Min Design Seating Stress
</t>
    </r>
    <r>
      <rPr>
        <b/>
        <i/>
        <sz val="11"/>
        <color theme="1"/>
        <rFont val="Aptos Narrow"/>
        <family val="2"/>
        <scheme val="minor"/>
      </rPr>
      <t>y</t>
    </r>
    <r>
      <rPr>
        <b/>
        <sz val="11"/>
        <color theme="1"/>
        <rFont val="Aptos Narrow"/>
        <family val="2"/>
        <scheme val="minor"/>
      </rPr>
      <t xml:space="preserve"> [MPa]</t>
    </r>
  </si>
  <si>
    <t>Sketches</t>
  </si>
  <si>
    <t>Facing sketch</t>
  </si>
  <si>
    <t>Column</t>
  </si>
  <si>
    <t>N/2</t>
  </si>
  <si>
    <t>(1b)</t>
  </si>
  <si>
    <t>Fig1b</t>
  </si>
  <si>
    <t>Vegetable fiber</t>
  </si>
  <si>
    <t>(1c)</t>
  </si>
  <si>
    <t>Fig1c</t>
  </si>
  <si>
    <t>Spiral-wound metal</t>
  </si>
  <si>
    <t>(1d)</t>
  </si>
  <si>
    <t>Fig1d</t>
  </si>
  <si>
    <t>Corrugated metal</t>
  </si>
  <si>
    <t>Self-energizing types (o-rings, metallic, elastomer, other gasket types considered as self-sealing)</t>
  </si>
  <si>
    <t>…</t>
  </si>
  <si>
    <t>(2)</t>
  </si>
  <si>
    <t>Fig_2</t>
  </si>
  <si>
    <t>Flat metal</t>
  </si>
  <si>
    <t>(3)</t>
  </si>
  <si>
    <t>Fig_3</t>
  </si>
  <si>
    <t>Grooved metal</t>
  </si>
  <si>
    <t xml:space="preserve">Elastomers without fabric or high percent of asbestos fiber:
</t>
  </si>
  <si>
    <t>(1a), (1b), (1c), (1d), (4), (5)</t>
  </si>
  <si>
    <t>II</t>
  </si>
  <si>
    <t>(4)</t>
  </si>
  <si>
    <t>Fig_4</t>
  </si>
  <si>
    <t>Solid flat metal</t>
  </si>
  <si>
    <r>
      <rPr>
        <sz val="11"/>
        <color theme="1"/>
        <rFont val="Calibri"/>
        <family val="2"/>
      </rPr>
      <t xml:space="preserve">   • </t>
    </r>
    <r>
      <rPr>
        <sz val="11"/>
        <color theme="1"/>
        <rFont val="Aptos Narrow"/>
        <family val="2"/>
        <scheme val="minor"/>
      </rPr>
      <t>below 75A Shore Durometer</t>
    </r>
  </si>
  <si>
    <t>(5)</t>
  </si>
  <si>
    <t>Fig_5</t>
  </si>
  <si>
    <t>Ring joint</t>
  </si>
  <si>
    <t xml:space="preserve">   • 75A or higher Shore Durometer </t>
  </si>
  <si>
    <t>(6)</t>
  </si>
  <si>
    <t>Fig_6</t>
  </si>
  <si>
    <t>Asbestos with suitable binder for operating conditions:</t>
  </si>
  <si>
    <r>
      <t>w</t>
    </r>
    <r>
      <rPr>
        <sz val="11"/>
        <color theme="1"/>
        <rFont val="Aptos Narrow"/>
        <family val="2"/>
      </rPr>
      <t>≤</t>
    </r>
    <r>
      <rPr>
        <sz val="8.8000000000000007"/>
        <color theme="1"/>
        <rFont val="Aptos Narrow"/>
        <family val="2"/>
      </rPr>
      <t>N</t>
    </r>
  </si>
  <si>
    <t>max((W+T)/2;(w+N)/4))</t>
  </si>
  <si>
    <t xml:space="preserve">   • 3.2 mm thick</t>
  </si>
  <si>
    <t xml:space="preserve">   • 1.6 mm thick</t>
  </si>
  <si>
    <t xml:space="preserve">   • 0.8 mm thick</t>
  </si>
  <si>
    <t>Elastomers with cotton fabric insertion</t>
  </si>
  <si>
    <r>
      <t>w</t>
    </r>
    <r>
      <rPr>
        <sz val="11"/>
        <color theme="1"/>
        <rFont val="Aptos Narrow"/>
        <family val="2"/>
      </rPr>
      <t>≤</t>
    </r>
    <r>
      <rPr>
        <sz val="8.8000000000000007"/>
        <color theme="1"/>
        <rFont val="Aptos Narrow"/>
        <family val="2"/>
      </rPr>
      <t>N
see note 1</t>
    </r>
  </si>
  <si>
    <t>Elastomers with asbestos fabric insertion (with or without wire reinforcement):</t>
  </si>
  <si>
    <r>
      <t>w</t>
    </r>
    <r>
      <rPr>
        <sz val="11"/>
        <color theme="1"/>
        <rFont val="Aptos Narrow"/>
        <family val="2"/>
      </rPr>
      <t>≤</t>
    </r>
    <r>
      <rPr>
        <sz val="8.8000000000000007"/>
        <color theme="1"/>
        <rFont val="Aptos Narrow"/>
        <family val="2"/>
      </rPr>
      <t>N</t>
    </r>
    <r>
      <rPr>
        <sz val="11"/>
        <color theme="1"/>
        <rFont val="Aptos Narrow"/>
        <family val="2"/>
        <scheme val="minor"/>
      </rPr>
      <t>/2</t>
    </r>
  </si>
  <si>
    <t>(w+N)/4</t>
  </si>
  <si>
    <t>(w+3N)/8</t>
  </si>
  <si>
    <r>
      <t xml:space="preserve">   </t>
    </r>
    <r>
      <rPr>
        <sz val="11"/>
        <color theme="1"/>
        <rFont val="Calibri"/>
        <family val="2"/>
      </rPr>
      <t>•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 xml:space="preserve">3-ply </t>
    </r>
  </si>
  <si>
    <r>
      <t xml:space="preserve">   </t>
    </r>
    <r>
      <rPr>
        <sz val="11"/>
        <color theme="1"/>
        <rFont val="Calibri"/>
        <family val="2"/>
      </rPr>
      <t>•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 xml:space="preserve">2-ply </t>
    </r>
  </si>
  <si>
    <t>N/4</t>
  </si>
  <si>
    <t>3N/8</t>
  </si>
  <si>
    <r>
      <t xml:space="preserve">   </t>
    </r>
    <r>
      <rPr>
        <sz val="11"/>
        <color theme="1"/>
        <rFont val="Calibri"/>
        <family val="2"/>
      </rPr>
      <t>•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 xml:space="preserve">1-ply </t>
    </r>
  </si>
  <si>
    <t>7N/16</t>
  </si>
  <si>
    <t>Spiral-wound metal, asbestos filled:</t>
  </si>
  <si>
    <t>(1a), (1b)</t>
  </si>
  <si>
    <t xml:space="preserve">   • carbon</t>
  </si>
  <si>
    <t xml:space="preserve">   • stainless, monel, and nickel-base alloy</t>
  </si>
  <si>
    <t>Corrugated metal, asbestos inserted, or corrugated metal, acketed asbestos filled:</t>
  </si>
  <si>
    <t>w/8</t>
  </si>
  <si>
    <t xml:space="preserve">   • soft aluminium</t>
  </si>
  <si>
    <t xml:space="preserve">   • soft copper or brass</t>
  </si>
  <si>
    <t xml:space="preserve">   • iron or soft steel </t>
  </si>
  <si>
    <t>Effective Gasket Seating Width b</t>
  </si>
  <si>
    <t xml:space="preserve">   • monel or 4%–6% chrome</t>
  </si>
  <si>
    <t xml:space="preserve">   • stainless steels and nickel-base alloys</t>
  </si>
  <si>
    <t>Corrugated metal:</t>
  </si>
  <si>
    <t>(1a), (1b), (1c), (1d)</t>
  </si>
  <si>
    <t>Flat metal, jacketed asbestos filled:</t>
  </si>
  <si>
    <t>(1a), (1b), (1c), (1d), (2)</t>
  </si>
  <si>
    <t xml:space="preserve">   • monel</t>
  </si>
  <si>
    <t xml:space="preserve">   • 4%–6% chrome</t>
  </si>
  <si>
    <t>Grooved metal:</t>
  </si>
  <si>
    <t>(1a), (1b), (1c), (1d), (2), (3)</t>
  </si>
  <si>
    <t>Solid flat metal:</t>
  </si>
  <si>
    <t>(1a), (1b), (1c), (1d), (2), (3), (4), (5)</t>
  </si>
  <si>
    <t>I</t>
  </si>
  <si>
    <t>Ring joint:</t>
  </si>
  <si>
    <t>Mod.498-0</t>
  </si>
  <si>
    <t>QA/HSEM C.Delli Quadri - M.Tremolada</t>
  </si>
  <si>
    <t>R&amp;D Manager / M.Borghetti</t>
  </si>
  <si>
    <t>ASME BPVC Rules for Bolted Flange Connections with Gasket
(linked to SOP-527)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</si>
</sst>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General_)"/>
    <numFmt numFmtId="166" formatCode="&quot;$&quot;#,##0.00;[Red]\-&quot;$&quot;#,##0.00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sz val="8.8000000000000007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165" fontId="18" fillId="0" borderId="0"/>
    <xf numFmtId="166" fontId="24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2" fontId="0" fillId="2" borderId="8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2" fontId="11" fillId="4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left"/>
    </xf>
    <xf numFmtId="0" fontId="0" fillId="4" borderId="1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13" fillId="3" borderId="25" xfId="0" applyFont="1" applyFill="1" applyBorder="1"/>
    <xf numFmtId="0" fontId="13" fillId="0" borderId="27" xfId="0" applyFont="1" applyBorder="1" applyAlignment="1">
      <alignment horizontal="left"/>
    </xf>
    <xf numFmtId="0" fontId="13" fillId="3" borderId="27" xfId="0" applyFont="1" applyFill="1" applyBorder="1"/>
    <xf numFmtId="0" fontId="15" fillId="0" borderId="19" xfId="0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2" fontId="15" fillId="0" borderId="21" xfId="0" applyNumberFormat="1" applyFont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9" fontId="0" fillId="4" borderId="8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13" fillId="0" borderId="11" xfId="0" applyFont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0" fontId="5" fillId="0" borderId="36" xfId="2" applyBorder="1" applyAlignment="1">
      <alignment horizontal="center" vertical="center"/>
    </xf>
    <xf numFmtId="0" fontId="5" fillId="0" borderId="37" xfId="2" applyBorder="1" applyAlignment="1">
      <alignment horizontal="center" vertical="center"/>
    </xf>
    <xf numFmtId="0" fontId="5" fillId="0" borderId="38" xfId="2" applyBorder="1" applyAlignment="1">
      <alignment horizontal="center" vertical="center"/>
    </xf>
    <xf numFmtId="165" fontId="18" fillId="0" borderId="0" xfId="3"/>
    <xf numFmtId="0" fontId="5" fillId="0" borderId="39" xfId="2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40" xfId="2" applyBorder="1" applyAlignment="1">
      <alignment horizontal="center" vertical="center"/>
    </xf>
    <xf numFmtId="0" fontId="19" fillId="0" borderId="0" xfId="2" applyFont="1" applyAlignment="1">
      <alignment horizontal="center" vertical="top"/>
    </xf>
    <xf numFmtId="0" fontId="5" fillId="0" borderId="0" xfId="2" applyAlignment="1">
      <alignment horizontal="center"/>
    </xf>
    <xf numFmtId="0" fontId="20" fillId="0" borderId="0" xfId="2" applyFont="1" applyAlignment="1">
      <alignment horizontal="center" vertical="top"/>
    </xf>
    <xf numFmtId="0" fontId="21" fillId="0" borderId="40" xfId="2" applyFont="1" applyBorder="1" applyAlignment="1">
      <alignment horizontal="center" vertical="top"/>
    </xf>
    <xf numFmtId="0" fontId="22" fillId="0" borderId="39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22" fillId="0" borderId="36" xfId="2" applyFont="1" applyBorder="1" applyAlignment="1">
      <alignment horizontal="center" vertical="center" wrapText="1"/>
    </xf>
    <xf numFmtId="0" fontId="22" fillId="0" borderId="37" xfId="2" applyFont="1" applyBorder="1" applyAlignment="1">
      <alignment horizontal="center" vertical="center" wrapText="1"/>
    </xf>
    <xf numFmtId="0" fontId="22" fillId="0" borderId="38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41" xfId="2" applyFont="1" applyBorder="1" applyAlignment="1">
      <alignment horizontal="center" vertical="center" wrapText="1"/>
    </xf>
    <xf numFmtId="0" fontId="22" fillId="0" borderId="42" xfId="2" applyFont="1" applyBorder="1" applyAlignment="1">
      <alignment horizontal="center" vertical="center" wrapText="1"/>
    </xf>
    <xf numFmtId="0" fontId="22" fillId="0" borderId="43" xfId="2" applyFont="1" applyBorder="1" applyAlignment="1">
      <alignment horizontal="center" vertical="center" wrapText="1"/>
    </xf>
    <xf numFmtId="0" fontId="5" fillId="0" borderId="44" xfId="2" applyBorder="1" applyAlignment="1">
      <alignment horizontal="center" vertical="center"/>
    </xf>
    <xf numFmtId="0" fontId="5" fillId="0" borderId="45" xfId="2" applyBorder="1" applyAlignment="1">
      <alignment horizontal="center" vertical="center"/>
    </xf>
    <xf numFmtId="0" fontId="5" fillId="0" borderId="46" xfId="2" applyBorder="1" applyAlignment="1">
      <alignment horizontal="center" vertical="center"/>
    </xf>
    <xf numFmtId="0" fontId="5" fillId="0" borderId="47" xfId="2" applyBorder="1" applyAlignment="1">
      <alignment horizontal="center" vertical="center"/>
    </xf>
    <xf numFmtId="0" fontId="5" fillId="0" borderId="48" xfId="2" applyBorder="1" applyAlignment="1">
      <alignment horizontal="center" vertical="center"/>
    </xf>
    <xf numFmtId="0" fontId="5" fillId="0" borderId="11" xfId="2" applyBorder="1" applyAlignment="1">
      <alignment horizontal="center" vertical="center"/>
    </xf>
    <xf numFmtId="0" fontId="5" fillId="0" borderId="12" xfId="2" applyBorder="1" applyAlignment="1">
      <alignment horizontal="center" vertical="center"/>
    </xf>
    <xf numFmtId="0" fontId="5" fillId="0" borderId="50" xfId="2" applyBorder="1" applyAlignment="1">
      <alignment horizontal="center" vertical="center"/>
    </xf>
    <xf numFmtId="0" fontId="5" fillId="0" borderId="49" xfId="2" applyBorder="1" applyAlignment="1">
      <alignment horizontal="center" vertical="center"/>
    </xf>
    <xf numFmtId="0" fontId="5" fillId="0" borderId="13" xfId="2" applyBorder="1" applyAlignment="1">
      <alignment horizontal="center" vertical="center"/>
    </xf>
    <xf numFmtId="0" fontId="24" fillId="0" borderId="11" xfId="2" applyFont="1" applyBorder="1" applyAlignment="1">
      <alignment horizontal="center" vertical="center" wrapText="1"/>
    </xf>
    <xf numFmtId="0" fontId="24" fillId="0" borderId="12" xfId="2" applyFont="1" applyBorder="1" applyAlignment="1">
      <alignment horizontal="center" vertical="center" wrapText="1"/>
    </xf>
    <xf numFmtId="0" fontId="24" fillId="0" borderId="50" xfId="2" applyFont="1" applyBorder="1" applyAlignment="1">
      <alignment horizontal="center" vertical="center" wrapText="1"/>
    </xf>
    <xf numFmtId="0" fontId="24" fillId="0" borderId="49" xfId="2" applyFont="1" applyBorder="1" applyAlignment="1">
      <alignment horizontal="center" vertical="center"/>
    </xf>
    <xf numFmtId="0" fontId="24" fillId="0" borderId="13" xfId="2" applyFont="1" applyBorder="1" applyAlignment="1">
      <alignment horizontal="center" vertical="center"/>
    </xf>
    <xf numFmtId="14" fontId="24" fillId="0" borderId="11" xfId="2" applyNumberFormat="1" applyFont="1" applyBorder="1" applyAlignment="1">
      <alignment horizontal="center" vertical="center"/>
    </xf>
    <xf numFmtId="14" fontId="24" fillId="0" borderId="12" xfId="2" applyNumberFormat="1" applyFont="1" applyBorder="1" applyAlignment="1">
      <alignment horizontal="center" vertical="center"/>
    </xf>
    <xf numFmtId="14" fontId="24" fillId="0" borderId="13" xfId="2" applyNumberFormat="1" applyFont="1" applyBorder="1" applyAlignment="1">
      <alignment horizontal="center" vertical="center"/>
    </xf>
    <xf numFmtId="0" fontId="24" fillId="0" borderId="11" xfId="2" applyFont="1" applyBorder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0" fontId="24" fillId="0" borderId="13" xfId="2" applyFont="1" applyBorder="1" applyAlignment="1">
      <alignment horizontal="center" vertical="center" wrapText="1"/>
    </xf>
    <xf numFmtId="166" fontId="5" fillId="0" borderId="41" xfId="4" applyFont="1" applyBorder="1" applyAlignment="1">
      <alignment horizontal="right" vertical="center"/>
    </xf>
    <xf numFmtId="166" fontId="18" fillId="0" borderId="42" xfId="4" applyFont="1" applyBorder="1" applyAlignment="1">
      <alignment horizontal="right" vertical="center"/>
    </xf>
    <xf numFmtId="166" fontId="18" fillId="0" borderId="43" xfId="4" applyFont="1" applyBorder="1" applyAlignment="1">
      <alignment horizontal="right" vertical="center"/>
    </xf>
    <xf numFmtId="166" fontId="5" fillId="0" borderId="51" xfId="4" applyFont="1" applyBorder="1" applyAlignment="1">
      <alignment horizontal="center" vertical="center"/>
    </xf>
    <xf numFmtId="166" fontId="5" fillId="0" borderId="52" xfId="4" applyFont="1" applyBorder="1" applyAlignment="1">
      <alignment horizontal="center" vertical="center"/>
    </xf>
    <xf numFmtId="0" fontId="25" fillId="0" borderId="53" xfId="2" applyFont="1" applyBorder="1" applyAlignment="1">
      <alignment horizontal="center" vertical="center"/>
    </xf>
    <xf numFmtId="0" fontId="25" fillId="0" borderId="54" xfId="2" applyFont="1" applyBorder="1" applyAlignment="1">
      <alignment horizontal="center" vertical="center"/>
    </xf>
    <xf numFmtId="0" fontId="25" fillId="0" borderId="52" xfId="2" applyFont="1" applyBorder="1" applyAlignment="1">
      <alignment horizontal="center" vertical="center"/>
    </xf>
    <xf numFmtId="0" fontId="25" fillId="0" borderId="55" xfId="2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3" fillId="0" borderId="15" xfId="0" quotePrefix="1" applyFont="1" applyBorder="1" applyAlignment="1">
      <alignment horizontal="center"/>
    </xf>
    <xf numFmtId="0" fontId="13" fillId="0" borderId="15" xfId="0" quotePrefix="1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3" fillId="0" borderId="20" xfId="0" applyFont="1" applyBorder="1" applyAlignment="1">
      <alignment horizontal="left"/>
    </xf>
    <xf numFmtId="0" fontId="13" fillId="0" borderId="33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5">
    <cellStyle name="Normale" xfId="0" builtinId="0"/>
    <cellStyle name="Normale 2 2" xfId="1" xr:uid="{417EB52B-5117-4A95-8254-6207CE0E84E7}"/>
    <cellStyle name="Normale 3" xfId="3" xr:uid="{ABA3FCA8-A2E2-43E0-A358-C1339D9EAFED}"/>
    <cellStyle name="Normale 4" xfId="2" xr:uid="{57AB5C08-76B5-421E-82F2-1D1AAA303BBE}"/>
    <cellStyle name="Valuta 2" xfId="4" xr:uid="{FFF56633-CD58-4E90-8008-CD8BAB031D82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37E294E7-D77B-4786-A202-3FBE34F8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27</xdr:row>
      <xdr:rowOff>133349</xdr:rowOff>
    </xdr:from>
    <xdr:to>
      <xdr:col>29</xdr:col>
      <xdr:colOff>19050</xdr:colOff>
      <xdr:row>38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CDF9A8-54F5-48CD-AD79-BB53275F203A}"/>
            </a:ext>
          </a:extLst>
        </xdr:cNvPr>
        <xdr:cNvSpPr txBox="1"/>
      </xdr:nvSpPr>
      <xdr:spPr>
        <a:xfrm>
          <a:off x="95250" y="5276849"/>
          <a:ext cx="6276975" cy="19907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 b="0" u="none"/>
            <a:t>These worksheet</a:t>
          </a:r>
          <a:r>
            <a:rPr lang="en-US" sz="1100" b="0" u="none" baseline="0"/>
            <a:t> verify the gasket selection, based formulas in ASME BPVC VIII div. 2 - Appendix 2 Rules For Bolted Flange Connecions With Ring Type Gasket.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ref. ASME BPVC VIII div. 2 - Appendix 2 Rules For Bolted Flange Connecions With Ring Type Gasket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"circular gasket"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Calculations for circular gasket.</a:t>
          </a: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"non circular gasket"</a:t>
          </a:r>
          <a:endParaRPr lang="it-IT">
            <a:effectLst/>
          </a:endParaRPr>
        </a:p>
        <a:p>
          <a:pPr eaLnBrk="1" fontAlgn="auto" latinLnBrk="0" hangingPunct="1"/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Calculations for non circular gasket.</a:t>
          </a: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"gasket table"</a:t>
          </a:r>
        </a:p>
        <a:p>
          <a:pPr eaLnBrk="1" fontAlgn="auto" latinLnBrk="0" hangingPunct="1"/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Typical gasket parameters.</a:t>
          </a:r>
          <a:endParaRPr lang="it-IT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50165</xdr:colOff>
          <xdr:row>7</xdr:row>
          <xdr:rowOff>74930</xdr:rowOff>
        </xdr:from>
        <xdr:to>
          <xdr:col>6</xdr:col>
          <xdr:colOff>1270</xdr:colOff>
          <xdr:row>11</xdr:row>
          <xdr:rowOff>135890</xdr:rowOff>
        </xdr:to>
        <xdr:pic>
          <xdr:nvPicPr>
            <xdr:cNvPr id="2" name="Immagine 15">
              <a:extLst>
                <a:ext uri="{FF2B5EF4-FFF2-40B4-BE49-F238E27FC236}">
                  <a16:creationId xmlns:a16="http://schemas.microsoft.com/office/drawing/2014/main" id="{C0D747DB-1A6F-4253-9EEE-B8547130417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yfig" spid="_x0000_s213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791585" y="1438910"/>
              <a:ext cx="2533015" cy="779780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absolute">
    <xdr:from>
      <xdr:col>7</xdr:col>
      <xdr:colOff>0</xdr:colOff>
      <xdr:row>10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62F869CB-DEDE-49BC-A313-EA05F493CFA4}"/>
            </a:ext>
            <a:ext uri="{147F2762-F138-4A5C-976F-8EAC2B608ADB}">
              <a16:predDERef xmlns:a16="http://schemas.microsoft.com/office/drawing/2014/main" pred="{00000000-0008-0000-0100-000002040000}"/>
            </a:ext>
          </a:extLst>
        </xdr:cNvPr>
        <xdr:cNvSpPr txBox="1"/>
      </xdr:nvSpPr>
      <xdr:spPr>
        <a:xfrm>
          <a:off x="6416040" y="1882140"/>
          <a:ext cx="3185160" cy="1508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/>
            <a:t>1)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for the gasket (see data from table sheet);</a:t>
          </a:r>
          <a:endParaRPr lang="it-IT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it-IT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required bolt load;</a:t>
          </a:r>
          <a:endParaRPr lang="it-IT">
            <a:effectLst/>
          </a:endParaRPr>
        </a:p>
        <a:p>
          <a:pPr eaLnBrk="1" fontAlgn="auto" latinLnBrk="0" hangingPunct="1"/>
          <a:r>
            <a:rPr lang="it-IT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for the bolt/stud;</a:t>
          </a:r>
          <a:endParaRPr lang="it-IT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verify that </a:t>
          </a:r>
          <a:r>
            <a:rPr lang="en-US" sz="1100" b="0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n-US" sz="1100" b="0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greather than W.</a:t>
          </a:r>
          <a:endParaRPr lang="it-IT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0</xdr:colOff>
      <xdr:row>7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ADE30D8F-27BC-4028-837C-C0EBF20AD74C}"/>
            </a:ext>
            <a:ext uri="{147F2762-F138-4A5C-976F-8EAC2B608ADB}">
              <a16:predDERef xmlns:a16="http://schemas.microsoft.com/office/drawing/2014/main" pred="{00000000-0008-0000-0100-000002040000}"/>
            </a:ext>
          </a:extLst>
        </xdr:cNvPr>
        <xdr:cNvSpPr txBox="1"/>
      </xdr:nvSpPr>
      <xdr:spPr>
        <a:xfrm>
          <a:off x="6248400" y="1409700"/>
          <a:ext cx="3162300" cy="20193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/>
            <a:t>1)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for the gasket;</a:t>
          </a:r>
          <a:endParaRPr lang="it-IT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it-IT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required bolt load;</a:t>
          </a:r>
          <a:endParaRPr lang="it-IT">
            <a:effectLst/>
          </a:endParaRPr>
        </a:p>
        <a:p>
          <a:pPr eaLnBrk="1" fontAlgn="auto" latinLnBrk="0" hangingPunct="1"/>
          <a:r>
            <a:rPr lang="it-IT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for the bolt/stud;</a:t>
          </a:r>
          <a:endParaRPr lang="it-IT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verify that </a:t>
          </a:r>
          <a:r>
            <a:rPr lang="en-US" sz="1100" b="0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n-US" sz="1100" b="0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greather than W.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definition of wet and gasket areas have great influence on the results (i.e., not the whole gasket surface could be considered as A</a:t>
          </a:r>
          <a:r>
            <a:rPr lang="en-US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gasket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so A</a:t>
          </a:r>
          <a:r>
            <a:rPr lang="en-US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wet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increases .)</a:t>
          </a:r>
          <a:endParaRPr lang="it-IT">
            <a:effectLst/>
          </a:endParaRPr>
        </a:p>
      </xdr:txBody>
    </xdr:sp>
    <xdr:clientData/>
  </xdr:twoCellAnchor>
  <xdr:twoCellAnchor>
    <xdr:from>
      <xdr:col>1</xdr:col>
      <xdr:colOff>0</xdr:colOff>
      <xdr:row>26</xdr:row>
      <xdr:rowOff>34717</xdr:rowOff>
    </xdr:from>
    <xdr:to>
      <xdr:col>11</xdr:col>
      <xdr:colOff>0</xdr:colOff>
      <xdr:row>49</xdr:row>
      <xdr:rowOff>0</xdr:rowOff>
    </xdr:to>
    <xdr:grpSp>
      <xdr:nvGrpSpPr>
        <xdr:cNvPr id="16" name="Gruppo 15">
          <a:extLst>
            <a:ext uri="{FF2B5EF4-FFF2-40B4-BE49-F238E27FC236}">
              <a16:creationId xmlns:a16="http://schemas.microsoft.com/office/drawing/2014/main" id="{9F8AAFCB-224F-3CD2-44C6-7CCEA7011A06}"/>
            </a:ext>
          </a:extLst>
        </xdr:cNvPr>
        <xdr:cNvGrpSpPr/>
      </xdr:nvGrpSpPr>
      <xdr:grpSpPr>
        <a:xfrm>
          <a:off x="180975" y="5597317"/>
          <a:ext cx="8620125" cy="4346783"/>
          <a:chOff x="180975" y="5476875"/>
          <a:chExt cx="8620125" cy="4346783"/>
        </a:xfrm>
      </xdr:grpSpPr>
      <xdr:pic>
        <xdr:nvPicPr>
          <xdr:cNvPr id="4" name="Immagine 3">
            <a:extLst>
              <a:ext uri="{FF2B5EF4-FFF2-40B4-BE49-F238E27FC236}">
                <a16:creationId xmlns:a16="http://schemas.microsoft.com/office/drawing/2014/main" id="{72302475-838A-AC0E-4B0E-DEFAF3176B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0975" y="5562600"/>
            <a:ext cx="8620125" cy="4261058"/>
          </a:xfrm>
          <a:prstGeom prst="rect">
            <a:avLst/>
          </a:prstGeom>
        </xdr:spPr>
      </xdr:pic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2E37244F-8C18-6552-DB60-4B6E57510C73}"/>
              </a:ext>
            </a:extLst>
          </xdr:cNvPr>
          <xdr:cNvSpPr txBox="1"/>
        </xdr:nvSpPr>
        <xdr:spPr>
          <a:xfrm>
            <a:off x="5381625" y="9201150"/>
            <a:ext cx="1355499" cy="405432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>
                <a:solidFill>
                  <a:schemeClr val="accent2"/>
                </a:solidFill>
              </a:rPr>
              <a:t>gasket area</a:t>
            </a:r>
          </a:p>
        </xdr:txBody>
      </xdr:sp>
      <xdr:sp macro="" textlink="">
        <xdr:nvSpPr>
          <xdr:cNvPr id="6" name="CasellaDiTesto 5">
            <a:extLst>
              <a:ext uri="{FF2B5EF4-FFF2-40B4-BE49-F238E27FC236}">
                <a16:creationId xmlns:a16="http://schemas.microsoft.com/office/drawing/2014/main" id="{0948ECC2-2F76-6587-7DE4-6FDB064EF005}"/>
              </a:ext>
            </a:extLst>
          </xdr:cNvPr>
          <xdr:cNvSpPr txBox="1"/>
        </xdr:nvSpPr>
        <xdr:spPr>
          <a:xfrm>
            <a:off x="3324225" y="9039225"/>
            <a:ext cx="1055097" cy="405432"/>
          </a:xfrm>
          <a:prstGeom prst="rect">
            <a:avLst/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>
                <a:solidFill>
                  <a:schemeClr val="bg1">
                    <a:lumMod val="50000"/>
                  </a:schemeClr>
                </a:solidFill>
              </a:rPr>
              <a:t>wet area</a:t>
            </a:r>
          </a:p>
        </xdr:txBody>
      </xdr:sp>
      <xdr:cxnSp macro="">
        <xdr:nvCxnSpPr>
          <xdr:cNvPr id="8" name="Connettore 2 7">
            <a:extLst>
              <a:ext uri="{FF2B5EF4-FFF2-40B4-BE49-F238E27FC236}">
                <a16:creationId xmlns:a16="http://schemas.microsoft.com/office/drawing/2014/main" id="{ADEB42D2-4ACE-C3FB-B5C5-838B02C3B3CB}"/>
              </a:ext>
            </a:extLst>
          </xdr:cNvPr>
          <xdr:cNvCxnSpPr/>
        </xdr:nvCxnSpPr>
        <xdr:spPr>
          <a:xfrm flipV="1">
            <a:off x="6057900" y="8667750"/>
            <a:ext cx="704850" cy="51435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9" name="Connettore 2 8">
            <a:extLst>
              <a:ext uri="{FF2B5EF4-FFF2-40B4-BE49-F238E27FC236}">
                <a16:creationId xmlns:a16="http://schemas.microsoft.com/office/drawing/2014/main" id="{CC061335-A5FA-430E-BF34-B6E8B484DBFA}"/>
              </a:ext>
            </a:extLst>
          </xdr:cNvPr>
          <xdr:cNvCxnSpPr>
            <a:stCxn id="6" idx="0"/>
          </xdr:cNvCxnSpPr>
        </xdr:nvCxnSpPr>
        <xdr:spPr>
          <a:xfrm flipV="1">
            <a:off x="3851774" y="7515225"/>
            <a:ext cx="577351" cy="152400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2" name="Connettore 2 11">
            <a:extLst>
              <a:ext uri="{FF2B5EF4-FFF2-40B4-BE49-F238E27FC236}">
                <a16:creationId xmlns:a16="http://schemas.microsoft.com/office/drawing/2014/main" id="{D48B9D83-7119-4A81-B415-7B6FCABC75DB}"/>
              </a:ext>
            </a:extLst>
          </xdr:cNvPr>
          <xdr:cNvCxnSpPr>
            <a:stCxn id="13" idx="2"/>
          </xdr:cNvCxnSpPr>
        </xdr:nvCxnSpPr>
        <xdr:spPr>
          <a:xfrm>
            <a:off x="6764225" y="5882307"/>
            <a:ext cx="46150" cy="575643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" name="CasellaDiTesto 12">
            <a:extLst>
              <a:ext uri="{FF2B5EF4-FFF2-40B4-BE49-F238E27FC236}">
                <a16:creationId xmlns:a16="http://schemas.microsoft.com/office/drawing/2014/main" id="{311EAD8F-0B7F-82C4-AFDE-FA4754C7FEC9}"/>
              </a:ext>
            </a:extLst>
          </xdr:cNvPr>
          <xdr:cNvSpPr txBox="1"/>
        </xdr:nvSpPr>
        <xdr:spPr>
          <a:xfrm>
            <a:off x="6086475" y="5476875"/>
            <a:ext cx="1355499" cy="405432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>
                <a:solidFill>
                  <a:schemeClr val="accent2"/>
                </a:solidFill>
              </a:rPr>
              <a:t>gasket area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204813</xdr:colOff>
      <xdr:row>8</xdr:row>
      <xdr:rowOff>28575</xdr:rowOff>
    </xdr:from>
    <xdr:to>
      <xdr:col>4</xdr:col>
      <xdr:colOff>1049480</xdr:colOff>
      <xdr:row>10</xdr:row>
      <xdr:rowOff>128905</xdr:rowOff>
    </xdr:to>
    <xdr:pic>
      <xdr:nvPicPr>
        <xdr:cNvPr id="7" name="Immagine 1">
          <a:extLst>
            <a:ext uri="{FF2B5EF4-FFF2-40B4-BE49-F238E27FC236}">
              <a16:creationId xmlns:a16="http://schemas.microsoft.com/office/drawing/2014/main" id="{25132F7C-A342-B304-EF76-9BD21EE73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3896"/>
        <a:stretch/>
      </xdr:blipFill>
      <xdr:spPr>
        <a:xfrm>
          <a:off x="5834088" y="1171575"/>
          <a:ext cx="838317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11</xdr:row>
      <xdr:rowOff>142875</xdr:rowOff>
    </xdr:from>
    <xdr:to>
      <xdr:col>4</xdr:col>
      <xdr:colOff>1049480</xdr:colOff>
      <xdr:row>14</xdr:row>
      <xdr:rowOff>90805</xdr:rowOff>
    </xdr:to>
    <xdr:pic>
      <xdr:nvPicPr>
        <xdr:cNvPr id="8" name="Immagine 2">
          <a:extLst>
            <a:ext uri="{FF2B5EF4-FFF2-40B4-BE49-F238E27FC236}">
              <a16:creationId xmlns:a16="http://schemas.microsoft.com/office/drawing/2014/main" id="{1EFDB544-41F2-D46F-BBF9-EEE8E223F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185" b="80222"/>
        <a:stretch/>
      </xdr:blipFill>
      <xdr:spPr>
        <a:xfrm>
          <a:off x="5834088" y="1857375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15</xdr:row>
      <xdr:rowOff>38100</xdr:rowOff>
    </xdr:from>
    <xdr:to>
      <xdr:col>4</xdr:col>
      <xdr:colOff>1049480</xdr:colOff>
      <xdr:row>17</xdr:row>
      <xdr:rowOff>152400</xdr:rowOff>
    </xdr:to>
    <xdr:pic>
      <xdr:nvPicPr>
        <xdr:cNvPr id="11" name="Immagine 3">
          <a:extLst>
            <a:ext uri="{FF2B5EF4-FFF2-40B4-BE49-F238E27FC236}">
              <a16:creationId xmlns:a16="http://schemas.microsoft.com/office/drawing/2014/main" id="{DD4437C7-AE42-A9B1-A0A4-3564430DA8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272" t="24784" r="2272" b="68623"/>
        <a:stretch/>
      </xdr:blipFill>
      <xdr:spPr>
        <a:xfrm>
          <a:off x="5834088" y="2514600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20</xdr:row>
      <xdr:rowOff>66675</xdr:rowOff>
    </xdr:from>
    <xdr:to>
      <xdr:col>4</xdr:col>
      <xdr:colOff>1049480</xdr:colOff>
      <xdr:row>23</xdr:row>
      <xdr:rowOff>0</xdr:rowOff>
    </xdr:to>
    <xdr:pic>
      <xdr:nvPicPr>
        <xdr:cNvPr id="12" name="Immagine 4">
          <a:extLst>
            <a:ext uri="{FF2B5EF4-FFF2-40B4-BE49-F238E27FC236}">
              <a16:creationId xmlns:a16="http://schemas.microsoft.com/office/drawing/2014/main" id="{32130BE7-D35C-451A-99FB-C0D0BD511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755" b="51652"/>
        <a:stretch/>
      </xdr:blipFill>
      <xdr:spPr>
        <a:xfrm>
          <a:off x="5834088" y="3495675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23</xdr:row>
      <xdr:rowOff>38100</xdr:rowOff>
    </xdr:from>
    <xdr:to>
      <xdr:col>4</xdr:col>
      <xdr:colOff>1049480</xdr:colOff>
      <xdr:row>25</xdr:row>
      <xdr:rowOff>172720</xdr:rowOff>
    </xdr:to>
    <xdr:pic>
      <xdr:nvPicPr>
        <xdr:cNvPr id="13" name="Immagine 5">
          <a:extLst>
            <a:ext uri="{FF2B5EF4-FFF2-40B4-BE49-F238E27FC236}">
              <a16:creationId xmlns:a16="http://schemas.microsoft.com/office/drawing/2014/main" id="{A10ACCAA-4FF6-DFE4-D521-50C52D56CC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7615" b="45792"/>
        <a:stretch/>
      </xdr:blipFill>
      <xdr:spPr>
        <a:xfrm>
          <a:off x="5834088" y="4038600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25</xdr:row>
      <xdr:rowOff>180975</xdr:rowOff>
    </xdr:from>
    <xdr:to>
      <xdr:col>4</xdr:col>
      <xdr:colOff>1049480</xdr:colOff>
      <xdr:row>28</xdr:row>
      <xdr:rowOff>128905</xdr:rowOff>
    </xdr:to>
    <xdr:pic>
      <xdr:nvPicPr>
        <xdr:cNvPr id="14" name="Immagine 6">
          <a:extLst>
            <a:ext uri="{FF2B5EF4-FFF2-40B4-BE49-F238E27FC236}">
              <a16:creationId xmlns:a16="http://schemas.microsoft.com/office/drawing/2014/main" id="{A7CE3085-F73A-BF45-B60E-1DE7B50F1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2499" b="40908"/>
        <a:stretch/>
      </xdr:blipFill>
      <xdr:spPr>
        <a:xfrm>
          <a:off x="5834088" y="4562475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29</xdr:row>
      <xdr:rowOff>47625</xdr:rowOff>
    </xdr:from>
    <xdr:to>
      <xdr:col>4</xdr:col>
      <xdr:colOff>1049480</xdr:colOff>
      <xdr:row>32</xdr:row>
      <xdr:rowOff>0</xdr:rowOff>
    </xdr:to>
    <xdr:pic>
      <xdr:nvPicPr>
        <xdr:cNvPr id="16" name="Immagine 7">
          <a:extLst>
            <a:ext uri="{FF2B5EF4-FFF2-40B4-BE49-F238E27FC236}">
              <a16:creationId xmlns:a16="http://schemas.microsoft.com/office/drawing/2014/main" id="{F0708298-D4C0-6C6C-C8D4-B6535EECA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2022" b="31385"/>
        <a:stretch/>
      </xdr:blipFill>
      <xdr:spPr>
        <a:xfrm>
          <a:off x="5834088" y="5191125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32</xdr:row>
      <xdr:rowOff>9525</xdr:rowOff>
    </xdr:from>
    <xdr:to>
      <xdr:col>4</xdr:col>
      <xdr:colOff>1049480</xdr:colOff>
      <xdr:row>34</xdr:row>
      <xdr:rowOff>139065</xdr:rowOff>
    </xdr:to>
    <xdr:pic>
      <xdr:nvPicPr>
        <xdr:cNvPr id="17" name="Immagine 8">
          <a:extLst>
            <a:ext uri="{FF2B5EF4-FFF2-40B4-BE49-F238E27FC236}">
              <a16:creationId xmlns:a16="http://schemas.microsoft.com/office/drawing/2014/main" id="{CE1F31BE-1FC5-A334-EE6B-E266C25293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3377" b="20030"/>
        <a:stretch/>
      </xdr:blipFill>
      <xdr:spPr>
        <a:xfrm>
          <a:off x="5834088" y="5724525"/>
          <a:ext cx="838317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204813</xdr:colOff>
      <xdr:row>37</xdr:row>
      <xdr:rowOff>0</xdr:rowOff>
    </xdr:from>
    <xdr:to>
      <xdr:col>4</xdr:col>
      <xdr:colOff>1049480</xdr:colOff>
      <xdr:row>40</xdr:row>
      <xdr:rowOff>76200</xdr:rowOff>
    </xdr:to>
    <xdr:pic>
      <xdr:nvPicPr>
        <xdr:cNvPr id="18" name="Immagine 9">
          <a:extLst>
            <a:ext uri="{FF2B5EF4-FFF2-40B4-BE49-F238E27FC236}">
              <a16:creationId xmlns:a16="http://schemas.microsoft.com/office/drawing/2014/main" id="{453BA404-CE95-62E9-D11F-9756C0EB8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0959" b="739"/>
        <a:stretch/>
      </xdr:blipFill>
      <xdr:spPr>
        <a:xfrm>
          <a:off x="5834088" y="6667500"/>
          <a:ext cx="838317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43</xdr:row>
      <xdr:rowOff>142876</xdr:rowOff>
    </xdr:from>
    <xdr:to>
      <xdr:col>4</xdr:col>
      <xdr:colOff>1226670</xdr:colOff>
      <xdr:row>46</xdr:row>
      <xdr:rowOff>62866</xdr:rowOff>
    </xdr:to>
    <xdr:pic>
      <xdr:nvPicPr>
        <xdr:cNvPr id="20" name="Immagine 10">
          <a:extLst>
            <a:ext uri="{FF2B5EF4-FFF2-40B4-BE49-F238E27FC236}">
              <a16:creationId xmlns:a16="http://schemas.microsoft.com/office/drawing/2014/main" id="{1A09D4AE-4751-BBD9-21A4-A506BFF580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92443"/>
        <a:stretch/>
      </xdr:blipFill>
      <xdr:spPr>
        <a:xfrm>
          <a:off x="5653087" y="7953376"/>
          <a:ext cx="1200318" cy="495300"/>
        </a:xfrm>
        <a:prstGeom prst="rect">
          <a:avLst/>
        </a:prstGeom>
      </xdr:spPr>
    </xdr:pic>
    <xdr:clientData/>
  </xdr:twoCellAnchor>
  <xdr:oneCellAnchor>
    <xdr:from>
      <xdr:col>4</xdr:col>
      <xdr:colOff>23812</xdr:colOff>
      <xdr:row>49</xdr:row>
      <xdr:rowOff>1</xdr:rowOff>
    </xdr:from>
    <xdr:ext cx="1200318" cy="819150"/>
    <xdr:pic>
      <xdr:nvPicPr>
        <xdr:cNvPr id="22" name="Immagine 11">
          <a:extLst>
            <a:ext uri="{FF2B5EF4-FFF2-40B4-BE49-F238E27FC236}">
              <a16:creationId xmlns:a16="http://schemas.microsoft.com/office/drawing/2014/main" id="{7B7D8534-E709-4240-B9B0-E15D63BA9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94" t="23690" r="-794" b="63813"/>
        <a:stretch/>
      </xdr:blipFill>
      <xdr:spPr>
        <a:xfrm>
          <a:off x="5653087" y="8953501"/>
          <a:ext cx="1200318" cy="819150"/>
        </a:xfrm>
        <a:prstGeom prst="rect">
          <a:avLst/>
        </a:prstGeom>
      </xdr:spPr>
    </xdr:pic>
    <xdr:clientData/>
  </xdr:oneCellAnchor>
  <xdr:oneCellAnchor>
    <xdr:from>
      <xdr:col>4</xdr:col>
      <xdr:colOff>23812</xdr:colOff>
      <xdr:row>56</xdr:row>
      <xdr:rowOff>142876</xdr:rowOff>
    </xdr:from>
    <xdr:ext cx="1200318" cy="495300"/>
    <xdr:pic>
      <xdr:nvPicPr>
        <xdr:cNvPr id="23" name="Immagine 12">
          <a:extLst>
            <a:ext uri="{FF2B5EF4-FFF2-40B4-BE49-F238E27FC236}">
              <a16:creationId xmlns:a16="http://schemas.microsoft.com/office/drawing/2014/main" id="{755E0842-15E0-4FFF-A1F3-3B60B6C02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6214" b="46229"/>
        <a:stretch/>
      </xdr:blipFill>
      <xdr:spPr>
        <a:xfrm>
          <a:off x="5653087" y="10429876"/>
          <a:ext cx="1200318" cy="495300"/>
        </a:xfrm>
        <a:prstGeom prst="rect">
          <a:avLst/>
        </a:prstGeom>
      </xdr:spPr>
    </xdr:pic>
    <xdr:clientData/>
  </xdr:oneCellAnchor>
  <xdr:oneCellAnchor>
    <xdr:from>
      <xdr:col>4</xdr:col>
      <xdr:colOff>23812</xdr:colOff>
      <xdr:row>62</xdr:row>
      <xdr:rowOff>142876</xdr:rowOff>
    </xdr:from>
    <xdr:ext cx="1200318" cy="495300"/>
    <xdr:pic>
      <xdr:nvPicPr>
        <xdr:cNvPr id="24" name="Immagine 13">
          <a:extLst>
            <a:ext uri="{FF2B5EF4-FFF2-40B4-BE49-F238E27FC236}">
              <a16:creationId xmlns:a16="http://schemas.microsoft.com/office/drawing/2014/main" id="{AE7B8EAE-EF03-4A4F-B1F9-6285DC8AA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8304" b="24139"/>
        <a:stretch/>
      </xdr:blipFill>
      <xdr:spPr>
        <a:xfrm>
          <a:off x="5653087" y="11572876"/>
          <a:ext cx="1200318" cy="495300"/>
        </a:xfrm>
        <a:prstGeom prst="rect">
          <a:avLst/>
        </a:prstGeom>
      </xdr:spPr>
    </xdr:pic>
    <xdr:clientData/>
  </xdr:oneCellAnchor>
  <xdr:oneCellAnchor>
    <xdr:from>
      <xdr:col>4</xdr:col>
      <xdr:colOff>23812</xdr:colOff>
      <xdr:row>67</xdr:row>
      <xdr:rowOff>95250</xdr:rowOff>
    </xdr:from>
    <xdr:ext cx="1200318" cy="581025"/>
    <xdr:pic>
      <xdr:nvPicPr>
        <xdr:cNvPr id="25" name="Immagine 14">
          <a:extLst>
            <a:ext uri="{FF2B5EF4-FFF2-40B4-BE49-F238E27FC236}">
              <a16:creationId xmlns:a16="http://schemas.microsoft.com/office/drawing/2014/main" id="{82C91825-CB73-449D-A2DF-5DAA4136F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1120" b="14"/>
        <a:stretch/>
      </xdr:blipFill>
      <xdr:spPr>
        <a:xfrm>
          <a:off x="5653087" y="12477750"/>
          <a:ext cx="1200318" cy="581025"/>
        </a:xfrm>
        <a:prstGeom prst="rect">
          <a:avLst/>
        </a:prstGeom>
      </xdr:spPr>
    </xdr:pic>
    <xdr:clientData/>
  </xdr:oneCellAnchor>
  <xdr:twoCellAnchor editAs="oneCell">
    <xdr:from>
      <xdr:col>9</xdr:col>
      <xdr:colOff>419100</xdr:colOff>
      <xdr:row>4</xdr:row>
      <xdr:rowOff>13335</xdr:rowOff>
    </xdr:from>
    <xdr:to>
      <xdr:col>12</xdr:col>
      <xdr:colOff>230300</xdr:colOff>
      <xdr:row>6</xdr:row>
      <xdr:rowOff>76147</xdr:rowOff>
    </xdr:to>
    <xdr:pic>
      <xdr:nvPicPr>
        <xdr:cNvPr id="2" name="Immagine 15">
          <a:extLst>
            <a:ext uri="{FF2B5EF4-FFF2-40B4-BE49-F238E27FC236}">
              <a16:creationId xmlns:a16="http://schemas.microsoft.com/office/drawing/2014/main" id="{302760AF-F160-7456-A989-F6A9E2126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7250" y="756285"/>
          <a:ext cx="1640000" cy="42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286643</xdr:colOff>
      <xdr:row>11</xdr:row>
      <xdr:rowOff>116195</xdr:rowOff>
    </xdr:from>
    <xdr:to>
      <xdr:col>11</xdr:col>
      <xdr:colOff>364027</xdr:colOff>
      <xdr:row>14</xdr:row>
      <xdr:rowOff>62794</xdr:rowOff>
    </xdr:to>
    <xdr:pic>
      <xdr:nvPicPr>
        <xdr:cNvPr id="4" name="Immagine 17">
          <a:extLst>
            <a:ext uri="{FF2B5EF4-FFF2-40B4-BE49-F238E27FC236}">
              <a16:creationId xmlns:a16="http://schemas.microsoft.com/office/drawing/2014/main" id="{75EF429A-EE85-94B8-46FA-EF13B1D85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4393" y="2125970"/>
          <a:ext cx="685714" cy="481904"/>
        </a:xfrm>
        <a:prstGeom prst="rect">
          <a:avLst/>
        </a:prstGeom>
      </xdr:spPr>
    </xdr:pic>
    <xdr:clientData/>
  </xdr:twoCellAnchor>
  <xdr:twoCellAnchor editAs="oneCell">
    <xdr:from>
      <xdr:col>9</xdr:col>
      <xdr:colOff>456243</xdr:colOff>
      <xdr:row>7</xdr:row>
      <xdr:rowOff>77155</xdr:rowOff>
    </xdr:from>
    <xdr:to>
      <xdr:col>12</xdr:col>
      <xdr:colOff>193157</xdr:colOff>
      <xdr:row>10</xdr:row>
      <xdr:rowOff>68832</xdr:rowOff>
    </xdr:to>
    <xdr:pic>
      <xdr:nvPicPr>
        <xdr:cNvPr id="5" name="Immagine 16">
          <a:extLst>
            <a:ext uri="{FF2B5EF4-FFF2-40B4-BE49-F238E27FC236}">
              <a16:creationId xmlns:a16="http://schemas.microsoft.com/office/drawing/2014/main" id="{FD6C06F0-C9B0-592F-C980-0CD8CFE2F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24393" y="1363030"/>
          <a:ext cx="1565714" cy="537142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238072</xdr:colOff>
      <xdr:row>15</xdr:row>
      <xdr:rowOff>143812</xdr:rowOff>
    </xdr:from>
    <xdr:to>
      <xdr:col>11</xdr:col>
      <xdr:colOff>408789</xdr:colOff>
      <xdr:row>18</xdr:row>
      <xdr:rowOff>20566</xdr:rowOff>
    </xdr:to>
    <xdr:pic>
      <xdr:nvPicPr>
        <xdr:cNvPr id="9" name="Immagine 18">
          <a:extLst>
            <a:ext uri="{FF2B5EF4-FFF2-40B4-BE49-F238E27FC236}">
              <a16:creationId xmlns:a16="http://schemas.microsoft.com/office/drawing/2014/main" id="{6E2F1717-DFED-CA70-54CD-66B556BA8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15822" y="2877487"/>
          <a:ext cx="782857" cy="441904"/>
        </a:xfrm>
        <a:prstGeom prst="rect">
          <a:avLst/>
        </a:prstGeom>
      </xdr:spPr>
    </xdr:pic>
    <xdr:clientData/>
  </xdr:twoCellAnchor>
  <xdr:twoCellAnchor editAs="oneCell">
    <xdr:from>
      <xdr:col>9</xdr:col>
      <xdr:colOff>529575</xdr:colOff>
      <xdr:row>19</xdr:row>
      <xdr:rowOff>158099</xdr:rowOff>
    </xdr:from>
    <xdr:to>
      <xdr:col>12</xdr:col>
      <xdr:colOff>102045</xdr:colOff>
      <xdr:row>22</xdr:row>
      <xdr:rowOff>54538</xdr:rowOff>
    </xdr:to>
    <xdr:pic>
      <xdr:nvPicPr>
        <xdr:cNvPr id="10" name="Immagine 19">
          <a:extLst>
            <a:ext uri="{FF2B5EF4-FFF2-40B4-BE49-F238E27FC236}">
              <a16:creationId xmlns:a16="http://schemas.microsoft.com/office/drawing/2014/main" id="{D3403B26-9F70-02F9-94D3-C30AFCF02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7725" y="3606149"/>
          <a:ext cx="1400000" cy="443809"/>
        </a:xfrm>
        <a:prstGeom prst="rect">
          <a:avLst/>
        </a:prstGeom>
      </xdr:spPr>
    </xdr:pic>
    <xdr:clientData/>
  </xdr:twoCellAnchor>
  <xdr:twoCellAnchor editAs="oneCell">
    <xdr:from>
      <xdr:col>9</xdr:col>
      <xdr:colOff>539100</xdr:colOff>
      <xdr:row>23</xdr:row>
      <xdr:rowOff>185721</xdr:rowOff>
    </xdr:from>
    <xdr:to>
      <xdr:col>12</xdr:col>
      <xdr:colOff>107760</xdr:colOff>
      <xdr:row>26</xdr:row>
      <xdr:rowOff>63110</xdr:rowOff>
    </xdr:to>
    <xdr:pic>
      <xdr:nvPicPr>
        <xdr:cNvPr id="15" name="Immagine 20">
          <a:extLst>
            <a:ext uri="{FF2B5EF4-FFF2-40B4-BE49-F238E27FC236}">
              <a16:creationId xmlns:a16="http://schemas.microsoft.com/office/drawing/2014/main" id="{0FD2E888-ADE2-0570-F1CD-0CDF949B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07250" y="4367196"/>
          <a:ext cx="1400000" cy="4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280929</xdr:colOff>
      <xdr:row>28</xdr:row>
      <xdr:rowOff>13318</xdr:rowOff>
    </xdr:from>
    <xdr:to>
      <xdr:col>11</xdr:col>
      <xdr:colOff>363392</xdr:colOff>
      <xdr:row>30</xdr:row>
      <xdr:rowOff>21525</xdr:rowOff>
    </xdr:to>
    <xdr:pic>
      <xdr:nvPicPr>
        <xdr:cNvPr id="19" name="Immagine 21">
          <a:extLst>
            <a:ext uri="{FF2B5EF4-FFF2-40B4-BE49-F238E27FC236}">
              <a16:creationId xmlns:a16="http://schemas.microsoft.com/office/drawing/2014/main" id="{4E9E6D67-FE7C-AC38-6418-BE0A8AAB9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58679" y="5147293"/>
          <a:ext cx="697143" cy="38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274261</xdr:colOff>
      <xdr:row>32</xdr:row>
      <xdr:rowOff>27613</xdr:rowOff>
    </xdr:from>
    <xdr:to>
      <xdr:col>11</xdr:col>
      <xdr:colOff>361170</xdr:colOff>
      <xdr:row>34</xdr:row>
      <xdr:rowOff>53600</xdr:rowOff>
    </xdr:to>
    <xdr:pic>
      <xdr:nvPicPr>
        <xdr:cNvPr id="21" name="Immagine 22">
          <a:extLst>
            <a:ext uri="{FF2B5EF4-FFF2-40B4-BE49-F238E27FC236}">
              <a16:creationId xmlns:a16="http://schemas.microsoft.com/office/drawing/2014/main" id="{CA7ACFAE-A767-63DC-8AEF-6E4DAFDD4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52011" y="5923588"/>
          <a:ext cx="691429" cy="38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289500</xdr:colOff>
      <xdr:row>36</xdr:row>
      <xdr:rowOff>19050</xdr:rowOff>
    </xdr:from>
    <xdr:to>
      <xdr:col>11</xdr:col>
      <xdr:colOff>367520</xdr:colOff>
      <xdr:row>37</xdr:row>
      <xdr:rowOff>160615</xdr:rowOff>
    </xdr:to>
    <xdr:pic>
      <xdr:nvPicPr>
        <xdr:cNvPr id="26" name="Immagine 23">
          <a:extLst>
            <a:ext uri="{FF2B5EF4-FFF2-40B4-BE49-F238E27FC236}">
              <a16:creationId xmlns:a16="http://schemas.microsoft.com/office/drawing/2014/main" id="{4880960A-AB30-4DDF-C15E-F6C6647D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67250" y="6638925"/>
          <a:ext cx="680000" cy="320000"/>
        </a:xfrm>
        <a:prstGeom prst="rect">
          <a:avLst/>
        </a:prstGeom>
      </xdr:spPr>
    </xdr:pic>
    <xdr:clientData/>
  </xdr:twoCellAnchor>
  <xdr:oneCellAnchor>
    <xdr:from>
      <xdr:col>9</xdr:col>
      <xdr:colOff>514350</xdr:colOff>
      <xdr:row>36</xdr:row>
      <xdr:rowOff>100012</xdr:rowOff>
    </xdr:from>
    <xdr:ext cx="65" cy="172227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CB783F7E-2A84-F003-6FB6-9EDAB433AA17}"/>
            </a:ext>
          </a:extLst>
        </xdr:cNvPr>
        <xdr:cNvSpPr txBox="1"/>
      </xdr:nvSpPr>
      <xdr:spPr>
        <a:xfrm>
          <a:off x="12382500" y="546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11</xdr:col>
      <xdr:colOff>0</xdr:colOff>
      <xdr:row>40</xdr:row>
      <xdr:rowOff>119062</xdr:rowOff>
    </xdr:from>
    <xdr:ext cx="319209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asellaDiTesto 27">
              <a:extLst>
                <a:ext uri="{FF2B5EF4-FFF2-40B4-BE49-F238E27FC236}">
                  <a16:creationId xmlns:a16="http://schemas.microsoft.com/office/drawing/2014/main" id="{D07CB327-3F56-3D88-7DA6-F3CBD6B5E5F3}"/>
                </a:ext>
              </a:extLst>
            </xdr:cNvPr>
            <xdr:cNvSpPr txBox="1"/>
          </xdr:nvSpPr>
          <xdr:spPr>
            <a:xfrm>
              <a:off x="13087350" y="6043612"/>
              <a:ext cx="319209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𝑤h𝑒𝑛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≤6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=0.5</m:t>
                    </m:r>
                    <m:rad>
                      <m:radPr>
                        <m:degHide m:val="on"/>
                        <m:ctrlP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b>
                          <m:sSubPr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rad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𝑤h𝑒𝑛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&gt;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𝑚𝑚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28" name="CasellaDiTesto 27">
              <a:extLst>
                <a:ext uri="{FF2B5EF4-FFF2-40B4-BE49-F238E27FC236}">
                  <a16:creationId xmlns:a16="http://schemas.microsoft.com/office/drawing/2014/main" id="{D07CB327-3F56-3D88-7DA6-F3CBD6B5E5F3}"/>
                </a:ext>
              </a:extLst>
            </xdr:cNvPr>
            <xdr:cNvSpPr txBox="1"/>
          </xdr:nvSpPr>
          <xdr:spPr>
            <a:xfrm>
              <a:off x="13087350" y="6043612"/>
              <a:ext cx="319209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t-IT" sz="1100" i="0">
                  <a:latin typeface="Cambria Math" panose="02040503050406030204" pitchFamily="18" charset="0"/>
                </a:rPr>
                <a:t>〖</a:t>
              </a:r>
              <a:r>
                <a:rPr lang="it-IT" sz="1100" b="0" i="0">
                  <a:latin typeface="Cambria Math" panose="02040503050406030204" pitchFamily="18" charset="0"/>
                </a:rPr>
                <a:t>𝑏=𝑏〗_0  𝑤ℎ𝑒𝑛 𝑏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≤6𝑚𝑚;𝑏=0.5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√(𝑏_0 )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𝑤ℎ𝑒𝑛 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&gt;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6𝑚𝑚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</a:t>
              </a:r>
              <a:endParaRPr lang="it-I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6688-44D4-441D-817F-37F2276FF96E}">
  <dimension ref="A1:AD48"/>
  <sheetViews>
    <sheetView tabSelected="1" topLeftCell="A8" zoomScaleNormal="100" zoomScaleSheetLayoutView="100" workbookViewId="0">
      <selection activeCell="A8" sqref="A8:AD39"/>
    </sheetView>
  </sheetViews>
  <sheetFormatPr defaultRowHeight="12" x14ac:dyDescent="0.2"/>
  <cols>
    <col min="1" max="30" width="3.28515625" style="57" customWidth="1"/>
    <col min="31" max="256" width="9.140625" style="57"/>
    <col min="257" max="286" width="3.28515625" style="57" customWidth="1"/>
    <col min="287" max="512" width="9.140625" style="57"/>
    <col min="513" max="542" width="3.28515625" style="57" customWidth="1"/>
    <col min="543" max="768" width="9.140625" style="57"/>
    <col min="769" max="798" width="3.28515625" style="57" customWidth="1"/>
    <col min="799" max="1024" width="9.140625" style="57"/>
    <col min="1025" max="1054" width="3.28515625" style="57" customWidth="1"/>
    <col min="1055" max="1280" width="9.140625" style="57"/>
    <col min="1281" max="1310" width="3.28515625" style="57" customWidth="1"/>
    <col min="1311" max="1536" width="9.140625" style="57"/>
    <col min="1537" max="1566" width="3.28515625" style="57" customWidth="1"/>
    <col min="1567" max="1792" width="9.140625" style="57"/>
    <col min="1793" max="1822" width="3.28515625" style="57" customWidth="1"/>
    <col min="1823" max="2048" width="9.140625" style="57"/>
    <col min="2049" max="2078" width="3.28515625" style="57" customWidth="1"/>
    <col min="2079" max="2304" width="9.140625" style="57"/>
    <col min="2305" max="2334" width="3.28515625" style="57" customWidth="1"/>
    <col min="2335" max="2560" width="9.140625" style="57"/>
    <col min="2561" max="2590" width="3.28515625" style="57" customWidth="1"/>
    <col min="2591" max="2816" width="9.140625" style="57"/>
    <col min="2817" max="2846" width="3.28515625" style="57" customWidth="1"/>
    <col min="2847" max="3072" width="9.140625" style="57"/>
    <col min="3073" max="3102" width="3.28515625" style="57" customWidth="1"/>
    <col min="3103" max="3328" width="9.140625" style="57"/>
    <col min="3329" max="3358" width="3.28515625" style="57" customWidth="1"/>
    <col min="3359" max="3584" width="9.140625" style="57"/>
    <col min="3585" max="3614" width="3.28515625" style="57" customWidth="1"/>
    <col min="3615" max="3840" width="9.140625" style="57"/>
    <col min="3841" max="3870" width="3.28515625" style="57" customWidth="1"/>
    <col min="3871" max="4096" width="9.140625" style="57"/>
    <col min="4097" max="4126" width="3.28515625" style="57" customWidth="1"/>
    <col min="4127" max="4352" width="9.140625" style="57"/>
    <col min="4353" max="4382" width="3.28515625" style="57" customWidth="1"/>
    <col min="4383" max="4608" width="9.140625" style="57"/>
    <col min="4609" max="4638" width="3.28515625" style="57" customWidth="1"/>
    <col min="4639" max="4864" width="9.140625" style="57"/>
    <col min="4865" max="4894" width="3.28515625" style="57" customWidth="1"/>
    <col min="4895" max="5120" width="9.140625" style="57"/>
    <col min="5121" max="5150" width="3.28515625" style="57" customWidth="1"/>
    <col min="5151" max="5376" width="9.140625" style="57"/>
    <col min="5377" max="5406" width="3.28515625" style="57" customWidth="1"/>
    <col min="5407" max="5632" width="9.140625" style="57"/>
    <col min="5633" max="5662" width="3.28515625" style="57" customWidth="1"/>
    <col min="5663" max="5888" width="9.140625" style="57"/>
    <col min="5889" max="5918" width="3.28515625" style="57" customWidth="1"/>
    <col min="5919" max="6144" width="9.140625" style="57"/>
    <col min="6145" max="6174" width="3.28515625" style="57" customWidth="1"/>
    <col min="6175" max="6400" width="9.140625" style="57"/>
    <col min="6401" max="6430" width="3.28515625" style="57" customWidth="1"/>
    <col min="6431" max="6656" width="9.140625" style="57"/>
    <col min="6657" max="6686" width="3.28515625" style="57" customWidth="1"/>
    <col min="6687" max="6912" width="9.140625" style="57"/>
    <col min="6913" max="6942" width="3.28515625" style="57" customWidth="1"/>
    <col min="6943" max="7168" width="9.140625" style="57"/>
    <col min="7169" max="7198" width="3.28515625" style="57" customWidth="1"/>
    <col min="7199" max="7424" width="9.140625" style="57"/>
    <col min="7425" max="7454" width="3.28515625" style="57" customWidth="1"/>
    <col min="7455" max="7680" width="9.140625" style="57"/>
    <col min="7681" max="7710" width="3.28515625" style="57" customWidth="1"/>
    <col min="7711" max="7936" width="9.140625" style="57"/>
    <col min="7937" max="7966" width="3.28515625" style="57" customWidth="1"/>
    <col min="7967" max="8192" width="9.140625" style="57"/>
    <col min="8193" max="8222" width="3.28515625" style="57" customWidth="1"/>
    <col min="8223" max="8448" width="9.140625" style="57"/>
    <col min="8449" max="8478" width="3.28515625" style="57" customWidth="1"/>
    <col min="8479" max="8704" width="9.140625" style="57"/>
    <col min="8705" max="8734" width="3.28515625" style="57" customWidth="1"/>
    <col min="8735" max="8960" width="9.140625" style="57"/>
    <col min="8961" max="8990" width="3.28515625" style="57" customWidth="1"/>
    <col min="8991" max="9216" width="9.140625" style="57"/>
    <col min="9217" max="9246" width="3.28515625" style="57" customWidth="1"/>
    <col min="9247" max="9472" width="9.140625" style="57"/>
    <col min="9473" max="9502" width="3.28515625" style="57" customWidth="1"/>
    <col min="9503" max="9728" width="9.140625" style="57"/>
    <col min="9729" max="9758" width="3.28515625" style="57" customWidth="1"/>
    <col min="9759" max="9984" width="9.140625" style="57"/>
    <col min="9985" max="10014" width="3.28515625" style="57" customWidth="1"/>
    <col min="10015" max="10240" width="9.140625" style="57"/>
    <col min="10241" max="10270" width="3.28515625" style="57" customWidth="1"/>
    <col min="10271" max="10496" width="9.140625" style="57"/>
    <col min="10497" max="10526" width="3.28515625" style="57" customWidth="1"/>
    <col min="10527" max="10752" width="9.140625" style="57"/>
    <col min="10753" max="10782" width="3.28515625" style="57" customWidth="1"/>
    <col min="10783" max="11008" width="9.140625" style="57"/>
    <col min="11009" max="11038" width="3.28515625" style="57" customWidth="1"/>
    <col min="11039" max="11264" width="9.140625" style="57"/>
    <col min="11265" max="11294" width="3.28515625" style="57" customWidth="1"/>
    <col min="11295" max="11520" width="9.140625" style="57"/>
    <col min="11521" max="11550" width="3.28515625" style="57" customWidth="1"/>
    <col min="11551" max="11776" width="9.140625" style="57"/>
    <col min="11777" max="11806" width="3.28515625" style="57" customWidth="1"/>
    <col min="11807" max="12032" width="9.140625" style="57"/>
    <col min="12033" max="12062" width="3.28515625" style="57" customWidth="1"/>
    <col min="12063" max="12288" width="9.140625" style="57"/>
    <col min="12289" max="12318" width="3.28515625" style="57" customWidth="1"/>
    <col min="12319" max="12544" width="9.140625" style="57"/>
    <col min="12545" max="12574" width="3.28515625" style="57" customWidth="1"/>
    <col min="12575" max="12800" width="9.140625" style="57"/>
    <col min="12801" max="12830" width="3.28515625" style="57" customWidth="1"/>
    <col min="12831" max="13056" width="9.140625" style="57"/>
    <col min="13057" max="13086" width="3.28515625" style="57" customWidth="1"/>
    <col min="13087" max="13312" width="9.140625" style="57"/>
    <col min="13313" max="13342" width="3.28515625" style="57" customWidth="1"/>
    <col min="13343" max="13568" width="9.140625" style="57"/>
    <col min="13569" max="13598" width="3.28515625" style="57" customWidth="1"/>
    <col min="13599" max="13824" width="9.140625" style="57"/>
    <col min="13825" max="13854" width="3.28515625" style="57" customWidth="1"/>
    <col min="13855" max="14080" width="9.140625" style="57"/>
    <col min="14081" max="14110" width="3.28515625" style="57" customWidth="1"/>
    <col min="14111" max="14336" width="9.140625" style="57"/>
    <col min="14337" max="14366" width="3.28515625" style="57" customWidth="1"/>
    <col min="14367" max="14592" width="9.140625" style="57"/>
    <col min="14593" max="14622" width="3.28515625" style="57" customWidth="1"/>
    <col min="14623" max="14848" width="9.140625" style="57"/>
    <col min="14849" max="14878" width="3.28515625" style="57" customWidth="1"/>
    <col min="14879" max="15104" width="9.140625" style="57"/>
    <col min="15105" max="15134" width="3.28515625" style="57" customWidth="1"/>
    <col min="15135" max="15360" width="9.140625" style="57"/>
    <col min="15361" max="15390" width="3.28515625" style="57" customWidth="1"/>
    <col min="15391" max="15616" width="9.140625" style="57"/>
    <col min="15617" max="15646" width="3.28515625" style="57" customWidth="1"/>
    <col min="15647" max="15872" width="9.140625" style="57"/>
    <col min="15873" max="15902" width="3.28515625" style="57" customWidth="1"/>
    <col min="15903" max="16128" width="9.140625" style="57"/>
    <col min="16129" max="16158" width="3.28515625" style="57" customWidth="1"/>
    <col min="16159" max="16384" width="9.140625" style="57"/>
  </cols>
  <sheetData>
    <row r="1" spans="1:30" ht="15" customHeight="1" x14ac:dyDescent="0.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</row>
    <row r="2" spans="1:30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60"/>
    </row>
    <row r="3" spans="1:30" ht="15" customHeight="1" x14ac:dyDescent="0.2">
      <c r="A3" s="58"/>
      <c r="B3" s="59"/>
      <c r="C3" s="59"/>
      <c r="D3" s="59"/>
      <c r="E3" s="59"/>
      <c r="F3" s="59"/>
      <c r="G3" s="59"/>
      <c r="H3" s="61"/>
      <c r="I3" s="61"/>
      <c r="J3" s="6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  <c r="X3" s="63"/>
      <c r="Y3" s="63"/>
      <c r="Z3" s="63"/>
      <c r="AA3" s="63"/>
      <c r="AB3" s="63"/>
      <c r="AC3" s="63"/>
      <c r="AD3" s="64"/>
    </row>
    <row r="4" spans="1:30" ht="15" customHeight="1" x14ac:dyDescent="0.2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60"/>
    </row>
    <row r="5" spans="1:30" ht="15" customHeight="1" x14ac:dyDescent="0.2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60"/>
    </row>
    <row r="6" spans="1:30" ht="15" customHeight="1" x14ac:dyDescent="0.2">
      <c r="A6" s="58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60"/>
    </row>
    <row r="7" spans="1:30" ht="15" customHeight="1" thickBot="1" x14ac:dyDescent="0.25">
      <c r="A7" s="65"/>
      <c r="B7" s="66"/>
      <c r="C7" s="66"/>
      <c r="D7" s="66"/>
      <c r="E7" s="66"/>
      <c r="F7" s="67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6"/>
      <c r="AB7" s="66"/>
      <c r="AC7" s="66"/>
      <c r="AD7" s="68"/>
    </row>
    <row r="8" spans="1:30" ht="15" customHeight="1" x14ac:dyDescent="0.2">
      <c r="A8" s="69" t="s">
        <v>154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1"/>
    </row>
    <row r="9" spans="1:30" ht="15" customHeight="1" x14ac:dyDescent="0.2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4"/>
    </row>
    <row r="10" spans="1:30" ht="15" customHeight="1" x14ac:dyDescent="0.2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4"/>
    </row>
    <row r="11" spans="1:30" ht="15" customHeight="1" x14ac:dyDescent="0.2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4"/>
    </row>
    <row r="12" spans="1:30" ht="15" customHeight="1" x14ac:dyDescent="0.2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4"/>
    </row>
    <row r="13" spans="1:30" ht="15" customHeight="1" x14ac:dyDescent="0.2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4"/>
    </row>
    <row r="14" spans="1:30" ht="15" customHeight="1" x14ac:dyDescent="0.2">
      <c r="A14" s="72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4"/>
    </row>
    <row r="15" spans="1:30" ht="15" customHeight="1" x14ac:dyDescent="0.2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4"/>
    </row>
    <row r="16" spans="1:30" ht="15" customHeight="1" x14ac:dyDescent="0.2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4"/>
    </row>
    <row r="17" spans="1:30" ht="15" customHeight="1" x14ac:dyDescent="0.2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4"/>
    </row>
    <row r="18" spans="1:30" ht="15" customHeight="1" x14ac:dyDescent="0.2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4"/>
    </row>
    <row r="19" spans="1:30" ht="15" customHeight="1" x14ac:dyDescent="0.2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4"/>
    </row>
    <row r="20" spans="1:30" ht="15" customHeight="1" x14ac:dyDescent="0.2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4"/>
    </row>
    <row r="21" spans="1:30" ht="15" customHeight="1" x14ac:dyDescent="0.2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4"/>
    </row>
    <row r="22" spans="1:30" ht="15" customHeight="1" x14ac:dyDescent="0.2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4"/>
    </row>
    <row r="23" spans="1:30" ht="15" customHeight="1" x14ac:dyDescent="0.2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4"/>
    </row>
    <row r="24" spans="1:30" ht="15" customHeight="1" x14ac:dyDescent="0.2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4"/>
    </row>
    <row r="25" spans="1:30" ht="15" customHeight="1" x14ac:dyDescent="0.2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4"/>
    </row>
    <row r="26" spans="1:30" ht="15" customHeight="1" x14ac:dyDescent="0.2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4"/>
    </row>
    <row r="27" spans="1:30" ht="15" customHeight="1" x14ac:dyDescent="0.2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4"/>
    </row>
    <row r="28" spans="1:30" ht="15" customHeight="1" x14ac:dyDescent="0.2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4"/>
    </row>
    <row r="29" spans="1:30" ht="15" customHeight="1" x14ac:dyDescent="0.2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4"/>
    </row>
    <row r="30" spans="1:30" ht="15" customHeight="1" x14ac:dyDescent="0.2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4"/>
    </row>
    <row r="31" spans="1:30" ht="15" customHeight="1" x14ac:dyDescent="0.2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4"/>
    </row>
    <row r="32" spans="1:30" ht="15" customHeight="1" x14ac:dyDescent="0.2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4"/>
    </row>
    <row r="33" spans="1:30" ht="15" customHeight="1" x14ac:dyDescent="0.2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4"/>
    </row>
    <row r="34" spans="1:30" ht="15" customHeight="1" x14ac:dyDescent="0.2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4"/>
    </row>
    <row r="35" spans="1:30" ht="15" customHeight="1" x14ac:dyDescent="0.2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4"/>
    </row>
    <row r="36" spans="1:30" ht="15" customHeight="1" x14ac:dyDescent="0.2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4"/>
    </row>
    <row r="37" spans="1:30" ht="15" customHeight="1" x14ac:dyDescent="0.2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4"/>
    </row>
    <row r="38" spans="1:30" ht="15" customHeight="1" x14ac:dyDescent="0.2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4"/>
    </row>
    <row r="39" spans="1:30" ht="15" customHeight="1" thickBo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7"/>
    </row>
    <row r="40" spans="1:30" ht="30" customHeight="1" x14ac:dyDescent="0.2">
      <c r="A40" s="78"/>
      <c r="B40" s="79"/>
      <c r="C40" s="80"/>
      <c r="D40" s="81"/>
      <c r="E40" s="81"/>
      <c r="F40" s="79"/>
      <c r="G40" s="80"/>
      <c r="H40" s="81"/>
      <c r="I40" s="81"/>
      <c r="J40" s="81"/>
      <c r="K40" s="81"/>
      <c r="L40" s="81"/>
      <c r="M40" s="81"/>
      <c r="N40" s="81"/>
      <c r="O40" s="81"/>
      <c r="P40" s="80"/>
      <c r="Q40" s="81"/>
      <c r="R40" s="81"/>
      <c r="S40" s="81"/>
      <c r="T40" s="79"/>
      <c r="U40" s="80"/>
      <c r="V40" s="81"/>
      <c r="W40" s="81"/>
      <c r="X40" s="81"/>
      <c r="Y40" s="79"/>
      <c r="Z40" s="80"/>
      <c r="AA40" s="81"/>
      <c r="AB40" s="81"/>
      <c r="AC40" s="81"/>
      <c r="AD40" s="82"/>
    </row>
    <row r="41" spans="1:30" ht="30" customHeight="1" x14ac:dyDescent="0.2">
      <c r="A41" s="86"/>
      <c r="B41" s="87"/>
      <c r="C41" s="83"/>
      <c r="D41" s="84"/>
      <c r="E41" s="84"/>
      <c r="F41" s="87"/>
      <c r="G41" s="83"/>
      <c r="H41" s="84"/>
      <c r="I41" s="84"/>
      <c r="J41" s="84"/>
      <c r="K41" s="84"/>
      <c r="L41" s="84"/>
      <c r="M41" s="84"/>
      <c r="N41" s="84"/>
      <c r="O41" s="84"/>
      <c r="P41" s="83"/>
      <c r="Q41" s="84"/>
      <c r="R41" s="84"/>
      <c r="S41" s="84"/>
      <c r="T41" s="87"/>
      <c r="U41" s="83"/>
      <c r="V41" s="84"/>
      <c r="W41" s="84"/>
      <c r="X41" s="84"/>
      <c r="Y41" s="87"/>
      <c r="Z41" s="83"/>
      <c r="AA41" s="84"/>
      <c r="AB41" s="84"/>
      <c r="AC41" s="84"/>
      <c r="AD41" s="85"/>
    </row>
    <row r="42" spans="1:30" ht="30" customHeight="1" x14ac:dyDescent="0.2">
      <c r="A42" s="86"/>
      <c r="B42" s="87"/>
      <c r="C42" s="83"/>
      <c r="D42" s="84"/>
      <c r="E42" s="84"/>
      <c r="F42" s="87"/>
      <c r="G42" s="83"/>
      <c r="H42" s="84"/>
      <c r="I42" s="84"/>
      <c r="J42" s="84"/>
      <c r="K42" s="84"/>
      <c r="L42" s="84"/>
      <c r="M42" s="84"/>
      <c r="N42" s="84"/>
      <c r="O42" s="84"/>
      <c r="P42" s="83"/>
      <c r="Q42" s="84"/>
      <c r="R42" s="84"/>
      <c r="S42" s="84"/>
      <c r="T42" s="87"/>
      <c r="U42" s="83"/>
      <c r="V42" s="84"/>
      <c r="W42" s="84"/>
      <c r="X42" s="84"/>
      <c r="Y42" s="87"/>
      <c r="Z42" s="83"/>
      <c r="AA42" s="84"/>
      <c r="AB42" s="84"/>
      <c r="AC42" s="84"/>
      <c r="AD42" s="85"/>
    </row>
    <row r="43" spans="1:30" ht="30" customHeight="1" x14ac:dyDescent="0.2">
      <c r="A43" s="86"/>
      <c r="B43" s="87"/>
      <c r="C43" s="83"/>
      <c r="D43" s="84"/>
      <c r="E43" s="84"/>
      <c r="F43" s="87"/>
      <c r="G43" s="83"/>
      <c r="H43" s="84"/>
      <c r="I43" s="84"/>
      <c r="J43" s="84"/>
      <c r="K43" s="84"/>
      <c r="L43" s="84"/>
      <c r="M43" s="84"/>
      <c r="N43" s="84"/>
      <c r="O43" s="84"/>
      <c r="P43" s="83"/>
      <c r="Q43" s="84"/>
      <c r="R43" s="84"/>
      <c r="S43" s="84"/>
      <c r="T43" s="87"/>
      <c r="U43" s="83"/>
      <c r="V43" s="84"/>
      <c r="W43" s="84"/>
      <c r="X43" s="84"/>
      <c r="Y43" s="87"/>
      <c r="Z43" s="83"/>
      <c r="AA43" s="84"/>
      <c r="AB43" s="84"/>
      <c r="AC43" s="84"/>
      <c r="AD43" s="85"/>
    </row>
    <row r="44" spans="1:30" ht="30" customHeight="1" x14ac:dyDescent="0.2">
      <c r="A44" s="86"/>
      <c r="B44" s="87"/>
      <c r="C44" s="83"/>
      <c r="D44" s="84"/>
      <c r="E44" s="84"/>
      <c r="F44" s="87"/>
      <c r="G44" s="83"/>
      <c r="H44" s="84"/>
      <c r="I44" s="84"/>
      <c r="J44" s="84"/>
      <c r="K44" s="84"/>
      <c r="L44" s="84"/>
      <c r="M44" s="84"/>
      <c r="N44" s="84"/>
      <c r="O44" s="84"/>
      <c r="P44" s="83"/>
      <c r="Q44" s="84"/>
      <c r="R44" s="84"/>
      <c r="S44" s="84"/>
      <c r="T44" s="87"/>
      <c r="U44" s="83"/>
      <c r="V44" s="84"/>
      <c r="W44" s="84"/>
      <c r="X44" s="84"/>
      <c r="Y44" s="87"/>
      <c r="Z44" s="83"/>
      <c r="AA44" s="84"/>
      <c r="AB44" s="84"/>
      <c r="AC44" s="84"/>
      <c r="AD44" s="85"/>
    </row>
    <row r="45" spans="1:30" ht="30" customHeight="1" x14ac:dyDescent="0.2">
      <c r="A45" s="86"/>
      <c r="B45" s="87"/>
      <c r="C45" s="83"/>
      <c r="D45" s="84"/>
      <c r="E45" s="84"/>
      <c r="F45" s="87"/>
      <c r="G45" s="83"/>
      <c r="H45" s="84"/>
      <c r="I45" s="84"/>
      <c r="J45" s="84"/>
      <c r="K45" s="84"/>
      <c r="L45" s="84"/>
      <c r="M45" s="84"/>
      <c r="N45" s="84"/>
      <c r="O45" s="84"/>
      <c r="P45" s="83"/>
      <c r="Q45" s="84"/>
      <c r="R45" s="84"/>
      <c r="S45" s="84"/>
      <c r="T45" s="87"/>
      <c r="U45" s="83"/>
      <c r="V45" s="84"/>
      <c r="W45" s="84"/>
      <c r="X45" s="84"/>
      <c r="Y45" s="87"/>
      <c r="Z45" s="83"/>
      <c r="AA45" s="84"/>
      <c r="AB45" s="84"/>
      <c r="AC45" s="84"/>
      <c r="AD45" s="85"/>
    </row>
    <row r="46" spans="1:30" ht="30" customHeight="1" x14ac:dyDescent="0.2">
      <c r="A46" s="91">
        <v>0</v>
      </c>
      <c r="B46" s="92"/>
      <c r="C46" s="93">
        <v>45628</v>
      </c>
      <c r="D46" s="94"/>
      <c r="E46" s="94"/>
      <c r="F46" s="95"/>
      <c r="G46" s="96" t="s">
        <v>0</v>
      </c>
      <c r="H46" s="97"/>
      <c r="I46" s="97"/>
      <c r="J46" s="97"/>
      <c r="K46" s="97"/>
      <c r="L46" s="97"/>
      <c r="M46" s="97"/>
      <c r="N46" s="97"/>
      <c r="O46" s="97"/>
      <c r="P46" s="88" t="s">
        <v>1</v>
      </c>
      <c r="Q46" s="89"/>
      <c r="R46" s="89"/>
      <c r="S46" s="89"/>
      <c r="T46" s="98"/>
      <c r="U46" s="88" t="s">
        <v>152</v>
      </c>
      <c r="V46" s="89"/>
      <c r="W46" s="89"/>
      <c r="X46" s="89"/>
      <c r="Y46" s="98"/>
      <c r="Z46" s="88" t="s">
        <v>153</v>
      </c>
      <c r="AA46" s="89"/>
      <c r="AB46" s="89"/>
      <c r="AC46" s="89"/>
      <c r="AD46" s="90"/>
    </row>
    <row r="47" spans="1:30" ht="15" customHeight="1" thickBot="1" x14ac:dyDescent="0.25">
      <c r="A47" s="102" t="s">
        <v>2</v>
      </c>
      <c r="B47" s="103"/>
      <c r="C47" s="104" t="s">
        <v>3</v>
      </c>
      <c r="D47" s="105"/>
      <c r="E47" s="105"/>
      <c r="F47" s="106"/>
      <c r="G47" s="104" t="s">
        <v>4</v>
      </c>
      <c r="H47" s="105"/>
      <c r="I47" s="105"/>
      <c r="J47" s="105"/>
      <c r="K47" s="105"/>
      <c r="L47" s="105"/>
      <c r="M47" s="105"/>
      <c r="N47" s="105"/>
      <c r="O47" s="105"/>
      <c r="P47" s="104" t="s">
        <v>5</v>
      </c>
      <c r="Q47" s="105"/>
      <c r="R47" s="105"/>
      <c r="S47" s="105"/>
      <c r="T47" s="106"/>
      <c r="U47" s="104" t="s">
        <v>6</v>
      </c>
      <c r="V47" s="105"/>
      <c r="W47" s="105"/>
      <c r="X47" s="105"/>
      <c r="Y47" s="105"/>
      <c r="Z47" s="104" t="s">
        <v>7</v>
      </c>
      <c r="AA47" s="105"/>
      <c r="AB47" s="105"/>
      <c r="AC47" s="105"/>
      <c r="AD47" s="107"/>
    </row>
    <row r="48" spans="1:30" ht="15" customHeight="1" thickBot="1" x14ac:dyDescent="0.25">
      <c r="A48" s="99" t="s">
        <v>151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1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D82B-8780-4CB5-B53F-AAE358069DA4}">
  <sheetPr codeName="Foglio2"/>
  <dimension ref="B2:J33"/>
  <sheetViews>
    <sheetView workbookViewId="0"/>
  </sheetViews>
  <sheetFormatPr defaultRowHeight="15" x14ac:dyDescent="0.25"/>
  <cols>
    <col min="1" max="1" width="2.7109375" customWidth="1"/>
    <col min="2" max="2" width="15" bestFit="1" customWidth="1"/>
    <col min="3" max="3" width="18.5703125" bestFit="1" customWidth="1"/>
    <col min="4" max="4" width="17.28515625" bestFit="1" customWidth="1"/>
    <col min="5" max="6" width="18.7109375" customWidth="1"/>
    <col min="7" max="7" width="2.7109375" customWidth="1"/>
    <col min="8" max="8" width="10.85546875" bestFit="1" customWidth="1"/>
  </cols>
  <sheetData>
    <row r="2" spans="2:8" x14ac:dyDescent="0.25">
      <c r="B2" s="111" t="s">
        <v>8</v>
      </c>
      <c r="C2" s="112"/>
      <c r="D2" s="112"/>
      <c r="E2" s="112"/>
      <c r="F2" s="113"/>
      <c r="H2" s="18" t="s">
        <v>9</v>
      </c>
    </row>
    <row r="3" spans="2:8" ht="18" x14ac:dyDescent="0.35">
      <c r="B3" s="27" t="s">
        <v>10</v>
      </c>
      <c r="C3" s="25">
        <v>100</v>
      </c>
      <c r="D3" s="117" t="s">
        <v>11</v>
      </c>
      <c r="E3" s="118"/>
      <c r="F3" s="119"/>
      <c r="H3" s="19" t="s">
        <v>12</v>
      </c>
    </row>
    <row r="4" spans="2:8" ht="18" x14ac:dyDescent="0.35">
      <c r="B4" s="28" t="s">
        <v>13</v>
      </c>
      <c r="C4" s="26">
        <v>90</v>
      </c>
      <c r="D4" s="120" t="s">
        <v>14</v>
      </c>
      <c r="E4" s="121"/>
      <c r="F4" s="122"/>
      <c r="H4" s="20" t="s">
        <v>15</v>
      </c>
    </row>
    <row r="5" spans="2:8" ht="15" customHeight="1" x14ac:dyDescent="0.25">
      <c r="B5" s="28" t="s">
        <v>16</v>
      </c>
      <c r="C5" s="26">
        <v>100</v>
      </c>
      <c r="D5" s="120" t="s">
        <v>17</v>
      </c>
      <c r="E5" s="121"/>
      <c r="F5" s="122"/>
      <c r="H5" s="21" t="s">
        <v>18</v>
      </c>
    </row>
    <row r="6" spans="2:8" ht="15" customHeight="1" x14ac:dyDescent="0.25">
      <c r="B6" s="28" t="s">
        <v>19</v>
      </c>
      <c r="C6" s="26">
        <v>3</v>
      </c>
      <c r="D6" s="120" t="s">
        <v>20</v>
      </c>
      <c r="E6" s="121"/>
      <c r="F6" s="122"/>
      <c r="H6" s="22" t="s">
        <v>21</v>
      </c>
    </row>
    <row r="7" spans="2:8" ht="15" customHeight="1" x14ac:dyDescent="0.25">
      <c r="B7" s="28" t="s">
        <v>22</v>
      </c>
      <c r="C7" s="26">
        <v>69</v>
      </c>
      <c r="D7" s="123" t="s">
        <v>23</v>
      </c>
      <c r="E7" s="124"/>
      <c r="F7" s="125"/>
    </row>
    <row r="8" spans="2:8" x14ac:dyDescent="0.25">
      <c r="B8" s="28" t="s">
        <v>24</v>
      </c>
      <c r="C8" s="26" t="s">
        <v>25</v>
      </c>
      <c r="D8" s="30"/>
      <c r="E8" s="129" t="str">
        <f>VLOOKUP(C9,'gasket table'!T3:U11,2,FALSE)</f>
        <v>Fig1a</v>
      </c>
      <c r="F8" s="130"/>
    </row>
    <row r="9" spans="2:8" x14ac:dyDescent="0.25">
      <c r="B9" s="28" t="s">
        <v>26</v>
      </c>
      <c r="C9" s="26" t="s">
        <v>27</v>
      </c>
      <c r="D9" s="32"/>
      <c r="E9" s="131"/>
      <c r="F9" s="132"/>
    </row>
    <row r="10" spans="2:8" x14ac:dyDescent="0.25">
      <c r="B10" s="28" t="s">
        <v>28</v>
      </c>
      <c r="C10" s="23">
        <v>5</v>
      </c>
      <c r="D10" s="31" t="s">
        <v>29</v>
      </c>
      <c r="E10" s="131"/>
      <c r="F10" s="132"/>
    </row>
    <row r="11" spans="2:8" x14ac:dyDescent="0.25">
      <c r="B11" s="28" t="s">
        <v>30</v>
      </c>
      <c r="C11" s="23">
        <v>4</v>
      </c>
      <c r="D11" s="24" t="s">
        <v>31</v>
      </c>
      <c r="E11" s="131"/>
      <c r="F11" s="132"/>
      <c r="H11" t="b">
        <f>IF(C9&lt;&gt;"(6)",TRUE,FALSE)</f>
        <v>1</v>
      </c>
    </row>
    <row r="12" spans="2:8" x14ac:dyDescent="0.25">
      <c r="B12" s="28" t="s">
        <v>32</v>
      </c>
      <c r="C12" s="23">
        <v>2</v>
      </c>
      <c r="D12" s="24" t="s">
        <v>33</v>
      </c>
      <c r="E12" s="133"/>
      <c r="F12" s="134"/>
      <c r="H12" t="b">
        <f>IF(OR(C9="(1c)",C9="(1d)",C9="(2)",C9="(3)",C9="(6)"),TRUE,FALSE)</f>
        <v>0</v>
      </c>
    </row>
    <row r="13" spans="2:8" x14ac:dyDescent="0.25">
      <c r="B13" s="28" t="s">
        <v>34</v>
      </c>
      <c r="C13" s="33">
        <f>IF(C14&lt;=6,(C3+C4)/2,C3-2*C15)</f>
        <v>95</v>
      </c>
      <c r="D13" s="126" t="s">
        <v>35</v>
      </c>
      <c r="E13" s="127"/>
      <c r="F13" s="128"/>
      <c r="H13" t="b">
        <f>IF(OR(C9="(1c)",C9="(1d)"),TRUE,FALSE)</f>
        <v>0</v>
      </c>
    </row>
    <row r="14" spans="2:8" ht="18" x14ac:dyDescent="0.35">
      <c r="B14" s="28" t="s">
        <v>36</v>
      </c>
      <c r="C14" s="33">
        <f>VLOOKUP(C9,'gasket table'!T3:W11,VLOOKUP(C8,'gasket table'!Y3:Z10,2,FALSE),FALSE)</f>
        <v>2.5</v>
      </c>
      <c r="D14" s="120" t="s">
        <v>37</v>
      </c>
      <c r="E14" s="121"/>
      <c r="F14" s="122"/>
    </row>
    <row r="15" spans="2:8" x14ac:dyDescent="0.25">
      <c r="B15" s="28" t="s">
        <v>38</v>
      </c>
      <c r="C15" s="33">
        <f>IF(C14&lt;=6,C14,0.5*SQRT(C14))</f>
        <v>2.5</v>
      </c>
      <c r="D15" s="120" t="s">
        <v>39</v>
      </c>
      <c r="E15" s="121"/>
      <c r="F15" s="122"/>
    </row>
    <row r="16" spans="2:8" ht="18" x14ac:dyDescent="0.35">
      <c r="B16" s="28" t="s">
        <v>40</v>
      </c>
      <c r="C16" s="34">
        <f>PI()/4*C13^2*C5/10+2*C15*PI()*C13*C6*C5/10</f>
        <v>115649.87956027426</v>
      </c>
      <c r="D16" s="120" t="s">
        <v>41</v>
      </c>
      <c r="E16" s="121"/>
      <c r="F16" s="122"/>
    </row>
    <row r="17" spans="2:10" ht="18" x14ac:dyDescent="0.35">
      <c r="B17" s="28" t="s">
        <v>42</v>
      </c>
      <c r="C17" s="34">
        <f>PI()*C13*C7*C15</f>
        <v>51482.849610702731</v>
      </c>
      <c r="D17" s="120" t="s">
        <v>43</v>
      </c>
      <c r="E17" s="121"/>
      <c r="F17" s="122"/>
    </row>
    <row r="18" spans="2:10" x14ac:dyDescent="0.25">
      <c r="B18" s="29" t="s">
        <v>44</v>
      </c>
      <c r="C18" s="35">
        <f>MAX(C16:C17)</f>
        <v>115649.87956027426</v>
      </c>
      <c r="D18" s="114" t="s">
        <v>45</v>
      </c>
      <c r="E18" s="115"/>
      <c r="F18" s="116"/>
    </row>
    <row r="20" spans="2:10" x14ac:dyDescent="0.25">
      <c r="B20" s="111" t="s">
        <v>46</v>
      </c>
      <c r="C20" s="112"/>
      <c r="D20" s="112"/>
      <c r="E20" s="112"/>
      <c r="F20" s="113"/>
    </row>
    <row r="21" spans="2:10" ht="45" x14ac:dyDescent="0.25">
      <c r="B21" s="49" t="s">
        <v>47</v>
      </c>
      <c r="C21" s="50" t="s">
        <v>48</v>
      </c>
      <c r="D21" s="50" t="s">
        <v>49</v>
      </c>
      <c r="E21" s="50" t="s">
        <v>50</v>
      </c>
      <c r="F21" s="48" t="s">
        <v>51</v>
      </c>
    </row>
    <row r="22" spans="2:10" ht="18" x14ac:dyDescent="0.35">
      <c r="B22" s="36" t="s">
        <v>52</v>
      </c>
      <c r="C22" s="39" t="s">
        <v>53</v>
      </c>
      <c r="D22" s="37" t="s">
        <v>54</v>
      </c>
      <c r="E22" s="39" t="s">
        <v>55</v>
      </c>
      <c r="F22" s="38" t="s">
        <v>56</v>
      </c>
    </row>
    <row r="23" spans="2:10" x14ac:dyDescent="0.25">
      <c r="B23" s="40">
        <v>0.7</v>
      </c>
      <c r="C23" s="41">
        <v>10</v>
      </c>
      <c r="D23" s="42">
        <v>724</v>
      </c>
      <c r="E23" s="41">
        <v>10</v>
      </c>
      <c r="F23" s="46">
        <f>B23*C23*D23*PI()/4*E23^2</f>
        <v>398039.78920982679</v>
      </c>
    </row>
    <row r="24" spans="2:10" x14ac:dyDescent="0.25">
      <c r="B24" s="40">
        <v>0.7</v>
      </c>
      <c r="C24" s="41">
        <v>0</v>
      </c>
      <c r="D24" s="42">
        <v>724</v>
      </c>
      <c r="E24" s="41">
        <v>10</v>
      </c>
      <c r="F24" s="46">
        <f t="shared" ref="F24:F32" si="0">B24*C24*D24*PI()/4*E24^2</f>
        <v>0</v>
      </c>
    </row>
    <row r="25" spans="2:10" x14ac:dyDescent="0.25">
      <c r="B25" s="40">
        <v>0.7</v>
      </c>
      <c r="C25" s="41">
        <v>0</v>
      </c>
      <c r="D25" s="42">
        <v>724</v>
      </c>
      <c r="E25" s="41">
        <v>10</v>
      </c>
      <c r="F25" s="46">
        <f t="shared" si="0"/>
        <v>0</v>
      </c>
    </row>
    <row r="26" spans="2:10" x14ac:dyDescent="0.25">
      <c r="B26" s="40">
        <v>0.7</v>
      </c>
      <c r="C26" s="41">
        <v>0</v>
      </c>
      <c r="D26" s="42">
        <v>724</v>
      </c>
      <c r="E26" s="41">
        <v>10</v>
      </c>
      <c r="F26" s="46">
        <f t="shared" si="0"/>
        <v>0</v>
      </c>
    </row>
    <row r="27" spans="2:10" x14ac:dyDescent="0.25">
      <c r="B27" s="40">
        <v>0.7</v>
      </c>
      <c r="C27" s="41">
        <v>0</v>
      </c>
      <c r="D27" s="42">
        <v>724</v>
      </c>
      <c r="E27" s="41">
        <v>10</v>
      </c>
      <c r="F27" s="46">
        <f t="shared" si="0"/>
        <v>0</v>
      </c>
    </row>
    <row r="28" spans="2:10" x14ac:dyDescent="0.25">
      <c r="B28" s="40">
        <v>0.7</v>
      </c>
      <c r="C28" s="41">
        <v>0</v>
      </c>
      <c r="D28" s="42">
        <v>724</v>
      </c>
      <c r="E28" s="41">
        <v>10</v>
      </c>
      <c r="F28" s="46">
        <f t="shared" si="0"/>
        <v>0</v>
      </c>
    </row>
    <row r="29" spans="2:10" x14ac:dyDescent="0.25">
      <c r="B29" s="40">
        <v>0.7</v>
      </c>
      <c r="C29" s="41">
        <v>0</v>
      </c>
      <c r="D29" s="42">
        <v>724</v>
      </c>
      <c r="E29" s="41">
        <v>10</v>
      </c>
      <c r="F29" s="46">
        <f t="shared" si="0"/>
        <v>0</v>
      </c>
    </row>
    <row r="30" spans="2:10" x14ac:dyDescent="0.25">
      <c r="B30" s="40">
        <v>0.7</v>
      </c>
      <c r="C30" s="41">
        <v>0</v>
      </c>
      <c r="D30" s="42">
        <v>724</v>
      </c>
      <c r="E30" s="41">
        <v>10</v>
      </c>
      <c r="F30" s="46">
        <f t="shared" si="0"/>
        <v>0</v>
      </c>
      <c r="H30" s="108" t="s">
        <v>57</v>
      </c>
      <c r="I30" s="108"/>
      <c r="J30" s="108"/>
    </row>
    <row r="31" spans="2:10" x14ac:dyDescent="0.25">
      <c r="B31" s="40">
        <v>0.7</v>
      </c>
      <c r="C31" s="41">
        <v>0</v>
      </c>
      <c r="D31" s="42">
        <v>724</v>
      </c>
      <c r="E31" s="41">
        <v>10</v>
      </c>
      <c r="F31" s="46">
        <f t="shared" si="0"/>
        <v>0</v>
      </c>
      <c r="H31" s="52">
        <v>0</v>
      </c>
      <c r="I31" s="109" t="s">
        <v>58</v>
      </c>
      <c r="J31" s="109"/>
    </row>
    <row r="32" spans="2:10" x14ac:dyDescent="0.25">
      <c r="B32" s="43">
        <v>0.7</v>
      </c>
      <c r="C32" s="44">
        <v>0</v>
      </c>
      <c r="D32" s="45">
        <v>724</v>
      </c>
      <c r="E32" s="44">
        <v>10</v>
      </c>
      <c r="F32" s="46">
        <f t="shared" si="0"/>
        <v>0</v>
      </c>
      <c r="H32" s="53">
        <v>0.5</v>
      </c>
      <c r="I32" s="110" t="s">
        <v>59</v>
      </c>
      <c r="J32" s="110"/>
    </row>
    <row r="33" spans="5:10" ht="18" x14ac:dyDescent="0.35">
      <c r="E33" s="38" t="s">
        <v>60</v>
      </c>
      <c r="F33" s="47">
        <f>SUM(F23:F32)</f>
        <v>398039.78920982679</v>
      </c>
      <c r="H33" s="53">
        <v>1</v>
      </c>
      <c r="I33" s="110" t="s">
        <v>61</v>
      </c>
      <c r="J33" s="110"/>
    </row>
  </sheetData>
  <mergeCells count="18">
    <mergeCell ref="B2:F2"/>
    <mergeCell ref="D14:F14"/>
    <mergeCell ref="D15:F15"/>
    <mergeCell ref="D16:F16"/>
    <mergeCell ref="D17:F17"/>
    <mergeCell ref="D18:F18"/>
    <mergeCell ref="D3:F3"/>
    <mergeCell ref="D4:F4"/>
    <mergeCell ref="D5:F5"/>
    <mergeCell ref="D6:F6"/>
    <mergeCell ref="D7:F7"/>
    <mergeCell ref="D13:F13"/>
    <mergeCell ref="E8:F12"/>
    <mergeCell ref="H30:J30"/>
    <mergeCell ref="I31:J31"/>
    <mergeCell ref="I32:J32"/>
    <mergeCell ref="I33:J33"/>
    <mergeCell ref="B20:F20"/>
  </mergeCells>
  <conditionalFormatting sqref="C10">
    <cfRule type="expression" dxfId="2" priority="6">
      <formula>$H$11</formula>
    </cfRule>
  </conditionalFormatting>
  <conditionalFormatting sqref="C11">
    <cfRule type="expression" dxfId="1" priority="3">
      <formula>$H$12</formula>
    </cfRule>
  </conditionalFormatting>
  <conditionalFormatting sqref="C11:C12">
    <cfRule type="expression" dxfId="0" priority="8">
      <formula>$H$13</formula>
    </cfRule>
  </conditionalFormatting>
  <conditionalFormatting sqref="F33">
    <cfRule type="iconSet" priority="2">
      <iconSet iconSet="3Symbols">
        <cfvo type="percent" val="0"/>
        <cfvo type="formula" val="$C$18"/>
        <cfvo type="formula" val="1.1*$C$18"/>
      </iconSet>
    </cfRule>
  </conditionalFormatting>
  <conditionalFormatting sqref="H31:H33">
    <cfRule type="iconSet" priority="1">
      <iconSet iconSet="3Symbols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0C30F6-E8C4-400A-A6F1-DCE63C743F03}">
          <x14:formula1>
            <xm:f>'gasket table'!$T$3:$T$11</xm:f>
          </x14:formula1>
          <xm:sqref>C9</xm:sqref>
        </x14:dataValidation>
        <x14:dataValidation type="list" allowBlank="1" showInputMessage="1" showErrorMessage="1" xr:uid="{AB0A10EE-91EE-4D15-9395-80F5DA3D67D6}">
          <x14:formula1>
            <xm:f>'gasket table'!$Y$3:$Y$10</xm:f>
          </x14:formula1>
          <xm:sqref>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C74B-00C8-4C22-84F9-A0B9308F12F6}">
  <sheetPr codeName="Foglio3"/>
  <dimension ref="B2:J25"/>
  <sheetViews>
    <sheetView workbookViewId="0"/>
  </sheetViews>
  <sheetFormatPr defaultRowHeight="15" x14ac:dyDescent="0.25"/>
  <cols>
    <col min="1" max="1" width="2.7109375" customWidth="1"/>
    <col min="2" max="2" width="15" bestFit="1" customWidth="1"/>
    <col min="3" max="3" width="18.5703125" bestFit="1" customWidth="1"/>
    <col min="4" max="4" width="17.28515625" bestFit="1" customWidth="1"/>
    <col min="5" max="6" width="18.7109375" customWidth="1"/>
    <col min="7" max="7" width="2.7109375" customWidth="1"/>
    <col min="8" max="8" width="10.85546875" bestFit="1" customWidth="1"/>
  </cols>
  <sheetData>
    <row r="2" spans="2:8" x14ac:dyDescent="0.25">
      <c r="B2" s="111" t="s">
        <v>8</v>
      </c>
      <c r="C2" s="112"/>
      <c r="D2" s="112"/>
      <c r="E2" s="112"/>
      <c r="F2" s="113"/>
      <c r="H2" s="18" t="s">
        <v>9</v>
      </c>
    </row>
    <row r="3" spans="2:8" ht="18" x14ac:dyDescent="0.35">
      <c r="B3" s="27" t="s">
        <v>62</v>
      </c>
      <c r="C3" s="25">
        <v>100</v>
      </c>
      <c r="D3" s="117" t="s">
        <v>63</v>
      </c>
      <c r="E3" s="118"/>
      <c r="F3" s="119"/>
      <c r="H3" s="19" t="s">
        <v>12</v>
      </c>
    </row>
    <row r="4" spans="2:8" ht="18" x14ac:dyDescent="0.35">
      <c r="B4" s="28" t="s">
        <v>64</v>
      </c>
      <c r="C4" s="26">
        <v>90</v>
      </c>
      <c r="D4" s="120" t="s">
        <v>65</v>
      </c>
      <c r="E4" s="121"/>
      <c r="F4" s="122"/>
      <c r="H4" s="20" t="s">
        <v>15</v>
      </c>
    </row>
    <row r="5" spans="2:8" ht="15" customHeight="1" x14ac:dyDescent="0.25">
      <c r="B5" s="28" t="s">
        <v>16</v>
      </c>
      <c r="C5" s="26">
        <v>100</v>
      </c>
      <c r="D5" s="120" t="s">
        <v>17</v>
      </c>
      <c r="E5" s="121"/>
      <c r="F5" s="122"/>
      <c r="H5" s="21" t="s">
        <v>18</v>
      </c>
    </row>
    <row r="6" spans="2:8" ht="15" customHeight="1" x14ac:dyDescent="0.25">
      <c r="B6" s="28" t="s">
        <v>19</v>
      </c>
      <c r="C6" s="26">
        <v>3</v>
      </c>
      <c r="D6" s="120" t="s">
        <v>20</v>
      </c>
      <c r="E6" s="121"/>
      <c r="F6" s="122"/>
      <c r="H6" s="22" t="s">
        <v>21</v>
      </c>
    </row>
    <row r="7" spans="2:8" ht="15" customHeight="1" x14ac:dyDescent="0.25">
      <c r="B7" s="28" t="s">
        <v>22</v>
      </c>
      <c r="C7" s="26">
        <v>69</v>
      </c>
      <c r="D7" s="123" t="s">
        <v>23</v>
      </c>
      <c r="E7" s="124"/>
      <c r="F7" s="125"/>
    </row>
    <row r="8" spans="2:8" ht="18" x14ac:dyDescent="0.35">
      <c r="B8" s="28" t="s">
        <v>40</v>
      </c>
      <c r="C8" s="34">
        <f>C5*C3+C5*C6*C4</f>
        <v>37000</v>
      </c>
      <c r="D8" s="120" t="s">
        <v>41</v>
      </c>
      <c r="E8" s="121"/>
      <c r="F8" s="122"/>
    </row>
    <row r="9" spans="2:8" ht="18" x14ac:dyDescent="0.35">
      <c r="B9" s="28" t="s">
        <v>42</v>
      </c>
      <c r="C9" s="34">
        <f>C4*C7/2</f>
        <v>3105</v>
      </c>
      <c r="D9" s="120" t="s">
        <v>43</v>
      </c>
      <c r="E9" s="121"/>
      <c r="F9" s="122"/>
    </row>
    <row r="10" spans="2:8" x14ac:dyDescent="0.25">
      <c r="B10" s="29" t="s">
        <v>44</v>
      </c>
      <c r="C10" s="35">
        <f>MAX(C8:C9)</f>
        <v>37000</v>
      </c>
      <c r="D10" s="114" t="s">
        <v>45</v>
      </c>
      <c r="E10" s="115"/>
      <c r="F10" s="116"/>
    </row>
    <row r="12" spans="2:8" x14ac:dyDescent="0.25">
      <c r="B12" s="111" t="s">
        <v>46</v>
      </c>
      <c r="C12" s="112"/>
      <c r="D12" s="112"/>
      <c r="E12" s="112"/>
      <c r="F12" s="113"/>
    </row>
    <row r="13" spans="2:8" ht="45" x14ac:dyDescent="0.25">
      <c r="B13" s="49" t="s">
        <v>47</v>
      </c>
      <c r="C13" s="50" t="s">
        <v>48</v>
      </c>
      <c r="D13" s="50" t="s">
        <v>49</v>
      </c>
      <c r="E13" s="50" t="s">
        <v>50</v>
      </c>
      <c r="F13" s="48" t="s">
        <v>51</v>
      </c>
    </row>
    <row r="14" spans="2:8" ht="18" x14ac:dyDescent="0.35">
      <c r="B14" s="36" t="s">
        <v>52</v>
      </c>
      <c r="C14" s="39" t="s">
        <v>53</v>
      </c>
      <c r="D14" s="37" t="s">
        <v>54</v>
      </c>
      <c r="E14" s="39" t="s">
        <v>55</v>
      </c>
      <c r="F14" s="38" t="s">
        <v>56</v>
      </c>
    </row>
    <row r="15" spans="2:8" x14ac:dyDescent="0.25">
      <c r="B15" s="40">
        <v>0.7</v>
      </c>
      <c r="C15" s="41">
        <v>10</v>
      </c>
      <c r="D15" s="42">
        <v>724</v>
      </c>
      <c r="E15" s="41">
        <v>5</v>
      </c>
      <c r="F15" s="46">
        <f>B15*C15*D15*PI()/4*E15^2</f>
        <v>99509.947302456698</v>
      </c>
    </row>
    <row r="16" spans="2:8" x14ac:dyDescent="0.25">
      <c r="B16" s="40">
        <v>0.7</v>
      </c>
      <c r="C16" s="41">
        <v>0</v>
      </c>
      <c r="D16" s="42">
        <v>724</v>
      </c>
      <c r="E16" s="41">
        <v>10</v>
      </c>
      <c r="F16" s="46">
        <f t="shared" ref="F16:F24" si="0">B16*C16*D16*PI()/4*E16^2</f>
        <v>0</v>
      </c>
    </row>
    <row r="17" spans="2:10" x14ac:dyDescent="0.25">
      <c r="B17" s="40">
        <v>0.7</v>
      </c>
      <c r="C17" s="41">
        <v>0</v>
      </c>
      <c r="D17" s="42">
        <v>724</v>
      </c>
      <c r="E17" s="41">
        <v>10</v>
      </c>
      <c r="F17" s="46">
        <f t="shared" si="0"/>
        <v>0</v>
      </c>
    </row>
    <row r="18" spans="2:10" x14ac:dyDescent="0.25">
      <c r="B18" s="40">
        <v>0.7</v>
      </c>
      <c r="C18" s="41">
        <v>0</v>
      </c>
      <c r="D18" s="42">
        <v>724</v>
      </c>
      <c r="E18" s="41">
        <v>10</v>
      </c>
      <c r="F18" s="46">
        <f t="shared" si="0"/>
        <v>0</v>
      </c>
    </row>
    <row r="19" spans="2:10" x14ac:dyDescent="0.25">
      <c r="B19" s="40">
        <v>0.7</v>
      </c>
      <c r="C19" s="41">
        <v>0</v>
      </c>
      <c r="D19" s="42">
        <v>724</v>
      </c>
      <c r="E19" s="41">
        <v>10</v>
      </c>
      <c r="F19" s="46">
        <f t="shared" si="0"/>
        <v>0</v>
      </c>
    </row>
    <row r="20" spans="2:10" x14ac:dyDescent="0.25">
      <c r="B20" s="40">
        <v>0.7</v>
      </c>
      <c r="C20" s="41">
        <v>0</v>
      </c>
      <c r="D20" s="42">
        <v>724</v>
      </c>
      <c r="E20" s="41">
        <v>10</v>
      </c>
      <c r="F20" s="46">
        <f t="shared" si="0"/>
        <v>0</v>
      </c>
    </row>
    <row r="21" spans="2:10" x14ac:dyDescent="0.25">
      <c r="B21" s="40">
        <v>0.7</v>
      </c>
      <c r="C21" s="41">
        <v>0</v>
      </c>
      <c r="D21" s="42">
        <v>724</v>
      </c>
      <c r="E21" s="41">
        <v>10</v>
      </c>
      <c r="F21" s="46">
        <f t="shared" si="0"/>
        <v>0</v>
      </c>
    </row>
    <row r="22" spans="2:10" x14ac:dyDescent="0.25">
      <c r="B22" s="40">
        <v>0.7</v>
      </c>
      <c r="C22" s="41">
        <v>0</v>
      </c>
      <c r="D22" s="42">
        <v>724</v>
      </c>
      <c r="E22" s="41">
        <v>10</v>
      </c>
      <c r="F22" s="46">
        <f t="shared" si="0"/>
        <v>0</v>
      </c>
      <c r="H22" s="108" t="s">
        <v>57</v>
      </c>
      <c r="I22" s="108"/>
      <c r="J22" s="108"/>
    </row>
    <row r="23" spans="2:10" x14ac:dyDescent="0.25">
      <c r="B23" s="40">
        <v>0.7</v>
      </c>
      <c r="C23" s="41">
        <v>0</v>
      </c>
      <c r="D23" s="42">
        <v>724</v>
      </c>
      <c r="E23" s="41">
        <v>10</v>
      </c>
      <c r="F23" s="46">
        <f t="shared" si="0"/>
        <v>0</v>
      </c>
      <c r="H23" s="52">
        <v>0</v>
      </c>
      <c r="I23" s="109" t="s">
        <v>58</v>
      </c>
      <c r="J23" s="109"/>
    </row>
    <row r="24" spans="2:10" x14ac:dyDescent="0.25">
      <c r="B24" s="43">
        <v>0.7</v>
      </c>
      <c r="C24" s="44">
        <v>0</v>
      </c>
      <c r="D24" s="45">
        <v>724</v>
      </c>
      <c r="E24" s="44">
        <v>10</v>
      </c>
      <c r="F24" s="46">
        <f t="shared" si="0"/>
        <v>0</v>
      </c>
      <c r="H24" s="53">
        <v>0.5</v>
      </c>
      <c r="I24" s="110" t="s">
        <v>59</v>
      </c>
      <c r="J24" s="110"/>
    </row>
    <row r="25" spans="2:10" ht="18" x14ac:dyDescent="0.35">
      <c r="E25" s="51" t="s">
        <v>60</v>
      </c>
      <c r="F25" s="47">
        <f>SUM(F15:F24)</f>
        <v>99509.947302456698</v>
      </c>
      <c r="H25" s="53">
        <v>1</v>
      </c>
      <c r="I25" s="110" t="s">
        <v>61</v>
      </c>
      <c r="J25" s="110"/>
    </row>
  </sheetData>
  <mergeCells count="14">
    <mergeCell ref="D8:F8"/>
    <mergeCell ref="D9:F9"/>
    <mergeCell ref="B2:F2"/>
    <mergeCell ref="D3:F3"/>
    <mergeCell ref="D4:F4"/>
    <mergeCell ref="D5:F5"/>
    <mergeCell ref="D6:F6"/>
    <mergeCell ref="D7:F7"/>
    <mergeCell ref="H22:J22"/>
    <mergeCell ref="I23:J23"/>
    <mergeCell ref="I24:J24"/>
    <mergeCell ref="I25:J25"/>
    <mergeCell ref="D10:F10"/>
    <mergeCell ref="B12:F12"/>
  </mergeCells>
  <conditionalFormatting sqref="F25">
    <cfRule type="iconSet" priority="2">
      <iconSet iconSet="3Symbols">
        <cfvo type="percent" val="0"/>
        <cfvo type="formula" val="$C$10"/>
        <cfvo type="formula" val="1.1*$C$10"/>
      </iconSet>
    </cfRule>
  </conditionalFormatting>
  <conditionalFormatting sqref="H23:H25">
    <cfRule type="iconSet" priority="1">
      <iconSet iconSet="3Symbols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2AEC-6641-489D-9086-9A72AB53E860}">
  <sheetPr codeName="Foglio1"/>
  <dimension ref="B2:Z71"/>
  <sheetViews>
    <sheetView zoomScaleNormal="100" workbookViewId="0"/>
  </sheetViews>
  <sheetFormatPr defaultRowHeight="15" x14ac:dyDescent="0.25"/>
  <cols>
    <col min="1" max="1" width="2.7109375" customWidth="1"/>
    <col min="2" max="2" width="54.85546875" customWidth="1"/>
    <col min="3" max="3" width="11.140625" customWidth="1"/>
    <col min="4" max="4" width="15.7109375" customWidth="1"/>
    <col min="5" max="5" width="18.7109375" customWidth="1"/>
    <col min="6" max="6" width="24.85546875" customWidth="1"/>
    <col min="7" max="7" width="27.42578125" customWidth="1"/>
    <col min="8" max="8" width="2.7109375" customWidth="1"/>
    <col min="15" max="18" width="10.7109375" customWidth="1"/>
    <col min="20" max="24" width="8.7109375" hidden="1" customWidth="1"/>
    <col min="25" max="25" width="18.5703125" hidden="1" customWidth="1"/>
    <col min="26" max="26" width="8.7109375" hidden="1" customWidth="1"/>
  </cols>
  <sheetData>
    <row r="2" spans="2:26" ht="18" x14ac:dyDescent="0.35">
      <c r="B2" s="190" t="s">
        <v>66</v>
      </c>
      <c r="C2" s="191"/>
      <c r="D2" s="191"/>
      <c r="E2" s="191"/>
      <c r="F2" s="191"/>
      <c r="G2" s="192"/>
      <c r="I2" s="190" t="s">
        <v>67</v>
      </c>
      <c r="J2" s="191"/>
      <c r="K2" s="191"/>
      <c r="L2" s="191"/>
      <c r="M2" s="191"/>
      <c r="N2" s="192"/>
      <c r="O2" s="205" t="s">
        <v>68</v>
      </c>
      <c r="P2" s="207"/>
      <c r="Q2" s="207"/>
      <c r="R2" s="206"/>
    </row>
    <row r="3" spans="2:26" x14ac:dyDescent="0.25">
      <c r="B3" s="193"/>
      <c r="C3" s="194"/>
      <c r="D3" s="194"/>
      <c r="E3" s="194"/>
      <c r="F3" s="194"/>
      <c r="G3" s="195"/>
      <c r="I3" s="193"/>
      <c r="J3" s="194"/>
      <c r="K3" s="194"/>
      <c r="L3" s="194"/>
      <c r="M3" s="194"/>
      <c r="N3" s="195"/>
      <c r="O3" s="205" t="s">
        <v>69</v>
      </c>
      <c r="P3" s="206"/>
      <c r="Q3" s="205" t="s">
        <v>70</v>
      </c>
      <c r="R3" s="206"/>
      <c r="T3" s="17" t="s">
        <v>27</v>
      </c>
      <c r="U3" s="17" t="s">
        <v>71</v>
      </c>
      <c r="V3" s="17">
        <f>'circular gasket'!C10/2</f>
        <v>2.5</v>
      </c>
      <c r="W3" s="17">
        <f>'circular gasket'!C10/2</f>
        <v>2.5</v>
      </c>
      <c r="Y3" t="s">
        <v>25</v>
      </c>
      <c r="Z3" s="17">
        <v>4</v>
      </c>
    </row>
    <row r="4" spans="2:26" x14ac:dyDescent="0.25">
      <c r="B4" s="208" t="s">
        <v>72</v>
      </c>
      <c r="C4" s="208" t="s">
        <v>73</v>
      </c>
      <c r="D4" s="208" t="s">
        <v>74</v>
      </c>
      <c r="E4" s="166" t="s">
        <v>75</v>
      </c>
      <c r="F4" s="166" t="s">
        <v>76</v>
      </c>
      <c r="G4" s="166" t="s">
        <v>77</v>
      </c>
      <c r="I4" s="135" t="s">
        <v>27</v>
      </c>
      <c r="J4" s="138"/>
      <c r="K4" s="139"/>
      <c r="L4" s="139"/>
      <c r="M4" s="140"/>
      <c r="N4" s="159"/>
      <c r="O4" s="150" t="s">
        <v>78</v>
      </c>
      <c r="P4" s="151"/>
      <c r="Q4" s="150" t="s">
        <v>78</v>
      </c>
      <c r="R4" s="151"/>
      <c r="T4" s="17" t="s">
        <v>79</v>
      </c>
      <c r="U4" s="17" t="s">
        <v>80</v>
      </c>
      <c r="V4" s="17">
        <f>'circular gasket'!C10/2</f>
        <v>2.5</v>
      </c>
      <c r="W4" s="17">
        <f>'circular gasket'!C10/2</f>
        <v>2.5</v>
      </c>
      <c r="Y4" t="s">
        <v>81</v>
      </c>
      <c r="Z4" s="17">
        <v>4</v>
      </c>
    </row>
    <row r="5" spans="2:26" x14ac:dyDescent="0.25">
      <c r="B5" s="209"/>
      <c r="C5" s="209"/>
      <c r="D5" s="209"/>
      <c r="E5" s="167"/>
      <c r="F5" s="167"/>
      <c r="G5" s="167"/>
      <c r="I5" s="136"/>
      <c r="J5" s="141"/>
      <c r="K5" s="142"/>
      <c r="L5" s="142"/>
      <c r="M5" s="143"/>
      <c r="N5" s="160"/>
      <c r="O5" s="152"/>
      <c r="P5" s="153"/>
      <c r="Q5" s="152"/>
      <c r="R5" s="153"/>
      <c r="T5" s="17" t="s">
        <v>82</v>
      </c>
      <c r="U5" s="17" t="s">
        <v>83</v>
      </c>
      <c r="V5" s="17">
        <f>MAX(('circular gasket'!C11+'circular gasket'!C12)/2,('circular gasket'!C11+'circular gasket'!C10)/4)</f>
        <v>3</v>
      </c>
      <c r="W5" s="17">
        <f>MAX(('circular gasket'!C11+'circular gasket'!C12)/2,('circular gasket'!C11+'circular gasket'!C10)/4)</f>
        <v>3</v>
      </c>
      <c r="Y5" t="s">
        <v>84</v>
      </c>
      <c r="Z5" s="17">
        <v>4</v>
      </c>
    </row>
    <row r="6" spans="2:26" x14ac:dyDescent="0.25">
      <c r="B6" s="210"/>
      <c r="C6" s="210"/>
      <c r="D6" s="210"/>
      <c r="E6" s="168"/>
      <c r="F6" s="168"/>
      <c r="G6" s="168"/>
      <c r="I6" s="136"/>
      <c r="J6" s="141"/>
      <c r="K6" s="142"/>
      <c r="L6" s="142"/>
      <c r="M6" s="143"/>
      <c r="N6" s="160"/>
      <c r="O6" s="152"/>
      <c r="P6" s="153"/>
      <c r="Q6" s="152"/>
      <c r="R6" s="153"/>
      <c r="T6" s="17" t="s">
        <v>85</v>
      </c>
      <c r="U6" s="17" t="s">
        <v>86</v>
      </c>
      <c r="V6" s="17">
        <f>MAX(('circular gasket'!C11+'circular gasket'!C12)/2,('circular gasket'!C11+'circular gasket'!C10)/4)</f>
        <v>3</v>
      </c>
      <c r="W6" s="17">
        <f>MAX(('circular gasket'!C11+'circular gasket'!C12)/2,('circular gasket'!C11+'circular gasket'!C10)/4)</f>
        <v>3</v>
      </c>
      <c r="Y6" t="s">
        <v>87</v>
      </c>
      <c r="Z6" s="17">
        <v>4</v>
      </c>
    </row>
    <row r="7" spans="2:26" x14ac:dyDescent="0.25">
      <c r="B7" s="211" t="s">
        <v>88</v>
      </c>
      <c r="C7" s="180">
        <v>0</v>
      </c>
      <c r="D7" s="169">
        <v>0</v>
      </c>
      <c r="E7" s="169" t="s">
        <v>89</v>
      </c>
      <c r="F7" s="169" t="s">
        <v>89</v>
      </c>
      <c r="G7" s="169" t="s">
        <v>89</v>
      </c>
      <c r="I7" s="137"/>
      <c r="J7" s="144"/>
      <c r="K7" s="145"/>
      <c r="L7" s="145"/>
      <c r="M7" s="146"/>
      <c r="N7" s="160"/>
      <c r="O7" s="152"/>
      <c r="P7" s="153"/>
      <c r="Q7" s="152"/>
      <c r="R7" s="153"/>
      <c r="T7" s="17" t="s">
        <v>90</v>
      </c>
      <c r="U7" s="17" t="s">
        <v>91</v>
      </c>
      <c r="V7" s="17">
        <f>('circular gasket'!C11+'circular gasket'!C10)/4</f>
        <v>2.25</v>
      </c>
      <c r="W7" s="17">
        <f>('circular gasket'!C11+'circular gasket'!C10*3)/8</f>
        <v>2.375</v>
      </c>
      <c r="Y7" t="s">
        <v>92</v>
      </c>
      <c r="Z7" s="17">
        <v>4</v>
      </c>
    </row>
    <row r="8" spans="2:26" x14ac:dyDescent="0.25">
      <c r="B8" s="212"/>
      <c r="C8" s="185"/>
      <c r="D8" s="163"/>
      <c r="E8" s="163"/>
      <c r="F8" s="163"/>
      <c r="G8" s="163"/>
      <c r="I8" s="135" t="s">
        <v>79</v>
      </c>
      <c r="J8" s="138"/>
      <c r="K8" s="139"/>
      <c r="L8" s="139"/>
      <c r="M8" s="140"/>
      <c r="N8" s="160"/>
      <c r="O8" s="152"/>
      <c r="P8" s="153"/>
      <c r="Q8" s="152"/>
      <c r="R8" s="153"/>
      <c r="T8" s="17" t="s">
        <v>93</v>
      </c>
      <c r="U8" s="17" t="s">
        <v>94</v>
      </c>
      <c r="V8" s="17">
        <f>'circular gasket'!C10/4</f>
        <v>1.25</v>
      </c>
      <c r="W8" s="17">
        <f>'circular gasket'!C10/8*3</f>
        <v>1.875</v>
      </c>
      <c r="Y8" t="s">
        <v>95</v>
      </c>
      <c r="Z8" s="17">
        <v>4</v>
      </c>
    </row>
    <row r="9" spans="2:26" x14ac:dyDescent="0.25">
      <c r="B9" s="3" t="s">
        <v>96</v>
      </c>
      <c r="C9" s="9"/>
      <c r="D9" s="4"/>
      <c r="E9" s="169"/>
      <c r="F9" s="169" t="s">
        <v>97</v>
      </c>
      <c r="G9" s="169" t="s">
        <v>98</v>
      </c>
      <c r="I9" s="136"/>
      <c r="J9" s="141"/>
      <c r="K9" s="142"/>
      <c r="L9" s="142"/>
      <c r="M9" s="143"/>
      <c r="N9" s="160"/>
      <c r="O9" s="152"/>
      <c r="P9" s="153"/>
      <c r="Q9" s="152"/>
      <c r="R9" s="153"/>
      <c r="T9" s="17" t="s">
        <v>99</v>
      </c>
      <c r="U9" s="17" t="s">
        <v>100</v>
      </c>
      <c r="V9" s="17">
        <f>'circular gasket'!C10/8*3</f>
        <v>1.875</v>
      </c>
      <c r="W9" s="17">
        <f>'circular gasket'!C10/16*7</f>
        <v>2.1875</v>
      </c>
      <c r="Y9" t="s">
        <v>101</v>
      </c>
      <c r="Z9" s="17">
        <v>3</v>
      </c>
    </row>
    <row r="10" spans="2:26" x14ac:dyDescent="0.25">
      <c r="B10" s="5" t="s">
        <v>102</v>
      </c>
      <c r="C10" s="10">
        <v>0.5</v>
      </c>
      <c r="D10" s="6">
        <v>0</v>
      </c>
      <c r="E10" s="162"/>
      <c r="F10" s="162"/>
      <c r="G10" s="162"/>
      <c r="I10" s="136"/>
      <c r="J10" s="141"/>
      <c r="K10" s="142"/>
      <c r="L10" s="142"/>
      <c r="M10" s="143"/>
      <c r="N10" s="160"/>
      <c r="O10" s="152"/>
      <c r="P10" s="153"/>
      <c r="Q10" s="152"/>
      <c r="R10" s="153"/>
      <c r="T10" s="17" t="s">
        <v>103</v>
      </c>
      <c r="U10" s="17" t="s">
        <v>104</v>
      </c>
      <c r="V10" s="17">
        <f>'circular gasket'!C10/4</f>
        <v>1.25</v>
      </c>
      <c r="W10" s="17">
        <f>'circular gasket'!C10/8*3</f>
        <v>1.875</v>
      </c>
      <c r="Y10" t="s">
        <v>105</v>
      </c>
      <c r="Z10" s="17">
        <v>3</v>
      </c>
    </row>
    <row r="11" spans="2:26" x14ac:dyDescent="0.25">
      <c r="B11" s="7" t="s">
        <v>106</v>
      </c>
      <c r="C11" s="11">
        <v>1</v>
      </c>
      <c r="D11" s="8">
        <v>1.4</v>
      </c>
      <c r="E11" s="163"/>
      <c r="F11" s="163"/>
      <c r="G11" s="163"/>
      <c r="I11" s="137"/>
      <c r="J11" s="144"/>
      <c r="K11" s="145"/>
      <c r="L11" s="145"/>
      <c r="M11" s="146"/>
      <c r="N11" s="161"/>
      <c r="O11" s="154"/>
      <c r="P11" s="155"/>
      <c r="Q11" s="154"/>
      <c r="R11" s="155"/>
      <c r="T11" s="17" t="s">
        <v>107</v>
      </c>
      <c r="U11" s="17" t="s">
        <v>108</v>
      </c>
      <c r="V11" s="17">
        <f>'circular gasket'!C11/8</f>
        <v>0.5</v>
      </c>
      <c r="W11" t="e">
        <f>NA()</f>
        <v>#N/A</v>
      </c>
    </row>
    <row r="12" spans="2:26" x14ac:dyDescent="0.25">
      <c r="B12" s="2" t="s">
        <v>109</v>
      </c>
      <c r="C12" s="9"/>
      <c r="D12" s="2"/>
      <c r="E12" s="3"/>
      <c r="F12" s="169" t="s">
        <v>97</v>
      </c>
      <c r="G12" s="169" t="s">
        <v>98</v>
      </c>
      <c r="I12" s="135" t="s">
        <v>82</v>
      </c>
      <c r="J12" s="138"/>
      <c r="K12" s="139"/>
      <c r="L12" s="139"/>
      <c r="M12" s="140"/>
      <c r="N12" s="147" t="s">
        <v>110</v>
      </c>
      <c r="O12" s="150" t="s">
        <v>111</v>
      </c>
      <c r="P12" s="151"/>
      <c r="Q12" s="150" t="s">
        <v>111</v>
      </c>
      <c r="R12" s="151"/>
    </row>
    <row r="13" spans="2:26" x14ac:dyDescent="0.25">
      <c r="B13" s="5" t="s">
        <v>112</v>
      </c>
      <c r="C13" s="10">
        <v>2</v>
      </c>
      <c r="D13" s="6">
        <v>11</v>
      </c>
      <c r="E13" s="5"/>
      <c r="F13" s="162"/>
      <c r="G13" s="162"/>
      <c r="I13" s="136"/>
      <c r="J13" s="141"/>
      <c r="K13" s="142"/>
      <c r="L13" s="142"/>
      <c r="M13" s="143"/>
      <c r="N13" s="148"/>
      <c r="O13" s="152"/>
      <c r="P13" s="153"/>
      <c r="Q13" s="152"/>
      <c r="R13" s="153"/>
    </row>
    <row r="14" spans="2:26" ht="14.45" customHeight="1" x14ac:dyDescent="0.25">
      <c r="B14" s="5" t="s">
        <v>113</v>
      </c>
      <c r="C14" s="10">
        <v>2.75</v>
      </c>
      <c r="D14" s="6">
        <v>26</v>
      </c>
      <c r="E14" s="5"/>
      <c r="F14" s="162"/>
      <c r="G14" s="162"/>
      <c r="I14" s="136"/>
      <c r="J14" s="141"/>
      <c r="K14" s="142"/>
      <c r="L14" s="142"/>
      <c r="M14" s="143"/>
      <c r="N14" s="148"/>
      <c r="O14" s="152"/>
      <c r="P14" s="153"/>
      <c r="Q14" s="152"/>
      <c r="R14" s="153"/>
    </row>
    <row r="15" spans="2:26" x14ac:dyDescent="0.25">
      <c r="B15" s="7" t="s">
        <v>114</v>
      </c>
      <c r="C15" s="11">
        <v>3.5</v>
      </c>
      <c r="D15" s="8">
        <v>45</v>
      </c>
      <c r="E15" s="7"/>
      <c r="F15" s="163"/>
      <c r="G15" s="163"/>
      <c r="I15" s="137"/>
      <c r="J15" s="144"/>
      <c r="K15" s="145"/>
      <c r="L15" s="145"/>
      <c r="M15" s="146"/>
      <c r="N15" s="149"/>
      <c r="O15" s="152"/>
      <c r="P15" s="153"/>
      <c r="Q15" s="152"/>
      <c r="R15" s="153"/>
    </row>
    <row r="16" spans="2:26" ht="15" customHeight="1" x14ac:dyDescent="0.25">
      <c r="B16" s="182" t="s">
        <v>115</v>
      </c>
      <c r="C16" s="180">
        <v>1.25</v>
      </c>
      <c r="D16" s="169">
        <v>2.8</v>
      </c>
      <c r="E16" s="170"/>
      <c r="F16" s="135" t="s">
        <v>97</v>
      </c>
      <c r="G16" s="135" t="s">
        <v>98</v>
      </c>
      <c r="I16" s="135" t="s">
        <v>85</v>
      </c>
      <c r="J16" s="138"/>
      <c r="K16" s="139"/>
      <c r="L16" s="139"/>
      <c r="M16" s="140"/>
      <c r="N16" s="147" t="s">
        <v>116</v>
      </c>
      <c r="O16" s="152"/>
      <c r="P16" s="153"/>
      <c r="Q16" s="152"/>
      <c r="R16" s="153"/>
    </row>
    <row r="17" spans="2:20" ht="15" customHeight="1" x14ac:dyDescent="0.25">
      <c r="B17" s="183"/>
      <c r="C17" s="181"/>
      <c r="D17" s="162"/>
      <c r="E17" s="164"/>
      <c r="F17" s="136"/>
      <c r="G17" s="136"/>
      <c r="I17" s="136"/>
      <c r="J17" s="141"/>
      <c r="K17" s="142"/>
      <c r="L17" s="142"/>
      <c r="M17" s="143"/>
      <c r="N17" s="148"/>
      <c r="O17" s="152"/>
      <c r="P17" s="153"/>
      <c r="Q17" s="152"/>
      <c r="R17" s="153"/>
    </row>
    <row r="18" spans="2:20" ht="15" customHeight="1" x14ac:dyDescent="0.25">
      <c r="B18" s="184"/>
      <c r="C18" s="185"/>
      <c r="D18" s="163"/>
      <c r="E18" s="165"/>
      <c r="F18" s="137"/>
      <c r="G18" s="137"/>
      <c r="I18" s="136"/>
      <c r="J18" s="141"/>
      <c r="K18" s="142"/>
      <c r="L18" s="142"/>
      <c r="M18" s="143"/>
      <c r="N18" s="148"/>
      <c r="O18" s="152"/>
      <c r="P18" s="153"/>
      <c r="Q18" s="152"/>
      <c r="R18" s="153"/>
    </row>
    <row r="19" spans="2:20" x14ac:dyDescent="0.25">
      <c r="B19" s="178" t="s">
        <v>117</v>
      </c>
      <c r="C19" s="180"/>
      <c r="D19" s="169"/>
      <c r="E19" s="3"/>
      <c r="F19" s="135" t="s">
        <v>97</v>
      </c>
      <c r="G19" s="135" t="s">
        <v>98</v>
      </c>
      <c r="I19" s="137"/>
      <c r="J19" s="144"/>
      <c r="K19" s="145"/>
      <c r="L19" s="145"/>
      <c r="M19" s="146"/>
      <c r="N19" s="149"/>
      <c r="O19" s="154"/>
      <c r="P19" s="155"/>
      <c r="Q19" s="154"/>
      <c r="R19" s="155"/>
    </row>
    <row r="20" spans="2:20" x14ac:dyDescent="0.25">
      <c r="B20" s="179"/>
      <c r="C20" s="181"/>
      <c r="D20" s="162"/>
      <c r="E20" s="5"/>
      <c r="F20" s="136"/>
      <c r="G20" s="136"/>
      <c r="I20" s="156" t="s">
        <v>90</v>
      </c>
      <c r="J20" s="138"/>
      <c r="K20" s="139"/>
      <c r="L20" s="139"/>
      <c r="M20" s="140"/>
      <c r="N20" s="147" t="s">
        <v>118</v>
      </c>
      <c r="O20" s="150" t="s">
        <v>119</v>
      </c>
      <c r="P20" s="151"/>
      <c r="Q20" s="150" t="s">
        <v>120</v>
      </c>
      <c r="R20" s="151"/>
    </row>
    <row r="21" spans="2:20" x14ac:dyDescent="0.25">
      <c r="B21" s="176" t="s">
        <v>121</v>
      </c>
      <c r="C21" s="162">
        <v>2.25</v>
      </c>
      <c r="D21" s="162">
        <v>15</v>
      </c>
      <c r="E21" s="164"/>
      <c r="F21" s="136"/>
      <c r="G21" s="136"/>
      <c r="I21" s="157"/>
      <c r="J21" s="141"/>
      <c r="K21" s="142"/>
      <c r="L21" s="142"/>
      <c r="M21" s="143"/>
      <c r="N21" s="148"/>
      <c r="O21" s="152"/>
      <c r="P21" s="153"/>
      <c r="Q21" s="152"/>
      <c r="R21" s="153"/>
    </row>
    <row r="22" spans="2:20" ht="15" customHeight="1" x14ac:dyDescent="0.25">
      <c r="B22" s="176"/>
      <c r="C22" s="162"/>
      <c r="D22" s="162"/>
      <c r="E22" s="164"/>
      <c r="F22" s="136"/>
      <c r="G22" s="136"/>
      <c r="I22" s="157"/>
      <c r="J22" s="141"/>
      <c r="K22" s="142"/>
      <c r="L22" s="142"/>
      <c r="M22" s="143"/>
      <c r="N22" s="148"/>
      <c r="O22" s="152"/>
      <c r="P22" s="153"/>
      <c r="Q22" s="152"/>
      <c r="R22" s="153"/>
    </row>
    <row r="23" spans="2:20" ht="15" customHeight="1" x14ac:dyDescent="0.25">
      <c r="B23" s="176"/>
      <c r="C23" s="162"/>
      <c r="D23" s="162"/>
      <c r="E23" s="164"/>
      <c r="F23" s="136"/>
      <c r="G23" s="136"/>
      <c r="I23" s="158"/>
      <c r="J23" s="144"/>
      <c r="K23" s="145"/>
      <c r="L23" s="145"/>
      <c r="M23" s="146"/>
      <c r="N23" s="149"/>
      <c r="O23" s="154"/>
      <c r="P23" s="155"/>
      <c r="Q23" s="154"/>
      <c r="R23" s="155"/>
    </row>
    <row r="24" spans="2:20" ht="15" customHeight="1" x14ac:dyDescent="0.25">
      <c r="B24" s="176" t="s">
        <v>122</v>
      </c>
      <c r="C24" s="162">
        <v>2.5</v>
      </c>
      <c r="D24" s="162">
        <v>20</v>
      </c>
      <c r="E24" s="164"/>
      <c r="F24" s="136"/>
      <c r="G24" s="136"/>
      <c r="I24" s="156" t="s">
        <v>93</v>
      </c>
      <c r="J24" s="138"/>
      <c r="K24" s="139"/>
      <c r="L24" s="139"/>
      <c r="M24" s="140"/>
      <c r="N24" s="147" t="s">
        <v>118</v>
      </c>
      <c r="O24" s="150" t="s">
        <v>123</v>
      </c>
      <c r="P24" s="151"/>
      <c r="Q24" s="150" t="s">
        <v>124</v>
      </c>
      <c r="R24" s="151"/>
    </row>
    <row r="25" spans="2:20" ht="15" customHeight="1" x14ac:dyDescent="0.25">
      <c r="B25" s="176"/>
      <c r="C25" s="162"/>
      <c r="D25" s="162"/>
      <c r="E25" s="164"/>
      <c r="F25" s="136"/>
      <c r="G25" s="136"/>
      <c r="I25" s="157"/>
      <c r="J25" s="141"/>
      <c r="K25" s="142"/>
      <c r="L25" s="142"/>
      <c r="M25" s="143"/>
      <c r="N25" s="148"/>
      <c r="O25" s="152"/>
      <c r="P25" s="153"/>
      <c r="Q25" s="152"/>
      <c r="R25" s="153"/>
    </row>
    <row r="26" spans="2:20" ht="15" customHeight="1" x14ac:dyDescent="0.25">
      <c r="B26" s="176"/>
      <c r="C26" s="162"/>
      <c r="D26" s="162"/>
      <c r="E26" s="164"/>
      <c r="F26" s="136"/>
      <c r="G26" s="136"/>
      <c r="I26" s="157"/>
      <c r="J26" s="141"/>
      <c r="K26" s="142"/>
      <c r="L26" s="142"/>
      <c r="M26" s="143"/>
      <c r="N26" s="148"/>
      <c r="O26" s="152"/>
      <c r="P26" s="153"/>
      <c r="Q26" s="152"/>
      <c r="R26" s="153"/>
    </row>
    <row r="27" spans="2:20" ht="15" customHeight="1" x14ac:dyDescent="0.25">
      <c r="B27" s="176" t="s">
        <v>125</v>
      </c>
      <c r="C27" s="162">
        <v>2.75</v>
      </c>
      <c r="D27" s="162">
        <v>26</v>
      </c>
      <c r="E27" s="164"/>
      <c r="F27" s="136"/>
      <c r="G27" s="136"/>
      <c r="I27" s="158"/>
      <c r="J27" s="144"/>
      <c r="K27" s="145"/>
      <c r="L27" s="145"/>
      <c r="M27" s="146"/>
      <c r="N27" s="149"/>
      <c r="O27" s="154"/>
      <c r="P27" s="155"/>
      <c r="Q27" s="154"/>
      <c r="R27" s="155"/>
    </row>
    <row r="28" spans="2:20" ht="15" customHeight="1" x14ac:dyDescent="0.25">
      <c r="B28" s="176"/>
      <c r="C28" s="162"/>
      <c r="D28" s="162"/>
      <c r="E28" s="164"/>
      <c r="F28" s="136"/>
      <c r="G28" s="136"/>
      <c r="I28" s="156" t="s">
        <v>99</v>
      </c>
      <c r="J28" s="138"/>
      <c r="K28" s="139"/>
      <c r="L28" s="139"/>
      <c r="M28" s="140"/>
      <c r="N28" s="159"/>
      <c r="O28" s="150" t="s">
        <v>124</v>
      </c>
      <c r="P28" s="151"/>
      <c r="Q28" s="150" t="s">
        <v>126</v>
      </c>
      <c r="R28" s="151"/>
    </row>
    <row r="29" spans="2:20" ht="15" customHeight="1" x14ac:dyDescent="0.25">
      <c r="B29" s="177"/>
      <c r="C29" s="163"/>
      <c r="D29" s="163"/>
      <c r="E29" s="165"/>
      <c r="F29" s="137"/>
      <c r="G29" s="137"/>
      <c r="I29" s="157"/>
      <c r="J29" s="141"/>
      <c r="K29" s="142"/>
      <c r="L29" s="142"/>
      <c r="M29" s="143"/>
      <c r="N29" s="160"/>
      <c r="O29" s="152"/>
      <c r="P29" s="153"/>
      <c r="Q29" s="152"/>
      <c r="R29" s="153"/>
    </row>
    <row r="30" spans="2:20" ht="15" customHeight="1" x14ac:dyDescent="0.25">
      <c r="B30" s="175" t="s">
        <v>81</v>
      </c>
      <c r="C30" s="169">
        <v>1.75</v>
      </c>
      <c r="D30" s="169">
        <v>7.6</v>
      </c>
      <c r="E30" s="170"/>
      <c r="F30" s="135" t="s">
        <v>97</v>
      </c>
      <c r="G30" s="135" t="s">
        <v>98</v>
      </c>
      <c r="I30" s="157"/>
      <c r="J30" s="141"/>
      <c r="K30" s="142"/>
      <c r="L30" s="142"/>
      <c r="M30" s="143"/>
      <c r="N30" s="160"/>
      <c r="O30" s="152"/>
      <c r="P30" s="153"/>
      <c r="Q30" s="152"/>
      <c r="R30" s="153"/>
    </row>
    <row r="31" spans="2:20" s="1" customFormat="1" ht="15" customHeight="1" x14ac:dyDescent="0.25">
      <c r="B31" s="176"/>
      <c r="C31" s="162"/>
      <c r="D31" s="162"/>
      <c r="E31" s="164"/>
      <c r="F31" s="136"/>
      <c r="G31" s="136"/>
      <c r="I31" s="158"/>
      <c r="J31" s="144"/>
      <c r="K31" s="145"/>
      <c r="L31" s="145"/>
      <c r="M31" s="146"/>
      <c r="N31" s="161"/>
      <c r="O31" s="154"/>
      <c r="P31" s="155"/>
      <c r="Q31" s="154"/>
      <c r="R31" s="155"/>
      <c r="T31"/>
    </row>
    <row r="32" spans="2:20" x14ac:dyDescent="0.25">
      <c r="B32" s="177"/>
      <c r="C32" s="163"/>
      <c r="D32" s="163"/>
      <c r="E32" s="165"/>
      <c r="F32" s="137"/>
      <c r="G32" s="137"/>
      <c r="I32" s="156" t="s">
        <v>103</v>
      </c>
      <c r="J32" s="138"/>
      <c r="K32" s="139"/>
      <c r="L32" s="139"/>
      <c r="M32" s="140"/>
      <c r="N32" s="159"/>
      <c r="O32" s="150" t="s">
        <v>123</v>
      </c>
      <c r="P32" s="151"/>
      <c r="Q32" s="150" t="s">
        <v>124</v>
      </c>
      <c r="R32" s="151"/>
    </row>
    <row r="33" spans="2:18" x14ac:dyDescent="0.25">
      <c r="B33" s="3" t="s">
        <v>127</v>
      </c>
      <c r="C33" s="13"/>
      <c r="D33" s="4"/>
      <c r="E33" s="159"/>
      <c r="F33" s="135" t="s">
        <v>128</v>
      </c>
      <c r="G33" s="198" t="s">
        <v>98</v>
      </c>
      <c r="I33" s="157"/>
      <c r="J33" s="141"/>
      <c r="K33" s="142"/>
      <c r="L33" s="142"/>
      <c r="M33" s="143"/>
      <c r="N33" s="160"/>
      <c r="O33" s="152"/>
      <c r="P33" s="153"/>
      <c r="Q33" s="152"/>
      <c r="R33" s="153"/>
    </row>
    <row r="34" spans="2:18" x14ac:dyDescent="0.25">
      <c r="B34" s="5" t="s">
        <v>129</v>
      </c>
      <c r="C34" s="12">
        <v>2.5</v>
      </c>
      <c r="D34" s="6">
        <v>69</v>
      </c>
      <c r="E34" s="160"/>
      <c r="F34" s="136"/>
      <c r="G34" s="201"/>
      <c r="I34" s="157"/>
      <c r="J34" s="141"/>
      <c r="K34" s="142"/>
      <c r="L34" s="142"/>
      <c r="M34" s="143"/>
      <c r="N34" s="160"/>
      <c r="O34" s="152"/>
      <c r="P34" s="153"/>
      <c r="Q34" s="152"/>
      <c r="R34" s="153"/>
    </row>
    <row r="35" spans="2:18" x14ac:dyDescent="0.25">
      <c r="B35" s="7" t="s">
        <v>130</v>
      </c>
      <c r="C35" s="14">
        <v>3</v>
      </c>
      <c r="D35" s="8">
        <v>69</v>
      </c>
      <c r="E35" s="161"/>
      <c r="F35" s="137"/>
      <c r="G35" s="204"/>
      <c r="I35" s="158"/>
      <c r="J35" s="144"/>
      <c r="K35" s="145"/>
      <c r="L35" s="145"/>
      <c r="M35" s="146"/>
      <c r="N35" s="161"/>
      <c r="O35" s="154"/>
      <c r="P35" s="155"/>
      <c r="Q35" s="154"/>
      <c r="R35" s="155"/>
    </row>
    <row r="36" spans="2:18" x14ac:dyDescent="0.25">
      <c r="B36" s="171" t="s">
        <v>131</v>
      </c>
      <c r="C36" s="173"/>
      <c r="D36" s="170"/>
      <c r="E36" s="159"/>
      <c r="F36" s="169" t="s">
        <v>128</v>
      </c>
      <c r="G36" s="135" t="s">
        <v>98</v>
      </c>
      <c r="I36" s="156" t="s">
        <v>107</v>
      </c>
      <c r="J36" s="138"/>
      <c r="K36" s="139"/>
      <c r="L36" s="139"/>
      <c r="M36" s="140"/>
      <c r="N36" s="159"/>
      <c r="O36" s="150" t="s">
        <v>132</v>
      </c>
      <c r="P36" s="151"/>
      <c r="Q36" s="150" t="s">
        <v>89</v>
      </c>
      <c r="R36" s="151"/>
    </row>
    <row r="37" spans="2:18" x14ac:dyDescent="0.25">
      <c r="B37" s="172"/>
      <c r="C37" s="174"/>
      <c r="D37" s="164"/>
      <c r="E37" s="160"/>
      <c r="F37" s="162"/>
      <c r="G37" s="136"/>
      <c r="I37" s="157"/>
      <c r="J37" s="141"/>
      <c r="K37" s="142"/>
      <c r="L37" s="142"/>
      <c r="M37" s="143"/>
      <c r="N37" s="160"/>
      <c r="O37" s="152"/>
      <c r="P37" s="153"/>
      <c r="Q37" s="152"/>
      <c r="R37" s="153"/>
    </row>
    <row r="38" spans="2:18" x14ac:dyDescent="0.25">
      <c r="B38" s="5" t="s">
        <v>133</v>
      </c>
      <c r="C38" s="10">
        <v>2.5</v>
      </c>
      <c r="D38" s="6">
        <v>20</v>
      </c>
      <c r="E38" s="160"/>
      <c r="F38" s="162"/>
      <c r="G38" s="136"/>
      <c r="I38" s="157"/>
      <c r="J38" s="141"/>
      <c r="K38" s="142"/>
      <c r="L38" s="142"/>
      <c r="M38" s="143"/>
      <c r="N38" s="160"/>
      <c r="O38" s="152"/>
      <c r="P38" s="153"/>
      <c r="Q38" s="152"/>
      <c r="R38" s="153"/>
    </row>
    <row r="39" spans="2:18" x14ac:dyDescent="0.25">
      <c r="B39" s="5" t="s">
        <v>134</v>
      </c>
      <c r="C39" s="10">
        <v>2.75</v>
      </c>
      <c r="D39" s="6">
        <v>26</v>
      </c>
      <c r="E39" s="160"/>
      <c r="F39" s="162"/>
      <c r="G39" s="136"/>
      <c r="I39" s="158"/>
      <c r="J39" s="144"/>
      <c r="K39" s="145"/>
      <c r="L39" s="145"/>
      <c r="M39" s="146"/>
      <c r="N39" s="161"/>
      <c r="O39" s="154"/>
      <c r="P39" s="155"/>
      <c r="Q39" s="154"/>
      <c r="R39" s="155"/>
    </row>
    <row r="40" spans="2:18" x14ac:dyDescent="0.25">
      <c r="B40" s="5" t="s">
        <v>135</v>
      </c>
      <c r="C40" s="10">
        <v>3</v>
      </c>
      <c r="D40" s="6">
        <v>31</v>
      </c>
      <c r="E40" s="160"/>
      <c r="F40" s="162"/>
      <c r="G40" s="136"/>
      <c r="I40" s="196" t="s">
        <v>136</v>
      </c>
      <c r="J40" s="197"/>
      <c r="K40" s="197"/>
      <c r="L40" s="197"/>
      <c r="M40" s="197"/>
      <c r="N40" s="197"/>
      <c r="O40" s="197"/>
      <c r="P40" s="197"/>
      <c r="Q40" s="197"/>
      <c r="R40" s="198"/>
    </row>
    <row r="41" spans="2:18" x14ac:dyDescent="0.25">
      <c r="B41" s="5" t="s">
        <v>137</v>
      </c>
      <c r="C41" s="10">
        <v>3.25</v>
      </c>
      <c r="D41" s="6">
        <v>38</v>
      </c>
      <c r="E41" s="160"/>
      <c r="F41" s="162"/>
      <c r="G41" s="136"/>
      <c r="I41" s="199"/>
      <c r="J41" s="200"/>
      <c r="K41" s="200"/>
      <c r="L41" s="200"/>
      <c r="M41" s="200"/>
      <c r="N41" s="200"/>
      <c r="O41" s="200"/>
      <c r="P41" s="200"/>
      <c r="Q41" s="200"/>
      <c r="R41" s="201"/>
    </row>
    <row r="42" spans="2:18" x14ac:dyDescent="0.25">
      <c r="B42" s="7" t="s">
        <v>138</v>
      </c>
      <c r="C42" s="11">
        <v>3.5</v>
      </c>
      <c r="D42" s="8">
        <v>45</v>
      </c>
      <c r="E42" s="161"/>
      <c r="F42" s="163"/>
      <c r="G42" s="137"/>
      <c r="I42" s="199"/>
      <c r="J42" s="200"/>
      <c r="K42" s="200"/>
      <c r="L42" s="200"/>
      <c r="M42" s="200"/>
      <c r="N42" s="200"/>
      <c r="O42" s="200"/>
      <c r="P42" s="200"/>
      <c r="Q42" s="200"/>
      <c r="R42" s="201"/>
    </row>
    <row r="43" spans="2:18" x14ac:dyDescent="0.25">
      <c r="B43" s="15" t="s">
        <v>139</v>
      </c>
      <c r="C43" s="3"/>
      <c r="D43" s="3"/>
      <c r="E43" s="159"/>
      <c r="F43" s="169" t="s">
        <v>140</v>
      </c>
      <c r="G43" s="135" t="s">
        <v>98</v>
      </c>
      <c r="I43" s="202"/>
      <c r="J43" s="203"/>
      <c r="K43" s="203"/>
      <c r="L43" s="203"/>
      <c r="M43" s="203"/>
      <c r="N43" s="203"/>
      <c r="O43" s="203"/>
      <c r="P43" s="203"/>
      <c r="Q43" s="203"/>
      <c r="R43" s="204"/>
    </row>
    <row r="44" spans="2:18" x14ac:dyDescent="0.25">
      <c r="B44" s="5" t="s">
        <v>133</v>
      </c>
      <c r="C44" s="10">
        <v>2.75</v>
      </c>
      <c r="D44" s="6">
        <v>26</v>
      </c>
      <c r="E44" s="160"/>
      <c r="F44" s="162"/>
      <c r="G44" s="136"/>
    </row>
    <row r="45" spans="2:18" x14ac:dyDescent="0.25">
      <c r="B45" s="5" t="s">
        <v>134</v>
      </c>
      <c r="C45" s="10">
        <v>3</v>
      </c>
      <c r="D45" s="6">
        <v>31</v>
      </c>
      <c r="E45" s="160"/>
      <c r="F45" s="162"/>
      <c r="G45" s="136"/>
    </row>
    <row r="46" spans="2:18" x14ac:dyDescent="0.25">
      <c r="B46" s="5" t="s">
        <v>135</v>
      </c>
      <c r="C46" s="10">
        <v>3.25</v>
      </c>
      <c r="D46" s="6">
        <v>38</v>
      </c>
      <c r="E46" s="160"/>
      <c r="F46" s="162"/>
      <c r="G46" s="136"/>
    </row>
    <row r="47" spans="2:18" x14ac:dyDescent="0.25">
      <c r="B47" s="5" t="s">
        <v>137</v>
      </c>
      <c r="C47" s="10">
        <v>3.5</v>
      </c>
      <c r="D47" s="6">
        <v>45</v>
      </c>
      <c r="E47" s="160"/>
      <c r="F47" s="162"/>
      <c r="G47" s="136"/>
    </row>
    <row r="48" spans="2:18" x14ac:dyDescent="0.25">
      <c r="B48" s="7" t="s">
        <v>138</v>
      </c>
      <c r="C48" s="11">
        <v>3.75</v>
      </c>
      <c r="D48" s="8">
        <v>52</v>
      </c>
      <c r="E48" s="161"/>
      <c r="F48" s="163"/>
      <c r="G48" s="137"/>
    </row>
    <row r="49" spans="2:17" x14ac:dyDescent="0.25">
      <c r="B49" s="15" t="s">
        <v>141</v>
      </c>
      <c r="C49" s="3"/>
      <c r="D49" s="3"/>
      <c r="E49" s="159"/>
      <c r="F49" s="169" t="s">
        <v>142</v>
      </c>
      <c r="G49" s="135" t="s">
        <v>98</v>
      </c>
      <c r="Q49" s="16"/>
    </row>
    <row r="50" spans="2:17" x14ac:dyDescent="0.25">
      <c r="B50" s="5" t="s">
        <v>133</v>
      </c>
      <c r="C50" s="10">
        <v>3.25</v>
      </c>
      <c r="D50" s="6">
        <v>38</v>
      </c>
      <c r="E50" s="160"/>
      <c r="F50" s="162"/>
      <c r="G50" s="136"/>
      <c r="Q50" s="16"/>
    </row>
    <row r="51" spans="2:17" x14ac:dyDescent="0.25">
      <c r="B51" s="5" t="s">
        <v>134</v>
      </c>
      <c r="C51" s="10">
        <v>3.5</v>
      </c>
      <c r="D51" s="6">
        <v>45</v>
      </c>
      <c r="E51" s="160"/>
      <c r="F51" s="162"/>
      <c r="G51" s="136"/>
      <c r="Q51" s="16"/>
    </row>
    <row r="52" spans="2:17" x14ac:dyDescent="0.25">
      <c r="B52" s="5" t="s">
        <v>135</v>
      </c>
      <c r="C52" s="10">
        <v>3.75</v>
      </c>
      <c r="D52" s="6">
        <v>52</v>
      </c>
      <c r="E52" s="160"/>
      <c r="F52" s="162"/>
      <c r="G52" s="136"/>
      <c r="Q52" s="16"/>
    </row>
    <row r="53" spans="2:17" x14ac:dyDescent="0.25">
      <c r="B53" s="5" t="s">
        <v>143</v>
      </c>
      <c r="C53" s="10">
        <v>3.5</v>
      </c>
      <c r="D53" s="6">
        <v>55</v>
      </c>
      <c r="E53" s="160"/>
      <c r="F53" s="162"/>
      <c r="G53" s="136"/>
      <c r="Q53" s="16"/>
    </row>
    <row r="54" spans="2:17" x14ac:dyDescent="0.25">
      <c r="B54" s="5" t="s">
        <v>144</v>
      </c>
      <c r="C54" s="10">
        <v>3.75</v>
      </c>
      <c r="D54" s="6">
        <v>62</v>
      </c>
      <c r="E54" s="160"/>
      <c r="F54" s="162"/>
      <c r="G54" s="136"/>
      <c r="Q54" s="16"/>
    </row>
    <row r="55" spans="2:17" x14ac:dyDescent="0.25">
      <c r="B55" s="7" t="s">
        <v>138</v>
      </c>
      <c r="C55" s="11">
        <v>3.75</v>
      </c>
      <c r="D55" s="8">
        <v>62</v>
      </c>
      <c r="E55" s="161"/>
      <c r="F55" s="163"/>
      <c r="G55" s="137"/>
    </row>
    <row r="56" spans="2:17" x14ac:dyDescent="0.25">
      <c r="B56" s="15" t="s">
        <v>145</v>
      </c>
      <c r="C56" s="3"/>
      <c r="D56" s="3"/>
      <c r="E56" s="159"/>
      <c r="F56" s="169" t="s">
        <v>146</v>
      </c>
      <c r="G56" s="135" t="s">
        <v>98</v>
      </c>
      <c r="Q56" s="16"/>
    </row>
    <row r="57" spans="2:17" x14ac:dyDescent="0.25">
      <c r="B57" s="5" t="s">
        <v>133</v>
      </c>
      <c r="C57" s="10">
        <v>3.25</v>
      </c>
      <c r="D57" s="6">
        <v>38</v>
      </c>
      <c r="E57" s="160"/>
      <c r="F57" s="162"/>
      <c r="G57" s="136"/>
      <c r="Q57" s="16"/>
    </row>
    <row r="58" spans="2:17" x14ac:dyDescent="0.25">
      <c r="B58" s="5" t="s">
        <v>134</v>
      </c>
      <c r="C58" s="10">
        <v>3.5</v>
      </c>
      <c r="D58" s="6">
        <v>45</v>
      </c>
      <c r="E58" s="160"/>
      <c r="F58" s="162"/>
      <c r="G58" s="136"/>
      <c r="Q58" s="16"/>
    </row>
    <row r="59" spans="2:17" x14ac:dyDescent="0.25">
      <c r="B59" s="5" t="s">
        <v>135</v>
      </c>
      <c r="C59" s="10">
        <v>3.75</v>
      </c>
      <c r="D59" s="6">
        <v>52</v>
      </c>
      <c r="E59" s="160"/>
      <c r="F59" s="162"/>
      <c r="G59" s="136"/>
      <c r="Q59" s="16"/>
    </row>
    <row r="60" spans="2:17" x14ac:dyDescent="0.25">
      <c r="B60" s="5" t="s">
        <v>137</v>
      </c>
      <c r="C60" s="10">
        <v>3.75</v>
      </c>
      <c r="D60" s="6">
        <v>62</v>
      </c>
      <c r="E60" s="160"/>
      <c r="F60" s="162"/>
      <c r="G60" s="136"/>
      <c r="Q60" s="16"/>
    </row>
    <row r="61" spans="2:17" x14ac:dyDescent="0.25">
      <c r="B61" s="7" t="s">
        <v>138</v>
      </c>
      <c r="C61" s="11">
        <v>4.25</v>
      </c>
      <c r="D61" s="8">
        <v>70</v>
      </c>
      <c r="E61" s="161"/>
      <c r="F61" s="163"/>
      <c r="G61" s="137"/>
      <c r="Q61" s="16"/>
    </row>
    <row r="62" spans="2:17" x14ac:dyDescent="0.25">
      <c r="B62" s="15" t="s">
        <v>147</v>
      </c>
      <c r="C62" s="3"/>
      <c r="D62" s="3"/>
      <c r="E62" s="159"/>
      <c r="F62" s="186" t="s">
        <v>148</v>
      </c>
      <c r="G62" s="135" t="s">
        <v>149</v>
      </c>
      <c r="Q62" s="16"/>
    </row>
    <row r="63" spans="2:17" x14ac:dyDescent="0.25">
      <c r="B63" s="5" t="s">
        <v>133</v>
      </c>
      <c r="C63" s="10">
        <v>4</v>
      </c>
      <c r="D63" s="6">
        <v>61</v>
      </c>
      <c r="E63" s="160"/>
      <c r="F63" s="187"/>
      <c r="G63" s="136"/>
      <c r="Q63" s="16"/>
    </row>
    <row r="64" spans="2:17" x14ac:dyDescent="0.25">
      <c r="B64" s="5" t="s">
        <v>134</v>
      </c>
      <c r="C64" s="10">
        <v>4.75</v>
      </c>
      <c r="D64" s="6">
        <v>90</v>
      </c>
      <c r="E64" s="160"/>
      <c r="F64" s="187"/>
      <c r="G64" s="136"/>
    </row>
    <row r="65" spans="2:7" x14ac:dyDescent="0.25">
      <c r="B65" s="5" t="s">
        <v>135</v>
      </c>
      <c r="C65" s="10">
        <v>5.5</v>
      </c>
      <c r="D65" s="6">
        <v>124</v>
      </c>
      <c r="E65" s="160"/>
      <c r="F65" s="187"/>
      <c r="G65" s="136"/>
    </row>
    <row r="66" spans="2:7" x14ac:dyDescent="0.25">
      <c r="B66" s="5" t="s">
        <v>137</v>
      </c>
      <c r="C66" s="10">
        <v>6</v>
      </c>
      <c r="D66" s="6">
        <v>150</v>
      </c>
      <c r="E66" s="160"/>
      <c r="F66" s="187"/>
      <c r="G66" s="136"/>
    </row>
    <row r="67" spans="2:7" x14ac:dyDescent="0.25">
      <c r="B67" s="7" t="s">
        <v>138</v>
      </c>
      <c r="C67" s="11">
        <v>6.5</v>
      </c>
      <c r="D67" s="8">
        <v>179</v>
      </c>
      <c r="E67" s="161"/>
      <c r="F67" s="188"/>
      <c r="G67" s="137"/>
    </row>
    <row r="68" spans="2:7" x14ac:dyDescent="0.25">
      <c r="B68" s="15" t="s">
        <v>150</v>
      </c>
      <c r="C68" s="3"/>
      <c r="D68" s="3"/>
      <c r="E68" s="159"/>
      <c r="F68" s="189" t="s">
        <v>107</v>
      </c>
      <c r="G68" s="135" t="s">
        <v>149</v>
      </c>
    </row>
    <row r="69" spans="2:7" x14ac:dyDescent="0.25">
      <c r="B69" s="5" t="s">
        <v>133</v>
      </c>
      <c r="C69" s="10">
        <v>5.5</v>
      </c>
      <c r="D69" s="6">
        <v>124</v>
      </c>
      <c r="E69" s="160"/>
      <c r="F69" s="187"/>
      <c r="G69" s="136"/>
    </row>
    <row r="70" spans="2:7" x14ac:dyDescent="0.25">
      <c r="B70" s="5" t="s">
        <v>134</v>
      </c>
      <c r="C70" s="10">
        <v>6</v>
      </c>
      <c r="D70" s="6">
        <v>150</v>
      </c>
      <c r="E70" s="160"/>
      <c r="F70" s="187"/>
      <c r="G70" s="136"/>
    </row>
    <row r="71" spans="2:7" x14ac:dyDescent="0.25">
      <c r="B71" s="7" t="s">
        <v>138</v>
      </c>
      <c r="C71" s="11">
        <v>6.5</v>
      </c>
      <c r="D71" s="8">
        <v>179</v>
      </c>
      <c r="E71" s="161"/>
      <c r="F71" s="188"/>
      <c r="G71" s="137"/>
    </row>
  </sheetData>
  <mergeCells count="117">
    <mergeCell ref="B2:G3"/>
    <mergeCell ref="I2:N3"/>
    <mergeCell ref="G7:G8"/>
    <mergeCell ref="I40:R40"/>
    <mergeCell ref="I41:R43"/>
    <mergeCell ref="O3:P3"/>
    <mergeCell ref="Q3:R3"/>
    <mergeCell ref="O2:R2"/>
    <mergeCell ref="B27:B29"/>
    <mergeCell ref="E33:E35"/>
    <mergeCell ref="F33:F35"/>
    <mergeCell ref="G33:G35"/>
    <mergeCell ref="B4:B6"/>
    <mergeCell ref="C4:C6"/>
    <mergeCell ref="D4:D6"/>
    <mergeCell ref="E4:E6"/>
    <mergeCell ref="F4:F6"/>
    <mergeCell ref="E43:E48"/>
    <mergeCell ref="F43:F48"/>
    <mergeCell ref="G43:G48"/>
    <mergeCell ref="B7:B8"/>
    <mergeCell ref="C7:C8"/>
    <mergeCell ref="D7:D8"/>
    <mergeCell ref="E7:E8"/>
    <mergeCell ref="E62:E67"/>
    <mergeCell ref="F62:F67"/>
    <mergeCell ref="G62:G67"/>
    <mergeCell ref="E68:E71"/>
    <mergeCell ref="F68:F71"/>
    <mergeCell ref="G68:G71"/>
    <mergeCell ref="E49:E55"/>
    <mergeCell ref="F49:F55"/>
    <mergeCell ref="G49:G55"/>
    <mergeCell ref="E56:E61"/>
    <mergeCell ref="F56:F61"/>
    <mergeCell ref="G56:G61"/>
    <mergeCell ref="F7:F8"/>
    <mergeCell ref="E21:E23"/>
    <mergeCell ref="G16:G18"/>
    <mergeCell ref="B19:B20"/>
    <mergeCell ref="C19:C20"/>
    <mergeCell ref="D19:D20"/>
    <mergeCell ref="F19:F29"/>
    <mergeCell ref="G19:G29"/>
    <mergeCell ref="B21:B23"/>
    <mergeCell ref="B24:B26"/>
    <mergeCell ref="B16:B18"/>
    <mergeCell ref="C16:C18"/>
    <mergeCell ref="B36:B37"/>
    <mergeCell ref="C36:C37"/>
    <mergeCell ref="D36:D37"/>
    <mergeCell ref="E36:E42"/>
    <mergeCell ref="F36:F42"/>
    <mergeCell ref="G36:G42"/>
    <mergeCell ref="B30:B32"/>
    <mergeCell ref="C30:C32"/>
    <mergeCell ref="D30:D32"/>
    <mergeCell ref="E30:E32"/>
    <mergeCell ref="F30:F32"/>
    <mergeCell ref="G30:G32"/>
    <mergeCell ref="Q4:R11"/>
    <mergeCell ref="O4:P11"/>
    <mergeCell ref="N4:N11"/>
    <mergeCell ref="J4:M7"/>
    <mergeCell ref="J8:M11"/>
    <mergeCell ref="I4:I7"/>
    <mergeCell ref="I8:I11"/>
    <mergeCell ref="D27:D29"/>
    <mergeCell ref="C27:C29"/>
    <mergeCell ref="E27:E29"/>
    <mergeCell ref="G4:G6"/>
    <mergeCell ref="C24:C26"/>
    <mergeCell ref="C21:C23"/>
    <mergeCell ref="D21:D23"/>
    <mergeCell ref="D16:D18"/>
    <mergeCell ref="E16:E18"/>
    <mergeCell ref="F16:F18"/>
    <mergeCell ref="D24:D26"/>
    <mergeCell ref="E24:E26"/>
    <mergeCell ref="E9:E11"/>
    <mergeCell ref="F9:F11"/>
    <mergeCell ref="G9:G11"/>
    <mergeCell ref="F12:F15"/>
    <mergeCell ref="G12:G15"/>
    <mergeCell ref="I24:I27"/>
    <mergeCell ref="I28:I31"/>
    <mergeCell ref="I32:I35"/>
    <mergeCell ref="I36:I39"/>
    <mergeCell ref="J36:M39"/>
    <mergeCell ref="J32:M35"/>
    <mergeCell ref="J28:M31"/>
    <mergeCell ref="J24:M27"/>
    <mergeCell ref="J20:M23"/>
    <mergeCell ref="N24:N27"/>
    <mergeCell ref="N28:N31"/>
    <mergeCell ref="N32:N35"/>
    <mergeCell ref="N36:N39"/>
    <mergeCell ref="O20:P23"/>
    <mergeCell ref="Q20:R23"/>
    <mergeCell ref="O24:P27"/>
    <mergeCell ref="Q24:R27"/>
    <mergeCell ref="O28:P31"/>
    <mergeCell ref="Q28:R31"/>
    <mergeCell ref="O32:P35"/>
    <mergeCell ref="Q32:R35"/>
    <mergeCell ref="O36:P39"/>
    <mergeCell ref="Q36:R39"/>
    <mergeCell ref="I12:I15"/>
    <mergeCell ref="J12:M15"/>
    <mergeCell ref="N12:N15"/>
    <mergeCell ref="O12:P19"/>
    <mergeCell ref="Q12:R19"/>
    <mergeCell ref="I16:I19"/>
    <mergeCell ref="J16:M19"/>
    <mergeCell ref="N16:N19"/>
    <mergeCell ref="N20:N23"/>
    <mergeCell ref="I20:I23"/>
  </mergeCells>
  <phoneticPr fontId="8" type="noConversion"/>
  <pageMargins left="0.7" right="0.7" top="0.75" bottom="0.75" header="0.3" footer="0.3"/>
  <ignoredErrors>
    <ignoredError sqref="I20:I39 F68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098444-8841-4445-B6E7-510BE10ECF3A}"/>
</file>

<file path=customXml/itemProps2.xml><?xml version="1.0" encoding="utf-8"?>
<ds:datastoreItem xmlns:ds="http://schemas.openxmlformats.org/officeDocument/2006/customXml" ds:itemID="{2AC55F70-21FB-4B71-A730-0CCE6E1ED9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595B14-8DCC-4D9F-8A3C-E78FB160A66A}">
  <ds:schemaRefs>
    <ds:schemaRef ds:uri="http://schemas.microsoft.com/office/2006/metadata/properties"/>
    <ds:schemaRef ds:uri="http://schemas.microsoft.com/office/infopath/2007/PartnerControls"/>
    <ds:schemaRef ds:uri="2710bc8b-17c9-4e36-a567-5a8748d28b44"/>
    <ds:schemaRef ds:uri="f16ae08e-32aa-43c4-955b-813e13c930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9</vt:i4>
      </vt:variant>
    </vt:vector>
  </HeadingPairs>
  <TitlesOfParts>
    <vt:vector size="13" baseType="lpstr">
      <vt:lpstr>content</vt:lpstr>
      <vt:lpstr>circular gasket</vt:lpstr>
      <vt:lpstr>not-circular gasket</vt:lpstr>
      <vt:lpstr>gasket table</vt:lpstr>
      <vt:lpstr>Fig_2</vt:lpstr>
      <vt:lpstr>Fig_3</vt:lpstr>
      <vt:lpstr>Fig_4</vt:lpstr>
      <vt:lpstr>Fig_5</vt:lpstr>
      <vt:lpstr>Fig_6</vt:lpstr>
      <vt:lpstr>Fig1a</vt:lpstr>
      <vt:lpstr>Fig1b</vt:lpstr>
      <vt:lpstr>Fig1c</vt:lpstr>
      <vt:lpstr>Fig1d</vt:lpstr>
    </vt:vector>
  </TitlesOfParts>
  <Manager/>
  <Company>Trillium Flow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Fabrizio Cademartori</dc:creator>
  <cp:keywords/>
  <dc:description/>
  <cp:lastModifiedBy>Carmine Delli Quadri</cp:lastModifiedBy>
  <cp:revision/>
  <dcterms:created xsi:type="dcterms:W3CDTF">2024-10-30T08:35:54Z</dcterms:created>
  <dcterms:modified xsi:type="dcterms:W3CDTF">2024-12-05T07:22:36Z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