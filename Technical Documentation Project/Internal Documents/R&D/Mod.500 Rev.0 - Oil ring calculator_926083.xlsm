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T:\IT005\Documentale\# Nuovo Documentale\Area di lavoro HSEQ\"/>
    </mc:Choice>
  </mc:AlternateContent>
  <xr:revisionPtr revIDLastSave="0" documentId="13_ncr:1_{E5A95A2C-DD0A-4C7C-AAF9-7741401BA790}" xr6:coauthVersionLast="47" xr6:coauthVersionMax="47" xr10:uidLastSave="{00000000-0000-0000-0000-000000000000}"/>
  <bookViews>
    <workbookView xWindow="-19320" yWindow="-120" windowWidth="19440" windowHeight="15000" xr2:uid="{4FBBB639-2BEF-4436-891A-27C2156BFA3B}"/>
  </bookViews>
  <sheets>
    <sheet name="content" sheetId="5" r:id="rId1"/>
    <sheet name="oil ring calculator" sheetId="3" r:id="rId2"/>
    <sheet name="oil properties" sheetId="4" r:id="rId3"/>
  </sheets>
  <functionGroups builtInGroupCount="19"/>
  <definedNames>
    <definedName name="costK">725000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4" i="3" l="1" a="1"/>
  <c r="D24" i="3" s="1"/>
  <c r="D23" i="3" a="1"/>
  <c r="D23" i="3" s="1"/>
  <c r="Y5" i="4" a="1"/>
  <c r="Y5" i="4" s="1"/>
  <c r="Y6" i="4" a="1"/>
  <c r="Y6" i="4" s="1"/>
  <c r="Y7" i="4" a="1"/>
  <c r="Y7" i="4" s="1"/>
  <c r="Y8" i="4" a="1"/>
  <c r="Y8" i="4" s="1"/>
  <c r="Y9" i="4" a="1"/>
  <c r="Y9" i="4" s="1"/>
  <c r="Y10" i="4" a="1"/>
  <c r="Y10" i="4" s="1"/>
  <c r="Y11" i="4" a="1"/>
  <c r="Y11" i="4" s="1"/>
  <c r="Y12" i="4" a="1"/>
  <c r="Y12" i="4" s="1"/>
  <c r="Y13" i="4" a="1"/>
  <c r="Y13" i="4" s="1"/>
  <c r="Y14" i="4" a="1"/>
  <c r="Y14" i="4" s="1"/>
  <c r="Y15" i="4" a="1"/>
  <c r="Y15" i="4" s="1"/>
  <c r="Y16" i="4" a="1"/>
  <c r="Y16" i="4" s="1"/>
  <c r="Y17" i="4" a="1"/>
  <c r="Y17" i="4" s="1"/>
  <c r="Y18" i="4" a="1"/>
  <c r="Y18" i="4" s="1"/>
  <c r="Y19" i="4" a="1"/>
  <c r="Y19" i="4" s="1"/>
  <c r="Y20" i="4" a="1"/>
  <c r="Y20" i="4" s="1"/>
  <c r="Y21" i="4" a="1"/>
  <c r="Y21" i="4" s="1"/>
  <c r="Y22" i="4" a="1"/>
  <c r="Y22" i="4" s="1"/>
  <c r="Y23" i="4" a="1"/>
  <c r="Y23" i="4" s="1"/>
  <c r="Y24" i="4" a="1"/>
  <c r="Y24" i="4" s="1"/>
  <c r="Y4" i="4" a="1"/>
  <c r="Y4" i="4" s="1"/>
  <c r="Z5" i="4" a="1"/>
  <c r="Z5" i="4" s="1"/>
  <c r="Z6" i="4" a="1"/>
  <c r="Z6" i="4" s="1"/>
  <c r="Z7" i="4" a="1"/>
  <c r="Z7" i="4" s="1"/>
  <c r="Z8" i="4" a="1"/>
  <c r="Z8" i="4" s="1"/>
  <c r="Z9" i="4" a="1"/>
  <c r="Z9" i="4" s="1"/>
  <c r="Z10" i="4" a="1"/>
  <c r="Z10" i="4" s="1"/>
  <c r="Z11" i="4" a="1"/>
  <c r="Z11" i="4" s="1"/>
  <c r="Z12" i="4" a="1"/>
  <c r="Z12" i="4" s="1"/>
  <c r="Z13" i="4" a="1"/>
  <c r="Z13" i="4" s="1"/>
  <c r="Z14" i="4" a="1"/>
  <c r="Z14" i="4" s="1"/>
  <c r="Z15" i="4" a="1"/>
  <c r="Z15" i="4" s="1"/>
  <c r="Z16" i="4" a="1"/>
  <c r="Z16" i="4" s="1"/>
  <c r="Z17" i="4" a="1"/>
  <c r="Z17" i="4" s="1"/>
  <c r="Z18" i="4" a="1"/>
  <c r="Z18" i="4" s="1"/>
  <c r="Z19" i="4" a="1"/>
  <c r="Z19" i="4" s="1"/>
  <c r="Z20" i="4" a="1"/>
  <c r="Z20" i="4" s="1"/>
  <c r="Z21" i="4" a="1"/>
  <c r="Z21" i="4" s="1"/>
  <c r="Z22" i="4" a="1"/>
  <c r="Z22" i="4" s="1"/>
  <c r="Z23" i="4" a="1"/>
  <c r="Z23" i="4" s="1"/>
  <c r="Z24" i="4" a="1"/>
  <c r="Z24" i="4" s="1"/>
  <c r="Z4" i="4" a="1"/>
  <c r="Z4" i="4" s="1"/>
  <c r="C25" i="3"/>
  <c r="D25" i="3" s="1" a="1"/>
  <c r="D25" i="3" s="1"/>
  <c r="E5" i="3"/>
  <c r="L12" i="3"/>
  <c r="L11" i="3"/>
  <c r="L14" i="3"/>
  <c r="L15" i="3"/>
  <c r="L13" i="3"/>
  <c r="C17" i="3"/>
  <c r="C16" i="3"/>
  <c r="AB3" i="3" l="1"/>
  <c r="C24" i="3"/>
  <c r="C23" i="3"/>
  <c r="E12" i="3"/>
  <c r="E10" i="3"/>
  <c r="E11" i="3"/>
  <c r="E6" i="3"/>
  <c r="E4" i="3" l="1"/>
  <c r="E15" i="3" l="1"/>
  <c r="E17" i="3" l="1"/>
  <c r="E8" i="3" l="1"/>
  <c r="E3" i="3"/>
  <c r="E9" i="3"/>
  <c r="E46" i="3" l="1"/>
  <c r="C46" i="3" s="1"/>
  <c r="E40" i="3"/>
  <c r="E42" i="3" l="1"/>
  <c r="C42" i="3" s="1"/>
  <c r="E44" i="3"/>
  <c r="C44" i="3" s="1"/>
  <c r="C40" i="3"/>
  <c r="C18" i="3"/>
  <c r="E18" i="3" s="1"/>
  <c r="N8" i="3" l="1"/>
  <c r="N7" i="3"/>
  <c r="E16" i="3"/>
  <c r="AE3" i="3" a="1"/>
  <c r="E20" i="3" a="1"/>
  <c r="E41" i="3" a="1"/>
  <c r="E20" i="3" l="1"/>
  <c r="AE3" i="3"/>
  <c r="E41" i="3"/>
  <c r="E30" i="3"/>
  <c r="E32" i="3" s="1"/>
  <c r="E38" i="3" s="1"/>
  <c r="AD3" i="3" a="1"/>
  <c r="AD3" i="3" l="1"/>
  <c r="C30" i="3"/>
  <c r="J8" i="3" s="1"/>
  <c r="E31" i="3"/>
  <c r="C32" i="3"/>
  <c r="C38" i="3" s="1"/>
  <c r="C36" i="3" s="1"/>
  <c r="E36" i="3" l="1"/>
  <c r="AB53" i="3"/>
  <c r="E33" i="3"/>
  <c r="C33" i="3" s="1"/>
  <c r="J7" i="3"/>
  <c r="C31" i="3"/>
  <c r="AA4" i="3" s="1"/>
  <c r="K7" i="3"/>
  <c r="K6" i="3"/>
  <c r="AF3" i="3" a="1"/>
  <c r="E21" i="3" a="1"/>
  <c r="E35" i="3" a="1"/>
  <c r="AE53" i="3" a="1"/>
  <c r="E21" i="3" l="1"/>
  <c r="AE53" i="3"/>
  <c r="AA53" i="3"/>
  <c r="I3" i="3" s="1"/>
  <c r="AF3" i="3"/>
  <c r="E35" i="3"/>
  <c r="E37" i="3" s="1"/>
  <c r="C37" i="3" s="1"/>
  <c r="AB103" i="3"/>
  <c r="AA5" i="3"/>
  <c r="AB4" i="3"/>
  <c r="C22" i="3" a="1"/>
  <c r="C22" i="3" s="1"/>
  <c r="D22" i="3" s="1" a="1"/>
  <c r="D22" i="3" s="1"/>
  <c r="I6" i="3"/>
  <c r="I7" i="3"/>
  <c r="AE103" i="3" a="1"/>
  <c r="AE4" i="3" a="1"/>
  <c r="AD103" i="3" a="1"/>
  <c r="AD4" i="3" a="1"/>
  <c r="AE4" i="3" l="1"/>
  <c r="AE103" i="3"/>
  <c r="C35" i="3"/>
  <c r="L8" i="3" s="1"/>
  <c r="AD103" i="3"/>
  <c r="AA103" i="3"/>
  <c r="AA54" i="3"/>
  <c r="AD4" i="3"/>
  <c r="AA6" i="3"/>
  <c r="AB5" i="3"/>
  <c r="C21" i="3"/>
  <c r="C26" i="3" s="1"/>
  <c r="D26" i="3" s="1" a="1"/>
  <c r="D26" i="3" s="1"/>
  <c r="AF103" i="3" a="1"/>
  <c r="AF4" i="3" a="1"/>
  <c r="AD53" i="3" a="1"/>
  <c r="AE5" i="3" a="1"/>
  <c r="AD5" i="3" a="1"/>
  <c r="AE5" i="3" l="1"/>
  <c r="AF4" i="3"/>
  <c r="AG4" i="3" s="1"/>
  <c r="AF103" i="3"/>
  <c r="AG103" i="3" s="1"/>
  <c r="J4" i="3" s="1"/>
  <c r="L7" i="3"/>
  <c r="I4" i="3"/>
  <c r="AA104" i="3"/>
  <c r="AD53" i="3"/>
  <c r="AA55" i="3"/>
  <c r="AB54" i="3"/>
  <c r="AD5" i="3"/>
  <c r="AA7" i="3"/>
  <c r="AB6" i="3"/>
  <c r="AC103" i="3"/>
  <c r="AC3" i="3"/>
  <c r="AC4" i="3"/>
  <c r="C20" i="3"/>
  <c r="C41" i="3"/>
  <c r="E43" i="3"/>
  <c r="C43" i="3" s="1"/>
  <c r="C27" i="3"/>
  <c r="D27" i="3" s="1" a="1"/>
  <c r="D27" i="3" s="1"/>
  <c r="AF53" i="3" a="1"/>
  <c r="AE54" i="3" a="1"/>
  <c r="AD6" i="3" a="1"/>
  <c r="AF5" i="3" a="1"/>
  <c r="AD54" i="3" a="1"/>
  <c r="AE6" i="3" a="1"/>
  <c r="C28" i="3" l="1"/>
  <c r="D28" i="3" a="1"/>
  <c r="D28" i="3" s="1"/>
  <c r="AE6" i="3"/>
  <c r="AE54" i="3"/>
  <c r="AF53" i="3"/>
  <c r="AG53" i="3" s="1"/>
  <c r="J3" i="3" s="1"/>
  <c r="AF5" i="3"/>
  <c r="AG5" i="3" s="1"/>
  <c r="AG3" i="3"/>
  <c r="AA105" i="3"/>
  <c r="AB104" i="3"/>
  <c r="AC5" i="3"/>
  <c r="AC53" i="3"/>
  <c r="AD54" i="3"/>
  <c r="AA56" i="3"/>
  <c r="AB55" i="3"/>
  <c r="AD6" i="3"/>
  <c r="AA8" i="3"/>
  <c r="AB7" i="3"/>
  <c r="M7" i="3"/>
  <c r="M6" i="3"/>
  <c r="AE55" i="3" a="1"/>
  <c r="AF54" i="3" a="1"/>
  <c r="AF6" i="3" a="1"/>
  <c r="AD7" i="3" a="1"/>
  <c r="AE7" i="3" a="1"/>
  <c r="AE104" i="3" a="1"/>
  <c r="AD55" i="3" a="1"/>
  <c r="AD104" i="3" a="1"/>
  <c r="AE104" i="3" l="1"/>
  <c r="AE7" i="3"/>
  <c r="AE55" i="3"/>
  <c r="AF54" i="3"/>
  <c r="AG54" i="3" s="1"/>
  <c r="AF6" i="3"/>
  <c r="AG6" i="3" s="1"/>
  <c r="AD104" i="3"/>
  <c r="AB105" i="3"/>
  <c r="AA106" i="3"/>
  <c r="AD55" i="3"/>
  <c r="AC54" i="3"/>
  <c r="AA57" i="3"/>
  <c r="AB56" i="3"/>
  <c r="AD7" i="3"/>
  <c r="AC6" i="3"/>
  <c r="AA9" i="3"/>
  <c r="AB8" i="3"/>
  <c r="AD8" i="3" a="1"/>
  <c r="AD105" i="3" a="1"/>
  <c r="AD56" i="3" a="1"/>
  <c r="AF7" i="3" a="1"/>
  <c r="AF104" i="3" a="1"/>
  <c r="AE8" i="3" a="1"/>
  <c r="AF55" i="3" a="1"/>
  <c r="AE56" i="3" a="1"/>
  <c r="AE105" i="3" a="1"/>
  <c r="AE105" i="3" l="1"/>
  <c r="AE8" i="3"/>
  <c r="AE56" i="3"/>
  <c r="AF55" i="3"/>
  <c r="AG55" i="3" s="1"/>
  <c r="AF7" i="3"/>
  <c r="AG7" i="3" s="1"/>
  <c r="AF104" i="3"/>
  <c r="AG104" i="3" s="1"/>
  <c r="AD105" i="3"/>
  <c r="AB106" i="3"/>
  <c r="AA107" i="3"/>
  <c r="AC104" i="3"/>
  <c r="AD56" i="3"/>
  <c r="AA58" i="3"/>
  <c r="AB57" i="3"/>
  <c r="AC55" i="3"/>
  <c r="AD8" i="3"/>
  <c r="AA10" i="3"/>
  <c r="AB9" i="3"/>
  <c r="AC7" i="3"/>
  <c r="AF105" i="3" a="1"/>
  <c r="AD106" i="3" a="1"/>
  <c r="AE9" i="3" a="1"/>
  <c r="AD57" i="3" a="1"/>
  <c r="AF56" i="3" a="1"/>
  <c r="AD9" i="3" a="1"/>
  <c r="AE57" i="3" a="1"/>
  <c r="AE106" i="3" a="1"/>
  <c r="AF8" i="3" a="1"/>
  <c r="AE57" i="3" l="1"/>
  <c r="AE9" i="3"/>
  <c r="AE106" i="3"/>
  <c r="AF8" i="3"/>
  <c r="AG8" i="3" s="1"/>
  <c r="AF105" i="3"/>
  <c r="AG105" i="3" s="1"/>
  <c r="AF56" i="3"/>
  <c r="AG56" i="3" s="1"/>
  <c r="AD106" i="3"/>
  <c r="AA108" i="3"/>
  <c r="AB107" i="3"/>
  <c r="AC105" i="3"/>
  <c r="AD57" i="3"/>
  <c r="AA59" i="3"/>
  <c r="AB58" i="3"/>
  <c r="AC56" i="3"/>
  <c r="AD9" i="3"/>
  <c r="AA11" i="3"/>
  <c r="AB10" i="3"/>
  <c r="AC8" i="3"/>
  <c r="AF106" i="3" a="1"/>
  <c r="AE107" i="3" a="1"/>
  <c r="AD10" i="3" a="1"/>
  <c r="AF57" i="3" a="1"/>
  <c r="AE10" i="3" a="1"/>
  <c r="AD107" i="3" a="1"/>
  <c r="AD58" i="3" a="1"/>
  <c r="AF9" i="3" a="1"/>
  <c r="AE58" i="3" a="1"/>
  <c r="AE58" i="3" l="1"/>
  <c r="AE10" i="3"/>
  <c r="AE107" i="3"/>
  <c r="AF9" i="3"/>
  <c r="AG9" i="3" s="1"/>
  <c r="AF106" i="3"/>
  <c r="AG106" i="3" s="1"/>
  <c r="AF57" i="3"/>
  <c r="AG57" i="3" s="1"/>
  <c r="AD107" i="3"/>
  <c r="AB108" i="3"/>
  <c r="AA109" i="3"/>
  <c r="AC106" i="3"/>
  <c r="AD58" i="3"/>
  <c r="AA60" i="3"/>
  <c r="AB59" i="3"/>
  <c r="AC57" i="3"/>
  <c r="AD10" i="3"/>
  <c r="AA12" i="3"/>
  <c r="AB11" i="3"/>
  <c r="AC9" i="3"/>
  <c r="AE11" i="3" a="1"/>
  <c r="AE59" i="3" a="1"/>
  <c r="AF10" i="3" a="1"/>
  <c r="AD108" i="3" a="1"/>
  <c r="AF58" i="3" a="1"/>
  <c r="AD59" i="3" a="1"/>
  <c r="AF107" i="3" a="1"/>
  <c r="AE108" i="3" a="1"/>
  <c r="AD11" i="3" a="1"/>
  <c r="AE11" i="3" l="1"/>
  <c r="AE59" i="3"/>
  <c r="AE108" i="3"/>
  <c r="AF10" i="3"/>
  <c r="AG10" i="3" s="1"/>
  <c r="AF107" i="3"/>
  <c r="AG107" i="3" s="1"/>
  <c r="AF58" i="3"/>
  <c r="AG58" i="3" s="1"/>
  <c r="AD108" i="3"/>
  <c r="AA110" i="3"/>
  <c r="AB109" i="3"/>
  <c r="AC107" i="3"/>
  <c r="AD59" i="3"/>
  <c r="AA61" i="3"/>
  <c r="AB60" i="3"/>
  <c r="AC58" i="3"/>
  <c r="AD11" i="3"/>
  <c r="AA13" i="3"/>
  <c r="AB12" i="3"/>
  <c r="AC10" i="3"/>
  <c r="AE109" i="3" a="1"/>
  <c r="AF59" i="3" a="1"/>
  <c r="AD109" i="3" a="1"/>
  <c r="AF108" i="3" a="1"/>
  <c r="AD12" i="3" a="1"/>
  <c r="AD60" i="3" a="1"/>
  <c r="AF11" i="3" a="1"/>
  <c r="AE12" i="3" a="1"/>
  <c r="AE60" i="3" a="1"/>
  <c r="AE60" i="3" l="1"/>
  <c r="AE12" i="3"/>
  <c r="AE109" i="3"/>
  <c r="AF11" i="3"/>
  <c r="AG11" i="3" s="1"/>
  <c r="AF108" i="3"/>
  <c r="AG108" i="3" s="1"/>
  <c r="AF59" i="3"/>
  <c r="AG59" i="3" s="1"/>
  <c r="AD109" i="3"/>
  <c r="AA111" i="3"/>
  <c r="AB110" i="3"/>
  <c r="AC108" i="3"/>
  <c r="AD60" i="3"/>
  <c r="AA62" i="3"/>
  <c r="AB61" i="3"/>
  <c r="AC59" i="3"/>
  <c r="AD12" i="3"/>
  <c r="AA14" i="3"/>
  <c r="AB13" i="3"/>
  <c r="AC11" i="3"/>
  <c r="AF60" i="3" a="1"/>
  <c r="AD13" i="3" a="1"/>
  <c r="AE110" i="3" a="1"/>
  <c r="AD61" i="3" a="1"/>
  <c r="AF12" i="3" a="1"/>
  <c r="AE61" i="3" a="1"/>
  <c r="AF109" i="3" a="1"/>
  <c r="AD110" i="3" a="1"/>
  <c r="AE13" i="3" a="1"/>
  <c r="AE61" i="3" l="1"/>
  <c r="AE13" i="3"/>
  <c r="AE110" i="3"/>
  <c r="AF12" i="3"/>
  <c r="AG12" i="3" s="1"/>
  <c r="AF109" i="3"/>
  <c r="AG109" i="3" s="1"/>
  <c r="AF60" i="3"/>
  <c r="AG60" i="3" s="1"/>
  <c r="AD110" i="3"/>
  <c r="AC109" i="3"/>
  <c r="AA112" i="3"/>
  <c r="AB111" i="3"/>
  <c r="AD61" i="3"/>
  <c r="AA63" i="3"/>
  <c r="AB62" i="3"/>
  <c r="AC60" i="3"/>
  <c r="AD13" i="3"/>
  <c r="AA15" i="3"/>
  <c r="AB14" i="3"/>
  <c r="AC12" i="3"/>
  <c r="AE14" i="3" a="1"/>
  <c r="AE111" i="3" a="1"/>
  <c r="AF13" i="3" a="1"/>
  <c r="AF61" i="3" a="1"/>
  <c r="AD14" i="3" a="1"/>
  <c r="AE62" i="3" a="1"/>
  <c r="AD62" i="3" a="1"/>
  <c r="AD111" i="3" a="1"/>
  <c r="AF110" i="3" a="1"/>
  <c r="AE14" i="3" l="1"/>
  <c r="AE111" i="3"/>
  <c r="AE62" i="3"/>
  <c r="AF110" i="3"/>
  <c r="AG110" i="3" s="1"/>
  <c r="AF13" i="3"/>
  <c r="AG13" i="3" s="1"/>
  <c r="AF61" i="3"/>
  <c r="AG61" i="3" s="1"/>
  <c r="AD111" i="3"/>
  <c r="AA113" i="3"/>
  <c r="AB112" i="3"/>
  <c r="AC110" i="3"/>
  <c r="AD62" i="3"/>
  <c r="AA64" i="3"/>
  <c r="AB63" i="3"/>
  <c r="AC61" i="3"/>
  <c r="AD14" i="3"/>
  <c r="AA16" i="3"/>
  <c r="AB15" i="3"/>
  <c r="AC13" i="3"/>
  <c r="AD15" i="3" a="1"/>
  <c r="AD63" i="3" a="1"/>
  <c r="AF62" i="3" a="1"/>
  <c r="AD112" i="3" a="1"/>
  <c r="AE15" i="3" a="1"/>
  <c r="AE112" i="3" a="1"/>
  <c r="AE63" i="3" a="1"/>
  <c r="AF14" i="3" a="1"/>
  <c r="AF111" i="3" a="1"/>
  <c r="AE63" i="3" l="1"/>
  <c r="AE15" i="3"/>
  <c r="AE112" i="3"/>
  <c r="AF14" i="3"/>
  <c r="AG14" i="3" s="1"/>
  <c r="AF111" i="3"/>
  <c r="AG111" i="3" s="1"/>
  <c r="AF62" i="3"/>
  <c r="AG62" i="3" s="1"/>
  <c r="AD112" i="3"/>
  <c r="AC111" i="3"/>
  <c r="AA114" i="3"/>
  <c r="AB113" i="3"/>
  <c r="AD63" i="3"/>
  <c r="AA65" i="3"/>
  <c r="AB64" i="3"/>
  <c r="AC62" i="3"/>
  <c r="AD15" i="3"/>
  <c r="AA17" i="3"/>
  <c r="AB16" i="3"/>
  <c r="AC14" i="3"/>
  <c r="AE64" i="3" a="1"/>
  <c r="AE113" i="3" a="1"/>
  <c r="AF112" i="3" a="1"/>
  <c r="AD16" i="3" a="1"/>
  <c r="AF15" i="3" a="1"/>
  <c r="AD64" i="3" a="1"/>
  <c r="AF63" i="3" a="1"/>
  <c r="AE16" i="3" a="1"/>
  <c r="AD113" i="3" a="1"/>
  <c r="AE64" i="3" l="1"/>
  <c r="AE16" i="3"/>
  <c r="AE113" i="3"/>
  <c r="AF15" i="3"/>
  <c r="AG15" i="3" s="1"/>
  <c r="AF112" i="3"/>
  <c r="AG112" i="3" s="1"/>
  <c r="AF63" i="3"/>
  <c r="AG63" i="3" s="1"/>
  <c r="AD113" i="3"/>
  <c r="AA115" i="3"/>
  <c r="AB114" i="3"/>
  <c r="AC112" i="3"/>
  <c r="AD64" i="3"/>
  <c r="AA66" i="3"/>
  <c r="AB65" i="3"/>
  <c r="AC63" i="3"/>
  <c r="AD16" i="3"/>
  <c r="AA18" i="3"/>
  <c r="AB17" i="3"/>
  <c r="AC15" i="3"/>
  <c r="AF16" i="3" a="1"/>
  <c r="AF64" i="3" a="1"/>
  <c r="AD114" i="3" a="1"/>
  <c r="AD17" i="3" a="1"/>
  <c r="AE65" i="3" a="1"/>
  <c r="AE17" i="3" a="1"/>
  <c r="AF113" i="3" a="1"/>
  <c r="AE114" i="3" a="1"/>
  <c r="AD65" i="3" a="1"/>
  <c r="AE17" i="3" l="1"/>
  <c r="AE65" i="3"/>
  <c r="AE114" i="3"/>
  <c r="AF16" i="3"/>
  <c r="AG16" i="3" s="1"/>
  <c r="AF113" i="3"/>
  <c r="AG113" i="3" s="1"/>
  <c r="AF64" i="3"/>
  <c r="AG64" i="3" s="1"/>
  <c r="AD114" i="3"/>
  <c r="AB115" i="3"/>
  <c r="AA116" i="3"/>
  <c r="AC113" i="3"/>
  <c r="AD65" i="3"/>
  <c r="AA67" i="3"/>
  <c r="AB66" i="3"/>
  <c r="AC64" i="3"/>
  <c r="AD17" i="3"/>
  <c r="AA19" i="3"/>
  <c r="AB18" i="3"/>
  <c r="AC16" i="3"/>
  <c r="AF114" i="3" a="1"/>
  <c r="AF65" i="3" a="1"/>
  <c r="AF17" i="3" a="1"/>
  <c r="AD66" i="3" a="1"/>
  <c r="AE18" i="3" a="1"/>
  <c r="AE115" i="3" a="1"/>
  <c r="AD115" i="3" a="1"/>
  <c r="AE66" i="3" a="1"/>
  <c r="AD18" i="3" a="1"/>
  <c r="AE66" i="3" l="1"/>
  <c r="AE18" i="3"/>
  <c r="AE115" i="3"/>
  <c r="AF17" i="3"/>
  <c r="AG17" i="3" s="1"/>
  <c r="AF114" i="3"/>
  <c r="AG114" i="3" s="1"/>
  <c r="AF65" i="3"/>
  <c r="AG65" i="3" s="1"/>
  <c r="AD115" i="3"/>
  <c r="AC114" i="3"/>
  <c r="AA117" i="3"/>
  <c r="AB116" i="3"/>
  <c r="AD66" i="3"/>
  <c r="AA68" i="3"/>
  <c r="AB67" i="3"/>
  <c r="AC65" i="3"/>
  <c r="AD18" i="3"/>
  <c r="AA20" i="3"/>
  <c r="AB19" i="3"/>
  <c r="AC17" i="3"/>
  <c r="AD116" i="3" a="1"/>
  <c r="AE19" i="3" a="1"/>
  <c r="AD19" i="3" a="1"/>
  <c r="AE67" i="3" a="1"/>
  <c r="AD67" i="3" a="1"/>
  <c r="AF115" i="3" a="1"/>
  <c r="AE116" i="3" a="1"/>
  <c r="AF66" i="3" a="1"/>
  <c r="AF18" i="3" a="1"/>
  <c r="AE19" i="3" l="1"/>
  <c r="AE116" i="3"/>
  <c r="AE67" i="3"/>
  <c r="AF18" i="3"/>
  <c r="AG18" i="3" s="1"/>
  <c r="AF115" i="3"/>
  <c r="AG115" i="3" s="1"/>
  <c r="AF66" i="3"/>
  <c r="AG66" i="3" s="1"/>
  <c r="AD116" i="3"/>
  <c r="AC115" i="3"/>
  <c r="AB117" i="3"/>
  <c r="AA118" i="3"/>
  <c r="AD67" i="3"/>
  <c r="AA69" i="3"/>
  <c r="AB68" i="3"/>
  <c r="AC66" i="3"/>
  <c r="AD19" i="3"/>
  <c r="AA21" i="3"/>
  <c r="AB20" i="3"/>
  <c r="AC18" i="3"/>
  <c r="AF67" i="3" a="1"/>
  <c r="AD117" i="3" a="1"/>
  <c r="AF19" i="3" a="1"/>
  <c r="AF116" i="3" a="1"/>
  <c r="AE20" i="3" a="1"/>
  <c r="AE117" i="3" a="1"/>
  <c r="AD20" i="3" a="1"/>
  <c r="AE68" i="3" a="1"/>
  <c r="AD68" i="3" a="1"/>
  <c r="AE20" i="3" l="1"/>
  <c r="AE68" i="3"/>
  <c r="AE117" i="3"/>
  <c r="AF19" i="3"/>
  <c r="AG19" i="3" s="1"/>
  <c r="AF116" i="3"/>
  <c r="AG116" i="3" s="1"/>
  <c r="AF67" i="3"/>
  <c r="AG67" i="3" s="1"/>
  <c r="AD117" i="3"/>
  <c r="AA119" i="3"/>
  <c r="AB118" i="3"/>
  <c r="AC116" i="3"/>
  <c r="AD68" i="3"/>
  <c r="AA70" i="3"/>
  <c r="AB69" i="3"/>
  <c r="AC67" i="3"/>
  <c r="AD20" i="3"/>
  <c r="AA22" i="3"/>
  <c r="AB21" i="3"/>
  <c r="AC19" i="3"/>
  <c r="AF20" i="3" a="1"/>
  <c r="AD118" i="3" a="1"/>
  <c r="AE21" i="3" a="1"/>
  <c r="AD21" i="3" a="1"/>
  <c r="AF117" i="3" a="1"/>
  <c r="AF68" i="3" a="1"/>
  <c r="AE69" i="3" a="1"/>
  <c r="AE118" i="3" a="1"/>
  <c r="AD69" i="3" a="1"/>
  <c r="AE69" i="3" l="1"/>
  <c r="AE21" i="3"/>
  <c r="AE118" i="3"/>
  <c r="AF20" i="3"/>
  <c r="AG20" i="3" s="1"/>
  <c r="AF117" i="3"/>
  <c r="AG117" i="3" s="1"/>
  <c r="AF68" i="3"/>
  <c r="AG68" i="3" s="1"/>
  <c r="AD118" i="3"/>
  <c r="AC117" i="3"/>
  <c r="AB119" i="3"/>
  <c r="AA120" i="3"/>
  <c r="AD69" i="3"/>
  <c r="AA71" i="3"/>
  <c r="AB70" i="3"/>
  <c r="AC68" i="3"/>
  <c r="AD21" i="3"/>
  <c r="AA23" i="3"/>
  <c r="AB22" i="3"/>
  <c r="AC20" i="3"/>
  <c r="AE22" i="3" a="1"/>
  <c r="AF21" i="3" a="1"/>
  <c r="AE70" i="3" a="1"/>
  <c r="AE119" i="3" a="1"/>
  <c r="AD70" i="3" a="1"/>
  <c r="AF69" i="3" a="1"/>
  <c r="AD119" i="3" a="1"/>
  <c r="AD22" i="3" a="1"/>
  <c r="AF118" i="3" a="1"/>
  <c r="AE22" i="3" l="1"/>
  <c r="AE70" i="3"/>
  <c r="AE119" i="3"/>
  <c r="AF21" i="3"/>
  <c r="AG21" i="3" s="1"/>
  <c r="AF118" i="3"/>
  <c r="AG118" i="3" s="1"/>
  <c r="AF69" i="3"/>
  <c r="AG69" i="3" s="1"/>
  <c r="AD119" i="3"/>
  <c r="AA121" i="3"/>
  <c r="AB120" i="3"/>
  <c r="AC118" i="3"/>
  <c r="AD70" i="3"/>
  <c r="AA72" i="3"/>
  <c r="AB71" i="3"/>
  <c r="AC69" i="3"/>
  <c r="AD22" i="3"/>
  <c r="AA24" i="3"/>
  <c r="AB23" i="3"/>
  <c r="AC21" i="3"/>
  <c r="AF70" i="3" a="1"/>
  <c r="AE120" i="3" a="1"/>
  <c r="AD71" i="3" a="1"/>
  <c r="AF119" i="3" a="1"/>
  <c r="AD23" i="3" a="1"/>
  <c r="AD120" i="3" a="1"/>
  <c r="AF22" i="3" a="1"/>
  <c r="AE23" i="3" a="1"/>
  <c r="AE71" i="3" a="1"/>
  <c r="AE23" i="3" l="1"/>
  <c r="AE71" i="3"/>
  <c r="AE120" i="3"/>
  <c r="AF22" i="3"/>
  <c r="AG22" i="3" s="1"/>
  <c r="AF119" i="3"/>
  <c r="AG119" i="3" s="1"/>
  <c r="AF70" i="3"/>
  <c r="AG70" i="3" s="1"/>
  <c r="AD120" i="3"/>
  <c r="AC119" i="3"/>
  <c r="AA122" i="3"/>
  <c r="AB121" i="3"/>
  <c r="AD71" i="3"/>
  <c r="AA73" i="3"/>
  <c r="AB72" i="3"/>
  <c r="AC70" i="3"/>
  <c r="AD23" i="3"/>
  <c r="AA25" i="3"/>
  <c r="AB24" i="3"/>
  <c r="AC22" i="3"/>
  <c r="AD72" i="3" a="1"/>
  <c r="AE24" i="3" a="1"/>
  <c r="AF120" i="3" a="1"/>
  <c r="AF71" i="3" a="1"/>
  <c r="AD121" i="3" a="1"/>
  <c r="AF23" i="3" a="1"/>
  <c r="AE72" i="3" a="1"/>
  <c r="AE121" i="3" a="1"/>
  <c r="AD24" i="3" a="1"/>
  <c r="AE72" i="3" l="1"/>
  <c r="AE121" i="3"/>
  <c r="AE24" i="3"/>
  <c r="AF23" i="3"/>
  <c r="AG23" i="3" s="1"/>
  <c r="AF120" i="3"/>
  <c r="AG120" i="3" s="1"/>
  <c r="AF71" i="3"/>
  <c r="AG71" i="3" s="1"/>
  <c r="AD121" i="3"/>
  <c r="AC120" i="3"/>
  <c r="AA123" i="3"/>
  <c r="AB122" i="3"/>
  <c r="AD72" i="3"/>
  <c r="AA74" i="3"/>
  <c r="AB73" i="3"/>
  <c r="AC71" i="3"/>
  <c r="AD24" i="3"/>
  <c r="AA26" i="3"/>
  <c r="AB25" i="3"/>
  <c r="AC23" i="3"/>
  <c r="AD73" i="3" a="1"/>
  <c r="AD25" i="3" a="1"/>
  <c r="AE122" i="3" a="1"/>
  <c r="AF24" i="3" a="1"/>
  <c r="AE25" i="3" a="1"/>
  <c r="AF72" i="3" a="1"/>
  <c r="AD122" i="3" a="1"/>
  <c r="AF121" i="3" a="1"/>
  <c r="AE73" i="3" a="1"/>
  <c r="AE73" i="3" l="1"/>
  <c r="AE25" i="3"/>
  <c r="AE122" i="3"/>
  <c r="AF121" i="3"/>
  <c r="AG121" i="3" s="1"/>
  <c r="AF24" i="3"/>
  <c r="AG24" i="3" s="1"/>
  <c r="AF72" i="3"/>
  <c r="AG72" i="3" s="1"/>
  <c r="AD122" i="3"/>
  <c r="AA124" i="3"/>
  <c r="AB123" i="3"/>
  <c r="AC121" i="3"/>
  <c r="AD73" i="3"/>
  <c r="AC72" i="3"/>
  <c r="AA75" i="3"/>
  <c r="AB74" i="3"/>
  <c r="AD25" i="3"/>
  <c r="AA27" i="3"/>
  <c r="AB26" i="3"/>
  <c r="AC24" i="3"/>
  <c r="AF122" i="3" a="1"/>
  <c r="AF25" i="3" a="1"/>
  <c r="AD26" i="3" a="1"/>
  <c r="AE26" i="3" a="1"/>
  <c r="AD74" i="3" a="1"/>
  <c r="AE74" i="3" a="1"/>
  <c r="AE123" i="3" a="1"/>
  <c r="AD123" i="3" a="1"/>
  <c r="AF73" i="3" a="1"/>
  <c r="AE74" i="3" l="1"/>
  <c r="AE26" i="3"/>
  <c r="AE123" i="3"/>
  <c r="AF122" i="3"/>
  <c r="AG122" i="3" s="1"/>
  <c r="AF25" i="3"/>
  <c r="AG25" i="3" s="1"/>
  <c r="AF73" i="3"/>
  <c r="AG73" i="3" s="1"/>
  <c r="AD123" i="3"/>
  <c r="AC122" i="3"/>
  <c r="AB124" i="3"/>
  <c r="AA125" i="3"/>
  <c r="AD74" i="3"/>
  <c r="AC73" i="3"/>
  <c r="AA76" i="3"/>
  <c r="AB75" i="3"/>
  <c r="AD26" i="3"/>
  <c r="AA28" i="3"/>
  <c r="AB27" i="3"/>
  <c r="AC25" i="3"/>
  <c r="AE27" i="3" a="1"/>
  <c r="AD75" i="3" a="1"/>
  <c r="AF123" i="3" a="1"/>
  <c r="AF26" i="3" a="1"/>
  <c r="AE124" i="3" a="1"/>
  <c r="AD27" i="3" a="1"/>
  <c r="AE75" i="3" a="1"/>
  <c r="AD124" i="3" a="1"/>
  <c r="AF74" i="3" a="1"/>
  <c r="AE75" i="3" l="1"/>
  <c r="AE27" i="3"/>
  <c r="AE124" i="3"/>
  <c r="AF123" i="3"/>
  <c r="AG123" i="3" s="1"/>
  <c r="AF26" i="3"/>
  <c r="AG26" i="3" s="1"/>
  <c r="AF74" i="3"/>
  <c r="AG74" i="3" s="1"/>
  <c r="AD124" i="3"/>
  <c r="AA126" i="3"/>
  <c r="AB125" i="3"/>
  <c r="AC123" i="3"/>
  <c r="AD75" i="3"/>
  <c r="AA77" i="3"/>
  <c r="AB76" i="3"/>
  <c r="AC74" i="3"/>
  <c r="AD27" i="3"/>
  <c r="AA29" i="3"/>
  <c r="AB28" i="3"/>
  <c r="AC26" i="3"/>
  <c r="AD125" i="3" a="1"/>
  <c r="AE125" i="3" a="1"/>
  <c r="AE76" i="3" a="1"/>
  <c r="AF27" i="3" a="1"/>
  <c r="AF75" i="3" a="1"/>
  <c r="AD76" i="3" a="1"/>
  <c r="AE28" i="3" a="1"/>
  <c r="AF124" i="3" a="1"/>
  <c r="AD28" i="3" a="1"/>
  <c r="AE76" i="3" l="1"/>
  <c r="AE28" i="3"/>
  <c r="AE125" i="3"/>
  <c r="AF27" i="3"/>
  <c r="AG27" i="3" s="1"/>
  <c r="AF124" i="3"/>
  <c r="AG124" i="3" s="1"/>
  <c r="AF75" i="3"/>
  <c r="AG75" i="3" s="1"/>
  <c r="AD125" i="3"/>
  <c r="AC124" i="3"/>
  <c r="AB126" i="3"/>
  <c r="AA127" i="3"/>
  <c r="AD76" i="3"/>
  <c r="AA78" i="3"/>
  <c r="AB77" i="3"/>
  <c r="AC75" i="3"/>
  <c r="AD28" i="3"/>
  <c r="AA30" i="3"/>
  <c r="AB29" i="3"/>
  <c r="AC27" i="3"/>
  <c r="AE29" i="3" a="1"/>
  <c r="AD77" i="3" a="1"/>
  <c r="AE77" i="3" a="1"/>
  <c r="AD29" i="3" a="1"/>
  <c r="AF76" i="3" a="1"/>
  <c r="AE126" i="3" a="1"/>
  <c r="AF28" i="3" a="1"/>
  <c r="AF125" i="3" a="1"/>
  <c r="AD126" i="3" a="1"/>
  <c r="AE29" i="3" l="1"/>
  <c r="AE77" i="3"/>
  <c r="AE126" i="3"/>
  <c r="AF125" i="3"/>
  <c r="AG125" i="3" s="1"/>
  <c r="AF28" i="3"/>
  <c r="AG28" i="3" s="1"/>
  <c r="AF76" i="3"/>
  <c r="AG76" i="3" s="1"/>
  <c r="AD126" i="3"/>
  <c r="AA128" i="3"/>
  <c r="AB127" i="3"/>
  <c r="AC125" i="3"/>
  <c r="AD77" i="3"/>
  <c r="AA79" i="3"/>
  <c r="AB78" i="3"/>
  <c r="AC76" i="3"/>
  <c r="AD29" i="3"/>
  <c r="AC28" i="3"/>
  <c r="AA31" i="3"/>
  <c r="AB30" i="3"/>
  <c r="AD30" i="3" a="1"/>
  <c r="AF29" i="3" a="1"/>
  <c r="AF77" i="3" a="1"/>
  <c r="AE127" i="3" a="1"/>
  <c r="AF126" i="3" a="1"/>
  <c r="AD78" i="3" a="1"/>
  <c r="AE78" i="3" a="1"/>
  <c r="AD127" i="3" a="1"/>
  <c r="AE30" i="3" a="1"/>
  <c r="AE78" i="3" l="1"/>
  <c r="AE127" i="3"/>
  <c r="AE30" i="3"/>
  <c r="AF29" i="3"/>
  <c r="AG29" i="3" s="1"/>
  <c r="AF126" i="3"/>
  <c r="AG126" i="3" s="1"/>
  <c r="AF77" i="3"/>
  <c r="AG77" i="3" s="1"/>
  <c r="AD127" i="3"/>
  <c r="AA129" i="3"/>
  <c r="AB128" i="3"/>
  <c r="AC126" i="3"/>
  <c r="AD78" i="3"/>
  <c r="AA80" i="3"/>
  <c r="AB79" i="3"/>
  <c r="AC77" i="3"/>
  <c r="AD30" i="3"/>
  <c r="AA32" i="3"/>
  <c r="AB31" i="3"/>
  <c r="AC29" i="3"/>
  <c r="AD31" i="3" a="1"/>
  <c r="AE128" i="3" a="1"/>
  <c r="AD79" i="3" a="1"/>
  <c r="AE31" i="3" a="1"/>
  <c r="AF30" i="3" a="1"/>
  <c r="AE79" i="3" a="1"/>
  <c r="AF78" i="3" a="1"/>
  <c r="AD128" i="3" a="1"/>
  <c r="AF127" i="3" a="1"/>
  <c r="AE79" i="3" l="1"/>
  <c r="AE31" i="3"/>
  <c r="AE128" i="3"/>
  <c r="AF30" i="3"/>
  <c r="AG30" i="3" s="1"/>
  <c r="AF127" i="3"/>
  <c r="AG127" i="3" s="1"/>
  <c r="AF78" i="3"/>
  <c r="AG78" i="3" s="1"/>
  <c r="AD128" i="3"/>
  <c r="AA130" i="3"/>
  <c r="AB129" i="3"/>
  <c r="AC127" i="3"/>
  <c r="AD79" i="3"/>
  <c r="AA81" i="3"/>
  <c r="AB80" i="3"/>
  <c r="AC78" i="3"/>
  <c r="AD31" i="3"/>
  <c r="AA33" i="3"/>
  <c r="AB32" i="3"/>
  <c r="AC30" i="3"/>
  <c r="AF79" i="3" a="1"/>
  <c r="AF31" i="3" a="1"/>
  <c r="AD80" i="3" a="1"/>
  <c r="AE129" i="3" a="1"/>
  <c r="AD32" i="3" a="1"/>
  <c r="AD129" i="3" a="1"/>
  <c r="AE80" i="3" a="1"/>
  <c r="AF128" i="3" a="1"/>
  <c r="AE32" i="3" a="1"/>
  <c r="AE32" i="3" l="1"/>
  <c r="AE80" i="3"/>
  <c r="AE129" i="3"/>
  <c r="AF31" i="3"/>
  <c r="AG31" i="3" s="1"/>
  <c r="AF128" i="3"/>
  <c r="AG128" i="3" s="1"/>
  <c r="AF79" i="3"/>
  <c r="AG79" i="3" s="1"/>
  <c r="AD129" i="3"/>
  <c r="AA131" i="3"/>
  <c r="AB130" i="3"/>
  <c r="AC128" i="3"/>
  <c r="AD80" i="3"/>
  <c r="AA82" i="3"/>
  <c r="AB81" i="3"/>
  <c r="AC79" i="3"/>
  <c r="AD32" i="3"/>
  <c r="AA34" i="3"/>
  <c r="AB33" i="3"/>
  <c r="AC31" i="3"/>
  <c r="AD81" i="3" a="1"/>
  <c r="AE81" i="3" a="1"/>
  <c r="AE33" i="3" a="1"/>
  <c r="AF80" i="3" a="1"/>
  <c r="AD130" i="3" a="1"/>
  <c r="AF32" i="3" a="1"/>
  <c r="AF129" i="3" a="1"/>
  <c r="AD33" i="3" a="1"/>
  <c r="AE130" i="3" a="1"/>
  <c r="AE81" i="3" l="1"/>
  <c r="AE33" i="3"/>
  <c r="AE130" i="3"/>
  <c r="AF32" i="3"/>
  <c r="AG32" i="3" s="1"/>
  <c r="AF129" i="3"/>
  <c r="AG129" i="3" s="1"/>
  <c r="AF80" i="3"/>
  <c r="AG80" i="3" s="1"/>
  <c r="AD130" i="3"/>
  <c r="AA132" i="3"/>
  <c r="AB131" i="3"/>
  <c r="AC129" i="3"/>
  <c r="AD81" i="3"/>
  <c r="AA83" i="3"/>
  <c r="AB82" i="3"/>
  <c r="AC80" i="3"/>
  <c r="AD33" i="3"/>
  <c r="AA35" i="3"/>
  <c r="AB34" i="3"/>
  <c r="AC32" i="3"/>
  <c r="AF33" i="3" a="1"/>
  <c r="AD34" i="3" a="1"/>
  <c r="AE82" i="3" a="1"/>
  <c r="AF81" i="3" a="1"/>
  <c r="AD82" i="3" a="1"/>
  <c r="AF130" i="3" a="1"/>
  <c r="AE131" i="3" a="1"/>
  <c r="AE34" i="3" a="1"/>
  <c r="AD131" i="3" a="1"/>
  <c r="AE34" i="3" l="1"/>
  <c r="AE131" i="3"/>
  <c r="AE82" i="3"/>
  <c r="AF33" i="3"/>
  <c r="AG33" i="3" s="1"/>
  <c r="AF130" i="3"/>
  <c r="AG130" i="3" s="1"/>
  <c r="AF81" i="3"/>
  <c r="AG81" i="3" s="1"/>
  <c r="AD131" i="3"/>
  <c r="AA133" i="3"/>
  <c r="AB132" i="3"/>
  <c r="AC130" i="3"/>
  <c r="AD82" i="3"/>
  <c r="AA84" i="3"/>
  <c r="AB83" i="3"/>
  <c r="AC81" i="3"/>
  <c r="AD34" i="3"/>
  <c r="AA36" i="3"/>
  <c r="AB35" i="3"/>
  <c r="AC33" i="3"/>
  <c r="AE83" i="3" a="1"/>
  <c r="AD35" i="3" a="1"/>
  <c r="AD83" i="3" a="1"/>
  <c r="AD132" i="3" a="1"/>
  <c r="AF34" i="3" a="1"/>
  <c r="AF131" i="3" a="1"/>
  <c r="AE35" i="3" a="1"/>
  <c r="AE132" i="3" a="1"/>
  <c r="AF82" i="3" a="1"/>
  <c r="AE83" i="3" l="1"/>
  <c r="AE35" i="3"/>
  <c r="AE132" i="3"/>
  <c r="AF34" i="3"/>
  <c r="AG34" i="3" s="1"/>
  <c r="AF131" i="3"/>
  <c r="AG131" i="3" s="1"/>
  <c r="AF82" i="3"/>
  <c r="AG82" i="3" s="1"/>
  <c r="AD132" i="3"/>
  <c r="AC131" i="3"/>
  <c r="AB133" i="3"/>
  <c r="AA134" i="3"/>
  <c r="AD83" i="3"/>
  <c r="AA85" i="3"/>
  <c r="AB84" i="3"/>
  <c r="AC82" i="3"/>
  <c r="AD35" i="3"/>
  <c r="AA37" i="3"/>
  <c r="AB36" i="3"/>
  <c r="AC34" i="3"/>
  <c r="AF83" i="3" a="1"/>
  <c r="AD84" i="3" a="1"/>
  <c r="AF35" i="3" a="1"/>
  <c r="AE36" i="3" a="1"/>
  <c r="AF132" i="3" a="1"/>
  <c r="AD36" i="3" a="1"/>
  <c r="AD133" i="3" a="1"/>
  <c r="AE84" i="3" a="1"/>
  <c r="AE133" i="3" a="1"/>
  <c r="AE84" i="3" l="1"/>
  <c r="AE36" i="3"/>
  <c r="AE133" i="3"/>
  <c r="AF35" i="3"/>
  <c r="AG35" i="3" s="1"/>
  <c r="AF132" i="3"/>
  <c r="AG132" i="3" s="1"/>
  <c r="AF83" i="3"/>
  <c r="AG83" i="3" s="1"/>
  <c r="AD133" i="3"/>
  <c r="AC132" i="3"/>
  <c r="AA135" i="3"/>
  <c r="AB134" i="3"/>
  <c r="AD84" i="3"/>
  <c r="AA86" i="3"/>
  <c r="AB85" i="3"/>
  <c r="AC83" i="3"/>
  <c r="AD36" i="3"/>
  <c r="AA38" i="3"/>
  <c r="AB37" i="3"/>
  <c r="AC35" i="3"/>
  <c r="AF133" i="3" a="1"/>
  <c r="AF84" i="3" a="1"/>
  <c r="AE37" i="3" a="1"/>
  <c r="AD134" i="3" a="1"/>
  <c r="AD85" i="3" a="1"/>
  <c r="AE134" i="3" a="1"/>
  <c r="AF36" i="3" a="1"/>
  <c r="AE85" i="3" a="1"/>
  <c r="AD37" i="3" a="1"/>
  <c r="AE134" i="3" l="1"/>
  <c r="AE85" i="3"/>
  <c r="AE37" i="3"/>
  <c r="AF36" i="3"/>
  <c r="AG36" i="3" s="1"/>
  <c r="AF133" i="3"/>
  <c r="AG133" i="3" s="1"/>
  <c r="AF84" i="3"/>
  <c r="AG84" i="3" s="1"/>
  <c r="AD134" i="3"/>
  <c r="AC133" i="3"/>
  <c r="AA136" i="3"/>
  <c r="AB135" i="3"/>
  <c r="AD85" i="3"/>
  <c r="AA87" i="3"/>
  <c r="AB86" i="3"/>
  <c r="AC84" i="3"/>
  <c r="AD37" i="3"/>
  <c r="AA39" i="3"/>
  <c r="AB38" i="3"/>
  <c r="AC36" i="3"/>
  <c r="AE135" i="3" a="1"/>
  <c r="AF134" i="3" a="1"/>
  <c r="AE38" i="3" a="1"/>
  <c r="AD86" i="3" a="1"/>
  <c r="AE86" i="3" a="1"/>
  <c r="AD38" i="3" a="1"/>
  <c r="AD135" i="3" a="1"/>
  <c r="AF37" i="3" a="1"/>
  <c r="AF85" i="3" a="1"/>
  <c r="AE86" i="3" l="1"/>
  <c r="AE135" i="3"/>
  <c r="AE38" i="3"/>
  <c r="AF37" i="3"/>
  <c r="AG37" i="3" s="1"/>
  <c r="AF134" i="3"/>
  <c r="AG134" i="3" s="1"/>
  <c r="AF85" i="3"/>
  <c r="AG85" i="3" s="1"/>
  <c r="AD135" i="3"/>
  <c r="AC134" i="3"/>
  <c r="AB136" i="3"/>
  <c r="AA137" i="3"/>
  <c r="AD86" i="3"/>
  <c r="AA88" i="3"/>
  <c r="AB87" i="3"/>
  <c r="AC85" i="3"/>
  <c r="AD38" i="3"/>
  <c r="AA40" i="3"/>
  <c r="AB39" i="3"/>
  <c r="AC37" i="3"/>
  <c r="AE39" i="3" a="1"/>
  <c r="AD39" i="3" a="1"/>
  <c r="AF135" i="3" a="1"/>
  <c r="AF38" i="3" a="1"/>
  <c r="AD87" i="3" a="1"/>
  <c r="AE87" i="3" a="1"/>
  <c r="AE136" i="3" a="1"/>
  <c r="AF86" i="3" a="1"/>
  <c r="AD136" i="3" a="1"/>
  <c r="AE87" i="3" l="1"/>
  <c r="AE39" i="3"/>
  <c r="AE136" i="3"/>
  <c r="AF38" i="3"/>
  <c r="AG38" i="3" s="1"/>
  <c r="AF135" i="3"/>
  <c r="AG135" i="3" s="1"/>
  <c r="AF86" i="3"/>
  <c r="AG86" i="3" s="1"/>
  <c r="AD136" i="3"/>
  <c r="AB137" i="3"/>
  <c r="AA138" i="3"/>
  <c r="AC135" i="3"/>
  <c r="AD87" i="3"/>
  <c r="AA89" i="3"/>
  <c r="AB88" i="3"/>
  <c r="AC86" i="3"/>
  <c r="AD39" i="3"/>
  <c r="AA41" i="3"/>
  <c r="AB40" i="3"/>
  <c r="AC38" i="3"/>
  <c r="AF136" i="3" a="1"/>
  <c r="AD88" i="3" a="1"/>
  <c r="AD137" i="3" a="1"/>
  <c r="AD40" i="3" a="1"/>
  <c r="AE88" i="3" a="1"/>
  <c r="AE40" i="3" a="1"/>
  <c r="AF39" i="3" a="1"/>
  <c r="AE137" i="3" a="1"/>
  <c r="AF87" i="3" a="1"/>
  <c r="AE137" i="3" l="1"/>
  <c r="AE88" i="3"/>
  <c r="AE40" i="3"/>
  <c r="AF39" i="3"/>
  <c r="AG39" i="3" s="1"/>
  <c r="AF136" i="3"/>
  <c r="AG136" i="3" s="1"/>
  <c r="AF87" i="3"/>
  <c r="AG87" i="3" s="1"/>
  <c r="AD137" i="3"/>
  <c r="AC136" i="3"/>
  <c r="AB138" i="3"/>
  <c r="AA139" i="3"/>
  <c r="AD88" i="3"/>
  <c r="AA90" i="3"/>
  <c r="AB89" i="3"/>
  <c r="AC87" i="3"/>
  <c r="AD40" i="3"/>
  <c r="AA42" i="3"/>
  <c r="AB41" i="3"/>
  <c r="AC39" i="3"/>
  <c r="AD138" i="3" a="1"/>
  <c r="AE41" i="3" a="1"/>
  <c r="AD41" i="3" a="1"/>
  <c r="AF40" i="3" a="1"/>
  <c r="AD89" i="3" a="1"/>
  <c r="AE138" i="3" a="1"/>
  <c r="AF88" i="3" a="1"/>
  <c r="AE89" i="3" a="1"/>
  <c r="AF137" i="3" a="1"/>
  <c r="AE89" i="3" l="1"/>
  <c r="AE41" i="3"/>
  <c r="AE138" i="3"/>
  <c r="AF137" i="3"/>
  <c r="AG137" i="3" s="1"/>
  <c r="AF40" i="3"/>
  <c r="AG40" i="3" s="1"/>
  <c r="AF88" i="3"/>
  <c r="AG88" i="3" s="1"/>
  <c r="AD138" i="3"/>
  <c r="AA140" i="3"/>
  <c r="AB139" i="3"/>
  <c r="AC137" i="3"/>
  <c r="AD89" i="3"/>
  <c r="AA91" i="3"/>
  <c r="AB90" i="3"/>
  <c r="AC88" i="3"/>
  <c r="AD41" i="3"/>
  <c r="AA43" i="3"/>
  <c r="AB42" i="3"/>
  <c r="AC40" i="3"/>
  <c r="AD90" i="3" a="1"/>
  <c r="AF41" i="3" a="1"/>
  <c r="AD139" i="3" a="1"/>
  <c r="AF89" i="3" a="1"/>
  <c r="AE42" i="3" a="1"/>
  <c r="AF138" i="3" a="1"/>
  <c r="AD42" i="3" a="1"/>
  <c r="AE139" i="3" a="1"/>
  <c r="AE90" i="3" a="1"/>
  <c r="AE90" i="3" l="1"/>
  <c r="AE42" i="3"/>
  <c r="AE139" i="3"/>
  <c r="AF41" i="3"/>
  <c r="AG41" i="3" s="1"/>
  <c r="AF138" i="3"/>
  <c r="AG138" i="3" s="1"/>
  <c r="AF89" i="3"/>
  <c r="AG89" i="3" s="1"/>
  <c r="AD139" i="3"/>
  <c r="AC138" i="3"/>
  <c r="AA141" i="3"/>
  <c r="AB140" i="3"/>
  <c r="AD90" i="3"/>
  <c r="AA92" i="3"/>
  <c r="AB91" i="3"/>
  <c r="AC89" i="3"/>
  <c r="AD42" i="3"/>
  <c r="AA44" i="3"/>
  <c r="AB43" i="3"/>
  <c r="AC41" i="3"/>
  <c r="AF90" i="3" a="1"/>
  <c r="AD91" i="3" a="1"/>
  <c r="AE140" i="3" a="1"/>
  <c r="AE43" i="3" a="1"/>
  <c r="AE91" i="3" a="1"/>
  <c r="AD43" i="3" a="1"/>
  <c r="AD140" i="3" a="1"/>
  <c r="AF139" i="3" a="1"/>
  <c r="AF42" i="3" a="1"/>
  <c r="AE140" i="3" l="1"/>
  <c r="AE91" i="3"/>
  <c r="AE43" i="3"/>
  <c r="AF42" i="3"/>
  <c r="AG42" i="3" s="1"/>
  <c r="AF139" i="3"/>
  <c r="AG139" i="3" s="1"/>
  <c r="AF90" i="3"/>
  <c r="AG90" i="3" s="1"/>
  <c r="AD140" i="3"/>
  <c r="AA142" i="3"/>
  <c r="AB141" i="3"/>
  <c r="AC139" i="3"/>
  <c r="AD91" i="3"/>
  <c r="AA93" i="3"/>
  <c r="AB92" i="3"/>
  <c r="AC90" i="3"/>
  <c r="AD43" i="3"/>
  <c r="AA45" i="3"/>
  <c r="AB44" i="3"/>
  <c r="AC42" i="3"/>
  <c r="AD141" i="3" a="1"/>
  <c r="AF140" i="3" a="1"/>
  <c r="AD44" i="3" a="1"/>
  <c r="AE141" i="3" a="1"/>
  <c r="AD92" i="3" a="1"/>
  <c r="AF91" i="3" a="1"/>
  <c r="AE44" i="3" a="1"/>
  <c r="AF43" i="3" a="1"/>
  <c r="AE92" i="3" a="1"/>
  <c r="AE44" i="3" l="1"/>
  <c r="AE92" i="3"/>
  <c r="AE141" i="3"/>
  <c r="AF43" i="3"/>
  <c r="AG43" i="3" s="1"/>
  <c r="AF140" i="3"/>
  <c r="AG140" i="3" s="1"/>
  <c r="AF91" i="3"/>
  <c r="AG91" i="3" s="1"/>
  <c r="AD141" i="3"/>
  <c r="AA143" i="3"/>
  <c r="AB142" i="3"/>
  <c r="AC140" i="3"/>
  <c r="AD92" i="3"/>
  <c r="AA94" i="3"/>
  <c r="AB93" i="3"/>
  <c r="AC91" i="3"/>
  <c r="AD44" i="3"/>
  <c r="AA46" i="3"/>
  <c r="AB45" i="3"/>
  <c r="AC43" i="3"/>
  <c r="AD45" i="3" a="1"/>
  <c r="AD142" i="3" a="1"/>
  <c r="AF92" i="3" a="1"/>
  <c r="AE142" i="3" a="1"/>
  <c r="AF141" i="3" a="1"/>
  <c r="AE45" i="3" a="1"/>
  <c r="AD93" i="3" a="1"/>
  <c r="AF44" i="3" a="1"/>
  <c r="AE93" i="3" a="1"/>
  <c r="AE45" i="3" l="1"/>
  <c r="AE93" i="3"/>
  <c r="AE142" i="3"/>
  <c r="AF44" i="3"/>
  <c r="AG44" i="3" s="1"/>
  <c r="AF141" i="3"/>
  <c r="AG141" i="3" s="1"/>
  <c r="AF92" i="3"/>
  <c r="AG92" i="3" s="1"/>
  <c r="AD142" i="3"/>
  <c r="AB143" i="3"/>
  <c r="AA144" i="3"/>
  <c r="AC141" i="3"/>
  <c r="AD93" i="3"/>
  <c r="AA95" i="3"/>
  <c r="AB94" i="3"/>
  <c r="AC92" i="3"/>
  <c r="AD45" i="3"/>
  <c r="AA47" i="3"/>
  <c r="AB46" i="3"/>
  <c r="AC44" i="3"/>
  <c r="AF142" i="3" a="1"/>
  <c r="AF45" i="3" a="1"/>
  <c r="AD94" i="3" a="1"/>
  <c r="AD143" i="3" a="1"/>
  <c r="AE143" i="3" a="1"/>
  <c r="AF93" i="3" a="1"/>
  <c r="AD46" i="3" a="1"/>
  <c r="AE46" i="3" a="1"/>
  <c r="AE94" i="3" a="1"/>
  <c r="AE143" i="3" l="1"/>
  <c r="AE94" i="3"/>
  <c r="AE46" i="3"/>
  <c r="AF142" i="3"/>
  <c r="AG142" i="3" s="1"/>
  <c r="AF45" i="3"/>
  <c r="AG45" i="3" s="1"/>
  <c r="AF93" i="3"/>
  <c r="AG93" i="3" s="1"/>
  <c r="AD143" i="3"/>
  <c r="AA145" i="3"/>
  <c r="AB144" i="3"/>
  <c r="AC142" i="3"/>
  <c r="AD94" i="3"/>
  <c r="AA96" i="3"/>
  <c r="AB95" i="3"/>
  <c r="AC93" i="3"/>
  <c r="AD46" i="3"/>
  <c r="AA48" i="3"/>
  <c r="AB47" i="3"/>
  <c r="AC45" i="3"/>
  <c r="AD144" i="3" a="1"/>
  <c r="AE47" i="3" a="1"/>
  <c r="AD95" i="3" a="1"/>
  <c r="AF143" i="3" a="1"/>
  <c r="AE95" i="3" a="1"/>
  <c r="AE144" i="3" a="1"/>
  <c r="AD47" i="3" a="1"/>
  <c r="AF46" i="3" a="1"/>
  <c r="AF94" i="3" a="1"/>
  <c r="AE95" i="3" l="1"/>
  <c r="AE47" i="3"/>
  <c r="AE144" i="3"/>
  <c r="AF143" i="3"/>
  <c r="AG143" i="3" s="1"/>
  <c r="AF46" i="3"/>
  <c r="AG46" i="3" s="1"/>
  <c r="AF94" i="3"/>
  <c r="AG94" i="3" s="1"/>
  <c r="AD144" i="3"/>
  <c r="AB145" i="3"/>
  <c r="AA146" i="3"/>
  <c r="AC143" i="3"/>
  <c r="AD95" i="3"/>
  <c r="AA97" i="3"/>
  <c r="AB96" i="3"/>
  <c r="AC94" i="3"/>
  <c r="AD47" i="3"/>
  <c r="AA49" i="3"/>
  <c r="AB48" i="3"/>
  <c r="AC46" i="3"/>
  <c r="AE48" i="3" a="1"/>
  <c r="AD96" i="3" a="1"/>
  <c r="AD145" i="3" a="1"/>
  <c r="AF95" i="3" a="1"/>
  <c r="AF47" i="3" a="1"/>
  <c r="AE96" i="3" a="1"/>
  <c r="AF144" i="3" a="1"/>
  <c r="AD48" i="3" a="1"/>
  <c r="AE145" i="3" a="1"/>
  <c r="AE96" i="3" l="1"/>
  <c r="AE145" i="3"/>
  <c r="AE48" i="3"/>
  <c r="AF144" i="3"/>
  <c r="AG144" i="3" s="1"/>
  <c r="AF47" i="3"/>
  <c r="AG47" i="3" s="1"/>
  <c r="AF95" i="3"/>
  <c r="AG95" i="3" s="1"/>
  <c r="AD145" i="3"/>
  <c r="AA147" i="3"/>
  <c r="AB146" i="3"/>
  <c r="AC144" i="3"/>
  <c r="AD96" i="3"/>
  <c r="AA98" i="3"/>
  <c r="AB97" i="3"/>
  <c r="AC95" i="3"/>
  <c r="AD48" i="3"/>
  <c r="AA50" i="3"/>
  <c r="AB49" i="3"/>
  <c r="AC47" i="3"/>
  <c r="AD97" i="3" a="1"/>
  <c r="AF145" i="3" a="1"/>
  <c r="AD146" i="3" a="1"/>
  <c r="AF96" i="3" a="1"/>
  <c r="AE49" i="3" a="1"/>
  <c r="AF48" i="3" a="1"/>
  <c r="AE146" i="3" a="1"/>
  <c r="AE97" i="3" a="1"/>
  <c r="AD49" i="3" a="1"/>
  <c r="AE97" i="3" l="1"/>
  <c r="AE49" i="3"/>
  <c r="AE146" i="3"/>
  <c r="AF48" i="3"/>
  <c r="AG48" i="3" s="1"/>
  <c r="AF145" i="3"/>
  <c r="AG145" i="3" s="1"/>
  <c r="AF96" i="3"/>
  <c r="AG96" i="3" s="1"/>
  <c r="AD146" i="3"/>
  <c r="AC145" i="3"/>
  <c r="AA148" i="3"/>
  <c r="AB147" i="3"/>
  <c r="AD97" i="3"/>
  <c r="AA99" i="3"/>
  <c r="AB98" i="3"/>
  <c r="AC96" i="3"/>
  <c r="AD49" i="3"/>
  <c r="AA51" i="3"/>
  <c r="AB50" i="3"/>
  <c r="AC48" i="3"/>
  <c r="AF97" i="3" a="1"/>
  <c r="AF146" i="3" a="1"/>
  <c r="AF49" i="3" a="1"/>
  <c r="AD98" i="3" a="1"/>
  <c r="AE50" i="3" a="1"/>
  <c r="AE98" i="3" a="1"/>
  <c r="AD147" i="3" a="1"/>
  <c r="AD50" i="3" a="1"/>
  <c r="AE147" i="3" a="1"/>
  <c r="AE147" i="3" l="1"/>
  <c r="AE98" i="3"/>
  <c r="AE50" i="3"/>
  <c r="AF49" i="3"/>
  <c r="AG49" i="3" s="1"/>
  <c r="AF146" i="3"/>
  <c r="AG146" i="3" s="1"/>
  <c r="AF97" i="3"/>
  <c r="AG97" i="3" s="1"/>
  <c r="AD147" i="3"/>
  <c r="AA149" i="3"/>
  <c r="AB148" i="3"/>
  <c r="AC146" i="3"/>
  <c r="AD98" i="3"/>
  <c r="AA100" i="3"/>
  <c r="AB99" i="3"/>
  <c r="AC97" i="3"/>
  <c r="AD50" i="3"/>
  <c r="AA52" i="3"/>
  <c r="AB52" i="3" s="1"/>
  <c r="AB51" i="3"/>
  <c r="AC49" i="3"/>
  <c r="AE148" i="3" a="1"/>
  <c r="AF50" i="3" a="1"/>
  <c r="AF98" i="3" a="1"/>
  <c r="AE51" i="3" a="1"/>
  <c r="AF147" i="3" a="1"/>
  <c r="AD51" i="3" a="1"/>
  <c r="AD52" i="3" a="1"/>
  <c r="AE52" i="3" a="1"/>
  <c r="AE99" i="3" a="1"/>
  <c r="AD99" i="3" a="1"/>
  <c r="AD148" i="3" a="1"/>
  <c r="AE99" i="3" l="1"/>
  <c r="AE51" i="3"/>
  <c r="AE52" i="3"/>
  <c r="AE148" i="3"/>
  <c r="AF50" i="3"/>
  <c r="AG50" i="3" s="1"/>
  <c r="AF147" i="3"/>
  <c r="AG147" i="3" s="1"/>
  <c r="AF98" i="3"/>
  <c r="AG98" i="3" s="1"/>
  <c r="AD148" i="3"/>
  <c r="AC147" i="3"/>
  <c r="AB149" i="3"/>
  <c r="AA150" i="3"/>
  <c r="AD99" i="3"/>
  <c r="AA101" i="3"/>
  <c r="AB100" i="3"/>
  <c r="AC98" i="3"/>
  <c r="AD52" i="3"/>
  <c r="AD51" i="3"/>
  <c r="AC50" i="3"/>
  <c r="AF52" i="3" a="1"/>
  <c r="AE100" i="3" a="1"/>
  <c r="AE149" i="3" a="1"/>
  <c r="AD149" i="3" a="1"/>
  <c r="AD100" i="3" a="1"/>
  <c r="AF99" i="3" a="1"/>
  <c r="AF148" i="3" a="1"/>
  <c r="AF51" i="3" a="1"/>
  <c r="AE100" i="3" l="1"/>
  <c r="AE149" i="3"/>
  <c r="AF51" i="3"/>
  <c r="AG51" i="3" s="1"/>
  <c r="AF52" i="3"/>
  <c r="AG52" i="3" s="1"/>
  <c r="AF148" i="3"/>
  <c r="AG148" i="3" s="1"/>
  <c r="AF99" i="3"/>
  <c r="AG99" i="3" s="1"/>
  <c r="AD149" i="3"/>
  <c r="AA151" i="3"/>
  <c r="AB150" i="3"/>
  <c r="AC148" i="3"/>
  <c r="AD100" i="3"/>
  <c r="AA102" i="3"/>
  <c r="AB102" i="3" s="1"/>
  <c r="AB101" i="3"/>
  <c r="AC99" i="3"/>
  <c r="AC51" i="3"/>
  <c r="AC52" i="3"/>
  <c r="AD102" i="3" a="1"/>
  <c r="AF100" i="3" a="1"/>
  <c r="AE150" i="3" a="1"/>
  <c r="AE102" i="3" a="1"/>
  <c r="AD150" i="3" a="1"/>
  <c r="AD101" i="3" a="1"/>
  <c r="AF149" i="3" a="1"/>
  <c r="AE101" i="3" a="1"/>
  <c r="AE101" i="3" l="1"/>
  <c r="AE102" i="3"/>
  <c r="AE150" i="3"/>
  <c r="AF149" i="3"/>
  <c r="AG149" i="3" s="1"/>
  <c r="AF100" i="3"/>
  <c r="AG100" i="3" s="1"/>
  <c r="AD150" i="3"/>
  <c r="AB151" i="3"/>
  <c r="AA152" i="3"/>
  <c r="AC149" i="3"/>
  <c r="AD101" i="3"/>
  <c r="AD102" i="3"/>
  <c r="AC100" i="3"/>
  <c r="AD151" i="3" a="1"/>
  <c r="AE151" i="3" a="1"/>
  <c r="AF102" i="3" a="1"/>
  <c r="AF101" i="3" a="1"/>
  <c r="AF150" i="3" a="1"/>
  <c r="AE151" i="3" l="1"/>
  <c r="AF150" i="3"/>
  <c r="AG150" i="3" s="1"/>
  <c r="AF102" i="3"/>
  <c r="AG102" i="3" s="1"/>
  <c r="AF101" i="3"/>
  <c r="AG101" i="3" s="1"/>
  <c r="AD151" i="3"/>
  <c r="AA153" i="3"/>
  <c r="AB152" i="3"/>
  <c r="AC150" i="3"/>
  <c r="AC101" i="3"/>
  <c r="AC102" i="3"/>
  <c r="AE152" i="3" a="1"/>
  <c r="AF151" i="3" a="1"/>
  <c r="AD152" i="3" a="1"/>
  <c r="AE152" i="3" l="1"/>
  <c r="AF151" i="3"/>
  <c r="AG151" i="3" s="1"/>
  <c r="AD152" i="3"/>
  <c r="AC151" i="3"/>
  <c r="AA154" i="3"/>
  <c r="AB153" i="3"/>
  <c r="AF152" i="3" a="1"/>
  <c r="AD153" i="3" a="1"/>
  <c r="AE153" i="3" a="1"/>
  <c r="AE153" i="3" l="1"/>
  <c r="AF152" i="3"/>
  <c r="AG152" i="3" s="1"/>
  <c r="AD153" i="3"/>
  <c r="AC152" i="3"/>
  <c r="AB154" i="3"/>
  <c r="AA155" i="3"/>
  <c r="AE154" i="3" a="1"/>
  <c r="AF153" i="3" a="1"/>
  <c r="AD154" i="3" a="1"/>
  <c r="AE154" i="3" l="1"/>
  <c r="AF153" i="3"/>
  <c r="AG153" i="3" s="1"/>
  <c r="AD154" i="3"/>
  <c r="AC153" i="3"/>
  <c r="AA156" i="3"/>
  <c r="AB155" i="3"/>
  <c r="AD155" i="3" a="1"/>
  <c r="AF154" i="3" a="1"/>
  <c r="AE155" i="3" a="1"/>
  <c r="AE155" i="3" l="1"/>
  <c r="AF154" i="3"/>
  <c r="AG154" i="3" s="1"/>
  <c r="AD155" i="3"/>
  <c r="AB156" i="3"/>
  <c r="AA157" i="3"/>
  <c r="AC154" i="3"/>
  <c r="AE156" i="3" a="1"/>
  <c r="AD156" i="3" a="1"/>
  <c r="AF155" i="3" a="1"/>
  <c r="AE156" i="3" l="1"/>
  <c r="AF155" i="3"/>
  <c r="AG155" i="3" s="1"/>
  <c r="AD156" i="3"/>
  <c r="AB157" i="3"/>
  <c r="AA158" i="3"/>
  <c r="AC155" i="3"/>
  <c r="AE157" i="3" a="1"/>
  <c r="AD157" i="3" a="1"/>
  <c r="AF156" i="3" a="1"/>
  <c r="AE157" i="3" l="1"/>
  <c r="AF156" i="3"/>
  <c r="AG156" i="3" s="1"/>
  <c r="AD157" i="3"/>
  <c r="AB158" i="3"/>
  <c r="AA159" i="3"/>
  <c r="AC156" i="3"/>
  <c r="AF157" i="3" a="1"/>
  <c r="AD158" i="3" a="1"/>
  <c r="AE158" i="3" a="1"/>
  <c r="AE158" i="3" l="1"/>
  <c r="AF157" i="3"/>
  <c r="AG157" i="3" s="1"/>
  <c r="AD158" i="3"/>
  <c r="AB159" i="3"/>
  <c r="AA160" i="3"/>
  <c r="AC157" i="3"/>
  <c r="AF158" i="3" a="1"/>
  <c r="AD159" i="3" a="1"/>
  <c r="AE159" i="3" a="1"/>
  <c r="AE159" i="3" l="1"/>
  <c r="AF158" i="3"/>
  <c r="AG158" i="3" s="1"/>
  <c r="AD159" i="3"/>
  <c r="AB160" i="3"/>
  <c r="AA161" i="3"/>
  <c r="AC158" i="3"/>
  <c r="AD160" i="3" a="1"/>
  <c r="AE160" i="3" a="1"/>
  <c r="AF159" i="3" a="1"/>
  <c r="AE160" i="3" l="1"/>
  <c r="AF159" i="3"/>
  <c r="AG159" i="3" s="1"/>
  <c r="AD160" i="3"/>
  <c r="AB161" i="3"/>
  <c r="AA162" i="3"/>
  <c r="AC159" i="3"/>
  <c r="AD161" i="3" a="1"/>
  <c r="AF160" i="3" a="1"/>
  <c r="AE161" i="3" a="1"/>
  <c r="AE161" i="3" l="1"/>
  <c r="AF160" i="3"/>
  <c r="AG160" i="3" s="1"/>
  <c r="AD161" i="3"/>
  <c r="AC160" i="3"/>
  <c r="AB162" i="3"/>
  <c r="AA163" i="3"/>
  <c r="AD162" i="3" a="1"/>
  <c r="AE162" i="3" a="1"/>
  <c r="AF161" i="3" a="1"/>
  <c r="AE162" i="3" l="1"/>
  <c r="AF161" i="3"/>
  <c r="AG161" i="3" s="1"/>
  <c r="AD162" i="3"/>
  <c r="AB163" i="3"/>
  <c r="AA164" i="3"/>
  <c r="AC161" i="3"/>
  <c r="AF162" i="3" a="1"/>
  <c r="AD163" i="3" a="1"/>
  <c r="AE163" i="3" a="1"/>
  <c r="AE163" i="3" l="1"/>
  <c r="AF162" i="3"/>
  <c r="AG162" i="3" s="1"/>
  <c r="AD163" i="3"/>
  <c r="AC162" i="3"/>
  <c r="AB164" i="3"/>
  <c r="AA165" i="3"/>
  <c r="AE164" i="3" a="1"/>
  <c r="AD164" i="3" a="1"/>
  <c r="AF163" i="3" a="1"/>
  <c r="AE164" i="3" l="1"/>
  <c r="AF163" i="3"/>
  <c r="AG163" i="3" s="1"/>
  <c r="AD164" i="3"/>
  <c r="AB165" i="3"/>
  <c r="AA166" i="3"/>
  <c r="AC163" i="3"/>
  <c r="AF164" i="3" a="1"/>
  <c r="AE165" i="3" a="1"/>
  <c r="AD165" i="3" a="1"/>
  <c r="AE165" i="3" l="1"/>
  <c r="AF164" i="3"/>
  <c r="AG164" i="3" s="1"/>
  <c r="AD165" i="3"/>
  <c r="AC164" i="3"/>
  <c r="AA167" i="3"/>
  <c r="AB166" i="3"/>
  <c r="AF165" i="3" a="1"/>
  <c r="AD166" i="3" a="1"/>
  <c r="AE166" i="3" a="1"/>
  <c r="AE166" i="3" l="1"/>
  <c r="AF165" i="3"/>
  <c r="AG165" i="3" s="1"/>
  <c r="AD166" i="3"/>
  <c r="AB167" i="3"/>
  <c r="AA168" i="3"/>
  <c r="AC165" i="3"/>
  <c r="AD167" i="3" a="1"/>
  <c r="AE167" i="3" a="1"/>
  <c r="AF166" i="3" a="1"/>
  <c r="AE167" i="3" l="1"/>
  <c r="AF166" i="3"/>
  <c r="AG166" i="3" s="1"/>
  <c r="AD167" i="3"/>
  <c r="AA169" i="3"/>
  <c r="AB168" i="3"/>
  <c r="AC166" i="3"/>
  <c r="AE168" i="3" a="1"/>
  <c r="AF167" i="3" a="1"/>
  <c r="AD168" i="3" a="1"/>
  <c r="AE168" i="3" l="1"/>
  <c r="AF167" i="3"/>
  <c r="AG167" i="3" s="1"/>
  <c r="AD168" i="3"/>
  <c r="AB169" i="3"/>
  <c r="AA170" i="3"/>
  <c r="AC167" i="3"/>
  <c r="AD169" i="3" a="1"/>
  <c r="AE169" i="3" a="1"/>
  <c r="AF168" i="3" a="1"/>
  <c r="AE169" i="3" l="1"/>
  <c r="AF168" i="3"/>
  <c r="AG168" i="3" s="1"/>
  <c r="AD169" i="3"/>
  <c r="AC168" i="3"/>
  <c r="AB170" i="3"/>
  <c r="AA171" i="3"/>
  <c r="AF169" i="3" a="1"/>
  <c r="AE170" i="3" a="1"/>
  <c r="AD170" i="3" a="1"/>
  <c r="AE170" i="3" l="1"/>
  <c r="AF169" i="3"/>
  <c r="AG169" i="3" s="1"/>
  <c r="AD170" i="3"/>
  <c r="AB171" i="3"/>
  <c r="AA172" i="3"/>
  <c r="AC169" i="3"/>
  <c r="AD171" i="3" a="1"/>
  <c r="AE171" i="3" a="1"/>
  <c r="AF170" i="3" a="1"/>
  <c r="AE171" i="3" l="1"/>
  <c r="AF170" i="3"/>
  <c r="AG170" i="3" s="1"/>
  <c r="AD171" i="3"/>
  <c r="AC170" i="3"/>
  <c r="AA173" i="3"/>
  <c r="AB172" i="3"/>
  <c r="AF171" i="3" a="1"/>
  <c r="AE172" i="3" a="1"/>
  <c r="AD172" i="3" a="1"/>
  <c r="AE172" i="3" l="1"/>
  <c r="AF171" i="3"/>
  <c r="AG171" i="3" s="1"/>
  <c r="AD172" i="3"/>
  <c r="AB173" i="3"/>
  <c r="AA174" i="3"/>
  <c r="AC171" i="3"/>
  <c r="AD173" i="3" a="1"/>
  <c r="AF172" i="3" a="1"/>
  <c r="AE173" i="3" a="1"/>
  <c r="AE173" i="3" l="1"/>
  <c r="AF172" i="3"/>
  <c r="AG172" i="3" s="1"/>
  <c r="AD173" i="3"/>
  <c r="AB174" i="3"/>
  <c r="AA175" i="3"/>
  <c r="AC172" i="3"/>
  <c r="AD174" i="3" a="1"/>
  <c r="AE174" i="3" a="1"/>
  <c r="AF173" i="3" a="1"/>
  <c r="AE174" i="3" l="1"/>
  <c r="AF173" i="3"/>
  <c r="AG173" i="3" s="1"/>
  <c r="AD174" i="3"/>
  <c r="AB175" i="3"/>
  <c r="AA176" i="3"/>
  <c r="AC173" i="3"/>
  <c r="AD175" i="3" a="1"/>
  <c r="AF174" i="3" a="1"/>
  <c r="AE175" i="3" a="1"/>
  <c r="AE175" i="3" l="1"/>
  <c r="AF174" i="3"/>
  <c r="AG174" i="3" s="1"/>
  <c r="AD175" i="3"/>
  <c r="AC174" i="3"/>
  <c r="AB176" i="3"/>
  <c r="AA177" i="3"/>
  <c r="AF175" i="3" a="1"/>
  <c r="AD176" i="3" a="1"/>
  <c r="AE176" i="3" a="1"/>
  <c r="AE176" i="3" l="1"/>
  <c r="AF175" i="3"/>
  <c r="AG175" i="3" s="1"/>
  <c r="AD176" i="3"/>
  <c r="AB177" i="3"/>
  <c r="AA178" i="3"/>
  <c r="AC175" i="3"/>
  <c r="AF176" i="3" a="1"/>
  <c r="AE177" i="3" a="1"/>
  <c r="AD177" i="3" a="1"/>
  <c r="AE177" i="3" l="1"/>
  <c r="AF176" i="3"/>
  <c r="AG176" i="3" s="1"/>
  <c r="AD177" i="3"/>
  <c r="AB178" i="3"/>
  <c r="AA179" i="3"/>
  <c r="AC176" i="3"/>
  <c r="AD178" i="3" a="1"/>
  <c r="AE178" i="3" a="1"/>
  <c r="AF177" i="3" a="1"/>
  <c r="AE178" i="3" l="1"/>
  <c r="AF177" i="3"/>
  <c r="AG177" i="3" s="1"/>
  <c r="AD178" i="3"/>
  <c r="AB179" i="3"/>
  <c r="AA180" i="3"/>
  <c r="AC177" i="3"/>
  <c r="AD179" i="3" a="1"/>
  <c r="AF178" i="3" a="1"/>
  <c r="AE179" i="3" a="1"/>
  <c r="AE179" i="3" l="1"/>
  <c r="AF178" i="3"/>
  <c r="AG178" i="3" s="1"/>
  <c r="AD179" i="3"/>
  <c r="AA181" i="3"/>
  <c r="AB180" i="3"/>
  <c r="AC178" i="3"/>
  <c r="AF179" i="3" a="1"/>
  <c r="AE180" i="3" a="1"/>
  <c r="AD180" i="3" a="1"/>
  <c r="AE180" i="3" l="1"/>
  <c r="AF179" i="3"/>
  <c r="AG179" i="3" s="1"/>
  <c r="AD180" i="3"/>
  <c r="AB181" i="3"/>
  <c r="AA182" i="3"/>
  <c r="AC179" i="3"/>
  <c r="AE181" i="3" a="1"/>
  <c r="AF180" i="3" a="1"/>
  <c r="AD181" i="3" a="1"/>
  <c r="AE181" i="3" l="1"/>
  <c r="AF180" i="3"/>
  <c r="AG180" i="3" s="1"/>
  <c r="AD181" i="3"/>
  <c r="AC180" i="3"/>
  <c r="AB182" i="3"/>
  <c r="AA183" i="3"/>
  <c r="AD182" i="3" a="1"/>
  <c r="AE182" i="3" a="1"/>
  <c r="AF181" i="3" a="1"/>
  <c r="AE182" i="3" l="1"/>
  <c r="AF181" i="3"/>
  <c r="AG181" i="3" s="1"/>
  <c r="AD182" i="3"/>
  <c r="AB183" i="3"/>
  <c r="AA184" i="3"/>
  <c r="AC181" i="3"/>
  <c r="AF182" i="3" a="1"/>
  <c r="AE183" i="3" a="1"/>
  <c r="AD183" i="3" a="1"/>
  <c r="AE183" i="3" l="1"/>
  <c r="AF182" i="3"/>
  <c r="AG182" i="3" s="1"/>
  <c r="AD183" i="3"/>
  <c r="AB184" i="3"/>
  <c r="AA185" i="3"/>
  <c r="AC182" i="3"/>
  <c r="AD184" i="3" a="1"/>
  <c r="AE184" i="3" a="1"/>
  <c r="AF183" i="3" a="1"/>
  <c r="AE184" i="3" l="1"/>
  <c r="AF183" i="3"/>
  <c r="AG183" i="3" s="1"/>
  <c r="AD184" i="3"/>
  <c r="AB185" i="3"/>
  <c r="AA186" i="3"/>
  <c r="AC183" i="3"/>
  <c r="AF184" i="3" a="1"/>
  <c r="AE185" i="3" a="1"/>
  <c r="AD185" i="3" a="1"/>
  <c r="AE185" i="3" l="1"/>
  <c r="AF184" i="3"/>
  <c r="AG184" i="3" s="1"/>
  <c r="AD185" i="3"/>
  <c r="AC184" i="3"/>
  <c r="AB186" i="3"/>
  <c r="AA187" i="3"/>
  <c r="AF185" i="3" a="1"/>
  <c r="AE186" i="3" a="1"/>
  <c r="AD186" i="3" a="1"/>
  <c r="AE186" i="3" l="1"/>
  <c r="AF185" i="3"/>
  <c r="AG185" i="3" s="1"/>
  <c r="AD186" i="3"/>
  <c r="AB187" i="3"/>
  <c r="AA188" i="3"/>
  <c r="AC185" i="3"/>
  <c r="AE187" i="3" a="1"/>
  <c r="AF186" i="3" a="1"/>
  <c r="AD187" i="3" a="1"/>
  <c r="AE187" i="3" l="1"/>
  <c r="AF186" i="3"/>
  <c r="AG186" i="3" s="1"/>
  <c r="AD187" i="3"/>
  <c r="AB188" i="3"/>
  <c r="AA189" i="3"/>
  <c r="AC186" i="3"/>
  <c r="AF187" i="3" a="1"/>
  <c r="AE188" i="3" a="1"/>
  <c r="AD188" i="3" a="1"/>
  <c r="AE188" i="3" l="1"/>
  <c r="AF187" i="3"/>
  <c r="AG187" i="3" s="1"/>
  <c r="AD188" i="3"/>
  <c r="AC187" i="3"/>
  <c r="AB189" i="3"/>
  <c r="AA190" i="3"/>
  <c r="AE189" i="3" a="1"/>
  <c r="AF188" i="3" a="1"/>
  <c r="AD189" i="3" a="1"/>
  <c r="AE189" i="3" l="1"/>
  <c r="AF188" i="3"/>
  <c r="AG188" i="3" s="1"/>
  <c r="AD189" i="3"/>
  <c r="AC188" i="3"/>
  <c r="AB190" i="3"/>
  <c r="AA191" i="3"/>
  <c r="AD190" i="3" a="1"/>
  <c r="AE190" i="3" a="1"/>
  <c r="AF189" i="3" a="1"/>
  <c r="AE190" i="3" l="1"/>
  <c r="AF189" i="3"/>
  <c r="AG189" i="3" s="1"/>
  <c r="AD190" i="3"/>
  <c r="AC189" i="3"/>
  <c r="AB191" i="3"/>
  <c r="AA192" i="3"/>
  <c r="AD191" i="3" a="1"/>
  <c r="AE191" i="3" a="1"/>
  <c r="AF190" i="3" a="1"/>
  <c r="AE191" i="3" l="1"/>
  <c r="AF190" i="3"/>
  <c r="AG190" i="3" s="1"/>
  <c r="AD191" i="3"/>
  <c r="AB192" i="3"/>
  <c r="AA193" i="3"/>
  <c r="AC190" i="3"/>
  <c r="AE192" i="3" a="1"/>
  <c r="AF191" i="3" a="1"/>
  <c r="AD192" i="3" a="1"/>
  <c r="AE192" i="3" l="1"/>
  <c r="AF191" i="3"/>
  <c r="AG191" i="3" s="1"/>
  <c r="AD192" i="3"/>
  <c r="AC191" i="3"/>
  <c r="AB193" i="3"/>
  <c r="AA194" i="3"/>
  <c r="AF192" i="3" a="1"/>
  <c r="AE193" i="3" a="1"/>
  <c r="AD193" i="3" a="1"/>
  <c r="AE193" i="3" l="1"/>
  <c r="AF192" i="3"/>
  <c r="AG192" i="3" s="1"/>
  <c r="AD193" i="3"/>
  <c r="AB194" i="3"/>
  <c r="AA195" i="3"/>
  <c r="AC192" i="3"/>
  <c r="AF193" i="3" a="1"/>
  <c r="AE194" i="3" a="1"/>
  <c r="AD194" i="3" a="1"/>
  <c r="AE194" i="3" l="1"/>
  <c r="AF193" i="3"/>
  <c r="AG193" i="3" s="1"/>
  <c r="AD194" i="3"/>
  <c r="AC193" i="3"/>
  <c r="AA196" i="3"/>
  <c r="AB195" i="3"/>
  <c r="AF194" i="3" a="1"/>
  <c r="AD195" i="3" a="1"/>
  <c r="AE195" i="3" a="1"/>
  <c r="AE195" i="3" l="1"/>
  <c r="AF194" i="3"/>
  <c r="AG194" i="3" s="1"/>
  <c r="AD195" i="3"/>
  <c r="AB196" i="3"/>
  <c r="AA197" i="3"/>
  <c r="AC194" i="3"/>
  <c r="AF195" i="3" a="1"/>
  <c r="AD196" i="3" a="1"/>
  <c r="AE196" i="3" a="1"/>
  <c r="AE196" i="3" l="1"/>
  <c r="AF195" i="3"/>
  <c r="AG195" i="3" s="1"/>
  <c r="AD196" i="3"/>
  <c r="AB197" i="3"/>
  <c r="AA198" i="3"/>
  <c r="AC195" i="3"/>
  <c r="AD197" i="3" a="1"/>
  <c r="AF196" i="3" a="1"/>
  <c r="AE197" i="3" a="1"/>
  <c r="AE197" i="3" l="1"/>
  <c r="AF196" i="3"/>
  <c r="AG196" i="3" s="1"/>
  <c r="AD197" i="3"/>
  <c r="AA199" i="3"/>
  <c r="AB198" i="3"/>
  <c r="AC196" i="3"/>
  <c r="AE198" i="3" a="1"/>
  <c r="AD198" i="3" a="1"/>
  <c r="AF197" i="3" a="1"/>
  <c r="AE198" i="3" l="1"/>
  <c r="AF197" i="3"/>
  <c r="AG197" i="3" s="1"/>
  <c r="AD198" i="3"/>
  <c r="AB199" i="3"/>
  <c r="AA200" i="3"/>
  <c r="AC197" i="3"/>
  <c r="AF198" i="3" a="1"/>
  <c r="AD199" i="3" a="1"/>
  <c r="AE199" i="3" a="1"/>
  <c r="AE199" i="3" l="1"/>
  <c r="AF198" i="3"/>
  <c r="AG198" i="3" s="1"/>
  <c r="AD199" i="3"/>
  <c r="AA201" i="3"/>
  <c r="AB200" i="3"/>
  <c r="AC198" i="3"/>
  <c r="AF199" i="3" a="1"/>
  <c r="AD200" i="3" a="1"/>
  <c r="AE200" i="3" a="1"/>
  <c r="AE200" i="3" l="1"/>
  <c r="AF199" i="3"/>
  <c r="AG199" i="3" s="1"/>
  <c r="AD200" i="3"/>
  <c r="AC199" i="3"/>
  <c r="AB201" i="3"/>
  <c r="AA202" i="3"/>
  <c r="AF200" i="3" a="1"/>
  <c r="AD201" i="3" a="1"/>
  <c r="AE201" i="3" a="1"/>
  <c r="AE201" i="3" l="1"/>
  <c r="AF200" i="3"/>
  <c r="AG200" i="3" s="1"/>
  <c r="AD201" i="3"/>
  <c r="AC200" i="3"/>
  <c r="AB202" i="3"/>
  <c r="AA203" i="3"/>
  <c r="AB203" i="3" s="1"/>
  <c r="AD202" i="3" a="1"/>
  <c r="AE203" i="3" a="1"/>
  <c r="AF201" i="3" a="1"/>
  <c r="AE202" i="3" a="1"/>
  <c r="AD203" i="3" a="1"/>
  <c r="AE203" i="3" l="1"/>
  <c r="AE202" i="3"/>
  <c r="AF201" i="3"/>
  <c r="AG201" i="3" s="1"/>
  <c r="AD203" i="3"/>
  <c r="AD202" i="3"/>
  <c r="AC201" i="3"/>
  <c r="AF203" i="3" a="1"/>
  <c r="AF202" i="3" a="1"/>
  <c r="AF203" i="3" l="1"/>
  <c r="AG203" i="3" s="1"/>
  <c r="AF202" i="3"/>
  <c r="AG202" i="3" s="1"/>
  <c r="AC203" i="3"/>
  <c r="AC20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<sst xmlns="http://schemas.openxmlformats.org/spreadsheetml/2006/main" count="169" uniqueCount="146">
  <si>
    <t>First issue</t>
  </si>
  <si>
    <t>R&amp;D - F. Cademartori</t>
  </si>
  <si>
    <t>QA/HSEM C.Delli Quadri - M.Tremolada</t>
  </si>
  <si>
    <t>R&amp;D Manager / M.Borghetti</t>
  </si>
  <si>
    <t>Rev.</t>
  </si>
  <si>
    <t>Date</t>
  </si>
  <si>
    <t>Description</t>
  </si>
  <si>
    <t>Prepared</t>
  </si>
  <si>
    <t>Checked</t>
  </si>
  <si>
    <t>Approved</t>
  </si>
  <si>
    <t>METRIC UNITS</t>
  </si>
  <si>
    <t>US UNITS</t>
  </si>
  <si>
    <t>n [rpm]</t>
  </si>
  <si>
    <t>n [rps]</t>
  </si>
  <si>
    <t>N [rpm]</t>
  </si>
  <si>
    <t>N [rps]</t>
  </si>
  <si>
    <r>
      <t>n</t>
    </r>
    <r>
      <rPr>
        <vertAlign val="subscript"/>
        <sz val="11"/>
        <color theme="1"/>
        <rFont val="Aptos Narrow"/>
        <family val="2"/>
        <scheme val="minor"/>
      </rPr>
      <t>t</t>
    </r>
    <r>
      <rPr>
        <sz val="11"/>
        <color theme="1"/>
        <rFont val="Aptos Narrow"/>
        <family val="2"/>
        <scheme val="minor"/>
      </rPr>
      <t xml:space="preserve"> [rps]</t>
    </r>
  </si>
  <si>
    <r>
      <t>Q</t>
    </r>
    <r>
      <rPr>
        <sz val="11"/>
        <color theme="1"/>
        <rFont val="Aptos Narrow"/>
        <family val="2"/>
        <scheme val="minor"/>
      </rPr>
      <t xml:space="preserve"> [in</t>
    </r>
    <r>
      <rPr>
        <vertAlign val="superscript"/>
        <sz val="11"/>
        <color theme="1"/>
        <rFont val="Aptos Narrow"/>
        <family val="2"/>
        <scheme val="minor"/>
      </rPr>
      <t>3</t>
    </r>
    <r>
      <rPr>
        <sz val="11"/>
        <color theme="1"/>
        <rFont val="Aptos Narrow"/>
        <family val="2"/>
        <scheme val="minor"/>
      </rPr>
      <t>/s]</t>
    </r>
  </si>
  <si>
    <r>
      <t>Q [mm</t>
    </r>
    <r>
      <rPr>
        <vertAlign val="superscript"/>
        <sz val="11"/>
        <color theme="1"/>
        <rFont val="Aptos Narrow"/>
        <family val="2"/>
        <scheme val="minor"/>
      </rPr>
      <t>3</t>
    </r>
    <r>
      <rPr>
        <sz val="11"/>
        <color theme="1"/>
        <rFont val="Aptos Narrow"/>
        <family val="2"/>
        <scheme val="minor"/>
      </rPr>
      <t>/s]</t>
    </r>
  </si>
  <si>
    <t>Range</t>
  </si>
  <si>
    <t>Ring speed equation</t>
  </si>
  <si>
    <t>D [mm]</t>
  </si>
  <si>
    <t>D [in]</t>
  </si>
  <si>
    <t>(inside diameter of oil ring)</t>
  </si>
  <si>
    <t>No-slip drive</t>
  </si>
  <si>
    <t>p [mm]</t>
  </si>
  <si>
    <t>p [in]</t>
  </si>
  <si>
    <t>(oil ring width)</t>
  </si>
  <si>
    <t>I [mm]</t>
  </si>
  <si>
    <t>I [in]</t>
  </si>
  <si>
    <t>(ring immersion)</t>
  </si>
  <si>
    <t>W [kg]</t>
  </si>
  <si>
    <t>W [lbf]</t>
  </si>
  <si>
    <t>(weight of the oil ring)</t>
  </si>
  <si>
    <t>Start of slip</t>
  </si>
  <si>
    <t>(journal rotational speed)</t>
  </si>
  <si>
    <t>d [mm]</t>
  </si>
  <si>
    <t>d [in]</t>
  </si>
  <si>
    <t>(journal diameter)</t>
  </si>
  <si>
    <t>Start of full film operation</t>
  </si>
  <si>
    <r>
      <t>c</t>
    </r>
    <r>
      <rPr>
        <b/>
        <vertAlign val="subscript"/>
        <sz val="11"/>
        <color theme="0"/>
        <rFont val="Aptos Narrow"/>
        <family val="2"/>
        <scheme val="minor"/>
      </rPr>
      <t>r</t>
    </r>
    <r>
      <rPr>
        <b/>
        <sz val="11"/>
        <color theme="0"/>
        <rFont val="Aptos Narrow"/>
        <family val="2"/>
        <scheme val="minor"/>
      </rPr>
      <t xml:space="preserve"> [mm]</t>
    </r>
  </si>
  <si>
    <r>
      <t>c</t>
    </r>
    <r>
      <rPr>
        <b/>
        <vertAlign val="subscript"/>
        <sz val="11"/>
        <color theme="0"/>
        <rFont val="Aptos Narrow"/>
        <family val="2"/>
        <scheme val="minor"/>
      </rPr>
      <t>r</t>
    </r>
    <r>
      <rPr>
        <b/>
        <sz val="11"/>
        <color theme="0"/>
        <rFont val="Aptos Narrow"/>
        <family val="2"/>
        <scheme val="minor"/>
      </rPr>
      <t xml:space="preserve"> [in]</t>
    </r>
  </si>
  <si>
    <t>(bearing radial clearance)</t>
  </si>
  <si>
    <t>I/D</t>
  </si>
  <si>
    <t>kf</t>
  </si>
  <si>
    <t>L [mm]</t>
  </si>
  <si>
    <t>L [in]</t>
  </si>
  <si>
    <t>(bearing journal width)</t>
  </si>
  <si>
    <r>
      <t>Q</t>
    </r>
    <r>
      <rPr>
        <b/>
        <vertAlign val="subscript"/>
        <sz val="11"/>
        <color theme="0"/>
        <rFont val="Aptos Narrow"/>
        <family val="2"/>
        <scheme val="minor"/>
      </rPr>
      <t>full</t>
    </r>
    <r>
      <rPr>
        <b/>
        <sz val="11"/>
        <color theme="0"/>
        <rFont val="Aptos Narrow"/>
        <family val="2"/>
        <scheme val="minor"/>
      </rPr>
      <t xml:space="preserve"> [mm</t>
    </r>
    <r>
      <rPr>
        <b/>
        <vertAlign val="superscript"/>
        <sz val="11"/>
        <color theme="0"/>
        <rFont val="Aptos Narrow"/>
        <family val="2"/>
        <scheme val="minor"/>
      </rPr>
      <t>3</t>
    </r>
    <r>
      <rPr>
        <b/>
        <sz val="11"/>
        <color theme="0"/>
        <rFont val="Aptos Narrow"/>
        <family val="2"/>
        <scheme val="minor"/>
      </rPr>
      <t>/s]</t>
    </r>
  </si>
  <si>
    <r>
      <t>Q</t>
    </r>
    <r>
      <rPr>
        <b/>
        <vertAlign val="subscript"/>
        <sz val="11"/>
        <color theme="0"/>
        <rFont val="Aptos Narrow"/>
        <family val="2"/>
        <scheme val="minor"/>
      </rPr>
      <t xml:space="preserve">full </t>
    </r>
    <r>
      <rPr>
        <b/>
        <sz val="11"/>
        <color theme="0"/>
        <rFont val="Aptos Narrow"/>
        <family val="2"/>
        <scheme val="minor"/>
      </rPr>
      <t>[in</t>
    </r>
    <r>
      <rPr>
        <b/>
        <vertAlign val="superscript"/>
        <sz val="11"/>
        <color theme="0"/>
        <rFont val="Aptos Narrow"/>
        <family val="2"/>
        <scheme val="minor"/>
      </rPr>
      <t>3</t>
    </r>
    <r>
      <rPr>
        <b/>
        <sz val="11"/>
        <color theme="0"/>
        <rFont val="Aptos Narrow"/>
        <family val="2"/>
        <scheme val="minor"/>
      </rPr>
      <t>/s]</t>
    </r>
  </si>
  <si>
    <t>(oil delivery to full feed the bearing)</t>
  </si>
  <si>
    <t>Transition speed</t>
  </si>
  <si>
    <t>oil grade</t>
  </si>
  <si>
    <t>ISO VG 46</t>
  </si>
  <si>
    <t>T [°C]</t>
  </si>
  <si>
    <t>T [°F]</t>
  </si>
  <si>
    <t>(oil temperature)</t>
  </si>
  <si>
    <r>
      <rPr>
        <b/>
        <sz val="11"/>
        <color theme="0"/>
        <rFont val="Aptos Narrow"/>
        <family val="2"/>
      </rPr>
      <t>µ</t>
    </r>
    <r>
      <rPr>
        <b/>
        <vertAlign val="subscript"/>
        <sz val="11"/>
        <color theme="0"/>
        <rFont val="Aptos Narrow"/>
        <family val="2"/>
        <scheme val="minor"/>
      </rPr>
      <t>oil</t>
    </r>
    <r>
      <rPr>
        <b/>
        <sz val="11"/>
        <color theme="0"/>
        <rFont val="Aptos Narrow"/>
        <family val="2"/>
        <scheme val="minor"/>
      </rPr>
      <t xml:space="preserve"> [cP]</t>
    </r>
  </si>
  <si>
    <r>
      <rPr>
        <b/>
        <sz val="11"/>
        <color theme="0"/>
        <rFont val="Aptos Narrow"/>
        <family val="2"/>
      </rPr>
      <t>µ</t>
    </r>
    <r>
      <rPr>
        <b/>
        <vertAlign val="subscript"/>
        <sz val="11"/>
        <color theme="0"/>
        <rFont val="Aptos Narrow"/>
        <family val="2"/>
        <scheme val="minor"/>
      </rPr>
      <t>oil</t>
    </r>
    <r>
      <rPr>
        <b/>
        <sz val="11"/>
        <color theme="0"/>
        <rFont val="Aptos Narrow"/>
        <family val="2"/>
        <scheme val="minor"/>
      </rPr>
      <t xml:space="preserve"> [Reyns]</t>
    </r>
  </si>
  <si>
    <t>(oil viscosity)</t>
  </si>
  <si>
    <t>Oil delivery equation</t>
  </si>
  <si>
    <r>
      <rPr>
        <b/>
        <sz val="11"/>
        <color theme="0"/>
        <rFont val="Aptos Narrow"/>
        <family val="2"/>
      </rPr>
      <t>ν</t>
    </r>
    <r>
      <rPr>
        <b/>
        <vertAlign val="subscript"/>
        <sz val="11"/>
        <color theme="0"/>
        <rFont val="Aptos Narrow"/>
        <family val="2"/>
        <scheme val="minor"/>
      </rPr>
      <t>oil</t>
    </r>
    <r>
      <rPr>
        <b/>
        <sz val="11"/>
        <color theme="0"/>
        <rFont val="Aptos Narrow"/>
        <family val="2"/>
        <scheme val="minor"/>
      </rPr>
      <t xml:space="preserve"> [cSt]</t>
    </r>
  </si>
  <si>
    <r>
      <rPr>
        <b/>
        <sz val="11"/>
        <color theme="0"/>
        <rFont val="Aptos Narrow"/>
        <family val="2"/>
      </rPr>
      <t>ν</t>
    </r>
    <r>
      <rPr>
        <b/>
        <vertAlign val="subscript"/>
        <sz val="11"/>
        <color theme="0"/>
        <rFont val="Aptos Narrow"/>
        <family val="2"/>
        <scheme val="minor"/>
      </rPr>
      <t>oil</t>
    </r>
    <r>
      <rPr>
        <b/>
        <sz val="11"/>
        <color theme="0"/>
        <rFont val="Aptos Narrow"/>
        <family val="2"/>
        <scheme val="minor"/>
      </rPr>
      <t xml:space="preserve"> [in</t>
    </r>
    <r>
      <rPr>
        <b/>
        <vertAlign val="superscript"/>
        <sz val="11"/>
        <color theme="0"/>
        <rFont val="Aptos Narrow"/>
        <family val="2"/>
        <scheme val="minor"/>
      </rPr>
      <t>2</t>
    </r>
    <r>
      <rPr>
        <b/>
        <sz val="11"/>
        <color theme="0"/>
        <rFont val="Aptos Narrow"/>
        <family val="2"/>
        <scheme val="minor"/>
      </rPr>
      <t>/s]</t>
    </r>
  </si>
  <si>
    <t>(oil kinematic viscosity)</t>
  </si>
  <si>
    <r>
      <t>Low ring speed (N&lt;N</t>
    </r>
    <r>
      <rPr>
        <vertAlign val="subscript"/>
        <sz val="11"/>
        <color theme="1"/>
        <rFont val="Aptos Narrow"/>
        <family val="2"/>
        <scheme val="minor"/>
      </rPr>
      <t>t</t>
    </r>
    <r>
      <rPr>
        <sz val="11"/>
        <color theme="1"/>
        <rFont val="Aptos Narrow"/>
        <family val="2"/>
        <scheme val="minor"/>
      </rPr>
      <t>)</t>
    </r>
  </si>
  <si>
    <r>
      <rPr>
        <b/>
        <sz val="11"/>
        <color theme="0"/>
        <rFont val="Calibri"/>
        <family val="2"/>
      </rPr>
      <t>ρ</t>
    </r>
    <r>
      <rPr>
        <b/>
        <vertAlign val="subscript"/>
        <sz val="11"/>
        <color theme="0"/>
        <rFont val="Aptos Narrow"/>
        <family val="2"/>
        <scheme val="minor"/>
      </rPr>
      <t>oil</t>
    </r>
    <r>
      <rPr>
        <b/>
        <sz val="11"/>
        <color theme="0"/>
        <rFont val="Aptos Narrow"/>
        <family val="2"/>
        <scheme val="minor"/>
      </rPr>
      <t xml:space="preserve"> [kg/m</t>
    </r>
    <r>
      <rPr>
        <b/>
        <vertAlign val="superscript"/>
        <sz val="11"/>
        <color theme="0"/>
        <rFont val="Aptos Narrow"/>
        <family val="2"/>
        <scheme val="minor"/>
      </rPr>
      <t>3</t>
    </r>
    <r>
      <rPr>
        <b/>
        <sz val="11"/>
        <color theme="0"/>
        <rFont val="Aptos Narrow"/>
        <family val="2"/>
        <scheme val="minor"/>
      </rPr>
      <t>]</t>
    </r>
  </si>
  <si>
    <r>
      <rPr>
        <b/>
        <sz val="11"/>
        <color theme="0"/>
        <rFont val="Calibri"/>
        <family val="2"/>
      </rPr>
      <t>ρ</t>
    </r>
    <r>
      <rPr>
        <b/>
        <vertAlign val="subscript"/>
        <sz val="11"/>
        <color theme="0"/>
        <rFont val="Aptos Narrow"/>
        <family val="2"/>
        <scheme val="minor"/>
      </rPr>
      <t>oil</t>
    </r>
    <r>
      <rPr>
        <b/>
        <sz val="11"/>
        <color theme="0"/>
        <rFont val="Aptos Narrow"/>
        <family val="2"/>
        <scheme val="minor"/>
      </rPr>
      <t xml:space="preserve"> [lb/in</t>
    </r>
    <r>
      <rPr>
        <b/>
        <vertAlign val="superscript"/>
        <sz val="11"/>
        <color theme="0"/>
        <rFont val="Aptos Narrow"/>
        <family val="2"/>
        <scheme val="minor"/>
      </rPr>
      <t>3</t>
    </r>
    <r>
      <rPr>
        <b/>
        <sz val="11"/>
        <color theme="0"/>
        <rFont val="Aptos Narrow"/>
        <family val="2"/>
        <scheme val="minor"/>
      </rPr>
      <t>]</t>
    </r>
  </si>
  <si>
    <t>(oil density)</t>
  </si>
  <si>
    <t>Results</t>
  </si>
  <si>
    <t>(oil ring rotational speed)</t>
  </si>
  <si>
    <r>
      <t>High ring speed (N</t>
    </r>
    <r>
      <rPr>
        <sz val="11"/>
        <color theme="1"/>
        <rFont val="Aptos Narrow"/>
        <family val="2"/>
      </rPr>
      <t>≥</t>
    </r>
    <r>
      <rPr>
        <sz val="11"/>
        <color theme="1"/>
        <rFont val="Aptos Narrow"/>
        <family val="2"/>
        <scheme val="minor"/>
      </rPr>
      <t>N</t>
    </r>
    <r>
      <rPr>
        <vertAlign val="subscript"/>
        <sz val="11"/>
        <color theme="1"/>
        <rFont val="Aptos Narrow"/>
        <family val="2"/>
        <scheme val="minor"/>
      </rPr>
      <t>t</t>
    </r>
    <r>
      <rPr>
        <sz val="11"/>
        <color theme="1"/>
        <rFont val="Aptos Narrow"/>
        <family val="2"/>
        <scheme val="minor"/>
      </rPr>
      <t>)</t>
    </r>
  </si>
  <si>
    <r>
      <t>Q [mm</t>
    </r>
    <r>
      <rPr>
        <b/>
        <vertAlign val="superscript"/>
        <sz val="11"/>
        <color theme="0"/>
        <rFont val="Aptos Narrow"/>
        <family val="2"/>
        <scheme val="minor"/>
      </rPr>
      <t>3</t>
    </r>
    <r>
      <rPr>
        <b/>
        <sz val="11"/>
        <color theme="0"/>
        <rFont val="Aptos Narrow"/>
        <family val="2"/>
        <scheme val="minor"/>
      </rPr>
      <t>/s]</t>
    </r>
  </si>
  <si>
    <r>
      <t>Q [in</t>
    </r>
    <r>
      <rPr>
        <b/>
        <vertAlign val="superscript"/>
        <sz val="11"/>
        <color theme="0"/>
        <rFont val="Aptos Narrow"/>
        <family val="2"/>
        <scheme val="minor"/>
      </rPr>
      <t>3</t>
    </r>
    <r>
      <rPr>
        <b/>
        <sz val="11"/>
        <color theme="0"/>
        <rFont val="Aptos Narrow"/>
        <family val="2"/>
        <scheme val="minor"/>
      </rPr>
      <t>/s]</t>
    </r>
  </si>
  <si>
    <t>(oil delivery)</t>
  </si>
  <si>
    <t>Legend</t>
  </si>
  <si>
    <t>Oil ring state</t>
  </si>
  <si>
    <t>(full film preferred - transition not allowed)</t>
  </si>
  <si>
    <t>input data</t>
  </si>
  <si>
    <t>L/d [-]</t>
  </si>
  <si>
    <t>(0.5-1.1)</t>
  </si>
  <si>
    <t>descriptor</t>
  </si>
  <si>
    <t>D/d [-]</t>
  </si>
  <si>
    <t>(1.5-1.9)</t>
  </si>
  <si>
    <t>calculated</t>
  </si>
  <si>
    <t>I/D [-]</t>
  </si>
  <si>
    <t>(5%-25%)</t>
  </si>
  <si>
    <t>annotation</t>
  </si>
  <si>
    <r>
      <t>Q/Q</t>
    </r>
    <r>
      <rPr>
        <b/>
        <vertAlign val="subscript"/>
        <sz val="11"/>
        <color theme="0"/>
        <rFont val="Aptos Narrow"/>
        <family val="2"/>
        <scheme val="minor"/>
      </rPr>
      <t>full</t>
    </r>
    <r>
      <rPr>
        <b/>
        <sz val="11"/>
        <color theme="0"/>
        <rFont val="Aptos Narrow"/>
        <family val="2"/>
        <scheme val="minor"/>
      </rPr>
      <t xml:space="preserve"> [%]</t>
    </r>
  </si>
  <si>
    <t>(starvation ratio&gt;40%)</t>
  </si>
  <si>
    <r>
      <t>Q/Q</t>
    </r>
    <r>
      <rPr>
        <b/>
        <vertAlign val="subscript"/>
        <sz val="11"/>
        <color theme="0"/>
        <rFont val="Aptos Narrow"/>
        <family val="2"/>
        <scheme val="minor"/>
      </rPr>
      <t>min</t>
    </r>
    <r>
      <rPr>
        <b/>
        <sz val="11"/>
        <color theme="0"/>
        <rFont val="Aptos Narrow"/>
        <family val="2"/>
        <scheme val="minor"/>
      </rPr>
      <t xml:space="preserve"> [-]</t>
    </r>
  </si>
  <si>
    <t>(&gt;4)</t>
  </si>
  <si>
    <r>
      <t>n</t>
    </r>
    <r>
      <rPr>
        <b/>
        <vertAlign val="subscript"/>
        <sz val="11"/>
        <color theme="0"/>
        <rFont val="Aptos Narrow"/>
        <family val="2"/>
        <scheme val="minor"/>
      </rPr>
      <t>t</t>
    </r>
    <r>
      <rPr>
        <b/>
        <sz val="11"/>
        <color theme="0"/>
        <rFont val="Aptos Narrow"/>
        <family val="2"/>
        <scheme val="minor"/>
      </rPr>
      <t xml:space="preserve"> &gt; n</t>
    </r>
    <r>
      <rPr>
        <b/>
        <vertAlign val="subscript"/>
        <sz val="11"/>
        <color theme="0"/>
        <rFont val="Aptos Narrow"/>
        <family val="2"/>
        <scheme val="minor"/>
      </rPr>
      <t>f</t>
    </r>
    <r>
      <rPr>
        <b/>
        <sz val="11"/>
        <color theme="0"/>
        <rFont val="Aptos Narrow"/>
        <family val="2"/>
        <scheme val="minor"/>
      </rPr>
      <t xml:space="preserve"> </t>
    </r>
  </si>
  <si>
    <t>(preferred condition)</t>
  </si>
  <si>
    <r>
      <t>N</t>
    </r>
    <r>
      <rPr>
        <b/>
        <vertAlign val="subscript"/>
        <sz val="11"/>
        <color theme="0"/>
        <rFont val="Aptos Narrow"/>
        <family val="2"/>
        <scheme val="minor"/>
      </rPr>
      <t>s</t>
    </r>
    <r>
      <rPr>
        <b/>
        <sz val="11"/>
        <color theme="0"/>
        <rFont val="Aptos Narrow"/>
        <family val="2"/>
        <scheme val="minor"/>
      </rPr>
      <t xml:space="preserve"> [rpm]</t>
    </r>
  </si>
  <si>
    <r>
      <t>N</t>
    </r>
    <r>
      <rPr>
        <b/>
        <vertAlign val="subscript"/>
        <sz val="11"/>
        <color theme="0"/>
        <rFont val="Aptos Narrow"/>
        <family val="2"/>
        <scheme val="minor"/>
      </rPr>
      <t>s</t>
    </r>
    <r>
      <rPr>
        <b/>
        <sz val="11"/>
        <color theme="0"/>
        <rFont val="Aptos Narrow"/>
        <family val="2"/>
        <scheme val="minor"/>
      </rPr>
      <t xml:space="preserve"> [rps]</t>
    </r>
  </si>
  <si>
    <t>(oil ring rotational speed: start of slip)</t>
  </si>
  <si>
    <r>
      <t>n</t>
    </r>
    <r>
      <rPr>
        <b/>
        <vertAlign val="subscript"/>
        <sz val="11"/>
        <color theme="0"/>
        <rFont val="Aptos Narrow"/>
        <family val="2"/>
        <scheme val="minor"/>
      </rPr>
      <t>s</t>
    </r>
    <r>
      <rPr>
        <b/>
        <sz val="11"/>
        <color theme="0"/>
        <rFont val="Aptos Narrow"/>
        <family val="2"/>
        <scheme val="minor"/>
      </rPr>
      <t xml:space="preserve"> [rpm]</t>
    </r>
  </si>
  <si>
    <r>
      <t>n</t>
    </r>
    <r>
      <rPr>
        <b/>
        <vertAlign val="subscript"/>
        <sz val="11"/>
        <color theme="0"/>
        <rFont val="Aptos Narrow"/>
        <family val="2"/>
        <scheme val="minor"/>
      </rPr>
      <t>s</t>
    </r>
    <r>
      <rPr>
        <b/>
        <sz val="11"/>
        <color theme="0"/>
        <rFont val="Aptos Narrow"/>
        <family val="2"/>
        <scheme val="minor"/>
      </rPr>
      <t xml:space="preserve"> [rps]</t>
    </r>
  </si>
  <si>
    <t>(journal rotational speed: start of slip)</t>
  </si>
  <si>
    <r>
      <t>V</t>
    </r>
    <r>
      <rPr>
        <b/>
        <vertAlign val="subscript"/>
        <sz val="11"/>
        <color theme="0"/>
        <rFont val="Aptos Narrow"/>
        <family val="2"/>
        <scheme val="minor"/>
      </rPr>
      <t>s</t>
    </r>
    <r>
      <rPr>
        <b/>
        <sz val="11"/>
        <color theme="0"/>
        <rFont val="Aptos Narrow"/>
        <family val="2"/>
        <scheme val="minor"/>
      </rPr>
      <t xml:space="preserve"> [mm/s]</t>
    </r>
  </si>
  <si>
    <r>
      <t>V</t>
    </r>
    <r>
      <rPr>
        <b/>
        <vertAlign val="subscript"/>
        <sz val="11"/>
        <color theme="0"/>
        <rFont val="Aptos Narrow"/>
        <family val="2"/>
        <scheme val="minor"/>
      </rPr>
      <t>s</t>
    </r>
    <r>
      <rPr>
        <b/>
        <sz val="11"/>
        <color theme="0"/>
        <rFont val="Aptos Narrow"/>
        <family val="2"/>
        <scheme val="minor"/>
      </rPr>
      <t xml:space="preserve"> [in/s]</t>
    </r>
  </si>
  <si>
    <t>(oil ring speed: start of slip)</t>
  </si>
  <si>
    <r>
      <t>v</t>
    </r>
    <r>
      <rPr>
        <b/>
        <vertAlign val="subscript"/>
        <sz val="11"/>
        <color theme="0"/>
        <rFont val="Aptos Narrow"/>
        <family val="2"/>
        <scheme val="minor"/>
      </rPr>
      <t>s</t>
    </r>
    <r>
      <rPr>
        <b/>
        <sz val="11"/>
        <color theme="0"/>
        <rFont val="Aptos Narrow"/>
        <family val="2"/>
        <scheme val="minor"/>
      </rPr>
      <t xml:space="preserve"> [mm/s]</t>
    </r>
  </si>
  <si>
    <r>
      <t>v</t>
    </r>
    <r>
      <rPr>
        <b/>
        <vertAlign val="subscript"/>
        <sz val="11"/>
        <color theme="0"/>
        <rFont val="Aptos Narrow"/>
        <family val="2"/>
        <scheme val="minor"/>
      </rPr>
      <t>s</t>
    </r>
    <r>
      <rPr>
        <b/>
        <sz val="11"/>
        <color theme="0"/>
        <rFont val="Aptos Narrow"/>
        <family val="2"/>
        <scheme val="minor"/>
      </rPr>
      <t xml:space="preserve"> [in/s]</t>
    </r>
  </si>
  <si>
    <t>(journal speed: start of slip)</t>
  </si>
  <si>
    <r>
      <t>N</t>
    </r>
    <r>
      <rPr>
        <b/>
        <vertAlign val="subscript"/>
        <sz val="11"/>
        <color theme="0"/>
        <rFont val="Aptos Narrow"/>
        <family val="2"/>
        <scheme val="minor"/>
      </rPr>
      <t>f</t>
    </r>
    <r>
      <rPr>
        <b/>
        <sz val="11"/>
        <color theme="0"/>
        <rFont val="Aptos Narrow"/>
        <family val="2"/>
        <scheme val="minor"/>
      </rPr>
      <t xml:space="preserve"> [rpm]</t>
    </r>
  </si>
  <si>
    <r>
      <t>N</t>
    </r>
    <r>
      <rPr>
        <b/>
        <vertAlign val="subscript"/>
        <sz val="11"/>
        <color theme="0"/>
        <rFont val="Aptos Narrow"/>
        <family val="2"/>
        <scheme val="minor"/>
      </rPr>
      <t>f</t>
    </r>
    <r>
      <rPr>
        <b/>
        <sz val="11"/>
        <color theme="0"/>
        <rFont val="Aptos Narrow"/>
        <family val="2"/>
        <scheme val="minor"/>
      </rPr>
      <t xml:space="preserve"> [rps]</t>
    </r>
  </si>
  <si>
    <t>(oil ring rotational speed: start of full-film operation)</t>
  </si>
  <si>
    <r>
      <t>n</t>
    </r>
    <r>
      <rPr>
        <b/>
        <vertAlign val="subscript"/>
        <sz val="11"/>
        <color theme="0"/>
        <rFont val="Aptos Narrow"/>
        <family val="2"/>
        <scheme val="minor"/>
      </rPr>
      <t>f</t>
    </r>
    <r>
      <rPr>
        <b/>
        <sz val="11"/>
        <color theme="0"/>
        <rFont val="Aptos Narrow"/>
        <family val="2"/>
        <scheme val="minor"/>
      </rPr>
      <t xml:space="preserve"> [rpm]</t>
    </r>
  </si>
  <si>
    <r>
      <t>n</t>
    </r>
    <r>
      <rPr>
        <b/>
        <vertAlign val="subscript"/>
        <sz val="11"/>
        <color theme="0"/>
        <rFont val="Aptos Narrow"/>
        <family val="2"/>
        <scheme val="minor"/>
      </rPr>
      <t>f</t>
    </r>
    <r>
      <rPr>
        <b/>
        <sz val="11"/>
        <color theme="0"/>
        <rFont val="Aptos Narrow"/>
        <family val="2"/>
        <scheme val="minor"/>
      </rPr>
      <t xml:space="preserve"> [rps]</t>
    </r>
  </si>
  <si>
    <t>(journal rotational speed: start of full-film operation)</t>
  </si>
  <si>
    <r>
      <t>V</t>
    </r>
    <r>
      <rPr>
        <b/>
        <vertAlign val="subscript"/>
        <sz val="11"/>
        <color theme="0"/>
        <rFont val="Aptos Narrow"/>
        <family val="2"/>
        <scheme val="minor"/>
      </rPr>
      <t>f</t>
    </r>
    <r>
      <rPr>
        <b/>
        <sz val="11"/>
        <color theme="0"/>
        <rFont val="Aptos Narrow"/>
        <family val="2"/>
        <scheme val="minor"/>
      </rPr>
      <t xml:space="preserve"> [mm/s]</t>
    </r>
  </si>
  <si>
    <r>
      <t>V</t>
    </r>
    <r>
      <rPr>
        <b/>
        <vertAlign val="subscript"/>
        <sz val="11"/>
        <color theme="0"/>
        <rFont val="Aptos Narrow"/>
        <family val="2"/>
        <scheme val="minor"/>
      </rPr>
      <t>f</t>
    </r>
    <r>
      <rPr>
        <b/>
        <sz val="11"/>
        <color theme="0"/>
        <rFont val="Aptos Narrow"/>
        <family val="2"/>
        <scheme val="minor"/>
      </rPr>
      <t xml:space="preserve"> [in/s]</t>
    </r>
  </si>
  <si>
    <t>(oil ring speed: start of full-film operation)</t>
  </si>
  <si>
    <r>
      <t>v</t>
    </r>
    <r>
      <rPr>
        <b/>
        <vertAlign val="subscript"/>
        <sz val="11"/>
        <color theme="0"/>
        <rFont val="Aptos Narrow"/>
        <family val="2"/>
        <scheme val="minor"/>
      </rPr>
      <t>f</t>
    </r>
    <r>
      <rPr>
        <b/>
        <sz val="11"/>
        <color theme="0"/>
        <rFont val="Aptos Narrow"/>
        <family val="2"/>
        <scheme val="minor"/>
      </rPr>
      <t xml:space="preserve"> [mm/s]</t>
    </r>
  </si>
  <si>
    <r>
      <t>v</t>
    </r>
    <r>
      <rPr>
        <b/>
        <vertAlign val="subscript"/>
        <sz val="11"/>
        <color theme="0"/>
        <rFont val="Aptos Narrow"/>
        <family val="2"/>
        <scheme val="minor"/>
      </rPr>
      <t>f</t>
    </r>
    <r>
      <rPr>
        <b/>
        <sz val="11"/>
        <color theme="0"/>
        <rFont val="Aptos Narrow"/>
        <family val="2"/>
        <scheme val="minor"/>
      </rPr>
      <t xml:space="preserve"> [in/s]</t>
    </r>
  </si>
  <si>
    <t>(journal speed: start of full-film operation)</t>
  </si>
  <si>
    <r>
      <t>N</t>
    </r>
    <r>
      <rPr>
        <b/>
        <vertAlign val="subscript"/>
        <sz val="11"/>
        <color theme="0"/>
        <rFont val="Aptos Narrow"/>
        <family val="2"/>
        <scheme val="minor"/>
      </rPr>
      <t>t</t>
    </r>
    <r>
      <rPr>
        <b/>
        <sz val="11"/>
        <color theme="0"/>
        <rFont val="Aptos Narrow"/>
        <family val="2"/>
        <scheme val="minor"/>
      </rPr>
      <t xml:space="preserve"> [rpm]</t>
    </r>
  </si>
  <si>
    <r>
      <t>N</t>
    </r>
    <r>
      <rPr>
        <b/>
        <vertAlign val="subscript"/>
        <sz val="11"/>
        <color theme="0"/>
        <rFont val="Aptos Narrow"/>
        <family val="2"/>
        <scheme val="minor"/>
      </rPr>
      <t>t</t>
    </r>
    <r>
      <rPr>
        <b/>
        <sz val="11"/>
        <color theme="0"/>
        <rFont val="Aptos Narrow"/>
        <family val="2"/>
        <scheme val="minor"/>
      </rPr>
      <t xml:space="preserve"> [rps]</t>
    </r>
  </si>
  <si>
    <t>(oil ring rotational speed: transition)</t>
  </si>
  <si>
    <r>
      <t>n</t>
    </r>
    <r>
      <rPr>
        <b/>
        <vertAlign val="subscript"/>
        <sz val="11"/>
        <color theme="0"/>
        <rFont val="Aptos Narrow"/>
        <family val="2"/>
        <scheme val="minor"/>
      </rPr>
      <t>t</t>
    </r>
    <r>
      <rPr>
        <b/>
        <sz val="11"/>
        <color theme="0"/>
        <rFont val="Aptos Narrow"/>
        <family val="2"/>
        <scheme val="minor"/>
      </rPr>
      <t xml:space="preserve"> [rpm]</t>
    </r>
  </si>
  <si>
    <r>
      <t>n</t>
    </r>
    <r>
      <rPr>
        <b/>
        <vertAlign val="subscript"/>
        <sz val="11"/>
        <color theme="0"/>
        <rFont val="Aptos Narrow"/>
        <family val="2"/>
        <scheme val="minor"/>
      </rPr>
      <t>t</t>
    </r>
    <r>
      <rPr>
        <b/>
        <sz val="11"/>
        <color theme="0"/>
        <rFont val="Aptos Narrow"/>
        <family val="2"/>
        <scheme val="minor"/>
      </rPr>
      <t xml:space="preserve"> [rps]</t>
    </r>
  </si>
  <si>
    <t>(journal rotational speed: transition)</t>
  </si>
  <si>
    <r>
      <t>V</t>
    </r>
    <r>
      <rPr>
        <b/>
        <vertAlign val="subscript"/>
        <sz val="11"/>
        <color theme="0"/>
        <rFont val="Aptos Narrow"/>
        <family val="2"/>
        <scheme val="minor"/>
      </rPr>
      <t>t</t>
    </r>
    <r>
      <rPr>
        <b/>
        <sz val="11"/>
        <color theme="0"/>
        <rFont val="Aptos Narrow"/>
        <family val="2"/>
        <scheme val="minor"/>
      </rPr>
      <t xml:space="preserve"> [mm/s]</t>
    </r>
  </si>
  <si>
    <r>
      <t>V</t>
    </r>
    <r>
      <rPr>
        <b/>
        <vertAlign val="subscript"/>
        <sz val="11"/>
        <color theme="0"/>
        <rFont val="Aptos Narrow"/>
        <family val="2"/>
        <scheme val="minor"/>
      </rPr>
      <t>t</t>
    </r>
    <r>
      <rPr>
        <b/>
        <sz val="11"/>
        <color theme="0"/>
        <rFont val="Aptos Narrow"/>
        <family val="2"/>
        <scheme val="minor"/>
      </rPr>
      <t xml:space="preserve"> [in/s]</t>
    </r>
  </si>
  <si>
    <t>(oil ring speed: transition)</t>
  </si>
  <si>
    <r>
      <t>v</t>
    </r>
    <r>
      <rPr>
        <b/>
        <vertAlign val="subscript"/>
        <sz val="11"/>
        <color theme="0"/>
        <rFont val="Aptos Narrow"/>
        <family val="2"/>
        <scheme val="minor"/>
      </rPr>
      <t>t</t>
    </r>
    <r>
      <rPr>
        <b/>
        <sz val="11"/>
        <color theme="0"/>
        <rFont val="Aptos Narrow"/>
        <family val="2"/>
        <scheme val="minor"/>
      </rPr>
      <t xml:space="preserve"> [mm/s]</t>
    </r>
  </si>
  <si>
    <r>
      <t>v</t>
    </r>
    <r>
      <rPr>
        <b/>
        <vertAlign val="subscript"/>
        <sz val="11"/>
        <color theme="0"/>
        <rFont val="Aptos Narrow"/>
        <family val="2"/>
        <scheme val="minor"/>
      </rPr>
      <t>t</t>
    </r>
    <r>
      <rPr>
        <b/>
        <sz val="11"/>
        <color theme="0"/>
        <rFont val="Aptos Narrow"/>
        <family val="2"/>
        <scheme val="minor"/>
      </rPr>
      <t xml:space="preserve"> [in/s]</t>
    </r>
  </si>
  <si>
    <t>(journal speed: transition)</t>
  </si>
  <si>
    <r>
      <t>Q</t>
    </r>
    <r>
      <rPr>
        <b/>
        <vertAlign val="subscript"/>
        <sz val="11"/>
        <color theme="0"/>
        <rFont val="Aptos Narrow"/>
        <family val="2"/>
        <scheme val="minor"/>
      </rPr>
      <t>t</t>
    </r>
    <r>
      <rPr>
        <b/>
        <sz val="11"/>
        <color theme="0"/>
        <rFont val="Aptos Narrow"/>
        <family val="2"/>
        <scheme val="minor"/>
      </rPr>
      <t xml:space="preserve"> [mm</t>
    </r>
    <r>
      <rPr>
        <b/>
        <vertAlign val="superscript"/>
        <sz val="11"/>
        <color theme="0"/>
        <rFont val="Aptos Narrow"/>
        <family val="2"/>
        <scheme val="minor"/>
      </rPr>
      <t>3</t>
    </r>
    <r>
      <rPr>
        <b/>
        <sz val="11"/>
        <color theme="0"/>
        <rFont val="Aptos Narrow"/>
        <family val="2"/>
        <scheme val="minor"/>
      </rPr>
      <t>/s]</t>
    </r>
  </si>
  <si>
    <r>
      <t>Q</t>
    </r>
    <r>
      <rPr>
        <b/>
        <vertAlign val="subscript"/>
        <sz val="11"/>
        <color theme="0"/>
        <rFont val="Aptos Narrow"/>
        <family val="2"/>
        <scheme val="minor"/>
      </rPr>
      <t>t</t>
    </r>
    <r>
      <rPr>
        <b/>
        <sz val="11"/>
        <color theme="0"/>
        <rFont val="Aptos Narrow"/>
        <family val="2"/>
        <scheme val="minor"/>
      </rPr>
      <t xml:space="preserve"> [in</t>
    </r>
    <r>
      <rPr>
        <b/>
        <vertAlign val="superscript"/>
        <sz val="11"/>
        <color theme="0"/>
        <rFont val="Aptos Narrow"/>
        <family val="2"/>
        <scheme val="minor"/>
      </rPr>
      <t>3</t>
    </r>
    <r>
      <rPr>
        <b/>
        <sz val="11"/>
        <color theme="0"/>
        <rFont val="Aptos Narrow"/>
        <family val="2"/>
        <scheme val="minor"/>
      </rPr>
      <t>/s]</t>
    </r>
  </si>
  <si>
    <t>(oil flow: transition)</t>
  </si>
  <si>
    <r>
      <t>Q</t>
    </r>
    <r>
      <rPr>
        <b/>
        <vertAlign val="subscript"/>
        <sz val="11"/>
        <color theme="0"/>
        <rFont val="Aptos Narrow"/>
        <family val="2"/>
        <scheme val="minor"/>
      </rPr>
      <t>min</t>
    </r>
    <r>
      <rPr>
        <b/>
        <sz val="11"/>
        <color theme="0"/>
        <rFont val="Aptos Narrow"/>
        <family val="2"/>
        <scheme val="minor"/>
      </rPr>
      <t xml:space="preserve"> [mm</t>
    </r>
    <r>
      <rPr>
        <b/>
        <vertAlign val="superscript"/>
        <sz val="11"/>
        <color theme="0"/>
        <rFont val="Aptos Narrow"/>
        <family val="2"/>
        <scheme val="minor"/>
      </rPr>
      <t>3</t>
    </r>
    <r>
      <rPr>
        <b/>
        <sz val="11"/>
        <color theme="0"/>
        <rFont val="Aptos Narrow"/>
        <family val="2"/>
        <scheme val="minor"/>
      </rPr>
      <t>/s]</t>
    </r>
  </si>
  <si>
    <r>
      <t>Q</t>
    </r>
    <r>
      <rPr>
        <b/>
        <vertAlign val="subscript"/>
        <sz val="11"/>
        <color theme="0"/>
        <rFont val="Aptos Narrow"/>
        <family val="2"/>
        <scheme val="minor"/>
      </rPr>
      <t>min</t>
    </r>
    <r>
      <rPr>
        <b/>
        <sz val="11"/>
        <color theme="0"/>
        <rFont val="Aptos Narrow"/>
        <family val="2"/>
        <scheme val="minor"/>
      </rPr>
      <t xml:space="preserve"> [in</t>
    </r>
    <r>
      <rPr>
        <b/>
        <vertAlign val="superscript"/>
        <sz val="11"/>
        <color theme="0"/>
        <rFont val="Aptos Narrow"/>
        <family val="2"/>
        <scheme val="minor"/>
      </rPr>
      <t>3</t>
    </r>
    <r>
      <rPr>
        <b/>
        <sz val="11"/>
        <color theme="0"/>
        <rFont val="Aptos Narrow"/>
        <family val="2"/>
        <scheme val="minor"/>
      </rPr>
      <t>/s]</t>
    </r>
  </si>
  <si>
    <t>(minimum required oil delivery)</t>
  </si>
  <si>
    <t>Amokon ISO-VG 32</t>
  </si>
  <si>
    <t>Amokon ISO-VG 46</t>
  </si>
  <si>
    <t>Amokon ISO-VG 68</t>
  </si>
  <si>
    <t>µ [Reyns]</t>
  </si>
  <si>
    <t>µ [cP]</t>
  </si>
  <si>
    <t>ν [cSt]</t>
  </si>
  <si>
    <r>
      <t>ρ [lbm/in</t>
    </r>
    <r>
      <rPr>
        <vertAlign val="superscript"/>
        <sz val="9"/>
        <color theme="1"/>
        <rFont val="Aptos Narrow"/>
        <family val="2"/>
      </rPr>
      <t>3</t>
    </r>
    <r>
      <rPr>
        <sz val="9"/>
        <color theme="1"/>
        <rFont val="Aptos Narrow"/>
        <family val="2"/>
      </rPr>
      <t>]</t>
    </r>
  </si>
  <si>
    <r>
      <t>ρ [g/cm</t>
    </r>
    <r>
      <rPr>
        <vertAlign val="superscript"/>
        <sz val="9"/>
        <color theme="1"/>
        <rFont val="Aptos Narrow"/>
        <family val="2"/>
      </rPr>
      <t>3</t>
    </r>
    <r>
      <rPr>
        <sz val="9"/>
        <color theme="1"/>
        <rFont val="Aptos Narrow"/>
        <family val="2"/>
      </rPr>
      <t>]</t>
    </r>
  </si>
  <si>
    <t>c [BTU/Lb/°F]</t>
  </si>
  <si>
    <t>Mod.500-0</t>
  </si>
  <si>
    <t xml:space="preserve">Oil ring calculator
(linked to SOP-528)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</si>
</sst>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0.000"/>
    <numFmt numFmtId="166" formatCode="0.0"/>
    <numFmt numFmtId="167" formatCode="General_)"/>
    <numFmt numFmtId="168" formatCode="&quot;$&quot;#,##0.00;[Red]\-&quot;$&quot;#,##0.00"/>
  </numFmts>
  <fonts count="3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</font>
    <font>
      <i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9"/>
      <color theme="1"/>
      <name val="Aptos Narrow"/>
      <family val="2"/>
      <scheme val="minor"/>
    </font>
    <font>
      <sz val="9"/>
      <color theme="1"/>
      <name val="Aptos Narrow"/>
      <family val="2"/>
    </font>
    <font>
      <vertAlign val="superscript"/>
      <sz val="9"/>
      <color theme="1"/>
      <name val="Aptos Narrow"/>
      <family val="2"/>
    </font>
    <font>
      <sz val="11"/>
      <color theme="1"/>
      <name val="Aptos Narrow"/>
      <family val="2"/>
      <scheme val="minor"/>
    </font>
    <font>
      <vertAlign val="superscript"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u/>
      <sz val="11"/>
      <color rgb="FF000000"/>
      <name val="Aptos Narrow"/>
      <family val="2"/>
      <scheme val="minor"/>
    </font>
    <font>
      <sz val="11"/>
      <color rgb="FF808080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vertAlign val="subscript"/>
      <sz val="11"/>
      <color theme="0"/>
      <name val="Aptos Narrow"/>
      <family val="2"/>
      <scheme val="minor"/>
    </font>
    <font>
      <b/>
      <vertAlign val="superscript"/>
      <sz val="11"/>
      <color theme="0"/>
      <name val="Aptos Narrow"/>
      <family val="2"/>
      <scheme val="minor"/>
    </font>
    <font>
      <b/>
      <sz val="11"/>
      <color theme="0"/>
      <name val="Aptos Narrow"/>
      <family val="2"/>
    </font>
    <font>
      <b/>
      <sz val="11"/>
      <color theme="0"/>
      <name val="Calibri"/>
      <family val="2"/>
    </font>
    <font>
      <i/>
      <sz val="1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vertAlign val="subscript"/>
      <sz val="11"/>
      <color theme="1"/>
      <name val="Aptos Narrow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6"/>
      <name val="Arial"/>
      <family val="2"/>
    </font>
    <font>
      <b/>
      <sz val="26"/>
      <name val="Arial"/>
      <family val="2"/>
    </font>
    <font>
      <sz val="8"/>
      <name val="Arial"/>
      <family val="2"/>
    </font>
    <font>
      <i/>
      <sz val="1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808080"/>
        <bgColor rgb="FF000000"/>
      </patternFill>
    </fill>
    <fill>
      <patternFill patternType="solid">
        <fgColor theme="0" tint="-0.49998474074526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9" fontId="7" fillId="0" borderId="0" applyFont="0" applyFill="0" applyBorder="0" applyAlignment="0" applyProtection="0"/>
    <xf numFmtId="0" fontId="22" fillId="0" borderId="0"/>
    <xf numFmtId="167" fontId="23" fillId="0" borderId="0"/>
    <xf numFmtId="168" fontId="29" fillId="0" borderId="0" applyFont="0" applyFill="0" applyBorder="0" applyAlignment="0" applyProtection="0"/>
  </cellStyleXfs>
  <cellXfs count="15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1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2" fillId="0" borderId="0" xfId="0" applyFont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1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1" fontId="0" fillId="0" borderId="5" xfId="0" applyNumberFormat="1" applyBorder="1" applyAlignment="1">
      <alignment horizontal="center"/>
    </xf>
    <xf numFmtId="11" fontId="0" fillId="0" borderId="7" xfId="0" applyNumberFormat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1" xfId="0" applyFont="1" applyBorder="1" applyAlignment="1">
      <alignment horizontal="center" vertical="center"/>
    </xf>
    <xf numFmtId="9" fontId="0" fillId="0" borderId="0" xfId="0" applyNumberFormat="1" applyAlignment="1">
      <alignment horizontal="center"/>
    </xf>
    <xf numFmtId="9" fontId="0" fillId="0" borderId="0" xfId="1" applyFont="1"/>
    <xf numFmtId="0" fontId="0" fillId="5" borderId="11" xfId="0" applyFill="1" applyBorder="1"/>
    <xf numFmtId="0" fontId="0" fillId="5" borderId="12" xfId="0" applyFill="1" applyBorder="1"/>
    <xf numFmtId="0" fontId="0" fillId="5" borderId="9" xfId="0" applyFill="1" applyBorder="1"/>
    <xf numFmtId="0" fontId="0" fillId="5" borderId="10" xfId="0" applyFill="1" applyBorder="1"/>
    <xf numFmtId="0" fontId="0" fillId="2" borderId="15" xfId="0" applyFill="1" applyBorder="1" applyAlignment="1">
      <alignment horizontal="center"/>
    </xf>
    <xf numFmtId="0" fontId="0" fillId="2" borderId="16" xfId="0" applyFill="1" applyBorder="1" applyAlignment="1">
      <alignment horizontal="center"/>
    </xf>
    <xf numFmtId="0" fontId="0" fillId="0" borderId="16" xfId="0" applyBorder="1" applyAlignment="1">
      <alignment horizontal="center"/>
    </xf>
    <xf numFmtId="0" fontId="0" fillId="2" borderId="17" xfId="0" applyFill="1" applyBorder="1" applyAlignment="1">
      <alignment horizontal="center"/>
    </xf>
    <xf numFmtId="2" fontId="0" fillId="2" borderId="15" xfId="0" applyNumberForma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12" fillId="0" borderId="14" xfId="0" applyFont="1" applyBorder="1" applyAlignment="1">
      <alignment horizontal="left"/>
    </xf>
    <xf numFmtId="0" fontId="11" fillId="0" borderId="15" xfId="0" applyFont="1" applyBorder="1" applyAlignment="1">
      <alignment horizontal="left"/>
    </xf>
    <xf numFmtId="0" fontId="0" fillId="2" borderId="13" xfId="0" applyFill="1" applyBorder="1" applyAlignment="1">
      <alignment horizontal="center"/>
    </xf>
    <xf numFmtId="0" fontId="0" fillId="5" borderId="2" xfId="0" applyFill="1" applyBorder="1"/>
    <xf numFmtId="0" fontId="0" fillId="5" borderId="3" xfId="0" applyFill="1" applyBorder="1"/>
    <xf numFmtId="0" fontId="12" fillId="0" borderId="19" xfId="0" applyFont="1" applyBorder="1" applyAlignment="1">
      <alignment horizontal="left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0" fontId="2" fillId="0" borderId="15" xfId="0" applyFont="1" applyBorder="1" applyAlignment="1">
      <alignment horizontal="center"/>
    </xf>
    <xf numFmtId="0" fontId="2" fillId="0" borderId="17" xfId="0" applyFont="1" applyBorder="1" applyAlignment="1">
      <alignment horizontal="center"/>
    </xf>
    <xf numFmtId="2" fontId="2" fillId="0" borderId="15" xfId="0" applyNumberFormat="1" applyFont="1" applyBorder="1" applyAlignment="1">
      <alignment horizontal="center"/>
    </xf>
    <xf numFmtId="0" fontId="2" fillId="0" borderId="18" xfId="0" applyFont="1" applyBorder="1" applyAlignment="1">
      <alignment horizontal="center"/>
    </xf>
    <xf numFmtId="2" fontId="2" fillId="0" borderId="16" xfId="0" applyNumberFormat="1" applyFont="1" applyBorder="1" applyAlignment="1">
      <alignment horizontal="center"/>
    </xf>
    <xf numFmtId="2" fontId="2" fillId="0" borderId="17" xfId="0" applyNumberFormat="1" applyFont="1" applyBorder="1" applyAlignment="1">
      <alignment horizontal="center"/>
    </xf>
    <xf numFmtId="165" fontId="2" fillId="0" borderId="16" xfId="0" applyNumberFormat="1" applyFont="1" applyBorder="1" applyAlignment="1">
      <alignment horizontal="center"/>
    </xf>
    <xf numFmtId="10" fontId="2" fillId="0" borderId="16" xfId="1" applyNumberFormat="1" applyFont="1" applyBorder="1" applyAlignment="1">
      <alignment horizontal="center"/>
    </xf>
    <xf numFmtId="164" fontId="2" fillId="0" borderId="16" xfId="1" applyNumberFormat="1" applyFont="1" applyBorder="1" applyAlignment="1">
      <alignment horizontal="center"/>
    </xf>
    <xf numFmtId="166" fontId="2" fillId="0" borderId="16" xfId="0" applyNumberFormat="1" applyFont="1" applyBorder="1" applyAlignment="1">
      <alignment horizontal="center"/>
    </xf>
    <xf numFmtId="165" fontId="2" fillId="0" borderId="17" xfId="0" applyNumberFormat="1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2" fontId="2" fillId="0" borderId="12" xfId="0" applyNumberFormat="1" applyFont="1" applyBorder="1" applyAlignment="1">
      <alignment horizontal="center"/>
    </xf>
    <xf numFmtId="0" fontId="3" fillId="3" borderId="15" xfId="0" applyFont="1" applyFill="1" applyBorder="1" applyAlignment="1">
      <alignment horizontal="center"/>
    </xf>
    <xf numFmtId="0" fontId="3" fillId="7" borderId="16" xfId="0" applyFont="1" applyFill="1" applyBorder="1" applyAlignment="1">
      <alignment horizontal="center" vertical="center"/>
    </xf>
    <xf numFmtId="0" fontId="3" fillId="3" borderId="16" xfId="0" applyFont="1" applyFill="1" applyBorder="1" applyAlignment="1">
      <alignment horizontal="center"/>
    </xf>
    <xf numFmtId="0" fontId="3" fillId="3" borderId="17" xfId="0" applyFont="1" applyFill="1" applyBorder="1" applyAlignment="1">
      <alignment horizontal="center"/>
    </xf>
    <xf numFmtId="0" fontId="3" fillId="3" borderId="18" xfId="0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12" fillId="0" borderId="20" xfId="0" applyFont="1" applyBorder="1" applyAlignment="1">
      <alignment horizontal="left"/>
    </xf>
    <xf numFmtId="2" fontId="2" fillId="0" borderId="0" xfId="0" applyNumberFormat="1" applyFont="1" applyAlignment="1">
      <alignment horizontal="center"/>
    </xf>
    <xf numFmtId="2" fontId="20" fillId="0" borderId="0" xfId="0" applyNumberFormat="1" applyFont="1" applyAlignment="1">
      <alignment horizontal="center"/>
    </xf>
    <xf numFmtId="10" fontId="0" fillId="0" borderId="0" xfId="1" applyNumberFormat="1" applyFont="1"/>
    <xf numFmtId="0" fontId="12" fillId="0" borderId="11" xfId="0" applyFont="1" applyBorder="1" applyAlignment="1">
      <alignment horizontal="left"/>
    </xf>
    <xf numFmtId="0" fontId="19" fillId="5" borderId="12" xfId="0" applyFont="1" applyFill="1" applyBorder="1" applyAlignment="1">
      <alignment horizontal="center"/>
    </xf>
    <xf numFmtId="0" fontId="0" fillId="9" borderId="1" xfId="0" applyFill="1" applyBorder="1"/>
    <xf numFmtId="0" fontId="0" fillId="9" borderId="3" xfId="0" applyFill="1" applyBorder="1"/>
    <xf numFmtId="0" fontId="0" fillId="9" borderId="2" xfId="0" applyFill="1" applyBorder="1"/>
    <xf numFmtId="0" fontId="0" fillId="9" borderId="7" xfId="0" applyFill="1" applyBorder="1"/>
    <xf numFmtId="0" fontId="0" fillId="9" borderId="8" xfId="0" applyFill="1" applyBorder="1"/>
    <xf numFmtId="0" fontId="0" fillId="9" borderId="0" xfId="0" applyFill="1"/>
    <xf numFmtId="0" fontId="0" fillId="9" borderId="4" xfId="0" applyFill="1" applyBorder="1"/>
    <xf numFmtId="0" fontId="0" fillId="9" borderId="6" xfId="0" applyFill="1" applyBorder="1"/>
    <xf numFmtId="0" fontId="0" fillId="9" borderId="5" xfId="0" applyFill="1" applyBorder="1"/>
    <xf numFmtId="0" fontId="22" fillId="0" borderId="24" xfId="2" applyBorder="1" applyAlignment="1">
      <alignment horizontal="center" vertical="center"/>
    </xf>
    <xf numFmtId="0" fontId="22" fillId="0" borderId="25" xfId="2" applyBorder="1" applyAlignment="1">
      <alignment horizontal="center" vertical="center"/>
    </xf>
    <xf numFmtId="0" fontId="22" fillId="0" borderId="26" xfId="2" applyBorder="1" applyAlignment="1">
      <alignment horizontal="center" vertical="center"/>
    </xf>
    <xf numFmtId="167" fontId="23" fillId="0" borderId="0" xfId="3"/>
    <xf numFmtId="0" fontId="22" fillId="0" borderId="27" xfId="2" applyBorder="1" applyAlignment="1">
      <alignment horizontal="center" vertical="center"/>
    </xf>
    <xf numFmtId="0" fontId="22" fillId="0" borderId="0" xfId="2" applyAlignment="1">
      <alignment horizontal="center" vertical="center"/>
    </xf>
    <xf numFmtId="0" fontId="22" fillId="0" borderId="28" xfId="2" applyBorder="1" applyAlignment="1">
      <alignment horizontal="center" vertical="center"/>
    </xf>
    <xf numFmtId="0" fontId="24" fillId="0" borderId="0" xfId="2" applyFont="1" applyAlignment="1">
      <alignment horizontal="center" vertical="top"/>
    </xf>
    <xf numFmtId="0" fontId="22" fillId="0" borderId="0" xfId="2" applyAlignment="1">
      <alignment horizontal="center"/>
    </xf>
    <xf numFmtId="0" fontId="25" fillId="0" borderId="0" xfId="2" applyFont="1" applyAlignment="1">
      <alignment horizontal="center" vertical="top"/>
    </xf>
    <xf numFmtId="0" fontId="26" fillId="0" borderId="28" xfId="2" applyFont="1" applyBorder="1" applyAlignment="1">
      <alignment horizontal="center" vertical="top"/>
    </xf>
    <xf numFmtId="0" fontId="27" fillId="0" borderId="27" xfId="2" applyFont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8" fillId="0" borderId="0" xfId="2" applyFont="1" applyAlignment="1">
      <alignment horizontal="center" vertical="center"/>
    </xf>
    <xf numFmtId="0" fontId="27" fillId="0" borderId="28" xfId="2" applyFont="1" applyBorder="1" applyAlignment="1">
      <alignment horizontal="center" vertical="center"/>
    </xf>
    <xf numFmtId="0" fontId="27" fillId="0" borderId="24" xfId="2" applyFont="1" applyBorder="1" applyAlignment="1">
      <alignment horizontal="center" vertical="center" wrapText="1"/>
    </xf>
    <xf numFmtId="0" fontId="27" fillId="0" borderId="25" xfId="2" applyFont="1" applyBorder="1" applyAlignment="1">
      <alignment horizontal="center" vertical="center" wrapText="1"/>
    </xf>
    <xf numFmtId="0" fontId="27" fillId="0" borderId="26" xfId="2" applyFont="1" applyBorder="1" applyAlignment="1">
      <alignment horizontal="center" vertical="center" wrapText="1"/>
    </xf>
    <xf numFmtId="0" fontId="27" fillId="0" borderId="27" xfId="2" applyFont="1" applyBorder="1" applyAlignment="1">
      <alignment horizontal="center" vertical="center" wrapText="1"/>
    </xf>
    <xf numFmtId="0" fontId="27" fillId="0" borderId="0" xfId="2" applyFont="1" applyAlignment="1">
      <alignment horizontal="center" vertical="center" wrapText="1"/>
    </xf>
    <xf numFmtId="0" fontId="27" fillId="0" borderId="28" xfId="2" applyFont="1" applyBorder="1" applyAlignment="1">
      <alignment horizontal="center" vertical="center" wrapText="1"/>
    </xf>
    <xf numFmtId="0" fontId="27" fillId="0" borderId="29" xfId="2" applyFont="1" applyBorder="1" applyAlignment="1">
      <alignment horizontal="center" vertical="center" wrapText="1"/>
    </xf>
    <xf numFmtId="0" fontId="27" fillId="0" borderId="30" xfId="2" applyFont="1" applyBorder="1" applyAlignment="1">
      <alignment horizontal="center" vertical="center" wrapText="1"/>
    </xf>
    <xf numFmtId="0" fontId="27" fillId="0" borderId="31" xfId="2" applyFont="1" applyBorder="1" applyAlignment="1">
      <alignment horizontal="center" vertical="center" wrapText="1"/>
    </xf>
    <xf numFmtId="0" fontId="22" fillId="0" borderId="32" xfId="2" applyBorder="1" applyAlignment="1">
      <alignment horizontal="center" vertical="center"/>
    </xf>
    <xf numFmtId="0" fontId="22" fillId="0" borderId="33" xfId="2" applyBorder="1" applyAlignment="1">
      <alignment horizontal="center" vertical="center"/>
    </xf>
    <xf numFmtId="0" fontId="22" fillId="0" borderId="34" xfId="2" applyBorder="1" applyAlignment="1">
      <alignment horizontal="center" vertical="center"/>
    </xf>
    <xf numFmtId="0" fontId="22" fillId="0" borderId="35" xfId="2" applyBorder="1" applyAlignment="1">
      <alignment horizontal="center" vertical="center"/>
    </xf>
    <xf numFmtId="0" fontId="22" fillId="0" borderId="36" xfId="2" applyBorder="1" applyAlignment="1">
      <alignment horizontal="center" vertical="center"/>
    </xf>
    <xf numFmtId="0" fontId="22" fillId="0" borderId="9" xfId="2" applyBorder="1" applyAlignment="1">
      <alignment horizontal="center" vertical="center"/>
    </xf>
    <xf numFmtId="0" fontId="22" fillId="0" borderId="10" xfId="2" applyBorder="1" applyAlignment="1">
      <alignment horizontal="center" vertical="center"/>
    </xf>
    <xf numFmtId="0" fontId="22" fillId="0" borderId="38" xfId="2" applyBorder="1" applyAlignment="1">
      <alignment horizontal="center" vertical="center"/>
    </xf>
    <xf numFmtId="0" fontId="22" fillId="0" borderId="37" xfId="2" applyBorder="1" applyAlignment="1">
      <alignment horizontal="center" vertical="center"/>
    </xf>
    <xf numFmtId="0" fontId="22" fillId="0" borderId="11" xfId="2" applyBorder="1" applyAlignment="1">
      <alignment horizontal="center" vertical="center"/>
    </xf>
    <xf numFmtId="0" fontId="29" fillId="0" borderId="9" xfId="2" applyFont="1" applyBorder="1" applyAlignment="1">
      <alignment horizontal="center" vertical="center" wrapText="1"/>
    </xf>
    <xf numFmtId="0" fontId="29" fillId="0" borderId="10" xfId="2" applyFont="1" applyBorder="1" applyAlignment="1">
      <alignment horizontal="center" vertical="center" wrapText="1"/>
    </xf>
    <xf numFmtId="0" fontId="29" fillId="0" borderId="38" xfId="2" applyFont="1" applyBorder="1" applyAlignment="1">
      <alignment horizontal="center" vertical="center" wrapText="1"/>
    </xf>
    <xf numFmtId="0" fontId="29" fillId="0" borderId="37" xfId="2" applyFont="1" applyBorder="1" applyAlignment="1">
      <alignment horizontal="center" vertical="center"/>
    </xf>
    <xf numFmtId="0" fontId="29" fillId="0" borderId="11" xfId="2" applyFont="1" applyBorder="1" applyAlignment="1">
      <alignment horizontal="center" vertical="center"/>
    </xf>
    <xf numFmtId="14" fontId="29" fillId="0" borderId="9" xfId="2" applyNumberFormat="1" applyFont="1" applyBorder="1" applyAlignment="1">
      <alignment horizontal="center" vertical="center"/>
    </xf>
    <xf numFmtId="14" fontId="29" fillId="0" borderId="10" xfId="2" applyNumberFormat="1" applyFont="1" applyBorder="1" applyAlignment="1">
      <alignment horizontal="center" vertical="center"/>
    </xf>
    <xf numFmtId="14" fontId="29" fillId="0" borderId="11" xfId="2" applyNumberFormat="1" applyFont="1" applyBorder="1" applyAlignment="1">
      <alignment horizontal="center" vertical="center"/>
    </xf>
    <xf numFmtId="0" fontId="29" fillId="0" borderId="9" xfId="2" applyFont="1" applyBorder="1" applyAlignment="1">
      <alignment horizontal="center" vertical="center"/>
    </xf>
    <xf numFmtId="0" fontId="29" fillId="0" borderId="10" xfId="2" applyFont="1" applyBorder="1" applyAlignment="1">
      <alignment horizontal="center" vertical="center"/>
    </xf>
    <xf numFmtId="0" fontId="29" fillId="0" borderId="11" xfId="2" applyFont="1" applyBorder="1" applyAlignment="1">
      <alignment horizontal="center" vertical="center" wrapText="1"/>
    </xf>
    <xf numFmtId="168" fontId="22" fillId="0" borderId="29" xfId="4" applyFont="1" applyBorder="1" applyAlignment="1">
      <alignment horizontal="right" vertical="center"/>
    </xf>
    <xf numFmtId="168" fontId="23" fillId="0" borderId="30" xfId="4" applyFont="1" applyBorder="1" applyAlignment="1">
      <alignment horizontal="right" vertical="center"/>
    </xf>
    <xf numFmtId="168" fontId="23" fillId="0" borderId="31" xfId="4" applyFont="1" applyBorder="1" applyAlignment="1">
      <alignment horizontal="right" vertical="center"/>
    </xf>
    <xf numFmtId="168" fontId="22" fillId="0" borderId="39" xfId="4" applyFont="1" applyBorder="1" applyAlignment="1">
      <alignment horizontal="center" vertical="center"/>
    </xf>
    <xf numFmtId="168" fontId="22" fillId="0" borderId="40" xfId="4" applyFont="1" applyBorder="1" applyAlignment="1">
      <alignment horizontal="center" vertical="center"/>
    </xf>
    <xf numFmtId="0" fontId="30" fillId="0" borderId="41" xfId="2" applyFont="1" applyBorder="1" applyAlignment="1">
      <alignment horizontal="center" vertical="center"/>
    </xf>
    <xf numFmtId="0" fontId="30" fillId="0" borderId="42" xfId="2" applyFont="1" applyBorder="1" applyAlignment="1">
      <alignment horizontal="center" vertical="center"/>
    </xf>
    <xf numFmtId="0" fontId="30" fillId="0" borderId="40" xfId="2" applyFont="1" applyBorder="1" applyAlignment="1">
      <alignment horizontal="center" vertical="center"/>
    </xf>
    <xf numFmtId="0" fontId="30" fillId="0" borderId="43" xfId="2" applyFont="1" applyBorder="1" applyAlignment="1">
      <alignment horizontal="center" vertical="center"/>
    </xf>
    <xf numFmtId="0" fontId="19" fillId="5" borderId="9" xfId="0" applyFont="1" applyFill="1" applyBorder="1" applyAlignment="1">
      <alignment horizontal="center"/>
    </xf>
    <xf numFmtId="0" fontId="19" fillId="5" borderId="10" xfId="0" applyFont="1" applyFill="1" applyBorder="1" applyAlignment="1">
      <alignment horizontal="center"/>
    </xf>
    <xf numFmtId="0" fontId="19" fillId="5" borderId="11" xfId="0" applyFont="1" applyFill="1" applyBorder="1" applyAlignment="1">
      <alignment horizontal="center"/>
    </xf>
    <xf numFmtId="0" fontId="0" fillId="0" borderId="21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3" fillId="6" borderId="9" xfId="0" applyFont="1" applyFill="1" applyBorder="1" applyAlignment="1">
      <alignment horizontal="center" vertical="center"/>
    </xf>
    <xf numFmtId="0" fontId="13" fillId="6" borderId="11" xfId="0" applyFont="1" applyFill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/>
    </xf>
    <xf numFmtId="0" fontId="10" fillId="4" borderId="9" xfId="0" applyFont="1" applyFill="1" applyBorder="1" applyAlignment="1">
      <alignment horizontal="center" vertical="center"/>
    </xf>
    <xf numFmtId="0" fontId="10" fillId="4" borderId="1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9" fillId="8" borderId="9" xfId="0" applyFont="1" applyFill="1" applyBorder="1" applyAlignment="1">
      <alignment horizontal="center" vertical="center"/>
    </xf>
    <xf numFmtId="0" fontId="9" fillId="8" borderId="11" xfId="0" applyFon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10" fillId="4" borderId="10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2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</cellXfs>
  <cellStyles count="5">
    <cellStyle name="Normale" xfId="0" builtinId="0"/>
    <cellStyle name="Normale 3" xfId="3" xr:uid="{362DD648-94F7-4F63-A25B-03DF3E0337C7}"/>
    <cellStyle name="Normale 4" xfId="2" xr:uid="{1EBBF3D8-53F1-4DAD-B368-AA8AA217F4DF}"/>
    <cellStyle name="Percentuale" xfId="1" builtinId="5"/>
    <cellStyle name="Valuta 2" xfId="4" xr:uid="{CF4B48AE-C066-4EA8-B4B8-C9E64378F1DD}"/>
  </cellStyles>
  <dxfs count="2"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57759186351708"/>
          <c:y val="3.5049390286125456E-2"/>
          <c:w val="0.83992240813648289"/>
          <c:h val="0.82761018855919655"/>
        </c:manualLayout>
      </c:layout>
      <c:scatterChart>
        <c:scatterStyle val="lineMarker"/>
        <c:varyColors val="0"/>
        <c:ser>
          <c:idx val="0"/>
          <c:order val="0"/>
          <c:tx>
            <c:v>Q</c:v>
          </c:tx>
          <c:spPr>
            <a:ln w="9525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'oil ring calculator'!$AA$3:$AA$203</c:f>
              <c:numCache>
                <c:formatCode>0.00</c:formatCode>
                <c:ptCount val="201"/>
                <c:pt idx="0">
                  <c:v>1</c:v>
                </c:pt>
                <c:pt idx="1">
                  <c:v>7.4334720637463647</c:v>
                </c:pt>
                <c:pt idx="2">
                  <c:v>13.866944127492729</c:v>
                </c:pt>
                <c:pt idx="3">
                  <c:v>20.300416191239094</c:v>
                </c:pt>
                <c:pt idx="4">
                  <c:v>26.733888254985459</c:v>
                </c:pt>
                <c:pt idx="5">
                  <c:v>33.167360318731824</c:v>
                </c:pt>
                <c:pt idx="6">
                  <c:v>39.600832382478188</c:v>
                </c:pt>
                <c:pt idx="7">
                  <c:v>46.034304446224553</c:v>
                </c:pt>
                <c:pt idx="8">
                  <c:v>52.467776509970918</c:v>
                </c:pt>
                <c:pt idx="9">
                  <c:v>58.901248573717282</c:v>
                </c:pt>
                <c:pt idx="10">
                  <c:v>65.334720637463647</c:v>
                </c:pt>
                <c:pt idx="11">
                  <c:v>71.768192701210012</c:v>
                </c:pt>
                <c:pt idx="12">
                  <c:v>78.201664764956377</c:v>
                </c:pt>
                <c:pt idx="13">
                  <c:v>84.635136828702741</c:v>
                </c:pt>
                <c:pt idx="14">
                  <c:v>91.068608892449106</c:v>
                </c:pt>
                <c:pt idx="15">
                  <c:v>97.502080956195471</c:v>
                </c:pt>
                <c:pt idx="16">
                  <c:v>103.93555301994184</c:v>
                </c:pt>
                <c:pt idx="17">
                  <c:v>110.3690250836882</c:v>
                </c:pt>
                <c:pt idx="18">
                  <c:v>116.80249714743456</c:v>
                </c:pt>
                <c:pt idx="19">
                  <c:v>123.23596921118093</c:v>
                </c:pt>
                <c:pt idx="20">
                  <c:v>129.66944127492729</c:v>
                </c:pt>
                <c:pt idx="21">
                  <c:v>136.10291333867366</c:v>
                </c:pt>
                <c:pt idx="22">
                  <c:v>142.53638540242002</c:v>
                </c:pt>
                <c:pt idx="23">
                  <c:v>148.96985746616639</c:v>
                </c:pt>
                <c:pt idx="24">
                  <c:v>155.40332952991275</c:v>
                </c:pt>
                <c:pt idx="25">
                  <c:v>161.83680159365912</c:v>
                </c:pt>
                <c:pt idx="26">
                  <c:v>168.27027365740548</c:v>
                </c:pt>
                <c:pt idx="27">
                  <c:v>174.70374572115185</c:v>
                </c:pt>
                <c:pt idx="28">
                  <c:v>181.13721778489821</c:v>
                </c:pt>
                <c:pt idx="29">
                  <c:v>187.57068984864458</c:v>
                </c:pt>
                <c:pt idx="30">
                  <c:v>194.00416191239094</c:v>
                </c:pt>
                <c:pt idx="31">
                  <c:v>200.43763397613731</c:v>
                </c:pt>
                <c:pt idx="32">
                  <c:v>206.87110603988367</c:v>
                </c:pt>
                <c:pt idx="33">
                  <c:v>213.30457810363004</c:v>
                </c:pt>
                <c:pt idx="34">
                  <c:v>219.7380501673764</c:v>
                </c:pt>
                <c:pt idx="35">
                  <c:v>226.17152223112276</c:v>
                </c:pt>
                <c:pt idx="36">
                  <c:v>232.60499429486913</c:v>
                </c:pt>
                <c:pt idx="37">
                  <c:v>239.03846635861549</c:v>
                </c:pt>
                <c:pt idx="38">
                  <c:v>245.47193842236186</c:v>
                </c:pt>
                <c:pt idx="39">
                  <c:v>251.90541048610822</c:v>
                </c:pt>
                <c:pt idx="40">
                  <c:v>258.33888254985459</c:v>
                </c:pt>
                <c:pt idx="41">
                  <c:v>264.77235461360095</c:v>
                </c:pt>
                <c:pt idx="42">
                  <c:v>271.20582667734732</c:v>
                </c:pt>
                <c:pt idx="43">
                  <c:v>277.63929874109368</c:v>
                </c:pt>
                <c:pt idx="44">
                  <c:v>284.07277080484005</c:v>
                </c:pt>
                <c:pt idx="45">
                  <c:v>290.50624286858641</c:v>
                </c:pt>
                <c:pt idx="46">
                  <c:v>296.93971493233278</c:v>
                </c:pt>
                <c:pt idx="47">
                  <c:v>303.37318699607914</c:v>
                </c:pt>
                <c:pt idx="48">
                  <c:v>309.80665905982551</c:v>
                </c:pt>
                <c:pt idx="49">
                  <c:v>316.24013112357187</c:v>
                </c:pt>
                <c:pt idx="50">
                  <c:v>321.67360318731824</c:v>
                </c:pt>
                <c:pt idx="51">
                  <c:v>333.89720010843632</c:v>
                </c:pt>
                <c:pt idx="52">
                  <c:v>346.12079702955441</c:v>
                </c:pt>
                <c:pt idx="53">
                  <c:v>358.3443939506725</c:v>
                </c:pt>
                <c:pt idx="54">
                  <c:v>370.56799087179058</c:v>
                </c:pt>
                <c:pt idx="55">
                  <c:v>382.79158779290867</c:v>
                </c:pt>
                <c:pt idx="56">
                  <c:v>395.01518471402676</c:v>
                </c:pt>
                <c:pt idx="57">
                  <c:v>407.23878163514485</c:v>
                </c:pt>
                <c:pt idx="58">
                  <c:v>419.46237855626293</c:v>
                </c:pt>
                <c:pt idx="59">
                  <c:v>431.68597547738102</c:v>
                </c:pt>
                <c:pt idx="60">
                  <c:v>443.90957239849911</c:v>
                </c:pt>
                <c:pt idx="61">
                  <c:v>456.1331693196172</c:v>
                </c:pt>
                <c:pt idx="62">
                  <c:v>468.35676624073528</c:v>
                </c:pt>
                <c:pt idx="63">
                  <c:v>480.58036316185337</c:v>
                </c:pt>
                <c:pt idx="64">
                  <c:v>492.80396008297146</c:v>
                </c:pt>
                <c:pt idx="65">
                  <c:v>505.02755700408954</c:v>
                </c:pt>
                <c:pt idx="66">
                  <c:v>517.25115392520763</c:v>
                </c:pt>
                <c:pt idx="67">
                  <c:v>529.47475084632572</c:v>
                </c:pt>
                <c:pt idx="68">
                  <c:v>541.69834776744381</c:v>
                </c:pt>
                <c:pt idx="69">
                  <c:v>553.92194468856189</c:v>
                </c:pt>
                <c:pt idx="70">
                  <c:v>566.14554160967998</c:v>
                </c:pt>
                <c:pt idx="71">
                  <c:v>578.36913853079807</c:v>
                </c:pt>
                <c:pt idx="72">
                  <c:v>590.59273545191616</c:v>
                </c:pt>
                <c:pt idx="73">
                  <c:v>602.81633237303424</c:v>
                </c:pt>
                <c:pt idx="74">
                  <c:v>615.03992929415233</c:v>
                </c:pt>
                <c:pt idx="75">
                  <c:v>627.26352621527042</c:v>
                </c:pt>
                <c:pt idx="76">
                  <c:v>639.4871231363885</c:v>
                </c:pt>
                <c:pt idx="77">
                  <c:v>651.71072005750659</c:v>
                </c:pt>
                <c:pt idx="78">
                  <c:v>663.93431697862468</c:v>
                </c:pt>
                <c:pt idx="79">
                  <c:v>676.15791389974277</c:v>
                </c:pt>
                <c:pt idx="80">
                  <c:v>688.38151082086085</c:v>
                </c:pt>
                <c:pt idx="81">
                  <c:v>700.60510774197894</c:v>
                </c:pt>
                <c:pt idx="82">
                  <c:v>712.82870466309703</c:v>
                </c:pt>
                <c:pt idx="83">
                  <c:v>725.05230158421512</c:v>
                </c:pt>
                <c:pt idx="84">
                  <c:v>737.2758985053332</c:v>
                </c:pt>
                <c:pt idx="85">
                  <c:v>749.49949542645129</c:v>
                </c:pt>
                <c:pt idx="86">
                  <c:v>761.72309234756938</c:v>
                </c:pt>
                <c:pt idx="87">
                  <c:v>773.94668926868746</c:v>
                </c:pt>
                <c:pt idx="88">
                  <c:v>786.17028618980555</c:v>
                </c:pt>
                <c:pt idx="89">
                  <c:v>798.39388311092364</c:v>
                </c:pt>
                <c:pt idx="90">
                  <c:v>810.61748003204173</c:v>
                </c:pt>
                <c:pt idx="91">
                  <c:v>822.84107695315981</c:v>
                </c:pt>
                <c:pt idx="92">
                  <c:v>835.0646738742779</c:v>
                </c:pt>
                <c:pt idx="93">
                  <c:v>847.28827079539599</c:v>
                </c:pt>
                <c:pt idx="94">
                  <c:v>859.51186771651408</c:v>
                </c:pt>
                <c:pt idx="95">
                  <c:v>871.73546463763216</c:v>
                </c:pt>
                <c:pt idx="96">
                  <c:v>883.95906155875025</c:v>
                </c:pt>
                <c:pt idx="97">
                  <c:v>896.18265847986834</c:v>
                </c:pt>
                <c:pt idx="98">
                  <c:v>908.40625540098642</c:v>
                </c:pt>
                <c:pt idx="99">
                  <c:v>920.62985232210451</c:v>
                </c:pt>
                <c:pt idx="100">
                  <c:v>932.85344924322283</c:v>
                </c:pt>
                <c:pt idx="101">
                  <c:v>983.52491475079057</c:v>
                </c:pt>
                <c:pt idx="102">
                  <c:v>1034.1963802583584</c:v>
                </c:pt>
                <c:pt idx="103">
                  <c:v>1084.8678457659262</c:v>
                </c:pt>
                <c:pt idx="104">
                  <c:v>1135.5393112734939</c:v>
                </c:pt>
                <c:pt idx="105">
                  <c:v>1186.2107767810617</c:v>
                </c:pt>
                <c:pt idx="106">
                  <c:v>1236.8822422886294</c:v>
                </c:pt>
                <c:pt idx="107">
                  <c:v>1287.5537077961972</c:v>
                </c:pt>
                <c:pt idx="108">
                  <c:v>1338.2251733037649</c:v>
                </c:pt>
                <c:pt idx="109">
                  <c:v>1388.8966388113327</c:v>
                </c:pt>
                <c:pt idx="110">
                  <c:v>1439.5681043189004</c:v>
                </c:pt>
                <c:pt idx="111">
                  <c:v>1490.2395698264681</c:v>
                </c:pt>
                <c:pt idx="112">
                  <c:v>1540.9110353340359</c:v>
                </c:pt>
                <c:pt idx="113">
                  <c:v>1591.5825008416036</c:v>
                </c:pt>
                <c:pt idx="114">
                  <c:v>1642.2539663491714</c:v>
                </c:pt>
                <c:pt idx="115">
                  <c:v>1692.9254318567391</c:v>
                </c:pt>
                <c:pt idx="116">
                  <c:v>1743.5968973643069</c:v>
                </c:pt>
                <c:pt idx="117">
                  <c:v>1794.2683628718746</c:v>
                </c:pt>
                <c:pt idx="118">
                  <c:v>1844.9398283794424</c:v>
                </c:pt>
                <c:pt idx="119">
                  <c:v>1895.6112938870101</c:v>
                </c:pt>
                <c:pt idx="120">
                  <c:v>1946.2827593945779</c:v>
                </c:pt>
                <c:pt idx="121">
                  <c:v>1996.9542249021456</c:v>
                </c:pt>
                <c:pt idx="122">
                  <c:v>2047.6256904097133</c:v>
                </c:pt>
                <c:pt idx="123">
                  <c:v>2098.2971559172811</c:v>
                </c:pt>
                <c:pt idx="124">
                  <c:v>2148.9686214248491</c:v>
                </c:pt>
                <c:pt idx="125">
                  <c:v>2199.640086932417</c:v>
                </c:pt>
                <c:pt idx="126">
                  <c:v>2250.311552439985</c:v>
                </c:pt>
                <c:pt idx="127">
                  <c:v>2300.983017947553</c:v>
                </c:pt>
                <c:pt idx="128">
                  <c:v>2351.654483455121</c:v>
                </c:pt>
                <c:pt idx="129">
                  <c:v>2402.3259489626889</c:v>
                </c:pt>
                <c:pt idx="130">
                  <c:v>2452.9974144702569</c:v>
                </c:pt>
                <c:pt idx="131">
                  <c:v>2503.6688799778249</c:v>
                </c:pt>
                <c:pt idx="132">
                  <c:v>2554.3403454853928</c:v>
                </c:pt>
                <c:pt idx="133">
                  <c:v>2605.0118109929608</c:v>
                </c:pt>
                <c:pt idx="134">
                  <c:v>2655.6832765005288</c:v>
                </c:pt>
                <c:pt idx="135">
                  <c:v>2706.3547420080968</c:v>
                </c:pt>
                <c:pt idx="136">
                  <c:v>2757.0262075156647</c:v>
                </c:pt>
                <c:pt idx="137">
                  <c:v>2807.6976730232327</c:v>
                </c:pt>
                <c:pt idx="138">
                  <c:v>2858.3691385308007</c:v>
                </c:pt>
                <c:pt idx="139">
                  <c:v>2909.0406040383687</c:v>
                </c:pt>
                <c:pt idx="140">
                  <c:v>2959.7120695459366</c:v>
                </c:pt>
                <c:pt idx="141">
                  <c:v>3010.3835350535046</c:v>
                </c:pt>
                <c:pt idx="142">
                  <c:v>3061.0550005610726</c:v>
                </c:pt>
                <c:pt idx="143">
                  <c:v>3111.7264660686405</c:v>
                </c:pt>
                <c:pt idx="144">
                  <c:v>3162.3979315762085</c:v>
                </c:pt>
                <c:pt idx="145">
                  <c:v>3213.0693970837765</c:v>
                </c:pt>
                <c:pt idx="146">
                  <c:v>3263.7408625913445</c:v>
                </c:pt>
                <c:pt idx="147">
                  <c:v>3314.4123280989124</c:v>
                </c:pt>
                <c:pt idx="148">
                  <c:v>3365.0837936064804</c:v>
                </c:pt>
                <c:pt idx="149">
                  <c:v>3415.7552591140484</c:v>
                </c:pt>
                <c:pt idx="150">
                  <c:v>3466.4267246216164</c:v>
                </c:pt>
                <c:pt idx="151">
                  <c:v>3517.0981901291843</c:v>
                </c:pt>
                <c:pt idx="152">
                  <c:v>3567.7696556367523</c:v>
                </c:pt>
                <c:pt idx="153">
                  <c:v>3618.4411211443203</c:v>
                </c:pt>
                <c:pt idx="154">
                  <c:v>3669.1125866518883</c:v>
                </c:pt>
                <c:pt idx="155">
                  <c:v>3719.7840521594562</c:v>
                </c:pt>
                <c:pt idx="156">
                  <c:v>3770.4555176670242</c:v>
                </c:pt>
                <c:pt idx="157">
                  <c:v>3821.1269831745922</c:v>
                </c:pt>
                <c:pt idx="158">
                  <c:v>3871.7984486821601</c:v>
                </c:pt>
                <c:pt idx="159">
                  <c:v>3922.4699141897281</c:v>
                </c:pt>
                <c:pt idx="160">
                  <c:v>3973.1413796972961</c:v>
                </c:pt>
                <c:pt idx="161">
                  <c:v>4023.8128452048641</c:v>
                </c:pt>
                <c:pt idx="162">
                  <c:v>4074.484310712432</c:v>
                </c:pt>
                <c:pt idx="163">
                  <c:v>4125.15577622</c:v>
                </c:pt>
                <c:pt idx="164">
                  <c:v>4175.8272417275675</c:v>
                </c:pt>
                <c:pt idx="165">
                  <c:v>4226.498707235135</c:v>
                </c:pt>
                <c:pt idx="166">
                  <c:v>4277.1701727427026</c:v>
                </c:pt>
                <c:pt idx="167">
                  <c:v>4327.8416382502701</c:v>
                </c:pt>
                <c:pt idx="168">
                  <c:v>4378.5131037578376</c:v>
                </c:pt>
                <c:pt idx="169">
                  <c:v>4429.1845692654051</c:v>
                </c:pt>
                <c:pt idx="170">
                  <c:v>4479.8560347729726</c:v>
                </c:pt>
                <c:pt idx="171">
                  <c:v>4530.5275002805402</c:v>
                </c:pt>
                <c:pt idx="172">
                  <c:v>4581.1989657881077</c:v>
                </c:pt>
                <c:pt idx="173">
                  <c:v>4631.8704312956752</c:v>
                </c:pt>
                <c:pt idx="174">
                  <c:v>4682.5418968032427</c:v>
                </c:pt>
                <c:pt idx="175">
                  <c:v>4733.2133623108102</c:v>
                </c:pt>
                <c:pt idx="176">
                  <c:v>4783.8848278183777</c:v>
                </c:pt>
                <c:pt idx="177">
                  <c:v>4834.5562933259453</c:v>
                </c:pt>
                <c:pt idx="178">
                  <c:v>4885.2277588335128</c:v>
                </c:pt>
                <c:pt idx="179">
                  <c:v>4935.8992243410803</c:v>
                </c:pt>
                <c:pt idx="180">
                  <c:v>4986.5706898486478</c:v>
                </c:pt>
                <c:pt idx="181">
                  <c:v>5037.2421553562153</c:v>
                </c:pt>
                <c:pt idx="182">
                  <c:v>5087.9136208637829</c:v>
                </c:pt>
                <c:pt idx="183">
                  <c:v>5138.5850863713504</c:v>
                </c:pt>
                <c:pt idx="184">
                  <c:v>5189.2565518789179</c:v>
                </c:pt>
                <c:pt idx="185">
                  <c:v>5239.9280173864854</c:v>
                </c:pt>
                <c:pt idx="186">
                  <c:v>5290.5994828940529</c:v>
                </c:pt>
                <c:pt idx="187">
                  <c:v>5341.2709484016204</c:v>
                </c:pt>
                <c:pt idx="188">
                  <c:v>5391.942413909188</c:v>
                </c:pt>
                <c:pt idx="189">
                  <c:v>5442.6138794167555</c:v>
                </c:pt>
                <c:pt idx="190">
                  <c:v>5493.285344924323</c:v>
                </c:pt>
                <c:pt idx="191">
                  <c:v>5543.9568104318905</c:v>
                </c:pt>
                <c:pt idx="192">
                  <c:v>5594.628275939458</c:v>
                </c:pt>
                <c:pt idx="193">
                  <c:v>5645.2997414470256</c:v>
                </c:pt>
                <c:pt idx="194">
                  <c:v>5695.9712069545931</c:v>
                </c:pt>
                <c:pt idx="195">
                  <c:v>5746.6426724621606</c:v>
                </c:pt>
                <c:pt idx="196">
                  <c:v>5797.3141379697281</c:v>
                </c:pt>
                <c:pt idx="197">
                  <c:v>5847.9856034772956</c:v>
                </c:pt>
                <c:pt idx="198">
                  <c:v>5898.6570689848631</c:v>
                </c:pt>
                <c:pt idx="199">
                  <c:v>5949.3285344924307</c:v>
                </c:pt>
                <c:pt idx="200">
                  <c:v>5999.9999999999982</c:v>
                </c:pt>
              </c:numCache>
            </c:numRef>
          </c:xVal>
          <c:yVal>
            <c:numRef>
              <c:f>'oil ring calculator'!$AG$3:$AG$203</c:f>
              <c:numCache>
                <c:formatCode>0.00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37-4487-822A-0EC79553954A}"/>
            </c:ext>
          </c:extLst>
        </c:ser>
        <c:ser>
          <c:idx val="1"/>
          <c:order val="1"/>
          <c:tx>
            <c:v>op</c:v>
          </c:tx>
          <c:spPr>
            <a:ln>
              <a:noFill/>
            </a:ln>
          </c:spPr>
          <c:marker>
            <c:symbol val="x"/>
            <c:size val="7"/>
            <c:spPr>
              <a:noFill/>
              <a:ln w="19050">
                <a:solidFill>
                  <a:schemeClr val="tx1"/>
                </a:solidFill>
              </a:ln>
            </c:spPr>
          </c:marker>
          <c:xVal>
            <c:numRef>
              <c:f>'oil ring calculator'!$C$8</c:f>
              <c:numCache>
                <c:formatCode>0.00</c:formatCode>
                <c:ptCount val="1"/>
                <c:pt idx="0">
                  <c:v>1785</c:v>
                </c:pt>
              </c:numCache>
            </c:numRef>
          </c:xVal>
          <c:yVal>
            <c:numRef>
              <c:f>'oil ring calculator'!$C$21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F6D-40B5-8D7A-BF908CB9D90A}"/>
            </c:ext>
          </c:extLst>
        </c:ser>
        <c:ser>
          <c:idx val="2"/>
          <c:order val="2"/>
          <c:tx>
            <c:v>trans</c:v>
          </c:tx>
          <c:spPr>
            <a:ln w="9525">
              <a:solidFill>
                <a:srgbClr val="FF0000"/>
              </a:solidFill>
              <a:prstDash val="dash"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'oil ring calculator'!$I$3:$I$4</c:f>
              <c:numCache>
                <c:formatCode>0.00</c:formatCode>
                <c:ptCount val="2"/>
                <c:pt idx="0">
                  <c:v>321.67360318731824</c:v>
                </c:pt>
                <c:pt idx="1">
                  <c:v>932.85344924322283</c:v>
                </c:pt>
              </c:numCache>
            </c:numRef>
          </c:xVal>
          <c:yVal>
            <c:numRef>
              <c:f>'oil ring calculator'!$J$3:$J$4</c:f>
              <c:numCache>
                <c:formatCode>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AA-40C7-8B77-7B0C415FD8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1474111"/>
        <c:axId val="711473151"/>
      </c:scatterChart>
      <c:valAx>
        <c:axId val="711474111"/>
        <c:scaling>
          <c:orientation val="minMax"/>
          <c:max val="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b="1"/>
                  <a:t>n [rpm]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11473151"/>
        <c:crosses val="autoZero"/>
        <c:crossBetween val="midCat"/>
      </c:valAx>
      <c:valAx>
        <c:axId val="711473151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b="1"/>
                  <a:t>Q [mm</a:t>
                </a:r>
                <a:r>
                  <a:rPr lang="it-IT" b="1" baseline="30000"/>
                  <a:t>3</a:t>
                </a:r>
                <a:r>
                  <a:rPr lang="it-IT" b="1" baseline="0"/>
                  <a:t>/s</a:t>
                </a:r>
                <a:r>
                  <a:rPr lang="it-IT" b="1"/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E+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11474111"/>
        <c:crosses val="autoZero"/>
        <c:crossBetween val="midCat"/>
      </c:valAx>
      <c:spPr>
        <a:solidFill>
          <a:schemeClr val="tx2">
            <a:lumMod val="25000"/>
            <a:lumOff val="75000"/>
            <a:alpha val="20000"/>
          </a:schemeClr>
        </a:solidFill>
        <a:ln>
          <a:solidFill>
            <a:schemeClr val="bg1">
              <a:lumMod val="50000"/>
            </a:schemeClr>
          </a:solidFill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349196194225721"/>
          <c:y val="3.5470789030817185E-2"/>
          <c:w val="0.84500803805774283"/>
          <c:h val="0.82553754622374476"/>
        </c:manualLayout>
      </c:layout>
      <c:scatterChart>
        <c:scatterStyle val="lineMarker"/>
        <c:varyColors val="0"/>
        <c:ser>
          <c:idx val="0"/>
          <c:order val="0"/>
          <c:tx>
            <c:v>N</c:v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'oil ring calculator'!$AA$3:$AA$203</c:f>
              <c:numCache>
                <c:formatCode>0.00</c:formatCode>
                <c:ptCount val="201"/>
                <c:pt idx="0">
                  <c:v>1</c:v>
                </c:pt>
                <c:pt idx="1">
                  <c:v>7.4334720637463647</c:v>
                </c:pt>
                <c:pt idx="2">
                  <c:v>13.866944127492729</c:v>
                </c:pt>
                <c:pt idx="3">
                  <c:v>20.300416191239094</c:v>
                </c:pt>
                <c:pt idx="4">
                  <c:v>26.733888254985459</c:v>
                </c:pt>
                <c:pt idx="5">
                  <c:v>33.167360318731824</c:v>
                </c:pt>
                <c:pt idx="6">
                  <c:v>39.600832382478188</c:v>
                </c:pt>
                <c:pt idx="7">
                  <c:v>46.034304446224553</c:v>
                </c:pt>
                <c:pt idx="8">
                  <c:v>52.467776509970918</c:v>
                </c:pt>
                <c:pt idx="9">
                  <c:v>58.901248573717282</c:v>
                </c:pt>
                <c:pt idx="10">
                  <c:v>65.334720637463647</c:v>
                </c:pt>
                <c:pt idx="11">
                  <c:v>71.768192701210012</c:v>
                </c:pt>
                <c:pt idx="12">
                  <c:v>78.201664764956377</c:v>
                </c:pt>
                <c:pt idx="13">
                  <c:v>84.635136828702741</c:v>
                </c:pt>
                <c:pt idx="14">
                  <c:v>91.068608892449106</c:v>
                </c:pt>
                <c:pt idx="15">
                  <c:v>97.502080956195471</c:v>
                </c:pt>
                <c:pt idx="16">
                  <c:v>103.93555301994184</c:v>
                </c:pt>
                <c:pt idx="17">
                  <c:v>110.3690250836882</c:v>
                </c:pt>
                <c:pt idx="18">
                  <c:v>116.80249714743456</c:v>
                </c:pt>
                <c:pt idx="19">
                  <c:v>123.23596921118093</c:v>
                </c:pt>
                <c:pt idx="20">
                  <c:v>129.66944127492729</c:v>
                </c:pt>
                <c:pt idx="21">
                  <c:v>136.10291333867366</c:v>
                </c:pt>
                <c:pt idx="22">
                  <c:v>142.53638540242002</c:v>
                </c:pt>
                <c:pt idx="23">
                  <c:v>148.96985746616639</c:v>
                </c:pt>
                <c:pt idx="24">
                  <c:v>155.40332952991275</c:v>
                </c:pt>
                <c:pt idx="25">
                  <c:v>161.83680159365912</c:v>
                </c:pt>
                <c:pt idx="26">
                  <c:v>168.27027365740548</c:v>
                </c:pt>
                <c:pt idx="27">
                  <c:v>174.70374572115185</c:v>
                </c:pt>
                <c:pt idx="28">
                  <c:v>181.13721778489821</c:v>
                </c:pt>
                <c:pt idx="29">
                  <c:v>187.57068984864458</c:v>
                </c:pt>
                <c:pt idx="30">
                  <c:v>194.00416191239094</c:v>
                </c:pt>
                <c:pt idx="31">
                  <c:v>200.43763397613731</c:v>
                </c:pt>
                <c:pt idx="32">
                  <c:v>206.87110603988367</c:v>
                </c:pt>
                <c:pt idx="33">
                  <c:v>213.30457810363004</c:v>
                </c:pt>
                <c:pt idx="34">
                  <c:v>219.7380501673764</c:v>
                </c:pt>
                <c:pt idx="35">
                  <c:v>226.17152223112276</c:v>
                </c:pt>
                <c:pt idx="36">
                  <c:v>232.60499429486913</c:v>
                </c:pt>
                <c:pt idx="37">
                  <c:v>239.03846635861549</c:v>
                </c:pt>
                <c:pt idx="38">
                  <c:v>245.47193842236186</c:v>
                </c:pt>
                <c:pt idx="39">
                  <c:v>251.90541048610822</c:v>
                </c:pt>
                <c:pt idx="40">
                  <c:v>258.33888254985459</c:v>
                </c:pt>
                <c:pt idx="41">
                  <c:v>264.77235461360095</c:v>
                </c:pt>
                <c:pt idx="42">
                  <c:v>271.20582667734732</c:v>
                </c:pt>
                <c:pt idx="43">
                  <c:v>277.63929874109368</c:v>
                </c:pt>
                <c:pt idx="44">
                  <c:v>284.07277080484005</c:v>
                </c:pt>
                <c:pt idx="45">
                  <c:v>290.50624286858641</c:v>
                </c:pt>
                <c:pt idx="46">
                  <c:v>296.93971493233278</c:v>
                </c:pt>
                <c:pt idx="47">
                  <c:v>303.37318699607914</c:v>
                </c:pt>
                <c:pt idx="48">
                  <c:v>309.80665905982551</c:v>
                </c:pt>
                <c:pt idx="49">
                  <c:v>316.24013112357187</c:v>
                </c:pt>
                <c:pt idx="50">
                  <c:v>321.67360318731824</c:v>
                </c:pt>
                <c:pt idx="51">
                  <c:v>333.89720010843632</c:v>
                </c:pt>
                <c:pt idx="52">
                  <c:v>346.12079702955441</c:v>
                </c:pt>
                <c:pt idx="53">
                  <c:v>358.3443939506725</c:v>
                </c:pt>
                <c:pt idx="54">
                  <c:v>370.56799087179058</c:v>
                </c:pt>
                <c:pt idx="55">
                  <c:v>382.79158779290867</c:v>
                </c:pt>
                <c:pt idx="56">
                  <c:v>395.01518471402676</c:v>
                </c:pt>
                <c:pt idx="57">
                  <c:v>407.23878163514485</c:v>
                </c:pt>
                <c:pt idx="58">
                  <c:v>419.46237855626293</c:v>
                </c:pt>
                <c:pt idx="59">
                  <c:v>431.68597547738102</c:v>
                </c:pt>
                <c:pt idx="60">
                  <c:v>443.90957239849911</c:v>
                </c:pt>
                <c:pt idx="61">
                  <c:v>456.1331693196172</c:v>
                </c:pt>
                <c:pt idx="62">
                  <c:v>468.35676624073528</c:v>
                </c:pt>
                <c:pt idx="63">
                  <c:v>480.58036316185337</c:v>
                </c:pt>
                <c:pt idx="64">
                  <c:v>492.80396008297146</c:v>
                </c:pt>
                <c:pt idx="65">
                  <c:v>505.02755700408954</c:v>
                </c:pt>
                <c:pt idx="66">
                  <c:v>517.25115392520763</c:v>
                </c:pt>
                <c:pt idx="67">
                  <c:v>529.47475084632572</c:v>
                </c:pt>
                <c:pt idx="68">
                  <c:v>541.69834776744381</c:v>
                </c:pt>
                <c:pt idx="69">
                  <c:v>553.92194468856189</c:v>
                </c:pt>
                <c:pt idx="70">
                  <c:v>566.14554160967998</c:v>
                </c:pt>
                <c:pt idx="71">
                  <c:v>578.36913853079807</c:v>
                </c:pt>
                <c:pt idx="72">
                  <c:v>590.59273545191616</c:v>
                </c:pt>
                <c:pt idx="73">
                  <c:v>602.81633237303424</c:v>
                </c:pt>
                <c:pt idx="74">
                  <c:v>615.03992929415233</c:v>
                </c:pt>
                <c:pt idx="75">
                  <c:v>627.26352621527042</c:v>
                </c:pt>
                <c:pt idx="76">
                  <c:v>639.4871231363885</c:v>
                </c:pt>
                <c:pt idx="77">
                  <c:v>651.71072005750659</c:v>
                </c:pt>
                <c:pt idx="78">
                  <c:v>663.93431697862468</c:v>
                </c:pt>
                <c:pt idx="79">
                  <c:v>676.15791389974277</c:v>
                </c:pt>
                <c:pt idx="80">
                  <c:v>688.38151082086085</c:v>
                </c:pt>
                <c:pt idx="81">
                  <c:v>700.60510774197894</c:v>
                </c:pt>
                <c:pt idx="82">
                  <c:v>712.82870466309703</c:v>
                </c:pt>
                <c:pt idx="83">
                  <c:v>725.05230158421512</c:v>
                </c:pt>
                <c:pt idx="84">
                  <c:v>737.2758985053332</c:v>
                </c:pt>
                <c:pt idx="85">
                  <c:v>749.49949542645129</c:v>
                </c:pt>
                <c:pt idx="86">
                  <c:v>761.72309234756938</c:v>
                </c:pt>
                <c:pt idx="87">
                  <c:v>773.94668926868746</c:v>
                </c:pt>
                <c:pt idx="88">
                  <c:v>786.17028618980555</c:v>
                </c:pt>
                <c:pt idx="89">
                  <c:v>798.39388311092364</c:v>
                </c:pt>
                <c:pt idx="90">
                  <c:v>810.61748003204173</c:v>
                </c:pt>
                <c:pt idx="91">
                  <c:v>822.84107695315981</c:v>
                </c:pt>
                <c:pt idx="92">
                  <c:v>835.0646738742779</c:v>
                </c:pt>
                <c:pt idx="93">
                  <c:v>847.28827079539599</c:v>
                </c:pt>
                <c:pt idx="94">
                  <c:v>859.51186771651408</c:v>
                </c:pt>
                <c:pt idx="95">
                  <c:v>871.73546463763216</c:v>
                </c:pt>
                <c:pt idx="96">
                  <c:v>883.95906155875025</c:v>
                </c:pt>
                <c:pt idx="97">
                  <c:v>896.18265847986834</c:v>
                </c:pt>
                <c:pt idx="98">
                  <c:v>908.40625540098642</c:v>
                </c:pt>
                <c:pt idx="99">
                  <c:v>920.62985232210451</c:v>
                </c:pt>
                <c:pt idx="100">
                  <c:v>932.85344924322283</c:v>
                </c:pt>
                <c:pt idx="101">
                  <c:v>983.52491475079057</c:v>
                </c:pt>
                <c:pt idx="102">
                  <c:v>1034.1963802583584</c:v>
                </c:pt>
                <c:pt idx="103">
                  <c:v>1084.8678457659262</c:v>
                </c:pt>
                <c:pt idx="104">
                  <c:v>1135.5393112734939</c:v>
                </c:pt>
                <c:pt idx="105">
                  <c:v>1186.2107767810617</c:v>
                </c:pt>
                <c:pt idx="106">
                  <c:v>1236.8822422886294</c:v>
                </c:pt>
                <c:pt idx="107">
                  <c:v>1287.5537077961972</c:v>
                </c:pt>
                <c:pt idx="108">
                  <c:v>1338.2251733037649</c:v>
                </c:pt>
                <c:pt idx="109">
                  <c:v>1388.8966388113327</c:v>
                </c:pt>
                <c:pt idx="110">
                  <c:v>1439.5681043189004</c:v>
                </c:pt>
                <c:pt idx="111">
                  <c:v>1490.2395698264681</c:v>
                </c:pt>
                <c:pt idx="112">
                  <c:v>1540.9110353340359</c:v>
                </c:pt>
                <c:pt idx="113">
                  <c:v>1591.5825008416036</c:v>
                </c:pt>
                <c:pt idx="114">
                  <c:v>1642.2539663491714</c:v>
                </c:pt>
                <c:pt idx="115">
                  <c:v>1692.9254318567391</c:v>
                </c:pt>
                <c:pt idx="116">
                  <c:v>1743.5968973643069</c:v>
                </c:pt>
                <c:pt idx="117">
                  <c:v>1794.2683628718746</c:v>
                </c:pt>
                <c:pt idx="118">
                  <c:v>1844.9398283794424</c:v>
                </c:pt>
                <c:pt idx="119">
                  <c:v>1895.6112938870101</c:v>
                </c:pt>
                <c:pt idx="120">
                  <c:v>1946.2827593945779</c:v>
                </c:pt>
                <c:pt idx="121">
                  <c:v>1996.9542249021456</c:v>
                </c:pt>
                <c:pt idx="122">
                  <c:v>2047.6256904097133</c:v>
                </c:pt>
                <c:pt idx="123">
                  <c:v>2098.2971559172811</c:v>
                </c:pt>
                <c:pt idx="124">
                  <c:v>2148.9686214248491</c:v>
                </c:pt>
                <c:pt idx="125">
                  <c:v>2199.640086932417</c:v>
                </c:pt>
                <c:pt idx="126">
                  <c:v>2250.311552439985</c:v>
                </c:pt>
                <c:pt idx="127">
                  <c:v>2300.983017947553</c:v>
                </c:pt>
                <c:pt idx="128">
                  <c:v>2351.654483455121</c:v>
                </c:pt>
                <c:pt idx="129">
                  <c:v>2402.3259489626889</c:v>
                </c:pt>
                <c:pt idx="130">
                  <c:v>2452.9974144702569</c:v>
                </c:pt>
                <c:pt idx="131">
                  <c:v>2503.6688799778249</c:v>
                </c:pt>
                <c:pt idx="132">
                  <c:v>2554.3403454853928</c:v>
                </c:pt>
                <c:pt idx="133">
                  <c:v>2605.0118109929608</c:v>
                </c:pt>
                <c:pt idx="134">
                  <c:v>2655.6832765005288</c:v>
                </c:pt>
                <c:pt idx="135">
                  <c:v>2706.3547420080968</c:v>
                </c:pt>
                <c:pt idx="136">
                  <c:v>2757.0262075156647</c:v>
                </c:pt>
                <c:pt idx="137">
                  <c:v>2807.6976730232327</c:v>
                </c:pt>
                <c:pt idx="138">
                  <c:v>2858.3691385308007</c:v>
                </c:pt>
                <c:pt idx="139">
                  <c:v>2909.0406040383687</c:v>
                </c:pt>
                <c:pt idx="140">
                  <c:v>2959.7120695459366</c:v>
                </c:pt>
                <c:pt idx="141">
                  <c:v>3010.3835350535046</c:v>
                </c:pt>
                <c:pt idx="142">
                  <c:v>3061.0550005610726</c:v>
                </c:pt>
                <c:pt idx="143">
                  <c:v>3111.7264660686405</c:v>
                </c:pt>
                <c:pt idx="144">
                  <c:v>3162.3979315762085</c:v>
                </c:pt>
                <c:pt idx="145">
                  <c:v>3213.0693970837765</c:v>
                </c:pt>
                <c:pt idx="146">
                  <c:v>3263.7408625913445</c:v>
                </c:pt>
                <c:pt idx="147">
                  <c:v>3314.4123280989124</c:v>
                </c:pt>
                <c:pt idx="148">
                  <c:v>3365.0837936064804</c:v>
                </c:pt>
                <c:pt idx="149">
                  <c:v>3415.7552591140484</c:v>
                </c:pt>
                <c:pt idx="150">
                  <c:v>3466.4267246216164</c:v>
                </c:pt>
                <c:pt idx="151">
                  <c:v>3517.0981901291843</c:v>
                </c:pt>
                <c:pt idx="152">
                  <c:v>3567.7696556367523</c:v>
                </c:pt>
                <c:pt idx="153">
                  <c:v>3618.4411211443203</c:v>
                </c:pt>
                <c:pt idx="154">
                  <c:v>3669.1125866518883</c:v>
                </c:pt>
                <c:pt idx="155">
                  <c:v>3719.7840521594562</c:v>
                </c:pt>
                <c:pt idx="156">
                  <c:v>3770.4555176670242</c:v>
                </c:pt>
                <c:pt idx="157">
                  <c:v>3821.1269831745922</c:v>
                </c:pt>
                <c:pt idx="158">
                  <c:v>3871.7984486821601</c:v>
                </c:pt>
                <c:pt idx="159">
                  <c:v>3922.4699141897281</c:v>
                </c:pt>
                <c:pt idx="160">
                  <c:v>3973.1413796972961</c:v>
                </c:pt>
                <c:pt idx="161">
                  <c:v>4023.8128452048641</c:v>
                </c:pt>
                <c:pt idx="162">
                  <c:v>4074.484310712432</c:v>
                </c:pt>
                <c:pt idx="163">
                  <c:v>4125.15577622</c:v>
                </c:pt>
                <c:pt idx="164">
                  <c:v>4175.8272417275675</c:v>
                </c:pt>
                <c:pt idx="165">
                  <c:v>4226.498707235135</c:v>
                </c:pt>
                <c:pt idx="166">
                  <c:v>4277.1701727427026</c:v>
                </c:pt>
                <c:pt idx="167">
                  <c:v>4327.8416382502701</c:v>
                </c:pt>
                <c:pt idx="168">
                  <c:v>4378.5131037578376</c:v>
                </c:pt>
                <c:pt idx="169">
                  <c:v>4429.1845692654051</c:v>
                </c:pt>
                <c:pt idx="170">
                  <c:v>4479.8560347729726</c:v>
                </c:pt>
                <c:pt idx="171">
                  <c:v>4530.5275002805402</c:v>
                </c:pt>
                <c:pt idx="172">
                  <c:v>4581.1989657881077</c:v>
                </c:pt>
                <c:pt idx="173">
                  <c:v>4631.8704312956752</c:v>
                </c:pt>
                <c:pt idx="174">
                  <c:v>4682.5418968032427</c:v>
                </c:pt>
                <c:pt idx="175">
                  <c:v>4733.2133623108102</c:v>
                </c:pt>
                <c:pt idx="176">
                  <c:v>4783.8848278183777</c:v>
                </c:pt>
                <c:pt idx="177">
                  <c:v>4834.5562933259453</c:v>
                </c:pt>
                <c:pt idx="178">
                  <c:v>4885.2277588335128</c:v>
                </c:pt>
                <c:pt idx="179">
                  <c:v>4935.8992243410803</c:v>
                </c:pt>
                <c:pt idx="180">
                  <c:v>4986.5706898486478</c:v>
                </c:pt>
                <c:pt idx="181">
                  <c:v>5037.2421553562153</c:v>
                </c:pt>
                <c:pt idx="182">
                  <c:v>5087.9136208637829</c:v>
                </c:pt>
                <c:pt idx="183">
                  <c:v>5138.5850863713504</c:v>
                </c:pt>
                <c:pt idx="184">
                  <c:v>5189.2565518789179</c:v>
                </c:pt>
                <c:pt idx="185">
                  <c:v>5239.9280173864854</c:v>
                </c:pt>
                <c:pt idx="186">
                  <c:v>5290.5994828940529</c:v>
                </c:pt>
                <c:pt idx="187">
                  <c:v>5341.2709484016204</c:v>
                </c:pt>
                <c:pt idx="188">
                  <c:v>5391.942413909188</c:v>
                </c:pt>
                <c:pt idx="189">
                  <c:v>5442.6138794167555</c:v>
                </c:pt>
                <c:pt idx="190">
                  <c:v>5493.285344924323</c:v>
                </c:pt>
                <c:pt idx="191">
                  <c:v>5543.9568104318905</c:v>
                </c:pt>
                <c:pt idx="192">
                  <c:v>5594.628275939458</c:v>
                </c:pt>
                <c:pt idx="193">
                  <c:v>5645.2997414470256</c:v>
                </c:pt>
                <c:pt idx="194">
                  <c:v>5695.9712069545931</c:v>
                </c:pt>
                <c:pt idx="195">
                  <c:v>5746.6426724621606</c:v>
                </c:pt>
                <c:pt idx="196">
                  <c:v>5797.3141379697281</c:v>
                </c:pt>
                <c:pt idx="197">
                  <c:v>5847.9856034772956</c:v>
                </c:pt>
                <c:pt idx="198">
                  <c:v>5898.6570689848631</c:v>
                </c:pt>
                <c:pt idx="199">
                  <c:v>5949.3285344924307</c:v>
                </c:pt>
                <c:pt idx="200">
                  <c:v>5999.9999999999982</c:v>
                </c:pt>
              </c:numCache>
            </c:numRef>
          </c:xVal>
          <c:yVal>
            <c:numRef>
              <c:f>'oil ring calculator'!$AC$3:$AC$203</c:f>
              <c:numCache>
                <c:formatCode>General</c:formatCode>
                <c:ptCount val="2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44-4EBB-82D5-C0E52319B20E}"/>
            </c:ext>
          </c:extLst>
        </c:ser>
        <c:ser>
          <c:idx val="2"/>
          <c:order val="1"/>
          <c:tx>
            <c:v>Ns</c:v>
          </c:tx>
          <c:spPr>
            <a:ln w="9525" cap="rnd">
              <a:solidFill>
                <a:schemeClr val="tx1"/>
              </a:solidFill>
              <a:prstDash val="dash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2BB-4BAF-8D81-51110B4D98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'oil ring calculator'!$I$6:$I$8</c:f>
              <c:numCache>
                <c:formatCode>0.00</c:formatCode>
                <c:ptCount val="3"/>
                <c:pt idx="0">
                  <c:v>321.67360318731824</c:v>
                </c:pt>
                <c:pt idx="1">
                  <c:v>321.67360318731824</c:v>
                </c:pt>
                <c:pt idx="2" formatCode="General">
                  <c:v>0</c:v>
                </c:pt>
              </c:numCache>
            </c:numRef>
          </c:xVal>
          <c:yVal>
            <c:numRef>
              <c:f>'oil ring calculator'!$J$6:$J$8</c:f>
              <c:numCache>
                <c:formatCode>0.00</c:formatCode>
                <c:ptCount val="3"/>
                <c:pt idx="0">
                  <c:v>0</c:v>
                </c:pt>
                <c:pt idx="1">
                  <c:v>184.96232183270794</c:v>
                </c:pt>
                <c:pt idx="2">
                  <c:v>184.96232183270794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C44-4EBB-82D5-C0E52319B20E}"/>
            </c:ext>
          </c:extLst>
        </c:ser>
        <c:ser>
          <c:idx val="3"/>
          <c:order val="2"/>
          <c:tx>
            <c:v>Nf</c:v>
          </c:tx>
          <c:spPr>
            <a:ln w="9525" cap="rnd">
              <a:solidFill>
                <a:schemeClr val="tx1"/>
              </a:solidFill>
              <a:prstDash val="dash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2BB-4BAF-8D81-51110B4D98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'oil ring calculator'!$K$6:$K$8</c:f>
              <c:numCache>
                <c:formatCode>0.00</c:formatCode>
                <c:ptCount val="3"/>
                <c:pt idx="0">
                  <c:v>932.8534492432226</c:v>
                </c:pt>
                <c:pt idx="1">
                  <c:v>932.8534492432226</c:v>
                </c:pt>
                <c:pt idx="2" formatCode="General">
                  <c:v>0</c:v>
                </c:pt>
              </c:numCache>
            </c:numRef>
          </c:xVal>
          <c:yVal>
            <c:numRef>
              <c:f>'oil ring calculator'!$L$6:$L$8</c:f>
              <c:numCache>
                <c:formatCode>0.00</c:formatCode>
                <c:ptCount val="3"/>
                <c:pt idx="0">
                  <c:v>0</c:v>
                </c:pt>
                <c:pt idx="1">
                  <c:v>79.775056416394932</c:v>
                </c:pt>
                <c:pt idx="2">
                  <c:v>79.775056416394932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C44-4EBB-82D5-C0E52319B20E}"/>
            </c:ext>
          </c:extLst>
        </c:ser>
        <c:ser>
          <c:idx val="4"/>
          <c:order val="3"/>
          <c:tx>
            <c:v>Nt</c:v>
          </c:tx>
          <c:spPr>
            <a:ln w="9525" cap="rnd">
              <a:solidFill>
                <a:srgbClr val="FF0000"/>
              </a:solidFill>
              <a:prstDash val="dashDot"/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l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2BB-4BAF-8D81-51110B4D98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'oil ring calculator'!$M$6:$M$8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 formatCode="General">
                  <c:v>0</c:v>
                </c:pt>
              </c:numCache>
            </c:numRef>
          </c:xVal>
          <c:yVal>
            <c:numRef>
              <c:f>'oil ring calculator'!$N$6:$N$8</c:f>
              <c:numCache>
                <c:formatCode>0.00</c:formatCode>
                <c:ptCount val="3"/>
                <c:pt idx="0" formatCode="General">
                  <c:v>0</c:v>
                </c:pt>
                <c:pt idx="1">
                  <c:v>115.36053235321083</c:v>
                </c:pt>
                <c:pt idx="2">
                  <c:v>115.36053235321083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BB-4BAF-8D81-51110B4D981D}"/>
            </c:ext>
          </c:extLst>
        </c:ser>
        <c:ser>
          <c:idx val="1"/>
          <c:order val="4"/>
          <c:tx>
            <c:v>op</c:v>
          </c:tx>
          <c:spPr>
            <a:ln w="9525" cap="rnd">
              <a:noFill/>
              <a:round/>
            </a:ln>
            <a:effectLst/>
          </c:spPr>
          <c:marker>
            <c:symbol val="x"/>
            <c:size val="7"/>
            <c:spPr>
              <a:noFill/>
              <a:ln w="19050" cap="rnd">
                <a:solidFill>
                  <a:schemeClr val="tx1"/>
                </a:solidFill>
                <a:round/>
              </a:ln>
              <a:effectLst/>
            </c:spPr>
          </c:marker>
          <c:xVal>
            <c:numRef>
              <c:f>'oil ring calculator'!$C$8</c:f>
              <c:numCache>
                <c:formatCode>0.00</c:formatCode>
                <c:ptCount val="1"/>
                <c:pt idx="0">
                  <c:v>1785</c:v>
                </c:pt>
              </c:numCache>
            </c:numRef>
          </c:xVal>
          <c:yVal>
            <c:numRef>
              <c:f>'oil ring calculator'!$C$20</c:f>
              <c:numCache>
                <c:formatCode>0.00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1D-4281-BD6A-07935D7D93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1474111"/>
        <c:axId val="711473151"/>
      </c:scatterChart>
      <c:valAx>
        <c:axId val="711474111"/>
        <c:scaling>
          <c:orientation val="minMax"/>
          <c:max val="6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b="1"/>
                  <a:t>n [rpm]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11473151"/>
        <c:crosses val="autoZero"/>
        <c:crossBetween val="midCat"/>
      </c:valAx>
      <c:valAx>
        <c:axId val="711473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b="1"/>
                  <a:t>N [rpm]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11474111"/>
        <c:crosses val="autoZero"/>
        <c:crossBetween val="midCat"/>
      </c:valAx>
      <c:spPr>
        <a:solidFill>
          <a:schemeClr val="tx2">
            <a:lumMod val="25000"/>
            <a:lumOff val="75000"/>
            <a:alpha val="20000"/>
          </a:schemeClr>
        </a:solidFill>
        <a:ln>
          <a:noFill/>
        </a:ln>
        <a:effectLst/>
      </c:spPr>
    </c:plotArea>
    <c:plotVisOnly val="0"/>
    <c:dispBlanksAs val="span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'oil properties'!$D$2:$I$2</c:f>
              <c:strCache>
                <c:ptCount val="1"/>
                <c:pt idx="0">
                  <c:v>Amokon ISO-VG 32</c:v>
                </c:pt>
              </c:strCache>
            </c:strRef>
          </c:tx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'oil properties'!$C$4:$C$24</c:f>
              <c:numCache>
                <c:formatCode>General</c:formatCode>
                <c:ptCount val="21"/>
                <c:pt idx="0">
                  <c:v>10</c:v>
                </c:pt>
                <c:pt idx="1">
                  <c:v>15.56</c:v>
                </c:pt>
                <c:pt idx="2">
                  <c:v>21.11</c:v>
                </c:pt>
                <c:pt idx="3">
                  <c:v>26.67</c:v>
                </c:pt>
                <c:pt idx="4">
                  <c:v>32.22</c:v>
                </c:pt>
                <c:pt idx="5">
                  <c:v>37.78</c:v>
                </c:pt>
                <c:pt idx="6">
                  <c:v>43.33</c:v>
                </c:pt>
                <c:pt idx="7">
                  <c:v>48.89</c:v>
                </c:pt>
                <c:pt idx="8">
                  <c:v>54.44</c:v>
                </c:pt>
                <c:pt idx="9">
                  <c:v>60</c:v>
                </c:pt>
                <c:pt idx="10">
                  <c:v>65.56</c:v>
                </c:pt>
                <c:pt idx="11">
                  <c:v>71.11</c:v>
                </c:pt>
                <c:pt idx="12">
                  <c:v>76.67</c:v>
                </c:pt>
                <c:pt idx="13">
                  <c:v>82.22</c:v>
                </c:pt>
                <c:pt idx="14">
                  <c:v>87.78</c:v>
                </c:pt>
                <c:pt idx="15">
                  <c:v>93.33</c:v>
                </c:pt>
                <c:pt idx="16">
                  <c:v>98.89</c:v>
                </c:pt>
                <c:pt idx="17">
                  <c:v>104.44</c:v>
                </c:pt>
                <c:pt idx="18">
                  <c:v>110</c:v>
                </c:pt>
                <c:pt idx="19">
                  <c:v>115.56</c:v>
                </c:pt>
                <c:pt idx="20">
                  <c:v>121.11</c:v>
                </c:pt>
              </c:numCache>
            </c:numRef>
          </c:xVal>
          <c:yVal>
            <c:numRef>
              <c:f>'oil properties'!$E$4:$E$24</c:f>
              <c:numCache>
                <c:formatCode>General</c:formatCode>
                <c:ptCount val="21"/>
                <c:pt idx="0">
                  <c:v>137.6918</c:v>
                </c:pt>
                <c:pt idx="1">
                  <c:v>96.502600000000001</c:v>
                </c:pt>
                <c:pt idx="2">
                  <c:v>69.661699999999996</c:v>
                </c:pt>
                <c:pt idx="3">
                  <c:v>51.630800000000001</c:v>
                </c:pt>
                <c:pt idx="4">
                  <c:v>39.181399999999996</c:v>
                </c:pt>
                <c:pt idx="5">
                  <c:v>30.37</c:v>
                </c:pt>
                <c:pt idx="6">
                  <c:v>23.992000000000001</c:v>
                </c:pt>
                <c:pt idx="7">
                  <c:v>19.280200000000001</c:v>
                </c:pt>
                <c:pt idx="8">
                  <c:v>15.734299999999999</c:v>
                </c:pt>
                <c:pt idx="9">
                  <c:v>13.020300000000001</c:v>
                </c:pt>
                <c:pt idx="10">
                  <c:v>10.9107</c:v>
                </c:pt>
                <c:pt idx="11">
                  <c:v>9.2477</c:v>
                </c:pt>
                <c:pt idx="12">
                  <c:v>7.9196999999999997</c:v>
                </c:pt>
                <c:pt idx="13">
                  <c:v>6.8464999999999998</c:v>
                </c:pt>
                <c:pt idx="14">
                  <c:v>5.9698000000000002</c:v>
                </c:pt>
                <c:pt idx="15">
                  <c:v>5.2462</c:v>
                </c:pt>
                <c:pt idx="16">
                  <c:v>4.6436000000000002</c:v>
                </c:pt>
                <c:pt idx="17">
                  <c:v>4.1372999999999998</c:v>
                </c:pt>
                <c:pt idx="18">
                  <c:v>3.7086000000000001</c:v>
                </c:pt>
                <c:pt idx="19">
                  <c:v>3.343</c:v>
                </c:pt>
                <c:pt idx="20">
                  <c:v>3.0289000000000001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A-4D99-8ABF-F1BBDE101C3E}"/>
            </c:ext>
          </c:extLst>
        </c:ser>
        <c:ser>
          <c:idx val="1"/>
          <c:order val="1"/>
          <c:tx>
            <c:strRef>
              <c:f>'oil properties'!$J$2:$O$2</c:f>
              <c:strCache>
                <c:ptCount val="1"/>
                <c:pt idx="0">
                  <c:v>Amokon ISO-VG 46</c:v>
                </c:pt>
              </c:strCache>
            </c:strRef>
          </c:tx>
          <c:spPr>
            <a:ln w="25400" cap="flat" cmpd="dbl" algn="ctr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'oil properties'!$C$4:$C$24</c:f>
              <c:numCache>
                <c:formatCode>General</c:formatCode>
                <c:ptCount val="21"/>
                <c:pt idx="0">
                  <c:v>10</c:v>
                </c:pt>
                <c:pt idx="1">
                  <c:v>15.56</c:v>
                </c:pt>
                <c:pt idx="2">
                  <c:v>21.11</c:v>
                </c:pt>
                <c:pt idx="3">
                  <c:v>26.67</c:v>
                </c:pt>
                <c:pt idx="4">
                  <c:v>32.22</c:v>
                </c:pt>
                <c:pt idx="5">
                  <c:v>37.78</c:v>
                </c:pt>
                <c:pt idx="6">
                  <c:v>43.33</c:v>
                </c:pt>
                <c:pt idx="7">
                  <c:v>48.89</c:v>
                </c:pt>
                <c:pt idx="8">
                  <c:v>54.44</c:v>
                </c:pt>
                <c:pt idx="9">
                  <c:v>60</c:v>
                </c:pt>
                <c:pt idx="10">
                  <c:v>65.56</c:v>
                </c:pt>
                <c:pt idx="11">
                  <c:v>71.11</c:v>
                </c:pt>
                <c:pt idx="12">
                  <c:v>76.67</c:v>
                </c:pt>
                <c:pt idx="13">
                  <c:v>82.22</c:v>
                </c:pt>
                <c:pt idx="14">
                  <c:v>87.78</c:v>
                </c:pt>
                <c:pt idx="15">
                  <c:v>93.33</c:v>
                </c:pt>
                <c:pt idx="16">
                  <c:v>98.89</c:v>
                </c:pt>
                <c:pt idx="17">
                  <c:v>104.44</c:v>
                </c:pt>
                <c:pt idx="18">
                  <c:v>110</c:v>
                </c:pt>
                <c:pt idx="19">
                  <c:v>115.56</c:v>
                </c:pt>
                <c:pt idx="20">
                  <c:v>121.11</c:v>
                </c:pt>
              </c:numCache>
            </c:numRef>
          </c:xVal>
          <c:yVal>
            <c:numRef>
              <c:f>'oil properties'!$K$4:$K$24</c:f>
              <c:numCache>
                <c:formatCode>General</c:formatCode>
                <c:ptCount val="21"/>
                <c:pt idx="0">
                  <c:v>231.7321</c:v>
                </c:pt>
                <c:pt idx="1">
                  <c:v>157.79740000000001</c:v>
                </c:pt>
                <c:pt idx="2">
                  <c:v>110.9242</c:v>
                </c:pt>
                <c:pt idx="3">
                  <c:v>80.227099999999993</c:v>
                </c:pt>
                <c:pt idx="4">
                  <c:v>59.526000000000003</c:v>
                </c:pt>
                <c:pt idx="5">
                  <c:v>45.191200000000002</c:v>
                </c:pt>
                <c:pt idx="6">
                  <c:v>35.023499999999999</c:v>
                </c:pt>
                <c:pt idx="7">
                  <c:v>27.6526</c:v>
                </c:pt>
                <c:pt idx="8">
                  <c:v>22.202000000000002</c:v>
                </c:pt>
                <c:pt idx="9">
                  <c:v>18.097999999999999</c:v>
                </c:pt>
                <c:pt idx="10">
                  <c:v>14.956200000000001</c:v>
                </c:pt>
                <c:pt idx="11">
                  <c:v>12.5145</c:v>
                </c:pt>
                <c:pt idx="12">
                  <c:v>10.590400000000001</c:v>
                </c:pt>
                <c:pt idx="13">
                  <c:v>9.0547000000000004</c:v>
                </c:pt>
                <c:pt idx="14">
                  <c:v>7.8144999999999998</c:v>
                </c:pt>
                <c:pt idx="15">
                  <c:v>6.8022</c:v>
                </c:pt>
                <c:pt idx="16">
                  <c:v>5.9676</c:v>
                </c:pt>
                <c:pt idx="17">
                  <c:v>5.2731000000000003</c:v>
                </c:pt>
                <c:pt idx="18">
                  <c:v>4.6902999999999997</c:v>
                </c:pt>
                <c:pt idx="19">
                  <c:v>4.1973000000000003</c:v>
                </c:pt>
                <c:pt idx="20">
                  <c:v>3.7772999999999999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8A-4D99-8ABF-F1BBDE101C3E}"/>
            </c:ext>
          </c:extLst>
        </c:ser>
        <c:ser>
          <c:idx val="2"/>
          <c:order val="2"/>
          <c:tx>
            <c:strRef>
              <c:f>'oil properties'!$P$2:$U$2</c:f>
              <c:strCache>
                <c:ptCount val="1"/>
                <c:pt idx="0">
                  <c:v>Amokon ISO-VG 68</c:v>
                </c:pt>
              </c:strCache>
            </c:strRef>
          </c:tx>
          <c:spPr>
            <a:ln w="25400" cap="flat" cmpd="dbl" algn="ctr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'oil properties'!$C$4:$C$24</c:f>
              <c:numCache>
                <c:formatCode>General</c:formatCode>
                <c:ptCount val="21"/>
                <c:pt idx="0">
                  <c:v>10</c:v>
                </c:pt>
                <c:pt idx="1">
                  <c:v>15.56</c:v>
                </c:pt>
                <c:pt idx="2">
                  <c:v>21.11</c:v>
                </c:pt>
                <c:pt idx="3">
                  <c:v>26.67</c:v>
                </c:pt>
                <c:pt idx="4">
                  <c:v>32.22</c:v>
                </c:pt>
                <c:pt idx="5">
                  <c:v>37.78</c:v>
                </c:pt>
                <c:pt idx="6">
                  <c:v>43.33</c:v>
                </c:pt>
                <c:pt idx="7">
                  <c:v>48.89</c:v>
                </c:pt>
                <c:pt idx="8">
                  <c:v>54.44</c:v>
                </c:pt>
                <c:pt idx="9">
                  <c:v>60</c:v>
                </c:pt>
                <c:pt idx="10">
                  <c:v>65.56</c:v>
                </c:pt>
                <c:pt idx="11">
                  <c:v>71.11</c:v>
                </c:pt>
                <c:pt idx="12">
                  <c:v>76.67</c:v>
                </c:pt>
                <c:pt idx="13">
                  <c:v>82.22</c:v>
                </c:pt>
                <c:pt idx="14">
                  <c:v>87.78</c:v>
                </c:pt>
                <c:pt idx="15">
                  <c:v>93.33</c:v>
                </c:pt>
                <c:pt idx="16">
                  <c:v>98.89</c:v>
                </c:pt>
                <c:pt idx="17">
                  <c:v>104.44</c:v>
                </c:pt>
                <c:pt idx="18">
                  <c:v>110</c:v>
                </c:pt>
                <c:pt idx="19">
                  <c:v>115.56</c:v>
                </c:pt>
                <c:pt idx="20">
                  <c:v>121.11</c:v>
                </c:pt>
              </c:numCache>
            </c:numRef>
          </c:xVal>
          <c:yVal>
            <c:numRef>
              <c:f>'oil properties'!$Q$4:$Q$24</c:f>
              <c:numCache>
                <c:formatCode>General</c:formatCode>
                <c:ptCount val="21"/>
                <c:pt idx="0">
                  <c:v>375.16480000000001</c:v>
                </c:pt>
                <c:pt idx="1">
                  <c:v>248.61519999999999</c:v>
                </c:pt>
                <c:pt idx="2">
                  <c:v>170.44110000000001</c:v>
                </c:pt>
                <c:pt idx="3">
                  <c:v>120.4594</c:v>
                </c:pt>
                <c:pt idx="4">
                  <c:v>87.494299999999996</c:v>
                </c:pt>
                <c:pt idx="5">
                  <c:v>65.132499999999993</c:v>
                </c:pt>
                <c:pt idx="6">
                  <c:v>49.5717</c:v>
                </c:pt>
                <c:pt idx="7">
                  <c:v>38.489800000000002</c:v>
                </c:pt>
                <c:pt idx="8">
                  <c:v>30.429500000000001</c:v>
                </c:pt>
                <c:pt idx="9">
                  <c:v>24.452999999999999</c:v>
                </c:pt>
                <c:pt idx="10">
                  <c:v>19.943100000000001</c:v>
                </c:pt>
                <c:pt idx="11">
                  <c:v>16.4847</c:v>
                </c:pt>
                <c:pt idx="12">
                  <c:v>13.7933</c:v>
                </c:pt>
                <c:pt idx="13">
                  <c:v>11.6701</c:v>
                </c:pt>
                <c:pt idx="14">
                  <c:v>9.9741999999999997</c:v>
                </c:pt>
                <c:pt idx="15">
                  <c:v>8.6038999999999994</c:v>
                </c:pt>
                <c:pt idx="16">
                  <c:v>7.4850000000000003</c:v>
                </c:pt>
                <c:pt idx="17">
                  <c:v>6.5621999999999998</c:v>
                </c:pt>
                <c:pt idx="18">
                  <c:v>5.7944000000000004</c:v>
                </c:pt>
                <c:pt idx="19">
                  <c:v>5.1501000000000001</c:v>
                </c:pt>
                <c:pt idx="20">
                  <c:v>4.6051000000000002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8A-4D99-8ABF-F1BBDE101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446592"/>
        <c:axId val="411445152"/>
      </c:scatterChart>
      <c:valAx>
        <c:axId val="41144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cap="none" baseline="0"/>
                  <a:t>T [°C]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11445152"/>
        <c:crosses val="autoZero"/>
        <c:crossBetween val="midCat"/>
      </c:valAx>
      <c:valAx>
        <c:axId val="4114451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cap="none" baseline="0"/>
                  <a:t>µ [cP]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1144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'oil properties'!$D$2:$I$2</c:f>
              <c:strCache>
                <c:ptCount val="1"/>
                <c:pt idx="0">
                  <c:v>Amokon ISO-VG 32</c:v>
                </c:pt>
              </c:strCache>
            </c:strRef>
          </c:tx>
          <c:spPr>
            <a:ln w="25400" cap="flat" cmpd="dbl" algn="ctr">
              <a:solidFill>
                <a:schemeClr val="accent1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'oil properties'!$C$4:$C$24</c:f>
              <c:numCache>
                <c:formatCode>General</c:formatCode>
                <c:ptCount val="21"/>
                <c:pt idx="0">
                  <c:v>10</c:v>
                </c:pt>
                <c:pt idx="1">
                  <c:v>15.56</c:v>
                </c:pt>
                <c:pt idx="2">
                  <c:v>21.11</c:v>
                </c:pt>
                <c:pt idx="3">
                  <c:v>26.67</c:v>
                </c:pt>
                <c:pt idx="4">
                  <c:v>32.22</c:v>
                </c:pt>
                <c:pt idx="5">
                  <c:v>37.78</c:v>
                </c:pt>
                <c:pt idx="6">
                  <c:v>43.33</c:v>
                </c:pt>
                <c:pt idx="7">
                  <c:v>48.89</c:v>
                </c:pt>
                <c:pt idx="8">
                  <c:v>54.44</c:v>
                </c:pt>
                <c:pt idx="9">
                  <c:v>60</c:v>
                </c:pt>
                <c:pt idx="10">
                  <c:v>65.56</c:v>
                </c:pt>
                <c:pt idx="11">
                  <c:v>71.11</c:v>
                </c:pt>
                <c:pt idx="12">
                  <c:v>76.67</c:v>
                </c:pt>
                <c:pt idx="13">
                  <c:v>82.22</c:v>
                </c:pt>
                <c:pt idx="14">
                  <c:v>87.78</c:v>
                </c:pt>
                <c:pt idx="15">
                  <c:v>93.33</c:v>
                </c:pt>
                <c:pt idx="16">
                  <c:v>98.89</c:v>
                </c:pt>
                <c:pt idx="17">
                  <c:v>104.44</c:v>
                </c:pt>
                <c:pt idx="18">
                  <c:v>110</c:v>
                </c:pt>
                <c:pt idx="19">
                  <c:v>115.56</c:v>
                </c:pt>
                <c:pt idx="20">
                  <c:v>121.11</c:v>
                </c:pt>
              </c:numCache>
            </c:numRef>
          </c:xVal>
          <c:yVal>
            <c:numRef>
              <c:f>'oil properties'!$F$4:$F$24</c:f>
              <c:numCache>
                <c:formatCode>General</c:formatCode>
                <c:ptCount val="21"/>
                <c:pt idx="0">
                  <c:v>158.9948</c:v>
                </c:pt>
                <c:pt idx="1">
                  <c:v>111.923</c:v>
                </c:pt>
                <c:pt idx="2">
                  <c:v>81.146799999999999</c:v>
                </c:pt>
                <c:pt idx="3">
                  <c:v>60.405299999999997</c:v>
                </c:pt>
                <c:pt idx="4">
                  <c:v>46.039099999999998</c:v>
                </c:pt>
                <c:pt idx="5">
                  <c:v>35.839700000000001</c:v>
                </c:pt>
                <c:pt idx="6">
                  <c:v>28.434799999999999</c:v>
                </c:pt>
                <c:pt idx="7">
                  <c:v>22.9483</c:v>
                </c:pt>
                <c:pt idx="8">
                  <c:v>18.807700000000001</c:v>
                </c:pt>
                <c:pt idx="9">
                  <c:v>15.6296</c:v>
                </c:pt>
                <c:pt idx="10">
                  <c:v>13.152699999999999</c:v>
                </c:pt>
                <c:pt idx="11">
                  <c:v>11.195</c:v>
                </c:pt>
                <c:pt idx="12">
                  <c:v>9.6274999999999995</c:v>
                </c:pt>
                <c:pt idx="13">
                  <c:v>8.3576999999999995</c:v>
                </c:pt>
                <c:pt idx="14">
                  <c:v>7.3177000000000003</c:v>
                </c:pt>
                <c:pt idx="15">
                  <c:v>6.4573999999999998</c:v>
                </c:pt>
                <c:pt idx="16">
                  <c:v>5.7392000000000003</c:v>
                </c:pt>
                <c:pt idx="17">
                  <c:v>5.1345000000000001</c:v>
                </c:pt>
                <c:pt idx="18">
                  <c:v>4.6212999999999997</c:v>
                </c:pt>
                <c:pt idx="19">
                  <c:v>4.1825999999999999</c:v>
                </c:pt>
                <c:pt idx="20">
                  <c:v>3.8050999999999999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8A-4D99-8ABF-F1BBDE101C3E}"/>
            </c:ext>
          </c:extLst>
        </c:ser>
        <c:ser>
          <c:idx val="1"/>
          <c:order val="1"/>
          <c:tx>
            <c:strRef>
              <c:f>'oil properties'!$J$2:$O$2</c:f>
              <c:strCache>
                <c:ptCount val="1"/>
                <c:pt idx="0">
                  <c:v>Amokon ISO-VG 46</c:v>
                </c:pt>
              </c:strCache>
            </c:strRef>
          </c:tx>
          <c:spPr>
            <a:ln w="25400" cap="flat" cmpd="dbl" algn="ctr">
              <a:solidFill>
                <a:schemeClr val="accent2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'oil properties'!$C$4:$C$24</c:f>
              <c:numCache>
                <c:formatCode>General</c:formatCode>
                <c:ptCount val="21"/>
                <c:pt idx="0">
                  <c:v>10</c:v>
                </c:pt>
                <c:pt idx="1">
                  <c:v>15.56</c:v>
                </c:pt>
                <c:pt idx="2">
                  <c:v>21.11</c:v>
                </c:pt>
                <c:pt idx="3">
                  <c:v>26.67</c:v>
                </c:pt>
                <c:pt idx="4">
                  <c:v>32.22</c:v>
                </c:pt>
                <c:pt idx="5">
                  <c:v>37.78</c:v>
                </c:pt>
                <c:pt idx="6">
                  <c:v>43.33</c:v>
                </c:pt>
                <c:pt idx="7">
                  <c:v>48.89</c:v>
                </c:pt>
                <c:pt idx="8">
                  <c:v>54.44</c:v>
                </c:pt>
                <c:pt idx="9">
                  <c:v>60</c:v>
                </c:pt>
                <c:pt idx="10">
                  <c:v>65.56</c:v>
                </c:pt>
                <c:pt idx="11">
                  <c:v>71.11</c:v>
                </c:pt>
                <c:pt idx="12">
                  <c:v>76.67</c:v>
                </c:pt>
                <c:pt idx="13">
                  <c:v>82.22</c:v>
                </c:pt>
                <c:pt idx="14">
                  <c:v>87.78</c:v>
                </c:pt>
                <c:pt idx="15">
                  <c:v>93.33</c:v>
                </c:pt>
                <c:pt idx="16">
                  <c:v>98.89</c:v>
                </c:pt>
                <c:pt idx="17">
                  <c:v>104.44</c:v>
                </c:pt>
                <c:pt idx="18">
                  <c:v>110</c:v>
                </c:pt>
                <c:pt idx="19">
                  <c:v>115.56</c:v>
                </c:pt>
                <c:pt idx="20">
                  <c:v>121.11</c:v>
                </c:pt>
              </c:numCache>
            </c:numRef>
          </c:xVal>
          <c:yVal>
            <c:numRef>
              <c:f>'oil properties'!$L$4:$L$24</c:f>
              <c:numCache>
                <c:formatCode>General</c:formatCode>
                <c:ptCount val="21"/>
                <c:pt idx="0">
                  <c:v>266.36079999999998</c:v>
                </c:pt>
                <c:pt idx="1">
                  <c:v>182.1678</c:v>
                </c:pt>
                <c:pt idx="2">
                  <c:v>128.61099999999999</c:v>
                </c:pt>
                <c:pt idx="3">
                  <c:v>93.421000000000006</c:v>
                </c:pt>
                <c:pt idx="4">
                  <c:v>69.613500000000002</c:v>
                </c:pt>
                <c:pt idx="5">
                  <c:v>53.075699999999998</c:v>
                </c:pt>
                <c:pt idx="6">
                  <c:v>41.3095</c:v>
                </c:pt>
                <c:pt idx="7">
                  <c:v>32.754100000000001</c:v>
                </c:pt>
                <c:pt idx="8">
                  <c:v>26.409199999999998</c:v>
                </c:pt>
                <c:pt idx="9">
                  <c:v>21.618099999999998</c:v>
                </c:pt>
                <c:pt idx="10">
                  <c:v>17.940100000000001</c:v>
                </c:pt>
                <c:pt idx="11">
                  <c:v>15.074</c:v>
                </c:pt>
                <c:pt idx="12">
                  <c:v>12.8093</c:v>
                </c:pt>
                <c:pt idx="13">
                  <c:v>10.997199999999999</c:v>
                </c:pt>
                <c:pt idx="14">
                  <c:v>9.5300999999999991</c:v>
                </c:pt>
                <c:pt idx="15">
                  <c:v>8.3295999999999992</c:v>
                </c:pt>
                <c:pt idx="16">
                  <c:v>7.3375000000000004</c:v>
                </c:pt>
                <c:pt idx="17">
                  <c:v>6.51</c:v>
                </c:pt>
                <c:pt idx="18">
                  <c:v>5.8140000000000001</c:v>
                </c:pt>
                <c:pt idx="19">
                  <c:v>5.2239000000000004</c:v>
                </c:pt>
                <c:pt idx="20">
                  <c:v>4.72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78A-4D99-8ABF-F1BBDE101C3E}"/>
            </c:ext>
          </c:extLst>
        </c:ser>
        <c:ser>
          <c:idx val="2"/>
          <c:order val="2"/>
          <c:tx>
            <c:strRef>
              <c:f>'oil properties'!$P$2:$U$2</c:f>
              <c:strCache>
                <c:ptCount val="1"/>
                <c:pt idx="0">
                  <c:v>Amokon ISO-VG 68</c:v>
                </c:pt>
              </c:strCache>
            </c:strRef>
          </c:tx>
          <c:spPr>
            <a:ln w="25400" cap="flat" cmpd="dbl" algn="ctr">
              <a:solidFill>
                <a:schemeClr val="accent3">
                  <a:alpha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'oil properties'!$C$4:$C$24</c:f>
              <c:numCache>
                <c:formatCode>General</c:formatCode>
                <c:ptCount val="21"/>
                <c:pt idx="0">
                  <c:v>10</c:v>
                </c:pt>
                <c:pt idx="1">
                  <c:v>15.56</c:v>
                </c:pt>
                <c:pt idx="2">
                  <c:v>21.11</c:v>
                </c:pt>
                <c:pt idx="3">
                  <c:v>26.67</c:v>
                </c:pt>
                <c:pt idx="4">
                  <c:v>32.22</c:v>
                </c:pt>
                <c:pt idx="5">
                  <c:v>37.78</c:v>
                </c:pt>
                <c:pt idx="6">
                  <c:v>43.33</c:v>
                </c:pt>
                <c:pt idx="7">
                  <c:v>48.89</c:v>
                </c:pt>
                <c:pt idx="8">
                  <c:v>54.44</c:v>
                </c:pt>
                <c:pt idx="9">
                  <c:v>60</c:v>
                </c:pt>
                <c:pt idx="10">
                  <c:v>65.56</c:v>
                </c:pt>
                <c:pt idx="11">
                  <c:v>71.11</c:v>
                </c:pt>
                <c:pt idx="12">
                  <c:v>76.67</c:v>
                </c:pt>
                <c:pt idx="13">
                  <c:v>82.22</c:v>
                </c:pt>
                <c:pt idx="14">
                  <c:v>87.78</c:v>
                </c:pt>
                <c:pt idx="15">
                  <c:v>93.33</c:v>
                </c:pt>
                <c:pt idx="16">
                  <c:v>98.89</c:v>
                </c:pt>
                <c:pt idx="17">
                  <c:v>104.44</c:v>
                </c:pt>
                <c:pt idx="18">
                  <c:v>110</c:v>
                </c:pt>
                <c:pt idx="19">
                  <c:v>115.56</c:v>
                </c:pt>
                <c:pt idx="20">
                  <c:v>121.11</c:v>
                </c:pt>
              </c:numCache>
            </c:numRef>
          </c:xVal>
          <c:yVal>
            <c:numRef>
              <c:f>'oil properties'!$R$4:$R$24</c:f>
              <c:numCache>
                <c:formatCode>General</c:formatCode>
                <c:ptCount val="21"/>
                <c:pt idx="0">
                  <c:v>429.26350000000002</c:v>
                </c:pt>
                <c:pt idx="1">
                  <c:v>285.6936</c:v>
                </c:pt>
                <c:pt idx="2">
                  <c:v>196.70269999999999</c:v>
                </c:pt>
                <c:pt idx="3">
                  <c:v>139.61490000000001</c:v>
                </c:pt>
                <c:pt idx="4">
                  <c:v>101.8399</c:v>
                </c:pt>
                <c:pt idx="5">
                  <c:v>76.133399999999995</c:v>
                </c:pt>
                <c:pt idx="6">
                  <c:v>58.189300000000003</c:v>
                </c:pt>
                <c:pt idx="7">
                  <c:v>45.371099999999998</c:v>
                </c:pt>
                <c:pt idx="8">
                  <c:v>36.020099999999999</c:v>
                </c:pt>
                <c:pt idx="9">
                  <c:v>29.066400000000002</c:v>
                </c:pt>
                <c:pt idx="10">
                  <c:v>23.804200000000002</c:v>
                </c:pt>
                <c:pt idx="11">
                  <c:v>19.7577</c:v>
                </c:pt>
                <c:pt idx="12">
                  <c:v>16.599900000000002</c:v>
                </c:pt>
                <c:pt idx="13">
                  <c:v>14.102399999999999</c:v>
                </c:pt>
                <c:pt idx="14">
                  <c:v>12.1023</c:v>
                </c:pt>
                <c:pt idx="15">
                  <c:v>10.482200000000001</c:v>
                </c:pt>
                <c:pt idx="16">
                  <c:v>9.1559000000000008</c:v>
                </c:pt>
                <c:pt idx="17">
                  <c:v>8.0595999999999997</c:v>
                </c:pt>
                <c:pt idx="18">
                  <c:v>7.1452</c:v>
                </c:pt>
                <c:pt idx="19">
                  <c:v>6.3761000000000001</c:v>
                </c:pt>
                <c:pt idx="20">
                  <c:v>5.7241999999999997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78A-4D99-8ABF-F1BBDE101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1446592"/>
        <c:axId val="411445152"/>
      </c:scatterChart>
      <c:valAx>
        <c:axId val="41144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 cap="none" baseline="0"/>
                  <a:t>T [°C]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11445152"/>
        <c:crosses val="autoZero"/>
        <c:crossBetween val="midCat"/>
      </c:valAx>
      <c:valAx>
        <c:axId val="411445152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non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l-GR" cap="none" baseline="0">
                    <a:latin typeface="Calibri" panose="020F0502020204030204" pitchFamily="34" charset="0"/>
                    <a:cs typeface="Calibri" panose="020F0502020204030204" pitchFamily="34" charset="0"/>
                  </a:rPr>
                  <a:t>ν</a:t>
                </a:r>
                <a:r>
                  <a:rPr lang="it-IT" cap="none" baseline="0"/>
                  <a:t> [cSt]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none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1144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tx1">
        <a:lumMod val="65000"/>
        <a:lumOff val="35000"/>
      </a:schemeClr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5400" cap="flat" cmpd="dbl" algn="ctr">
        <a:solidFill>
          <a:schemeClr val="phClr">
            <a:alpha val="50000"/>
          </a:schemeClr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ln w="34925" cap="flat" cmpd="dbl" algn="ctr">
        <a:solidFill>
          <a:schemeClr val="phClr">
            <a:lumMod val="75000"/>
            <a:alpha val="70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kern="1200" spc="0" normalizeH="0" baseline="0"/>
  </cs:title>
  <cs:trendline>
    <cs:lnRef idx="0">
      <cs:styleClr val="0"/>
    </cs:lnRef>
    <cs:fillRef idx="0"/>
    <cs:effectRef idx="0"/>
    <cs:fontRef idx="minor">
      <a:schemeClr val="tx1"/>
    </cs:fontRef>
    <cs:spPr>
      <a:ln w="38100" cap="rnd" cmpd="sng" algn="ctr">
        <a:solidFill>
          <a:schemeClr val="phClr">
            <a:lumMod val="75000"/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209550</xdr:colOff>
      <xdr:row>1</xdr:row>
      <xdr:rowOff>114300</xdr:rowOff>
    </xdr:from>
    <xdr:to>
      <xdr:col>19</xdr:col>
      <xdr:colOff>95250</xdr:colOff>
      <xdr:row>4</xdr:row>
      <xdr:rowOff>145782</xdr:rowOff>
    </xdr:to>
    <xdr:pic>
      <xdr:nvPicPr>
        <xdr:cNvPr id="2" name="Picture 2" descr="trillium 2">
          <a:extLst>
            <a:ext uri="{FF2B5EF4-FFF2-40B4-BE49-F238E27FC236}">
              <a16:creationId xmlns:a16="http://schemas.microsoft.com/office/drawing/2014/main" id="{7BE6947B-9D09-4040-87FF-D9B051B640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3075" y="304800"/>
          <a:ext cx="2514600" cy="60298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95250</xdr:colOff>
      <xdr:row>26</xdr:row>
      <xdr:rowOff>9525</xdr:rowOff>
    </xdr:from>
    <xdr:to>
      <xdr:col>29</xdr:col>
      <xdr:colOff>19050</xdr:colOff>
      <xdr:row>37</xdr:row>
      <xdr:rowOff>47625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70C986E-467D-4171-AC9E-E995934782DE}"/>
            </a:ext>
          </a:extLst>
        </xdr:cNvPr>
        <xdr:cNvSpPr txBox="1"/>
      </xdr:nvSpPr>
      <xdr:spPr>
        <a:xfrm>
          <a:off x="95250" y="4962525"/>
          <a:ext cx="6276975" cy="2133600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/>
            <a:t>INSTRUCTIONS</a:t>
          </a:r>
        </a:p>
        <a:p>
          <a:r>
            <a:rPr lang="en-US" sz="1100" b="0" u="none"/>
            <a:t>This worksheet</a:t>
          </a:r>
          <a:r>
            <a:rPr lang="en-US" sz="1100" b="0" u="none" baseline="0"/>
            <a:t> caIculatate the oil ring speed and the oil delivered</a:t>
          </a:r>
        </a:p>
        <a:p>
          <a:endParaRPr lang="en-US" sz="1100" b="0" u="none" baseline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Sheet "oil ring calculator"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GB" sz="1100" b="0" u="non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100" b="0" u="none" baseline="0">
              <a:solidFill>
                <a:schemeClr val="dk1"/>
              </a:solidFill>
              <a:latin typeface="+mn-lt"/>
              <a:ea typeface="+mn-ea"/>
              <a:cs typeface="+mn-cs"/>
            </a:rPr>
            <a:t>Sheet "oil properties"</a:t>
          </a:r>
          <a:endParaRPr lang="it-IT" sz="1100" b="0" u="non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endParaRPr lang="en-US" sz="1100" b="0" u="none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0</xdr:colOff>
      <xdr:row>1</xdr:row>
      <xdr:rowOff>0</xdr:rowOff>
    </xdr:from>
    <xdr:to>
      <xdr:col>25</xdr:col>
      <xdr:colOff>0</xdr:colOff>
      <xdr:row>25</xdr:row>
      <xdr:rowOff>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E5284805-F338-BDFE-E522-7DDC21CE1B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0</xdr:colOff>
      <xdr:row>25</xdr:row>
      <xdr:rowOff>0</xdr:rowOff>
    </xdr:from>
    <xdr:to>
      <xdr:col>25</xdr:col>
      <xdr:colOff>0</xdr:colOff>
      <xdr:row>46</xdr:row>
      <xdr:rowOff>0</xdr:rowOff>
    </xdr:to>
    <xdr:graphicFrame macro="">
      <xdr:nvGraphicFramePr>
        <xdr:cNvPr id="5" name="Grafico 2">
          <a:extLst>
            <a:ext uri="{FF2B5EF4-FFF2-40B4-BE49-F238E27FC236}">
              <a16:creationId xmlns:a16="http://schemas.microsoft.com/office/drawing/2014/main" id="{94C91A63-CE82-4619-8EF2-C6442E5CBF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25</xdr:row>
      <xdr:rowOff>228599</xdr:rowOff>
    </xdr:from>
    <xdr:to>
      <xdr:col>14</xdr:col>
      <xdr:colOff>323850</xdr:colOff>
      <xdr:row>35</xdr:row>
      <xdr:rowOff>9524</xdr:rowOff>
    </xdr:to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id="{98B6F42F-4E10-48DA-A346-02916D399CA2}"/>
            </a:ext>
          </a:extLst>
        </xdr:cNvPr>
        <xdr:cNvSpPr txBox="1"/>
      </xdr:nvSpPr>
      <xdr:spPr>
        <a:xfrm>
          <a:off x="6619875" y="5238749"/>
          <a:ext cx="4610100" cy="1990725"/>
        </a:xfrm>
        <a:prstGeom prst="rect">
          <a:avLst/>
        </a:prstGeom>
        <a:solidFill>
          <a:schemeClr val="lt1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100" b="1" u="sng"/>
            <a:t>INSTRUCTIONS.</a:t>
          </a:r>
        </a:p>
        <a:p>
          <a:r>
            <a:rPr lang="it-IT" sz="1100" b="0" u="none"/>
            <a:t>1) Compile the input data cells.</a:t>
          </a:r>
        </a:p>
        <a:p>
          <a:r>
            <a:rPr lang="it-IT" sz="1100" b="0" u="none"/>
            <a:t>2) Evaluate</a:t>
          </a:r>
          <a:r>
            <a:rPr lang="it-IT" sz="1100" b="0" u="none" baseline="0"/>
            <a:t> (from formula,tools, etc...) the required oil to feed the bearing without starvation.</a:t>
          </a:r>
        </a:p>
        <a:p>
          <a:r>
            <a:rPr lang="it-IT" sz="1100" b="0" u="none" baseline="0"/>
            <a:t>3) Calculate the oil ring speed N and flow Q.</a:t>
          </a:r>
          <a:endParaRPr lang="it-IT" sz="1100" b="0" u="none"/>
        </a:p>
        <a:p>
          <a:r>
            <a:rPr lang="it-IT" sz="1100" b="0" u="none"/>
            <a:t>4)</a:t>
          </a:r>
          <a:r>
            <a:rPr lang="it-IT" sz="1100" b="0" u="none" baseline="0"/>
            <a:t> Verify that following conditions are satisfied:</a:t>
          </a:r>
        </a:p>
        <a:p>
          <a:r>
            <a:rPr lang="it-IT" sz="1100" b="0" u="none" baseline="0"/>
            <a:t>     - oil ring is in full film condition;</a:t>
          </a:r>
        </a:p>
        <a:p>
          <a:r>
            <a:rPr lang="it-IT" sz="1100" b="0" u="none" baseline="0"/>
            <a:t>     - stavation ratio Q/Q</a:t>
          </a:r>
          <a:r>
            <a:rPr lang="it-IT" sz="1100" b="0" u="none" baseline="-25000"/>
            <a:t>full</a:t>
          </a:r>
          <a:r>
            <a:rPr lang="it-IT" sz="1100" b="0" u="none" baseline="0"/>
            <a:t> is greater than 40%;</a:t>
          </a:r>
        </a:p>
        <a:p>
          <a:r>
            <a:rPr lang="it-IT" sz="1100" b="0" u="none" baseline="0"/>
            <a:t>     - </a:t>
          </a:r>
          <a:r>
            <a:rPr lang="it-IT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Q/Q</a:t>
          </a:r>
          <a:r>
            <a:rPr lang="it-IT" sz="1100" b="0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min</a:t>
          </a:r>
          <a:r>
            <a:rPr lang="it-IT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is greater than 4;</a:t>
          </a:r>
        </a:p>
        <a:p>
          <a:r>
            <a:rPr lang="it-IT" sz="11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5) It is preferable to have oil ring transition speed n</a:t>
          </a:r>
          <a:r>
            <a:rPr lang="it-IT" sz="1100" b="0" u="non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</a:t>
          </a:r>
          <a:r>
            <a:rPr lang="it-IT" sz="11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greater than oil ring full-film speed n</a:t>
          </a:r>
          <a:r>
            <a:rPr lang="it-IT" sz="1100" b="0" u="none" baseline="-250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f</a:t>
          </a:r>
          <a:r>
            <a:rPr lang="it-IT" sz="1100" b="0" u="none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  <a:endParaRPr lang="it-IT" sz="1100" b="0" u="none"/>
        </a:p>
      </xdr:txBody>
    </xdr:sp>
    <xdr:clientData/>
  </xdr:twoCellAnchor>
  <xdr:twoCellAnchor editAs="oneCell">
    <xdr:from>
      <xdr:col>7</xdr:col>
      <xdr:colOff>0</xdr:colOff>
      <xdr:row>1</xdr:row>
      <xdr:rowOff>0</xdr:rowOff>
    </xdr:from>
    <xdr:to>
      <xdr:col>14</xdr:col>
      <xdr:colOff>289622</xdr:colOff>
      <xdr:row>19</xdr:row>
      <xdr:rowOff>19860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7EE93CD9-B20C-CF4B-AD3E-61F853A771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619875" y="190500"/>
          <a:ext cx="4580952" cy="3676190"/>
        </a:xfrm>
        <a:prstGeom prst="rect">
          <a:avLst/>
        </a:prstGeom>
      </xdr:spPr>
    </xdr:pic>
    <xdr:clientData/>
  </xdr:twoCellAnchor>
  <xdr:twoCellAnchor>
    <xdr:from>
      <xdr:col>7</xdr:col>
      <xdr:colOff>0</xdr:colOff>
      <xdr:row>15</xdr:row>
      <xdr:rowOff>160020</xdr:rowOff>
    </xdr:from>
    <xdr:to>
      <xdr:col>14</xdr:col>
      <xdr:colOff>296550</xdr:colOff>
      <xdr:row>19</xdr:row>
      <xdr:rowOff>300</xdr:rowOff>
    </xdr:to>
    <xdr:sp macro="" textlink="">
      <xdr:nvSpPr>
        <xdr:cNvPr id="7" name="Rettangolo 6">
          <a:extLst>
            <a:ext uri="{FF2B5EF4-FFF2-40B4-BE49-F238E27FC236}">
              <a16:creationId xmlns:a16="http://schemas.microsoft.com/office/drawing/2014/main" id="{38E8563B-E229-500A-E1CC-F8C63FB5F4A7}"/>
            </a:ext>
          </a:extLst>
        </xdr:cNvPr>
        <xdr:cNvSpPr/>
      </xdr:nvSpPr>
      <xdr:spPr>
        <a:xfrm>
          <a:off x="6812280" y="2987040"/>
          <a:ext cx="4617090" cy="648000"/>
        </a:xfrm>
        <a:prstGeom prst="rect">
          <a:avLst/>
        </a:prstGeom>
        <a:solidFill>
          <a:schemeClr val="accent1">
            <a:alpha val="2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oneCellAnchor>
    <xdr:from>
      <xdr:col>34</xdr:col>
      <xdr:colOff>455163</xdr:colOff>
      <xdr:row>2</xdr:row>
      <xdr:rowOff>128587</xdr:rowOff>
    </xdr:from>
    <xdr:ext cx="525528" cy="3202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asellaDiTesto 7">
              <a:extLst>
                <a:ext uri="{FF2B5EF4-FFF2-40B4-BE49-F238E27FC236}">
                  <a16:creationId xmlns:a16="http://schemas.microsoft.com/office/drawing/2014/main" id="{A993A9DA-0EC4-6009-1787-4374741B352D}"/>
                </a:ext>
              </a:extLst>
            </xdr:cNvPr>
            <xdr:cNvSpPr txBox="1"/>
          </xdr:nvSpPr>
          <xdr:spPr>
            <a:xfrm>
              <a:off x="19286088" y="547687"/>
              <a:ext cx="525528" cy="3202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100" i="1">
                        <a:latin typeface="Cambria Math" panose="02040503050406030204" pitchFamily="18" charset="0"/>
                      </a:rPr>
                      <m:t>𝑁</m:t>
                    </m:r>
                    <m:r>
                      <a:rPr lang="it-IT" sz="1100" i="0">
                        <a:latin typeface="Cambria Math" panose="02040503050406030204" pitchFamily="18" charset="0"/>
                      </a:rPr>
                      <m:t>=</m:t>
                    </m:r>
                    <m:r>
                      <a:rPr lang="it-IT" sz="1100" i="1">
                        <a:latin typeface="Cambria Math" panose="02040503050406030204" pitchFamily="18" charset="0"/>
                      </a:rPr>
                      <m:t>𝑛</m:t>
                    </m:r>
                    <m:f>
                      <m:fPr>
                        <m:ctrlPr>
                          <a:rPr lang="it-IT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num>
                      <m:den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den>
                    </m:f>
                  </m:oMath>
                </m:oMathPara>
              </a14:m>
              <a:endParaRPr lang="it-IT" sz="1100"/>
            </a:p>
          </xdr:txBody>
        </xdr:sp>
      </mc:Choice>
      <mc:Fallback xmlns="">
        <xdr:sp macro="" textlink="">
          <xdr:nvSpPr>
            <xdr:cNvPr id="8" name="CasellaDiTesto 7">
              <a:extLst>
                <a:ext uri="{FF2B5EF4-FFF2-40B4-BE49-F238E27FC236}">
                  <a16:creationId xmlns:a16="http://schemas.microsoft.com/office/drawing/2014/main" id="{A993A9DA-0EC4-6009-1787-4374741B352D}"/>
                </a:ext>
              </a:extLst>
            </xdr:cNvPr>
            <xdr:cNvSpPr txBox="1"/>
          </xdr:nvSpPr>
          <xdr:spPr>
            <a:xfrm>
              <a:off x="19286088" y="547687"/>
              <a:ext cx="525528" cy="3202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100" i="0">
                  <a:latin typeface="Cambria Math" panose="02040503050406030204" pitchFamily="18" charset="0"/>
                </a:rPr>
                <a:t>𝑁=𝑛</a:t>
              </a:r>
              <a:r>
                <a:rPr lang="it-IT" sz="1100" b="0" i="0">
                  <a:latin typeface="Cambria Math" panose="02040503050406030204" pitchFamily="18" charset="0"/>
                </a:rPr>
                <a:t> 𝑑/𝐷</a:t>
              </a:r>
              <a:endParaRPr lang="it-IT" sz="1100"/>
            </a:p>
          </xdr:txBody>
        </xdr:sp>
      </mc:Fallback>
    </mc:AlternateContent>
    <xdr:clientData/>
  </xdr:oneCellAnchor>
  <xdr:oneCellAnchor>
    <xdr:from>
      <xdr:col>36</xdr:col>
      <xdr:colOff>514769</xdr:colOff>
      <xdr:row>3</xdr:row>
      <xdr:rowOff>14287</xdr:rowOff>
    </xdr:from>
    <xdr:ext cx="383695" cy="1737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asellaDiTesto 8">
              <a:extLst>
                <a:ext uri="{FF2B5EF4-FFF2-40B4-BE49-F238E27FC236}">
                  <a16:creationId xmlns:a16="http://schemas.microsoft.com/office/drawing/2014/main" id="{CF02089B-22E2-211A-5FC1-D7AE64AD1887}"/>
                </a:ext>
              </a:extLst>
            </xdr:cNvPr>
            <xdr:cNvSpPr txBox="1"/>
          </xdr:nvSpPr>
          <xdr:spPr>
            <a:xfrm>
              <a:off x="20774444" y="623887"/>
              <a:ext cx="383695" cy="1737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100" b="0" i="1">
                        <a:latin typeface="Cambria Math" panose="02040503050406030204" pitchFamily="18" charset="0"/>
                      </a:rPr>
                      <m:t>𝑉</m:t>
                    </m:r>
                    <m:r>
                      <a:rPr lang="it-IT" sz="1100" i="0">
                        <a:latin typeface="Cambria Math" panose="02040503050406030204" pitchFamily="18" charset="0"/>
                      </a:rPr>
                      <m:t>=</m:t>
                    </m:r>
                    <m:r>
                      <a:rPr lang="it-IT" sz="1100" b="0" i="1">
                        <a:latin typeface="Cambria Math" panose="02040503050406030204" pitchFamily="18" charset="0"/>
                      </a:rPr>
                      <m:t>𝑣</m:t>
                    </m:r>
                  </m:oMath>
                </m:oMathPara>
              </a14:m>
              <a:endParaRPr lang="it-IT" sz="1100"/>
            </a:p>
          </xdr:txBody>
        </xdr:sp>
      </mc:Choice>
      <mc:Fallback xmlns="">
        <xdr:sp macro="" textlink="">
          <xdr:nvSpPr>
            <xdr:cNvPr id="9" name="CasellaDiTesto 8">
              <a:extLst>
                <a:ext uri="{FF2B5EF4-FFF2-40B4-BE49-F238E27FC236}">
                  <a16:creationId xmlns:a16="http://schemas.microsoft.com/office/drawing/2014/main" id="{CF02089B-22E2-211A-5FC1-D7AE64AD1887}"/>
                </a:ext>
              </a:extLst>
            </xdr:cNvPr>
            <xdr:cNvSpPr txBox="1"/>
          </xdr:nvSpPr>
          <xdr:spPr>
            <a:xfrm>
              <a:off x="20774444" y="623887"/>
              <a:ext cx="383695" cy="1737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100" b="0" i="0">
                  <a:latin typeface="Cambria Math" panose="02040503050406030204" pitchFamily="18" charset="0"/>
                </a:rPr>
                <a:t>𝑉</a:t>
              </a:r>
              <a:r>
                <a:rPr lang="it-IT" sz="1100" i="0">
                  <a:latin typeface="Cambria Math" panose="02040503050406030204" pitchFamily="18" charset="0"/>
                </a:rPr>
                <a:t>=</a:t>
              </a:r>
              <a:r>
                <a:rPr lang="it-IT" sz="1100" b="0" i="0">
                  <a:latin typeface="Cambria Math" panose="02040503050406030204" pitchFamily="18" charset="0"/>
                </a:rPr>
                <a:t>𝑣</a:t>
              </a:r>
              <a:endParaRPr lang="it-IT" sz="1100"/>
            </a:p>
          </xdr:txBody>
        </xdr:sp>
      </mc:Fallback>
    </mc:AlternateContent>
    <xdr:clientData/>
  </xdr:oneCellAnchor>
  <xdr:oneCellAnchor>
    <xdr:from>
      <xdr:col>34</xdr:col>
      <xdr:colOff>192591</xdr:colOff>
      <xdr:row>5</xdr:row>
      <xdr:rowOff>133350</xdr:rowOff>
    </xdr:from>
    <xdr:ext cx="1050672" cy="3434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asellaDiTesto 9">
              <a:extLst>
                <a:ext uri="{FF2B5EF4-FFF2-40B4-BE49-F238E27FC236}">
                  <a16:creationId xmlns:a16="http://schemas.microsoft.com/office/drawing/2014/main" id="{0C2C2A5D-5002-7C4D-7FE3-990D208949A1}"/>
                </a:ext>
              </a:extLst>
            </xdr:cNvPr>
            <xdr:cNvSpPr txBox="1"/>
          </xdr:nvSpPr>
          <xdr:spPr>
            <a:xfrm>
              <a:off x="21172991" y="1085850"/>
              <a:ext cx="1050672" cy="3434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it-IT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i="1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it-IT" sz="110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it-IT" sz="1100" i="1">
                        <a:latin typeface="Cambria Math" panose="02040503050406030204" pitchFamily="18" charset="0"/>
                      </a:rPr>
                      <m:t>=0,0048</m:t>
                    </m:r>
                    <m:f>
                      <m:fPr>
                        <m:ctrlPr>
                          <a:rPr lang="it-IT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𝑊</m:t>
                        </m:r>
                      </m:num>
                      <m:den>
                        <m:r>
                          <a:rPr lang="it-IT" sz="1100" i="1">
                            <a:latin typeface="Cambria Math" panose="02040503050406030204" pitchFamily="18" charset="0"/>
                          </a:rPr>
                          <m:t>𝜇</m:t>
                        </m:r>
                        <m:sSup>
                          <m:sSupPr>
                            <m:ctrlPr>
                              <a:rPr lang="it-IT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it-IT" sz="110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it-IT" sz="1100" i="1"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it-IT" sz="1100"/>
            </a:p>
          </xdr:txBody>
        </xdr:sp>
      </mc:Choice>
      <mc:Fallback xmlns="">
        <xdr:sp macro="" textlink="">
          <xdr:nvSpPr>
            <xdr:cNvPr id="10" name="CasellaDiTesto 9">
              <a:extLst>
                <a:ext uri="{FF2B5EF4-FFF2-40B4-BE49-F238E27FC236}">
                  <a16:creationId xmlns:a16="http://schemas.microsoft.com/office/drawing/2014/main" id="{0C2C2A5D-5002-7C4D-7FE3-990D208949A1}"/>
                </a:ext>
              </a:extLst>
            </xdr:cNvPr>
            <xdr:cNvSpPr txBox="1"/>
          </xdr:nvSpPr>
          <xdr:spPr>
            <a:xfrm>
              <a:off x="21172991" y="1085850"/>
              <a:ext cx="1050672" cy="3434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it-IT" sz="1100" i="0">
                  <a:latin typeface="Cambria Math" panose="02040503050406030204" pitchFamily="18" charset="0"/>
                </a:rPr>
                <a:t>𝑁</a:t>
              </a:r>
              <a:r>
                <a:rPr lang="it-IT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it-IT" sz="1100" i="0">
                  <a:latin typeface="Cambria Math" panose="02040503050406030204" pitchFamily="18" charset="0"/>
                </a:rPr>
                <a:t>𝑠=0,0048</a:t>
              </a:r>
              <a:r>
                <a:rPr lang="it-IT" sz="1100" b="0" i="0">
                  <a:latin typeface="Cambria Math" panose="02040503050406030204" pitchFamily="18" charset="0"/>
                </a:rPr>
                <a:t> 𝑊</a:t>
              </a:r>
              <a:r>
                <a:rPr lang="it-IT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it-IT" sz="1100" i="0">
                  <a:latin typeface="Cambria Math" panose="02040503050406030204" pitchFamily="18" charset="0"/>
                </a:rPr>
                <a:t>𝜇𝐷</a:t>
              </a:r>
              <a:r>
                <a:rPr lang="it-IT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it-IT" sz="1100" i="0">
                  <a:latin typeface="Cambria Math" panose="02040503050406030204" pitchFamily="18" charset="0"/>
                </a:rPr>
                <a:t>2 </a:t>
              </a:r>
              <a:r>
                <a:rPr lang="it-IT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it-IT" sz="1100"/>
            </a:p>
          </xdr:txBody>
        </xdr:sp>
      </mc:Fallback>
    </mc:AlternateContent>
    <xdr:clientData/>
  </xdr:oneCellAnchor>
  <xdr:oneCellAnchor>
    <xdr:from>
      <xdr:col>36</xdr:col>
      <xdr:colOff>376237</xdr:colOff>
      <xdr:row>6</xdr:row>
      <xdr:rowOff>13606</xdr:rowOff>
    </xdr:from>
    <xdr:ext cx="660758" cy="1737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" name="CasellaDiTesto 10">
              <a:extLst>
                <a:ext uri="{FF2B5EF4-FFF2-40B4-BE49-F238E27FC236}">
                  <a16:creationId xmlns:a16="http://schemas.microsoft.com/office/drawing/2014/main" id="{01AC2936-11A0-C989-5C02-5938449ED06D}"/>
                </a:ext>
              </a:extLst>
            </xdr:cNvPr>
            <xdr:cNvSpPr txBox="1"/>
          </xdr:nvSpPr>
          <xdr:spPr>
            <a:xfrm>
              <a:off x="20635912" y="1194706"/>
              <a:ext cx="660758" cy="1737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it-IT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it-IT" sz="110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it-IT" sz="110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it-IT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sSub>
                      <m:sSubPr>
                        <m:ctrlPr>
                          <a:rPr lang="it-IT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i="1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it-IT" sz="110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it-IT" sz="1100" i="1">
                        <a:latin typeface="Cambria Math" panose="02040503050406030204" pitchFamily="18" charset="0"/>
                      </a:rPr>
                      <m:t>𝐷</m:t>
                    </m:r>
                  </m:oMath>
                </m:oMathPara>
              </a14:m>
              <a:endParaRPr lang="it-IT" sz="1100"/>
            </a:p>
          </xdr:txBody>
        </xdr:sp>
      </mc:Choice>
      <mc:Fallback xmlns="">
        <xdr:sp macro="" textlink="">
          <xdr:nvSpPr>
            <xdr:cNvPr id="11" name="CasellaDiTesto 10">
              <a:extLst>
                <a:ext uri="{FF2B5EF4-FFF2-40B4-BE49-F238E27FC236}">
                  <a16:creationId xmlns:a16="http://schemas.microsoft.com/office/drawing/2014/main" id="{01AC2936-11A0-C989-5C02-5938449ED06D}"/>
                </a:ext>
              </a:extLst>
            </xdr:cNvPr>
            <xdr:cNvSpPr txBox="1"/>
          </xdr:nvSpPr>
          <xdr:spPr>
            <a:xfrm>
              <a:off x="20635912" y="1194706"/>
              <a:ext cx="660758" cy="1737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100" i="0">
                  <a:latin typeface="Cambria Math" panose="02040503050406030204" pitchFamily="18" charset="0"/>
                </a:rPr>
                <a:t>𝑉</a:t>
              </a:r>
              <a:r>
                <a:rPr lang="it-IT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it-IT" sz="1100" i="0">
                  <a:latin typeface="Cambria Math" panose="02040503050406030204" pitchFamily="18" charset="0"/>
                </a:rPr>
                <a:t>𝑠=</a:t>
              </a:r>
              <a:r>
                <a:rPr lang="it-IT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</a:t>
              </a:r>
              <a:r>
                <a:rPr lang="it-IT" sz="1100" i="0">
                  <a:latin typeface="Cambria Math" panose="02040503050406030204" pitchFamily="18" charset="0"/>
                </a:rPr>
                <a:t>𝑁</a:t>
              </a:r>
              <a:r>
                <a:rPr lang="it-IT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it-IT" sz="1100" i="0">
                  <a:latin typeface="Cambria Math" panose="02040503050406030204" pitchFamily="18" charset="0"/>
                </a:rPr>
                <a:t>𝑠 𝐷</a:t>
              </a:r>
              <a:endParaRPr lang="it-IT" sz="1100"/>
            </a:p>
          </xdr:txBody>
        </xdr:sp>
      </mc:Fallback>
    </mc:AlternateContent>
    <xdr:clientData/>
  </xdr:oneCellAnchor>
  <xdr:oneCellAnchor>
    <xdr:from>
      <xdr:col>40</xdr:col>
      <xdr:colOff>390490</xdr:colOff>
      <xdr:row>6</xdr:row>
      <xdr:rowOff>13606</xdr:rowOff>
    </xdr:from>
    <xdr:ext cx="449290" cy="1737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" name="CasellaDiTesto 11">
              <a:extLst>
                <a:ext uri="{FF2B5EF4-FFF2-40B4-BE49-F238E27FC236}">
                  <a16:creationId xmlns:a16="http://schemas.microsoft.com/office/drawing/2014/main" id="{4F17FA4D-F256-304A-3A46-1C5224C458F3}"/>
                </a:ext>
              </a:extLst>
            </xdr:cNvPr>
            <xdr:cNvSpPr txBox="1"/>
          </xdr:nvSpPr>
          <xdr:spPr>
            <a:xfrm>
              <a:off x="23507665" y="1194706"/>
              <a:ext cx="449290" cy="1737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it-IT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it-IT" sz="11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it-IT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it-IT" sz="1100"/>
            </a:p>
          </xdr:txBody>
        </xdr:sp>
      </mc:Choice>
      <mc:Fallback xmlns="">
        <xdr:sp macro="" textlink="">
          <xdr:nvSpPr>
            <xdr:cNvPr id="12" name="CasellaDiTesto 11">
              <a:extLst>
                <a:ext uri="{FF2B5EF4-FFF2-40B4-BE49-F238E27FC236}">
                  <a16:creationId xmlns:a16="http://schemas.microsoft.com/office/drawing/2014/main" id="{4F17FA4D-F256-304A-3A46-1C5224C458F3}"/>
                </a:ext>
              </a:extLst>
            </xdr:cNvPr>
            <xdr:cNvSpPr txBox="1"/>
          </xdr:nvSpPr>
          <xdr:spPr>
            <a:xfrm>
              <a:off x="23507665" y="1194706"/>
              <a:ext cx="449290" cy="1737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100" b="0" i="0">
                  <a:latin typeface="Cambria Math" panose="02040503050406030204" pitchFamily="18" charset="0"/>
                </a:rPr>
                <a:t>𝑣_𝑠</a:t>
              </a:r>
              <a:r>
                <a:rPr lang="it-IT" sz="1100" i="0">
                  <a:latin typeface="Cambria Math" panose="02040503050406030204" pitchFamily="18" charset="0"/>
                </a:rPr>
                <a:t>=</a:t>
              </a:r>
              <a:r>
                <a:rPr lang="it-IT" sz="1100" b="0" i="0">
                  <a:latin typeface="Cambria Math" panose="02040503050406030204" pitchFamily="18" charset="0"/>
                </a:rPr>
                <a:t>𝑉_𝑠</a:t>
              </a:r>
              <a:endParaRPr lang="it-IT" sz="1100"/>
            </a:p>
          </xdr:txBody>
        </xdr:sp>
      </mc:Fallback>
    </mc:AlternateContent>
    <xdr:clientData/>
  </xdr:oneCellAnchor>
  <xdr:oneCellAnchor>
    <xdr:from>
      <xdr:col>38</xdr:col>
      <xdr:colOff>364779</xdr:colOff>
      <xdr:row>5</xdr:row>
      <xdr:rowOff>132548</xdr:rowOff>
    </xdr:from>
    <xdr:ext cx="623440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" name="CasellaDiTesto 12">
              <a:extLst>
                <a:ext uri="{FF2B5EF4-FFF2-40B4-BE49-F238E27FC236}">
                  <a16:creationId xmlns:a16="http://schemas.microsoft.com/office/drawing/2014/main" id="{746BE2B8-2AF1-24EF-F757-86A11930B831}"/>
                </a:ext>
              </a:extLst>
            </xdr:cNvPr>
            <xdr:cNvSpPr txBox="1"/>
          </xdr:nvSpPr>
          <xdr:spPr>
            <a:xfrm>
              <a:off x="22053204" y="1123148"/>
              <a:ext cx="623440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it-IT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e>
                      <m:sub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it-IT" sz="11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it-IT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f>
                      <m:fPr>
                        <m:ctrlPr>
                          <a:rPr lang="it-IT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𝐷</m:t>
                        </m:r>
                      </m:num>
                      <m:den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𝑑</m:t>
                        </m:r>
                      </m:den>
                    </m:f>
                  </m:oMath>
                </m:oMathPara>
              </a14:m>
              <a:endParaRPr lang="it-IT" sz="1100"/>
            </a:p>
          </xdr:txBody>
        </xdr:sp>
      </mc:Choice>
      <mc:Fallback xmlns="">
        <xdr:sp macro="" textlink="">
          <xdr:nvSpPr>
            <xdr:cNvPr id="13" name="CasellaDiTesto 12">
              <a:extLst>
                <a:ext uri="{FF2B5EF4-FFF2-40B4-BE49-F238E27FC236}">
                  <a16:creationId xmlns:a16="http://schemas.microsoft.com/office/drawing/2014/main" id="{746BE2B8-2AF1-24EF-F757-86A11930B831}"/>
                </a:ext>
              </a:extLst>
            </xdr:cNvPr>
            <xdr:cNvSpPr txBox="1"/>
          </xdr:nvSpPr>
          <xdr:spPr>
            <a:xfrm>
              <a:off x="22053204" y="1123148"/>
              <a:ext cx="623440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100" b="0" i="0">
                  <a:latin typeface="Cambria Math" panose="02040503050406030204" pitchFamily="18" charset="0"/>
                </a:rPr>
                <a:t>𝑛_𝑠</a:t>
              </a:r>
              <a:r>
                <a:rPr lang="it-IT" sz="1100" i="0">
                  <a:latin typeface="Cambria Math" panose="02040503050406030204" pitchFamily="18" charset="0"/>
                </a:rPr>
                <a:t>=</a:t>
              </a:r>
              <a:r>
                <a:rPr lang="it-IT" sz="1100" b="0" i="0">
                  <a:latin typeface="Cambria Math" panose="02040503050406030204" pitchFamily="18" charset="0"/>
                </a:rPr>
                <a:t>𝑁_𝑠  𝐷/𝑑</a:t>
              </a:r>
              <a:endParaRPr lang="it-IT" sz="1100"/>
            </a:p>
          </xdr:txBody>
        </xdr:sp>
      </mc:Fallback>
    </mc:AlternateContent>
    <xdr:clientData/>
  </xdr:oneCellAnchor>
  <xdr:oneCellAnchor>
    <xdr:from>
      <xdr:col>40</xdr:col>
      <xdr:colOff>285750</xdr:colOff>
      <xdr:row>9</xdr:row>
      <xdr:rowOff>6468</xdr:rowOff>
    </xdr:from>
    <xdr:ext cx="658770" cy="1828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asellaDiTesto 13">
              <a:extLst>
                <a:ext uri="{FF2B5EF4-FFF2-40B4-BE49-F238E27FC236}">
                  <a16:creationId xmlns:a16="http://schemas.microsoft.com/office/drawing/2014/main" id="{AA22A2BF-D403-2621-3458-AED15845AF02}"/>
                </a:ext>
              </a:extLst>
            </xdr:cNvPr>
            <xdr:cNvSpPr txBox="1"/>
          </xdr:nvSpPr>
          <xdr:spPr>
            <a:xfrm>
              <a:off x="23402925" y="1759068"/>
              <a:ext cx="658770" cy="1828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it-IT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it-IT" sz="1100" i="0">
                        <a:latin typeface="Cambria Math" panose="02040503050406030204" pitchFamily="18" charset="0"/>
                      </a:rPr>
                      <m:t>=</m:t>
                    </m:r>
                    <m:r>
                      <a:rPr lang="it-IT" sz="1100" b="0" i="0">
                        <a:latin typeface="Cambria Math" panose="02040503050406030204" pitchFamily="18" charset="0"/>
                      </a:rPr>
                      <m:t>2.9</m:t>
                    </m:r>
                    <m:sSub>
                      <m:sSubPr>
                        <m:ctrlPr>
                          <a:rPr lang="it-IT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𝑣</m:t>
                        </m:r>
                      </m:e>
                      <m:sub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it-IT" sz="1100"/>
            </a:p>
          </xdr:txBody>
        </xdr:sp>
      </mc:Choice>
      <mc:Fallback xmlns="">
        <xdr:sp macro="" textlink="">
          <xdr:nvSpPr>
            <xdr:cNvPr id="14" name="CasellaDiTesto 13">
              <a:extLst>
                <a:ext uri="{FF2B5EF4-FFF2-40B4-BE49-F238E27FC236}">
                  <a16:creationId xmlns:a16="http://schemas.microsoft.com/office/drawing/2014/main" id="{AA22A2BF-D403-2621-3458-AED15845AF02}"/>
                </a:ext>
              </a:extLst>
            </xdr:cNvPr>
            <xdr:cNvSpPr txBox="1"/>
          </xdr:nvSpPr>
          <xdr:spPr>
            <a:xfrm>
              <a:off x="23402925" y="1759068"/>
              <a:ext cx="658770" cy="1828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100" b="0" i="0">
                  <a:latin typeface="Cambria Math" panose="02040503050406030204" pitchFamily="18" charset="0"/>
                </a:rPr>
                <a:t>𝑣_𝑓</a:t>
              </a:r>
              <a:r>
                <a:rPr lang="it-IT" sz="1100" i="0">
                  <a:latin typeface="Cambria Math" panose="02040503050406030204" pitchFamily="18" charset="0"/>
                </a:rPr>
                <a:t>=</a:t>
              </a:r>
              <a:r>
                <a:rPr lang="it-IT" sz="1100" b="0" i="0">
                  <a:latin typeface="Cambria Math" panose="02040503050406030204" pitchFamily="18" charset="0"/>
                </a:rPr>
                <a:t>2.9𝑣_𝑠</a:t>
              </a:r>
              <a:endParaRPr lang="it-IT" sz="1100"/>
            </a:p>
          </xdr:txBody>
        </xdr:sp>
      </mc:Fallback>
    </mc:AlternateContent>
    <xdr:clientData/>
  </xdr:oneCellAnchor>
  <xdr:oneCellAnchor>
    <xdr:from>
      <xdr:col>38</xdr:col>
      <xdr:colOff>338137</xdr:colOff>
      <xdr:row>9</xdr:row>
      <xdr:rowOff>6468</xdr:rowOff>
    </xdr:from>
    <xdr:ext cx="676724" cy="1828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asellaDiTesto 14">
              <a:extLst>
                <a:ext uri="{FF2B5EF4-FFF2-40B4-BE49-F238E27FC236}">
                  <a16:creationId xmlns:a16="http://schemas.microsoft.com/office/drawing/2014/main" id="{001D4F24-E6A2-A61D-40D2-CEBA16F31C34}"/>
                </a:ext>
              </a:extLst>
            </xdr:cNvPr>
            <xdr:cNvSpPr txBox="1"/>
          </xdr:nvSpPr>
          <xdr:spPr>
            <a:xfrm>
              <a:off x="22026562" y="1759068"/>
              <a:ext cx="676724" cy="1828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it-IT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e>
                      <m:sub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it-IT" sz="1100" i="0">
                        <a:latin typeface="Cambria Math" panose="02040503050406030204" pitchFamily="18" charset="0"/>
                      </a:rPr>
                      <m:t>=</m:t>
                    </m:r>
                    <m:r>
                      <a:rPr lang="it-IT" sz="1100" b="0" i="0">
                        <a:latin typeface="Cambria Math" panose="02040503050406030204" pitchFamily="18" charset="0"/>
                      </a:rPr>
                      <m:t>2.9</m:t>
                    </m:r>
                    <m:sSub>
                      <m:sSubPr>
                        <m:ctrlPr>
                          <a:rPr lang="it-IT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𝑛</m:t>
                        </m:r>
                      </m:e>
                      <m:sub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it-IT" sz="1100"/>
            </a:p>
          </xdr:txBody>
        </xdr:sp>
      </mc:Choice>
      <mc:Fallback xmlns="">
        <xdr:sp macro="" textlink="">
          <xdr:nvSpPr>
            <xdr:cNvPr id="15" name="CasellaDiTesto 14">
              <a:extLst>
                <a:ext uri="{FF2B5EF4-FFF2-40B4-BE49-F238E27FC236}">
                  <a16:creationId xmlns:a16="http://schemas.microsoft.com/office/drawing/2014/main" id="{001D4F24-E6A2-A61D-40D2-CEBA16F31C34}"/>
                </a:ext>
              </a:extLst>
            </xdr:cNvPr>
            <xdr:cNvSpPr txBox="1"/>
          </xdr:nvSpPr>
          <xdr:spPr>
            <a:xfrm>
              <a:off x="22026562" y="1759068"/>
              <a:ext cx="676724" cy="1828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100" b="0" i="0">
                  <a:latin typeface="Cambria Math" panose="02040503050406030204" pitchFamily="18" charset="0"/>
                </a:rPr>
                <a:t>𝑛_𝑓</a:t>
              </a:r>
              <a:r>
                <a:rPr lang="it-IT" sz="1100" i="0">
                  <a:latin typeface="Cambria Math" panose="02040503050406030204" pitchFamily="18" charset="0"/>
                </a:rPr>
                <a:t>=</a:t>
              </a:r>
              <a:r>
                <a:rPr lang="it-IT" sz="1100" b="0" i="0">
                  <a:latin typeface="Cambria Math" panose="02040503050406030204" pitchFamily="18" charset="0"/>
                </a:rPr>
                <a:t>2.9𝑛_𝑠</a:t>
              </a:r>
              <a:endParaRPr lang="it-IT" sz="1100"/>
            </a:p>
          </xdr:txBody>
        </xdr:sp>
      </mc:Fallback>
    </mc:AlternateContent>
    <xdr:clientData/>
  </xdr:oneCellAnchor>
  <xdr:oneCellAnchor>
    <xdr:from>
      <xdr:col>34</xdr:col>
      <xdr:colOff>19050</xdr:colOff>
      <xdr:row>8</xdr:row>
      <xdr:rowOff>119062</xdr:rowOff>
    </xdr:from>
    <xdr:ext cx="1397755" cy="33861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asellaDiTesto 15">
              <a:extLst>
                <a:ext uri="{FF2B5EF4-FFF2-40B4-BE49-F238E27FC236}">
                  <a16:creationId xmlns:a16="http://schemas.microsoft.com/office/drawing/2014/main" id="{08F683B0-28FF-1BAD-B27F-A81FBF65EC1D}"/>
                </a:ext>
              </a:extLst>
            </xdr:cNvPr>
            <xdr:cNvSpPr txBox="1"/>
          </xdr:nvSpPr>
          <xdr:spPr>
            <a:xfrm>
              <a:off x="18849975" y="1681162"/>
              <a:ext cx="1397755" cy="3386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it-IT" sz="110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it-IT" sz="1100" b="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it-IT" sz="1100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=</m:t>
                    </m:r>
                    <m:r>
                      <a:rPr lang="it-IT" sz="1100" b="0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𝑐𝑜𝑠𝑡</m:t>
                    </m:r>
                    <m:f>
                      <m:fPr>
                        <m:ctrlPr>
                          <a:rPr lang="it-IT" sz="110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it-IT" sz="1100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it-IT" sz="1100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𝜈</m:t>
                            </m:r>
                          </m:e>
                          <m:sup>
                            <m:r>
                              <a:rPr lang="it-IT" sz="1100" b="0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  <m:t>0.2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it-IT" sz="1100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it-IT" sz="1100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it-IT" sz="1100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  <m:sSup>
                      <m:sSupPr>
                        <m:ctrlPr>
                          <a:rPr lang="it-IT" sz="110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it-IT" sz="1100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it-IT" sz="1100" b="0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  <m:t>𝑛</m:t>
                            </m:r>
                            <m:sSup>
                              <m:sSupPr>
                                <m:ctrlPr>
                                  <a:rPr lang="it-IT" sz="1100" b="0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it-IT" sz="1100" b="0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p>
                                <m:r>
                                  <a:rPr lang="it-IT" sz="1100" b="0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</m:e>
                        </m:d>
                      </m:e>
                      <m:sup>
                        <m:r>
                          <a:rPr lang="it-IT" sz="1100" b="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0.8</m:t>
                        </m:r>
                      </m:sup>
                    </m:sSup>
                  </m:oMath>
                </m:oMathPara>
              </a14:m>
              <a:endParaRPr lang="it-IT" sz="1100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16" name="CasellaDiTesto 15">
              <a:extLst>
                <a:ext uri="{FF2B5EF4-FFF2-40B4-BE49-F238E27FC236}">
                  <a16:creationId xmlns:a16="http://schemas.microsoft.com/office/drawing/2014/main" id="{08F683B0-28FF-1BAD-B27F-A81FBF65EC1D}"/>
                </a:ext>
              </a:extLst>
            </xdr:cNvPr>
            <xdr:cNvSpPr txBox="1"/>
          </xdr:nvSpPr>
          <xdr:spPr>
            <a:xfrm>
              <a:off x="18849975" y="1681162"/>
              <a:ext cx="1397755" cy="33861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10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𝑁_</a:t>
              </a:r>
              <a:r>
                <a:rPr lang="it-IT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𝑓</a:t>
              </a:r>
              <a:r>
                <a:rPr lang="it-IT" sz="110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=</a:t>
              </a:r>
              <a:r>
                <a:rPr lang="it-IT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𝑐𝑜𝑠𝑡</a:t>
              </a:r>
              <a:r>
                <a:rPr lang="it-IT" sz="110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 </a:t>
              </a:r>
              <a:r>
                <a:rPr lang="it-IT" sz="1100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𝜈^</a:t>
              </a:r>
              <a:r>
                <a:rPr lang="it-IT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0.2/</a:t>
              </a:r>
              <a:r>
                <a:rPr lang="it-IT" sz="110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𝐷^2  (</a:t>
              </a:r>
              <a:r>
                <a:rPr lang="it-IT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𝑛𝑑^2 )^0.8</a:t>
              </a:r>
              <a:endParaRPr lang="it-IT" sz="1100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36</xdr:col>
      <xdr:colOff>364952</xdr:colOff>
      <xdr:row>9</xdr:row>
      <xdr:rowOff>6468</xdr:rowOff>
    </xdr:from>
    <xdr:ext cx="683328" cy="18280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7" name="CasellaDiTesto 16">
              <a:extLst>
                <a:ext uri="{FF2B5EF4-FFF2-40B4-BE49-F238E27FC236}">
                  <a16:creationId xmlns:a16="http://schemas.microsoft.com/office/drawing/2014/main" id="{26A781EF-0A1D-1B46-AD4A-7DCB70CBE97E}"/>
                </a:ext>
              </a:extLst>
            </xdr:cNvPr>
            <xdr:cNvSpPr txBox="1"/>
          </xdr:nvSpPr>
          <xdr:spPr>
            <a:xfrm>
              <a:off x="20624627" y="1759068"/>
              <a:ext cx="683328" cy="1828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it-IT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it-IT" sz="110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it-IT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sSub>
                      <m:sSubPr>
                        <m:ctrlPr>
                          <a:rPr lang="it-IT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i="1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𝑓</m:t>
                        </m:r>
                      </m:sub>
                    </m:sSub>
                    <m:r>
                      <a:rPr lang="it-IT" sz="1100" i="1">
                        <a:latin typeface="Cambria Math" panose="02040503050406030204" pitchFamily="18" charset="0"/>
                      </a:rPr>
                      <m:t>𝐷</m:t>
                    </m:r>
                  </m:oMath>
                </m:oMathPara>
              </a14:m>
              <a:endParaRPr lang="it-IT" sz="1100"/>
            </a:p>
          </xdr:txBody>
        </xdr:sp>
      </mc:Choice>
      <mc:Fallback xmlns="">
        <xdr:sp macro="" textlink="">
          <xdr:nvSpPr>
            <xdr:cNvPr id="17" name="CasellaDiTesto 16">
              <a:extLst>
                <a:ext uri="{FF2B5EF4-FFF2-40B4-BE49-F238E27FC236}">
                  <a16:creationId xmlns:a16="http://schemas.microsoft.com/office/drawing/2014/main" id="{26A781EF-0A1D-1B46-AD4A-7DCB70CBE97E}"/>
                </a:ext>
              </a:extLst>
            </xdr:cNvPr>
            <xdr:cNvSpPr txBox="1"/>
          </xdr:nvSpPr>
          <xdr:spPr>
            <a:xfrm>
              <a:off x="20624627" y="1759068"/>
              <a:ext cx="683328" cy="18280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100" i="0">
                  <a:latin typeface="Cambria Math" panose="02040503050406030204" pitchFamily="18" charset="0"/>
                </a:rPr>
                <a:t>𝑉</a:t>
              </a:r>
              <a:r>
                <a:rPr lang="it-IT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it-IT" sz="1100" b="0" i="0">
                  <a:latin typeface="Cambria Math" panose="02040503050406030204" pitchFamily="18" charset="0"/>
                </a:rPr>
                <a:t>𝑓</a:t>
              </a:r>
              <a:r>
                <a:rPr lang="it-IT" sz="1100" i="0">
                  <a:latin typeface="Cambria Math" panose="02040503050406030204" pitchFamily="18" charset="0"/>
                </a:rPr>
                <a:t>=</a:t>
              </a:r>
              <a:r>
                <a:rPr lang="it-IT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</a:t>
              </a:r>
              <a:r>
                <a:rPr lang="it-IT" sz="1100" i="0">
                  <a:latin typeface="Cambria Math" panose="02040503050406030204" pitchFamily="18" charset="0"/>
                </a:rPr>
                <a:t>𝑁</a:t>
              </a:r>
              <a:r>
                <a:rPr lang="it-IT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it-IT" sz="1100" b="0" i="0">
                  <a:latin typeface="Cambria Math" panose="02040503050406030204" pitchFamily="18" charset="0"/>
                </a:rPr>
                <a:t>𝑓 </a:t>
              </a:r>
              <a:r>
                <a:rPr lang="it-IT" sz="1100" i="0">
                  <a:latin typeface="Cambria Math" panose="02040503050406030204" pitchFamily="18" charset="0"/>
                </a:rPr>
                <a:t>𝐷</a:t>
              </a:r>
              <a:endParaRPr lang="it-IT" sz="1100"/>
            </a:p>
          </xdr:txBody>
        </xdr:sp>
      </mc:Fallback>
    </mc:AlternateContent>
    <xdr:clientData/>
  </xdr:oneCellAnchor>
  <xdr:oneCellAnchor>
    <xdr:from>
      <xdr:col>39</xdr:col>
      <xdr:colOff>85725</xdr:colOff>
      <xdr:row>19</xdr:row>
      <xdr:rowOff>186414</xdr:rowOff>
    </xdr:from>
    <xdr:ext cx="1488484" cy="1796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CasellaDiTesto 17">
              <a:extLst>
                <a:ext uri="{FF2B5EF4-FFF2-40B4-BE49-F238E27FC236}">
                  <a16:creationId xmlns:a16="http://schemas.microsoft.com/office/drawing/2014/main" id="{076F8E39-0579-14EE-DEEB-5EFDD1167CCD}"/>
                </a:ext>
              </a:extLst>
            </xdr:cNvPr>
            <xdr:cNvSpPr txBox="1"/>
          </xdr:nvSpPr>
          <xdr:spPr>
            <a:xfrm>
              <a:off x="22488525" y="4034514"/>
              <a:ext cx="1488484" cy="1796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it-IT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it-IT" sz="110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it-IT" sz="1100" b="0" i="1">
                        <a:latin typeface="Cambria Math" panose="02040503050406030204" pitchFamily="18" charset="0"/>
                      </a:rPr>
                      <m:t>0.14</m:t>
                    </m:r>
                    <m:sSup>
                      <m:sSupPr>
                        <m:ctrlPr>
                          <a:rPr lang="it-IT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p>
                          <m:sSupPr>
                            <m:ctrlPr>
                              <a:rPr lang="it-IT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it-IT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𝑝</m:t>
                            </m:r>
                            <m:r>
                              <a:rPr lang="it-IT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𝜈</m:t>
                            </m:r>
                          </m:e>
                          <m:sup>
                            <m:r>
                              <a:rPr lang="it-IT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0.65</m:t>
                            </m:r>
                          </m:sup>
                        </m:sSup>
                        <m:d>
                          <m:dPr>
                            <m:ctrlPr>
                              <a:rPr lang="it-IT" sz="110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  <m:sSub>
                              <m:sSubPr>
                                <m:ctrlPr>
                                  <a:rPr lang="it-IT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it-IT" sz="1100" b="0" i="1">
                                    <a:latin typeface="Cambria Math" panose="02040503050406030204" pitchFamily="18" charset="0"/>
                                  </a:rPr>
                                  <m:t>𝑁</m:t>
                                </m:r>
                              </m:e>
                              <m:sub>
                                <m:r>
                                  <a:rPr lang="it-IT" sz="11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sub>
                            </m:sSub>
                          </m:e>
                        </m:d>
                      </m:e>
                      <m:sup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1.5</m:t>
                        </m:r>
                      </m:sup>
                    </m:sSup>
                  </m:oMath>
                </m:oMathPara>
              </a14:m>
              <a:endParaRPr lang="it-IT" sz="1100"/>
            </a:p>
          </xdr:txBody>
        </xdr:sp>
      </mc:Choice>
      <mc:Fallback xmlns="">
        <xdr:sp macro="" textlink="">
          <xdr:nvSpPr>
            <xdr:cNvPr id="18" name="CasellaDiTesto 17">
              <a:extLst>
                <a:ext uri="{FF2B5EF4-FFF2-40B4-BE49-F238E27FC236}">
                  <a16:creationId xmlns:a16="http://schemas.microsoft.com/office/drawing/2014/main" id="{076F8E39-0579-14EE-DEEB-5EFDD1167CCD}"/>
                </a:ext>
              </a:extLst>
            </xdr:cNvPr>
            <xdr:cNvSpPr txBox="1"/>
          </xdr:nvSpPr>
          <xdr:spPr>
            <a:xfrm>
              <a:off x="22488525" y="4034514"/>
              <a:ext cx="1488484" cy="1796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it-IT" sz="1100" b="0" i="0">
                  <a:latin typeface="Cambria Math" panose="02040503050406030204" pitchFamily="18" charset="0"/>
                </a:rPr>
                <a:t>𝑄</a:t>
              </a:r>
              <a:r>
                <a:rPr lang="it-IT" sz="11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it-IT" sz="1100" b="0" i="0">
                  <a:latin typeface="Cambria Math" panose="02040503050406030204" pitchFamily="18" charset="0"/>
                </a:rPr>
                <a:t>𝑡</a:t>
              </a:r>
              <a:r>
                <a:rPr lang="it-IT" sz="1100" i="0">
                  <a:latin typeface="Cambria Math" panose="02040503050406030204" pitchFamily="18" charset="0"/>
                </a:rPr>
                <a:t>=</a:t>
              </a:r>
              <a:r>
                <a:rPr lang="it-IT" sz="1100" b="0" i="0">
                  <a:latin typeface="Cambria Math" panose="02040503050406030204" pitchFamily="18" charset="0"/>
                </a:rPr>
                <a:t>0.14</a:t>
              </a:r>
              <a:r>
                <a:rPr lang="it-IT" sz="1100" i="0">
                  <a:latin typeface="Cambria Math" panose="02040503050406030204" pitchFamily="18" charset="0"/>
                </a:rPr>
                <a:t>〖</a:t>
              </a:r>
              <a:r>
                <a:rPr lang="it-IT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it-IT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𝑝</a:t>
              </a:r>
              <a:r>
                <a:rPr lang="it-IT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𝜈〗^</a:t>
              </a:r>
              <a:r>
                <a:rPr lang="it-IT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0.65 (</a:t>
              </a:r>
              <a:r>
                <a:rPr lang="it-IT" sz="1100" b="0" i="0">
                  <a:latin typeface="Cambria Math" panose="02040503050406030204" pitchFamily="18" charset="0"/>
                </a:rPr>
                <a:t>𝐷𝑁_𝑡 )〗^1.5</a:t>
              </a:r>
              <a:endParaRPr lang="it-IT" sz="1100"/>
            </a:p>
          </xdr:txBody>
        </xdr:sp>
      </mc:Fallback>
    </mc:AlternateContent>
    <xdr:clientData/>
  </xdr:oneCellAnchor>
  <xdr:oneCellAnchor>
    <xdr:from>
      <xdr:col>36</xdr:col>
      <xdr:colOff>371475</xdr:colOff>
      <xdr:row>12</xdr:row>
      <xdr:rowOff>4762</xdr:rowOff>
    </xdr:from>
    <xdr:ext cx="667427" cy="1737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9" name="CasellaDiTesto 18">
              <a:extLst>
                <a:ext uri="{FF2B5EF4-FFF2-40B4-BE49-F238E27FC236}">
                  <a16:creationId xmlns:a16="http://schemas.microsoft.com/office/drawing/2014/main" id="{EA8C0C1C-5ACD-CC99-4EC1-0634F17308CE}"/>
                </a:ext>
              </a:extLst>
            </xdr:cNvPr>
            <xdr:cNvSpPr txBox="1"/>
          </xdr:nvSpPr>
          <xdr:spPr>
            <a:xfrm>
              <a:off x="20631150" y="2405062"/>
              <a:ext cx="667427" cy="1737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it-IT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i="1">
                            <a:latin typeface="Cambria Math" panose="02040503050406030204" pitchFamily="18" charset="0"/>
                          </a:rPr>
                          <m:t>𝑉</m:t>
                        </m:r>
                      </m:e>
                      <m:sub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it-IT" sz="110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it-IT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𝜋</m:t>
                    </m:r>
                    <m:sSub>
                      <m:sSubPr>
                        <m:ctrlPr>
                          <a:rPr lang="it-IT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i="1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it-IT" sz="1100" i="1">
                        <a:latin typeface="Cambria Math" panose="02040503050406030204" pitchFamily="18" charset="0"/>
                      </a:rPr>
                      <m:t>𝐷</m:t>
                    </m:r>
                  </m:oMath>
                </m:oMathPara>
              </a14:m>
              <a:endParaRPr lang="it-IT" sz="1100"/>
            </a:p>
          </xdr:txBody>
        </xdr:sp>
      </mc:Choice>
      <mc:Fallback xmlns="">
        <xdr:sp macro="" textlink="">
          <xdr:nvSpPr>
            <xdr:cNvPr id="19" name="CasellaDiTesto 18">
              <a:extLst>
                <a:ext uri="{FF2B5EF4-FFF2-40B4-BE49-F238E27FC236}">
                  <a16:creationId xmlns:a16="http://schemas.microsoft.com/office/drawing/2014/main" id="{EA8C0C1C-5ACD-CC99-4EC1-0634F17308CE}"/>
                </a:ext>
              </a:extLst>
            </xdr:cNvPr>
            <xdr:cNvSpPr txBox="1"/>
          </xdr:nvSpPr>
          <xdr:spPr>
            <a:xfrm>
              <a:off x="20631150" y="2405062"/>
              <a:ext cx="667427" cy="1737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100" i="0">
                  <a:latin typeface="Cambria Math" panose="02040503050406030204" pitchFamily="18" charset="0"/>
                </a:rPr>
                <a:t>𝑉</a:t>
              </a:r>
              <a:r>
                <a:rPr lang="it-IT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it-IT" sz="1100" b="0" i="0">
                  <a:latin typeface="Cambria Math" panose="02040503050406030204" pitchFamily="18" charset="0"/>
                </a:rPr>
                <a:t>𝑡</a:t>
              </a:r>
              <a:r>
                <a:rPr lang="it-IT" sz="1100" i="0">
                  <a:latin typeface="Cambria Math" panose="02040503050406030204" pitchFamily="18" charset="0"/>
                </a:rPr>
                <a:t>=</a:t>
              </a:r>
              <a:r>
                <a:rPr lang="it-IT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𝜋</a:t>
              </a:r>
              <a:r>
                <a:rPr lang="it-IT" sz="1100" i="0">
                  <a:latin typeface="Cambria Math" panose="02040503050406030204" pitchFamily="18" charset="0"/>
                </a:rPr>
                <a:t>𝑁</a:t>
              </a:r>
              <a:r>
                <a:rPr lang="it-IT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it-IT" sz="1100" b="0" i="0">
                  <a:latin typeface="Cambria Math" panose="02040503050406030204" pitchFamily="18" charset="0"/>
                </a:rPr>
                <a:t>𝑡 </a:t>
              </a:r>
              <a:r>
                <a:rPr lang="it-IT" sz="1100" i="0">
                  <a:latin typeface="Cambria Math" panose="02040503050406030204" pitchFamily="18" charset="0"/>
                </a:rPr>
                <a:t>𝐷</a:t>
              </a:r>
              <a:endParaRPr lang="it-IT" sz="1100"/>
            </a:p>
          </xdr:txBody>
        </xdr:sp>
      </mc:Fallback>
    </mc:AlternateContent>
    <xdr:clientData/>
  </xdr:oneCellAnchor>
  <xdr:oneCellAnchor>
    <xdr:from>
      <xdr:col>34</xdr:col>
      <xdr:colOff>257175</xdr:colOff>
      <xdr:row>11</xdr:row>
      <xdr:rowOff>109537</xdr:rowOff>
    </xdr:from>
    <xdr:ext cx="1004699" cy="3416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CasellaDiTesto 19">
              <a:extLst>
                <a:ext uri="{FF2B5EF4-FFF2-40B4-BE49-F238E27FC236}">
                  <a16:creationId xmlns:a16="http://schemas.microsoft.com/office/drawing/2014/main" id="{3190E6B1-460C-AD4F-E0E4-8DFF405AFEE3}"/>
                </a:ext>
              </a:extLst>
            </xdr:cNvPr>
            <xdr:cNvSpPr txBox="1"/>
          </xdr:nvSpPr>
          <xdr:spPr>
            <a:xfrm>
              <a:off x="19088100" y="2281237"/>
              <a:ext cx="1004699" cy="3416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it-IT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i="1">
                            <a:latin typeface="Cambria Math" panose="02040503050406030204" pitchFamily="18" charset="0"/>
                          </a:rPr>
                          <m:t>𝑁</m:t>
                        </m:r>
                      </m:e>
                      <m:sub>
                        <m:r>
                          <a:rPr lang="it-IT" sz="110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r>
                      <a:rPr lang="it-IT" sz="1100" i="1">
                        <a:latin typeface="Cambria Math" panose="02040503050406030204" pitchFamily="18" charset="0"/>
                      </a:rPr>
                      <m:t>=0,063</m:t>
                    </m:r>
                    <m:f>
                      <m:fPr>
                        <m:ctrlPr>
                          <a:rPr lang="it-IT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it-IT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it-IT" sz="1100" i="1">
                                <a:latin typeface="Cambria Math" panose="02040503050406030204" pitchFamily="18" charset="0"/>
                              </a:rPr>
                              <m:t>𝐷</m:t>
                            </m:r>
                          </m:e>
                          <m:sup>
                            <m:r>
                              <a:rPr lang="it-IT" sz="1100" i="1">
                                <a:latin typeface="Cambria Math" panose="02040503050406030204" pitchFamily="18" charset="0"/>
                              </a:rPr>
                              <m:t>0,5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it-IT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it-IT" sz="1100" i="1">
                                <a:latin typeface="Cambria Math" panose="02040503050406030204" pitchFamily="18" charset="0"/>
                              </a:rPr>
                              <m:t>𝜈</m:t>
                            </m:r>
                          </m:e>
                          <m:sup>
                            <m:r>
                              <a:rPr lang="it-IT" sz="1100" i="1">
                                <a:latin typeface="Cambria Math" panose="02040503050406030204" pitchFamily="18" charset="0"/>
                              </a:rPr>
                              <m:t>0.67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it-IT" sz="1100"/>
            </a:p>
          </xdr:txBody>
        </xdr:sp>
      </mc:Choice>
      <mc:Fallback xmlns="">
        <xdr:sp macro="" textlink="">
          <xdr:nvSpPr>
            <xdr:cNvPr id="20" name="CasellaDiTesto 19">
              <a:extLst>
                <a:ext uri="{FF2B5EF4-FFF2-40B4-BE49-F238E27FC236}">
                  <a16:creationId xmlns:a16="http://schemas.microsoft.com/office/drawing/2014/main" id="{3190E6B1-460C-AD4F-E0E4-8DFF405AFEE3}"/>
                </a:ext>
              </a:extLst>
            </xdr:cNvPr>
            <xdr:cNvSpPr txBox="1"/>
          </xdr:nvSpPr>
          <xdr:spPr>
            <a:xfrm>
              <a:off x="19088100" y="2281237"/>
              <a:ext cx="1004699" cy="3416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100" i="0">
                  <a:latin typeface="Cambria Math" panose="02040503050406030204" pitchFamily="18" charset="0"/>
                </a:rPr>
                <a:t>𝑁</a:t>
              </a:r>
              <a:r>
                <a:rPr lang="it-IT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it-IT" sz="1100" i="0">
                  <a:latin typeface="Cambria Math" panose="02040503050406030204" pitchFamily="18" charset="0"/>
                </a:rPr>
                <a:t>𝑡=0,063</a:t>
              </a:r>
              <a:r>
                <a:rPr lang="it-IT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</a:t>
              </a:r>
              <a:r>
                <a:rPr lang="it-IT" sz="1100" i="0">
                  <a:latin typeface="Cambria Math" panose="02040503050406030204" pitchFamily="18" charset="0"/>
                </a:rPr>
                <a:t>𝐷</a:t>
              </a:r>
              <a:r>
                <a:rPr lang="it-IT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it-IT" sz="1100" i="0">
                  <a:latin typeface="Cambria Math" panose="02040503050406030204" pitchFamily="18" charset="0"/>
                </a:rPr>
                <a:t>0,5</a:t>
              </a:r>
              <a:r>
                <a:rPr lang="it-IT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it-IT" sz="1100" i="0">
                  <a:latin typeface="Cambria Math" panose="02040503050406030204" pitchFamily="18" charset="0"/>
                </a:rPr>
                <a:t>𝜈</a:t>
              </a:r>
              <a:r>
                <a:rPr lang="it-IT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it-IT" sz="1100" i="0">
                  <a:latin typeface="Cambria Math" panose="02040503050406030204" pitchFamily="18" charset="0"/>
                </a:rPr>
                <a:t>0.67 </a:t>
              </a:r>
              <a:endParaRPr lang="it-IT" sz="1100"/>
            </a:p>
          </xdr:txBody>
        </xdr:sp>
      </mc:Fallback>
    </mc:AlternateContent>
    <xdr:clientData/>
  </xdr:oneCellAnchor>
  <xdr:oneCellAnchor>
    <xdr:from>
      <xdr:col>35</xdr:col>
      <xdr:colOff>19050</xdr:colOff>
      <xdr:row>17</xdr:row>
      <xdr:rowOff>23812</xdr:rowOff>
    </xdr:from>
    <xdr:ext cx="1397755" cy="181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CasellaDiTesto 20">
              <a:extLst>
                <a:ext uri="{FF2B5EF4-FFF2-40B4-BE49-F238E27FC236}">
                  <a16:creationId xmlns:a16="http://schemas.microsoft.com/office/drawing/2014/main" id="{523525BA-8ADF-C7B0-9669-8E7F41975E02}"/>
                </a:ext>
              </a:extLst>
            </xdr:cNvPr>
            <xdr:cNvSpPr txBox="1"/>
          </xdr:nvSpPr>
          <xdr:spPr>
            <a:xfrm>
              <a:off x="19564350" y="3452812"/>
              <a:ext cx="1397755" cy="181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100" b="0" i="1">
                        <a:latin typeface="Cambria Math" panose="02040503050406030204" pitchFamily="18" charset="0"/>
                      </a:rPr>
                      <m:t>𝑄</m:t>
                    </m:r>
                    <m:r>
                      <a:rPr lang="it-IT" sz="110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it-IT" sz="1100" b="0" i="1">
                        <a:latin typeface="Cambria Math" panose="02040503050406030204" pitchFamily="18" charset="0"/>
                      </a:rPr>
                      <m:t>0.14</m:t>
                    </m:r>
                    <m:sSup>
                      <m:sSupPr>
                        <m:ctrlPr>
                          <a:rPr lang="it-IT" sz="110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sSup>
                          <m:sSupPr>
                            <m:ctrlPr>
                              <a:rPr lang="it-IT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r>
                              <a:rPr lang="it-IT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𝑝</m:t>
                            </m:r>
                            <m:r>
                              <a:rPr lang="it-IT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𝜈</m:t>
                            </m:r>
                          </m:e>
                          <m:sup>
                            <m:r>
                              <a:rPr lang="it-IT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0.65</m:t>
                            </m:r>
                          </m:sup>
                        </m:sSup>
                        <m:d>
                          <m:dPr>
                            <m:ctrlPr>
                              <a:rPr lang="it-IT" sz="110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r>
                              <a:rPr lang="it-IT" sz="1100" b="0" i="1">
                                <a:latin typeface="Cambria Math" panose="02040503050406030204" pitchFamily="18" charset="0"/>
                              </a:rPr>
                              <m:t>𝐷𝑁</m:t>
                            </m:r>
                          </m:e>
                        </m:d>
                      </m:e>
                      <m:sup>
                        <m:r>
                          <a:rPr lang="it-IT" sz="1100" b="0" i="1">
                            <a:latin typeface="Cambria Math" panose="02040503050406030204" pitchFamily="18" charset="0"/>
                          </a:rPr>
                          <m:t>1.5</m:t>
                        </m:r>
                      </m:sup>
                    </m:sSup>
                  </m:oMath>
                </m:oMathPara>
              </a14:m>
              <a:endParaRPr lang="it-IT" sz="1100"/>
            </a:p>
          </xdr:txBody>
        </xdr:sp>
      </mc:Choice>
      <mc:Fallback xmlns="">
        <xdr:sp macro="" textlink="">
          <xdr:nvSpPr>
            <xdr:cNvPr id="21" name="CasellaDiTesto 20">
              <a:extLst>
                <a:ext uri="{FF2B5EF4-FFF2-40B4-BE49-F238E27FC236}">
                  <a16:creationId xmlns:a16="http://schemas.microsoft.com/office/drawing/2014/main" id="{523525BA-8ADF-C7B0-9669-8E7F41975E02}"/>
                </a:ext>
              </a:extLst>
            </xdr:cNvPr>
            <xdr:cNvSpPr txBox="1"/>
          </xdr:nvSpPr>
          <xdr:spPr>
            <a:xfrm>
              <a:off x="19564350" y="3452812"/>
              <a:ext cx="1397755" cy="181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100" b="0" i="0">
                  <a:latin typeface="Cambria Math" panose="02040503050406030204" pitchFamily="18" charset="0"/>
                </a:rPr>
                <a:t>𝑄</a:t>
              </a:r>
              <a:r>
                <a:rPr lang="it-IT" sz="1100" i="0">
                  <a:latin typeface="Cambria Math" panose="02040503050406030204" pitchFamily="18" charset="0"/>
                </a:rPr>
                <a:t>=</a:t>
              </a:r>
              <a:r>
                <a:rPr lang="it-IT" sz="1100" b="0" i="0">
                  <a:latin typeface="Cambria Math" panose="02040503050406030204" pitchFamily="18" charset="0"/>
                </a:rPr>
                <a:t>0.14</a:t>
              </a:r>
              <a:r>
                <a:rPr lang="it-IT" sz="1100" i="0">
                  <a:latin typeface="Cambria Math" panose="02040503050406030204" pitchFamily="18" charset="0"/>
                </a:rPr>
                <a:t>〖</a:t>
              </a:r>
              <a:r>
                <a:rPr lang="it-IT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</a:t>
              </a:r>
              <a:r>
                <a:rPr lang="it-IT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𝑝</a:t>
              </a:r>
              <a:r>
                <a:rPr lang="it-IT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𝜈〗^</a:t>
              </a:r>
              <a:r>
                <a:rPr lang="it-IT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</a:t>
              </a:r>
              <a:r>
                <a:rPr lang="it-IT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65 (</a:t>
              </a:r>
              <a:r>
                <a:rPr lang="it-IT" sz="1100" b="0" i="0">
                  <a:latin typeface="Cambria Math" panose="02040503050406030204" pitchFamily="18" charset="0"/>
                </a:rPr>
                <a:t>𝐷𝑁)〗^1.5</a:t>
              </a:r>
              <a:endParaRPr lang="it-IT" sz="1100"/>
            </a:p>
          </xdr:txBody>
        </xdr:sp>
      </mc:Fallback>
    </mc:AlternateContent>
    <xdr:clientData/>
  </xdr:oneCellAnchor>
  <xdr:oneCellAnchor>
    <xdr:from>
      <xdr:col>35</xdr:col>
      <xdr:colOff>184768</xdr:colOff>
      <xdr:row>19</xdr:row>
      <xdr:rowOff>138112</xdr:rowOff>
    </xdr:from>
    <xdr:ext cx="1066318" cy="35432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CasellaDiTesto 21">
              <a:extLst>
                <a:ext uri="{FF2B5EF4-FFF2-40B4-BE49-F238E27FC236}">
                  <a16:creationId xmlns:a16="http://schemas.microsoft.com/office/drawing/2014/main" id="{FAEAB77C-542A-AE81-2AD9-440F6563ABEA}"/>
                </a:ext>
              </a:extLst>
            </xdr:cNvPr>
            <xdr:cNvSpPr txBox="1"/>
          </xdr:nvSpPr>
          <xdr:spPr>
            <a:xfrm>
              <a:off x="19730068" y="3986212"/>
              <a:ext cx="1066318" cy="3543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it-IT" sz="1100" i="1">
                        <a:latin typeface="Cambria Math" panose="02040503050406030204" pitchFamily="18" charset="0"/>
                      </a:rPr>
                      <m:t>𝑄</m:t>
                    </m:r>
                    <m:r>
                      <a:rPr lang="it-IT" sz="110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it-IT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it-IT" sz="1100" i="1"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it-IT" sz="1100" i="1">
                            <a:latin typeface="Cambria Math" panose="02040503050406030204" pitchFamily="18" charset="0"/>
                          </a:rPr>
                          <m:t>𝑡</m:t>
                        </m:r>
                      </m:sub>
                    </m:sSub>
                    <m:f>
                      <m:fPr>
                        <m:ctrlPr>
                          <a:rPr lang="it-IT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it-IT" sz="1100" i="1">
                            <a:latin typeface="Cambria Math" panose="02040503050406030204" pitchFamily="18" charset="0"/>
                          </a:rPr>
                          <m:t>𝑁</m:t>
                        </m:r>
                      </m:num>
                      <m:den>
                        <m:sSub>
                          <m:sSubPr>
                            <m:ctrlPr>
                              <a:rPr lang="it-IT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it-IT" sz="1100" i="1">
                                <a:latin typeface="Cambria Math" panose="02040503050406030204" pitchFamily="18" charset="0"/>
                              </a:rPr>
                              <m:t>𝑁</m:t>
                            </m:r>
                          </m:e>
                          <m:sub>
                            <m:r>
                              <a:rPr lang="it-IT" sz="1100" i="1">
                                <a:latin typeface="Cambria Math" panose="02040503050406030204" pitchFamily="18" charset="0"/>
                              </a:rPr>
                              <m:t>𝑡</m:t>
                            </m:r>
                          </m:sub>
                        </m:sSub>
                      </m:den>
                    </m:f>
                    <m:sSup>
                      <m:sSupPr>
                        <m:ctrlPr>
                          <a:rPr lang="it-IT" sz="11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it-IT" sz="11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it-IT" sz="11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it-IT" sz="1100" i="1">
                                        <a:solidFill>
                                          <a:srgbClr val="836967"/>
                                        </a:solidFill>
                                        <a:latin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it-IT" sz="1100" i="1">
                                        <a:latin typeface="Cambria Math" panose="02040503050406030204" pitchFamily="18" charset="0"/>
                                      </a:rPr>
                                      <m:t>𝑛</m:t>
                                    </m:r>
                                  </m:e>
                                  <m:sub>
                                    <m:r>
                                      <a:rPr lang="it-IT" sz="1100" i="1">
                                        <a:latin typeface="Cambria Math" panose="02040503050406030204" pitchFamily="18" charset="0"/>
                                      </a:rPr>
                                      <m:t>𝑡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it-IT" sz="110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it-IT" sz="1100" i="1">
                            <a:latin typeface="Cambria Math" panose="02040503050406030204" pitchFamily="18" charset="0"/>
                          </a:rPr>
                          <m:t>0,5</m:t>
                        </m:r>
                      </m:sup>
                    </m:sSup>
                  </m:oMath>
                </m:oMathPara>
              </a14:m>
              <a:endParaRPr lang="it-IT" sz="1100"/>
            </a:p>
          </xdr:txBody>
        </xdr:sp>
      </mc:Choice>
      <mc:Fallback xmlns="">
        <xdr:sp macro="" textlink="">
          <xdr:nvSpPr>
            <xdr:cNvPr id="22" name="CasellaDiTesto 21">
              <a:extLst>
                <a:ext uri="{FF2B5EF4-FFF2-40B4-BE49-F238E27FC236}">
                  <a16:creationId xmlns:a16="http://schemas.microsoft.com/office/drawing/2014/main" id="{FAEAB77C-542A-AE81-2AD9-440F6563ABEA}"/>
                </a:ext>
              </a:extLst>
            </xdr:cNvPr>
            <xdr:cNvSpPr txBox="1"/>
          </xdr:nvSpPr>
          <xdr:spPr>
            <a:xfrm>
              <a:off x="19730068" y="3986212"/>
              <a:ext cx="1066318" cy="35432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it-IT" sz="1100" i="0">
                  <a:latin typeface="Cambria Math" panose="02040503050406030204" pitchFamily="18" charset="0"/>
                </a:rPr>
                <a:t>𝑄=𝑄</a:t>
              </a:r>
              <a:r>
                <a:rPr lang="it-IT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it-IT" sz="1100" i="0">
                  <a:latin typeface="Cambria Math" panose="02040503050406030204" pitchFamily="18" charset="0"/>
                </a:rPr>
                <a:t>𝑡</a:t>
              </a:r>
              <a:r>
                <a:rPr lang="it-IT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</a:t>
              </a:r>
              <a:r>
                <a:rPr lang="it-IT" sz="1100" i="0">
                  <a:latin typeface="Cambria Math" panose="02040503050406030204" pitchFamily="18" charset="0"/>
                </a:rPr>
                <a:t> 𝑁</a:t>
              </a:r>
              <a:r>
                <a:rPr lang="it-IT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it-IT" sz="1100" i="0">
                  <a:latin typeface="Cambria Math" panose="02040503050406030204" pitchFamily="18" charset="0"/>
                </a:rPr>
                <a:t>𝑁</a:t>
              </a:r>
              <a:r>
                <a:rPr lang="it-IT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it-IT" sz="1100" i="0">
                  <a:latin typeface="Cambria Math" panose="02040503050406030204" pitchFamily="18" charset="0"/>
                </a:rPr>
                <a:t>𝑡 </a:t>
              </a:r>
              <a:r>
                <a:rPr lang="it-IT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(</a:t>
              </a:r>
              <a:r>
                <a:rPr lang="it-IT" sz="1100" i="0">
                  <a:latin typeface="Cambria Math" panose="02040503050406030204" pitchFamily="18" charset="0"/>
                </a:rPr>
                <a:t>𝑛</a:t>
              </a:r>
              <a:r>
                <a:rPr lang="it-IT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it-IT" sz="1100" i="0">
                  <a:latin typeface="Cambria Math" panose="02040503050406030204" pitchFamily="18" charset="0"/>
                </a:rPr>
                <a:t>𝑡</a:t>
              </a:r>
              <a:r>
                <a:rPr lang="it-IT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it-IT" sz="1100" i="0">
                  <a:latin typeface="Cambria Math" panose="02040503050406030204" pitchFamily="18" charset="0"/>
                </a:rPr>
                <a:t>𝑛)</a:t>
              </a:r>
              <a:r>
                <a:rPr lang="it-IT" sz="11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^</a:t>
              </a:r>
              <a:r>
                <a:rPr lang="it-IT" sz="1100" i="0">
                  <a:latin typeface="Cambria Math" panose="02040503050406030204" pitchFamily="18" charset="0"/>
                </a:rPr>
                <a:t>0,5</a:t>
              </a:r>
              <a:endParaRPr lang="it-IT" sz="11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190499</xdr:colOff>
      <xdr:row>25</xdr:row>
      <xdr:rowOff>0</xdr:rowOff>
    </xdr:from>
    <xdr:to>
      <xdr:col>10</xdr:col>
      <xdr:colOff>0</xdr:colOff>
      <xdr:row>52</xdr:row>
      <xdr:rowOff>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DCDE8E72-6DBB-D397-65D2-8CD038A5EA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47624</xdr:colOff>
      <xdr:row>25</xdr:row>
      <xdr:rowOff>0</xdr:rowOff>
    </xdr:from>
    <xdr:to>
      <xdr:col>21</xdr:col>
      <xdr:colOff>0</xdr:colOff>
      <xdr:row>52</xdr:row>
      <xdr:rowOff>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113D0ACA-FDD0-5DCE-94BD-70B82F685C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447F0-4483-45B3-848C-A6D3B9453361}">
  <sheetPr codeName="Foglio1"/>
  <dimension ref="A1:AD47"/>
  <sheetViews>
    <sheetView tabSelected="1" topLeftCell="A24" zoomScaleNormal="100" zoomScaleSheetLayoutView="100" workbookViewId="0">
      <selection activeCell="AF13" sqref="AF13"/>
    </sheetView>
  </sheetViews>
  <sheetFormatPr defaultRowHeight="12" x14ac:dyDescent="0.2"/>
  <cols>
    <col min="1" max="30" width="3.28515625" style="80" customWidth="1"/>
    <col min="31" max="256" width="9.140625" style="80"/>
    <col min="257" max="286" width="3.28515625" style="80" customWidth="1"/>
    <col min="287" max="512" width="9.140625" style="80"/>
    <col min="513" max="542" width="3.28515625" style="80" customWidth="1"/>
    <col min="543" max="768" width="9.140625" style="80"/>
    <col min="769" max="798" width="3.28515625" style="80" customWidth="1"/>
    <col min="799" max="1024" width="9.140625" style="80"/>
    <col min="1025" max="1054" width="3.28515625" style="80" customWidth="1"/>
    <col min="1055" max="1280" width="9.140625" style="80"/>
    <col min="1281" max="1310" width="3.28515625" style="80" customWidth="1"/>
    <col min="1311" max="1536" width="9.140625" style="80"/>
    <col min="1537" max="1566" width="3.28515625" style="80" customWidth="1"/>
    <col min="1567" max="1792" width="9.140625" style="80"/>
    <col min="1793" max="1822" width="3.28515625" style="80" customWidth="1"/>
    <col min="1823" max="2048" width="9.140625" style="80"/>
    <col min="2049" max="2078" width="3.28515625" style="80" customWidth="1"/>
    <col min="2079" max="2304" width="9.140625" style="80"/>
    <col min="2305" max="2334" width="3.28515625" style="80" customWidth="1"/>
    <col min="2335" max="2560" width="9.140625" style="80"/>
    <col min="2561" max="2590" width="3.28515625" style="80" customWidth="1"/>
    <col min="2591" max="2816" width="9.140625" style="80"/>
    <col min="2817" max="2846" width="3.28515625" style="80" customWidth="1"/>
    <col min="2847" max="3072" width="9.140625" style="80"/>
    <col min="3073" max="3102" width="3.28515625" style="80" customWidth="1"/>
    <col min="3103" max="3328" width="9.140625" style="80"/>
    <col min="3329" max="3358" width="3.28515625" style="80" customWidth="1"/>
    <col min="3359" max="3584" width="9.140625" style="80"/>
    <col min="3585" max="3614" width="3.28515625" style="80" customWidth="1"/>
    <col min="3615" max="3840" width="9.140625" style="80"/>
    <col min="3841" max="3870" width="3.28515625" style="80" customWidth="1"/>
    <col min="3871" max="4096" width="9.140625" style="80"/>
    <col min="4097" max="4126" width="3.28515625" style="80" customWidth="1"/>
    <col min="4127" max="4352" width="9.140625" style="80"/>
    <col min="4353" max="4382" width="3.28515625" style="80" customWidth="1"/>
    <col min="4383" max="4608" width="9.140625" style="80"/>
    <col min="4609" max="4638" width="3.28515625" style="80" customWidth="1"/>
    <col min="4639" max="4864" width="9.140625" style="80"/>
    <col min="4865" max="4894" width="3.28515625" style="80" customWidth="1"/>
    <col min="4895" max="5120" width="9.140625" style="80"/>
    <col min="5121" max="5150" width="3.28515625" style="80" customWidth="1"/>
    <col min="5151" max="5376" width="9.140625" style="80"/>
    <col min="5377" max="5406" width="3.28515625" style="80" customWidth="1"/>
    <col min="5407" max="5632" width="9.140625" style="80"/>
    <col min="5633" max="5662" width="3.28515625" style="80" customWidth="1"/>
    <col min="5663" max="5888" width="9.140625" style="80"/>
    <col min="5889" max="5918" width="3.28515625" style="80" customWidth="1"/>
    <col min="5919" max="6144" width="9.140625" style="80"/>
    <col min="6145" max="6174" width="3.28515625" style="80" customWidth="1"/>
    <col min="6175" max="6400" width="9.140625" style="80"/>
    <col min="6401" max="6430" width="3.28515625" style="80" customWidth="1"/>
    <col min="6431" max="6656" width="9.140625" style="80"/>
    <col min="6657" max="6686" width="3.28515625" style="80" customWidth="1"/>
    <col min="6687" max="6912" width="9.140625" style="80"/>
    <col min="6913" max="6942" width="3.28515625" style="80" customWidth="1"/>
    <col min="6943" max="7168" width="9.140625" style="80"/>
    <col min="7169" max="7198" width="3.28515625" style="80" customWidth="1"/>
    <col min="7199" max="7424" width="9.140625" style="80"/>
    <col min="7425" max="7454" width="3.28515625" style="80" customWidth="1"/>
    <col min="7455" max="7680" width="9.140625" style="80"/>
    <col min="7681" max="7710" width="3.28515625" style="80" customWidth="1"/>
    <col min="7711" max="7936" width="9.140625" style="80"/>
    <col min="7937" max="7966" width="3.28515625" style="80" customWidth="1"/>
    <col min="7967" max="8192" width="9.140625" style="80"/>
    <col min="8193" max="8222" width="3.28515625" style="80" customWidth="1"/>
    <col min="8223" max="8448" width="9.140625" style="80"/>
    <col min="8449" max="8478" width="3.28515625" style="80" customWidth="1"/>
    <col min="8479" max="8704" width="9.140625" style="80"/>
    <col min="8705" max="8734" width="3.28515625" style="80" customWidth="1"/>
    <col min="8735" max="8960" width="9.140625" style="80"/>
    <col min="8961" max="8990" width="3.28515625" style="80" customWidth="1"/>
    <col min="8991" max="9216" width="9.140625" style="80"/>
    <col min="9217" max="9246" width="3.28515625" style="80" customWidth="1"/>
    <col min="9247" max="9472" width="9.140625" style="80"/>
    <col min="9473" max="9502" width="3.28515625" style="80" customWidth="1"/>
    <col min="9503" max="9728" width="9.140625" style="80"/>
    <col min="9729" max="9758" width="3.28515625" style="80" customWidth="1"/>
    <col min="9759" max="9984" width="9.140625" style="80"/>
    <col min="9985" max="10014" width="3.28515625" style="80" customWidth="1"/>
    <col min="10015" max="10240" width="9.140625" style="80"/>
    <col min="10241" max="10270" width="3.28515625" style="80" customWidth="1"/>
    <col min="10271" max="10496" width="9.140625" style="80"/>
    <col min="10497" max="10526" width="3.28515625" style="80" customWidth="1"/>
    <col min="10527" max="10752" width="9.140625" style="80"/>
    <col min="10753" max="10782" width="3.28515625" style="80" customWidth="1"/>
    <col min="10783" max="11008" width="9.140625" style="80"/>
    <col min="11009" max="11038" width="3.28515625" style="80" customWidth="1"/>
    <col min="11039" max="11264" width="9.140625" style="80"/>
    <col min="11265" max="11294" width="3.28515625" style="80" customWidth="1"/>
    <col min="11295" max="11520" width="9.140625" style="80"/>
    <col min="11521" max="11550" width="3.28515625" style="80" customWidth="1"/>
    <col min="11551" max="11776" width="9.140625" style="80"/>
    <col min="11777" max="11806" width="3.28515625" style="80" customWidth="1"/>
    <col min="11807" max="12032" width="9.140625" style="80"/>
    <col min="12033" max="12062" width="3.28515625" style="80" customWidth="1"/>
    <col min="12063" max="12288" width="9.140625" style="80"/>
    <col min="12289" max="12318" width="3.28515625" style="80" customWidth="1"/>
    <col min="12319" max="12544" width="9.140625" style="80"/>
    <col min="12545" max="12574" width="3.28515625" style="80" customWidth="1"/>
    <col min="12575" max="12800" width="9.140625" style="80"/>
    <col min="12801" max="12830" width="3.28515625" style="80" customWidth="1"/>
    <col min="12831" max="13056" width="9.140625" style="80"/>
    <col min="13057" max="13086" width="3.28515625" style="80" customWidth="1"/>
    <col min="13087" max="13312" width="9.140625" style="80"/>
    <col min="13313" max="13342" width="3.28515625" style="80" customWidth="1"/>
    <col min="13343" max="13568" width="9.140625" style="80"/>
    <col min="13569" max="13598" width="3.28515625" style="80" customWidth="1"/>
    <col min="13599" max="13824" width="9.140625" style="80"/>
    <col min="13825" max="13854" width="3.28515625" style="80" customWidth="1"/>
    <col min="13855" max="14080" width="9.140625" style="80"/>
    <col min="14081" max="14110" width="3.28515625" style="80" customWidth="1"/>
    <col min="14111" max="14336" width="9.140625" style="80"/>
    <col min="14337" max="14366" width="3.28515625" style="80" customWidth="1"/>
    <col min="14367" max="14592" width="9.140625" style="80"/>
    <col min="14593" max="14622" width="3.28515625" style="80" customWidth="1"/>
    <col min="14623" max="14848" width="9.140625" style="80"/>
    <col min="14849" max="14878" width="3.28515625" style="80" customWidth="1"/>
    <col min="14879" max="15104" width="9.140625" style="80"/>
    <col min="15105" max="15134" width="3.28515625" style="80" customWidth="1"/>
    <col min="15135" max="15360" width="9.140625" style="80"/>
    <col min="15361" max="15390" width="3.28515625" style="80" customWidth="1"/>
    <col min="15391" max="15616" width="9.140625" style="80"/>
    <col min="15617" max="15646" width="3.28515625" style="80" customWidth="1"/>
    <col min="15647" max="15872" width="9.140625" style="80"/>
    <col min="15873" max="15902" width="3.28515625" style="80" customWidth="1"/>
    <col min="15903" max="16128" width="9.140625" style="80"/>
    <col min="16129" max="16158" width="3.28515625" style="80" customWidth="1"/>
    <col min="16159" max="16384" width="9.140625" style="80"/>
  </cols>
  <sheetData>
    <row r="1" spans="1:30" ht="15" customHeight="1" x14ac:dyDescent="0.2">
      <c r="A1" s="77"/>
      <c r="B1" s="78"/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9"/>
    </row>
    <row r="2" spans="1:30" ht="15" customHeight="1" x14ac:dyDescent="0.2">
      <c r="A2" s="81"/>
      <c r="B2" s="82"/>
      <c r="C2" s="82"/>
      <c r="D2" s="82"/>
      <c r="E2" s="82"/>
      <c r="F2" s="82"/>
      <c r="G2" s="82"/>
      <c r="H2" s="82"/>
      <c r="I2" s="82"/>
      <c r="J2" s="82"/>
      <c r="K2" s="82"/>
      <c r="L2" s="82"/>
      <c r="M2" s="82"/>
      <c r="N2" s="82"/>
      <c r="O2" s="82"/>
      <c r="P2" s="82"/>
      <c r="Q2" s="82"/>
      <c r="R2" s="82"/>
      <c r="S2" s="82"/>
      <c r="T2" s="82"/>
      <c r="U2" s="82"/>
      <c r="V2" s="82"/>
      <c r="W2" s="82"/>
      <c r="X2" s="82"/>
      <c r="Y2" s="82"/>
      <c r="Z2" s="82"/>
      <c r="AA2" s="82"/>
      <c r="AB2" s="82"/>
      <c r="AC2" s="82"/>
      <c r="AD2" s="83"/>
    </row>
    <row r="3" spans="1:30" ht="15" customHeight="1" x14ac:dyDescent="0.2">
      <c r="A3" s="81"/>
      <c r="B3" s="82"/>
      <c r="C3" s="82"/>
      <c r="D3" s="82"/>
      <c r="E3" s="82"/>
      <c r="F3" s="82"/>
      <c r="G3" s="82"/>
      <c r="H3" s="84"/>
      <c r="I3" s="84"/>
      <c r="J3" s="84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6"/>
      <c r="X3" s="86"/>
      <c r="Y3" s="86"/>
      <c r="Z3" s="86"/>
      <c r="AA3" s="86"/>
      <c r="AB3" s="86"/>
      <c r="AC3" s="86"/>
      <c r="AD3" s="87"/>
    </row>
    <row r="4" spans="1:30" ht="15" customHeight="1" x14ac:dyDescent="0.2">
      <c r="A4" s="81"/>
      <c r="B4" s="82"/>
      <c r="C4" s="82"/>
      <c r="D4" s="82"/>
      <c r="E4" s="82"/>
      <c r="F4" s="82"/>
      <c r="G4" s="82"/>
      <c r="H4" s="82"/>
      <c r="I4" s="82"/>
      <c r="J4" s="82"/>
      <c r="K4" s="82"/>
      <c r="L4" s="82"/>
      <c r="M4" s="82"/>
      <c r="N4" s="82"/>
      <c r="O4" s="82"/>
      <c r="P4" s="82"/>
      <c r="Q4" s="82"/>
      <c r="R4" s="82"/>
      <c r="S4" s="82"/>
      <c r="T4" s="82"/>
      <c r="U4" s="82"/>
      <c r="V4" s="82"/>
      <c r="W4" s="82"/>
      <c r="X4" s="82"/>
      <c r="Y4" s="82"/>
      <c r="Z4" s="82"/>
      <c r="AA4" s="82"/>
      <c r="AB4" s="82"/>
      <c r="AC4" s="82"/>
      <c r="AD4" s="83"/>
    </row>
    <row r="5" spans="1:30" ht="15" customHeight="1" x14ac:dyDescent="0.2">
      <c r="A5" s="81"/>
      <c r="B5" s="82"/>
      <c r="C5" s="82"/>
      <c r="D5" s="82"/>
      <c r="E5" s="82"/>
      <c r="F5" s="82"/>
      <c r="G5" s="82"/>
      <c r="H5" s="82"/>
      <c r="I5" s="82"/>
      <c r="J5" s="82"/>
      <c r="K5" s="82"/>
      <c r="L5" s="82"/>
      <c r="M5" s="82"/>
      <c r="N5" s="82"/>
      <c r="O5" s="82"/>
      <c r="P5" s="82"/>
      <c r="Q5" s="82"/>
      <c r="R5" s="82"/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83"/>
    </row>
    <row r="6" spans="1:30" ht="15" customHeight="1" x14ac:dyDescent="0.2">
      <c r="A6" s="81"/>
      <c r="B6" s="82"/>
      <c r="C6" s="82"/>
      <c r="D6" s="82"/>
      <c r="E6" s="82"/>
      <c r="F6" s="82"/>
      <c r="G6" s="82"/>
      <c r="H6" s="82"/>
      <c r="I6" s="82"/>
      <c r="J6" s="82"/>
      <c r="K6" s="82"/>
      <c r="L6" s="82"/>
      <c r="M6" s="82"/>
      <c r="N6" s="82"/>
      <c r="O6" s="82"/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83"/>
    </row>
    <row r="7" spans="1:30" ht="15" customHeight="1" thickBot="1" x14ac:dyDescent="0.25">
      <c r="A7" s="88"/>
      <c r="B7" s="89"/>
      <c r="C7" s="89"/>
      <c r="D7" s="89"/>
      <c r="E7" s="89"/>
      <c r="F7" s="90"/>
      <c r="G7" s="82"/>
      <c r="H7" s="82"/>
      <c r="I7" s="82"/>
      <c r="J7" s="82"/>
      <c r="K7" s="82"/>
      <c r="L7" s="82"/>
      <c r="M7" s="82"/>
      <c r="N7" s="82"/>
      <c r="O7" s="82"/>
      <c r="P7" s="82"/>
      <c r="Q7" s="82"/>
      <c r="R7" s="82"/>
      <c r="S7" s="82"/>
      <c r="T7" s="82"/>
      <c r="U7" s="82"/>
      <c r="V7" s="82"/>
      <c r="W7" s="82"/>
      <c r="X7" s="82"/>
      <c r="Y7" s="82"/>
      <c r="Z7" s="82"/>
      <c r="AA7" s="89"/>
      <c r="AB7" s="89"/>
      <c r="AC7" s="89"/>
      <c r="AD7" s="91"/>
    </row>
    <row r="8" spans="1:30" ht="15" customHeight="1" x14ac:dyDescent="0.2">
      <c r="A8" s="92" t="s">
        <v>145</v>
      </c>
      <c r="B8" s="93"/>
      <c r="C8" s="93"/>
      <c r="D8" s="93"/>
      <c r="E8" s="93"/>
      <c r="F8" s="93"/>
      <c r="G8" s="93"/>
      <c r="H8" s="93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4"/>
    </row>
    <row r="9" spans="1:30" ht="15" customHeight="1" x14ac:dyDescent="0.2">
      <c r="A9" s="95"/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96"/>
      <c r="N9" s="96"/>
      <c r="O9" s="96"/>
      <c r="P9" s="96"/>
      <c r="Q9" s="96"/>
      <c r="R9" s="96"/>
      <c r="S9" s="96"/>
      <c r="T9" s="96"/>
      <c r="U9" s="96"/>
      <c r="V9" s="96"/>
      <c r="W9" s="96"/>
      <c r="X9" s="96"/>
      <c r="Y9" s="96"/>
      <c r="Z9" s="96"/>
      <c r="AA9" s="96"/>
      <c r="AB9" s="96"/>
      <c r="AC9" s="96"/>
      <c r="AD9" s="97"/>
    </row>
    <row r="10" spans="1:30" ht="15" customHeight="1" x14ac:dyDescent="0.2">
      <c r="A10" s="95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7"/>
    </row>
    <row r="11" spans="1:30" ht="15" customHeight="1" x14ac:dyDescent="0.2">
      <c r="A11" s="95"/>
      <c r="B11" s="96"/>
      <c r="C11" s="96"/>
      <c r="D11" s="96"/>
      <c r="E11" s="96"/>
      <c r="F11" s="96"/>
      <c r="G11" s="96"/>
      <c r="H11" s="96"/>
      <c r="I11" s="96"/>
      <c r="J11" s="96"/>
      <c r="K11" s="96"/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7"/>
    </row>
    <row r="12" spans="1:30" ht="15" customHeight="1" x14ac:dyDescent="0.2">
      <c r="A12" s="95"/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7"/>
    </row>
    <row r="13" spans="1:30" ht="15" customHeight="1" x14ac:dyDescent="0.2">
      <c r="A13" s="95"/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6"/>
      <c r="P13" s="96"/>
      <c r="Q13" s="96"/>
      <c r="R13" s="96"/>
      <c r="S13" s="96"/>
      <c r="T13" s="96"/>
      <c r="U13" s="96"/>
      <c r="V13" s="96"/>
      <c r="W13" s="96"/>
      <c r="X13" s="96"/>
      <c r="Y13" s="96"/>
      <c r="Z13" s="96"/>
      <c r="AA13" s="96"/>
      <c r="AB13" s="96"/>
      <c r="AC13" s="96"/>
      <c r="AD13" s="97"/>
    </row>
    <row r="14" spans="1:30" ht="15" customHeight="1" x14ac:dyDescent="0.2">
      <c r="A14" s="95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96"/>
      <c r="N14" s="96"/>
      <c r="O14" s="96"/>
      <c r="P14" s="96"/>
      <c r="Q14" s="96"/>
      <c r="R14" s="96"/>
      <c r="S14" s="96"/>
      <c r="T14" s="96"/>
      <c r="U14" s="96"/>
      <c r="V14" s="96"/>
      <c r="W14" s="96"/>
      <c r="X14" s="96"/>
      <c r="Y14" s="96"/>
      <c r="Z14" s="96"/>
      <c r="AA14" s="96"/>
      <c r="AB14" s="96"/>
      <c r="AC14" s="96"/>
      <c r="AD14" s="97"/>
    </row>
    <row r="15" spans="1:30" ht="15" customHeight="1" x14ac:dyDescent="0.2">
      <c r="A15" s="95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96"/>
      <c r="N15" s="96"/>
      <c r="O15" s="96"/>
      <c r="P15" s="96"/>
      <c r="Q15" s="96"/>
      <c r="R15" s="96"/>
      <c r="S15" s="96"/>
      <c r="T15" s="96"/>
      <c r="U15" s="96"/>
      <c r="V15" s="96"/>
      <c r="W15" s="96"/>
      <c r="X15" s="96"/>
      <c r="Y15" s="96"/>
      <c r="Z15" s="96"/>
      <c r="AA15" s="96"/>
      <c r="AB15" s="96"/>
      <c r="AC15" s="96"/>
      <c r="AD15" s="97"/>
    </row>
    <row r="16" spans="1:30" ht="15" customHeight="1" x14ac:dyDescent="0.2">
      <c r="A16" s="95"/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6"/>
      <c r="P16" s="96"/>
      <c r="Q16" s="96"/>
      <c r="R16" s="96"/>
      <c r="S16" s="96"/>
      <c r="T16" s="96"/>
      <c r="U16" s="96"/>
      <c r="V16" s="96"/>
      <c r="W16" s="96"/>
      <c r="X16" s="96"/>
      <c r="Y16" s="96"/>
      <c r="Z16" s="96"/>
      <c r="AA16" s="96"/>
      <c r="AB16" s="96"/>
      <c r="AC16" s="96"/>
      <c r="AD16" s="97"/>
    </row>
    <row r="17" spans="1:30" ht="15" customHeight="1" x14ac:dyDescent="0.2">
      <c r="A17" s="95"/>
      <c r="B17" s="96"/>
      <c r="C17" s="96"/>
      <c r="D17" s="96"/>
      <c r="E17" s="96"/>
      <c r="F17" s="96"/>
      <c r="G17" s="96"/>
      <c r="H17" s="96"/>
      <c r="I17" s="96"/>
      <c r="J17" s="96"/>
      <c r="K17" s="96"/>
      <c r="L17" s="96"/>
      <c r="M17" s="96"/>
      <c r="N17" s="96"/>
      <c r="O17" s="96"/>
      <c r="P17" s="96"/>
      <c r="Q17" s="96"/>
      <c r="R17" s="96"/>
      <c r="S17" s="96"/>
      <c r="T17" s="96"/>
      <c r="U17" s="96"/>
      <c r="V17" s="96"/>
      <c r="W17" s="96"/>
      <c r="X17" s="96"/>
      <c r="Y17" s="96"/>
      <c r="Z17" s="96"/>
      <c r="AA17" s="96"/>
      <c r="AB17" s="96"/>
      <c r="AC17" s="96"/>
      <c r="AD17" s="97"/>
    </row>
    <row r="18" spans="1:30" ht="15" customHeight="1" x14ac:dyDescent="0.2">
      <c r="A18" s="95"/>
      <c r="B18" s="96"/>
      <c r="C18" s="96"/>
      <c r="D18" s="96"/>
      <c r="E18" s="96"/>
      <c r="F18" s="96"/>
      <c r="G18" s="96"/>
      <c r="H18" s="96"/>
      <c r="I18" s="96"/>
      <c r="J18" s="96"/>
      <c r="K18" s="96"/>
      <c r="L18" s="96"/>
      <c r="M18" s="96"/>
      <c r="N18" s="96"/>
      <c r="O18" s="96"/>
      <c r="P18" s="96"/>
      <c r="Q18" s="96"/>
      <c r="R18" s="96"/>
      <c r="S18" s="96"/>
      <c r="T18" s="96"/>
      <c r="U18" s="96"/>
      <c r="V18" s="96"/>
      <c r="W18" s="96"/>
      <c r="X18" s="96"/>
      <c r="Y18" s="96"/>
      <c r="Z18" s="96"/>
      <c r="AA18" s="96"/>
      <c r="AB18" s="96"/>
      <c r="AC18" s="96"/>
      <c r="AD18" s="97"/>
    </row>
    <row r="19" spans="1:30" ht="15" customHeight="1" x14ac:dyDescent="0.2">
      <c r="A19" s="95"/>
      <c r="B19" s="96"/>
      <c r="C19" s="96"/>
      <c r="D19" s="96"/>
      <c r="E19" s="96"/>
      <c r="F19" s="96"/>
      <c r="G19" s="96"/>
      <c r="H19" s="96"/>
      <c r="I19" s="96"/>
      <c r="J19" s="96"/>
      <c r="K19" s="96"/>
      <c r="L19" s="96"/>
      <c r="M19" s="96"/>
      <c r="N19" s="96"/>
      <c r="O19" s="96"/>
      <c r="P19" s="96"/>
      <c r="Q19" s="96"/>
      <c r="R19" s="96"/>
      <c r="S19" s="96"/>
      <c r="T19" s="96"/>
      <c r="U19" s="96"/>
      <c r="V19" s="96"/>
      <c r="W19" s="96"/>
      <c r="X19" s="96"/>
      <c r="Y19" s="96"/>
      <c r="Z19" s="96"/>
      <c r="AA19" s="96"/>
      <c r="AB19" s="96"/>
      <c r="AC19" s="96"/>
      <c r="AD19" s="97"/>
    </row>
    <row r="20" spans="1:30" ht="15" customHeight="1" x14ac:dyDescent="0.2">
      <c r="A20" s="95"/>
      <c r="B20" s="96"/>
      <c r="C20" s="96"/>
      <c r="D20" s="96"/>
      <c r="E20" s="96"/>
      <c r="F20" s="96"/>
      <c r="G20" s="96"/>
      <c r="H20" s="96"/>
      <c r="I20" s="96"/>
      <c r="J20" s="96"/>
      <c r="K20" s="96"/>
      <c r="L20" s="96"/>
      <c r="M20" s="96"/>
      <c r="N20" s="96"/>
      <c r="O20" s="96"/>
      <c r="P20" s="96"/>
      <c r="Q20" s="96"/>
      <c r="R20" s="96"/>
      <c r="S20" s="96"/>
      <c r="T20" s="96"/>
      <c r="U20" s="96"/>
      <c r="V20" s="96"/>
      <c r="W20" s="96"/>
      <c r="X20" s="96"/>
      <c r="Y20" s="96"/>
      <c r="Z20" s="96"/>
      <c r="AA20" s="96"/>
      <c r="AB20" s="96"/>
      <c r="AC20" s="96"/>
      <c r="AD20" s="97"/>
    </row>
    <row r="21" spans="1:30" ht="15" customHeight="1" x14ac:dyDescent="0.2">
      <c r="A21" s="95"/>
      <c r="B21" s="96"/>
      <c r="C21" s="96"/>
      <c r="D21" s="96"/>
      <c r="E21" s="96"/>
      <c r="F21" s="96"/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7"/>
    </row>
    <row r="22" spans="1:30" ht="15" customHeight="1" x14ac:dyDescent="0.2">
      <c r="A22" s="95"/>
      <c r="B22" s="96"/>
      <c r="C22" s="96"/>
      <c r="D22" s="96"/>
      <c r="E22" s="96"/>
      <c r="F22" s="96"/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7"/>
    </row>
    <row r="23" spans="1:30" ht="15" customHeight="1" x14ac:dyDescent="0.2">
      <c r="A23" s="95"/>
      <c r="B23" s="96"/>
      <c r="C23" s="96"/>
      <c r="D23" s="96"/>
      <c r="E23" s="96"/>
      <c r="F23" s="96"/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7"/>
    </row>
    <row r="24" spans="1:30" ht="15" customHeight="1" x14ac:dyDescent="0.2">
      <c r="A24" s="95"/>
      <c r="B24" s="96"/>
      <c r="C24" s="96"/>
      <c r="D24" s="96"/>
      <c r="E24" s="96"/>
      <c r="F24" s="96"/>
      <c r="G24" s="96"/>
      <c r="H24" s="96"/>
      <c r="I24" s="96"/>
      <c r="J24" s="96"/>
      <c r="K24" s="96"/>
      <c r="L24" s="96"/>
      <c r="M24" s="96"/>
      <c r="N24" s="96"/>
      <c r="O24" s="96"/>
      <c r="P24" s="96"/>
      <c r="Q24" s="96"/>
      <c r="R24" s="96"/>
      <c r="S24" s="96"/>
      <c r="T24" s="96"/>
      <c r="U24" s="96"/>
      <c r="V24" s="96"/>
      <c r="W24" s="96"/>
      <c r="X24" s="96"/>
      <c r="Y24" s="96"/>
      <c r="Z24" s="96"/>
      <c r="AA24" s="96"/>
      <c r="AB24" s="96"/>
      <c r="AC24" s="96"/>
      <c r="AD24" s="97"/>
    </row>
    <row r="25" spans="1:30" ht="15" customHeight="1" x14ac:dyDescent="0.2">
      <c r="A25" s="95"/>
      <c r="B25" s="96"/>
      <c r="C25" s="96"/>
      <c r="D25" s="96"/>
      <c r="E25" s="96"/>
      <c r="F25" s="96"/>
      <c r="G25" s="96"/>
      <c r="H25" s="96"/>
      <c r="I25" s="96"/>
      <c r="J25" s="96"/>
      <c r="K25" s="96"/>
      <c r="L25" s="96"/>
      <c r="M25" s="96"/>
      <c r="N25" s="96"/>
      <c r="O25" s="96"/>
      <c r="P25" s="96"/>
      <c r="Q25" s="96"/>
      <c r="R25" s="96"/>
      <c r="S25" s="96"/>
      <c r="T25" s="96"/>
      <c r="U25" s="96"/>
      <c r="V25" s="96"/>
      <c r="W25" s="96"/>
      <c r="X25" s="96"/>
      <c r="Y25" s="96"/>
      <c r="Z25" s="96"/>
      <c r="AA25" s="96"/>
      <c r="AB25" s="96"/>
      <c r="AC25" s="96"/>
      <c r="AD25" s="97"/>
    </row>
    <row r="26" spans="1:30" ht="15" customHeight="1" x14ac:dyDescent="0.2">
      <c r="A26" s="95"/>
      <c r="B26" s="96"/>
      <c r="C26" s="96"/>
      <c r="D26" s="96"/>
      <c r="E26" s="96"/>
      <c r="F26" s="96"/>
      <c r="G26" s="96"/>
      <c r="H26" s="96"/>
      <c r="I26" s="96"/>
      <c r="J26" s="96"/>
      <c r="K26" s="96"/>
      <c r="L26" s="96"/>
      <c r="M26" s="96"/>
      <c r="N26" s="96"/>
      <c r="O26" s="96"/>
      <c r="P26" s="96"/>
      <c r="Q26" s="96"/>
      <c r="R26" s="96"/>
      <c r="S26" s="96"/>
      <c r="T26" s="96"/>
      <c r="U26" s="96"/>
      <c r="V26" s="96"/>
      <c r="W26" s="96"/>
      <c r="X26" s="96"/>
      <c r="Y26" s="96"/>
      <c r="Z26" s="96"/>
      <c r="AA26" s="96"/>
      <c r="AB26" s="96"/>
      <c r="AC26" s="96"/>
      <c r="AD26" s="97"/>
    </row>
    <row r="27" spans="1:30" ht="15" customHeight="1" x14ac:dyDescent="0.2">
      <c r="A27" s="95"/>
      <c r="B27" s="96"/>
      <c r="C27" s="96"/>
      <c r="D27" s="96"/>
      <c r="E27" s="96"/>
      <c r="F27" s="96"/>
      <c r="G27" s="96"/>
      <c r="H27" s="96"/>
      <c r="I27" s="96"/>
      <c r="J27" s="96"/>
      <c r="K27" s="96"/>
      <c r="L27" s="96"/>
      <c r="M27" s="96"/>
      <c r="N27" s="96"/>
      <c r="O27" s="96"/>
      <c r="P27" s="96"/>
      <c r="Q27" s="96"/>
      <c r="R27" s="96"/>
      <c r="S27" s="96"/>
      <c r="T27" s="96"/>
      <c r="U27" s="96"/>
      <c r="V27" s="96"/>
      <c r="W27" s="96"/>
      <c r="X27" s="96"/>
      <c r="Y27" s="96"/>
      <c r="Z27" s="96"/>
      <c r="AA27" s="96"/>
      <c r="AB27" s="96"/>
      <c r="AC27" s="96"/>
      <c r="AD27" s="97"/>
    </row>
    <row r="28" spans="1:30" ht="15" customHeight="1" x14ac:dyDescent="0.2">
      <c r="A28" s="95"/>
      <c r="B28" s="96"/>
      <c r="C28" s="96"/>
      <c r="D28" s="96"/>
      <c r="E28" s="96"/>
      <c r="F28" s="96"/>
      <c r="G28" s="96"/>
      <c r="H28" s="96"/>
      <c r="I28" s="96"/>
      <c r="J28" s="96"/>
      <c r="K28" s="96"/>
      <c r="L28" s="96"/>
      <c r="M28" s="96"/>
      <c r="N28" s="96"/>
      <c r="O28" s="96"/>
      <c r="P28" s="96"/>
      <c r="Q28" s="96"/>
      <c r="R28" s="96"/>
      <c r="S28" s="96"/>
      <c r="T28" s="96"/>
      <c r="U28" s="96"/>
      <c r="V28" s="96"/>
      <c r="W28" s="96"/>
      <c r="X28" s="96"/>
      <c r="Y28" s="96"/>
      <c r="Z28" s="96"/>
      <c r="AA28" s="96"/>
      <c r="AB28" s="96"/>
      <c r="AC28" s="96"/>
      <c r="AD28" s="97"/>
    </row>
    <row r="29" spans="1:30" ht="15" customHeight="1" x14ac:dyDescent="0.2">
      <c r="A29" s="95"/>
      <c r="B29" s="96"/>
      <c r="C29" s="96"/>
      <c r="D29" s="96"/>
      <c r="E29" s="96"/>
      <c r="F29" s="96"/>
      <c r="G29" s="96"/>
      <c r="H29" s="96"/>
      <c r="I29" s="96"/>
      <c r="J29" s="96"/>
      <c r="K29" s="96"/>
      <c r="L29" s="96"/>
      <c r="M29" s="96"/>
      <c r="N29" s="96"/>
      <c r="O29" s="96"/>
      <c r="P29" s="96"/>
      <c r="Q29" s="96"/>
      <c r="R29" s="96"/>
      <c r="S29" s="96"/>
      <c r="T29" s="96"/>
      <c r="U29" s="96"/>
      <c r="V29" s="96"/>
      <c r="W29" s="96"/>
      <c r="X29" s="96"/>
      <c r="Y29" s="96"/>
      <c r="Z29" s="96"/>
      <c r="AA29" s="96"/>
      <c r="AB29" s="96"/>
      <c r="AC29" s="96"/>
      <c r="AD29" s="97"/>
    </row>
    <row r="30" spans="1:30" ht="15" customHeight="1" x14ac:dyDescent="0.2">
      <c r="A30" s="95"/>
      <c r="B30" s="96"/>
      <c r="C30" s="96"/>
      <c r="D30" s="96"/>
      <c r="E30" s="96"/>
      <c r="F30" s="96"/>
      <c r="G30" s="96"/>
      <c r="H30" s="96"/>
      <c r="I30" s="96"/>
      <c r="J30" s="96"/>
      <c r="K30" s="96"/>
      <c r="L30" s="96"/>
      <c r="M30" s="96"/>
      <c r="N30" s="96"/>
      <c r="O30" s="96"/>
      <c r="P30" s="96"/>
      <c r="Q30" s="96"/>
      <c r="R30" s="96"/>
      <c r="S30" s="96"/>
      <c r="T30" s="96"/>
      <c r="U30" s="96"/>
      <c r="V30" s="96"/>
      <c r="W30" s="96"/>
      <c r="X30" s="96"/>
      <c r="Y30" s="96"/>
      <c r="Z30" s="96"/>
      <c r="AA30" s="96"/>
      <c r="AB30" s="96"/>
      <c r="AC30" s="96"/>
      <c r="AD30" s="97"/>
    </row>
    <row r="31" spans="1:30" ht="15" customHeight="1" x14ac:dyDescent="0.2">
      <c r="A31" s="95"/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96"/>
      <c r="N31" s="96"/>
      <c r="O31" s="96"/>
      <c r="P31" s="96"/>
      <c r="Q31" s="96"/>
      <c r="R31" s="96"/>
      <c r="S31" s="96"/>
      <c r="T31" s="96"/>
      <c r="U31" s="96"/>
      <c r="V31" s="96"/>
      <c r="W31" s="96"/>
      <c r="X31" s="96"/>
      <c r="Y31" s="96"/>
      <c r="Z31" s="96"/>
      <c r="AA31" s="96"/>
      <c r="AB31" s="96"/>
      <c r="AC31" s="96"/>
      <c r="AD31" s="97"/>
    </row>
    <row r="32" spans="1:30" ht="15" customHeight="1" x14ac:dyDescent="0.2">
      <c r="A32" s="95"/>
      <c r="B32" s="96"/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96"/>
      <c r="N32" s="96"/>
      <c r="O32" s="96"/>
      <c r="P32" s="96"/>
      <c r="Q32" s="96"/>
      <c r="R32" s="96"/>
      <c r="S32" s="96"/>
      <c r="T32" s="96"/>
      <c r="U32" s="96"/>
      <c r="V32" s="96"/>
      <c r="W32" s="96"/>
      <c r="X32" s="96"/>
      <c r="Y32" s="96"/>
      <c r="Z32" s="96"/>
      <c r="AA32" s="96"/>
      <c r="AB32" s="96"/>
      <c r="AC32" s="96"/>
      <c r="AD32" s="97"/>
    </row>
    <row r="33" spans="1:30" ht="15" customHeight="1" x14ac:dyDescent="0.2">
      <c r="A33" s="95"/>
      <c r="B33" s="96"/>
      <c r="C33" s="96"/>
      <c r="D33" s="96"/>
      <c r="E33" s="96"/>
      <c r="F33" s="96"/>
      <c r="G33" s="96"/>
      <c r="H33" s="96"/>
      <c r="I33" s="96"/>
      <c r="J33" s="96"/>
      <c r="K33" s="96"/>
      <c r="L33" s="96"/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7"/>
    </row>
    <row r="34" spans="1:30" ht="15" customHeight="1" x14ac:dyDescent="0.2">
      <c r="A34" s="95"/>
      <c r="B34" s="96"/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  <c r="O34" s="96"/>
      <c r="P34" s="96"/>
      <c r="Q34" s="96"/>
      <c r="R34" s="96"/>
      <c r="S34" s="96"/>
      <c r="T34" s="96"/>
      <c r="U34" s="96"/>
      <c r="V34" s="96"/>
      <c r="W34" s="96"/>
      <c r="X34" s="96"/>
      <c r="Y34" s="96"/>
      <c r="Z34" s="96"/>
      <c r="AA34" s="96"/>
      <c r="AB34" s="96"/>
      <c r="AC34" s="96"/>
      <c r="AD34" s="97"/>
    </row>
    <row r="35" spans="1:30" ht="15" customHeight="1" x14ac:dyDescent="0.2">
      <c r="A35" s="95"/>
      <c r="B35" s="96"/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6"/>
      <c r="P35" s="96"/>
      <c r="Q35" s="96"/>
      <c r="R35" s="96"/>
      <c r="S35" s="96"/>
      <c r="T35" s="96"/>
      <c r="U35" s="96"/>
      <c r="V35" s="96"/>
      <c r="W35" s="96"/>
      <c r="X35" s="96"/>
      <c r="Y35" s="96"/>
      <c r="Z35" s="96"/>
      <c r="AA35" s="96"/>
      <c r="AB35" s="96"/>
      <c r="AC35" s="96"/>
      <c r="AD35" s="97"/>
    </row>
    <row r="36" spans="1:30" ht="15" customHeight="1" x14ac:dyDescent="0.2">
      <c r="A36" s="95"/>
      <c r="B36" s="96"/>
      <c r="C36" s="96"/>
      <c r="D36" s="96"/>
      <c r="E36" s="96"/>
      <c r="F36" s="96"/>
      <c r="G36" s="96"/>
      <c r="H36" s="96"/>
      <c r="I36" s="96"/>
      <c r="J36" s="96"/>
      <c r="K36" s="96"/>
      <c r="L36" s="96"/>
      <c r="M36" s="96"/>
      <c r="N36" s="96"/>
      <c r="O36" s="96"/>
      <c r="P36" s="96"/>
      <c r="Q36" s="96"/>
      <c r="R36" s="96"/>
      <c r="S36" s="96"/>
      <c r="T36" s="96"/>
      <c r="U36" s="96"/>
      <c r="V36" s="96"/>
      <c r="W36" s="96"/>
      <c r="X36" s="96"/>
      <c r="Y36" s="96"/>
      <c r="Z36" s="96"/>
      <c r="AA36" s="96"/>
      <c r="AB36" s="96"/>
      <c r="AC36" s="96"/>
      <c r="AD36" s="97"/>
    </row>
    <row r="37" spans="1:30" ht="15" customHeight="1" x14ac:dyDescent="0.2">
      <c r="A37" s="95"/>
      <c r="B37" s="96"/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7"/>
    </row>
    <row r="38" spans="1:30" ht="15" customHeight="1" thickBot="1" x14ac:dyDescent="0.25">
      <c r="A38" s="98"/>
      <c r="B38" s="99"/>
      <c r="C38" s="99"/>
      <c r="D38" s="99"/>
      <c r="E38" s="99"/>
      <c r="F38" s="99"/>
      <c r="G38" s="99"/>
      <c r="H38" s="99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99"/>
      <c r="X38" s="99"/>
      <c r="Y38" s="99"/>
      <c r="Z38" s="99"/>
      <c r="AA38" s="99"/>
      <c r="AB38" s="99"/>
      <c r="AC38" s="99"/>
      <c r="AD38" s="100"/>
    </row>
    <row r="39" spans="1:30" ht="30" customHeight="1" x14ac:dyDescent="0.2">
      <c r="A39" s="101"/>
      <c r="B39" s="102"/>
      <c r="C39" s="103"/>
      <c r="D39" s="104"/>
      <c r="E39" s="104"/>
      <c r="F39" s="102"/>
      <c r="G39" s="103"/>
      <c r="H39" s="104"/>
      <c r="I39" s="104"/>
      <c r="J39" s="104"/>
      <c r="K39" s="104"/>
      <c r="L39" s="104"/>
      <c r="M39" s="104"/>
      <c r="N39" s="104"/>
      <c r="O39" s="104"/>
      <c r="P39" s="103"/>
      <c r="Q39" s="104"/>
      <c r="R39" s="104"/>
      <c r="S39" s="104"/>
      <c r="T39" s="102"/>
      <c r="U39" s="103"/>
      <c r="V39" s="104"/>
      <c r="W39" s="104"/>
      <c r="X39" s="104"/>
      <c r="Y39" s="102"/>
      <c r="Z39" s="103"/>
      <c r="AA39" s="104"/>
      <c r="AB39" s="104"/>
      <c r="AC39" s="104"/>
      <c r="AD39" s="105"/>
    </row>
    <row r="40" spans="1:30" ht="30" customHeight="1" x14ac:dyDescent="0.2">
      <c r="A40" s="109"/>
      <c r="B40" s="110"/>
      <c r="C40" s="106"/>
      <c r="D40" s="107"/>
      <c r="E40" s="107"/>
      <c r="F40" s="110"/>
      <c r="G40" s="106"/>
      <c r="H40" s="107"/>
      <c r="I40" s="107"/>
      <c r="J40" s="107"/>
      <c r="K40" s="107"/>
      <c r="L40" s="107"/>
      <c r="M40" s="107"/>
      <c r="N40" s="107"/>
      <c r="O40" s="107"/>
      <c r="P40" s="106"/>
      <c r="Q40" s="107"/>
      <c r="R40" s="107"/>
      <c r="S40" s="107"/>
      <c r="T40" s="110"/>
      <c r="U40" s="106"/>
      <c r="V40" s="107"/>
      <c r="W40" s="107"/>
      <c r="X40" s="107"/>
      <c r="Y40" s="110"/>
      <c r="Z40" s="106"/>
      <c r="AA40" s="107"/>
      <c r="AB40" s="107"/>
      <c r="AC40" s="107"/>
      <c r="AD40" s="108"/>
    </row>
    <row r="41" spans="1:30" ht="30" customHeight="1" x14ac:dyDescent="0.2">
      <c r="A41" s="109"/>
      <c r="B41" s="110"/>
      <c r="C41" s="106"/>
      <c r="D41" s="107"/>
      <c r="E41" s="107"/>
      <c r="F41" s="110"/>
      <c r="G41" s="106"/>
      <c r="H41" s="107"/>
      <c r="I41" s="107"/>
      <c r="J41" s="107"/>
      <c r="K41" s="107"/>
      <c r="L41" s="107"/>
      <c r="M41" s="107"/>
      <c r="N41" s="107"/>
      <c r="O41" s="107"/>
      <c r="P41" s="106"/>
      <c r="Q41" s="107"/>
      <c r="R41" s="107"/>
      <c r="S41" s="107"/>
      <c r="T41" s="110"/>
      <c r="U41" s="106"/>
      <c r="V41" s="107"/>
      <c r="W41" s="107"/>
      <c r="X41" s="107"/>
      <c r="Y41" s="110"/>
      <c r="Z41" s="106"/>
      <c r="AA41" s="107"/>
      <c r="AB41" s="107"/>
      <c r="AC41" s="107"/>
      <c r="AD41" s="108"/>
    </row>
    <row r="42" spans="1:30" ht="30" customHeight="1" x14ac:dyDescent="0.2">
      <c r="A42" s="109"/>
      <c r="B42" s="110"/>
      <c r="C42" s="106"/>
      <c r="D42" s="107"/>
      <c r="E42" s="107"/>
      <c r="F42" s="110"/>
      <c r="G42" s="106"/>
      <c r="H42" s="107"/>
      <c r="I42" s="107"/>
      <c r="J42" s="107"/>
      <c r="K42" s="107"/>
      <c r="L42" s="107"/>
      <c r="M42" s="107"/>
      <c r="N42" s="107"/>
      <c r="O42" s="107"/>
      <c r="P42" s="106"/>
      <c r="Q42" s="107"/>
      <c r="R42" s="107"/>
      <c r="S42" s="107"/>
      <c r="T42" s="110"/>
      <c r="U42" s="106"/>
      <c r="V42" s="107"/>
      <c r="W42" s="107"/>
      <c r="X42" s="107"/>
      <c r="Y42" s="110"/>
      <c r="Z42" s="106"/>
      <c r="AA42" s="107"/>
      <c r="AB42" s="107"/>
      <c r="AC42" s="107"/>
      <c r="AD42" s="108"/>
    </row>
    <row r="43" spans="1:30" ht="30" customHeight="1" x14ac:dyDescent="0.2">
      <c r="A43" s="109"/>
      <c r="B43" s="110"/>
      <c r="C43" s="106"/>
      <c r="D43" s="107"/>
      <c r="E43" s="107"/>
      <c r="F43" s="110"/>
      <c r="G43" s="106"/>
      <c r="H43" s="107"/>
      <c r="I43" s="107"/>
      <c r="J43" s="107"/>
      <c r="K43" s="107"/>
      <c r="L43" s="107"/>
      <c r="M43" s="107"/>
      <c r="N43" s="107"/>
      <c r="O43" s="107"/>
      <c r="P43" s="106"/>
      <c r="Q43" s="107"/>
      <c r="R43" s="107"/>
      <c r="S43" s="107"/>
      <c r="T43" s="110"/>
      <c r="U43" s="106"/>
      <c r="V43" s="107"/>
      <c r="W43" s="107"/>
      <c r="X43" s="107"/>
      <c r="Y43" s="110"/>
      <c r="Z43" s="106"/>
      <c r="AA43" s="107"/>
      <c r="AB43" s="107"/>
      <c r="AC43" s="107"/>
      <c r="AD43" s="108"/>
    </row>
    <row r="44" spans="1:30" ht="30" customHeight="1" x14ac:dyDescent="0.2">
      <c r="A44" s="109"/>
      <c r="B44" s="110"/>
      <c r="C44" s="106"/>
      <c r="D44" s="107"/>
      <c r="E44" s="107"/>
      <c r="F44" s="110"/>
      <c r="G44" s="106"/>
      <c r="H44" s="107"/>
      <c r="I44" s="107"/>
      <c r="J44" s="107"/>
      <c r="K44" s="107"/>
      <c r="L44" s="107"/>
      <c r="M44" s="107"/>
      <c r="N44" s="107"/>
      <c r="O44" s="107"/>
      <c r="P44" s="106"/>
      <c r="Q44" s="107"/>
      <c r="R44" s="107"/>
      <c r="S44" s="107"/>
      <c r="T44" s="110"/>
      <c r="U44" s="106"/>
      <c r="V44" s="107"/>
      <c r="W44" s="107"/>
      <c r="X44" s="107"/>
      <c r="Y44" s="110"/>
      <c r="Z44" s="106"/>
      <c r="AA44" s="107"/>
      <c r="AB44" s="107"/>
      <c r="AC44" s="107"/>
      <c r="AD44" s="108"/>
    </row>
    <row r="45" spans="1:30" ht="30" customHeight="1" x14ac:dyDescent="0.2">
      <c r="A45" s="114">
        <v>0</v>
      </c>
      <c r="B45" s="115"/>
      <c r="C45" s="116">
        <v>45628</v>
      </c>
      <c r="D45" s="117"/>
      <c r="E45" s="117"/>
      <c r="F45" s="118"/>
      <c r="G45" s="119" t="s">
        <v>0</v>
      </c>
      <c r="H45" s="120"/>
      <c r="I45" s="120"/>
      <c r="J45" s="120"/>
      <c r="K45" s="120"/>
      <c r="L45" s="120"/>
      <c r="M45" s="120"/>
      <c r="N45" s="120"/>
      <c r="O45" s="120"/>
      <c r="P45" s="111" t="s">
        <v>1</v>
      </c>
      <c r="Q45" s="112"/>
      <c r="R45" s="112"/>
      <c r="S45" s="112"/>
      <c r="T45" s="121"/>
      <c r="U45" s="111" t="s">
        <v>2</v>
      </c>
      <c r="V45" s="112"/>
      <c r="W45" s="112"/>
      <c r="X45" s="112"/>
      <c r="Y45" s="121"/>
      <c r="Z45" s="111" t="s">
        <v>3</v>
      </c>
      <c r="AA45" s="112"/>
      <c r="AB45" s="112"/>
      <c r="AC45" s="112"/>
      <c r="AD45" s="113"/>
    </row>
    <row r="46" spans="1:30" ht="15" customHeight="1" thickBot="1" x14ac:dyDescent="0.25">
      <c r="A46" s="125" t="s">
        <v>4</v>
      </c>
      <c r="B46" s="126"/>
      <c r="C46" s="127" t="s">
        <v>5</v>
      </c>
      <c r="D46" s="128"/>
      <c r="E46" s="128"/>
      <c r="F46" s="129"/>
      <c r="G46" s="127" t="s">
        <v>6</v>
      </c>
      <c r="H46" s="128"/>
      <c r="I46" s="128"/>
      <c r="J46" s="128"/>
      <c r="K46" s="128"/>
      <c r="L46" s="128"/>
      <c r="M46" s="128"/>
      <c r="N46" s="128"/>
      <c r="O46" s="128"/>
      <c r="P46" s="127" t="s">
        <v>7</v>
      </c>
      <c r="Q46" s="128"/>
      <c r="R46" s="128"/>
      <c r="S46" s="128"/>
      <c r="T46" s="129"/>
      <c r="U46" s="127" t="s">
        <v>8</v>
      </c>
      <c r="V46" s="128"/>
      <c r="W46" s="128"/>
      <c r="X46" s="128"/>
      <c r="Y46" s="128"/>
      <c r="Z46" s="127" t="s">
        <v>9</v>
      </c>
      <c r="AA46" s="128"/>
      <c r="AB46" s="128"/>
      <c r="AC46" s="128"/>
      <c r="AD46" s="130"/>
    </row>
    <row r="47" spans="1:30" ht="15" customHeight="1" thickBot="1" x14ac:dyDescent="0.25">
      <c r="A47" s="122" t="s">
        <v>144</v>
      </c>
      <c r="B47" s="123"/>
      <c r="C47" s="123"/>
      <c r="D47" s="123"/>
      <c r="E47" s="123"/>
      <c r="F47" s="123"/>
      <c r="G47" s="123"/>
      <c r="H47" s="123"/>
      <c r="I47" s="123"/>
      <c r="J47" s="123"/>
      <c r="K47" s="123"/>
      <c r="L47" s="123"/>
      <c r="M47" s="123"/>
      <c r="N47" s="123"/>
      <c r="O47" s="123"/>
      <c r="P47" s="123"/>
      <c r="Q47" s="123"/>
      <c r="R47" s="123"/>
      <c r="S47" s="123"/>
      <c r="T47" s="123"/>
      <c r="U47" s="123"/>
      <c r="V47" s="123"/>
      <c r="W47" s="123"/>
      <c r="X47" s="123"/>
      <c r="Y47" s="123"/>
      <c r="Z47" s="123"/>
      <c r="AA47" s="123"/>
      <c r="AB47" s="123"/>
      <c r="AC47" s="123"/>
      <c r="AD47" s="124"/>
    </row>
  </sheetData>
  <mergeCells count="50">
    <mergeCell ref="A47:AD47"/>
    <mergeCell ref="A46:B46"/>
    <mergeCell ref="C46:F46"/>
    <mergeCell ref="G46:O46"/>
    <mergeCell ref="P46:T46"/>
    <mergeCell ref="U46:Y46"/>
    <mergeCell ref="Z46:AD46"/>
    <mergeCell ref="Z45:AD45"/>
    <mergeCell ref="A44:B44"/>
    <mergeCell ref="C44:F44"/>
    <mergeCell ref="G44:O44"/>
    <mergeCell ref="P44:T44"/>
    <mergeCell ref="U44:Y44"/>
    <mergeCell ref="Z44:AD44"/>
    <mergeCell ref="A45:B45"/>
    <mergeCell ref="C45:F45"/>
    <mergeCell ref="G45:O45"/>
    <mergeCell ref="P45:T45"/>
    <mergeCell ref="U45:Y45"/>
    <mergeCell ref="Z43:AD43"/>
    <mergeCell ref="A42:B42"/>
    <mergeCell ref="C42:F42"/>
    <mergeCell ref="G42:O42"/>
    <mergeCell ref="P42:T42"/>
    <mergeCell ref="U42:Y42"/>
    <mergeCell ref="Z42:AD42"/>
    <mergeCell ref="A43:B43"/>
    <mergeCell ref="C43:F43"/>
    <mergeCell ref="G43:O43"/>
    <mergeCell ref="P43:T43"/>
    <mergeCell ref="U43:Y43"/>
    <mergeCell ref="Z41:AD41"/>
    <mergeCell ref="A40:B40"/>
    <mergeCell ref="C40:F40"/>
    <mergeCell ref="G40:O40"/>
    <mergeCell ref="P40:T40"/>
    <mergeCell ref="U40:Y40"/>
    <mergeCell ref="Z40:AD40"/>
    <mergeCell ref="A41:B41"/>
    <mergeCell ref="C41:F41"/>
    <mergeCell ref="G41:O41"/>
    <mergeCell ref="P41:T41"/>
    <mergeCell ref="U41:Y41"/>
    <mergeCell ref="A8:AD38"/>
    <mergeCell ref="A39:B39"/>
    <mergeCell ref="C39:F39"/>
    <mergeCell ref="G39:O39"/>
    <mergeCell ref="P39:T39"/>
    <mergeCell ref="U39:Y39"/>
    <mergeCell ref="Z39:AD39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90" fitToWidth="3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295B4E-CA66-4CA1-8DDB-C98F105DA489}">
  <sheetPr codeName="Foglio2"/>
  <dimension ref="B2:AP203"/>
  <sheetViews>
    <sheetView zoomScaleNormal="100" workbookViewId="0"/>
  </sheetViews>
  <sheetFormatPr defaultRowHeight="15" x14ac:dyDescent="0.25"/>
  <cols>
    <col min="1" max="1" width="2.5703125" customWidth="1"/>
    <col min="2" max="2" width="12.85546875" customWidth="1"/>
    <col min="3" max="3" width="9.85546875" customWidth="1"/>
    <col min="4" max="4" width="12.85546875" customWidth="1"/>
    <col min="5" max="5" width="9.85546875" customWidth="1"/>
    <col min="6" max="6" width="48.5703125" bestFit="1" customWidth="1"/>
    <col min="7" max="7" width="2.7109375" customWidth="1"/>
    <col min="12" max="12" width="9.42578125" bestFit="1" customWidth="1"/>
    <col min="14" max="15" width="9.140625" customWidth="1"/>
    <col min="26" max="26" width="2.7109375" customWidth="1"/>
    <col min="27" max="32" width="9.140625" hidden="1" customWidth="1"/>
    <col min="33" max="33" width="12" hidden="1" customWidth="1"/>
    <col min="34" max="34" width="15.5703125" bestFit="1" customWidth="1"/>
    <col min="35" max="42" width="10.7109375" customWidth="1"/>
  </cols>
  <sheetData>
    <row r="2" spans="2:42" ht="18" x14ac:dyDescent="0.35">
      <c r="B2" s="142" t="s">
        <v>10</v>
      </c>
      <c r="C2" s="153"/>
      <c r="D2" s="142" t="s">
        <v>11</v>
      </c>
      <c r="E2" s="153"/>
      <c r="F2" s="25"/>
      <c r="AA2" s="1" t="s">
        <v>12</v>
      </c>
      <c r="AB2" s="1" t="s">
        <v>13</v>
      </c>
      <c r="AC2" s="1" t="s">
        <v>14</v>
      </c>
      <c r="AD2" s="1" t="s">
        <v>15</v>
      </c>
      <c r="AE2" s="1" t="s">
        <v>16</v>
      </c>
      <c r="AF2" s="1" t="s">
        <v>17</v>
      </c>
      <c r="AG2" s="1" t="s">
        <v>18</v>
      </c>
      <c r="AH2" s="67" t="s">
        <v>19</v>
      </c>
      <c r="AI2" s="131" t="s">
        <v>20</v>
      </c>
      <c r="AJ2" s="132"/>
      <c r="AK2" s="132"/>
      <c r="AL2" s="132"/>
      <c r="AM2" s="132"/>
      <c r="AN2" s="132"/>
      <c r="AO2" s="132"/>
      <c r="AP2" s="133"/>
    </row>
    <row r="3" spans="2:42" x14ac:dyDescent="0.25">
      <c r="B3" s="56" t="s">
        <v>21</v>
      </c>
      <c r="C3" s="28">
        <v>200</v>
      </c>
      <c r="D3" s="56" t="s">
        <v>22</v>
      </c>
      <c r="E3" s="43">
        <f>CONVERT(C3,"mm","in")</f>
        <v>7.8740157480314963</v>
      </c>
      <c r="F3" s="35" t="s">
        <v>23</v>
      </c>
      <c r="I3" s="4">
        <f>AA53</f>
        <v>321.67360318731824</v>
      </c>
      <c r="J3" s="4" t="e">
        <f>AG53</f>
        <v>#VALUE!</v>
      </c>
      <c r="AA3" s="4">
        <v>1</v>
      </c>
      <c r="AB3" s="1">
        <f>AA3/60</f>
        <v>1.6666666666666666E-2</v>
      </c>
      <c r="AC3" s="1" t="e">
        <f>60*AD3</f>
        <v>#VALUE!</v>
      </c>
      <c r="AD3" s="1" t="e" cm="1">
        <f t="array" ref="AD3">N_ring(AB3,$E$9,$E$3,$E$16,$E$17,$E$6,$E$5)</f>
        <v>#VALUE!</v>
      </c>
      <c r="AE3" s="1" t="e" cm="1">
        <f t="array" ref="AE3">n_inv(AB3,$E$40,$E$9,$E$3,$E$16,$E$17,$E$6,$E$5)</f>
        <v>#VALUE!</v>
      </c>
      <c r="AF3" s="1" t="e" cm="1">
        <f t="array" ref="AF3">Q_oil(AB3,AD3,$E$3,$E$4,$E$17,AE3,$E$40,$E$44,$E$31,$E$36)</f>
        <v>#VALUE!</v>
      </c>
      <c r="AG3" s="4" t="e">
        <f>CONVERT(AF3,"in^3","mm^3")</f>
        <v>#VALUE!</v>
      </c>
      <c r="AH3" s="149" t="s">
        <v>24</v>
      </c>
      <c r="AI3" s="68"/>
      <c r="AJ3" s="69"/>
      <c r="AK3" s="68"/>
      <c r="AL3" s="69"/>
      <c r="AM3" s="68"/>
      <c r="AN3" s="69"/>
      <c r="AO3" s="70"/>
      <c r="AP3" s="69"/>
    </row>
    <row r="4" spans="2:42" x14ac:dyDescent="0.25">
      <c r="B4" s="57" t="s">
        <v>25</v>
      </c>
      <c r="C4" s="29">
        <v>13</v>
      </c>
      <c r="D4" s="58" t="s">
        <v>26</v>
      </c>
      <c r="E4" s="33">
        <f>CONVERT(C4,"mm","in")</f>
        <v>0.51181102362204722</v>
      </c>
      <c r="F4" s="34" t="s">
        <v>27</v>
      </c>
      <c r="I4" s="4">
        <f>AA103</f>
        <v>932.85344924322283</v>
      </c>
      <c r="J4" s="4" t="e">
        <f>AG103</f>
        <v>#VALUE!</v>
      </c>
      <c r="L4" s="1"/>
      <c r="M4" s="1"/>
      <c r="AA4" s="4">
        <f t="shared" ref="AA4:AA35" si="0">AA3+$C$31/50</f>
        <v>7.4334720637463647</v>
      </c>
      <c r="AB4" s="1">
        <f t="shared" ref="AB4:AB67" si="1">AA4/60</f>
        <v>0.12389120106243941</v>
      </c>
      <c r="AC4" s="1" t="e">
        <f t="shared" ref="AC4:AC67" si="2">60*AD4</f>
        <v>#VALUE!</v>
      </c>
      <c r="AD4" s="1" t="e" cm="1">
        <f t="array" ref="AD4">N_ring(AB4,$E$9,$E$3,$E$16,$E$17,$E$6,$E$5)</f>
        <v>#VALUE!</v>
      </c>
      <c r="AE4" s="1" t="e" cm="1">
        <f t="array" ref="AE4">n_inv(AB4,$E$40,$E$9,$E$3,$E$16,$E$17,$E$6,$E$5)</f>
        <v>#VALUE!</v>
      </c>
      <c r="AF4" s="1" t="e" cm="1">
        <f t="array" ref="AF4">Q_oil(AB4,AD4,$E$3,$E$4,$E$17,AE4,$E$40,$E$44,$E$31,$E$36)</f>
        <v>#VALUE!</v>
      </c>
      <c r="AG4" s="4" t="e">
        <f t="shared" ref="AG4:AG67" si="3">CONVERT(AF4,"in^3","mm^3")</f>
        <v>#VALUE!</v>
      </c>
      <c r="AH4" s="150"/>
      <c r="AI4" s="71"/>
      <c r="AJ4" s="72"/>
      <c r="AK4" s="71"/>
      <c r="AL4" s="72"/>
      <c r="AM4" s="71"/>
      <c r="AN4" s="72"/>
      <c r="AO4" s="73"/>
      <c r="AP4" s="72"/>
    </row>
    <row r="5" spans="2:42" x14ac:dyDescent="0.25">
      <c r="B5" s="58" t="s">
        <v>28</v>
      </c>
      <c r="C5" s="29">
        <v>30</v>
      </c>
      <c r="D5" s="58" t="s">
        <v>29</v>
      </c>
      <c r="E5" s="33">
        <f>CONVERT(C5,"mm","in")</f>
        <v>1.1811023622047243</v>
      </c>
      <c r="F5" s="34" t="s">
        <v>30</v>
      </c>
      <c r="I5" s="4"/>
      <c r="J5" s="4"/>
      <c r="L5" s="1"/>
      <c r="M5" s="1"/>
      <c r="AA5" s="4">
        <f t="shared" si="0"/>
        <v>13.866944127492729</v>
      </c>
      <c r="AB5" s="1">
        <f t="shared" si="1"/>
        <v>0.23111573545821215</v>
      </c>
      <c r="AC5" s="1" t="e">
        <f t="shared" si="2"/>
        <v>#VALUE!</v>
      </c>
      <c r="AD5" s="1" t="e" cm="1">
        <f t="array" ref="AD5">N_ring(AB5,$E$9,$E$3,$E$16,$E$17,$E$6,$E$5)</f>
        <v>#VALUE!</v>
      </c>
      <c r="AE5" s="1" t="e" cm="1">
        <f t="array" ref="AE5">n_inv(AB5,$E$40,$E$9,$E$3,$E$16,$E$17,$E$6,$E$5)</f>
        <v>#VALUE!</v>
      </c>
      <c r="AF5" s="1" t="e" cm="1">
        <f t="array" ref="AF5">Q_oil(AB5,AD5,$E$3,$E$4,$E$17,AE5,$E$40,$E$44,$E$31,$E$36)</f>
        <v>#VALUE!</v>
      </c>
      <c r="AG5" s="4" t="e">
        <f t="shared" si="3"/>
        <v>#VALUE!</v>
      </c>
      <c r="AH5" s="151"/>
      <c r="AI5" s="74"/>
      <c r="AJ5" s="75"/>
      <c r="AK5" s="74"/>
      <c r="AL5" s="75"/>
      <c r="AM5" s="74"/>
      <c r="AN5" s="75"/>
      <c r="AO5" s="76"/>
      <c r="AP5" s="75"/>
    </row>
    <row r="6" spans="2:42" x14ac:dyDescent="0.25">
      <c r="B6" s="59" t="s">
        <v>31</v>
      </c>
      <c r="C6" s="31">
        <v>0.4</v>
      </c>
      <c r="D6" s="59" t="s">
        <v>32</v>
      </c>
      <c r="E6" s="44">
        <f>CONVERT(C6*9.806,"N","lbf")</f>
        <v>0.88179059841430429</v>
      </c>
      <c r="F6" s="34" t="s">
        <v>33</v>
      </c>
      <c r="I6" s="4">
        <f>C31</f>
        <v>321.67360318731824</v>
      </c>
      <c r="J6" s="4">
        <v>0</v>
      </c>
      <c r="K6" s="4">
        <f>C36</f>
        <v>932.8534492432226</v>
      </c>
      <c r="L6" s="4">
        <v>0</v>
      </c>
      <c r="M6" s="4" t="e">
        <f>C41</f>
        <v>#VALUE!</v>
      </c>
      <c r="N6" s="1">
        <v>0</v>
      </c>
      <c r="AA6" s="4">
        <f t="shared" si="0"/>
        <v>20.300416191239094</v>
      </c>
      <c r="AB6" s="1">
        <f t="shared" si="1"/>
        <v>0.33834026985398491</v>
      </c>
      <c r="AC6" s="1" t="e">
        <f t="shared" si="2"/>
        <v>#VALUE!</v>
      </c>
      <c r="AD6" s="1" t="e" cm="1">
        <f t="array" ref="AD6">N_ring(AB6,$E$9,$E$3,$E$16,$E$17,$E$6,$E$5)</f>
        <v>#VALUE!</v>
      </c>
      <c r="AE6" s="1" t="e" cm="1">
        <f t="array" ref="AE6">n_inv(AB6,$E$40,$E$9,$E$3,$E$16,$E$17,$E$6,$E$5)</f>
        <v>#VALUE!</v>
      </c>
      <c r="AF6" s="1" t="e" cm="1">
        <f t="array" ref="AF6">Q_oil(AB6,AD6,$E$3,$E$4,$E$17,AE6,$E$40,$E$44,$E$31,$E$36)</f>
        <v>#VALUE!</v>
      </c>
      <c r="AG6" s="4" t="e">
        <f t="shared" si="3"/>
        <v>#VALUE!</v>
      </c>
      <c r="AH6" s="149" t="s">
        <v>34</v>
      </c>
      <c r="AI6" s="68"/>
      <c r="AJ6" s="69"/>
      <c r="AK6" s="68"/>
      <c r="AL6" s="69"/>
      <c r="AM6" s="68"/>
      <c r="AN6" s="69"/>
      <c r="AO6" s="70"/>
      <c r="AP6" s="69"/>
    </row>
    <row r="7" spans="2:42" x14ac:dyDescent="0.25">
      <c r="B7" s="26"/>
      <c r="C7" s="27"/>
      <c r="D7" s="27"/>
      <c r="E7" s="27"/>
      <c r="F7" s="24"/>
      <c r="I7" s="4">
        <f>C31</f>
        <v>321.67360318731824</v>
      </c>
      <c r="J7" s="4">
        <f>C30</f>
        <v>184.96232183270794</v>
      </c>
      <c r="K7" s="4">
        <f>C36</f>
        <v>932.8534492432226</v>
      </c>
      <c r="L7" s="4">
        <f>C35</f>
        <v>79.775056416394932</v>
      </c>
      <c r="M7" s="4" t="e">
        <f>C41</f>
        <v>#VALUE!</v>
      </c>
      <c r="N7" s="4">
        <f>C40</f>
        <v>115.36053235321083</v>
      </c>
      <c r="AA7" s="4">
        <f t="shared" si="0"/>
        <v>26.733888254985459</v>
      </c>
      <c r="AB7" s="1">
        <f t="shared" si="1"/>
        <v>0.44556480424975764</v>
      </c>
      <c r="AC7" s="1" t="e">
        <f t="shared" si="2"/>
        <v>#VALUE!</v>
      </c>
      <c r="AD7" s="1" t="e" cm="1">
        <f t="array" ref="AD7">N_ring(AB7,$E$9,$E$3,$E$16,$E$17,$E$6,$E$5)</f>
        <v>#VALUE!</v>
      </c>
      <c r="AE7" s="1" t="e" cm="1">
        <f t="array" ref="AE7">n_inv(AB7,$E$40,$E$9,$E$3,$E$16,$E$17,$E$6,$E$5)</f>
        <v>#VALUE!</v>
      </c>
      <c r="AF7" s="1" t="e" cm="1">
        <f t="array" ref="AF7">Q_oil(AB7,AD7,$E$3,$E$4,$E$17,AE7,$E$40,$E$44,$E$31,$E$36)</f>
        <v>#VALUE!</v>
      </c>
      <c r="AG7" s="4" t="e">
        <f t="shared" si="3"/>
        <v>#VALUE!</v>
      </c>
      <c r="AH7" s="150"/>
      <c r="AI7" s="71"/>
      <c r="AJ7" s="72"/>
      <c r="AK7" s="71"/>
      <c r="AL7" s="72"/>
      <c r="AM7" s="71"/>
      <c r="AN7" s="72"/>
      <c r="AO7" s="73"/>
      <c r="AP7" s="72"/>
    </row>
    <row r="8" spans="2:42" x14ac:dyDescent="0.25">
      <c r="B8" s="56" t="s">
        <v>12</v>
      </c>
      <c r="C8" s="32">
        <v>1785</v>
      </c>
      <c r="D8" s="56" t="s">
        <v>13</v>
      </c>
      <c r="E8" s="45">
        <f>C8/60</f>
        <v>29.75</v>
      </c>
      <c r="F8" s="34" t="s">
        <v>35</v>
      </c>
      <c r="I8" s="1">
        <v>0</v>
      </c>
      <c r="J8" s="4">
        <f>C30</f>
        <v>184.96232183270794</v>
      </c>
      <c r="K8" s="1">
        <v>0</v>
      </c>
      <c r="L8" s="4">
        <f>C35</f>
        <v>79.775056416394932</v>
      </c>
      <c r="M8" s="1">
        <v>0</v>
      </c>
      <c r="N8" s="4">
        <f>C40</f>
        <v>115.36053235321083</v>
      </c>
      <c r="AA8" s="4">
        <f t="shared" si="0"/>
        <v>33.167360318731824</v>
      </c>
      <c r="AB8" s="1">
        <f t="shared" si="1"/>
        <v>0.55278933864553037</v>
      </c>
      <c r="AC8" s="1" t="e">
        <f t="shared" si="2"/>
        <v>#VALUE!</v>
      </c>
      <c r="AD8" s="1" t="e" cm="1">
        <f t="array" ref="AD8">N_ring(AB8,$E$9,$E$3,$E$16,$E$17,$E$6,$E$5)</f>
        <v>#VALUE!</v>
      </c>
      <c r="AE8" s="1" t="e" cm="1">
        <f t="array" ref="AE8">n_inv(AB8,$E$40,$E$9,$E$3,$E$16,$E$17,$E$6,$E$5)</f>
        <v>#VALUE!</v>
      </c>
      <c r="AF8" s="1" t="e" cm="1">
        <f t="array" ref="AF8">Q_oil(AB8,AD8,$E$3,$E$4,$E$17,AE8,$E$40,$E$44,$E$31,$E$36)</f>
        <v>#VALUE!</v>
      </c>
      <c r="AG8" s="4" t="e">
        <f t="shared" si="3"/>
        <v>#VALUE!</v>
      </c>
      <c r="AH8" s="151"/>
      <c r="AI8" s="74"/>
      <c r="AJ8" s="75"/>
      <c r="AK8" s="74"/>
      <c r="AL8" s="75"/>
      <c r="AM8" s="74"/>
      <c r="AN8" s="75"/>
      <c r="AO8" s="76"/>
      <c r="AP8" s="75"/>
    </row>
    <row r="9" spans="2:42" ht="15" customHeight="1" x14ac:dyDescent="0.25">
      <c r="B9" s="58" t="s">
        <v>36</v>
      </c>
      <c r="C9" s="29">
        <v>115</v>
      </c>
      <c r="D9" s="58" t="s">
        <v>37</v>
      </c>
      <c r="E9" s="33">
        <f>CONVERT(C9,"mm","in")</f>
        <v>4.5275590551181102</v>
      </c>
      <c r="F9" s="34" t="s">
        <v>38</v>
      </c>
      <c r="J9" s="4"/>
      <c r="K9" s="4"/>
      <c r="AA9" s="4">
        <f t="shared" si="0"/>
        <v>39.600832382478188</v>
      </c>
      <c r="AB9" s="1">
        <f t="shared" si="1"/>
        <v>0.6600138730413031</v>
      </c>
      <c r="AC9" s="1" t="e">
        <f t="shared" si="2"/>
        <v>#VALUE!</v>
      </c>
      <c r="AD9" s="1" t="e" cm="1">
        <f t="array" ref="AD9">N_ring(AB9,$E$9,$E$3,$E$16,$E$17,$E$6,$E$5)</f>
        <v>#VALUE!</v>
      </c>
      <c r="AE9" s="1" t="e" cm="1">
        <f t="array" ref="AE9">n_inv(AB9,$E$40,$E$9,$E$3,$E$16,$E$17,$E$6,$E$5)</f>
        <v>#VALUE!</v>
      </c>
      <c r="AF9" s="1" t="e" cm="1">
        <f t="array" ref="AF9">Q_oil(AB9,AD9,$E$3,$E$4,$E$17,AE9,$E$40,$E$44,$E$31,$E$36)</f>
        <v>#VALUE!</v>
      </c>
      <c r="AG9" s="4" t="e">
        <f t="shared" si="3"/>
        <v>#VALUE!</v>
      </c>
      <c r="AH9" s="134" t="s">
        <v>39</v>
      </c>
      <c r="AI9" s="68"/>
      <c r="AJ9" s="69"/>
      <c r="AK9" s="68"/>
      <c r="AL9" s="69"/>
      <c r="AM9" s="68"/>
      <c r="AN9" s="69"/>
      <c r="AO9" s="70"/>
      <c r="AP9" s="69"/>
    </row>
    <row r="10" spans="2:42" ht="18" x14ac:dyDescent="0.35">
      <c r="B10" s="58" t="s">
        <v>40</v>
      </c>
      <c r="C10" s="29">
        <v>8.5000000000000006E-2</v>
      </c>
      <c r="D10" s="58" t="s">
        <v>41</v>
      </c>
      <c r="E10" s="33">
        <f t="shared" ref="E10:E11" si="4">CONVERT(C10,"mm","in")</f>
        <v>3.3464566929133862E-3</v>
      </c>
      <c r="F10" s="34" t="s">
        <v>42</v>
      </c>
      <c r="J10" s="1" t="s">
        <v>43</v>
      </c>
      <c r="K10" s="1" t="s">
        <v>44</v>
      </c>
      <c r="AA10" s="4">
        <f t="shared" si="0"/>
        <v>46.034304446224553</v>
      </c>
      <c r="AB10" s="1">
        <f t="shared" si="1"/>
        <v>0.76723840743707583</v>
      </c>
      <c r="AC10" s="1" t="e">
        <f t="shared" si="2"/>
        <v>#VALUE!</v>
      </c>
      <c r="AD10" s="1" t="e" cm="1">
        <f t="array" ref="AD10">N_ring(AB10,$E$9,$E$3,$E$16,$E$17,$E$6,$E$5)</f>
        <v>#VALUE!</v>
      </c>
      <c r="AE10" s="1" t="e" cm="1">
        <f t="array" ref="AE10">n_inv(AB10,$E$40,$E$9,$E$3,$E$16,$E$17,$E$6,$E$5)</f>
        <v>#VALUE!</v>
      </c>
      <c r="AF10" s="1" t="e" cm="1">
        <f t="array" ref="AF10">Q_oil(AB10,AD10,$E$3,$E$4,$E$17,AE10,$E$40,$E$44,$E$31,$E$36)</f>
        <v>#VALUE!</v>
      </c>
      <c r="AG10" s="4" t="e">
        <f t="shared" si="3"/>
        <v>#VALUE!</v>
      </c>
      <c r="AH10" s="135"/>
      <c r="AI10" s="71"/>
      <c r="AJ10" s="72"/>
      <c r="AK10" s="71"/>
      <c r="AL10" s="72"/>
      <c r="AM10" s="71"/>
      <c r="AN10" s="72"/>
      <c r="AO10" s="73"/>
      <c r="AP10" s="72"/>
    </row>
    <row r="11" spans="2:42" x14ac:dyDescent="0.25">
      <c r="B11" s="58" t="s">
        <v>45</v>
      </c>
      <c r="C11" s="29">
        <v>95</v>
      </c>
      <c r="D11" s="58" t="s">
        <v>46</v>
      </c>
      <c r="E11" s="33">
        <f t="shared" si="4"/>
        <v>3.7401574803149606</v>
      </c>
      <c r="F11" s="34" t="s">
        <v>47</v>
      </c>
      <c r="J11" s="22">
        <v>0.05</v>
      </c>
      <c r="K11" s="1">
        <v>2.62</v>
      </c>
      <c r="L11" s="4">
        <f>K11/(PI())^(0.2)</f>
        <v>2.083873331477522</v>
      </c>
      <c r="AA11" s="4">
        <f t="shared" si="0"/>
        <v>52.467776509970918</v>
      </c>
      <c r="AB11" s="1">
        <f t="shared" si="1"/>
        <v>0.87446294183284867</v>
      </c>
      <c r="AC11" s="1" t="e">
        <f t="shared" si="2"/>
        <v>#VALUE!</v>
      </c>
      <c r="AD11" s="1" t="e" cm="1">
        <f t="array" ref="AD11">N_ring(AB11,$E$9,$E$3,$E$16,$E$17,$E$6,$E$5)</f>
        <v>#VALUE!</v>
      </c>
      <c r="AE11" s="1" t="e" cm="1">
        <f t="array" ref="AE11">n_inv(AB11,$E$40,$E$9,$E$3,$E$16,$E$17,$E$6,$E$5)</f>
        <v>#VALUE!</v>
      </c>
      <c r="AF11" s="1" t="e" cm="1">
        <f t="array" ref="AF11">Q_oil(AB11,AD11,$E$3,$E$4,$E$17,AE11,$E$40,$E$44,$E$31,$E$36)</f>
        <v>#VALUE!</v>
      </c>
      <c r="AG11" s="4" t="e">
        <f t="shared" si="3"/>
        <v>#VALUE!</v>
      </c>
      <c r="AH11" s="136"/>
      <c r="AI11" s="74"/>
      <c r="AJ11" s="75"/>
      <c r="AK11" s="74"/>
      <c r="AL11" s="75"/>
      <c r="AM11" s="74"/>
      <c r="AN11" s="75"/>
      <c r="AO11" s="76"/>
      <c r="AP11" s="75"/>
    </row>
    <row r="12" spans="2:42" ht="18" x14ac:dyDescent="0.35">
      <c r="B12" s="59" t="s">
        <v>48</v>
      </c>
      <c r="C12" s="31">
        <v>42183.333333333343</v>
      </c>
      <c r="D12" s="59" t="s">
        <v>49</v>
      </c>
      <c r="E12" s="44">
        <f>CONVERT(C12,"mm^3","in^3")</f>
        <v>2.5741849383961246</v>
      </c>
      <c r="F12" s="34" t="s">
        <v>50</v>
      </c>
      <c r="J12" s="22">
        <v>0.1</v>
      </c>
      <c r="K12" s="1">
        <v>2.2799999999999998</v>
      </c>
      <c r="L12" s="4">
        <f>K12/(PI())^(0.2)</f>
        <v>1.8134470212857823</v>
      </c>
      <c r="AA12" s="4">
        <f t="shared" si="0"/>
        <v>58.901248573717282</v>
      </c>
      <c r="AB12" s="1">
        <f t="shared" si="1"/>
        <v>0.9816874762286214</v>
      </c>
      <c r="AC12" s="1" t="e">
        <f t="shared" si="2"/>
        <v>#VALUE!</v>
      </c>
      <c r="AD12" s="1" t="e" cm="1">
        <f t="array" ref="AD12">N_ring(AB12,$E$9,$E$3,$E$16,$E$17,$E$6,$E$5)</f>
        <v>#VALUE!</v>
      </c>
      <c r="AE12" s="1" t="e" cm="1">
        <f t="array" ref="AE12">n_inv(AB12,$E$40,$E$9,$E$3,$E$16,$E$17,$E$6,$E$5)</f>
        <v>#VALUE!</v>
      </c>
      <c r="AF12" s="1" t="e" cm="1">
        <f t="array" ref="AF12">Q_oil(AB12,AD12,$E$3,$E$4,$E$17,AE12,$E$40,$E$44,$E$31,$E$36)</f>
        <v>#VALUE!</v>
      </c>
      <c r="AG12" s="4" t="e">
        <f t="shared" si="3"/>
        <v>#VALUE!</v>
      </c>
      <c r="AH12" s="134" t="s">
        <v>51</v>
      </c>
      <c r="AI12" s="68"/>
      <c r="AJ12" s="69"/>
      <c r="AK12" s="68"/>
      <c r="AL12" s="69"/>
      <c r="AM12" s="68"/>
      <c r="AN12" s="69"/>
      <c r="AO12" s="70"/>
      <c r="AP12" s="69"/>
    </row>
    <row r="13" spans="2:42" x14ac:dyDescent="0.25">
      <c r="B13" s="26"/>
      <c r="C13" s="27"/>
      <c r="D13" s="37"/>
      <c r="E13" s="37"/>
      <c r="F13" s="38"/>
      <c r="J13" s="22">
        <v>0.15</v>
      </c>
      <c r="K13" s="1">
        <v>2.1</v>
      </c>
      <c r="L13" s="4">
        <f>K13/(PI())^(0.2)</f>
        <v>1.6702801511842733</v>
      </c>
      <c r="AA13" s="4">
        <f t="shared" si="0"/>
        <v>65.334720637463647</v>
      </c>
      <c r="AB13" s="1">
        <f t="shared" si="1"/>
        <v>1.0889120106243941</v>
      </c>
      <c r="AC13" s="1" t="e">
        <f t="shared" si="2"/>
        <v>#VALUE!</v>
      </c>
      <c r="AD13" s="1" t="e" cm="1">
        <f t="array" ref="AD13">N_ring(AB13,$E$9,$E$3,$E$16,$E$17,$E$6,$E$5)</f>
        <v>#VALUE!</v>
      </c>
      <c r="AE13" s="1" t="e" cm="1">
        <f t="array" ref="AE13">n_inv(AB13,$E$40,$E$9,$E$3,$E$16,$E$17,$E$6,$E$5)</f>
        <v>#VALUE!</v>
      </c>
      <c r="AF13" s="1" t="e" cm="1">
        <f t="array" ref="AF13">Q_oil(AB13,AD13,$E$3,$E$4,$E$17,AE13,$E$40,$E$44,$E$31,$E$36)</f>
        <v>#VALUE!</v>
      </c>
      <c r="AG13" s="4" t="e">
        <f t="shared" si="3"/>
        <v>#VALUE!</v>
      </c>
      <c r="AH13" s="135"/>
      <c r="AI13" s="71"/>
      <c r="AJ13" s="72"/>
      <c r="AK13" s="71"/>
      <c r="AL13" s="72"/>
      <c r="AM13" s="71"/>
      <c r="AN13" s="72"/>
      <c r="AO13" s="73"/>
      <c r="AP13" s="72"/>
    </row>
    <row r="14" spans="2:42" x14ac:dyDescent="0.25">
      <c r="B14" s="56" t="s">
        <v>52</v>
      </c>
      <c r="C14" s="36" t="s">
        <v>53</v>
      </c>
      <c r="D14" s="40"/>
      <c r="E14" s="41"/>
      <c r="F14" s="42"/>
      <c r="J14" s="22">
        <v>0.2</v>
      </c>
      <c r="K14" s="1">
        <v>1.98</v>
      </c>
      <c r="L14" s="4">
        <f>K14/(PI())^(0.2)</f>
        <v>1.5748355711166004</v>
      </c>
      <c r="AA14" s="4">
        <f t="shared" si="0"/>
        <v>71.768192701210012</v>
      </c>
      <c r="AB14" s="1">
        <f t="shared" si="1"/>
        <v>1.1961365450201669</v>
      </c>
      <c r="AC14" s="1" t="e">
        <f t="shared" si="2"/>
        <v>#VALUE!</v>
      </c>
      <c r="AD14" s="1" t="e" cm="1">
        <f t="array" ref="AD14">N_ring(AB14,$E$9,$E$3,$E$16,$E$17,$E$6,$E$5)</f>
        <v>#VALUE!</v>
      </c>
      <c r="AE14" s="1" t="e" cm="1">
        <f t="array" ref="AE14">n_inv(AB14,$E$40,$E$9,$E$3,$E$16,$E$17,$E$6,$E$5)</f>
        <v>#VALUE!</v>
      </c>
      <c r="AF14" s="1" t="e" cm="1">
        <f t="array" ref="AF14">Q_oil(AB14,AD14,$E$3,$E$4,$E$17,AE14,$E$40,$E$44,$E$31,$E$36)</f>
        <v>#VALUE!</v>
      </c>
      <c r="AG14" s="4" t="e">
        <f t="shared" si="3"/>
        <v>#VALUE!</v>
      </c>
      <c r="AH14" s="136"/>
      <c r="AI14" s="74"/>
      <c r="AJ14" s="75"/>
      <c r="AK14" s="74"/>
      <c r="AL14" s="75"/>
      <c r="AM14" s="74"/>
      <c r="AN14" s="75"/>
      <c r="AO14" s="76"/>
      <c r="AP14" s="75"/>
    </row>
    <row r="15" spans="2:42" x14ac:dyDescent="0.25">
      <c r="B15" s="58" t="s">
        <v>54</v>
      </c>
      <c r="C15" s="30">
        <v>65</v>
      </c>
      <c r="D15" s="60" t="s">
        <v>55</v>
      </c>
      <c r="E15" s="46">
        <f>CONVERT(C15,"C","F")</f>
        <v>149</v>
      </c>
      <c r="F15" s="39" t="s">
        <v>56</v>
      </c>
      <c r="J15" s="22">
        <v>0.25</v>
      </c>
      <c r="K15" s="1">
        <v>1.9</v>
      </c>
      <c r="L15" s="4">
        <f>K15/(PI())^(0.2)</f>
        <v>1.5112058510714852</v>
      </c>
      <c r="AA15" s="4">
        <f t="shared" si="0"/>
        <v>78.201664764956377</v>
      </c>
      <c r="AB15" s="1">
        <f t="shared" si="1"/>
        <v>1.3033610794159396</v>
      </c>
      <c r="AC15" s="1" t="e">
        <f t="shared" si="2"/>
        <v>#VALUE!</v>
      </c>
      <c r="AD15" s="1" t="e" cm="1">
        <f t="array" ref="AD15">N_ring(AB15,$E$9,$E$3,$E$16,$E$17,$E$6,$E$5)</f>
        <v>#VALUE!</v>
      </c>
      <c r="AE15" s="1" t="e" cm="1">
        <f t="array" ref="AE15">n_inv(AB15,$E$40,$E$9,$E$3,$E$16,$E$17,$E$6,$E$5)</f>
        <v>#VALUE!</v>
      </c>
      <c r="AF15" s="1" t="e" cm="1">
        <f t="array" ref="AF15">Q_oil(AB15,AD15,$E$3,$E$4,$E$17,AE15,$E$40,$E$44,$E$31,$E$36)</f>
        <v>#VALUE!</v>
      </c>
      <c r="AG15" s="4" t="e">
        <f t="shared" si="3"/>
        <v>#VALUE!</v>
      </c>
      <c r="AH15" s="1"/>
    </row>
    <row r="16" spans="2:42" ht="18" x14ac:dyDescent="0.35">
      <c r="B16" s="58" t="s">
        <v>57</v>
      </c>
      <c r="C16" s="47">
        <f>interpola(C15,'oil properties'!X4:X24,'oil properties'!Y4:Y24)</f>
        <v>15.272640287769786</v>
      </c>
      <c r="D16" s="58" t="s">
        <v>58</v>
      </c>
      <c r="E16" s="33">
        <f>C16*0.000000145</f>
        <v>2.2145328417266189E-6</v>
      </c>
      <c r="F16" s="34" t="s">
        <v>59</v>
      </c>
      <c r="J16" s="1"/>
      <c r="K16" s="4"/>
      <c r="AA16" s="4">
        <f t="shared" si="0"/>
        <v>84.635136828702741</v>
      </c>
      <c r="AB16" s="1">
        <f t="shared" si="1"/>
        <v>1.4105856138117123</v>
      </c>
      <c r="AC16" s="1" t="e">
        <f t="shared" si="2"/>
        <v>#VALUE!</v>
      </c>
      <c r="AD16" s="1" t="e" cm="1">
        <f t="array" ref="AD16">N_ring(AB16,$E$9,$E$3,$E$16,$E$17,$E$6,$E$5)</f>
        <v>#VALUE!</v>
      </c>
      <c r="AE16" s="1" t="e" cm="1">
        <f t="array" ref="AE16">n_inv(AB16,$E$40,$E$9,$E$3,$E$16,$E$17,$E$6,$E$5)</f>
        <v>#VALUE!</v>
      </c>
      <c r="AF16" s="1" t="e" cm="1">
        <f t="array" ref="AF16">Q_oil(AB16,AD16,$E$3,$E$4,$E$17,AE16,$E$40,$E$44,$E$31,$E$36)</f>
        <v>#VALUE!</v>
      </c>
      <c r="AG16" s="4" t="e">
        <f t="shared" si="3"/>
        <v>#VALUE!</v>
      </c>
      <c r="AH16" s="67" t="s">
        <v>19</v>
      </c>
      <c r="AI16" s="131" t="s">
        <v>60</v>
      </c>
      <c r="AJ16" s="132"/>
      <c r="AK16" s="132"/>
      <c r="AL16" s="132"/>
      <c r="AM16" s="132"/>
      <c r="AN16" s="132"/>
      <c r="AO16" s="132"/>
      <c r="AP16" s="133"/>
    </row>
    <row r="17" spans="2:42" ht="18" x14ac:dyDescent="0.35">
      <c r="B17" s="58" t="s">
        <v>61</v>
      </c>
      <c r="C17" s="47">
        <f>interpola(C15,'oil properties'!X4:X24,'oil properties'!Z4:Z24)</f>
        <v>18.31054604316547</v>
      </c>
      <c r="D17" s="58" t="s">
        <v>62</v>
      </c>
      <c r="E17" s="33">
        <f>CONVERT(C17,"mm^2","in^2")</f>
        <v>2.8381403129712737E-2</v>
      </c>
      <c r="F17" s="34" t="s">
        <v>63</v>
      </c>
      <c r="J17" s="1"/>
      <c r="AA17" s="4">
        <f t="shared" si="0"/>
        <v>91.068608892449106</v>
      </c>
      <c r="AB17" s="1">
        <f t="shared" si="1"/>
        <v>1.5178101482074851</v>
      </c>
      <c r="AC17" s="1" t="e">
        <f t="shared" si="2"/>
        <v>#VALUE!</v>
      </c>
      <c r="AD17" s="1" t="e" cm="1">
        <f t="array" ref="AD17">N_ring(AB17,$E$9,$E$3,$E$16,$E$17,$E$6,$E$5)</f>
        <v>#VALUE!</v>
      </c>
      <c r="AE17" s="1" t="e" cm="1">
        <f t="array" ref="AE17">n_inv(AB17,$E$40,$E$9,$E$3,$E$16,$E$17,$E$6,$E$5)</f>
        <v>#VALUE!</v>
      </c>
      <c r="AF17" s="1" t="e" cm="1">
        <f t="array" ref="AF17">Q_oil(AB17,AD17,$E$3,$E$4,$E$17,AE17,$E$40,$E$44,$E$31,$E$36)</f>
        <v>#VALUE!</v>
      </c>
      <c r="AG17" s="4" t="e">
        <f t="shared" si="3"/>
        <v>#VALUE!</v>
      </c>
      <c r="AH17" s="144" t="s">
        <v>64</v>
      </c>
      <c r="AI17" s="68"/>
      <c r="AJ17" s="70"/>
      <c r="AK17" s="70"/>
      <c r="AL17" s="70"/>
      <c r="AM17" s="68"/>
      <c r="AN17" s="70"/>
      <c r="AO17" s="70"/>
      <c r="AP17" s="69"/>
    </row>
    <row r="18" spans="2:42" ht="18" x14ac:dyDescent="0.35">
      <c r="B18" s="59" t="s">
        <v>65</v>
      </c>
      <c r="C18" s="48">
        <f>1000*C16/C17</f>
        <v>834.08983280814812</v>
      </c>
      <c r="D18" s="59" t="s">
        <v>66</v>
      </c>
      <c r="E18" s="44">
        <f>CONVERT(1,"kg","lbm")/CONVERT(1,"m^3","in^3")*C18</f>
        <v>3.0133406944160949E-2</v>
      </c>
      <c r="F18" s="34" t="s">
        <v>67</v>
      </c>
      <c r="AA18" s="4">
        <f t="shared" si="0"/>
        <v>97.502080956195471</v>
      </c>
      <c r="AB18" s="1">
        <f t="shared" si="1"/>
        <v>1.6250346826032578</v>
      </c>
      <c r="AC18" s="1" t="e">
        <f t="shared" si="2"/>
        <v>#VALUE!</v>
      </c>
      <c r="AD18" s="1" t="e" cm="1">
        <f t="array" ref="AD18">N_ring(AB18,$E$9,$E$3,$E$16,$E$17,$E$6,$E$5)</f>
        <v>#VALUE!</v>
      </c>
      <c r="AE18" s="1" t="e" cm="1">
        <f t="array" ref="AE18">n_inv(AB18,$E$40,$E$9,$E$3,$E$16,$E$17,$E$6,$E$5)</f>
        <v>#VALUE!</v>
      </c>
      <c r="AF18" s="1" t="e" cm="1">
        <f t="array" ref="AF18">Q_oil(AB18,AD18,$E$3,$E$4,$E$17,AE18,$E$40,$E$44,$E$31,$E$36)</f>
        <v>#VALUE!</v>
      </c>
      <c r="AG18" s="4" t="e">
        <f t="shared" si="3"/>
        <v>#VALUE!</v>
      </c>
      <c r="AH18" s="145"/>
      <c r="AI18" s="71"/>
      <c r="AJ18" s="73"/>
      <c r="AK18" s="73"/>
      <c r="AL18" s="73"/>
      <c r="AM18" s="71"/>
      <c r="AN18" s="73"/>
      <c r="AO18" s="73"/>
      <c r="AP18" s="72"/>
    </row>
    <row r="19" spans="2:42" x14ac:dyDescent="0.25">
      <c r="B19" s="131" t="s">
        <v>68</v>
      </c>
      <c r="C19" s="132"/>
      <c r="D19" s="132"/>
      <c r="E19" s="132"/>
      <c r="F19" s="133"/>
      <c r="AA19" s="4">
        <f t="shared" si="0"/>
        <v>103.93555301994184</v>
      </c>
      <c r="AB19" s="1">
        <f t="shared" si="1"/>
        <v>1.7322592169990305</v>
      </c>
      <c r="AC19" s="1" t="e">
        <f t="shared" si="2"/>
        <v>#VALUE!</v>
      </c>
      <c r="AD19" s="1" t="e" cm="1">
        <f t="array" ref="AD19">N_ring(AB19,$E$9,$E$3,$E$16,$E$17,$E$6,$E$5)</f>
        <v>#VALUE!</v>
      </c>
      <c r="AE19" s="1" t="e" cm="1">
        <f t="array" ref="AE19">n_inv(AB19,$E$40,$E$9,$E$3,$E$16,$E$17,$E$6,$E$5)</f>
        <v>#VALUE!</v>
      </c>
      <c r="AF19" s="1" t="e" cm="1">
        <f t="array" ref="AF19">Q_oil(AB19,AD19,$E$3,$E$4,$E$17,AE19,$E$40,$E$44,$E$31,$E$36)</f>
        <v>#VALUE!</v>
      </c>
      <c r="AG19" s="4" t="e">
        <f t="shared" si="3"/>
        <v>#VALUE!</v>
      </c>
      <c r="AH19" s="146"/>
      <c r="AI19" s="74"/>
      <c r="AJ19" s="76"/>
      <c r="AK19" s="76"/>
      <c r="AL19" s="76"/>
      <c r="AM19" s="74"/>
      <c r="AN19" s="76"/>
      <c r="AO19" s="76"/>
      <c r="AP19" s="75"/>
    </row>
    <row r="20" spans="2:42" ht="15" customHeight="1" x14ac:dyDescent="0.25">
      <c r="B20" s="56" t="s">
        <v>14</v>
      </c>
      <c r="C20" s="45" t="e">
        <f>60*E20</f>
        <v>#VALUE!</v>
      </c>
      <c r="D20" s="56" t="s">
        <v>15</v>
      </c>
      <c r="E20" s="45" t="e" cm="1">
        <f t="array" ref="E20">N_ring(E8,E9,E3,E16,E17,E6,E5)</f>
        <v>#VALUE!</v>
      </c>
      <c r="F20" s="62" t="s">
        <v>69</v>
      </c>
      <c r="AA20" s="4">
        <f t="shared" si="0"/>
        <v>110.3690250836882</v>
      </c>
      <c r="AB20" s="1">
        <f t="shared" si="1"/>
        <v>1.8394837513948032</v>
      </c>
      <c r="AC20" s="1" t="e">
        <f t="shared" si="2"/>
        <v>#VALUE!</v>
      </c>
      <c r="AD20" s="1" t="e" cm="1">
        <f t="array" ref="AD20">N_ring(AB20,$E$9,$E$3,$E$16,$E$17,$E$6,$E$5)</f>
        <v>#VALUE!</v>
      </c>
      <c r="AE20" s="1" t="e" cm="1">
        <f t="array" ref="AE20">n_inv(AB20,$E$40,$E$9,$E$3,$E$16,$E$17,$E$6,$E$5)</f>
        <v>#VALUE!</v>
      </c>
      <c r="AF20" s="1" t="e" cm="1">
        <f t="array" ref="AF20">Q_oil(AB20,AD20,$E$3,$E$4,$E$17,AE20,$E$40,$E$44,$E$31,$E$36)</f>
        <v>#VALUE!</v>
      </c>
      <c r="AG20" s="4" t="e">
        <f t="shared" si="3"/>
        <v>#VALUE!</v>
      </c>
      <c r="AH20" s="144" t="s">
        <v>70</v>
      </c>
      <c r="AI20" s="68"/>
      <c r="AJ20" s="70"/>
      <c r="AK20" s="70"/>
      <c r="AL20" s="70"/>
      <c r="AM20" s="68"/>
      <c r="AN20" s="70"/>
      <c r="AO20" s="70"/>
      <c r="AP20" s="69"/>
    </row>
    <row r="21" spans="2:42" ht="16.5" x14ac:dyDescent="0.25">
      <c r="B21" s="58" t="s">
        <v>71</v>
      </c>
      <c r="C21" s="47" t="e">
        <f>CONVERT(E21,"in^3","mm^3")</f>
        <v>#VALUE!</v>
      </c>
      <c r="D21" s="58" t="s">
        <v>72</v>
      </c>
      <c r="E21" s="33" t="e" cm="1">
        <f t="array" ref="E21">Q_oil(E8,E20,$E$3,$E$4,$E$17,E41,$E$40,$E$44,$E$31,$E$36)</f>
        <v>#VALUE!</v>
      </c>
      <c r="F21" s="34" t="s">
        <v>73</v>
      </c>
      <c r="H21" s="142" t="s">
        <v>74</v>
      </c>
      <c r="I21" s="143"/>
      <c r="AA21" s="4">
        <f t="shared" si="0"/>
        <v>116.80249714743456</v>
      </c>
      <c r="AB21" s="1">
        <f t="shared" si="1"/>
        <v>1.946708285790576</v>
      </c>
      <c r="AC21" s="1" t="e">
        <f t="shared" si="2"/>
        <v>#VALUE!</v>
      </c>
      <c r="AD21" s="1" t="e" cm="1">
        <f t="array" ref="AD21">N_ring(AB21,$E$9,$E$3,$E$16,$E$17,$E$6,$E$5)</f>
        <v>#VALUE!</v>
      </c>
      <c r="AE21" s="1" t="e" cm="1">
        <f t="array" ref="AE21">n_inv(AB21,$E$40,$E$9,$E$3,$E$16,$E$17,$E$6,$E$5)</f>
        <v>#VALUE!</v>
      </c>
      <c r="AF21" s="1" t="e" cm="1">
        <f t="array" ref="AF21">Q_oil(AB21,AD21,$E$3,$E$4,$E$17,AE21,$E$40,$E$44,$E$31,$E$36)</f>
        <v>#VALUE!</v>
      </c>
      <c r="AG21" s="4" t="e">
        <f t="shared" si="3"/>
        <v>#VALUE!</v>
      </c>
      <c r="AH21" s="145"/>
      <c r="AI21" s="71"/>
      <c r="AJ21" s="73"/>
      <c r="AK21" s="73"/>
      <c r="AL21" s="73"/>
      <c r="AM21" s="71"/>
      <c r="AN21" s="73"/>
      <c r="AO21" s="73"/>
      <c r="AP21" s="72"/>
    </row>
    <row r="22" spans="2:42" x14ac:dyDescent="0.25">
      <c r="B22" s="60" t="s">
        <v>75</v>
      </c>
      <c r="C22" s="46" t="str" cm="1">
        <f t="array" ref="C22">_xlfn.IFS(C8&lt;=C31,"no slip",(C8&gt;C31)*(C8&lt;C36),"transition",C8&gt;=C36,"full film")</f>
        <v>full film</v>
      </c>
      <c r="D22" s="154" cm="1">
        <f t="array" ref="D22">_xlfn.IFS(C22="full film",2,C22="transition",0,C22="no slip",2)</f>
        <v>2</v>
      </c>
      <c r="E22" s="154"/>
      <c r="F22" s="39" t="s">
        <v>76</v>
      </c>
      <c r="H22" s="147" t="s">
        <v>77</v>
      </c>
      <c r="I22" s="148"/>
      <c r="AA22" s="4">
        <f t="shared" si="0"/>
        <v>123.23596921118093</v>
      </c>
      <c r="AB22" s="1">
        <f t="shared" si="1"/>
        <v>2.0539328201863487</v>
      </c>
      <c r="AC22" s="1" t="e">
        <f t="shared" si="2"/>
        <v>#VALUE!</v>
      </c>
      <c r="AD22" s="1" t="e" cm="1">
        <f t="array" ref="AD22">N_ring(AB22,$E$9,$E$3,$E$16,$E$17,$E$6,$E$5)</f>
        <v>#VALUE!</v>
      </c>
      <c r="AE22" s="1" t="e" cm="1">
        <f t="array" ref="AE22">n_inv(AB22,$E$40,$E$9,$E$3,$E$16,$E$17,$E$6,$E$5)</f>
        <v>#VALUE!</v>
      </c>
      <c r="AF22" s="1" t="e" cm="1">
        <f t="array" ref="AF22">Q_oil(AB22,AD22,$E$3,$E$4,$E$17,AE22,$E$40,$E$44,$E$31,$E$36)</f>
        <v>#VALUE!</v>
      </c>
      <c r="AG22" s="4" t="e">
        <f t="shared" si="3"/>
        <v>#VALUE!</v>
      </c>
      <c r="AH22" s="146"/>
      <c r="AI22" s="74"/>
      <c r="AJ22" s="76"/>
      <c r="AK22" s="76"/>
      <c r="AL22" s="76"/>
      <c r="AM22" s="74"/>
      <c r="AN22" s="76"/>
      <c r="AO22" s="76"/>
      <c r="AP22" s="75"/>
    </row>
    <row r="23" spans="2:42" x14ac:dyDescent="0.25">
      <c r="B23" s="58" t="s">
        <v>78</v>
      </c>
      <c r="C23" s="49">
        <f>C11/C9</f>
        <v>0.82608695652173914</v>
      </c>
      <c r="D23" s="152" cm="1">
        <f t="array" ref="D23">_xlfn.IFS((C23&lt;0.5)+(C23&gt;1.1),0,(C23&lt;1.2*0.5)+(C23&gt;0.8*1.1),1,(C23&gt;=1.2*0.5)*(C23&lt;=0.8*1.1),2)</f>
        <v>2</v>
      </c>
      <c r="E23" s="152"/>
      <c r="F23" s="34" t="s">
        <v>79</v>
      </c>
      <c r="H23" s="137" t="s">
        <v>80</v>
      </c>
      <c r="I23" s="138"/>
      <c r="AA23" s="4">
        <f t="shared" si="0"/>
        <v>129.66944127492729</v>
      </c>
      <c r="AB23" s="1">
        <f t="shared" si="1"/>
        <v>2.1611573545821217</v>
      </c>
      <c r="AC23" s="1" t="e">
        <f t="shared" si="2"/>
        <v>#VALUE!</v>
      </c>
      <c r="AD23" s="1" t="e" cm="1">
        <f t="array" ref="AD23">N_ring(AB23,$E$9,$E$3,$E$16,$E$17,$E$6,$E$5)</f>
        <v>#VALUE!</v>
      </c>
      <c r="AE23" s="1" t="e" cm="1">
        <f t="array" ref="AE23">n_inv(AB23,$E$40,$E$9,$E$3,$E$16,$E$17,$E$6,$E$5)</f>
        <v>#VALUE!</v>
      </c>
      <c r="AF23" s="1" t="e" cm="1">
        <f t="array" ref="AF23">Q_oil(AB23,AD23,$E$3,$E$4,$E$17,AE23,$E$40,$E$44,$E$31,$E$36)</f>
        <v>#VALUE!</v>
      </c>
      <c r="AG23" s="4" t="e">
        <f t="shared" si="3"/>
        <v>#VALUE!</v>
      </c>
      <c r="AH23" s="1"/>
    </row>
    <row r="24" spans="2:42" x14ac:dyDescent="0.25">
      <c r="B24" s="58" t="s">
        <v>81</v>
      </c>
      <c r="C24" s="47">
        <f>C3/C9</f>
        <v>1.7391304347826086</v>
      </c>
      <c r="D24" s="152" cm="1">
        <f t="array" ref="D24">_xlfn.IFS((C24&lt;1.5)+(C24&gt;1.9),0,(C24&lt;1.2*1.5)+(C24&gt;0.8*1.9),1,(C24&gt;=1.2*1.5)*(C24&lt;=0.8*1.9),2)</f>
        <v>1</v>
      </c>
      <c r="E24" s="152"/>
      <c r="F24" s="34" t="s">
        <v>82</v>
      </c>
      <c r="H24" s="139" t="s">
        <v>83</v>
      </c>
      <c r="I24" s="140"/>
      <c r="AA24" s="4">
        <f t="shared" si="0"/>
        <v>136.10291333867366</v>
      </c>
      <c r="AB24" s="1">
        <f t="shared" si="1"/>
        <v>2.2683818889778942</v>
      </c>
      <c r="AC24" s="1" t="e">
        <f t="shared" si="2"/>
        <v>#VALUE!</v>
      </c>
      <c r="AD24" s="1" t="e" cm="1">
        <f t="array" ref="AD24">N_ring(AB24,$E$9,$E$3,$E$16,$E$17,$E$6,$E$5)</f>
        <v>#VALUE!</v>
      </c>
      <c r="AE24" s="1" t="e" cm="1">
        <f t="array" ref="AE24">n_inv(AB24,$E$40,$E$9,$E$3,$E$16,$E$17,$E$6,$E$5)</f>
        <v>#VALUE!</v>
      </c>
      <c r="AF24" s="1" t="e" cm="1">
        <f t="array" ref="AF24">Q_oil(AB24,AD24,$E$3,$E$4,$E$17,AE24,$E$40,$E$44,$E$31,$E$36)</f>
        <v>#VALUE!</v>
      </c>
      <c r="AG24" s="4" t="e">
        <f t="shared" si="3"/>
        <v>#VALUE!</v>
      </c>
      <c r="AH24" s="1"/>
    </row>
    <row r="25" spans="2:42" x14ac:dyDescent="0.25">
      <c r="B25" s="58" t="s">
        <v>84</v>
      </c>
      <c r="C25" s="50">
        <f>C5/C3</f>
        <v>0.15</v>
      </c>
      <c r="D25" s="152" cm="1">
        <f t="array" ref="D25">_xlfn.IFS((C25&lt;5%)+(C25&gt;25%),0,(C25&lt;10%)+(C25&gt;15%),1,(C25&gt;=10%)*(C25&lt;=15%),2)</f>
        <v>2</v>
      </c>
      <c r="E25" s="152"/>
      <c r="F25" s="34" t="s">
        <v>85</v>
      </c>
      <c r="H25" s="141" t="s">
        <v>86</v>
      </c>
      <c r="I25" s="141"/>
      <c r="AA25" s="4">
        <f t="shared" si="0"/>
        <v>142.53638540242002</v>
      </c>
      <c r="AB25" s="1">
        <f t="shared" si="1"/>
        <v>2.3756064233736671</v>
      </c>
      <c r="AC25" s="1" t="e">
        <f t="shared" si="2"/>
        <v>#VALUE!</v>
      </c>
      <c r="AD25" s="1" t="e" cm="1">
        <f t="array" ref="AD25">N_ring(AB25,$E$9,$E$3,$E$16,$E$17,$E$6,$E$5)</f>
        <v>#VALUE!</v>
      </c>
      <c r="AE25" s="1" t="e" cm="1">
        <f t="array" ref="AE25">n_inv(AB25,$E$40,$E$9,$E$3,$E$16,$E$17,$E$6,$E$5)</f>
        <v>#VALUE!</v>
      </c>
      <c r="AF25" s="1" t="e" cm="1">
        <f t="array" ref="AF25">Q_oil(AB25,AD25,$E$3,$E$4,$E$17,AE25,$E$40,$E$44,$E$31,$E$36)</f>
        <v>#VALUE!</v>
      </c>
      <c r="AG25" s="4" t="e">
        <f t="shared" si="3"/>
        <v>#VALUE!</v>
      </c>
      <c r="AH25" s="1"/>
    </row>
    <row r="26" spans="2:42" ht="18" x14ac:dyDescent="0.35">
      <c r="B26" s="58" t="s">
        <v>87</v>
      </c>
      <c r="C26" s="51" t="e">
        <f>C21/C12</f>
        <v>#VALUE!</v>
      </c>
      <c r="D26" s="152" t="e" cm="1">
        <f t="array" ref="D26">_xlfn.IFS(C26&lt;40%,0,C26&lt;45%,1,C26&gt;=45%,2)</f>
        <v>#VALUE!</v>
      </c>
      <c r="E26" s="152"/>
      <c r="F26" s="34" t="s">
        <v>88</v>
      </c>
      <c r="AA26" s="4">
        <f t="shared" si="0"/>
        <v>148.96985746616639</v>
      </c>
      <c r="AB26" s="1">
        <f t="shared" si="1"/>
        <v>2.4828309577694396</v>
      </c>
      <c r="AC26" s="1" t="e">
        <f t="shared" si="2"/>
        <v>#VALUE!</v>
      </c>
      <c r="AD26" s="1" t="e" cm="1">
        <f t="array" ref="AD26">N_ring(AB26,$E$9,$E$3,$E$16,$E$17,$E$6,$E$5)</f>
        <v>#VALUE!</v>
      </c>
      <c r="AE26" s="1" t="e" cm="1">
        <f t="array" ref="AE26">n_inv(AB26,$E$40,$E$9,$E$3,$E$16,$E$17,$E$6,$E$5)</f>
        <v>#VALUE!</v>
      </c>
      <c r="AF26" s="1" t="e" cm="1">
        <f t="array" ref="AF26">Q_oil(AB26,AD26,$E$3,$E$4,$E$17,AE26,$E$40,$E$44,$E$31,$E$36)</f>
        <v>#VALUE!</v>
      </c>
      <c r="AG26" s="4" t="e">
        <f>CONVERT(AF26,"in^3","mm^3")</f>
        <v>#VALUE!</v>
      </c>
      <c r="AH26" s="1"/>
    </row>
    <row r="27" spans="2:42" ht="18" x14ac:dyDescent="0.35">
      <c r="B27" s="58" t="s">
        <v>89</v>
      </c>
      <c r="C27" s="49" t="e">
        <f>C21/C46</f>
        <v>#VALUE!</v>
      </c>
      <c r="D27" s="152" t="e" cm="1">
        <f t="array" ref="D27">_xlfn.IFS(C27&lt;4,0,C27&lt;4.5,1,C27&gt;=4.5,2)</f>
        <v>#VALUE!</v>
      </c>
      <c r="E27" s="152"/>
      <c r="F27" s="34" t="s">
        <v>90</v>
      </c>
      <c r="AA27" s="4">
        <f t="shared" si="0"/>
        <v>155.40332952991275</v>
      </c>
      <c r="AB27" s="1">
        <f t="shared" si="1"/>
        <v>2.5900554921652126</v>
      </c>
      <c r="AC27" s="1" t="e">
        <f t="shared" si="2"/>
        <v>#VALUE!</v>
      </c>
      <c r="AD27" s="1" t="e" cm="1">
        <f t="array" ref="AD27">N_ring(AB27,$E$9,$E$3,$E$16,$E$17,$E$6,$E$5)</f>
        <v>#VALUE!</v>
      </c>
      <c r="AE27" s="1" t="e" cm="1">
        <f t="array" ref="AE27">n_inv(AB27,$E$40,$E$9,$E$3,$E$16,$E$17,$E$6,$E$5)</f>
        <v>#VALUE!</v>
      </c>
      <c r="AF27" s="1" t="e" cm="1">
        <f t="array" ref="AF27">Q_oil(AB27,AD27,$E$3,$E$4,$E$17,AE27,$E$40,$E$44,$E$31,$E$36)</f>
        <v>#VALUE!</v>
      </c>
      <c r="AG27" s="4" t="e">
        <f t="shared" si="3"/>
        <v>#VALUE!</v>
      </c>
      <c r="AH27" s="1"/>
    </row>
    <row r="28" spans="2:42" ht="18" x14ac:dyDescent="0.35">
      <c r="B28" s="58" t="s">
        <v>91</v>
      </c>
      <c r="C28" s="53" t="e">
        <f>C41&gt;C36</f>
        <v>#VALUE!</v>
      </c>
      <c r="D28" s="152" t="e" cm="1">
        <f t="array" ref="D28">_xlfn.IFS(C41&lt;C36,0,C41&lt;110%*C36,1,C41&gt;=110%*C36,2)</f>
        <v>#VALUE!</v>
      </c>
      <c r="E28" s="152"/>
      <c r="F28" s="34" t="s">
        <v>92</v>
      </c>
      <c r="AA28" s="4">
        <f t="shared" si="0"/>
        <v>161.83680159365912</v>
      </c>
      <c r="AB28" s="1">
        <f t="shared" si="1"/>
        <v>2.6972800265609851</v>
      </c>
      <c r="AC28" s="1" t="e">
        <f t="shared" si="2"/>
        <v>#VALUE!</v>
      </c>
      <c r="AD28" s="1" t="e" cm="1">
        <f t="array" ref="AD28">N_ring(AB28,$E$9,$E$3,$E$16,$E$17,$E$6,$E$5)</f>
        <v>#VALUE!</v>
      </c>
      <c r="AE28" s="1" t="e" cm="1">
        <f t="array" ref="AE28">n_inv(AB28,$E$40,$E$9,$E$3,$E$16,$E$17,$E$6,$E$5)</f>
        <v>#VALUE!</v>
      </c>
      <c r="AF28" s="1" t="e" cm="1">
        <f t="array" ref="AF28">Q_oil(AB28,AD28,$E$3,$E$4,$E$17,AE28,$E$40,$E$44,$E$31,$E$36)</f>
        <v>#VALUE!</v>
      </c>
      <c r="AG28" s="4" t="e">
        <f t="shared" si="3"/>
        <v>#VALUE!</v>
      </c>
      <c r="AH28" s="1"/>
    </row>
    <row r="29" spans="2:42" x14ac:dyDescent="0.25">
      <c r="B29" s="26"/>
      <c r="C29" s="27"/>
      <c r="D29" s="27"/>
      <c r="E29" s="27"/>
      <c r="F29" s="24"/>
      <c r="AA29" s="4">
        <f t="shared" si="0"/>
        <v>168.27027365740548</v>
      </c>
      <c r="AB29" s="1">
        <f t="shared" si="1"/>
        <v>2.804504560956758</v>
      </c>
      <c r="AC29" s="1" t="e">
        <f t="shared" si="2"/>
        <v>#VALUE!</v>
      </c>
      <c r="AD29" s="1" t="e" cm="1">
        <f t="array" ref="AD29">N_ring(AB29,$E$9,$E$3,$E$16,$E$17,$E$6,$E$5)</f>
        <v>#VALUE!</v>
      </c>
      <c r="AE29" s="1" t="e" cm="1">
        <f t="array" ref="AE29">n_inv(AB29,$E$40,$E$9,$E$3,$E$16,$E$17,$E$6,$E$5)</f>
        <v>#VALUE!</v>
      </c>
      <c r="AF29" s="1" t="e" cm="1">
        <f t="array" ref="AF29">Q_oil(AB29,AD29,$E$3,$E$4,$E$17,AE29,$E$40,$E$44,$E$31,$E$36)</f>
        <v>#VALUE!</v>
      </c>
      <c r="AG29" s="4" t="e">
        <f t="shared" si="3"/>
        <v>#VALUE!</v>
      </c>
      <c r="AH29" s="1"/>
    </row>
    <row r="30" spans="2:42" ht="18" x14ac:dyDescent="0.35">
      <c r="B30" s="56" t="s">
        <v>93</v>
      </c>
      <c r="C30" s="45">
        <f>60*E30</f>
        <v>184.96232183270794</v>
      </c>
      <c r="D30" s="56" t="s">
        <v>94</v>
      </c>
      <c r="E30" s="45">
        <f>0.00048*E6/E16/E3^2</f>
        <v>3.0827053638784658</v>
      </c>
      <c r="F30" s="34" t="s">
        <v>95</v>
      </c>
      <c r="AA30" s="4">
        <f t="shared" si="0"/>
        <v>174.70374572115185</v>
      </c>
      <c r="AB30" s="1">
        <f t="shared" si="1"/>
        <v>2.911729095352531</v>
      </c>
      <c r="AC30" s="1" t="e">
        <f t="shared" si="2"/>
        <v>#VALUE!</v>
      </c>
      <c r="AD30" s="1" t="e" cm="1">
        <f t="array" ref="AD30">N_ring(AB30,$E$9,$E$3,$E$16,$E$17,$E$6,$E$5)</f>
        <v>#VALUE!</v>
      </c>
      <c r="AE30" s="1" t="e" cm="1">
        <f t="array" ref="AE30">n_inv(AB30,$E$40,$E$9,$E$3,$E$16,$E$17,$E$6,$E$5)</f>
        <v>#VALUE!</v>
      </c>
      <c r="AF30" s="1" t="e" cm="1">
        <f t="array" ref="AF30">Q_oil(AB30,AD30,$E$3,$E$4,$E$17,AE30,$E$40,$E$44,$E$31,$E$36)</f>
        <v>#VALUE!</v>
      </c>
      <c r="AG30" s="4" t="e">
        <f t="shared" si="3"/>
        <v>#VALUE!</v>
      </c>
      <c r="AH30" s="1"/>
    </row>
    <row r="31" spans="2:42" ht="18" x14ac:dyDescent="0.35">
      <c r="B31" s="58" t="s">
        <v>96</v>
      </c>
      <c r="C31" s="47">
        <f>60*E31</f>
        <v>321.67360318731824</v>
      </c>
      <c r="D31" s="58" t="s">
        <v>97</v>
      </c>
      <c r="E31" s="47">
        <f>E30*E3/E9</f>
        <v>5.361226719788637</v>
      </c>
      <c r="F31" s="34" t="s">
        <v>98</v>
      </c>
      <c r="AA31" s="4">
        <f t="shared" si="0"/>
        <v>181.13721778489821</v>
      </c>
      <c r="AB31" s="1">
        <f t="shared" si="1"/>
        <v>3.0189536297483035</v>
      </c>
      <c r="AC31" s="1" t="e">
        <f t="shared" si="2"/>
        <v>#VALUE!</v>
      </c>
      <c r="AD31" s="1" t="e" cm="1">
        <f t="array" ref="AD31">N_ring(AB31,$E$9,$E$3,$E$16,$E$17,$E$6,$E$5)</f>
        <v>#VALUE!</v>
      </c>
      <c r="AE31" s="1" t="e" cm="1">
        <f t="array" ref="AE31">n_inv(AB31,$E$40,$E$9,$E$3,$E$16,$E$17,$E$6,$E$5)</f>
        <v>#VALUE!</v>
      </c>
      <c r="AF31" s="1" t="e" cm="1">
        <f t="array" ref="AF31">Q_oil(AB31,AD31,$E$3,$E$4,$E$17,AE31,$E$40,$E$44,$E$31,$E$36)</f>
        <v>#VALUE!</v>
      </c>
      <c r="AG31" s="4" t="e">
        <f t="shared" si="3"/>
        <v>#VALUE!</v>
      </c>
      <c r="AH31" s="1"/>
    </row>
    <row r="32" spans="2:42" ht="18" x14ac:dyDescent="0.35">
      <c r="B32" s="58" t="s">
        <v>99</v>
      </c>
      <c r="C32" s="47">
        <f>CONVERT(E32,"in","mm")</f>
        <v>1936.9209048684875</v>
      </c>
      <c r="D32" s="58" t="s">
        <v>100</v>
      </c>
      <c r="E32" s="47">
        <f>PI()*E3*E30</f>
        <v>76.256728538129437</v>
      </c>
      <c r="F32" s="34" t="s">
        <v>101</v>
      </c>
      <c r="AA32" s="4">
        <f t="shared" si="0"/>
        <v>187.57068984864458</v>
      </c>
      <c r="AB32" s="1">
        <f t="shared" si="1"/>
        <v>3.1261781641440765</v>
      </c>
      <c r="AC32" s="1" t="e">
        <f t="shared" si="2"/>
        <v>#VALUE!</v>
      </c>
      <c r="AD32" s="1" t="e" cm="1">
        <f t="array" ref="AD32">N_ring(AB32,$E$9,$E$3,$E$16,$E$17,$E$6,$E$5)</f>
        <v>#VALUE!</v>
      </c>
      <c r="AE32" s="1" t="e" cm="1">
        <f t="array" ref="AE32">n_inv(AB32,$E$40,$E$9,$E$3,$E$16,$E$17,$E$6,$E$5)</f>
        <v>#VALUE!</v>
      </c>
      <c r="AF32" s="1" t="e" cm="1">
        <f t="array" ref="AF32">Q_oil(AB32,AD32,$E$3,$E$4,$E$17,AE32,$E$40,$E$44,$E$31,$E$36)</f>
        <v>#VALUE!</v>
      </c>
      <c r="AG32" s="4" t="e">
        <f t="shared" si="3"/>
        <v>#VALUE!</v>
      </c>
      <c r="AH32" s="1"/>
    </row>
    <row r="33" spans="2:34" ht="18" x14ac:dyDescent="0.35">
      <c r="B33" s="59" t="s">
        <v>102</v>
      </c>
      <c r="C33" s="48">
        <f>CONVERT(E33,"in","mm")</f>
        <v>1936.9209048684879</v>
      </c>
      <c r="D33" s="59" t="s">
        <v>103</v>
      </c>
      <c r="E33" s="48">
        <f>PI()*E9*E31</f>
        <v>76.256728538129451</v>
      </c>
      <c r="F33" s="34" t="s">
        <v>104</v>
      </c>
      <c r="AA33" s="4">
        <f t="shared" si="0"/>
        <v>194.00416191239094</v>
      </c>
      <c r="AB33" s="1">
        <f t="shared" si="1"/>
        <v>3.233402698539849</v>
      </c>
      <c r="AC33" s="1" t="e">
        <f t="shared" si="2"/>
        <v>#VALUE!</v>
      </c>
      <c r="AD33" s="1" t="e" cm="1">
        <f t="array" ref="AD33">N_ring(AB33,$E$9,$E$3,$E$16,$E$17,$E$6,$E$5)</f>
        <v>#VALUE!</v>
      </c>
      <c r="AE33" s="1" t="e" cm="1">
        <f t="array" ref="AE33">n_inv(AB33,$E$40,$E$9,$E$3,$E$16,$E$17,$E$6,$E$5)</f>
        <v>#VALUE!</v>
      </c>
      <c r="AF33" s="1" t="e" cm="1">
        <f t="array" ref="AF33">Q_oil(AB33,AD33,$E$3,$E$4,$E$17,AE33,$E$40,$E$44,$E$31,$E$36)</f>
        <v>#VALUE!</v>
      </c>
      <c r="AG33" s="4" t="e">
        <f t="shared" si="3"/>
        <v>#VALUE!</v>
      </c>
      <c r="AH33" s="1"/>
    </row>
    <row r="34" spans="2:34" x14ac:dyDescent="0.25">
      <c r="B34" s="26"/>
      <c r="C34" s="27"/>
      <c r="D34" s="27"/>
      <c r="E34" s="27"/>
      <c r="F34" s="24"/>
      <c r="S34" s="5"/>
      <c r="T34" s="5"/>
      <c r="U34" s="5"/>
      <c r="V34" s="5"/>
      <c r="W34" s="5"/>
      <c r="X34" s="5"/>
      <c r="Y34" s="5"/>
      <c r="AA34" s="4">
        <f t="shared" si="0"/>
        <v>200.43763397613731</v>
      </c>
      <c r="AB34" s="1">
        <f t="shared" si="1"/>
        <v>3.3406272329356219</v>
      </c>
      <c r="AC34" s="1" t="e">
        <f t="shared" si="2"/>
        <v>#VALUE!</v>
      </c>
      <c r="AD34" s="1" t="e" cm="1">
        <f t="array" ref="AD34">N_ring(AB34,$E$9,$E$3,$E$16,$E$17,$E$6,$E$5)</f>
        <v>#VALUE!</v>
      </c>
      <c r="AE34" s="1" t="e" cm="1">
        <f t="array" ref="AE34">n_inv(AB34,$E$40,$E$9,$E$3,$E$16,$E$17,$E$6,$E$5)</f>
        <v>#VALUE!</v>
      </c>
      <c r="AF34" s="1" t="e" cm="1">
        <f t="array" ref="AF34">Q_oil(AB34,AD34,$E$3,$E$4,$E$17,AE34,$E$40,$E$44,$E$31,$E$36)</f>
        <v>#VALUE!</v>
      </c>
      <c r="AG34" s="4" t="e">
        <f t="shared" si="3"/>
        <v>#VALUE!</v>
      </c>
      <c r="AH34" s="1"/>
    </row>
    <row r="35" spans="2:34" ht="18" x14ac:dyDescent="0.35">
      <c r="B35" s="56" t="s">
        <v>105</v>
      </c>
      <c r="C35" s="45">
        <f>60*E35</f>
        <v>79.775056416394932</v>
      </c>
      <c r="D35" s="56" t="s">
        <v>106</v>
      </c>
      <c r="E35" s="45" cm="1">
        <f t="array" ref="E35">interpola(C25,J11:J15,L11:L15)*E17^0.2/E3^2*(E36*E9^2)^0.8</f>
        <v>1.3295842736065822</v>
      </c>
      <c r="F35" s="34" t="s">
        <v>107</v>
      </c>
      <c r="AA35" s="4">
        <f t="shared" si="0"/>
        <v>206.87110603988367</v>
      </c>
      <c r="AB35" s="1">
        <f t="shared" si="1"/>
        <v>3.4478517673313944</v>
      </c>
      <c r="AC35" s="1" t="e">
        <f t="shared" si="2"/>
        <v>#VALUE!</v>
      </c>
      <c r="AD35" s="1" t="e" cm="1">
        <f t="array" ref="AD35">N_ring(AB35,$E$9,$E$3,$E$16,$E$17,$E$6,$E$5)</f>
        <v>#VALUE!</v>
      </c>
      <c r="AE35" s="1" t="e" cm="1">
        <f t="array" ref="AE35">n_inv(AB35,$E$40,$E$9,$E$3,$E$16,$E$17,$E$6,$E$5)</f>
        <v>#VALUE!</v>
      </c>
      <c r="AF35" s="1" t="e" cm="1">
        <f t="array" ref="AF35">Q_oil(AB35,AD35,$E$3,$E$4,$E$17,AE35,$E$40,$E$44,$E$31,$E$36)</f>
        <v>#VALUE!</v>
      </c>
      <c r="AG35" s="4" t="e">
        <f t="shared" si="3"/>
        <v>#VALUE!</v>
      </c>
      <c r="AH35" s="1"/>
    </row>
    <row r="36" spans="2:34" ht="18" x14ac:dyDescent="0.35">
      <c r="B36" s="58" t="s">
        <v>108</v>
      </c>
      <c r="C36" s="47">
        <f>C38/PI()/C9*60</f>
        <v>932.8534492432226</v>
      </c>
      <c r="D36" s="58" t="s">
        <v>109</v>
      </c>
      <c r="E36" s="47">
        <f>2.9*E31</f>
        <v>15.547557487387047</v>
      </c>
      <c r="F36" s="34" t="s">
        <v>110</v>
      </c>
      <c r="T36" s="5"/>
      <c r="U36" s="5"/>
      <c r="V36" s="5"/>
      <c r="W36" s="5"/>
      <c r="X36" s="5"/>
      <c r="Y36" s="5"/>
      <c r="AA36" s="4">
        <f t="shared" ref="AA36:AA52" si="5">AA35+$C$31/50</f>
        <v>213.30457810363004</v>
      </c>
      <c r="AB36" s="1">
        <f t="shared" si="1"/>
        <v>3.5550763017271674</v>
      </c>
      <c r="AC36" s="1" t="e">
        <f t="shared" si="2"/>
        <v>#VALUE!</v>
      </c>
      <c r="AD36" s="1" t="e" cm="1">
        <f t="array" ref="AD36">N_ring(AB36,$E$9,$E$3,$E$16,$E$17,$E$6,$E$5)</f>
        <v>#VALUE!</v>
      </c>
      <c r="AE36" s="1" t="e" cm="1">
        <f t="array" ref="AE36">n_inv(AB36,$E$40,$E$9,$E$3,$E$16,$E$17,$E$6,$E$5)</f>
        <v>#VALUE!</v>
      </c>
      <c r="AF36" s="1" t="e" cm="1">
        <f t="array" ref="AF36">Q_oil(AB36,AD36,$E$3,$E$4,$E$17,AE36,$E$40,$E$44,$E$31,$E$36)</f>
        <v>#VALUE!</v>
      </c>
      <c r="AG36" s="4" t="e">
        <f t="shared" si="3"/>
        <v>#VALUE!</v>
      </c>
      <c r="AH36" s="1"/>
    </row>
    <row r="37" spans="2:34" ht="18" x14ac:dyDescent="0.35">
      <c r="B37" s="58" t="s">
        <v>111</v>
      </c>
      <c r="C37" s="47">
        <f>CONVERT(E37,"in","mm")</f>
        <v>835.40243725819198</v>
      </c>
      <c r="D37" s="58" t="s">
        <v>112</v>
      </c>
      <c r="E37" s="47">
        <f>PI()*E3*E35</f>
        <v>32.889859734574486</v>
      </c>
      <c r="F37" s="34" t="s">
        <v>113</v>
      </c>
      <c r="AA37" s="4">
        <f t="shared" si="5"/>
        <v>219.7380501673764</v>
      </c>
      <c r="AB37" s="1">
        <f t="shared" si="1"/>
        <v>3.6623008361229399</v>
      </c>
      <c r="AC37" s="1" t="e">
        <f t="shared" si="2"/>
        <v>#VALUE!</v>
      </c>
      <c r="AD37" s="1" t="e" cm="1">
        <f t="array" ref="AD37">N_ring(AB37,$E$9,$E$3,$E$16,$E$17,$E$6,$E$5)</f>
        <v>#VALUE!</v>
      </c>
      <c r="AE37" s="1" t="e" cm="1">
        <f t="array" ref="AE37">n_inv(AB37,$E$40,$E$9,$E$3,$E$16,$E$17,$E$6,$E$5)</f>
        <v>#VALUE!</v>
      </c>
      <c r="AF37" s="1" t="e" cm="1">
        <f t="array" ref="AF37">Q_oil(AB37,AD37,$E$3,$E$4,$E$17,AE37,$E$40,$E$44,$E$31,$E$36)</f>
        <v>#VALUE!</v>
      </c>
      <c r="AG37" s="4" t="e">
        <f t="shared" si="3"/>
        <v>#VALUE!</v>
      </c>
      <c r="AH37" s="1"/>
    </row>
    <row r="38" spans="2:34" ht="18" x14ac:dyDescent="0.35">
      <c r="B38" s="59" t="s">
        <v>114</v>
      </c>
      <c r="C38" s="48">
        <f>2.9*C32</f>
        <v>5617.0706241186135</v>
      </c>
      <c r="D38" s="59" t="s">
        <v>115</v>
      </c>
      <c r="E38" s="48">
        <f>2.9*E32</f>
        <v>221.14451276057537</v>
      </c>
      <c r="F38" s="34" t="s">
        <v>116</v>
      </c>
      <c r="AA38" s="4">
        <f t="shared" si="5"/>
        <v>226.17152223112276</v>
      </c>
      <c r="AB38" s="1">
        <f t="shared" si="1"/>
        <v>3.7695253705187128</v>
      </c>
      <c r="AC38" s="1" t="e">
        <f t="shared" si="2"/>
        <v>#VALUE!</v>
      </c>
      <c r="AD38" s="1" t="e" cm="1">
        <f t="array" ref="AD38">N_ring(AB38,$E$9,$E$3,$E$16,$E$17,$E$6,$E$5)</f>
        <v>#VALUE!</v>
      </c>
      <c r="AE38" s="1" t="e" cm="1">
        <f t="array" ref="AE38">n_inv(AB38,$E$40,$E$9,$E$3,$E$16,$E$17,$E$6,$E$5)</f>
        <v>#VALUE!</v>
      </c>
      <c r="AF38" s="1" t="e" cm="1">
        <f t="array" ref="AF38">Q_oil(AB38,AD38,$E$3,$E$4,$E$17,AE38,$E$40,$E$44,$E$31,$E$36)</f>
        <v>#VALUE!</v>
      </c>
      <c r="AG38" s="4" t="e">
        <f t="shared" si="3"/>
        <v>#VALUE!</v>
      </c>
      <c r="AH38" s="1"/>
    </row>
    <row r="39" spans="2:34" x14ac:dyDescent="0.25">
      <c r="B39" s="26"/>
      <c r="C39" s="27"/>
      <c r="D39" s="27"/>
      <c r="E39" s="27"/>
      <c r="F39" s="24"/>
      <c r="AA39" s="4">
        <f t="shared" si="5"/>
        <v>232.60499429486913</v>
      </c>
      <c r="AB39" s="1">
        <f t="shared" si="1"/>
        <v>3.8767499049144853</v>
      </c>
      <c r="AC39" s="1" t="e">
        <f t="shared" si="2"/>
        <v>#VALUE!</v>
      </c>
      <c r="AD39" s="1" t="e" cm="1">
        <f t="array" ref="AD39">N_ring(AB39,$E$9,$E$3,$E$16,$E$17,$E$6,$E$5)</f>
        <v>#VALUE!</v>
      </c>
      <c r="AE39" s="1" t="e" cm="1">
        <f t="array" ref="AE39">n_inv(AB39,$E$40,$E$9,$E$3,$E$16,$E$17,$E$6,$E$5)</f>
        <v>#VALUE!</v>
      </c>
      <c r="AF39" s="1" t="e" cm="1">
        <f t="array" ref="AF39">Q_oil(AB39,AD39,$E$3,$E$4,$E$17,AE39,$E$40,$E$44,$E$31,$E$36)</f>
        <v>#VALUE!</v>
      </c>
      <c r="AG39" s="4" t="e">
        <f t="shared" si="3"/>
        <v>#VALUE!</v>
      </c>
      <c r="AH39" s="1"/>
    </row>
    <row r="40" spans="2:34" ht="18" x14ac:dyDescent="0.35">
      <c r="B40" s="56" t="s">
        <v>117</v>
      </c>
      <c r="C40" s="45">
        <f>60*E40</f>
        <v>115.36053235321083</v>
      </c>
      <c r="D40" s="56" t="s">
        <v>118</v>
      </c>
      <c r="E40" s="45">
        <f>0.063*E3^0.5/E17^0.67</f>
        <v>1.9226755392201804</v>
      </c>
      <c r="F40" s="34" t="s">
        <v>119</v>
      </c>
      <c r="AA40" s="4">
        <f t="shared" si="5"/>
        <v>239.03846635861549</v>
      </c>
      <c r="AB40" s="1">
        <f t="shared" si="1"/>
        <v>3.9839744393102583</v>
      </c>
      <c r="AC40" s="1" t="e">
        <f t="shared" si="2"/>
        <v>#VALUE!</v>
      </c>
      <c r="AD40" s="1" t="e" cm="1">
        <f t="array" ref="AD40">N_ring(AB40,$E$9,$E$3,$E$16,$E$17,$E$6,$E$5)</f>
        <v>#VALUE!</v>
      </c>
      <c r="AE40" s="1" t="e" cm="1">
        <f t="array" ref="AE40">n_inv(AB40,$E$40,$E$9,$E$3,$E$16,$E$17,$E$6,$E$5)</f>
        <v>#VALUE!</v>
      </c>
      <c r="AF40" s="1" t="e" cm="1">
        <f t="array" ref="AF40">Q_oil(AB40,AD40,$E$3,$E$4,$E$17,AE40,$E$40,$E$44,$E$31,$E$36)</f>
        <v>#VALUE!</v>
      </c>
      <c r="AG40" s="4" t="e">
        <f t="shared" si="3"/>
        <v>#VALUE!</v>
      </c>
      <c r="AH40" s="1"/>
    </row>
    <row r="41" spans="2:34" ht="18" x14ac:dyDescent="0.35">
      <c r="B41" s="58" t="s">
        <v>120</v>
      </c>
      <c r="C41" s="47" t="e">
        <f>60*E41</f>
        <v>#VALUE!</v>
      </c>
      <c r="D41" s="58" t="s">
        <v>121</v>
      </c>
      <c r="E41" s="52" t="e" cm="1">
        <f t="array" ref="E41">n_inv(E8,E40,E9,E3,E16,E17,E6,E5)</f>
        <v>#VALUE!</v>
      </c>
      <c r="F41" s="34" t="s">
        <v>122</v>
      </c>
      <c r="AA41" s="4">
        <f t="shared" si="5"/>
        <v>245.47193842236186</v>
      </c>
      <c r="AB41" s="1">
        <f t="shared" si="1"/>
        <v>4.0911989737060308</v>
      </c>
      <c r="AC41" s="1" t="e">
        <f t="shared" si="2"/>
        <v>#VALUE!</v>
      </c>
      <c r="AD41" s="1" t="e" cm="1">
        <f t="array" ref="AD41">N_ring(AB41,$E$9,$E$3,$E$16,$E$17,$E$6,$E$5)</f>
        <v>#VALUE!</v>
      </c>
      <c r="AE41" s="1" t="e" cm="1">
        <f t="array" ref="AE41">n_inv(AB41,$E$40,$E$9,$E$3,$E$16,$E$17,$E$6,$E$5)</f>
        <v>#VALUE!</v>
      </c>
      <c r="AF41" s="1" t="e" cm="1">
        <f t="array" ref="AF41">Q_oil(AB41,AD41,$E$3,$E$4,$E$17,AE41,$E$40,$E$44,$E$31,$E$36)</f>
        <v>#VALUE!</v>
      </c>
      <c r="AG41" s="4" t="e">
        <f t="shared" si="3"/>
        <v>#VALUE!</v>
      </c>
      <c r="AH41" s="1"/>
    </row>
    <row r="42" spans="2:34" ht="18" x14ac:dyDescent="0.35">
      <c r="B42" s="58" t="s">
        <v>123</v>
      </c>
      <c r="C42" s="47">
        <f>CONVERT(E42,"in","mm")</f>
        <v>1208.0526698501826</v>
      </c>
      <c r="D42" s="58" t="s">
        <v>124</v>
      </c>
      <c r="E42" s="47">
        <f>E40*PI()*E3</f>
        <v>47.561128734259157</v>
      </c>
      <c r="F42" s="34" t="s">
        <v>125</v>
      </c>
      <c r="AA42" s="4">
        <f t="shared" si="5"/>
        <v>251.90541048610822</v>
      </c>
      <c r="AB42" s="1">
        <f t="shared" si="1"/>
        <v>4.1984235081018033</v>
      </c>
      <c r="AC42" s="1" t="e">
        <f t="shared" si="2"/>
        <v>#VALUE!</v>
      </c>
      <c r="AD42" s="1" t="e" cm="1">
        <f t="array" ref="AD42">N_ring(AB42,$E$9,$E$3,$E$16,$E$17,$E$6,$E$5)</f>
        <v>#VALUE!</v>
      </c>
      <c r="AE42" s="1" t="e" cm="1">
        <f t="array" ref="AE42">n_inv(AB42,$E$40,$E$9,$E$3,$E$16,$E$17,$E$6,$E$5)</f>
        <v>#VALUE!</v>
      </c>
      <c r="AF42" s="1" t="e" cm="1">
        <f t="array" ref="AF42">Q_oil(AB42,AD42,$E$3,$E$4,$E$17,AE42,$E$40,$E$44,$E$31,$E$36)</f>
        <v>#VALUE!</v>
      </c>
      <c r="AG42" s="4" t="e">
        <f t="shared" si="3"/>
        <v>#VALUE!</v>
      </c>
      <c r="AH42" s="1"/>
    </row>
    <row r="43" spans="2:34" ht="18" x14ac:dyDescent="0.35">
      <c r="B43" s="58" t="s">
        <v>126</v>
      </c>
      <c r="C43" s="47" t="e">
        <f>CONVERT(E43,"in","mm")</f>
        <v>#VALUE!</v>
      </c>
      <c r="D43" s="58" t="s">
        <v>127</v>
      </c>
      <c r="E43" s="47" t="e">
        <f>PI()*E9*E41</f>
        <v>#VALUE!</v>
      </c>
      <c r="F43" s="34" t="s">
        <v>128</v>
      </c>
      <c r="AA43" s="4">
        <f t="shared" si="5"/>
        <v>258.33888254985459</v>
      </c>
      <c r="AB43" s="1">
        <f t="shared" si="1"/>
        <v>4.3056480424975767</v>
      </c>
      <c r="AC43" s="1" t="e">
        <f t="shared" si="2"/>
        <v>#VALUE!</v>
      </c>
      <c r="AD43" s="1" t="e" cm="1">
        <f t="array" ref="AD43">N_ring(AB43,$E$9,$E$3,$E$16,$E$17,$E$6,$E$5)</f>
        <v>#VALUE!</v>
      </c>
      <c r="AE43" s="1" t="e" cm="1">
        <f t="array" ref="AE43">n_inv(AB43,$E$40,$E$9,$E$3,$E$16,$E$17,$E$6,$E$5)</f>
        <v>#VALUE!</v>
      </c>
      <c r="AF43" s="1" t="e" cm="1">
        <f t="array" ref="AF43">Q_oil(AB43,AD43,$E$3,$E$4,$E$17,AE43,$E$40,$E$44,$E$31,$E$36)</f>
        <v>#VALUE!</v>
      </c>
      <c r="AG43" s="4" t="e">
        <f t="shared" si="3"/>
        <v>#VALUE!</v>
      </c>
      <c r="AH43" s="1"/>
    </row>
    <row r="44" spans="2:34" ht="18" x14ac:dyDescent="0.35">
      <c r="B44" s="59" t="s">
        <v>129</v>
      </c>
      <c r="C44" s="48">
        <f>CONVERT(E44,"in^3","mm^3")</f>
        <v>6829.1122628179655</v>
      </c>
      <c r="D44" s="59" t="s">
        <v>130</v>
      </c>
      <c r="E44" s="53">
        <f>0.14*$E$4*$E$17^0.65*($E$3*$E$40)^1.5</f>
        <v>0.41673799912040166</v>
      </c>
      <c r="F44" s="34" t="s">
        <v>131</v>
      </c>
      <c r="AA44" s="4">
        <f t="shared" si="5"/>
        <v>264.77235461360095</v>
      </c>
      <c r="AB44" s="1">
        <f t="shared" si="1"/>
        <v>4.4128725768933492</v>
      </c>
      <c r="AC44" s="1" t="e">
        <f t="shared" si="2"/>
        <v>#VALUE!</v>
      </c>
      <c r="AD44" s="1" t="e" cm="1">
        <f t="array" ref="AD44">N_ring(AB44,$E$9,$E$3,$E$16,$E$17,$E$6,$E$5)</f>
        <v>#VALUE!</v>
      </c>
      <c r="AE44" s="1" t="e" cm="1">
        <f t="array" ref="AE44">n_inv(AB44,$E$40,$E$9,$E$3,$E$16,$E$17,$E$6,$E$5)</f>
        <v>#VALUE!</v>
      </c>
      <c r="AF44" s="1" t="e" cm="1">
        <f t="array" ref="AF44">Q_oil(AB44,AD44,$E$3,$E$4,$E$17,AE44,$E$40,$E$44,$E$31,$E$36)</f>
        <v>#VALUE!</v>
      </c>
      <c r="AG44" s="4" t="e">
        <f t="shared" si="3"/>
        <v>#VALUE!</v>
      </c>
      <c r="AH44" s="1"/>
    </row>
    <row r="45" spans="2:34" x14ac:dyDescent="0.25">
      <c r="B45" s="26"/>
      <c r="C45" s="27"/>
      <c r="D45" s="27"/>
      <c r="E45" s="27"/>
      <c r="F45" s="24"/>
      <c r="AA45" s="4">
        <f t="shared" si="5"/>
        <v>271.20582667734732</v>
      </c>
      <c r="AB45" s="1">
        <f t="shared" si="1"/>
        <v>4.5200971112891217</v>
      </c>
      <c r="AC45" s="1" t="e">
        <f t="shared" si="2"/>
        <v>#VALUE!</v>
      </c>
      <c r="AD45" s="1" t="e" cm="1">
        <f t="array" ref="AD45">N_ring(AB45,$E$9,$E$3,$E$16,$E$17,$E$6,$E$5)</f>
        <v>#VALUE!</v>
      </c>
      <c r="AE45" s="1" t="e" cm="1">
        <f t="array" ref="AE45">n_inv(AB45,$E$40,$E$9,$E$3,$E$16,$E$17,$E$6,$E$5)</f>
        <v>#VALUE!</v>
      </c>
      <c r="AF45" s="1" t="e" cm="1">
        <f t="array" ref="AF45">Q_oil(AB45,AD45,$E$3,$E$4,$E$17,AE45,$E$40,$E$44,$E$31,$E$36)</f>
        <v>#VALUE!</v>
      </c>
      <c r="AG45" s="4" t="e">
        <f t="shared" si="3"/>
        <v>#VALUE!</v>
      </c>
      <c r="AH45" s="1"/>
    </row>
    <row r="46" spans="2:34" ht="18" x14ac:dyDescent="0.35">
      <c r="B46" s="61" t="s">
        <v>132</v>
      </c>
      <c r="C46" s="55">
        <f>CONVERT(E46,"in^3","mm^3")</f>
        <v>2154.8743125000005</v>
      </c>
      <c r="D46" s="61" t="s">
        <v>133</v>
      </c>
      <c r="E46" s="54">
        <f>0.039*E8*E9*2*E11*E10</f>
        <v>0.13149849860231219</v>
      </c>
      <c r="F46" s="66" t="s">
        <v>134</v>
      </c>
      <c r="I46" s="23"/>
      <c r="AA46" s="4">
        <f t="shared" si="5"/>
        <v>277.63929874109368</v>
      </c>
      <c r="AB46" s="1">
        <f t="shared" si="1"/>
        <v>4.6273216456848951</v>
      </c>
      <c r="AC46" s="1" t="e">
        <f t="shared" si="2"/>
        <v>#VALUE!</v>
      </c>
      <c r="AD46" s="1" t="e" cm="1">
        <f t="array" ref="AD46">N_ring(AB46,$E$9,$E$3,$E$16,$E$17,$E$6,$E$5)</f>
        <v>#VALUE!</v>
      </c>
      <c r="AE46" s="1" t="e" cm="1">
        <f t="array" ref="AE46">n_inv(AB46,$E$40,$E$9,$E$3,$E$16,$E$17,$E$6,$E$5)</f>
        <v>#VALUE!</v>
      </c>
      <c r="AF46" s="1" t="e" cm="1">
        <f t="array" ref="AF46">Q_oil(AB46,AD46,$E$3,$E$4,$E$17,AE46,$E$40,$E$44,$E$31,$E$36)</f>
        <v>#VALUE!</v>
      </c>
      <c r="AG46" s="4" t="e">
        <f t="shared" si="3"/>
        <v>#VALUE!</v>
      </c>
      <c r="AH46" s="1"/>
    </row>
    <row r="47" spans="2:34" x14ac:dyDescent="0.25">
      <c r="AA47" s="4">
        <f t="shared" si="5"/>
        <v>284.07277080484005</v>
      </c>
      <c r="AB47" s="1">
        <f t="shared" si="1"/>
        <v>4.7345461800806676</v>
      </c>
      <c r="AC47" s="1" t="e">
        <f t="shared" si="2"/>
        <v>#VALUE!</v>
      </c>
      <c r="AD47" s="1" t="e" cm="1">
        <f t="array" ref="AD47">N_ring(AB47,$E$9,$E$3,$E$16,$E$17,$E$6,$E$5)</f>
        <v>#VALUE!</v>
      </c>
      <c r="AE47" s="1" t="e" cm="1">
        <f t="array" ref="AE47">n_inv(AB47,$E$40,$E$9,$E$3,$E$16,$E$17,$E$6,$E$5)</f>
        <v>#VALUE!</v>
      </c>
      <c r="AF47" s="1" t="e" cm="1">
        <f t="array" ref="AF47">Q_oil(AB47,AD47,$E$3,$E$4,$E$17,AE47,$E$40,$E$44,$E$31,$E$36)</f>
        <v>#VALUE!</v>
      </c>
      <c r="AG47" s="4" t="e">
        <f t="shared" si="3"/>
        <v>#VALUE!</v>
      </c>
      <c r="AH47" s="1"/>
    </row>
    <row r="48" spans="2:34" x14ac:dyDescent="0.25">
      <c r="AA48" s="4">
        <f t="shared" si="5"/>
        <v>290.50624286858641</v>
      </c>
      <c r="AB48" s="1">
        <f t="shared" si="1"/>
        <v>4.8417707144764401</v>
      </c>
      <c r="AC48" s="1" t="e">
        <f t="shared" si="2"/>
        <v>#VALUE!</v>
      </c>
      <c r="AD48" s="1" t="e" cm="1">
        <f t="array" ref="AD48">N_ring(AB48,$E$9,$E$3,$E$16,$E$17,$E$6,$E$5)</f>
        <v>#VALUE!</v>
      </c>
      <c r="AE48" s="1" t="e" cm="1">
        <f t="array" ref="AE48">n_inv(AB48,$E$40,$E$9,$E$3,$E$16,$E$17,$E$6,$E$5)</f>
        <v>#VALUE!</v>
      </c>
      <c r="AF48" s="1" t="e" cm="1">
        <f t="array" ref="AF48">Q_oil(AB48,AD48,$E$3,$E$4,$E$17,AE48,$E$40,$E$44,$E$31,$E$36)</f>
        <v>#VALUE!</v>
      </c>
      <c r="AG48" s="4" t="e">
        <f t="shared" si="3"/>
        <v>#VALUE!</v>
      </c>
      <c r="AH48" s="1"/>
    </row>
    <row r="49" spans="12:34" x14ac:dyDescent="0.25">
      <c r="AA49" s="4">
        <f t="shared" si="5"/>
        <v>296.93971493233278</v>
      </c>
      <c r="AB49" s="1">
        <f t="shared" si="1"/>
        <v>4.9489952488722126</v>
      </c>
      <c r="AC49" s="1" t="e">
        <f t="shared" si="2"/>
        <v>#VALUE!</v>
      </c>
      <c r="AD49" s="1" t="e" cm="1">
        <f t="array" ref="AD49">N_ring(AB49,$E$9,$E$3,$E$16,$E$17,$E$6,$E$5)</f>
        <v>#VALUE!</v>
      </c>
      <c r="AE49" s="1" t="e" cm="1">
        <f t="array" ref="AE49">n_inv(AB49,$E$40,$E$9,$E$3,$E$16,$E$17,$E$6,$E$5)</f>
        <v>#VALUE!</v>
      </c>
      <c r="AF49" s="1" t="e" cm="1">
        <f t="array" ref="AF49">Q_oil(AB49,AD49,$E$3,$E$4,$E$17,AE49,$E$40,$E$44,$E$31,$E$36)</f>
        <v>#VALUE!</v>
      </c>
      <c r="AG49" s="4" t="e">
        <f t="shared" si="3"/>
        <v>#VALUE!</v>
      </c>
      <c r="AH49" s="1"/>
    </row>
    <row r="50" spans="12:34" x14ac:dyDescent="0.25">
      <c r="AA50" s="4">
        <f t="shared" si="5"/>
        <v>303.37318699607914</v>
      </c>
      <c r="AB50" s="1">
        <f t="shared" si="1"/>
        <v>5.056219783267986</v>
      </c>
      <c r="AC50" s="1" t="e">
        <f t="shared" si="2"/>
        <v>#VALUE!</v>
      </c>
      <c r="AD50" s="1" t="e" cm="1">
        <f t="array" ref="AD50">N_ring(AB50,$E$9,$E$3,$E$16,$E$17,$E$6,$E$5)</f>
        <v>#VALUE!</v>
      </c>
      <c r="AE50" s="1" t="e" cm="1">
        <f t="array" ref="AE50">n_inv(AB50,$E$40,$E$9,$E$3,$E$16,$E$17,$E$6,$E$5)</f>
        <v>#VALUE!</v>
      </c>
      <c r="AF50" s="1" t="e" cm="1">
        <f t="array" ref="AF50">Q_oil(AB50,AD50,$E$3,$E$4,$E$17,AE50,$E$40,$E$44,$E$31,$E$36)</f>
        <v>#VALUE!</v>
      </c>
      <c r="AG50" s="4" t="e">
        <f t="shared" si="3"/>
        <v>#VALUE!</v>
      </c>
      <c r="AH50" s="1"/>
    </row>
    <row r="51" spans="12:34" x14ac:dyDescent="0.25">
      <c r="AA51" s="4">
        <f t="shared" si="5"/>
        <v>309.80665905982551</v>
      </c>
      <c r="AB51" s="1">
        <f t="shared" si="1"/>
        <v>5.1634443176637586</v>
      </c>
      <c r="AC51" s="1" t="e">
        <f t="shared" si="2"/>
        <v>#VALUE!</v>
      </c>
      <c r="AD51" s="1" t="e" cm="1">
        <f t="array" ref="AD51">N_ring(AB51,$E$9,$E$3,$E$16,$E$17,$E$6,$E$5)</f>
        <v>#VALUE!</v>
      </c>
      <c r="AE51" s="1" t="e" cm="1">
        <f t="array" ref="AE51">n_inv(AB51,$E$40,$E$9,$E$3,$E$16,$E$17,$E$6,$E$5)</f>
        <v>#VALUE!</v>
      </c>
      <c r="AF51" s="1" t="e" cm="1">
        <f t="array" ref="AF51">Q_oil(AB51,AD51,$E$3,$E$4,$E$17,AE51,$E$40,$E$44,$E$31,$E$36)</f>
        <v>#VALUE!</v>
      </c>
      <c r="AG51" s="4" t="e">
        <f t="shared" si="3"/>
        <v>#VALUE!</v>
      </c>
      <c r="AH51" s="1"/>
    </row>
    <row r="52" spans="12:34" x14ac:dyDescent="0.25">
      <c r="AA52" s="4">
        <f t="shared" si="5"/>
        <v>316.24013112357187</v>
      </c>
      <c r="AB52" s="1">
        <f t="shared" si="1"/>
        <v>5.2706688520595311</v>
      </c>
      <c r="AC52" s="1" t="e">
        <f t="shared" si="2"/>
        <v>#VALUE!</v>
      </c>
      <c r="AD52" s="1" t="e" cm="1">
        <f t="array" ref="AD52">N_ring(AB52,$E$9,$E$3,$E$16,$E$17,$E$6,$E$5)</f>
        <v>#VALUE!</v>
      </c>
      <c r="AE52" s="1" t="e" cm="1">
        <f t="array" ref="AE52">n_inv(AB52,$E$40,$E$9,$E$3,$E$16,$E$17,$E$6,$E$5)</f>
        <v>#VALUE!</v>
      </c>
      <c r="AF52" s="1" t="e" cm="1">
        <f t="array" ref="AF52">Q_oil(AB52,AD52,$E$3,$E$4,$E$17,AE52,$E$40,$E$44,$E$31,$E$36)</f>
        <v>#VALUE!</v>
      </c>
      <c r="AG52" s="4" t="e">
        <f t="shared" si="3"/>
        <v>#VALUE!</v>
      </c>
      <c r="AH52" s="1"/>
    </row>
    <row r="53" spans="12:34" x14ac:dyDescent="0.25">
      <c r="AA53" s="63">
        <f>AB53*60</f>
        <v>321.67360318731824</v>
      </c>
      <c r="AB53" s="64">
        <f>E31</f>
        <v>5.361226719788637</v>
      </c>
      <c r="AC53" s="1" t="e">
        <f t="shared" si="2"/>
        <v>#VALUE!</v>
      </c>
      <c r="AD53" s="1" t="e" cm="1">
        <f t="array" ref="AD53">N_ring(AB53,$E$9,$E$3,$E$16,$E$17,$E$6,$E$5)</f>
        <v>#VALUE!</v>
      </c>
      <c r="AE53" s="1" t="e" cm="1">
        <f t="array" ref="AE53">n_inv(AB53,$E$40,$E$9,$E$3,$E$16,$E$17,$E$6,$E$5)</f>
        <v>#VALUE!</v>
      </c>
      <c r="AF53" s="1" t="e" cm="1">
        <f t="array" ref="AF53">Q_oil(AB53,AD53,$E$3,$E$4,$E$17,AE53,$E$40,$E$44,$E$31,$E$36)</f>
        <v>#VALUE!</v>
      </c>
      <c r="AG53" s="4" t="e">
        <f t="shared" si="3"/>
        <v>#VALUE!</v>
      </c>
      <c r="AH53" s="1"/>
    </row>
    <row r="54" spans="12:34" x14ac:dyDescent="0.25">
      <c r="M54" s="65"/>
      <c r="AA54" s="4">
        <f t="shared" ref="AA54:AA85" si="6">AA53+($C$36-$C$31)/50</f>
        <v>333.89720010843632</v>
      </c>
      <c r="AB54" s="1">
        <f t="shared" si="1"/>
        <v>5.5649533351406051</v>
      </c>
      <c r="AC54" s="1" t="e">
        <f t="shared" si="2"/>
        <v>#VALUE!</v>
      </c>
      <c r="AD54" s="1" t="e" cm="1">
        <f t="array" ref="AD54">N_ring(AB54,$E$9,$E$3,$E$16,$E$17,$E$6,$E$5)</f>
        <v>#VALUE!</v>
      </c>
      <c r="AE54" s="1" t="e" cm="1">
        <f t="array" ref="AE54">n_inv(AB54,$E$40,$E$9,$E$3,$E$16,$E$17,$E$6,$E$5)</f>
        <v>#VALUE!</v>
      </c>
      <c r="AF54" s="1" t="e" cm="1">
        <f t="array" ref="AF54">Q_oil(AB54,AD54,$E$3,$E$4,$E$17,AE54,$E$40,$E$44,$E$31,$E$36)</f>
        <v>#VALUE!</v>
      </c>
      <c r="AG54" s="4" t="e">
        <f t="shared" si="3"/>
        <v>#VALUE!</v>
      </c>
      <c r="AH54" s="1"/>
    </row>
    <row r="55" spans="12:34" x14ac:dyDescent="0.25">
      <c r="M55" s="65"/>
      <c r="AA55" s="4">
        <f t="shared" si="6"/>
        <v>346.12079702955441</v>
      </c>
      <c r="AB55" s="1">
        <f t="shared" si="1"/>
        <v>5.7686799504925732</v>
      </c>
      <c r="AC55" s="1" t="e">
        <f t="shared" si="2"/>
        <v>#VALUE!</v>
      </c>
      <c r="AD55" s="1" t="e" cm="1">
        <f t="array" ref="AD55">N_ring(AB55,$E$9,$E$3,$E$16,$E$17,$E$6,$E$5)</f>
        <v>#VALUE!</v>
      </c>
      <c r="AE55" s="1" t="e" cm="1">
        <f t="array" ref="AE55">n_inv(AB55,$E$40,$E$9,$E$3,$E$16,$E$17,$E$6,$E$5)</f>
        <v>#VALUE!</v>
      </c>
      <c r="AF55" s="1" t="e" cm="1">
        <f t="array" ref="AF55">Q_oil(AB55,AD55,$E$3,$E$4,$E$17,AE55,$E$40,$E$44,$E$31,$E$36)</f>
        <v>#VALUE!</v>
      </c>
      <c r="AG55" s="4" t="e">
        <f t="shared" si="3"/>
        <v>#VALUE!</v>
      </c>
      <c r="AH55" s="1"/>
    </row>
    <row r="56" spans="12:34" x14ac:dyDescent="0.25">
      <c r="L56" s="9"/>
      <c r="AA56" s="4">
        <f t="shared" si="6"/>
        <v>358.3443939506725</v>
      </c>
      <c r="AB56" s="1">
        <f t="shared" si="1"/>
        <v>5.9724065658445413</v>
      </c>
      <c r="AC56" s="1" t="e">
        <f t="shared" si="2"/>
        <v>#VALUE!</v>
      </c>
      <c r="AD56" s="1" t="e" cm="1">
        <f t="array" ref="AD56">N_ring(AB56,$E$9,$E$3,$E$16,$E$17,$E$6,$E$5)</f>
        <v>#VALUE!</v>
      </c>
      <c r="AE56" s="1" t="e" cm="1">
        <f t="array" ref="AE56">n_inv(AB56,$E$40,$E$9,$E$3,$E$16,$E$17,$E$6,$E$5)</f>
        <v>#VALUE!</v>
      </c>
      <c r="AF56" s="1" t="e" cm="1">
        <f t="array" ref="AF56">Q_oil(AB56,AD56,$E$3,$E$4,$E$17,AE56,$E$40,$E$44,$E$31,$E$36)</f>
        <v>#VALUE!</v>
      </c>
      <c r="AG56" s="4" t="e">
        <f t="shared" si="3"/>
        <v>#VALUE!</v>
      </c>
      <c r="AH56" s="1"/>
    </row>
    <row r="57" spans="12:34" x14ac:dyDescent="0.25">
      <c r="AA57" s="4">
        <f t="shared" si="6"/>
        <v>370.56799087179058</v>
      </c>
      <c r="AB57" s="1">
        <f t="shared" si="1"/>
        <v>6.1761331811965094</v>
      </c>
      <c r="AC57" s="1" t="e">
        <f t="shared" si="2"/>
        <v>#VALUE!</v>
      </c>
      <c r="AD57" s="1" t="e" cm="1">
        <f t="array" ref="AD57">N_ring(AB57,$E$9,$E$3,$E$16,$E$17,$E$6,$E$5)</f>
        <v>#VALUE!</v>
      </c>
      <c r="AE57" s="1" t="e" cm="1">
        <f t="array" ref="AE57">n_inv(AB57,$E$40,$E$9,$E$3,$E$16,$E$17,$E$6,$E$5)</f>
        <v>#VALUE!</v>
      </c>
      <c r="AF57" s="1" t="e" cm="1">
        <f t="array" ref="AF57">Q_oil(AB57,AD57,$E$3,$E$4,$E$17,AE57,$E$40,$E$44,$E$31,$E$36)</f>
        <v>#VALUE!</v>
      </c>
      <c r="AG57" s="4" t="e">
        <f t="shared" si="3"/>
        <v>#VALUE!</v>
      </c>
      <c r="AH57" s="1"/>
    </row>
    <row r="58" spans="12:34" x14ac:dyDescent="0.25">
      <c r="AA58" s="4">
        <f t="shared" si="6"/>
        <v>382.79158779290867</v>
      </c>
      <c r="AB58" s="1">
        <f t="shared" si="1"/>
        <v>6.3798597965484776</v>
      </c>
      <c r="AC58" s="1" t="e">
        <f t="shared" si="2"/>
        <v>#VALUE!</v>
      </c>
      <c r="AD58" s="1" t="e" cm="1">
        <f t="array" ref="AD58">N_ring(AB58,$E$9,$E$3,$E$16,$E$17,$E$6,$E$5)</f>
        <v>#VALUE!</v>
      </c>
      <c r="AE58" s="1" t="e" cm="1">
        <f t="array" ref="AE58">n_inv(AB58,$E$40,$E$9,$E$3,$E$16,$E$17,$E$6,$E$5)</f>
        <v>#VALUE!</v>
      </c>
      <c r="AF58" s="1" t="e" cm="1">
        <f t="array" ref="AF58">Q_oil(AB58,AD58,$E$3,$E$4,$E$17,AE58,$E$40,$E$44,$E$31,$E$36)</f>
        <v>#VALUE!</v>
      </c>
      <c r="AG58" s="4" t="e">
        <f t="shared" si="3"/>
        <v>#VALUE!</v>
      </c>
      <c r="AH58" s="1"/>
    </row>
    <row r="59" spans="12:34" x14ac:dyDescent="0.25">
      <c r="AA59" s="4">
        <f t="shared" si="6"/>
        <v>395.01518471402676</v>
      </c>
      <c r="AB59" s="1">
        <f t="shared" si="1"/>
        <v>6.5835864119004457</v>
      </c>
      <c r="AC59" s="1" t="e">
        <f t="shared" si="2"/>
        <v>#VALUE!</v>
      </c>
      <c r="AD59" s="1" t="e" cm="1">
        <f t="array" ref="AD59">N_ring(AB59,$E$9,$E$3,$E$16,$E$17,$E$6,$E$5)</f>
        <v>#VALUE!</v>
      </c>
      <c r="AE59" s="1" t="e" cm="1">
        <f t="array" ref="AE59">n_inv(AB59,$E$40,$E$9,$E$3,$E$16,$E$17,$E$6,$E$5)</f>
        <v>#VALUE!</v>
      </c>
      <c r="AF59" s="1" t="e" cm="1">
        <f t="array" ref="AF59">Q_oil(AB59,AD59,$E$3,$E$4,$E$17,AE59,$E$40,$E$44,$E$31,$E$36)</f>
        <v>#VALUE!</v>
      </c>
      <c r="AG59" s="4" t="e">
        <f t="shared" si="3"/>
        <v>#VALUE!</v>
      </c>
      <c r="AH59" s="1"/>
    </row>
    <row r="60" spans="12:34" x14ac:dyDescent="0.25">
      <c r="AA60" s="4">
        <f t="shared" si="6"/>
        <v>407.23878163514485</v>
      </c>
      <c r="AB60" s="1">
        <f t="shared" si="1"/>
        <v>6.7873130272524138</v>
      </c>
      <c r="AC60" s="1" t="e">
        <f t="shared" si="2"/>
        <v>#VALUE!</v>
      </c>
      <c r="AD60" s="1" t="e" cm="1">
        <f t="array" ref="AD60">N_ring(AB60,$E$9,$E$3,$E$16,$E$17,$E$6,$E$5)</f>
        <v>#VALUE!</v>
      </c>
      <c r="AE60" s="1" t="e" cm="1">
        <f t="array" ref="AE60">n_inv(AB60,$E$40,$E$9,$E$3,$E$16,$E$17,$E$6,$E$5)</f>
        <v>#VALUE!</v>
      </c>
      <c r="AF60" s="1" t="e" cm="1">
        <f t="array" ref="AF60">Q_oil(AB60,AD60,$E$3,$E$4,$E$17,AE60,$E$40,$E$44,$E$31,$E$36)</f>
        <v>#VALUE!</v>
      </c>
      <c r="AG60" s="4" t="e">
        <f t="shared" si="3"/>
        <v>#VALUE!</v>
      </c>
      <c r="AH60" s="1"/>
    </row>
    <row r="61" spans="12:34" x14ac:dyDescent="0.25">
      <c r="AA61" s="4">
        <f t="shared" si="6"/>
        <v>419.46237855626293</v>
      </c>
      <c r="AB61" s="1">
        <f t="shared" si="1"/>
        <v>6.9910396426043819</v>
      </c>
      <c r="AC61" s="1" t="e">
        <f t="shared" si="2"/>
        <v>#VALUE!</v>
      </c>
      <c r="AD61" s="1" t="e" cm="1">
        <f t="array" ref="AD61">N_ring(AB61,$E$9,$E$3,$E$16,$E$17,$E$6,$E$5)</f>
        <v>#VALUE!</v>
      </c>
      <c r="AE61" s="1" t="e" cm="1">
        <f t="array" ref="AE61">n_inv(AB61,$E$40,$E$9,$E$3,$E$16,$E$17,$E$6,$E$5)</f>
        <v>#VALUE!</v>
      </c>
      <c r="AF61" s="1" t="e" cm="1">
        <f t="array" ref="AF61">Q_oil(AB61,AD61,$E$3,$E$4,$E$17,AE61,$E$40,$E$44,$E$31,$E$36)</f>
        <v>#VALUE!</v>
      </c>
      <c r="AG61" s="4" t="e">
        <f t="shared" si="3"/>
        <v>#VALUE!</v>
      </c>
      <c r="AH61" s="1"/>
    </row>
    <row r="62" spans="12:34" x14ac:dyDescent="0.25">
      <c r="AA62" s="4">
        <f t="shared" si="6"/>
        <v>431.68597547738102</v>
      </c>
      <c r="AB62" s="1">
        <f t="shared" si="1"/>
        <v>7.1947662579563501</v>
      </c>
      <c r="AC62" s="1" t="e">
        <f t="shared" si="2"/>
        <v>#VALUE!</v>
      </c>
      <c r="AD62" s="1" t="e" cm="1">
        <f t="array" ref="AD62">N_ring(AB62,$E$9,$E$3,$E$16,$E$17,$E$6,$E$5)</f>
        <v>#VALUE!</v>
      </c>
      <c r="AE62" s="1" t="e" cm="1">
        <f t="array" ref="AE62">n_inv(AB62,$E$40,$E$9,$E$3,$E$16,$E$17,$E$6,$E$5)</f>
        <v>#VALUE!</v>
      </c>
      <c r="AF62" s="1" t="e" cm="1">
        <f t="array" ref="AF62">Q_oil(AB62,AD62,$E$3,$E$4,$E$17,AE62,$E$40,$E$44,$E$31,$E$36)</f>
        <v>#VALUE!</v>
      </c>
      <c r="AG62" s="4" t="e">
        <f t="shared" si="3"/>
        <v>#VALUE!</v>
      </c>
      <c r="AH62" s="1"/>
    </row>
    <row r="63" spans="12:34" x14ac:dyDescent="0.25">
      <c r="AA63" s="4">
        <f t="shared" si="6"/>
        <v>443.90957239849911</v>
      </c>
      <c r="AB63" s="1">
        <f t="shared" si="1"/>
        <v>7.3984928733083182</v>
      </c>
      <c r="AC63" s="1" t="e">
        <f t="shared" si="2"/>
        <v>#VALUE!</v>
      </c>
      <c r="AD63" s="1" t="e" cm="1">
        <f t="array" ref="AD63">N_ring(AB63,$E$9,$E$3,$E$16,$E$17,$E$6,$E$5)</f>
        <v>#VALUE!</v>
      </c>
      <c r="AE63" s="1" t="e" cm="1">
        <f t="array" ref="AE63">n_inv(AB63,$E$40,$E$9,$E$3,$E$16,$E$17,$E$6,$E$5)</f>
        <v>#VALUE!</v>
      </c>
      <c r="AF63" s="1" t="e" cm="1">
        <f t="array" ref="AF63">Q_oil(AB63,AD63,$E$3,$E$4,$E$17,AE63,$E$40,$E$44,$E$31,$E$36)</f>
        <v>#VALUE!</v>
      </c>
      <c r="AG63" s="4" t="e">
        <f t="shared" si="3"/>
        <v>#VALUE!</v>
      </c>
      <c r="AH63" s="1"/>
    </row>
    <row r="64" spans="12:34" x14ac:dyDescent="0.25">
      <c r="AA64" s="4">
        <f t="shared" si="6"/>
        <v>456.1331693196172</v>
      </c>
      <c r="AB64" s="1">
        <f t="shared" si="1"/>
        <v>7.6022194886602863</v>
      </c>
      <c r="AC64" s="1" t="e">
        <f t="shared" si="2"/>
        <v>#VALUE!</v>
      </c>
      <c r="AD64" s="1" t="e" cm="1">
        <f t="array" ref="AD64">N_ring(AB64,$E$9,$E$3,$E$16,$E$17,$E$6,$E$5)</f>
        <v>#VALUE!</v>
      </c>
      <c r="AE64" s="1" t="e" cm="1">
        <f t="array" ref="AE64">n_inv(AB64,$E$40,$E$9,$E$3,$E$16,$E$17,$E$6,$E$5)</f>
        <v>#VALUE!</v>
      </c>
      <c r="AF64" s="1" t="e" cm="1">
        <f t="array" ref="AF64">Q_oil(AB64,AD64,$E$3,$E$4,$E$17,AE64,$E$40,$E$44,$E$31,$E$36)</f>
        <v>#VALUE!</v>
      </c>
      <c r="AG64" s="4" t="e">
        <f t="shared" si="3"/>
        <v>#VALUE!</v>
      </c>
      <c r="AH64" s="1"/>
    </row>
    <row r="65" spans="27:34" x14ac:dyDescent="0.25">
      <c r="AA65" s="4">
        <f t="shared" si="6"/>
        <v>468.35676624073528</v>
      </c>
      <c r="AB65" s="1">
        <f t="shared" si="1"/>
        <v>7.8059461040122544</v>
      </c>
      <c r="AC65" s="1" t="e">
        <f t="shared" si="2"/>
        <v>#VALUE!</v>
      </c>
      <c r="AD65" s="1" t="e" cm="1">
        <f t="array" ref="AD65">N_ring(AB65,$E$9,$E$3,$E$16,$E$17,$E$6,$E$5)</f>
        <v>#VALUE!</v>
      </c>
      <c r="AE65" s="1" t="e" cm="1">
        <f t="array" ref="AE65">n_inv(AB65,$E$40,$E$9,$E$3,$E$16,$E$17,$E$6,$E$5)</f>
        <v>#VALUE!</v>
      </c>
      <c r="AF65" s="1" t="e" cm="1">
        <f t="array" ref="AF65">Q_oil(AB65,AD65,$E$3,$E$4,$E$17,AE65,$E$40,$E$44,$E$31,$E$36)</f>
        <v>#VALUE!</v>
      </c>
      <c r="AG65" s="4" t="e">
        <f t="shared" si="3"/>
        <v>#VALUE!</v>
      </c>
      <c r="AH65" s="1"/>
    </row>
    <row r="66" spans="27:34" x14ac:dyDescent="0.25">
      <c r="AA66" s="4">
        <f t="shared" si="6"/>
        <v>480.58036316185337</v>
      </c>
      <c r="AB66" s="1">
        <f t="shared" si="1"/>
        <v>8.0096727193642234</v>
      </c>
      <c r="AC66" s="1" t="e">
        <f t="shared" si="2"/>
        <v>#VALUE!</v>
      </c>
      <c r="AD66" s="1" t="e" cm="1">
        <f t="array" ref="AD66">N_ring(AB66,$E$9,$E$3,$E$16,$E$17,$E$6,$E$5)</f>
        <v>#VALUE!</v>
      </c>
      <c r="AE66" s="1" t="e" cm="1">
        <f t="array" ref="AE66">n_inv(AB66,$E$40,$E$9,$E$3,$E$16,$E$17,$E$6,$E$5)</f>
        <v>#VALUE!</v>
      </c>
      <c r="AF66" s="1" t="e" cm="1">
        <f t="array" ref="AF66">Q_oil(AB66,AD66,$E$3,$E$4,$E$17,AE66,$E$40,$E$44,$E$31,$E$36)</f>
        <v>#VALUE!</v>
      </c>
      <c r="AG66" s="4" t="e">
        <f t="shared" si="3"/>
        <v>#VALUE!</v>
      </c>
      <c r="AH66" s="1"/>
    </row>
    <row r="67" spans="27:34" x14ac:dyDescent="0.25">
      <c r="AA67" s="4">
        <f t="shared" si="6"/>
        <v>492.80396008297146</v>
      </c>
      <c r="AB67" s="1">
        <f t="shared" si="1"/>
        <v>8.2133993347161915</v>
      </c>
      <c r="AC67" s="1" t="e">
        <f t="shared" si="2"/>
        <v>#VALUE!</v>
      </c>
      <c r="AD67" s="1" t="e" cm="1">
        <f t="array" ref="AD67">N_ring(AB67,$E$9,$E$3,$E$16,$E$17,$E$6,$E$5)</f>
        <v>#VALUE!</v>
      </c>
      <c r="AE67" s="1" t="e" cm="1">
        <f t="array" ref="AE67">n_inv(AB67,$E$40,$E$9,$E$3,$E$16,$E$17,$E$6,$E$5)</f>
        <v>#VALUE!</v>
      </c>
      <c r="AF67" s="1" t="e" cm="1">
        <f t="array" ref="AF67">Q_oil(AB67,AD67,$E$3,$E$4,$E$17,AE67,$E$40,$E$44,$E$31,$E$36)</f>
        <v>#VALUE!</v>
      </c>
      <c r="AG67" s="4" t="e">
        <f t="shared" si="3"/>
        <v>#VALUE!</v>
      </c>
      <c r="AH67" s="1"/>
    </row>
    <row r="68" spans="27:34" x14ac:dyDescent="0.25">
      <c r="AA68" s="4">
        <f t="shared" si="6"/>
        <v>505.02755700408954</v>
      </c>
      <c r="AB68" s="1">
        <f t="shared" ref="AB68:AB123" si="7">AA68/60</f>
        <v>8.4171259500681597</v>
      </c>
      <c r="AC68" s="1" t="e">
        <f t="shared" ref="AC68:AC123" si="8">60*AD68</f>
        <v>#VALUE!</v>
      </c>
      <c r="AD68" s="1" t="e" cm="1">
        <f t="array" ref="AD68">N_ring(AB68,$E$9,$E$3,$E$16,$E$17,$E$6,$E$5)</f>
        <v>#VALUE!</v>
      </c>
      <c r="AE68" s="1" t="e" cm="1">
        <f t="array" ref="AE68">n_inv(AB68,$E$40,$E$9,$E$3,$E$16,$E$17,$E$6,$E$5)</f>
        <v>#VALUE!</v>
      </c>
      <c r="AF68" s="1" t="e" cm="1">
        <f t="array" ref="AF68">Q_oil(AB68,AD68,$E$3,$E$4,$E$17,AE68,$E$40,$E$44,$E$31,$E$36)</f>
        <v>#VALUE!</v>
      </c>
      <c r="AG68" s="4" t="e">
        <f t="shared" ref="AG68:AG123" si="9">CONVERT(AF68,"in^3","mm^3")</f>
        <v>#VALUE!</v>
      </c>
      <c r="AH68" s="1"/>
    </row>
    <row r="69" spans="27:34" x14ac:dyDescent="0.25">
      <c r="AA69" s="4">
        <f t="shared" si="6"/>
        <v>517.25115392520763</v>
      </c>
      <c r="AB69" s="1">
        <f t="shared" si="7"/>
        <v>8.6208525654201278</v>
      </c>
      <c r="AC69" s="1" t="e">
        <f t="shared" si="8"/>
        <v>#VALUE!</v>
      </c>
      <c r="AD69" s="1" t="e" cm="1">
        <f t="array" ref="AD69">N_ring(AB69,$E$9,$E$3,$E$16,$E$17,$E$6,$E$5)</f>
        <v>#VALUE!</v>
      </c>
      <c r="AE69" s="1" t="e" cm="1">
        <f t="array" ref="AE69">n_inv(AB69,$E$40,$E$9,$E$3,$E$16,$E$17,$E$6,$E$5)</f>
        <v>#VALUE!</v>
      </c>
      <c r="AF69" s="1" t="e" cm="1">
        <f t="array" ref="AF69">Q_oil(AB69,AD69,$E$3,$E$4,$E$17,AE69,$E$40,$E$44,$E$31,$E$36)</f>
        <v>#VALUE!</v>
      </c>
      <c r="AG69" s="4" t="e">
        <f t="shared" si="9"/>
        <v>#VALUE!</v>
      </c>
      <c r="AH69" s="1"/>
    </row>
    <row r="70" spans="27:34" x14ac:dyDescent="0.25">
      <c r="AA70" s="4">
        <f t="shared" si="6"/>
        <v>529.47475084632572</v>
      </c>
      <c r="AB70" s="1">
        <f t="shared" si="7"/>
        <v>8.8245791807720959</v>
      </c>
      <c r="AC70" s="1" t="e">
        <f t="shared" si="8"/>
        <v>#VALUE!</v>
      </c>
      <c r="AD70" s="1" t="e" cm="1">
        <f t="array" ref="AD70">N_ring(AB70,$E$9,$E$3,$E$16,$E$17,$E$6,$E$5)</f>
        <v>#VALUE!</v>
      </c>
      <c r="AE70" s="1" t="e" cm="1">
        <f t="array" ref="AE70">n_inv(AB70,$E$40,$E$9,$E$3,$E$16,$E$17,$E$6,$E$5)</f>
        <v>#VALUE!</v>
      </c>
      <c r="AF70" s="1" t="e" cm="1">
        <f t="array" ref="AF70">Q_oil(AB70,AD70,$E$3,$E$4,$E$17,AE70,$E$40,$E$44,$E$31,$E$36)</f>
        <v>#VALUE!</v>
      </c>
      <c r="AG70" s="4" t="e">
        <f t="shared" si="9"/>
        <v>#VALUE!</v>
      </c>
      <c r="AH70" s="1"/>
    </row>
    <row r="71" spans="27:34" x14ac:dyDescent="0.25">
      <c r="AA71" s="4">
        <f t="shared" si="6"/>
        <v>541.69834776744381</v>
      </c>
      <c r="AB71" s="1">
        <f t="shared" si="7"/>
        <v>9.028305796124064</v>
      </c>
      <c r="AC71" s="1" t="e">
        <f t="shared" si="8"/>
        <v>#VALUE!</v>
      </c>
      <c r="AD71" s="1" t="e" cm="1">
        <f t="array" ref="AD71">N_ring(AB71,$E$9,$E$3,$E$16,$E$17,$E$6,$E$5)</f>
        <v>#VALUE!</v>
      </c>
      <c r="AE71" s="1" t="e" cm="1">
        <f t="array" ref="AE71">n_inv(AB71,$E$40,$E$9,$E$3,$E$16,$E$17,$E$6,$E$5)</f>
        <v>#VALUE!</v>
      </c>
      <c r="AF71" s="1" t="e" cm="1">
        <f t="array" ref="AF71">Q_oil(AB71,AD71,$E$3,$E$4,$E$17,AE71,$E$40,$E$44,$E$31,$E$36)</f>
        <v>#VALUE!</v>
      </c>
      <c r="AG71" s="4" t="e">
        <f t="shared" si="9"/>
        <v>#VALUE!</v>
      </c>
      <c r="AH71" s="1"/>
    </row>
    <row r="72" spans="27:34" x14ac:dyDescent="0.25">
      <c r="AA72" s="4">
        <f t="shared" si="6"/>
        <v>553.92194468856189</v>
      </c>
      <c r="AB72" s="1">
        <f t="shared" si="7"/>
        <v>9.2320324114760322</v>
      </c>
      <c r="AC72" s="1" t="e">
        <f t="shared" si="8"/>
        <v>#VALUE!</v>
      </c>
      <c r="AD72" s="1" t="e" cm="1">
        <f t="array" ref="AD72">N_ring(AB72,$E$9,$E$3,$E$16,$E$17,$E$6,$E$5)</f>
        <v>#VALUE!</v>
      </c>
      <c r="AE72" s="1" t="e" cm="1">
        <f t="array" ref="AE72">n_inv(AB72,$E$40,$E$9,$E$3,$E$16,$E$17,$E$6,$E$5)</f>
        <v>#VALUE!</v>
      </c>
      <c r="AF72" s="1" t="e" cm="1">
        <f t="array" ref="AF72">Q_oil(AB72,AD72,$E$3,$E$4,$E$17,AE72,$E$40,$E$44,$E$31,$E$36)</f>
        <v>#VALUE!</v>
      </c>
      <c r="AG72" s="4" t="e">
        <f t="shared" si="9"/>
        <v>#VALUE!</v>
      </c>
      <c r="AH72" s="1"/>
    </row>
    <row r="73" spans="27:34" x14ac:dyDescent="0.25">
      <c r="AA73" s="4">
        <f t="shared" si="6"/>
        <v>566.14554160967998</v>
      </c>
      <c r="AB73" s="1">
        <f t="shared" si="7"/>
        <v>9.4357590268280003</v>
      </c>
      <c r="AC73" s="1" t="e">
        <f t="shared" si="8"/>
        <v>#VALUE!</v>
      </c>
      <c r="AD73" s="1" t="e" cm="1">
        <f t="array" ref="AD73">N_ring(AB73,$E$9,$E$3,$E$16,$E$17,$E$6,$E$5)</f>
        <v>#VALUE!</v>
      </c>
      <c r="AE73" s="1" t="e" cm="1">
        <f t="array" ref="AE73">n_inv(AB73,$E$40,$E$9,$E$3,$E$16,$E$17,$E$6,$E$5)</f>
        <v>#VALUE!</v>
      </c>
      <c r="AF73" s="1" t="e" cm="1">
        <f t="array" ref="AF73">Q_oil(AB73,AD73,$E$3,$E$4,$E$17,AE73,$E$40,$E$44,$E$31,$E$36)</f>
        <v>#VALUE!</v>
      </c>
      <c r="AG73" s="4" t="e">
        <f t="shared" si="9"/>
        <v>#VALUE!</v>
      </c>
      <c r="AH73" s="1"/>
    </row>
    <row r="74" spans="27:34" x14ac:dyDescent="0.25">
      <c r="AA74" s="4">
        <f t="shared" si="6"/>
        <v>578.36913853079807</v>
      </c>
      <c r="AB74" s="1">
        <f t="shared" si="7"/>
        <v>9.6394856421799684</v>
      </c>
      <c r="AC74" s="1" t="e">
        <f t="shared" si="8"/>
        <v>#VALUE!</v>
      </c>
      <c r="AD74" s="1" t="e" cm="1">
        <f t="array" ref="AD74">N_ring(AB74,$E$9,$E$3,$E$16,$E$17,$E$6,$E$5)</f>
        <v>#VALUE!</v>
      </c>
      <c r="AE74" s="1" t="e" cm="1">
        <f t="array" ref="AE74">n_inv(AB74,$E$40,$E$9,$E$3,$E$16,$E$17,$E$6,$E$5)</f>
        <v>#VALUE!</v>
      </c>
      <c r="AF74" s="1" t="e" cm="1">
        <f t="array" ref="AF74">Q_oil(AB74,AD74,$E$3,$E$4,$E$17,AE74,$E$40,$E$44,$E$31,$E$36)</f>
        <v>#VALUE!</v>
      </c>
      <c r="AG74" s="4" t="e">
        <f t="shared" si="9"/>
        <v>#VALUE!</v>
      </c>
      <c r="AH74" s="1"/>
    </row>
    <row r="75" spans="27:34" x14ac:dyDescent="0.25">
      <c r="AA75" s="4">
        <f t="shared" si="6"/>
        <v>590.59273545191616</v>
      </c>
      <c r="AB75" s="1">
        <f t="shared" si="7"/>
        <v>9.8432122575319365</v>
      </c>
      <c r="AC75" s="1" t="e">
        <f t="shared" si="8"/>
        <v>#VALUE!</v>
      </c>
      <c r="AD75" s="1" t="e" cm="1">
        <f t="array" ref="AD75">N_ring(AB75,$E$9,$E$3,$E$16,$E$17,$E$6,$E$5)</f>
        <v>#VALUE!</v>
      </c>
      <c r="AE75" s="1" t="e" cm="1">
        <f t="array" ref="AE75">n_inv(AB75,$E$40,$E$9,$E$3,$E$16,$E$17,$E$6,$E$5)</f>
        <v>#VALUE!</v>
      </c>
      <c r="AF75" s="1" t="e" cm="1">
        <f t="array" ref="AF75">Q_oil(AB75,AD75,$E$3,$E$4,$E$17,AE75,$E$40,$E$44,$E$31,$E$36)</f>
        <v>#VALUE!</v>
      </c>
      <c r="AG75" s="4" t="e">
        <f t="shared" si="9"/>
        <v>#VALUE!</v>
      </c>
      <c r="AH75" s="1"/>
    </row>
    <row r="76" spans="27:34" x14ac:dyDescent="0.25">
      <c r="AA76" s="4">
        <f t="shared" si="6"/>
        <v>602.81633237303424</v>
      </c>
      <c r="AB76" s="1">
        <f t="shared" si="7"/>
        <v>10.046938872883905</v>
      </c>
      <c r="AC76" s="1" t="e">
        <f t="shared" si="8"/>
        <v>#VALUE!</v>
      </c>
      <c r="AD76" s="1" t="e" cm="1">
        <f t="array" ref="AD76">N_ring(AB76,$E$9,$E$3,$E$16,$E$17,$E$6,$E$5)</f>
        <v>#VALUE!</v>
      </c>
      <c r="AE76" s="1" t="e" cm="1">
        <f t="array" ref="AE76">n_inv(AB76,$E$40,$E$9,$E$3,$E$16,$E$17,$E$6,$E$5)</f>
        <v>#VALUE!</v>
      </c>
      <c r="AF76" s="1" t="e" cm="1">
        <f t="array" ref="AF76">Q_oil(AB76,AD76,$E$3,$E$4,$E$17,AE76,$E$40,$E$44,$E$31,$E$36)</f>
        <v>#VALUE!</v>
      </c>
      <c r="AG76" s="4" t="e">
        <f t="shared" si="9"/>
        <v>#VALUE!</v>
      </c>
      <c r="AH76" s="1"/>
    </row>
    <row r="77" spans="27:34" x14ac:dyDescent="0.25">
      <c r="AA77" s="4">
        <f t="shared" si="6"/>
        <v>615.03992929415233</v>
      </c>
      <c r="AB77" s="1">
        <f t="shared" si="7"/>
        <v>10.250665488235873</v>
      </c>
      <c r="AC77" s="1" t="e">
        <f t="shared" si="8"/>
        <v>#VALUE!</v>
      </c>
      <c r="AD77" s="1" t="e" cm="1">
        <f t="array" ref="AD77">N_ring(AB77,$E$9,$E$3,$E$16,$E$17,$E$6,$E$5)</f>
        <v>#VALUE!</v>
      </c>
      <c r="AE77" s="1" t="e" cm="1">
        <f t="array" ref="AE77">n_inv(AB77,$E$40,$E$9,$E$3,$E$16,$E$17,$E$6,$E$5)</f>
        <v>#VALUE!</v>
      </c>
      <c r="AF77" s="1" t="e" cm="1">
        <f t="array" ref="AF77">Q_oil(AB77,AD77,$E$3,$E$4,$E$17,AE77,$E$40,$E$44,$E$31,$E$36)</f>
        <v>#VALUE!</v>
      </c>
      <c r="AG77" s="4" t="e">
        <f t="shared" si="9"/>
        <v>#VALUE!</v>
      </c>
      <c r="AH77" s="1"/>
    </row>
    <row r="78" spans="27:34" x14ac:dyDescent="0.25">
      <c r="AA78" s="4">
        <f t="shared" si="6"/>
        <v>627.26352621527042</v>
      </c>
      <c r="AB78" s="1">
        <f t="shared" si="7"/>
        <v>10.454392103587841</v>
      </c>
      <c r="AC78" s="1" t="e">
        <f t="shared" si="8"/>
        <v>#VALUE!</v>
      </c>
      <c r="AD78" s="1" t="e" cm="1">
        <f t="array" ref="AD78">N_ring(AB78,$E$9,$E$3,$E$16,$E$17,$E$6,$E$5)</f>
        <v>#VALUE!</v>
      </c>
      <c r="AE78" s="1" t="e" cm="1">
        <f t="array" ref="AE78">n_inv(AB78,$E$40,$E$9,$E$3,$E$16,$E$17,$E$6,$E$5)</f>
        <v>#VALUE!</v>
      </c>
      <c r="AF78" s="1" t="e" cm="1">
        <f t="array" ref="AF78">Q_oil(AB78,AD78,$E$3,$E$4,$E$17,AE78,$E$40,$E$44,$E$31,$E$36)</f>
        <v>#VALUE!</v>
      </c>
      <c r="AG78" s="4" t="e">
        <f t="shared" si="9"/>
        <v>#VALUE!</v>
      </c>
      <c r="AH78" s="1"/>
    </row>
    <row r="79" spans="27:34" x14ac:dyDescent="0.25">
      <c r="AA79" s="4">
        <f t="shared" si="6"/>
        <v>639.4871231363885</v>
      </c>
      <c r="AB79" s="1">
        <f t="shared" si="7"/>
        <v>10.658118718939809</v>
      </c>
      <c r="AC79" s="1" t="e">
        <f t="shared" si="8"/>
        <v>#VALUE!</v>
      </c>
      <c r="AD79" s="1" t="e" cm="1">
        <f t="array" ref="AD79">N_ring(AB79,$E$9,$E$3,$E$16,$E$17,$E$6,$E$5)</f>
        <v>#VALUE!</v>
      </c>
      <c r="AE79" s="1" t="e" cm="1">
        <f t="array" ref="AE79">n_inv(AB79,$E$40,$E$9,$E$3,$E$16,$E$17,$E$6,$E$5)</f>
        <v>#VALUE!</v>
      </c>
      <c r="AF79" s="1" t="e" cm="1">
        <f t="array" ref="AF79">Q_oil(AB79,AD79,$E$3,$E$4,$E$17,AE79,$E$40,$E$44,$E$31,$E$36)</f>
        <v>#VALUE!</v>
      </c>
      <c r="AG79" s="4" t="e">
        <f t="shared" si="9"/>
        <v>#VALUE!</v>
      </c>
      <c r="AH79" s="1"/>
    </row>
    <row r="80" spans="27:34" x14ac:dyDescent="0.25">
      <c r="AA80" s="4">
        <f t="shared" si="6"/>
        <v>651.71072005750659</v>
      </c>
      <c r="AB80" s="1">
        <f t="shared" si="7"/>
        <v>10.861845334291777</v>
      </c>
      <c r="AC80" s="1" t="e">
        <f t="shared" si="8"/>
        <v>#VALUE!</v>
      </c>
      <c r="AD80" s="1" t="e" cm="1">
        <f t="array" ref="AD80">N_ring(AB80,$E$9,$E$3,$E$16,$E$17,$E$6,$E$5)</f>
        <v>#VALUE!</v>
      </c>
      <c r="AE80" s="1" t="e" cm="1">
        <f t="array" ref="AE80">n_inv(AB80,$E$40,$E$9,$E$3,$E$16,$E$17,$E$6,$E$5)</f>
        <v>#VALUE!</v>
      </c>
      <c r="AF80" s="1" t="e" cm="1">
        <f t="array" ref="AF80">Q_oil(AB80,AD80,$E$3,$E$4,$E$17,AE80,$E$40,$E$44,$E$31,$E$36)</f>
        <v>#VALUE!</v>
      </c>
      <c r="AG80" s="4" t="e">
        <f t="shared" si="9"/>
        <v>#VALUE!</v>
      </c>
      <c r="AH80" s="1"/>
    </row>
    <row r="81" spans="27:34" x14ac:dyDescent="0.25">
      <c r="AA81" s="4">
        <f t="shared" si="6"/>
        <v>663.93431697862468</v>
      </c>
      <c r="AB81" s="1">
        <f t="shared" si="7"/>
        <v>11.065571949643745</v>
      </c>
      <c r="AC81" s="1" t="e">
        <f t="shared" si="8"/>
        <v>#VALUE!</v>
      </c>
      <c r="AD81" s="1" t="e" cm="1">
        <f t="array" ref="AD81">N_ring(AB81,$E$9,$E$3,$E$16,$E$17,$E$6,$E$5)</f>
        <v>#VALUE!</v>
      </c>
      <c r="AE81" s="1" t="e" cm="1">
        <f t="array" ref="AE81">n_inv(AB81,$E$40,$E$9,$E$3,$E$16,$E$17,$E$6,$E$5)</f>
        <v>#VALUE!</v>
      </c>
      <c r="AF81" s="1" t="e" cm="1">
        <f t="array" ref="AF81">Q_oil(AB81,AD81,$E$3,$E$4,$E$17,AE81,$E$40,$E$44,$E$31,$E$36)</f>
        <v>#VALUE!</v>
      </c>
      <c r="AG81" s="4" t="e">
        <f t="shared" si="9"/>
        <v>#VALUE!</v>
      </c>
      <c r="AH81" s="1"/>
    </row>
    <row r="82" spans="27:34" x14ac:dyDescent="0.25">
      <c r="AA82" s="4">
        <f t="shared" si="6"/>
        <v>676.15791389974277</v>
      </c>
      <c r="AB82" s="1">
        <f t="shared" si="7"/>
        <v>11.269298564995713</v>
      </c>
      <c r="AC82" s="1" t="e">
        <f t="shared" si="8"/>
        <v>#VALUE!</v>
      </c>
      <c r="AD82" s="1" t="e" cm="1">
        <f t="array" ref="AD82">N_ring(AB82,$E$9,$E$3,$E$16,$E$17,$E$6,$E$5)</f>
        <v>#VALUE!</v>
      </c>
      <c r="AE82" s="1" t="e" cm="1">
        <f t="array" ref="AE82">n_inv(AB82,$E$40,$E$9,$E$3,$E$16,$E$17,$E$6,$E$5)</f>
        <v>#VALUE!</v>
      </c>
      <c r="AF82" s="1" t="e" cm="1">
        <f t="array" ref="AF82">Q_oil(AB82,AD82,$E$3,$E$4,$E$17,AE82,$E$40,$E$44,$E$31,$E$36)</f>
        <v>#VALUE!</v>
      </c>
      <c r="AG82" s="4" t="e">
        <f t="shared" si="9"/>
        <v>#VALUE!</v>
      </c>
      <c r="AH82" s="1"/>
    </row>
    <row r="83" spans="27:34" x14ac:dyDescent="0.25">
      <c r="AA83" s="4">
        <f t="shared" si="6"/>
        <v>688.38151082086085</v>
      </c>
      <c r="AB83" s="1">
        <f t="shared" si="7"/>
        <v>11.473025180347681</v>
      </c>
      <c r="AC83" s="1" t="e">
        <f t="shared" si="8"/>
        <v>#VALUE!</v>
      </c>
      <c r="AD83" s="1" t="e" cm="1">
        <f t="array" ref="AD83">N_ring(AB83,$E$9,$E$3,$E$16,$E$17,$E$6,$E$5)</f>
        <v>#VALUE!</v>
      </c>
      <c r="AE83" s="1" t="e" cm="1">
        <f t="array" ref="AE83">n_inv(AB83,$E$40,$E$9,$E$3,$E$16,$E$17,$E$6,$E$5)</f>
        <v>#VALUE!</v>
      </c>
      <c r="AF83" s="1" t="e" cm="1">
        <f t="array" ref="AF83">Q_oil(AB83,AD83,$E$3,$E$4,$E$17,AE83,$E$40,$E$44,$E$31,$E$36)</f>
        <v>#VALUE!</v>
      </c>
      <c r="AG83" s="4" t="e">
        <f t="shared" si="9"/>
        <v>#VALUE!</v>
      </c>
      <c r="AH83" s="1"/>
    </row>
    <row r="84" spans="27:34" x14ac:dyDescent="0.25">
      <c r="AA84" s="4">
        <f t="shared" si="6"/>
        <v>700.60510774197894</v>
      </c>
      <c r="AB84" s="1">
        <f t="shared" si="7"/>
        <v>11.67675179569965</v>
      </c>
      <c r="AC84" s="1" t="e">
        <f t="shared" si="8"/>
        <v>#VALUE!</v>
      </c>
      <c r="AD84" s="1" t="e" cm="1">
        <f t="array" ref="AD84">N_ring(AB84,$E$9,$E$3,$E$16,$E$17,$E$6,$E$5)</f>
        <v>#VALUE!</v>
      </c>
      <c r="AE84" s="1" t="e" cm="1">
        <f t="array" ref="AE84">n_inv(AB84,$E$40,$E$9,$E$3,$E$16,$E$17,$E$6,$E$5)</f>
        <v>#VALUE!</v>
      </c>
      <c r="AF84" s="1" t="e" cm="1">
        <f t="array" ref="AF84">Q_oil(AB84,AD84,$E$3,$E$4,$E$17,AE84,$E$40,$E$44,$E$31,$E$36)</f>
        <v>#VALUE!</v>
      </c>
      <c r="AG84" s="4" t="e">
        <f t="shared" si="9"/>
        <v>#VALUE!</v>
      </c>
      <c r="AH84" s="1"/>
    </row>
    <row r="85" spans="27:34" x14ac:dyDescent="0.25">
      <c r="AA85" s="4">
        <f t="shared" si="6"/>
        <v>712.82870466309703</v>
      </c>
      <c r="AB85" s="1">
        <f t="shared" si="7"/>
        <v>11.880478411051618</v>
      </c>
      <c r="AC85" s="1" t="e">
        <f t="shared" si="8"/>
        <v>#VALUE!</v>
      </c>
      <c r="AD85" s="1" t="e" cm="1">
        <f t="array" ref="AD85">N_ring(AB85,$E$9,$E$3,$E$16,$E$17,$E$6,$E$5)</f>
        <v>#VALUE!</v>
      </c>
      <c r="AE85" s="1" t="e" cm="1">
        <f t="array" ref="AE85">n_inv(AB85,$E$40,$E$9,$E$3,$E$16,$E$17,$E$6,$E$5)</f>
        <v>#VALUE!</v>
      </c>
      <c r="AF85" s="1" t="e" cm="1">
        <f t="array" ref="AF85">Q_oil(AB85,AD85,$E$3,$E$4,$E$17,AE85,$E$40,$E$44,$E$31,$E$36)</f>
        <v>#VALUE!</v>
      </c>
      <c r="AG85" s="4" t="e">
        <f t="shared" si="9"/>
        <v>#VALUE!</v>
      </c>
      <c r="AH85" s="1"/>
    </row>
    <row r="86" spans="27:34" x14ac:dyDescent="0.25">
      <c r="AA86" s="4">
        <f t="shared" ref="AA86:AA102" si="10">AA85+($C$36-$C$31)/50</f>
        <v>725.05230158421512</v>
      </c>
      <c r="AB86" s="1">
        <f t="shared" si="7"/>
        <v>12.084205026403586</v>
      </c>
      <c r="AC86" s="1" t="e">
        <f t="shared" si="8"/>
        <v>#VALUE!</v>
      </c>
      <c r="AD86" s="1" t="e" cm="1">
        <f t="array" ref="AD86">N_ring(AB86,$E$9,$E$3,$E$16,$E$17,$E$6,$E$5)</f>
        <v>#VALUE!</v>
      </c>
      <c r="AE86" s="1" t="e" cm="1">
        <f t="array" ref="AE86">n_inv(AB86,$E$40,$E$9,$E$3,$E$16,$E$17,$E$6,$E$5)</f>
        <v>#VALUE!</v>
      </c>
      <c r="AF86" s="1" t="e" cm="1">
        <f t="array" ref="AF86">Q_oil(AB86,AD86,$E$3,$E$4,$E$17,AE86,$E$40,$E$44,$E$31,$E$36)</f>
        <v>#VALUE!</v>
      </c>
      <c r="AG86" s="4" t="e">
        <f t="shared" si="9"/>
        <v>#VALUE!</v>
      </c>
      <c r="AH86" s="1"/>
    </row>
    <row r="87" spans="27:34" x14ac:dyDescent="0.25">
      <c r="AA87" s="4">
        <f t="shared" si="10"/>
        <v>737.2758985053332</v>
      </c>
      <c r="AB87" s="1">
        <f t="shared" si="7"/>
        <v>12.287931641755554</v>
      </c>
      <c r="AC87" s="1" t="e">
        <f t="shared" si="8"/>
        <v>#VALUE!</v>
      </c>
      <c r="AD87" s="1" t="e" cm="1">
        <f t="array" ref="AD87">N_ring(AB87,$E$9,$E$3,$E$16,$E$17,$E$6,$E$5)</f>
        <v>#VALUE!</v>
      </c>
      <c r="AE87" s="1" t="e" cm="1">
        <f t="array" ref="AE87">n_inv(AB87,$E$40,$E$9,$E$3,$E$16,$E$17,$E$6,$E$5)</f>
        <v>#VALUE!</v>
      </c>
      <c r="AF87" s="1" t="e" cm="1">
        <f t="array" ref="AF87">Q_oil(AB87,AD87,$E$3,$E$4,$E$17,AE87,$E$40,$E$44,$E$31,$E$36)</f>
        <v>#VALUE!</v>
      </c>
      <c r="AG87" s="4" t="e">
        <f t="shared" si="9"/>
        <v>#VALUE!</v>
      </c>
      <c r="AH87" s="1"/>
    </row>
    <row r="88" spans="27:34" x14ac:dyDescent="0.25">
      <c r="AA88" s="4">
        <f t="shared" si="10"/>
        <v>749.49949542645129</v>
      </c>
      <c r="AB88" s="1">
        <f t="shared" si="7"/>
        <v>12.491658257107522</v>
      </c>
      <c r="AC88" s="1" t="e">
        <f t="shared" si="8"/>
        <v>#VALUE!</v>
      </c>
      <c r="AD88" s="1" t="e" cm="1">
        <f t="array" ref="AD88">N_ring(AB88,$E$9,$E$3,$E$16,$E$17,$E$6,$E$5)</f>
        <v>#VALUE!</v>
      </c>
      <c r="AE88" s="1" t="e" cm="1">
        <f t="array" ref="AE88">n_inv(AB88,$E$40,$E$9,$E$3,$E$16,$E$17,$E$6,$E$5)</f>
        <v>#VALUE!</v>
      </c>
      <c r="AF88" s="1" t="e" cm="1">
        <f t="array" ref="AF88">Q_oil(AB88,AD88,$E$3,$E$4,$E$17,AE88,$E$40,$E$44,$E$31,$E$36)</f>
        <v>#VALUE!</v>
      </c>
      <c r="AG88" s="4" t="e">
        <f t="shared" si="9"/>
        <v>#VALUE!</v>
      </c>
      <c r="AH88" s="1"/>
    </row>
    <row r="89" spans="27:34" x14ac:dyDescent="0.25">
      <c r="AA89" s="4">
        <f t="shared" si="10"/>
        <v>761.72309234756938</v>
      </c>
      <c r="AB89" s="1">
        <f t="shared" si="7"/>
        <v>12.69538487245949</v>
      </c>
      <c r="AC89" s="1" t="e">
        <f t="shared" si="8"/>
        <v>#VALUE!</v>
      </c>
      <c r="AD89" s="1" t="e" cm="1">
        <f t="array" ref="AD89">N_ring(AB89,$E$9,$E$3,$E$16,$E$17,$E$6,$E$5)</f>
        <v>#VALUE!</v>
      </c>
      <c r="AE89" s="1" t="e" cm="1">
        <f t="array" ref="AE89">n_inv(AB89,$E$40,$E$9,$E$3,$E$16,$E$17,$E$6,$E$5)</f>
        <v>#VALUE!</v>
      </c>
      <c r="AF89" s="1" t="e" cm="1">
        <f t="array" ref="AF89">Q_oil(AB89,AD89,$E$3,$E$4,$E$17,AE89,$E$40,$E$44,$E$31,$E$36)</f>
        <v>#VALUE!</v>
      </c>
      <c r="AG89" s="4" t="e">
        <f t="shared" si="9"/>
        <v>#VALUE!</v>
      </c>
      <c r="AH89" s="1"/>
    </row>
    <row r="90" spans="27:34" x14ac:dyDescent="0.25">
      <c r="AA90" s="4">
        <f t="shared" si="10"/>
        <v>773.94668926868746</v>
      </c>
      <c r="AB90" s="1">
        <f t="shared" si="7"/>
        <v>12.899111487811458</v>
      </c>
      <c r="AC90" s="1" t="e">
        <f t="shared" si="8"/>
        <v>#VALUE!</v>
      </c>
      <c r="AD90" s="1" t="e" cm="1">
        <f t="array" ref="AD90">N_ring(AB90,$E$9,$E$3,$E$16,$E$17,$E$6,$E$5)</f>
        <v>#VALUE!</v>
      </c>
      <c r="AE90" s="1" t="e" cm="1">
        <f t="array" ref="AE90">n_inv(AB90,$E$40,$E$9,$E$3,$E$16,$E$17,$E$6,$E$5)</f>
        <v>#VALUE!</v>
      </c>
      <c r="AF90" s="1" t="e" cm="1">
        <f t="array" ref="AF90">Q_oil(AB90,AD90,$E$3,$E$4,$E$17,AE90,$E$40,$E$44,$E$31,$E$36)</f>
        <v>#VALUE!</v>
      </c>
      <c r="AG90" s="4" t="e">
        <f t="shared" si="9"/>
        <v>#VALUE!</v>
      </c>
      <c r="AH90" s="1"/>
    </row>
    <row r="91" spans="27:34" x14ac:dyDescent="0.25">
      <c r="AA91" s="4">
        <f t="shared" si="10"/>
        <v>786.17028618980555</v>
      </c>
      <c r="AB91" s="1">
        <f t="shared" si="7"/>
        <v>13.102838103163426</v>
      </c>
      <c r="AC91" s="1" t="e">
        <f t="shared" si="8"/>
        <v>#VALUE!</v>
      </c>
      <c r="AD91" s="1" t="e" cm="1">
        <f t="array" ref="AD91">N_ring(AB91,$E$9,$E$3,$E$16,$E$17,$E$6,$E$5)</f>
        <v>#VALUE!</v>
      </c>
      <c r="AE91" s="1" t="e" cm="1">
        <f t="array" ref="AE91">n_inv(AB91,$E$40,$E$9,$E$3,$E$16,$E$17,$E$6,$E$5)</f>
        <v>#VALUE!</v>
      </c>
      <c r="AF91" s="1" t="e" cm="1">
        <f t="array" ref="AF91">Q_oil(AB91,AD91,$E$3,$E$4,$E$17,AE91,$E$40,$E$44,$E$31,$E$36)</f>
        <v>#VALUE!</v>
      </c>
      <c r="AG91" s="4" t="e">
        <f t="shared" si="9"/>
        <v>#VALUE!</v>
      </c>
      <c r="AH91" s="1"/>
    </row>
    <row r="92" spans="27:34" x14ac:dyDescent="0.25">
      <c r="AA92" s="4">
        <f t="shared" si="10"/>
        <v>798.39388311092364</v>
      </c>
      <c r="AB92" s="1">
        <f t="shared" si="7"/>
        <v>13.306564718515395</v>
      </c>
      <c r="AC92" s="1" t="e">
        <f t="shared" si="8"/>
        <v>#VALUE!</v>
      </c>
      <c r="AD92" s="1" t="e" cm="1">
        <f t="array" ref="AD92">N_ring(AB92,$E$9,$E$3,$E$16,$E$17,$E$6,$E$5)</f>
        <v>#VALUE!</v>
      </c>
      <c r="AE92" s="1" t="e" cm="1">
        <f t="array" ref="AE92">n_inv(AB92,$E$40,$E$9,$E$3,$E$16,$E$17,$E$6,$E$5)</f>
        <v>#VALUE!</v>
      </c>
      <c r="AF92" s="1" t="e" cm="1">
        <f t="array" ref="AF92">Q_oil(AB92,AD92,$E$3,$E$4,$E$17,AE92,$E$40,$E$44,$E$31,$E$36)</f>
        <v>#VALUE!</v>
      </c>
      <c r="AG92" s="4" t="e">
        <f t="shared" si="9"/>
        <v>#VALUE!</v>
      </c>
      <c r="AH92" s="1"/>
    </row>
    <row r="93" spans="27:34" x14ac:dyDescent="0.25">
      <c r="AA93" s="4">
        <f t="shared" si="10"/>
        <v>810.61748003204173</v>
      </c>
      <c r="AB93" s="1">
        <f t="shared" si="7"/>
        <v>13.510291333867363</v>
      </c>
      <c r="AC93" s="1" t="e">
        <f t="shared" si="8"/>
        <v>#VALUE!</v>
      </c>
      <c r="AD93" s="1" t="e" cm="1">
        <f t="array" ref="AD93">N_ring(AB93,$E$9,$E$3,$E$16,$E$17,$E$6,$E$5)</f>
        <v>#VALUE!</v>
      </c>
      <c r="AE93" s="1" t="e" cm="1">
        <f t="array" ref="AE93">n_inv(AB93,$E$40,$E$9,$E$3,$E$16,$E$17,$E$6,$E$5)</f>
        <v>#VALUE!</v>
      </c>
      <c r="AF93" s="1" t="e" cm="1">
        <f t="array" ref="AF93">Q_oil(AB93,AD93,$E$3,$E$4,$E$17,AE93,$E$40,$E$44,$E$31,$E$36)</f>
        <v>#VALUE!</v>
      </c>
      <c r="AG93" s="4" t="e">
        <f t="shared" si="9"/>
        <v>#VALUE!</v>
      </c>
      <c r="AH93" s="1"/>
    </row>
    <row r="94" spans="27:34" x14ac:dyDescent="0.25">
      <c r="AA94" s="4">
        <f t="shared" si="10"/>
        <v>822.84107695315981</v>
      </c>
      <c r="AB94" s="1">
        <f t="shared" si="7"/>
        <v>13.714017949219331</v>
      </c>
      <c r="AC94" s="1" t="e">
        <f t="shared" si="8"/>
        <v>#VALUE!</v>
      </c>
      <c r="AD94" s="1" t="e" cm="1">
        <f t="array" ref="AD94">N_ring(AB94,$E$9,$E$3,$E$16,$E$17,$E$6,$E$5)</f>
        <v>#VALUE!</v>
      </c>
      <c r="AE94" s="1" t="e" cm="1">
        <f t="array" ref="AE94">n_inv(AB94,$E$40,$E$9,$E$3,$E$16,$E$17,$E$6,$E$5)</f>
        <v>#VALUE!</v>
      </c>
      <c r="AF94" s="1" t="e" cm="1">
        <f t="array" ref="AF94">Q_oil(AB94,AD94,$E$3,$E$4,$E$17,AE94,$E$40,$E$44,$E$31,$E$36)</f>
        <v>#VALUE!</v>
      </c>
      <c r="AG94" s="4" t="e">
        <f t="shared" si="9"/>
        <v>#VALUE!</v>
      </c>
      <c r="AH94" s="1"/>
    </row>
    <row r="95" spans="27:34" x14ac:dyDescent="0.25">
      <c r="AA95" s="4">
        <f t="shared" si="10"/>
        <v>835.0646738742779</v>
      </c>
      <c r="AB95" s="1">
        <f t="shared" si="7"/>
        <v>13.917744564571299</v>
      </c>
      <c r="AC95" s="1" t="e">
        <f t="shared" si="8"/>
        <v>#VALUE!</v>
      </c>
      <c r="AD95" s="1" t="e" cm="1">
        <f t="array" ref="AD95">N_ring(AB95,$E$9,$E$3,$E$16,$E$17,$E$6,$E$5)</f>
        <v>#VALUE!</v>
      </c>
      <c r="AE95" s="1" t="e" cm="1">
        <f t="array" ref="AE95">n_inv(AB95,$E$40,$E$9,$E$3,$E$16,$E$17,$E$6,$E$5)</f>
        <v>#VALUE!</v>
      </c>
      <c r="AF95" s="1" t="e" cm="1">
        <f t="array" ref="AF95">Q_oil(AB95,AD95,$E$3,$E$4,$E$17,AE95,$E$40,$E$44,$E$31,$E$36)</f>
        <v>#VALUE!</v>
      </c>
      <c r="AG95" s="4" t="e">
        <f t="shared" si="9"/>
        <v>#VALUE!</v>
      </c>
      <c r="AH95" s="1"/>
    </row>
    <row r="96" spans="27:34" x14ac:dyDescent="0.25">
      <c r="AA96" s="4">
        <f t="shared" si="10"/>
        <v>847.28827079539599</v>
      </c>
      <c r="AB96" s="1">
        <f t="shared" si="7"/>
        <v>14.121471179923267</v>
      </c>
      <c r="AC96" s="1" t="e">
        <f t="shared" si="8"/>
        <v>#VALUE!</v>
      </c>
      <c r="AD96" s="1" t="e" cm="1">
        <f t="array" ref="AD96">N_ring(AB96,$E$9,$E$3,$E$16,$E$17,$E$6,$E$5)</f>
        <v>#VALUE!</v>
      </c>
      <c r="AE96" s="1" t="e" cm="1">
        <f t="array" ref="AE96">n_inv(AB96,$E$40,$E$9,$E$3,$E$16,$E$17,$E$6,$E$5)</f>
        <v>#VALUE!</v>
      </c>
      <c r="AF96" s="1" t="e" cm="1">
        <f t="array" ref="AF96">Q_oil(AB96,AD96,$E$3,$E$4,$E$17,AE96,$E$40,$E$44,$E$31,$E$36)</f>
        <v>#VALUE!</v>
      </c>
      <c r="AG96" s="4" t="e">
        <f t="shared" si="9"/>
        <v>#VALUE!</v>
      </c>
      <c r="AH96" s="1"/>
    </row>
    <row r="97" spans="27:34" x14ac:dyDescent="0.25">
      <c r="AA97" s="4">
        <f t="shared" si="10"/>
        <v>859.51186771651408</v>
      </c>
      <c r="AB97" s="1">
        <f t="shared" si="7"/>
        <v>14.325197795275235</v>
      </c>
      <c r="AC97" s="1" t="e">
        <f t="shared" si="8"/>
        <v>#VALUE!</v>
      </c>
      <c r="AD97" s="1" t="e" cm="1">
        <f t="array" ref="AD97">N_ring(AB97,$E$9,$E$3,$E$16,$E$17,$E$6,$E$5)</f>
        <v>#VALUE!</v>
      </c>
      <c r="AE97" s="1" t="e" cm="1">
        <f t="array" ref="AE97">n_inv(AB97,$E$40,$E$9,$E$3,$E$16,$E$17,$E$6,$E$5)</f>
        <v>#VALUE!</v>
      </c>
      <c r="AF97" s="1" t="e" cm="1">
        <f t="array" ref="AF97">Q_oil(AB97,AD97,$E$3,$E$4,$E$17,AE97,$E$40,$E$44,$E$31,$E$36)</f>
        <v>#VALUE!</v>
      </c>
      <c r="AG97" s="4" t="e">
        <f t="shared" si="9"/>
        <v>#VALUE!</v>
      </c>
      <c r="AH97" s="1"/>
    </row>
    <row r="98" spans="27:34" x14ac:dyDescent="0.25">
      <c r="AA98" s="4">
        <f t="shared" si="10"/>
        <v>871.73546463763216</v>
      </c>
      <c r="AB98" s="1">
        <f t="shared" si="7"/>
        <v>14.528924410627203</v>
      </c>
      <c r="AC98" s="1" t="e">
        <f t="shared" si="8"/>
        <v>#VALUE!</v>
      </c>
      <c r="AD98" s="1" t="e" cm="1">
        <f t="array" ref="AD98">N_ring(AB98,$E$9,$E$3,$E$16,$E$17,$E$6,$E$5)</f>
        <v>#VALUE!</v>
      </c>
      <c r="AE98" s="1" t="e" cm="1">
        <f t="array" ref="AE98">n_inv(AB98,$E$40,$E$9,$E$3,$E$16,$E$17,$E$6,$E$5)</f>
        <v>#VALUE!</v>
      </c>
      <c r="AF98" s="1" t="e" cm="1">
        <f t="array" ref="AF98">Q_oil(AB98,AD98,$E$3,$E$4,$E$17,AE98,$E$40,$E$44,$E$31,$E$36)</f>
        <v>#VALUE!</v>
      </c>
      <c r="AG98" s="4" t="e">
        <f t="shared" si="9"/>
        <v>#VALUE!</v>
      </c>
      <c r="AH98" s="1"/>
    </row>
    <row r="99" spans="27:34" x14ac:dyDescent="0.25">
      <c r="AA99" s="4">
        <f t="shared" si="10"/>
        <v>883.95906155875025</v>
      </c>
      <c r="AB99" s="1">
        <f t="shared" si="7"/>
        <v>14.732651025979171</v>
      </c>
      <c r="AC99" s="1" t="e">
        <f t="shared" si="8"/>
        <v>#VALUE!</v>
      </c>
      <c r="AD99" s="1" t="e" cm="1">
        <f t="array" ref="AD99">N_ring(AB99,$E$9,$E$3,$E$16,$E$17,$E$6,$E$5)</f>
        <v>#VALUE!</v>
      </c>
      <c r="AE99" s="1" t="e" cm="1">
        <f t="array" ref="AE99">n_inv(AB99,$E$40,$E$9,$E$3,$E$16,$E$17,$E$6,$E$5)</f>
        <v>#VALUE!</v>
      </c>
      <c r="AF99" s="1" t="e" cm="1">
        <f t="array" ref="AF99">Q_oil(AB99,AD99,$E$3,$E$4,$E$17,AE99,$E$40,$E$44,$E$31,$E$36)</f>
        <v>#VALUE!</v>
      </c>
      <c r="AG99" s="4" t="e">
        <f t="shared" si="9"/>
        <v>#VALUE!</v>
      </c>
      <c r="AH99" s="1"/>
    </row>
    <row r="100" spans="27:34" x14ac:dyDescent="0.25">
      <c r="AA100" s="4">
        <f t="shared" si="10"/>
        <v>896.18265847986834</v>
      </c>
      <c r="AB100" s="1">
        <f t="shared" si="7"/>
        <v>14.93637764133114</v>
      </c>
      <c r="AC100" s="1" t="e">
        <f t="shared" si="8"/>
        <v>#VALUE!</v>
      </c>
      <c r="AD100" s="1" t="e" cm="1">
        <f t="array" ref="AD100">N_ring(AB100,$E$9,$E$3,$E$16,$E$17,$E$6,$E$5)</f>
        <v>#VALUE!</v>
      </c>
      <c r="AE100" s="1" t="e" cm="1">
        <f t="array" ref="AE100">n_inv(AB100,$E$40,$E$9,$E$3,$E$16,$E$17,$E$6,$E$5)</f>
        <v>#VALUE!</v>
      </c>
      <c r="AF100" s="1" t="e" cm="1">
        <f t="array" ref="AF100">Q_oil(AB100,AD100,$E$3,$E$4,$E$17,AE100,$E$40,$E$44,$E$31,$E$36)</f>
        <v>#VALUE!</v>
      </c>
      <c r="AG100" s="4" t="e">
        <f t="shared" si="9"/>
        <v>#VALUE!</v>
      </c>
      <c r="AH100" s="1"/>
    </row>
    <row r="101" spans="27:34" x14ac:dyDescent="0.25">
      <c r="AA101" s="4">
        <f t="shared" si="10"/>
        <v>908.40625540098642</v>
      </c>
      <c r="AB101" s="1">
        <f t="shared" si="7"/>
        <v>15.140104256683108</v>
      </c>
      <c r="AC101" s="1" t="e">
        <f t="shared" si="8"/>
        <v>#VALUE!</v>
      </c>
      <c r="AD101" s="1" t="e" cm="1">
        <f t="array" ref="AD101">N_ring(AB101,$E$9,$E$3,$E$16,$E$17,$E$6,$E$5)</f>
        <v>#VALUE!</v>
      </c>
      <c r="AE101" s="1" t="e" cm="1">
        <f t="array" ref="AE101">n_inv(AB101,$E$40,$E$9,$E$3,$E$16,$E$17,$E$6,$E$5)</f>
        <v>#VALUE!</v>
      </c>
      <c r="AF101" s="1" t="e" cm="1">
        <f t="array" ref="AF101">Q_oil(AB101,AD101,$E$3,$E$4,$E$17,AE101,$E$40,$E$44,$E$31,$E$36)</f>
        <v>#VALUE!</v>
      </c>
      <c r="AG101" s="4" t="e">
        <f t="shared" si="9"/>
        <v>#VALUE!</v>
      </c>
      <c r="AH101" s="1"/>
    </row>
    <row r="102" spans="27:34" x14ac:dyDescent="0.25">
      <c r="AA102" s="4">
        <f t="shared" si="10"/>
        <v>920.62985232210451</v>
      </c>
      <c r="AB102" s="1">
        <f t="shared" si="7"/>
        <v>15.343830872035076</v>
      </c>
      <c r="AC102" s="1" t="e">
        <f t="shared" si="8"/>
        <v>#VALUE!</v>
      </c>
      <c r="AD102" s="1" t="e" cm="1">
        <f t="array" ref="AD102">N_ring(AB102,$E$9,$E$3,$E$16,$E$17,$E$6,$E$5)</f>
        <v>#VALUE!</v>
      </c>
      <c r="AE102" s="1" t="e" cm="1">
        <f t="array" ref="AE102">n_inv(AB102,$E$40,$E$9,$E$3,$E$16,$E$17,$E$6,$E$5)</f>
        <v>#VALUE!</v>
      </c>
      <c r="AF102" s="1" t="e" cm="1">
        <f t="array" ref="AF102">Q_oil(AB102,AD102,$E$3,$E$4,$E$17,AE102,$E$40,$E$44,$E$31,$E$36)</f>
        <v>#VALUE!</v>
      </c>
      <c r="AG102" s="4" t="e">
        <f t="shared" si="9"/>
        <v>#VALUE!</v>
      </c>
      <c r="AH102" s="1"/>
    </row>
    <row r="103" spans="27:34" x14ac:dyDescent="0.25">
      <c r="AA103" s="63">
        <f>60*AB103</f>
        <v>932.85344924322283</v>
      </c>
      <c r="AB103" s="64">
        <f>E36</f>
        <v>15.547557487387047</v>
      </c>
      <c r="AC103" s="1" t="e">
        <f t="shared" si="8"/>
        <v>#VALUE!</v>
      </c>
      <c r="AD103" s="1" t="e" cm="1">
        <f t="array" ref="AD103">N_ring(AB103,$E$9,$E$3,$E$16,$E$17,$E$6,$E$5)</f>
        <v>#VALUE!</v>
      </c>
      <c r="AE103" s="1" t="e" cm="1">
        <f t="array" ref="AE103">n_inv(AB103,$E$40,$E$9,$E$3,$E$16,$E$17,$E$6,$E$5)</f>
        <v>#VALUE!</v>
      </c>
      <c r="AF103" s="1" t="e" cm="1">
        <f t="array" ref="AF103">Q_oil(AB103,AD103,$E$3,$E$4,$E$17,AE103,$E$40,$E$44,$E$31,$E$36)</f>
        <v>#VALUE!</v>
      </c>
      <c r="AG103" s="4" t="e">
        <f t="shared" si="9"/>
        <v>#VALUE!</v>
      </c>
      <c r="AH103" s="1"/>
    </row>
    <row r="104" spans="27:34" x14ac:dyDescent="0.25">
      <c r="AA104" s="4">
        <f t="shared" ref="AA104:AA135" si="11">AA103+(6000-$C$36)/100</f>
        <v>983.52491475079057</v>
      </c>
      <c r="AB104" s="1">
        <f t="shared" si="7"/>
        <v>16.392081912513177</v>
      </c>
      <c r="AC104" s="1" t="e">
        <f t="shared" si="8"/>
        <v>#VALUE!</v>
      </c>
      <c r="AD104" s="1" t="e" cm="1">
        <f t="array" ref="AD104">N_ring(AB104,$E$9,$E$3,$E$16,$E$17,$E$6,$E$5)</f>
        <v>#VALUE!</v>
      </c>
      <c r="AE104" s="1" t="e" cm="1">
        <f t="array" ref="AE104">n_inv(AB104,$E$40,$E$9,$E$3,$E$16,$E$17,$E$6,$E$5)</f>
        <v>#VALUE!</v>
      </c>
      <c r="AF104" s="1" t="e" cm="1">
        <f t="array" ref="AF104">Q_oil(AB104,AD104,$E$3,$E$4,$E$17,AE104,$E$40,$E$44,$E$31,$E$36)</f>
        <v>#VALUE!</v>
      </c>
      <c r="AG104" s="4" t="e">
        <f t="shared" si="9"/>
        <v>#VALUE!</v>
      </c>
      <c r="AH104" s="1"/>
    </row>
    <row r="105" spans="27:34" x14ac:dyDescent="0.25">
      <c r="AA105" s="4">
        <f t="shared" si="11"/>
        <v>1034.1963802583584</v>
      </c>
      <c r="AB105" s="1">
        <f t="shared" si="7"/>
        <v>17.236606337639309</v>
      </c>
      <c r="AC105" s="1" t="e">
        <f t="shared" si="8"/>
        <v>#VALUE!</v>
      </c>
      <c r="AD105" s="1" t="e" cm="1">
        <f t="array" ref="AD105">N_ring(AB105,$E$9,$E$3,$E$16,$E$17,$E$6,$E$5)</f>
        <v>#VALUE!</v>
      </c>
      <c r="AE105" s="1" t="e" cm="1">
        <f t="array" ref="AE105">n_inv(AB105,$E$40,$E$9,$E$3,$E$16,$E$17,$E$6,$E$5)</f>
        <v>#VALUE!</v>
      </c>
      <c r="AF105" s="1" t="e" cm="1">
        <f t="array" ref="AF105">Q_oil(AB105,AD105,$E$3,$E$4,$E$17,AE105,$E$40,$E$44,$E$31,$E$36)</f>
        <v>#VALUE!</v>
      </c>
      <c r="AG105" s="4" t="e">
        <f t="shared" si="9"/>
        <v>#VALUE!</v>
      </c>
      <c r="AH105" s="1"/>
    </row>
    <row r="106" spans="27:34" x14ac:dyDescent="0.25">
      <c r="AA106" s="4">
        <f t="shared" si="11"/>
        <v>1084.8678457659262</v>
      </c>
      <c r="AB106" s="1">
        <f t="shared" si="7"/>
        <v>18.081130762765437</v>
      </c>
      <c r="AC106" s="1" t="e">
        <f t="shared" si="8"/>
        <v>#VALUE!</v>
      </c>
      <c r="AD106" s="1" t="e" cm="1">
        <f t="array" ref="AD106">N_ring(AB106,$E$9,$E$3,$E$16,$E$17,$E$6,$E$5)</f>
        <v>#VALUE!</v>
      </c>
      <c r="AE106" s="1" t="e" cm="1">
        <f t="array" ref="AE106">n_inv(AB106,$E$40,$E$9,$E$3,$E$16,$E$17,$E$6,$E$5)</f>
        <v>#VALUE!</v>
      </c>
      <c r="AF106" s="1" t="e" cm="1">
        <f t="array" ref="AF106">Q_oil(AB106,AD106,$E$3,$E$4,$E$17,AE106,$E$40,$E$44,$E$31,$E$36)</f>
        <v>#VALUE!</v>
      </c>
      <c r="AG106" s="4" t="e">
        <f t="shared" si="9"/>
        <v>#VALUE!</v>
      </c>
      <c r="AH106" s="1"/>
    </row>
    <row r="107" spans="27:34" x14ac:dyDescent="0.25">
      <c r="AA107" s="4">
        <f t="shared" si="11"/>
        <v>1135.5393112734939</v>
      </c>
      <c r="AB107" s="1">
        <f t="shared" si="7"/>
        <v>18.925655187891564</v>
      </c>
      <c r="AC107" s="1" t="e">
        <f t="shared" si="8"/>
        <v>#VALUE!</v>
      </c>
      <c r="AD107" s="1" t="e" cm="1">
        <f t="array" ref="AD107">N_ring(AB107,$E$9,$E$3,$E$16,$E$17,$E$6,$E$5)</f>
        <v>#VALUE!</v>
      </c>
      <c r="AE107" s="1" t="e" cm="1">
        <f t="array" ref="AE107">n_inv(AB107,$E$40,$E$9,$E$3,$E$16,$E$17,$E$6,$E$5)</f>
        <v>#VALUE!</v>
      </c>
      <c r="AF107" s="1" t="e" cm="1">
        <f t="array" ref="AF107">Q_oil(AB107,AD107,$E$3,$E$4,$E$17,AE107,$E$40,$E$44,$E$31,$E$36)</f>
        <v>#VALUE!</v>
      </c>
      <c r="AG107" s="4" t="e">
        <f t="shared" si="9"/>
        <v>#VALUE!</v>
      </c>
      <c r="AH107" s="1"/>
    </row>
    <row r="108" spans="27:34" x14ac:dyDescent="0.25">
      <c r="AA108" s="4">
        <f t="shared" si="11"/>
        <v>1186.2107767810617</v>
      </c>
      <c r="AB108" s="1">
        <f t="shared" si="7"/>
        <v>19.770179613017696</v>
      </c>
      <c r="AC108" s="1" t="e">
        <f t="shared" si="8"/>
        <v>#VALUE!</v>
      </c>
      <c r="AD108" s="1" t="e" cm="1">
        <f t="array" ref="AD108">N_ring(AB108,$E$9,$E$3,$E$16,$E$17,$E$6,$E$5)</f>
        <v>#VALUE!</v>
      </c>
      <c r="AE108" s="1" t="e" cm="1">
        <f t="array" ref="AE108">n_inv(AB108,$E$40,$E$9,$E$3,$E$16,$E$17,$E$6,$E$5)</f>
        <v>#VALUE!</v>
      </c>
      <c r="AF108" s="1" t="e" cm="1">
        <f t="array" ref="AF108">Q_oil(AB108,AD108,$E$3,$E$4,$E$17,AE108,$E$40,$E$44,$E$31,$E$36)</f>
        <v>#VALUE!</v>
      </c>
      <c r="AG108" s="4" t="e">
        <f t="shared" si="9"/>
        <v>#VALUE!</v>
      </c>
      <c r="AH108" s="1"/>
    </row>
    <row r="109" spans="27:34" x14ac:dyDescent="0.25">
      <c r="AA109" s="4">
        <f t="shared" si="11"/>
        <v>1236.8822422886294</v>
      </c>
      <c r="AB109" s="1">
        <f t="shared" si="7"/>
        <v>20.614704038143824</v>
      </c>
      <c r="AC109" s="1" t="e">
        <f t="shared" si="8"/>
        <v>#VALUE!</v>
      </c>
      <c r="AD109" s="1" t="e" cm="1">
        <f t="array" ref="AD109">N_ring(AB109,$E$9,$E$3,$E$16,$E$17,$E$6,$E$5)</f>
        <v>#VALUE!</v>
      </c>
      <c r="AE109" s="1" t="e" cm="1">
        <f t="array" ref="AE109">n_inv(AB109,$E$40,$E$9,$E$3,$E$16,$E$17,$E$6,$E$5)</f>
        <v>#VALUE!</v>
      </c>
      <c r="AF109" s="1" t="e" cm="1">
        <f t="array" ref="AF109">Q_oil(AB109,AD109,$E$3,$E$4,$E$17,AE109,$E$40,$E$44,$E$31,$E$36)</f>
        <v>#VALUE!</v>
      </c>
      <c r="AG109" s="4" t="e">
        <f t="shared" si="9"/>
        <v>#VALUE!</v>
      </c>
      <c r="AH109" s="1"/>
    </row>
    <row r="110" spans="27:34" x14ac:dyDescent="0.25">
      <c r="AA110" s="4">
        <f t="shared" si="11"/>
        <v>1287.5537077961972</v>
      </c>
      <c r="AB110" s="1">
        <f t="shared" si="7"/>
        <v>21.459228463269952</v>
      </c>
      <c r="AC110" s="1" t="e">
        <f t="shared" si="8"/>
        <v>#VALUE!</v>
      </c>
      <c r="AD110" s="1" t="e" cm="1">
        <f t="array" ref="AD110">N_ring(AB110,$E$9,$E$3,$E$16,$E$17,$E$6,$E$5)</f>
        <v>#VALUE!</v>
      </c>
      <c r="AE110" s="1" t="e" cm="1">
        <f t="array" ref="AE110">n_inv(AB110,$E$40,$E$9,$E$3,$E$16,$E$17,$E$6,$E$5)</f>
        <v>#VALUE!</v>
      </c>
      <c r="AF110" s="1" t="e" cm="1">
        <f t="array" ref="AF110">Q_oil(AB110,AD110,$E$3,$E$4,$E$17,AE110,$E$40,$E$44,$E$31,$E$36)</f>
        <v>#VALUE!</v>
      </c>
      <c r="AG110" s="4" t="e">
        <f t="shared" si="9"/>
        <v>#VALUE!</v>
      </c>
      <c r="AH110" s="1"/>
    </row>
    <row r="111" spans="27:34" x14ac:dyDescent="0.25">
      <c r="AA111" s="4">
        <f t="shared" si="11"/>
        <v>1338.2251733037649</v>
      </c>
      <c r="AB111" s="1">
        <f t="shared" si="7"/>
        <v>22.303752888396083</v>
      </c>
      <c r="AC111" s="1" t="e">
        <f t="shared" si="8"/>
        <v>#VALUE!</v>
      </c>
      <c r="AD111" s="1" t="e" cm="1">
        <f t="array" ref="AD111">N_ring(AB111,$E$9,$E$3,$E$16,$E$17,$E$6,$E$5)</f>
        <v>#VALUE!</v>
      </c>
      <c r="AE111" s="1" t="e" cm="1">
        <f t="array" ref="AE111">n_inv(AB111,$E$40,$E$9,$E$3,$E$16,$E$17,$E$6,$E$5)</f>
        <v>#VALUE!</v>
      </c>
      <c r="AF111" s="1" t="e" cm="1">
        <f t="array" ref="AF111">Q_oil(AB111,AD111,$E$3,$E$4,$E$17,AE111,$E$40,$E$44,$E$31,$E$36)</f>
        <v>#VALUE!</v>
      </c>
      <c r="AG111" s="4" t="e">
        <f t="shared" si="9"/>
        <v>#VALUE!</v>
      </c>
      <c r="AH111" s="1"/>
    </row>
    <row r="112" spans="27:34" x14ac:dyDescent="0.25">
      <c r="AA112" s="4">
        <f t="shared" si="11"/>
        <v>1388.8966388113327</v>
      </c>
      <c r="AB112" s="1">
        <f t="shared" si="7"/>
        <v>23.148277313522211</v>
      </c>
      <c r="AC112" s="1" t="e">
        <f t="shared" si="8"/>
        <v>#VALUE!</v>
      </c>
      <c r="AD112" s="1" t="e" cm="1">
        <f t="array" ref="AD112">N_ring(AB112,$E$9,$E$3,$E$16,$E$17,$E$6,$E$5)</f>
        <v>#VALUE!</v>
      </c>
      <c r="AE112" s="1" t="e" cm="1">
        <f t="array" ref="AE112">n_inv(AB112,$E$40,$E$9,$E$3,$E$16,$E$17,$E$6,$E$5)</f>
        <v>#VALUE!</v>
      </c>
      <c r="AF112" s="1" t="e" cm="1">
        <f t="array" ref="AF112">Q_oil(AB112,AD112,$E$3,$E$4,$E$17,AE112,$E$40,$E$44,$E$31,$E$36)</f>
        <v>#VALUE!</v>
      </c>
      <c r="AG112" s="4" t="e">
        <f t="shared" si="9"/>
        <v>#VALUE!</v>
      </c>
      <c r="AH112" s="1"/>
    </row>
    <row r="113" spans="27:34" x14ac:dyDescent="0.25">
      <c r="AA113" s="4">
        <f t="shared" si="11"/>
        <v>1439.5681043189004</v>
      </c>
      <c r="AB113" s="1">
        <f t="shared" si="7"/>
        <v>23.992801738648339</v>
      </c>
      <c r="AC113" s="1" t="e">
        <f t="shared" si="8"/>
        <v>#VALUE!</v>
      </c>
      <c r="AD113" s="1" t="e" cm="1">
        <f t="array" ref="AD113">N_ring(AB113,$E$9,$E$3,$E$16,$E$17,$E$6,$E$5)</f>
        <v>#VALUE!</v>
      </c>
      <c r="AE113" s="1" t="e" cm="1">
        <f t="array" ref="AE113">n_inv(AB113,$E$40,$E$9,$E$3,$E$16,$E$17,$E$6,$E$5)</f>
        <v>#VALUE!</v>
      </c>
      <c r="AF113" s="1" t="e" cm="1">
        <f t="array" ref="AF113">Q_oil(AB113,AD113,$E$3,$E$4,$E$17,AE113,$E$40,$E$44,$E$31,$E$36)</f>
        <v>#VALUE!</v>
      </c>
      <c r="AG113" s="4" t="e">
        <f t="shared" si="9"/>
        <v>#VALUE!</v>
      </c>
      <c r="AH113" s="1"/>
    </row>
    <row r="114" spans="27:34" x14ac:dyDescent="0.25">
      <c r="AA114" s="4">
        <f t="shared" si="11"/>
        <v>1490.2395698264681</v>
      </c>
      <c r="AB114" s="1">
        <f t="shared" si="7"/>
        <v>24.83732616377447</v>
      </c>
      <c r="AC114" s="1" t="e">
        <f t="shared" si="8"/>
        <v>#VALUE!</v>
      </c>
      <c r="AD114" s="1" t="e" cm="1">
        <f t="array" ref="AD114">N_ring(AB114,$E$9,$E$3,$E$16,$E$17,$E$6,$E$5)</f>
        <v>#VALUE!</v>
      </c>
      <c r="AE114" s="1" t="e" cm="1">
        <f t="array" ref="AE114">n_inv(AB114,$E$40,$E$9,$E$3,$E$16,$E$17,$E$6,$E$5)</f>
        <v>#VALUE!</v>
      </c>
      <c r="AF114" s="1" t="e" cm="1">
        <f t="array" ref="AF114">Q_oil(AB114,AD114,$E$3,$E$4,$E$17,AE114,$E$40,$E$44,$E$31,$E$36)</f>
        <v>#VALUE!</v>
      </c>
      <c r="AG114" s="4" t="e">
        <f t="shared" si="9"/>
        <v>#VALUE!</v>
      </c>
      <c r="AH114" s="1"/>
    </row>
    <row r="115" spans="27:34" x14ac:dyDescent="0.25">
      <c r="AA115" s="4">
        <f t="shared" si="11"/>
        <v>1540.9110353340359</v>
      </c>
      <c r="AB115" s="1">
        <f t="shared" si="7"/>
        <v>25.681850588900598</v>
      </c>
      <c r="AC115" s="1" t="e">
        <f t="shared" si="8"/>
        <v>#VALUE!</v>
      </c>
      <c r="AD115" s="1" t="e" cm="1">
        <f t="array" ref="AD115">N_ring(AB115,$E$9,$E$3,$E$16,$E$17,$E$6,$E$5)</f>
        <v>#VALUE!</v>
      </c>
      <c r="AE115" s="1" t="e" cm="1">
        <f t="array" ref="AE115">n_inv(AB115,$E$40,$E$9,$E$3,$E$16,$E$17,$E$6,$E$5)</f>
        <v>#VALUE!</v>
      </c>
      <c r="AF115" s="1" t="e" cm="1">
        <f t="array" ref="AF115">Q_oil(AB115,AD115,$E$3,$E$4,$E$17,AE115,$E$40,$E$44,$E$31,$E$36)</f>
        <v>#VALUE!</v>
      </c>
      <c r="AG115" s="4" t="e">
        <f t="shared" si="9"/>
        <v>#VALUE!</v>
      </c>
      <c r="AH115" s="1"/>
    </row>
    <row r="116" spans="27:34" x14ac:dyDescent="0.25">
      <c r="AA116" s="4">
        <f t="shared" si="11"/>
        <v>1591.5825008416036</v>
      </c>
      <c r="AB116" s="1">
        <f t="shared" si="7"/>
        <v>26.526375014026726</v>
      </c>
      <c r="AC116" s="1" t="e">
        <f t="shared" si="8"/>
        <v>#VALUE!</v>
      </c>
      <c r="AD116" s="1" t="e" cm="1">
        <f t="array" ref="AD116">N_ring(AB116,$E$9,$E$3,$E$16,$E$17,$E$6,$E$5)</f>
        <v>#VALUE!</v>
      </c>
      <c r="AE116" s="1" t="e" cm="1">
        <f t="array" ref="AE116">n_inv(AB116,$E$40,$E$9,$E$3,$E$16,$E$17,$E$6,$E$5)</f>
        <v>#VALUE!</v>
      </c>
      <c r="AF116" s="1" t="e" cm="1">
        <f t="array" ref="AF116">Q_oil(AB116,AD116,$E$3,$E$4,$E$17,AE116,$E$40,$E$44,$E$31,$E$36)</f>
        <v>#VALUE!</v>
      </c>
      <c r="AG116" s="4" t="e">
        <f t="shared" si="9"/>
        <v>#VALUE!</v>
      </c>
      <c r="AH116" s="1"/>
    </row>
    <row r="117" spans="27:34" x14ac:dyDescent="0.25">
      <c r="AA117" s="4">
        <f t="shared" si="11"/>
        <v>1642.2539663491714</v>
      </c>
      <c r="AB117" s="1">
        <f t="shared" si="7"/>
        <v>27.370899439152858</v>
      </c>
      <c r="AC117" s="1" t="e">
        <f t="shared" si="8"/>
        <v>#VALUE!</v>
      </c>
      <c r="AD117" s="1" t="e" cm="1">
        <f t="array" ref="AD117">N_ring(AB117,$E$9,$E$3,$E$16,$E$17,$E$6,$E$5)</f>
        <v>#VALUE!</v>
      </c>
      <c r="AE117" s="1" t="e" cm="1">
        <f t="array" ref="AE117">n_inv(AB117,$E$40,$E$9,$E$3,$E$16,$E$17,$E$6,$E$5)</f>
        <v>#VALUE!</v>
      </c>
      <c r="AF117" s="1" t="e" cm="1">
        <f t="array" ref="AF117">Q_oil(AB117,AD117,$E$3,$E$4,$E$17,AE117,$E$40,$E$44,$E$31,$E$36)</f>
        <v>#VALUE!</v>
      </c>
      <c r="AG117" s="4" t="e">
        <f t="shared" si="9"/>
        <v>#VALUE!</v>
      </c>
      <c r="AH117" s="1"/>
    </row>
    <row r="118" spans="27:34" x14ac:dyDescent="0.25">
      <c r="AA118" s="4">
        <f t="shared" si="11"/>
        <v>1692.9254318567391</v>
      </c>
      <c r="AB118" s="1">
        <f t="shared" si="7"/>
        <v>28.215423864278986</v>
      </c>
      <c r="AC118" s="1" t="e">
        <f t="shared" si="8"/>
        <v>#VALUE!</v>
      </c>
      <c r="AD118" s="1" t="e" cm="1">
        <f t="array" ref="AD118">N_ring(AB118,$E$9,$E$3,$E$16,$E$17,$E$6,$E$5)</f>
        <v>#VALUE!</v>
      </c>
      <c r="AE118" s="1" t="e" cm="1">
        <f t="array" ref="AE118">n_inv(AB118,$E$40,$E$9,$E$3,$E$16,$E$17,$E$6,$E$5)</f>
        <v>#VALUE!</v>
      </c>
      <c r="AF118" s="1" t="e" cm="1">
        <f t="array" ref="AF118">Q_oil(AB118,AD118,$E$3,$E$4,$E$17,AE118,$E$40,$E$44,$E$31,$E$36)</f>
        <v>#VALUE!</v>
      </c>
      <c r="AG118" s="4" t="e">
        <f t="shared" si="9"/>
        <v>#VALUE!</v>
      </c>
      <c r="AH118" s="1"/>
    </row>
    <row r="119" spans="27:34" x14ac:dyDescent="0.25">
      <c r="AA119" s="4">
        <f t="shared" si="11"/>
        <v>1743.5968973643069</v>
      </c>
      <c r="AB119" s="1">
        <f t="shared" si="7"/>
        <v>29.059948289405114</v>
      </c>
      <c r="AC119" s="1" t="e">
        <f t="shared" si="8"/>
        <v>#VALUE!</v>
      </c>
      <c r="AD119" s="1" t="e" cm="1">
        <f t="array" ref="AD119">N_ring(AB119,$E$9,$E$3,$E$16,$E$17,$E$6,$E$5)</f>
        <v>#VALUE!</v>
      </c>
      <c r="AE119" s="1" t="e" cm="1">
        <f t="array" ref="AE119">n_inv(AB119,$E$40,$E$9,$E$3,$E$16,$E$17,$E$6,$E$5)</f>
        <v>#VALUE!</v>
      </c>
      <c r="AF119" s="1" t="e" cm="1">
        <f t="array" ref="AF119">Q_oil(AB119,AD119,$E$3,$E$4,$E$17,AE119,$E$40,$E$44,$E$31,$E$36)</f>
        <v>#VALUE!</v>
      </c>
      <c r="AG119" s="4" t="e">
        <f t="shared" si="9"/>
        <v>#VALUE!</v>
      </c>
      <c r="AH119" s="1"/>
    </row>
    <row r="120" spans="27:34" x14ac:dyDescent="0.25">
      <c r="AA120" s="4">
        <f t="shared" si="11"/>
        <v>1794.2683628718746</v>
      </c>
      <c r="AB120" s="1">
        <f t="shared" si="7"/>
        <v>29.904472714531245</v>
      </c>
      <c r="AC120" s="1" t="e">
        <f t="shared" si="8"/>
        <v>#VALUE!</v>
      </c>
      <c r="AD120" s="1" t="e" cm="1">
        <f t="array" ref="AD120">N_ring(AB120,$E$9,$E$3,$E$16,$E$17,$E$6,$E$5)</f>
        <v>#VALUE!</v>
      </c>
      <c r="AE120" s="1" t="e" cm="1">
        <f t="array" ref="AE120">n_inv(AB120,$E$40,$E$9,$E$3,$E$16,$E$17,$E$6,$E$5)</f>
        <v>#VALUE!</v>
      </c>
      <c r="AF120" s="1" t="e" cm="1">
        <f t="array" ref="AF120">Q_oil(AB120,AD120,$E$3,$E$4,$E$17,AE120,$E$40,$E$44,$E$31,$E$36)</f>
        <v>#VALUE!</v>
      </c>
      <c r="AG120" s="4" t="e">
        <f t="shared" si="9"/>
        <v>#VALUE!</v>
      </c>
      <c r="AH120" s="1"/>
    </row>
    <row r="121" spans="27:34" x14ac:dyDescent="0.25">
      <c r="AA121" s="4">
        <f t="shared" si="11"/>
        <v>1844.9398283794424</v>
      </c>
      <c r="AB121" s="1">
        <f t="shared" si="7"/>
        <v>30.748997139657373</v>
      </c>
      <c r="AC121" s="1" t="e">
        <f t="shared" si="8"/>
        <v>#VALUE!</v>
      </c>
      <c r="AD121" s="1" t="e" cm="1">
        <f t="array" ref="AD121">N_ring(AB121,$E$9,$E$3,$E$16,$E$17,$E$6,$E$5)</f>
        <v>#VALUE!</v>
      </c>
      <c r="AE121" s="1" t="e" cm="1">
        <f t="array" ref="AE121">n_inv(AB121,$E$40,$E$9,$E$3,$E$16,$E$17,$E$6,$E$5)</f>
        <v>#VALUE!</v>
      </c>
      <c r="AF121" s="1" t="e" cm="1">
        <f t="array" ref="AF121">Q_oil(AB121,AD121,$E$3,$E$4,$E$17,AE121,$E$40,$E$44,$E$31,$E$36)</f>
        <v>#VALUE!</v>
      </c>
      <c r="AG121" s="4" t="e">
        <f t="shared" si="9"/>
        <v>#VALUE!</v>
      </c>
      <c r="AH121" s="1"/>
    </row>
    <row r="122" spans="27:34" x14ac:dyDescent="0.25">
      <c r="AA122" s="4">
        <f t="shared" si="11"/>
        <v>1895.6112938870101</v>
      </c>
      <c r="AB122" s="1">
        <f t="shared" si="7"/>
        <v>31.593521564783501</v>
      </c>
      <c r="AC122" s="1" t="e">
        <f t="shared" si="8"/>
        <v>#VALUE!</v>
      </c>
      <c r="AD122" s="1" t="e" cm="1">
        <f t="array" ref="AD122">N_ring(AB122,$E$9,$E$3,$E$16,$E$17,$E$6,$E$5)</f>
        <v>#VALUE!</v>
      </c>
      <c r="AE122" s="1" t="e" cm="1">
        <f t="array" ref="AE122">n_inv(AB122,$E$40,$E$9,$E$3,$E$16,$E$17,$E$6,$E$5)</f>
        <v>#VALUE!</v>
      </c>
      <c r="AF122" s="1" t="e" cm="1">
        <f t="array" ref="AF122">Q_oil(AB122,AD122,$E$3,$E$4,$E$17,AE122,$E$40,$E$44,$E$31,$E$36)</f>
        <v>#VALUE!</v>
      </c>
      <c r="AG122" s="4" t="e">
        <f t="shared" si="9"/>
        <v>#VALUE!</v>
      </c>
      <c r="AH122" s="1"/>
    </row>
    <row r="123" spans="27:34" x14ac:dyDescent="0.25">
      <c r="AA123" s="4">
        <f t="shared" si="11"/>
        <v>1946.2827593945779</v>
      </c>
      <c r="AB123" s="1">
        <f t="shared" si="7"/>
        <v>32.438045989909632</v>
      </c>
      <c r="AC123" s="1" t="e">
        <f t="shared" si="8"/>
        <v>#VALUE!</v>
      </c>
      <c r="AD123" s="1" t="e" cm="1">
        <f t="array" ref="AD123">N_ring(AB123,$E$9,$E$3,$E$16,$E$17,$E$6,$E$5)</f>
        <v>#VALUE!</v>
      </c>
      <c r="AE123" s="1" t="e" cm="1">
        <f t="array" ref="AE123">n_inv(AB123,$E$40,$E$9,$E$3,$E$16,$E$17,$E$6,$E$5)</f>
        <v>#VALUE!</v>
      </c>
      <c r="AF123" s="1" t="e" cm="1">
        <f t="array" ref="AF123">Q_oil(AB123,AD123,$E$3,$E$4,$E$17,AE123,$E$40,$E$44,$E$31,$E$36)</f>
        <v>#VALUE!</v>
      </c>
      <c r="AG123" s="4" t="e">
        <f t="shared" si="9"/>
        <v>#VALUE!</v>
      </c>
      <c r="AH123" s="1"/>
    </row>
    <row r="124" spans="27:34" x14ac:dyDescent="0.25">
      <c r="AA124" s="4">
        <f t="shared" si="11"/>
        <v>1996.9542249021456</v>
      </c>
      <c r="AB124" s="1">
        <f>AA124/60</f>
        <v>33.282570415035757</v>
      </c>
      <c r="AC124" s="1" t="e">
        <f>60*AD124</f>
        <v>#VALUE!</v>
      </c>
      <c r="AD124" s="1" t="e" cm="1">
        <f t="array" ref="AD124">N_ring(AB124,$E$9,$E$3,$E$16,$E$17,$E$6,$E$5)</f>
        <v>#VALUE!</v>
      </c>
      <c r="AE124" s="1" t="e" cm="1">
        <f t="array" ref="AE124">n_inv(AB124,$E$40,$E$9,$E$3,$E$16,$E$17,$E$6,$E$5)</f>
        <v>#VALUE!</v>
      </c>
      <c r="AF124" s="1" t="e" cm="1">
        <f t="array" ref="AF124">Q_oil(AB124,AD124,$E$3,$E$4,$E$17,AE124,$E$40,$E$44,$E$31,$E$36)</f>
        <v>#VALUE!</v>
      </c>
      <c r="AG124" s="4" t="e">
        <f>CONVERT(AF124,"in^3","mm^3")</f>
        <v>#VALUE!</v>
      </c>
      <c r="AH124" s="1"/>
    </row>
    <row r="125" spans="27:34" x14ac:dyDescent="0.25">
      <c r="AA125" s="4">
        <f t="shared" si="11"/>
        <v>2047.6256904097133</v>
      </c>
      <c r="AB125" s="1">
        <f t="shared" ref="AB125:AB188" si="12">AA125/60</f>
        <v>34.127094840161888</v>
      </c>
      <c r="AC125" s="1" t="e">
        <f t="shared" ref="AC125:AC188" si="13">60*AD125</f>
        <v>#VALUE!</v>
      </c>
      <c r="AD125" s="1" t="e" cm="1">
        <f t="array" ref="AD125">N_ring(AB125,$E$9,$E$3,$E$16,$E$17,$E$6,$E$5)</f>
        <v>#VALUE!</v>
      </c>
      <c r="AE125" s="1" t="e" cm="1">
        <f t="array" ref="AE125">n_inv(AB125,$E$40,$E$9,$E$3,$E$16,$E$17,$E$6,$E$5)</f>
        <v>#VALUE!</v>
      </c>
      <c r="AF125" s="1" t="e" cm="1">
        <f t="array" ref="AF125">Q_oil(AB125,AD125,$E$3,$E$4,$E$17,AE125,$E$40,$E$44,$E$31,$E$36)</f>
        <v>#VALUE!</v>
      </c>
      <c r="AG125" s="4" t="e">
        <f t="shared" ref="AG125:AG188" si="14">CONVERT(AF125,"in^3","mm^3")</f>
        <v>#VALUE!</v>
      </c>
      <c r="AH125" s="1"/>
    </row>
    <row r="126" spans="27:34" x14ac:dyDescent="0.25">
      <c r="AA126" s="4">
        <f t="shared" si="11"/>
        <v>2098.2971559172811</v>
      </c>
      <c r="AB126" s="1">
        <f t="shared" si="12"/>
        <v>34.97161926528802</v>
      </c>
      <c r="AC126" s="1" t="e">
        <f t="shared" si="13"/>
        <v>#VALUE!</v>
      </c>
      <c r="AD126" s="1" t="e" cm="1">
        <f t="array" ref="AD126">N_ring(AB126,$E$9,$E$3,$E$16,$E$17,$E$6,$E$5)</f>
        <v>#VALUE!</v>
      </c>
      <c r="AE126" s="1" t="e" cm="1">
        <f t="array" ref="AE126">n_inv(AB126,$E$40,$E$9,$E$3,$E$16,$E$17,$E$6,$E$5)</f>
        <v>#VALUE!</v>
      </c>
      <c r="AF126" s="1" t="e" cm="1">
        <f t="array" ref="AF126">Q_oil(AB126,AD126,$E$3,$E$4,$E$17,AE126,$E$40,$E$44,$E$31,$E$36)</f>
        <v>#VALUE!</v>
      </c>
      <c r="AG126" s="4" t="e">
        <f t="shared" si="14"/>
        <v>#VALUE!</v>
      </c>
      <c r="AH126" s="1"/>
    </row>
    <row r="127" spans="27:34" x14ac:dyDescent="0.25">
      <c r="AA127" s="4">
        <f t="shared" si="11"/>
        <v>2148.9686214248491</v>
      </c>
      <c r="AB127" s="1">
        <f t="shared" si="12"/>
        <v>35.816143690414151</v>
      </c>
      <c r="AC127" s="1" t="e">
        <f t="shared" si="13"/>
        <v>#VALUE!</v>
      </c>
      <c r="AD127" s="1" t="e" cm="1">
        <f t="array" ref="AD127">N_ring(AB127,$E$9,$E$3,$E$16,$E$17,$E$6,$E$5)</f>
        <v>#VALUE!</v>
      </c>
      <c r="AE127" s="1" t="e" cm="1">
        <f t="array" ref="AE127">n_inv(AB127,$E$40,$E$9,$E$3,$E$16,$E$17,$E$6,$E$5)</f>
        <v>#VALUE!</v>
      </c>
      <c r="AF127" s="1" t="e" cm="1">
        <f t="array" ref="AF127">Q_oil(AB127,AD127,$E$3,$E$4,$E$17,AE127,$E$40,$E$44,$E$31,$E$36)</f>
        <v>#VALUE!</v>
      </c>
      <c r="AG127" s="4" t="e">
        <f t="shared" si="14"/>
        <v>#VALUE!</v>
      </c>
      <c r="AH127" s="1"/>
    </row>
    <row r="128" spans="27:34" x14ac:dyDescent="0.25">
      <c r="AA128" s="4">
        <f t="shared" si="11"/>
        <v>2199.640086932417</v>
      </c>
      <c r="AB128" s="1">
        <f t="shared" si="12"/>
        <v>36.660668115540282</v>
      </c>
      <c r="AC128" s="1" t="e">
        <f t="shared" si="13"/>
        <v>#VALUE!</v>
      </c>
      <c r="AD128" s="1" t="e" cm="1">
        <f t="array" ref="AD128">N_ring(AB128,$E$9,$E$3,$E$16,$E$17,$E$6,$E$5)</f>
        <v>#VALUE!</v>
      </c>
      <c r="AE128" s="1" t="e" cm="1">
        <f t="array" ref="AE128">n_inv(AB128,$E$40,$E$9,$E$3,$E$16,$E$17,$E$6,$E$5)</f>
        <v>#VALUE!</v>
      </c>
      <c r="AF128" s="1" t="e" cm="1">
        <f t="array" ref="AF128">Q_oil(AB128,AD128,$E$3,$E$4,$E$17,AE128,$E$40,$E$44,$E$31,$E$36)</f>
        <v>#VALUE!</v>
      </c>
      <c r="AG128" s="4" t="e">
        <f t="shared" si="14"/>
        <v>#VALUE!</v>
      </c>
      <c r="AH128" s="1"/>
    </row>
    <row r="129" spans="27:34" x14ac:dyDescent="0.25">
      <c r="AA129" s="4">
        <f t="shared" si="11"/>
        <v>2250.311552439985</v>
      </c>
      <c r="AB129" s="1">
        <f t="shared" si="12"/>
        <v>37.505192540666414</v>
      </c>
      <c r="AC129" s="1" t="e">
        <f t="shared" si="13"/>
        <v>#VALUE!</v>
      </c>
      <c r="AD129" s="1" t="e" cm="1">
        <f t="array" ref="AD129">N_ring(AB129,$E$9,$E$3,$E$16,$E$17,$E$6,$E$5)</f>
        <v>#VALUE!</v>
      </c>
      <c r="AE129" s="1" t="e" cm="1">
        <f t="array" ref="AE129">n_inv(AB129,$E$40,$E$9,$E$3,$E$16,$E$17,$E$6,$E$5)</f>
        <v>#VALUE!</v>
      </c>
      <c r="AF129" s="1" t="e" cm="1">
        <f t="array" ref="AF129">Q_oil(AB129,AD129,$E$3,$E$4,$E$17,AE129,$E$40,$E$44,$E$31,$E$36)</f>
        <v>#VALUE!</v>
      </c>
      <c r="AG129" s="4" t="e">
        <f t="shared" si="14"/>
        <v>#VALUE!</v>
      </c>
      <c r="AH129" s="1"/>
    </row>
    <row r="130" spans="27:34" x14ac:dyDescent="0.25">
      <c r="AA130" s="4">
        <f t="shared" si="11"/>
        <v>2300.983017947553</v>
      </c>
      <c r="AB130" s="1">
        <f t="shared" si="12"/>
        <v>38.349716965792553</v>
      </c>
      <c r="AC130" s="1" t="e">
        <f t="shared" si="13"/>
        <v>#VALUE!</v>
      </c>
      <c r="AD130" s="1" t="e" cm="1">
        <f t="array" ref="AD130">N_ring(AB130,$E$9,$E$3,$E$16,$E$17,$E$6,$E$5)</f>
        <v>#VALUE!</v>
      </c>
      <c r="AE130" s="1" t="e" cm="1">
        <f t="array" ref="AE130">n_inv(AB130,$E$40,$E$9,$E$3,$E$16,$E$17,$E$6,$E$5)</f>
        <v>#VALUE!</v>
      </c>
      <c r="AF130" s="1" t="e" cm="1">
        <f t="array" ref="AF130">Q_oil(AB130,AD130,$E$3,$E$4,$E$17,AE130,$E$40,$E$44,$E$31,$E$36)</f>
        <v>#VALUE!</v>
      </c>
      <c r="AG130" s="4" t="e">
        <f t="shared" si="14"/>
        <v>#VALUE!</v>
      </c>
      <c r="AH130" s="1"/>
    </row>
    <row r="131" spans="27:34" x14ac:dyDescent="0.25">
      <c r="AA131" s="4">
        <f t="shared" si="11"/>
        <v>2351.654483455121</v>
      </c>
      <c r="AB131" s="1">
        <f t="shared" si="12"/>
        <v>39.194241390918684</v>
      </c>
      <c r="AC131" s="1" t="e">
        <f t="shared" si="13"/>
        <v>#VALUE!</v>
      </c>
      <c r="AD131" s="1" t="e" cm="1">
        <f t="array" ref="AD131">N_ring(AB131,$E$9,$E$3,$E$16,$E$17,$E$6,$E$5)</f>
        <v>#VALUE!</v>
      </c>
      <c r="AE131" s="1" t="e" cm="1">
        <f t="array" ref="AE131">n_inv(AB131,$E$40,$E$9,$E$3,$E$16,$E$17,$E$6,$E$5)</f>
        <v>#VALUE!</v>
      </c>
      <c r="AF131" s="1" t="e" cm="1">
        <f t="array" ref="AF131">Q_oil(AB131,AD131,$E$3,$E$4,$E$17,AE131,$E$40,$E$44,$E$31,$E$36)</f>
        <v>#VALUE!</v>
      </c>
      <c r="AG131" s="4" t="e">
        <f t="shared" si="14"/>
        <v>#VALUE!</v>
      </c>
      <c r="AH131" s="1"/>
    </row>
    <row r="132" spans="27:34" x14ac:dyDescent="0.25">
      <c r="AA132" s="4">
        <f t="shared" si="11"/>
        <v>2402.3259489626889</v>
      </c>
      <c r="AB132" s="1">
        <f t="shared" si="12"/>
        <v>40.038765816044815</v>
      </c>
      <c r="AC132" s="1" t="e">
        <f t="shared" si="13"/>
        <v>#VALUE!</v>
      </c>
      <c r="AD132" s="1" t="e" cm="1">
        <f t="array" ref="AD132">N_ring(AB132,$E$9,$E$3,$E$16,$E$17,$E$6,$E$5)</f>
        <v>#VALUE!</v>
      </c>
      <c r="AE132" s="1" t="e" cm="1">
        <f t="array" ref="AE132">n_inv(AB132,$E$40,$E$9,$E$3,$E$16,$E$17,$E$6,$E$5)</f>
        <v>#VALUE!</v>
      </c>
      <c r="AF132" s="1" t="e" cm="1">
        <f t="array" ref="AF132">Q_oil(AB132,AD132,$E$3,$E$4,$E$17,AE132,$E$40,$E$44,$E$31,$E$36)</f>
        <v>#VALUE!</v>
      </c>
      <c r="AG132" s="4" t="e">
        <f t="shared" si="14"/>
        <v>#VALUE!</v>
      </c>
      <c r="AH132" s="1"/>
    </row>
    <row r="133" spans="27:34" x14ac:dyDescent="0.25">
      <c r="AA133" s="4">
        <f t="shared" si="11"/>
        <v>2452.9974144702569</v>
      </c>
      <c r="AB133" s="1">
        <f t="shared" si="12"/>
        <v>40.883290241170947</v>
      </c>
      <c r="AC133" s="1" t="e">
        <f t="shared" si="13"/>
        <v>#VALUE!</v>
      </c>
      <c r="AD133" s="1" t="e" cm="1">
        <f t="array" ref="AD133">N_ring(AB133,$E$9,$E$3,$E$16,$E$17,$E$6,$E$5)</f>
        <v>#VALUE!</v>
      </c>
      <c r="AE133" s="1" t="e" cm="1">
        <f t="array" ref="AE133">n_inv(AB133,$E$40,$E$9,$E$3,$E$16,$E$17,$E$6,$E$5)</f>
        <v>#VALUE!</v>
      </c>
      <c r="AF133" s="1" t="e" cm="1">
        <f t="array" ref="AF133">Q_oil(AB133,AD133,$E$3,$E$4,$E$17,AE133,$E$40,$E$44,$E$31,$E$36)</f>
        <v>#VALUE!</v>
      </c>
      <c r="AG133" s="4" t="e">
        <f t="shared" si="14"/>
        <v>#VALUE!</v>
      </c>
      <c r="AH133" s="1"/>
    </row>
    <row r="134" spans="27:34" x14ac:dyDescent="0.25">
      <c r="AA134" s="4">
        <f t="shared" si="11"/>
        <v>2503.6688799778249</v>
      </c>
      <c r="AB134" s="1">
        <f t="shared" si="12"/>
        <v>41.727814666297078</v>
      </c>
      <c r="AC134" s="1" t="e">
        <f t="shared" si="13"/>
        <v>#VALUE!</v>
      </c>
      <c r="AD134" s="1" t="e" cm="1">
        <f t="array" ref="AD134">N_ring(AB134,$E$9,$E$3,$E$16,$E$17,$E$6,$E$5)</f>
        <v>#VALUE!</v>
      </c>
      <c r="AE134" s="1" t="e" cm="1">
        <f t="array" ref="AE134">n_inv(AB134,$E$40,$E$9,$E$3,$E$16,$E$17,$E$6,$E$5)</f>
        <v>#VALUE!</v>
      </c>
      <c r="AF134" s="1" t="e" cm="1">
        <f t="array" ref="AF134">Q_oil(AB134,AD134,$E$3,$E$4,$E$17,AE134,$E$40,$E$44,$E$31,$E$36)</f>
        <v>#VALUE!</v>
      </c>
      <c r="AG134" s="4" t="e">
        <f t="shared" si="14"/>
        <v>#VALUE!</v>
      </c>
      <c r="AH134" s="1"/>
    </row>
    <row r="135" spans="27:34" x14ac:dyDescent="0.25">
      <c r="AA135" s="4">
        <f t="shared" si="11"/>
        <v>2554.3403454853928</v>
      </c>
      <c r="AB135" s="1">
        <f t="shared" si="12"/>
        <v>42.572339091423217</v>
      </c>
      <c r="AC135" s="1" t="e">
        <f t="shared" si="13"/>
        <v>#VALUE!</v>
      </c>
      <c r="AD135" s="1" t="e" cm="1">
        <f t="array" ref="AD135">N_ring(AB135,$E$9,$E$3,$E$16,$E$17,$E$6,$E$5)</f>
        <v>#VALUE!</v>
      </c>
      <c r="AE135" s="1" t="e" cm="1">
        <f t="array" ref="AE135">n_inv(AB135,$E$40,$E$9,$E$3,$E$16,$E$17,$E$6,$E$5)</f>
        <v>#VALUE!</v>
      </c>
      <c r="AF135" s="1" t="e" cm="1">
        <f t="array" ref="AF135">Q_oil(AB135,AD135,$E$3,$E$4,$E$17,AE135,$E$40,$E$44,$E$31,$E$36)</f>
        <v>#VALUE!</v>
      </c>
      <c r="AG135" s="4" t="e">
        <f t="shared" si="14"/>
        <v>#VALUE!</v>
      </c>
      <c r="AH135" s="1"/>
    </row>
    <row r="136" spans="27:34" x14ac:dyDescent="0.25">
      <c r="AA136" s="4">
        <f t="shared" ref="AA136:AA167" si="15">AA135+(6000-$C$36)/100</f>
        <v>2605.0118109929608</v>
      </c>
      <c r="AB136" s="1">
        <f t="shared" si="12"/>
        <v>43.416863516549348</v>
      </c>
      <c r="AC136" s="1" t="e">
        <f t="shared" si="13"/>
        <v>#VALUE!</v>
      </c>
      <c r="AD136" s="1" t="e" cm="1">
        <f t="array" ref="AD136">N_ring(AB136,$E$9,$E$3,$E$16,$E$17,$E$6,$E$5)</f>
        <v>#VALUE!</v>
      </c>
      <c r="AE136" s="1" t="e" cm="1">
        <f t="array" ref="AE136">n_inv(AB136,$E$40,$E$9,$E$3,$E$16,$E$17,$E$6,$E$5)</f>
        <v>#VALUE!</v>
      </c>
      <c r="AF136" s="1" t="e" cm="1">
        <f t="array" ref="AF136">Q_oil(AB136,AD136,$E$3,$E$4,$E$17,AE136,$E$40,$E$44,$E$31,$E$36)</f>
        <v>#VALUE!</v>
      </c>
      <c r="AG136" s="4" t="e">
        <f t="shared" si="14"/>
        <v>#VALUE!</v>
      </c>
      <c r="AH136" s="1"/>
    </row>
    <row r="137" spans="27:34" x14ac:dyDescent="0.25">
      <c r="AA137" s="4">
        <f t="shared" si="15"/>
        <v>2655.6832765005288</v>
      </c>
      <c r="AB137" s="1">
        <f t="shared" si="12"/>
        <v>44.26138794167548</v>
      </c>
      <c r="AC137" s="1" t="e">
        <f t="shared" si="13"/>
        <v>#VALUE!</v>
      </c>
      <c r="AD137" s="1" t="e" cm="1">
        <f t="array" ref="AD137">N_ring(AB137,$E$9,$E$3,$E$16,$E$17,$E$6,$E$5)</f>
        <v>#VALUE!</v>
      </c>
      <c r="AE137" s="1" t="e" cm="1">
        <f t="array" ref="AE137">n_inv(AB137,$E$40,$E$9,$E$3,$E$16,$E$17,$E$6,$E$5)</f>
        <v>#VALUE!</v>
      </c>
      <c r="AF137" s="1" t="e" cm="1">
        <f t="array" ref="AF137">Q_oil(AB137,AD137,$E$3,$E$4,$E$17,AE137,$E$40,$E$44,$E$31,$E$36)</f>
        <v>#VALUE!</v>
      </c>
      <c r="AG137" s="4" t="e">
        <f t="shared" si="14"/>
        <v>#VALUE!</v>
      </c>
      <c r="AH137" s="1"/>
    </row>
    <row r="138" spans="27:34" x14ac:dyDescent="0.25">
      <c r="AA138" s="4">
        <f t="shared" si="15"/>
        <v>2706.3547420080968</v>
      </c>
      <c r="AB138" s="1">
        <f t="shared" si="12"/>
        <v>45.105912366801611</v>
      </c>
      <c r="AC138" s="1" t="e">
        <f t="shared" si="13"/>
        <v>#VALUE!</v>
      </c>
      <c r="AD138" s="1" t="e" cm="1">
        <f t="array" ref="AD138">N_ring(AB138,$E$9,$E$3,$E$16,$E$17,$E$6,$E$5)</f>
        <v>#VALUE!</v>
      </c>
      <c r="AE138" s="1" t="e" cm="1">
        <f t="array" ref="AE138">n_inv(AB138,$E$40,$E$9,$E$3,$E$16,$E$17,$E$6,$E$5)</f>
        <v>#VALUE!</v>
      </c>
      <c r="AF138" s="1" t="e" cm="1">
        <f t="array" ref="AF138">Q_oil(AB138,AD138,$E$3,$E$4,$E$17,AE138,$E$40,$E$44,$E$31,$E$36)</f>
        <v>#VALUE!</v>
      </c>
      <c r="AG138" s="4" t="e">
        <f t="shared" si="14"/>
        <v>#VALUE!</v>
      </c>
      <c r="AH138" s="1"/>
    </row>
    <row r="139" spans="27:34" x14ac:dyDescent="0.25">
      <c r="AA139" s="4">
        <f t="shared" si="15"/>
        <v>2757.0262075156647</v>
      </c>
      <c r="AB139" s="1">
        <f t="shared" si="12"/>
        <v>45.950436791927743</v>
      </c>
      <c r="AC139" s="1" t="e">
        <f t="shared" si="13"/>
        <v>#VALUE!</v>
      </c>
      <c r="AD139" s="1" t="e" cm="1">
        <f t="array" ref="AD139">N_ring(AB139,$E$9,$E$3,$E$16,$E$17,$E$6,$E$5)</f>
        <v>#VALUE!</v>
      </c>
      <c r="AE139" s="1" t="e" cm="1">
        <f t="array" ref="AE139">n_inv(AB139,$E$40,$E$9,$E$3,$E$16,$E$17,$E$6,$E$5)</f>
        <v>#VALUE!</v>
      </c>
      <c r="AF139" s="1" t="e" cm="1">
        <f t="array" ref="AF139">Q_oil(AB139,AD139,$E$3,$E$4,$E$17,AE139,$E$40,$E$44,$E$31,$E$36)</f>
        <v>#VALUE!</v>
      </c>
      <c r="AG139" s="4" t="e">
        <f t="shared" si="14"/>
        <v>#VALUE!</v>
      </c>
      <c r="AH139" s="1"/>
    </row>
    <row r="140" spans="27:34" x14ac:dyDescent="0.25">
      <c r="AA140" s="4">
        <f t="shared" si="15"/>
        <v>2807.6976730232327</v>
      </c>
      <c r="AB140" s="1">
        <f t="shared" si="12"/>
        <v>46.794961217053881</v>
      </c>
      <c r="AC140" s="1" t="e">
        <f t="shared" si="13"/>
        <v>#VALUE!</v>
      </c>
      <c r="AD140" s="1" t="e" cm="1">
        <f t="array" ref="AD140">N_ring(AB140,$E$9,$E$3,$E$16,$E$17,$E$6,$E$5)</f>
        <v>#VALUE!</v>
      </c>
      <c r="AE140" s="1" t="e" cm="1">
        <f t="array" ref="AE140">n_inv(AB140,$E$40,$E$9,$E$3,$E$16,$E$17,$E$6,$E$5)</f>
        <v>#VALUE!</v>
      </c>
      <c r="AF140" s="1" t="e" cm="1">
        <f t="array" ref="AF140">Q_oil(AB140,AD140,$E$3,$E$4,$E$17,AE140,$E$40,$E$44,$E$31,$E$36)</f>
        <v>#VALUE!</v>
      </c>
      <c r="AG140" s="4" t="e">
        <f t="shared" si="14"/>
        <v>#VALUE!</v>
      </c>
      <c r="AH140" s="1"/>
    </row>
    <row r="141" spans="27:34" x14ac:dyDescent="0.25">
      <c r="AA141" s="4">
        <f t="shared" si="15"/>
        <v>2858.3691385308007</v>
      </c>
      <c r="AB141" s="1">
        <f t="shared" si="12"/>
        <v>47.639485642180013</v>
      </c>
      <c r="AC141" s="1" t="e">
        <f t="shared" si="13"/>
        <v>#VALUE!</v>
      </c>
      <c r="AD141" s="1" t="e" cm="1">
        <f t="array" ref="AD141">N_ring(AB141,$E$9,$E$3,$E$16,$E$17,$E$6,$E$5)</f>
        <v>#VALUE!</v>
      </c>
      <c r="AE141" s="1" t="e" cm="1">
        <f t="array" ref="AE141">n_inv(AB141,$E$40,$E$9,$E$3,$E$16,$E$17,$E$6,$E$5)</f>
        <v>#VALUE!</v>
      </c>
      <c r="AF141" s="1" t="e" cm="1">
        <f t="array" ref="AF141">Q_oil(AB141,AD141,$E$3,$E$4,$E$17,AE141,$E$40,$E$44,$E$31,$E$36)</f>
        <v>#VALUE!</v>
      </c>
      <c r="AG141" s="4" t="e">
        <f t="shared" si="14"/>
        <v>#VALUE!</v>
      </c>
      <c r="AH141" s="1"/>
    </row>
    <row r="142" spans="27:34" x14ac:dyDescent="0.25">
      <c r="AA142" s="4">
        <f t="shared" si="15"/>
        <v>2909.0406040383687</v>
      </c>
      <c r="AB142" s="1">
        <f t="shared" si="12"/>
        <v>48.484010067306144</v>
      </c>
      <c r="AC142" s="1" t="e">
        <f t="shared" si="13"/>
        <v>#VALUE!</v>
      </c>
      <c r="AD142" s="1" t="e" cm="1">
        <f t="array" ref="AD142">N_ring(AB142,$E$9,$E$3,$E$16,$E$17,$E$6,$E$5)</f>
        <v>#VALUE!</v>
      </c>
      <c r="AE142" s="1" t="e" cm="1">
        <f t="array" ref="AE142">n_inv(AB142,$E$40,$E$9,$E$3,$E$16,$E$17,$E$6,$E$5)</f>
        <v>#VALUE!</v>
      </c>
      <c r="AF142" s="1" t="e" cm="1">
        <f t="array" ref="AF142">Q_oil(AB142,AD142,$E$3,$E$4,$E$17,AE142,$E$40,$E$44,$E$31,$E$36)</f>
        <v>#VALUE!</v>
      </c>
      <c r="AG142" s="4" t="e">
        <f t="shared" si="14"/>
        <v>#VALUE!</v>
      </c>
      <c r="AH142" s="1"/>
    </row>
    <row r="143" spans="27:34" x14ac:dyDescent="0.25">
      <c r="AA143" s="4">
        <f t="shared" si="15"/>
        <v>2959.7120695459366</v>
      </c>
      <c r="AB143" s="1">
        <f t="shared" si="12"/>
        <v>49.328534492432276</v>
      </c>
      <c r="AC143" s="1" t="e">
        <f t="shared" si="13"/>
        <v>#VALUE!</v>
      </c>
      <c r="AD143" s="1" t="e" cm="1">
        <f t="array" ref="AD143">N_ring(AB143,$E$9,$E$3,$E$16,$E$17,$E$6,$E$5)</f>
        <v>#VALUE!</v>
      </c>
      <c r="AE143" s="1" t="e" cm="1">
        <f t="array" ref="AE143">n_inv(AB143,$E$40,$E$9,$E$3,$E$16,$E$17,$E$6,$E$5)</f>
        <v>#VALUE!</v>
      </c>
      <c r="AF143" s="1" t="e" cm="1">
        <f t="array" ref="AF143">Q_oil(AB143,AD143,$E$3,$E$4,$E$17,AE143,$E$40,$E$44,$E$31,$E$36)</f>
        <v>#VALUE!</v>
      </c>
      <c r="AG143" s="4" t="e">
        <f t="shared" si="14"/>
        <v>#VALUE!</v>
      </c>
      <c r="AH143" s="1"/>
    </row>
    <row r="144" spans="27:34" x14ac:dyDescent="0.25">
      <c r="AA144" s="4">
        <f t="shared" si="15"/>
        <v>3010.3835350535046</v>
      </c>
      <c r="AB144" s="1">
        <f t="shared" si="12"/>
        <v>50.173058917558407</v>
      </c>
      <c r="AC144" s="1" t="e">
        <f t="shared" si="13"/>
        <v>#VALUE!</v>
      </c>
      <c r="AD144" s="1" t="e" cm="1">
        <f t="array" ref="AD144">N_ring(AB144,$E$9,$E$3,$E$16,$E$17,$E$6,$E$5)</f>
        <v>#VALUE!</v>
      </c>
      <c r="AE144" s="1" t="e" cm="1">
        <f t="array" ref="AE144">n_inv(AB144,$E$40,$E$9,$E$3,$E$16,$E$17,$E$6,$E$5)</f>
        <v>#VALUE!</v>
      </c>
      <c r="AF144" s="1" t="e" cm="1">
        <f t="array" ref="AF144">Q_oil(AB144,AD144,$E$3,$E$4,$E$17,AE144,$E$40,$E$44,$E$31,$E$36)</f>
        <v>#VALUE!</v>
      </c>
      <c r="AG144" s="4" t="e">
        <f t="shared" si="14"/>
        <v>#VALUE!</v>
      </c>
      <c r="AH144" s="1"/>
    </row>
    <row r="145" spans="27:34" x14ac:dyDescent="0.25">
      <c r="AA145" s="4">
        <f t="shared" si="15"/>
        <v>3061.0550005610726</v>
      </c>
      <c r="AB145" s="1">
        <f t="shared" si="12"/>
        <v>51.017583342684546</v>
      </c>
      <c r="AC145" s="1" t="e">
        <f t="shared" si="13"/>
        <v>#VALUE!</v>
      </c>
      <c r="AD145" s="1" t="e" cm="1">
        <f t="array" ref="AD145">N_ring(AB145,$E$9,$E$3,$E$16,$E$17,$E$6,$E$5)</f>
        <v>#VALUE!</v>
      </c>
      <c r="AE145" s="1" t="e" cm="1">
        <f t="array" ref="AE145">n_inv(AB145,$E$40,$E$9,$E$3,$E$16,$E$17,$E$6,$E$5)</f>
        <v>#VALUE!</v>
      </c>
      <c r="AF145" s="1" t="e" cm="1">
        <f t="array" ref="AF145">Q_oil(AB145,AD145,$E$3,$E$4,$E$17,AE145,$E$40,$E$44,$E$31,$E$36)</f>
        <v>#VALUE!</v>
      </c>
      <c r="AG145" s="4" t="e">
        <f t="shared" si="14"/>
        <v>#VALUE!</v>
      </c>
      <c r="AH145" s="1"/>
    </row>
    <row r="146" spans="27:34" x14ac:dyDescent="0.25">
      <c r="AA146" s="4">
        <f t="shared" si="15"/>
        <v>3111.7264660686405</v>
      </c>
      <c r="AB146" s="1">
        <f t="shared" si="12"/>
        <v>51.862107767810677</v>
      </c>
      <c r="AC146" s="1" t="e">
        <f t="shared" si="13"/>
        <v>#VALUE!</v>
      </c>
      <c r="AD146" s="1" t="e" cm="1">
        <f t="array" ref="AD146">N_ring(AB146,$E$9,$E$3,$E$16,$E$17,$E$6,$E$5)</f>
        <v>#VALUE!</v>
      </c>
      <c r="AE146" s="1" t="e" cm="1">
        <f t="array" ref="AE146">n_inv(AB146,$E$40,$E$9,$E$3,$E$16,$E$17,$E$6,$E$5)</f>
        <v>#VALUE!</v>
      </c>
      <c r="AF146" s="1" t="e" cm="1">
        <f t="array" ref="AF146">Q_oil(AB146,AD146,$E$3,$E$4,$E$17,AE146,$E$40,$E$44,$E$31,$E$36)</f>
        <v>#VALUE!</v>
      </c>
      <c r="AG146" s="4" t="e">
        <f t="shared" si="14"/>
        <v>#VALUE!</v>
      </c>
      <c r="AH146" s="1"/>
    </row>
    <row r="147" spans="27:34" x14ac:dyDescent="0.25">
      <c r="AA147" s="4">
        <f t="shared" si="15"/>
        <v>3162.3979315762085</v>
      </c>
      <c r="AB147" s="1">
        <f t="shared" si="12"/>
        <v>52.706632192936809</v>
      </c>
      <c r="AC147" s="1" t="e">
        <f t="shared" si="13"/>
        <v>#VALUE!</v>
      </c>
      <c r="AD147" s="1" t="e" cm="1">
        <f t="array" ref="AD147">N_ring(AB147,$E$9,$E$3,$E$16,$E$17,$E$6,$E$5)</f>
        <v>#VALUE!</v>
      </c>
      <c r="AE147" s="1" t="e" cm="1">
        <f t="array" ref="AE147">n_inv(AB147,$E$40,$E$9,$E$3,$E$16,$E$17,$E$6,$E$5)</f>
        <v>#VALUE!</v>
      </c>
      <c r="AF147" s="1" t="e" cm="1">
        <f t="array" ref="AF147">Q_oil(AB147,AD147,$E$3,$E$4,$E$17,AE147,$E$40,$E$44,$E$31,$E$36)</f>
        <v>#VALUE!</v>
      </c>
      <c r="AG147" s="4" t="e">
        <f t="shared" si="14"/>
        <v>#VALUE!</v>
      </c>
      <c r="AH147" s="1"/>
    </row>
    <row r="148" spans="27:34" x14ac:dyDescent="0.25">
      <c r="AA148" s="4">
        <f t="shared" si="15"/>
        <v>3213.0693970837765</v>
      </c>
      <c r="AB148" s="1">
        <f t="shared" si="12"/>
        <v>53.55115661806294</v>
      </c>
      <c r="AC148" s="1" t="e">
        <f t="shared" si="13"/>
        <v>#VALUE!</v>
      </c>
      <c r="AD148" s="1" t="e" cm="1">
        <f t="array" ref="AD148">N_ring(AB148,$E$9,$E$3,$E$16,$E$17,$E$6,$E$5)</f>
        <v>#VALUE!</v>
      </c>
      <c r="AE148" s="1" t="e" cm="1">
        <f t="array" ref="AE148">n_inv(AB148,$E$40,$E$9,$E$3,$E$16,$E$17,$E$6,$E$5)</f>
        <v>#VALUE!</v>
      </c>
      <c r="AF148" s="1" t="e" cm="1">
        <f t="array" ref="AF148">Q_oil(AB148,AD148,$E$3,$E$4,$E$17,AE148,$E$40,$E$44,$E$31,$E$36)</f>
        <v>#VALUE!</v>
      </c>
      <c r="AG148" s="4" t="e">
        <f t="shared" si="14"/>
        <v>#VALUE!</v>
      </c>
      <c r="AH148" s="1"/>
    </row>
    <row r="149" spans="27:34" x14ac:dyDescent="0.25">
      <c r="AA149" s="4">
        <f t="shared" si="15"/>
        <v>3263.7408625913445</v>
      </c>
      <c r="AB149" s="1">
        <f t="shared" si="12"/>
        <v>54.395681043189072</v>
      </c>
      <c r="AC149" s="1" t="e">
        <f t="shared" si="13"/>
        <v>#VALUE!</v>
      </c>
      <c r="AD149" s="1" t="e" cm="1">
        <f t="array" ref="AD149">N_ring(AB149,$E$9,$E$3,$E$16,$E$17,$E$6,$E$5)</f>
        <v>#VALUE!</v>
      </c>
      <c r="AE149" s="1" t="e" cm="1">
        <f t="array" ref="AE149">n_inv(AB149,$E$40,$E$9,$E$3,$E$16,$E$17,$E$6,$E$5)</f>
        <v>#VALUE!</v>
      </c>
      <c r="AF149" s="1" t="e" cm="1">
        <f t="array" ref="AF149">Q_oil(AB149,AD149,$E$3,$E$4,$E$17,AE149,$E$40,$E$44,$E$31,$E$36)</f>
        <v>#VALUE!</v>
      </c>
      <c r="AG149" s="4" t="e">
        <f t="shared" si="14"/>
        <v>#VALUE!</v>
      </c>
      <c r="AH149" s="1"/>
    </row>
    <row r="150" spans="27:34" x14ac:dyDescent="0.25">
      <c r="AA150" s="4">
        <f t="shared" si="15"/>
        <v>3314.4123280989124</v>
      </c>
      <c r="AB150" s="1">
        <f t="shared" si="12"/>
        <v>55.24020546831521</v>
      </c>
      <c r="AC150" s="1" t="e">
        <f t="shared" si="13"/>
        <v>#VALUE!</v>
      </c>
      <c r="AD150" s="1" t="e" cm="1">
        <f t="array" ref="AD150">N_ring(AB150,$E$9,$E$3,$E$16,$E$17,$E$6,$E$5)</f>
        <v>#VALUE!</v>
      </c>
      <c r="AE150" s="1" t="e" cm="1">
        <f t="array" ref="AE150">n_inv(AB150,$E$40,$E$9,$E$3,$E$16,$E$17,$E$6,$E$5)</f>
        <v>#VALUE!</v>
      </c>
      <c r="AF150" s="1" t="e" cm="1">
        <f t="array" ref="AF150">Q_oil(AB150,AD150,$E$3,$E$4,$E$17,AE150,$E$40,$E$44,$E$31,$E$36)</f>
        <v>#VALUE!</v>
      </c>
      <c r="AG150" s="4" t="e">
        <f t="shared" si="14"/>
        <v>#VALUE!</v>
      </c>
      <c r="AH150" s="1"/>
    </row>
    <row r="151" spans="27:34" x14ac:dyDescent="0.25">
      <c r="AA151" s="4">
        <f t="shared" si="15"/>
        <v>3365.0837936064804</v>
      </c>
      <c r="AB151" s="1">
        <f t="shared" si="12"/>
        <v>56.084729893441342</v>
      </c>
      <c r="AC151" s="1" t="e">
        <f t="shared" si="13"/>
        <v>#VALUE!</v>
      </c>
      <c r="AD151" s="1" t="e" cm="1">
        <f t="array" ref="AD151">N_ring(AB151,$E$9,$E$3,$E$16,$E$17,$E$6,$E$5)</f>
        <v>#VALUE!</v>
      </c>
      <c r="AE151" s="1" t="e" cm="1">
        <f t="array" ref="AE151">n_inv(AB151,$E$40,$E$9,$E$3,$E$16,$E$17,$E$6,$E$5)</f>
        <v>#VALUE!</v>
      </c>
      <c r="AF151" s="1" t="e" cm="1">
        <f t="array" ref="AF151">Q_oil(AB151,AD151,$E$3,$E$4,$E$17,AE151,$E$40,$E$44,$E$31,$E$36)</f>
        <v>#VALUE!</v>
      </c>
      <c r="AG151" s="4" t="e">
        <f t="shared" si="14"/>
        <v>#VALUE!</v>
      </c>
      <c r="AH151" s="1"/>
    </row>
    <row r="152" spans="27:34" x14ac:dyDescent="0.25">
      <c r="AA152" s="4">
        <f t="shared" si="15"/>
        <v>3415.7552591140484</v>
      </c>
      <c r="AB152" s="1">
        <f t="shared" si="12"/>
        <v>56.929254318567473</v>
      </c>
      <c r="AC152" s="1" t="e">
        <f t="shared" si="13"/>
        <v>#VALUE!</v>
      </c>
      <c r="AD152" s="1" t="e" cm="1">
        <f t="array" ref="AD152">N_ring(AB152,$E$9,$E$3,$E$16,$E$17,$E$6,$E$5)</f>
        <v>#VALUE!</v>
      </c>
      <c r="AE152" s="1" t="e" cm="1">
        <f t="array" ref="AE152">n_inv(AB152,$E$40,$E$9,$E$3,$E$16,$E$17,$E$6,$E$5)</f>
        <v>#VALUE!</v>
      </c>
      <c r="AF152" s="1" t="e" cm="1">
        <f t="array" ref="AF152">Q_oil(AB152,AD152,$E$3,$E$4,$E$17,AE152,$E$40,$E$44,$E$31,$E$36)</f>
        <v>#VALUE!</v>
      </c>
      <c r="AG152" s="4" t="e">
        <f t="shared" si="14"/>
        <v>#VALUE!</v>
      </c>
      <c r="AH152" s="1"/>
    </row>
    <row r="153" spans="27:34" x14ac:dyDescent="0.25">
      <c r="AA153" s="4">
        <f t="shared" si="15"/>
        <v>3466.4267246216164</v>
      </c>
      <c r="AB153" s="1">
        <f t="shared" si="12"/>
        <v>57.773778743693605</v>
      </c>
      <c r="AC153" s="1" t="e">
        <f t="shared" si="13"/>
        <v>#VALUE!</v>
      </c>
      <c r="AD153" s="1" t="e" cm="1">
        <f t="array" ref="AD153">N_ring(AB153,$E$9,$E$3,$E$16,$E$17,$E$6,$E$5)</f>
        <v>#VALUE!</v>
      </c>
      <c r="AE153" s="1" t="e" cm="1">
        <f t="array" ref="AE153">n_inv(AB153,$E$40,$E$9,$E$3,$E$16,$E$17,$E$6,$E$5)</f>
        <v>#VALUE!</v>
      </c>
      <c r="AF153" s="1" t="e" cm="1">
        <f t="array" ref="AF153">Q_oil(AB153,AD153,$E$3,$E$4,$E$17,AE153,$E$40,$E$44,$E$31,$E$36)</f>
        <v>#VALUE!</v>
      </c>
      <c r="AG153" s="4" t="e">
        <f t="shared" si="14"/>
        <v>#VALUE!</v>
      </c>
      <c r="AH153" s="1"/>
    </row>
    <row r="154" spans="27:34" x14ac:dyDescent="0.25">
      <c r="AA154" s="4">
        <f t="shared" si="15"/>
        <v>3517.0981901291843</v>
      </c>
      <c r="AB154" s="1">
        <f t="shared" si="12"/>
        <v>58.618303168819736</v>
      </c>
      <c r="AC154" s="1" t="e">
        <f t="shared" si="13"/>
        <v>#VALUE!</v>
      </c>
      <c r="AD154" s="1" t="e" cm="1">
        <f t="array" ref="AD154">N_ring(AB154,$E$9,$E$3,$E$16,$E$17,$E$6,$E$5)</f>
        <v>#VALUE!</v>
      </c>
      <c r="AE154" s="1" t="e" cm="1">
        <f t="array" ref="AE154">n_inv(AB154,$E$40,$E$9,$E$3,$E$16,$E$17,$E$6,$E$5)</f>
        <v>#VALUE!</v>
      </c>
      <c r="AF154" s="1" t="e" cm="1">
        <f t="array" ref="AF154">Q_oil(AB154,AD154,$E$3,$E$4,$E$17,AE154,$E$40,$E$44,$E$31,$E$36)</f>
        <v>#VALUE!</v>
      </c>
      <c r="AG154" s="4" t="e">
        <f t="shared" si="14"/>
        <v>#VALUE!</v>
      </c>
      <c r="AH154" s="1"/>
    </row>
    <row r="155" spans="27:34" x14ac:dyDescent="0.25">
      <c r="AA155" s="4">
        <f t="shared" si="15"/>
        <v>3567.7696556367523</v>
      </c>
      <c r="AB155" s="1">
        <f t="shared" si="12"/>
        <v>59.462827593945875</v>
      </c>
      <c r="AC155" s="1" t="e">
        <f t="shared" si="13"/>
        <v>#VALUE!</v>
      </c>
      <c r="AD155" s="1" t="e" cm="1">
        <f t="array" ref="AD155">N_ring(AB155,$E$9,$E$3,$E$16,$E$17,$E$6,$E$5)</f>
        <v>#VALUE!</v>
      </c>
      <c r="AE155" s="1" t="e" cm="1">
        <f t="array" ref="AE155">n_inv(AB155,$E$40,$E$9,$E$3,$E$16,$E$17,$E$6,$E$5)</f>
        <v>#VALUE!</v>
      </c>
      <c r="AF155" s="1" t="e" cm="1">
        <f t="array" ref="AF155">Q_oil(AB155,AD155,$E$3,$E$4,$E$17,AE155,$E$40,$E$44,$E$31,$E$36)</f>
        <v>#VALUE!</v>
      </c>
      <c r="AG155" s="4" t="e">
        <f t="shared" si="14"/>
        <v>#VALUE!</v>
      </c>
      <c r="AH155" s="1"/>
    </row>
    <row r="156" spans="27:34" x14ac:dyDescent="0.25">
      <c r="AA156" s="4">
        <f t="shared" si="15"/>
        <v>3618.4411211443203</v>
      </c>
      <c r="AB156" s="1">
        <f t="shared" si="12"/>
        <v>60.307352019072006</v>
      </c>
      <c r="AC156" s="1" t="e">
        <f t="shared" si="13"/>
        <v>#VALUE!</v>
      </c>
      <c r="AD156" s="1" t="e" cm="1">
        <f t="array" ref="AD156">N_ring(AB156,$E$9,$E$3,$E$16,$E$17,$E$6,$E$5)</f>
        <v>#VALUE!</v>
      </c>
      <c r="AE156" s="1" t="e" cm="1">
        <f t="array" ref="AE156">n_inv(AB156,$E$40,$E$9,$E$3,$E$16,$E$17,$E$6,$E$5)</f>
        <v>#VALUE!</v>
      </c>
      <c r="AF156" s="1" t="e" cm="1">
        <f t="array" ref="AF156">Q_oil(AB156,AD156,$E$3,$E$4,$E$17,AE156,$E$40,$E$44,$E$31,$E$36)</f>
        <v>#VALUE!</v>
      </c>
      <c r="AG156" s="4" t="e">
        <f t="shared" si="14"/>
        <v>#VALUE!</v>
      </c>
      <c r="AH156" s="1"/>
    </row>
    <row r="157" spans="27:34" x14ac:dyDescent="0.25">
      <c r="AA157" s="4">
        <f t="shared" si="15"/>
        <v>3669.1125866518883</v>
      </c>
      <c r="AB157" s="1">
        <f t="shared" si="12"/>
        <v>61.151876444198138</v>
      </c>
      <c r="AC157" s="1" t="e">
        <f t="shared" si="13"/>
        <v>#VALUE!</v>
      </c>
      <c r="AD157" s="1" t="e" cm="1">
        <f t="array" ref="AD157">N_ring(AB157,$E$9,$E$3,$E$16,$E$17,$E$6,$E$5)</f>
        <v>#VALUE!</v>
      </c>
      <c r="AE157" s="1" t="e" cm="1">
        <f t="array" ref="AE157">n_inv(AB157,$E$40,$E$9,$E$3,$E$16,$E$17,$E$6,$E$5)</f>
        <v>#VALUE!</v>
      </c>
      <c r="AF157" s="1" t="e" cm="1">
        <f t="array" ref="AF157">Q_oil(AB157,AD157,$E$3,$E$4,$E$17,AE157,$E$40,$E$44,$E$31,$E$36)</f>
        <v>#VALUE!</v>
      </c>
      <c r="AG157" s="4" t="e">
        <f t="shared" si="14"/>
        <v>#VALUE!</v>
      </c>
      <c r="AH157" s="1"/>
    </row>
    <row r="158" spans="27:34" x14ac:dyDescent="0.25">
      <c r="AA158" s="4">
        <f t="shared" si="15"/>
        <v>3719.7840521594562</v>
      </c>
      <c r="AB158" s="1">
        <f t="shared" si="12"/>
        <v>61.996400869324269</v>
      </c>
      <c r="AC158" s="1" t="e">
        <f t="shared" si="13"/>
        <v>#VALUE!</v>
      </c>
      <c r="AD158" s="1" t="e" cm="1">
        <f t="array" ref="AD158">N_ring(AB158,$E$9,$E$3,$E$16,$E$17,$E$6,$E$5)</f>
        <v>#VALUE!</v>
      </c>
      <c r="AE158" s="1" t="e" cm="1">
        <f t="array" ref="AE158">n_inv(AB158,$E$40,$E$9,$E$3,$E$16,$E$17,$E$6,$E$5)</f>
        <v>#VALUE!</v>
      </c>
      <c r="AF158" s="1" t="e" cm="1">
        <f t="array" ref="AF158">Q_oil(AB158,AD158,$E$3,$E$4,$E$17,AE158,$E$40,$E$44,$E$31,$E$36)</f>
        <v>#VALUE!</v>
      </c>
      <c r="AG158" s="4" t="e">
        <f t="shared" si="14"/>
        <v>#VALUE!</v>
      </c>
      <c r="AH158" s="1"/>
    </row>
    <row r="159" spans="27:34" x14ac:dyDescent="0.25">
      <c r="AA159" s="4">
        <f t="shared" si="15"/>
        <v>3770.4555176670242</v>
      </c>
      <c r="AB159" s="1">
        <f t="shared" si="12"/>
        <v>62.8409252944504</v>
      </c>
      <c r="AC159" s="1" t="e">
        <f t="shared" si="13"/>
        <v>#VALUE!</v>
      </c>
      <c r="AD159" s="1" t="e" cm="1">
        <f t="array" ref="AD159">N_ring(AB159,$E$9,$E$3,$E$16,$E$17,$E$6,$E$5)</f>
        <v>#VALUE!</v>
      </c>
      <c r="AE159" s="1" t="e" cm="1">
        <f t="array" ref="AE159">n_inv(AB159,$E$40,$E$9,$E$3,$E$16,$E$17,$E$6,$E$5)</f>
        <v>#VALUE!</v>
      </c>
      <c r="AF159" s="1" t="e" cm="1">
        <f t="array" ref="AF159">Q_oil(AB159,AD159,$E$3,$E$4,$E$17,AE159,$E$40,$E$44,$E$31,$E$36)</f>
        <v>#VALUE!</v>
      </c>
      <c r="AG159" s="4" t="e">
        <f t="shared" si="14"/>
        <v>#VALUE!</v>
      </c>
      <c r="AH159" s="1"/>
    </row>
    <row r="160" spans="27:34" x14ac:dyDescent="0.25">
      <c r="AA160" s="4">
        <f t="shared" si="15"/>
        <v>3821.1269831745922</v>
      </c>
      <c r="AB160" s="1">
        <f t="shared" si="12"/>
        <v>63.685449719576539</v>
      </c>
      <c r="AC160" s="1" t="e">
        <f t="shared" si="13"/>
        <v>#VALUE!</v>
      </c>
      <c r="AD160" s="1" t="e" cm="1">
        <f t="array" ref="AD160">N_ring(AB160,$E$9,$E$3,$E$16,$E$17,$E$6,$E$5)</f>
        <v>#VALUE!</v>
      </c>
      <c r="AE160" s="1" t="e" cm="1">
        <f t="array" ref="AE160">n_inv(AB160,$E$40,$E$9,$E$3,$E$16,$E$17,$E$6,$E$5)</f>
        <v>#VALUE!</v>
      </c>
      <c r="AF160" s="1" t="e" cm="1">
        <f t="array" ref="AF160">Q_oil(AB160,AD160,$E$3,$E$4,$E$17,AE160,$E$40,$E$44,$E$31,$E$36)</f>
        <v>#VALUE!</v>
      </c>
      <c r="AG160" s="4" t="e">
        <f t="shared" si="14"/>
        <v>#VALUE!</v>
      </c>
      <c r="AH160" s="1"/>
    </row>
    <row r="161" spans="27:34" x14ac:dyDescent="0.25">
      <c r="AA161" s="4">
        <f t="shared" si="15"/>
        <v>3871.7984486821601</v>
      </c>
      <c r="AB161" s="1">
        <f t="shared" si="12"/>
        <v>64.529974144702663</v>
      </c>
      <c r="AC161" s="1" t="e">
        <f t="shared" si="13"/>
        <v>#VALUE!</v>
      </c>
      <c r="AD161" s="1" t="e" cm="1">
        <f t="array" ref="AD161">N_ring(AB161,$E$9,$E$3,$E$16,$E$17,$E$6,$E$5)</f>
        <v>#VALUE!</v>
      </c>
      <c r="AE161" s="1" t="e" cm="1">
        <f t="array" ref="AE161">n_inv(AB161,$E$40,$E$9,$E$3,$E$16,$E$17,$E$6,$E$5)</f>
        <v>#VALUE!</v>
      </c>
      <c r="AF161" s="1" t="e" cm="1">
        <f t="array" ref="AF161">Q_oil(AB161,AD161,$E$3,$E$4,$E$17,AE161,$E$40,$E$44,$E$31,$E$36)</f>
        <v>#VALUE!</v>
      </c>
      <c r="AG161" s="4" t="e">
        <f t="shared" si="14"/>
        <v>#VALUE!</v>
      </c>
      <c r="AH161" s="1"/>
    </row>
    <row r="162" spans="27:34" x14ac:dyDescent="0.25">
      <c r="AA162" s="4">
        <f t="shared" si="15"/>
        <v>3922.4699141897281</v>
      </c>
      <c r="AB162" s="1">
        <f t="shared" si="12"/>
        <v>65.374498569828802</v>
      </c>
      <c r="AC162" s="1" t="e">
        <f t="shared" si="13"/>
        <v>#VALUE!</v>
      </c>
      <c r="AD162" s="1" t="e" cm="1">
        <f t="array" ref="AD162">N_ring(AB162,$E$9,$E$3,$E$16,$E$17,$E$6,$E$5)</f>
        <v>#VALUE!</v>
      </c>
      <c r="AE162" s="1" t="e" cm="1">
        <f t="array" ref="AE162">n_inv(AB162,$E$40,$E$9,$E$3,$E$16,$E$17,$E$6,$E$5)</f>
        <v>#VALUE!</v>
      </c>
      <c r="AF162" s="1" t="e" cm="1">
        <f t="array" ref="AF162">Q_oil(AB162,AD162,$E$3,$E$4,$E$17,AE162,$E$40,$E$44,$E$31,$E$36)</f>
        <v>#VALUE!</v>
      </c>
      <c r="AG162" s="4" t="e">
        <f t="shared" si="14"/>
        <v>#VALUE!</v>
      </c>
      <c r="AH162" s="1"/>
    </row>
    <row r="163" spans="27:34" x14ac:dyDescent="0.25">
      <c r="AA163" s="4">
        <f t="shared" si="15"/>
        <v>3973.1413796972961</v>
      </c>
      <c r="AB163" s="1">
        <f t="shared" si="12"/>
        <v>66.21902299495494</v>
      </c>
      <c r="AC163" s="1" t="e">
        <f t="shared" si="13"/>
        <v>#VALUE!</v>
      </c>
      <c r="AD163" s="1" t="e" cm="1">
        <f t="array" ref="AD163">N_ring(AB163,$E$9,$E$3,$E$16,$E$17,$E$6,$E$5)</f>
        <v>#VALUE!</v>
      </c>
      <c r="AE163" s="1" t="e" cm="1">
        <f t="array" ref="AE163">n_inv(AB163,$E$40,$E$9,$E$3,$E$16,$E$17,$E$6,$E$5)</f>
        <v>#VALUE!</v>
      </c>
      <c r="AF163" s="1" t="e" cm="1">
        <f t="array" ref="AF163">Q_oil(AB163,AD163,$E$3,$E$4,$E$17,AE163,$E$40,$E$44,$E$31,$E$36)</f>
        <v>#VALUE!</v>
      </c>
      <c r="AG163" s="4" t="e">
        <f t="shared" si="14"/>
        <v>#VALUE!</v>
      </c>
      <c r="AH163" s="1"/>
    </row>
    <row r="164" spans="27:34" x14ac:dyDescent="0.25">
      <c r="AA164" s="4">
        <f t="shared" si="15"/>
        <v>4023.8128452048641</v>
      </c>
      <c r="AB164" s="1">
        <f t="shared" si="12"/>
        <v>67.063547420081065</v>
      </c>
      <c r="AC164" s="1" t="e">
        <f t="shared" si="13"/>
        <v>#VALUE!</v>
      </c>
      <c r="AD164" s="1" t="e" cm="1">
        <f t="array" ref="AD164">N_ring(AB164,$E$9,$E$3,$E$16,$E$17,$E$6,$E$5)</f>
        <v>#VALUE!</v>
      </c>
      <c r="AE164" s="1" t="e" cm="1">
        <f t="array" ref="AE164">n_inv(AB164,$E$40,$E$9,$E$3,$E$16,$E$17,$E$6,$E$5)</f>
        <v>#VALUE!</v>
      </c>
      <c r="AF164" s="1" t="e" cm="1">
        <f t="array" ref="AF164">Q_oil(AB164,AD164,$E$3,$E$4,$E$17,AE164,$E$40,$E$44,$E$31,$E$36)</f>
        <v>#VALUE!</v>
      </c>
      <c r="AG164" s="4" t="e">
        <f t="shared" si="14"/>
        <v>#VALUE!</v>
      </c>
      <c r="AH164" s="1"/>
    </row>
    <row r="165" spans="27:34" x14ac:dyDescent="0.25">
      <c r="AA165" s="4">
        <f t="shared" si="15"/>
        <v>4074.484310712432</v>
      </c>
      <c r="AB165" s="1">
        <f t="shared" si="12"/>
        <v>67.908071845207203</v>
      </c>
      <c r="AC165" s="1" t="e">
        <f t="shared" si="13"/>
        <v>#VALUE!</v>
      </c>
      <c r="AD165" s="1" t="e" cm="1">
        <f t="array" ref="AD165">N_ring(AB165,$E$9,$E$3,$E$16,$E$17,$E$6,$E$5)</f>
        <v>#VALUE!</v>
      </c>
      <c r="AE165" s="1" t="e" cm="1">
        <f t="array" ref="AE165">n_inv(AB165,$E$40,$E$9,$E$3,$E$16,$E$17,$E$6,$E$5)</f>
        <v>#VALUE!</v>
      </c>
      <c r="AF165" s="1" t="e" cm="1">
        <f t="array" ref="AF165">Q_oil(AB165,AD165,$E$3,$E$4,$E$17,AE165,$E$40,$E$44,$E$31,$E$36)</f>
        <v>#VALUE!</v>
      </c>
      <c r="AG165" s="4" t="e">
        <f t="shared" si="14"/>
        <v>#VALUE!</v>
      </c>
      <c r="AH165" s="1"/>
    </row>
    <row r="166" spans="27:34" x14ac:dyDescent="0.25">
      <c r="AA166" s="4">
        <f t="shared" si="15"/>
        <v>4125.15577622</v>
      </c>
      <c r="AB166" s="1">
        <f t="shared" si="12"/>
        <v>68.752596270333328</v>
      </c>
      <c r="AC166" s="1" t="e">
        <f t="shared" si="13"/>
        <v>#VALUE!</v>
      </c>
      <c r="AD166" s="1" t="e" cm="1">
        <f t="array" ref="AD166">N_ring(AB166,$E$9,$E$3,$E$16,$E$17,$E$6,$E$5)</f>
        <v>#VALUE!</v>
      </c>
      <c r="AE166" s="1" t="e" cm="1">
        <f t="array" ref="AE166">n_inv(AB166,$E$40,$E$9,$E$3,$E$16,$E$17,$E$6,$E$5)</f>
        <v>#VALUE!</v>
      </c>
      <c r="AF166" s="1" t="e" cm="1">
        <f t="array" ref="AF166">Q_oil(AB166,AD166,$E$3,$E$4,$E$17,AE166,$E$40,$E$44,$E$31,$E$36)</f>
        <v>#VALUE!</v>
      </c>
      <c r="AG166" s="4" t="e">
        <f t="shared" si="14"/>
        <v>#VALUE!</v>
      </c>
      <c r="AH166" s="1"/>
    </row>
    <row r="167" spans="27:34" x14ac:dyDescent="0.25">
      <c r="AA167" s="4">
        <f t="shared" si="15"/>
        <v>4175.8272417275675</v>
      </c>
      <c r="AB167" s="1">
        <f t="shared" si="12"/>
        <v>69.597120695459452</v>
      </c>
      <c r="AC167" s="1" t="e">
        <f t="shared" si="13"/>
        <v>#VALUE!</v>
      </c>
      <c r="AD167" s="1" t="e" cm="1">
        <f t="array" ref="AD167">N_ring(AB167,$E$9,$E$3,$E$16,$E$17,$E$6,$E$5)</f>
        <v>#VALUE!</v>
      </c>
      <c r="AE167" s="1" t="e" cm="1">
        <f t="array" ref="AE167">n_inv(AB167,$E$40,$E$9,$E$3,$E$16,$E$17,$E$6,$E$5)</f>
        <v>#VALUE!</v>
      </c>
      <c r="AF167" s="1" t="e" cm="1">
        <f t="array" ref="AF167">Q_oil(AB167,AD167,$E$3,$E$4,$E$17,AE167,$E$40,$E$44,$E$31,$E$36)</f>
        <v>#VALUE!</v>
      </c>
      <c r="AG167" s="4" t="e">
        <f t="shared" si="14"/>
        <v>#VALUE!</v>
      </c>
      <c r="AH167" s="1"/>
    </row>
    <row r="168" spans="27:34" x14ac:dyDescent="0.25">
      <c r="AA168" s="4">
        <f t="shared" ref="AA168:AA203" si="16">AA167+(6000-$C$36)/100</f>
        <v>4226.498707235135</v>
      </c>
      <c r="AB168" s="1">
        <f t="shared" si="12"/>
        <v>70.441645120585591</v>
      </c>
      <c r="AC168" s="1" t="e">
        <f t="shared" si="13"/>
        <v>#VALUE!</v>
      </c>
      <c r="AD168" s="1" t="e" cm="1">
        <f t="array" ref="AD168">N_ring(AB168,$E$9,$E$3,$E$16,$E$17,$E$6,$E$5)</f>
        <v>#VALUE!</v>
      </c>
      <c r="AE168" s="1" t="e" cm="1">
        <f t="array" ref="AE168">n_inv(AB168,$E$40,$E$9,$E$3,$E$16,$E$17,$E$6,$E$5)</f>
        <v>#VALUE!</v>
      </c>
      <c r="AF168" s="1" t="e" cm="1">
        <f t="array" ref="AF168">Q_oil(AB168,AD168,$E$3,$E$4,$E$17,AE168,$E$40,$E$44,$E$31,$E$36)</f>
        <v>#VALUE!</v>
      </c>
      <c r="AG168" s="4" t="e">
        <f t="shared" si="14"/>
        <v>#VALUE!</v>
      </c>
      <c r="AH168" s="1"/>
    </row>
    <row r="169" spans="27:34" x14ac:dyDescent="0.25">
      <c r="AA169" s="4">
        <f t="shared" si="16"/>
        <v>4277.1701727427026</v>
      </c>
      <c r="AB169" s="1">
        <f t="shared" si="12"/>
        <v>71.286169545711715</v>
      </c>
      <c r="AC169" s="1" t="e">
        <f t="shared" si="13"/>
        <v>#VALUE!</v>
      </c>
      <c r="AD169" s="1" t="e" cm="1">
        <f t="array" ref="AD169">N_ring(AB169,$E$9,$E$3,$E$16,$E$17,$E$6,$E$5)</f>
        <v>#VALUE!</v>
      </c>
      <c r="AE169" s="1" t="e" cm="1">
        <f t="array" ref="AE169">n_inv(AB169,$E$40,$E$9,$E$3,$E$16,$E$17,$E$6,$E$5)</f>
        <v>#VALUE!</v>
      </c>
      <c r="AF169" s="1" t="e" cm="1">
        <f t="array" ref="AF169">Q_oil(AB169,AD169,$E$3,$E$4,$E$17,AE169,$E$40,$E$44,$E$31,$E$36)</f>
        <v>#VALUE!</v>
      </c>
      <c r="AG169" s="4" t="e">
        <f t="shared" si="14"/>
        <v>#VALUE!</v>
      </c>
      <c r="AH169" s="1"/>
    </row>
    <row r="170" spans="27:34" x14ac:dyDescent="0.25">
      <c r="AA170" s="4">
        <f t="shared" si="16"/>
        <v>4327.8416382502701</v>
      </c>
      <c r="AB170" s="1">
        <f t="shared" si="12"/>
        <v>72.130693970837839</v>
      </c>
      <c r="AC170" s="1" t="e">
        <f t="shared" si="13"/>
        <v>#VALUE!</v>
      </c>
      <c r="AD170" s="1" t="e" cm="1">
        <f t="array" ref="AD170">N_ring(AB170,$E$9,$E$3,$E$16,$E$17,$E$6,$E$5)</f>
        <v>#VALUE!</v>
      </c>
      <c r="AE170" s="1" t="e" cm="1">
        <f t="array" ref="AE170">n_inv(AB170,$E$40,$E$9,$E$3,$E$16,$E$17,$E$6,$E$5)</f>
        <v>#VALUE!</v>
      </c>
      <c r="AF170" s="1" t="e" cm="1">
        <f t="array" ref="AF170">Q_oil(AB170,AD170,$E$3,$E$4,$E$17,AE170,$E$40,$E$44,$E$31,$E$36)</f>
        <v>#VALUE!</v>
      </c>
      <c r="AG170" s="4" t="e">
        <f t="shared" si="14"/>
        <v>#VALUE!</v>
      </c>
      <c r="AH170" s="1"/>
    </row>
    <row r="171" spans="27:34" x14ac:dyDescent="0.25">
      <c r="AA171" s="4">
        <f t="shared" si="16"/>
        <v>4378.5131037578376</v>
      </c>
      <c r="AB171" s="1">
        <f t="shared" si="12"/>
        <v>72.975218395963964</v>
      </c>
      <c r="AC171" s="1" t="e">
        <f t="shared" si="13"/>
        <v>#VALUE!</v>
      </c>
      <c r="AD171" s="1" t="e" cm="1">
        <f t="array" ref="AD171">N_ring(AB171,$E$9,$E$3,$E$16,$E$17,$E$6,$E$5)</f>
        <v>#VALUE!</v>
      </c>
      <c r="AE171" s="1" t="e" cm="1">
        <f t="array" ref="AE171">n_inv(AB171,$E$40,$E$9,$E$3,$E$16,$E$17,$E$6,$E$5)</f>
        <v>#VALUE!</v>
      </c>
      <c r="AF171" s="1" t="e" cm="1">
        <f t="array" ref="AF171">Q_oil(AB171,AD171,$E$3,$E$4,$E$17,AE171,$E$40,$E$44,$E$31,$E$36)</f>
        <v>#VALUE!</v>
      </c>
      <c r="AG171" s="4" t="e">
        <f t="shared" si="14"/>
        <v>#VALUE!</v>
      </c>
      <c r="AH171" s="1"/>
    </row>
    <row r="172" spans="27:34" x14ac:dyDescent="0.25">
      <c r="AA172" s="4">
        <f t="shared" si="16"/>
        <v>4429.1845692654051</v>
      </c>
      <c r="AB172" s="1">
        <f t="shared" si="12"/>
        <v>73.819742821090088</v>
      </c>
      <c r="AC172" s="1" t="e">
        <f t="shared" si="13"/>
        <v>#VALUE!</v>
      </c>
      <c r="AD172" s="1" t="e" cm="1">
        <f t="array" ref="AD172">N_ring(AB172,$E$9,$E$3,$E$16,$E$17,$E$6,$E$5)</f>
        <v>#VALUE!</v>
      </c>
      <c r="AE172" s="1" t="e" cm="1">
        <f t="array" ref="AE172">n_inv(AB172,$E$40,$E$9,$E$3,$E$16,$E$17,$E$6,$E$5)</f>
        <v>#VALUE!</v>
      </c>
      <c r="AF172" s="1" t="e" cm="1">
        <f t="array" ref="AF172">Q_oil(AB172,AD172,$E$3,$E$4,$E$17,AE172,$E$40,$E$44,$E$31,$E$36)</f>
        <v>#VALUE!</v>
      </c>
      <c r="AG172" s="4" t="e">
        <f t="shared" si="14"/>
        <v>#VALUE!</v>
      </c>
      <c r="AH172" s="1"/>
    </row>
    <row r="173" spans="27:34" x14ac:dyDescent="0.25">
      <c r="AA173" s="4">
        <f t="shared" si="16"/>
        <v>4479.8560347729726</v>
      </c>
      <c r="AB173" s="1">
        <f t="shared" si="12"/>
        <v>74.664267246216212</v>
      </c>
      <c r="AC173" s="1" t="e">
        <f t="shared" si="13"/>
        <v>#VALUE!</v>
      </c>
      <c r="AD173" s="1" t="e" cm="1">
        <f t="array" ref="AD173">N_ring(AB173,$E$9,$E$3,$E$16,$E$17,$E$6,$E$5)</f>
        <v>#VALUE!</v>
      </c>
      <c r="AE173" s="1" t="e" cm="1">
        <f t="array" ref="AE173">n_inv(AB173,$E$40,$E$9,$E$3,$E$16,$E$17,$E$6,$E$5)</f>
        <v>#VALUE!</v>
      </c>
      <c r="AF173" s="1" t="e" cm="1">
        <f t="array" ref="AF173">Q_oil(AB173,AD173,$E$3,$E$4,$E$17,AE173,$E$40,$E$44,$E$31,$E$36)</f>
        <v>#VALUE!</v>
      </c>
      <c r="AG173" s="4" t="e">
        <f t="shared" si="14"/>
        <v>#VALUE!</v>
      </c>
      <c r="AH173" s="1"/>
    </row>
    <row r="174" spans="27:34" x14ac:dyDescent="0.25">
      <c r="AA174" s="4">
        <f t="shared" si="16"/>
        <v>4530.5275002805402</v>
      </c>
      <c r="AB174" s="1">
        <f t="shared" si="12"/>
        <v>75.508791671342337</v>
      </c>
      <c r="AC174" s="1" t="e">
        <f t="shared" si="13"/>
        <v>#VALUE!</v>
      </c>
      <c r="AD174" s="1" t="e" cm="1">
        <f t="array" ref="AD174">N_ring(AB174,$E$9,$E$3,$E$16,$E$17,$E$6,$E$5)</f>
        <v>#VALUE!</v>
      </c>
      <c r="AE174" s="1" t="e" cm="1">
        <f t="array" ref="AE174">n_inv(AB174,$E$40,$E$9,$E$3,$E$16,$E$17,$E$6,$E$5)</f>
        <v>#VALUE!</v>
      </c>
      <c r="AF174" s="1" t="e" cm="1">
        <f t="array" ref="AF174">Q_oil(AB174,AD174,$E$3,$E$4,$E$17,AE174,$E$40,$E$44,$E$31,$E$36)</f>
        <v>#VALUE!</v>
      </c>
      <c r="AG174" s="4" t="e">
        <f t="shared" si="14"/>
        <v>#VALUE!</v>
      </c>
      <c r="AH174" s="1"/>
    </row>
    <row r="175" spans="27:34" x14ac:dyDescent="0.25">
      <c r="AA175" s="4">
        <f t="shared" si="16"/>
        <v>4581.1989657881077</v>
      </c>
      <c r="AB175" s="1">
        <f t="shared" si="12"/>
        <v>76.353316096468461</v>
      </c>
      <c r="AC175" s="1" t="e">
        <f t="shared" si="13"/>
        <v>#VALUE!</v>
      </c>
      <c r="AD175" s="1" t="e" cm="1">
        <f t="array" ref="AD175">N_ring(AB175,$E$9,$E$3,$E$16,$E$17,$E$6,$E$5)</f>
        <v>#VALUE!</v>
      </c>
      <c r="AE175" s="1" t="e" cm="1">
        <f t="array" ref="AE175">n_inv(AB175,$E$40,$E$9,$E$3,$E$16,$E$17,$E$6,$E$5)</f>
        <v>#VALUE!</v>
      </c>
      <c r="AF175" s="1" t="e" cm="1">
        <f t="array" ref="AF175">Q_oil(AB175,AD175,$E$3,$E$4,$E$17,AE175,$E$40,$E$44,$E$31,$E$36)</f>
        <v>#VALUE!</v>
      </c>
      <c r="AG175" s="4" t="e">
        <f t="shared" si="14"/>
        <v>#VALUE!</v>
      </c>
      <c r="AH175" s="1"/>
    </row>
    <row r="176" spans="27:34" x14ac:dyDescent="0.25">
      <c r="AA176" s="4">
        <f t="shared" si="16"/>
        <v>4631.8704312956752</v>
      </c>
      <c r="AB176" s="1">
        <f t="shared" si="12"/>
        <v>77.197840521594586</v>
      </c>
      <c r="AC176" s="1" t="e">
        <f t="shared" si="13"/>
        <v>#VALUE!</v>
      </c>
      <c r="AD176" s="1" t="e" cm="1">
        <f t="array" ref="AD176">N_ring(AB176,$E$9,$E$3,$E$16,$E$17,$E$6,$E$5)</f>
        <v>#VALUE!</v>
      </c>
      <c r="AE176" s="1" t="e" cm="1">
        <f t="array" ref="AE176">n_inv(AB176,$E$40,$E$9,$E$3,$E$16,$E$17,$E$6,$E$5)</f>
        <v>#VALUE!</v>
      </c>
      <c r="AF176" s="1" t="e" cm="1">
        <f t="array" ref="AF176">Q_oil(AB176,AD176,$E$3,$E$4,$E$17,AE176,$E$40,$E$44,$E$31,$E$36)</f>
        <v>#VALUE!</v>
      </c>
      <c r="AG176" s="4" t="e">
        <f t="shared" si="14"/>
        <v>#VALUE!</v>
      </c>
      <c r="AH176" s="1"/>
    </row>
    <row r="177" spans="27:34" x14ac:dyDescent="0.25">
      <c r="AA177" s="4">
        <f t="shared" si="16"/>
        <v>4682.5418968032427</v>
      </c>
      <c r="AB177" s="1">
        <f t="shared" si="12"/>
        <v>78.04236494672071</v>
      </c>
      <c r="AC177" s="1" t="e">
        <f t="shared" si="13"/>
        <v>#VALUE!</v>
      </c>
      <c r="AD177" s="1" t="e" cm="1">
        <f t="array" ref="AD177">N_ring(AB177,$E$9,$E$3,$E$16,$E$17,$E$6,$E$5)</f>
        <v>#VALUE!</v>
      </c>
      <c r="AE177" s="1" t="e" cm="1">
        <f t="array" ref="AE177">n_inv(AB177,$E$40,$E$9,$E$3,$E$16,$E$17,$E$6,$E$5)</f>
        <v>#VALUE!</v>
      </c>
      <c r="AF177" s="1" t="e" cm="1">
        <f t="array" ref="AF177">Q_oil(AB177,AD177,$E$3,$E$4,$E$17,AE177,$E$40,$E$44,$E$31,$E$36)</f>
        <v>#VALUE!</v>
      </c>
      <c r="AG177" s="4" t="e">
        <f t="shared" si="14"/>
        <v>#VALUE!</v>
      </c>
      <c r="AH177" s="1"/>
    </row>
    <row r="178" spans="27:34" x14ac:dyDescent="0.25">
      <c r="AA178" s="4">
        <f t="shared" si="16"/>
        <v>4733.2133623108102</v>
      </c>
      <c r="AB178" s="1">
        <f t="shared" si="12"/>
        <v>78.886889371846834</v>
      </c>
      <c r="AC178" s="1" t="e">
        <f t="shared" si="13"/>
        <v>#VALUE!</v>
      </c>
      <c r="AD178" s="1" t="e" cm="1">
        <f t="array" ref="AD178">N_ring(AB178,$E$9,$E$3,$E$16,$E$17,$E$6,$E$5)</f>
        <v>#VALUE!</v>
      </c>
      <c r="AE178" s="1" t="e" cm="1">
        <f t="array" ref="AE178">n_inv(AB178,$E$40,$E$9,$E$3,$E$16,$E$17,$E$6,$E$5)</f>
        <v>#VALUE!</v>
      </c>
      <c r="AF178" s="1" t="e" cm="1">
        <f t="array" ref="AF178">Q_oil(AB178,AD178,$E$3,$E$4,$E$17,AE178,$E$40,$E$44,$E$31,$E$36)</f>
        <v>#VALUE!</v>
      </c>
      <c r="AG178" s="4" t="e">
        <f t="shared" si="14"/>
        <v>#VALUE!</v>
      </c>
      <c r="AH178" s="1"/>
    </row>
    <row r="179" spans="27:34" x14ac:dyDescent="0.25">
      <c r="AA179" s="4">
        <f t="shared" si="16"/>
        <v>4783.8848278183777</v>
      </c>
      <c r="AB179" s="1">
        <f t="shared" si="12"/>
        <v>79.731413796972959</v>
      </c>
      <c r="AC179" s="1" t="e">
        <f t="shared" si="13"/>
        <v>#VALUE!</v>
      </c>
      <c r="AD179" s="1" t="e" cm="1">
        <f t="array" ref="AD179">N_ring(AB179,$E$9,$E$3,$E$16,$E$17,$E$6,$E$5)</f>
        <v>#VALUE!</v>
      </c>
      <c r="AE179" s="1" t="e" cm="1">
        <f t="array" ref="AE179">n_inv(AB179,$E$40,$E$9,$E$3,$E$16,$E$17,$E$6,$E$5)</f>
        <v>#VALUE!</v>
      </c>
      <c r="AF179" s="1" t="e" cm="1">
        <f t="array" ref="AF179">Q_oil(AB179,AD179,$E$3,$E$4,$E$17,AE179,$E$40,$E$44,$E$31,$E$36)</f>
        <v>#VALUE!</v>
      </c>
      <c r="AG179" s="4" t="e">
        <f t="shared" si="14"/>
        <v>#VALUE!</v>
      </c>
      <c r="AH179" s="1"/>
    </row>
    <row r="180" spans="27:34" x14ac:dyDescent="0.25">
      <c r="AA180" s="4">
        <f t="shared" si="16"/>
        <v>4834.5562933259453</v>
      </c>
      <c r="AB180" s="1">
        <f t="shared" si="12"/>
        <v>80.575938222099083</v>
      </c>
      <c r="AC180" s="1" t="e">
        <f t="shared" si="13"/>
        <v>#VALUE!</v>
      </c>
      <c r="AD180" s="1" t="e" cm="1">
        <f t="array" ref="AD180">N_ring(AB180,$E$9,$E$3,$E$16,$E$17,$E$6,$E$5)</f>
        <v>#VALUE!</v>
      </c>
      <c r="AE180" s="1" t="e" cm="1">
        <f t="array" ref="AE180">n_inv(AB180,$E$40,$E$9,$E$3,$E$16,$E$17,$E$6,$E$5)</f>
        <v>#VALUE!</v>
      </c>
      <c r="AF180" s="1" t="e" cm="1">
        <f t="array" ref="AF180">Q_oil(AB180,AD180,$E$3,$E$4,$E$17,AE180,$E$40,$E$44,$E$31,$E$36)</f>
        <v>#VALUE!</v>
      </c>
      <c r="AG180" s="4" t="e">
        <f t="shared" si="14"/>
        <v>#VALUE!</v>
      </c>
      <c r="AH180" s="1"/>
    </row>
    <row r="181" spans="27:34" x14ac:dyDescent="0.25">
      <c r="AA181" s="4">
        <f t="shared" si="16"/>
        <v>4885.2277588335128</v>
      </c>
      <c r="AB181" s="1">
        <f t="shared" si="12"/>
        <v>81.420462647225207</v>
      </c>
      <c r="AC181" s="1" t="e">
        <f t="shared" si="13"/>
        <v>#VALUE!</v>
      </c>
      <c r="AD181" s="1" t="e" cm="1">
        <f t="array" ref="AD181">N_ring(AB181,$E$9,$E$3,$E$16,$E$17,$E$6,$E$5)</f>
        <v>#VALUE!</v>
      </c>
      <c r="AE181" s="1" t="e" cm="1">
        <f t="array" ref="AE181">n_inv(AB181,$E$40,$E$9,$E$3,$E$16,$E$17,$E$6,$E$5)</f>
        <v>#VALUE!</v>
      </c>
      <c r="AF181" s="1" t="e" cm="1">
        <f t="array" ref="AF181">Q_oil(AB181,AD181,$E$3,$E$4,$E$17,AE181,$E$40,$E$44,$E$31,$E$36)</f>
        <v>#VALUE!</v>
      </c>
      <c r="AG181" s="4" t="e">
        <f t="shared" si="14"/>
        <v>#VALUE!</v>
      </c>
      <c r="AH181" s="1"/>
    </row>
    <row r="182" spans="27:34" x14ac:dyDescent="0.25">
      <c r="AA182" s="4">
        <f t="shared" si="16"/>
        <v>4935.8992243410803</v>
      </c>
      <c r="AB182" s="1">
        <f t="shared" si="12"/>
        <v>82.264987072351332</v>
      </c>
      <c r="AC182" s="1" t="e">
        <f t="shared" si="13"/>
        <v>#VALUE!</v>
      </c>
      <c r="AD182" s="1" t="e" cm="1">
        <f t="array" ref="AD182">N_ring(AB182,$E$9,$E$3,$E$16,$E$17,$E$6,$E$5)</f>
        <v>#VALUE!</v>
      </c>
      <c r="AE182" s="1" t="e" cm="1">
        <f t="array" ref="AE182">n_inv(AB182,$E$40,$E$9,$E$3,$E$16,$E$17,$E$6,$E$5)</f>
        <v>#VALUE!</v>
      </c>
      <c r="AF182" s="1" t="e" cm="1">
        <f t="array" ref="AF182">Q_oil(AB182,AD182,$E$3,$E$4,$E$17,AE182,$E$40,$E$44,$E$31,$E$36)</f>
        <v>#VALUE!</v>
      </c>
      <c r="AG182" s="4" t="e">
        <f t="shared" si="14"/>
        <v>#VALUE!</v>
      </c>
      <c r="AH182" s="1"/>
    </row>
    <row r="183" spans="27:34" x14ac:dyDescent="0.25">
      <c r="AA183" s="4">
        <f t="shared" si="16"/>
        <v>4986.5706898486478</v>
      </c>
      <c r="AB183" s="1">
        <f t="shared" si="12"/>
        <v>83.10951149747747</v>
      </c>
      <c r="AC183" s="1" t="e">
        <f t="shared" si="13"/>
        <v>#VALUE!</v>
      </c>
      <c r="AD183" s="1" t="e" cm="1">
        <f t="array" ref="AD183">N_ring(AB183,$E$9,$E$3,$E$16,$E$17,$E$6,$E$5)</f>
        <v>#VALUE!</v>
      </c>
      <c r="AE183" s="1" t="e" cm="1">
        <f t="array" ref="AE183">n_inv(AB183,$E$40,$E$9,$E$3,$E$16,$E$17,$E$6,$E$5)</f>
        <v>#VALUE!</v>
      </c>
      <c r="AF183" s="1" t="e" cm="1">
        <f t="array" ref="AF183">Q_oil(AB183,AD183,$E$3,$E$4,$E$17,AE183,$E$40,$E$44,$E$31,$E$36)</f>
        <v>#VALUE!</v>
      </c>
      <c r="AG183" s="4" t="e">
        <f t="shared" si="14"/>
        <v>#VALUE!</v>
      </c>
      <c r="AH183" s="1"/>
    </row>
    <row r="184" spans="27:34" x14ac:dyDescent="0.25">
      <c r="AA184" s="4">
        <f t="shared" si="16"/>
        <v>5037.2421553562153</v>
      </c>
      <c r="AB184" s="1">
        <f t="shared" si="12"/>
        <v>83.954035922603595</v>
      </c>
      <c r="AC184" s="1" t="e">
        <f t="shared" si="13"/>
        <v>#VALUE!</v>
      </c>
      <c r="AD184" s="1" t="e" cm="1">
        <f t="array" ref="AD184">N_ring(AB184,$E$9,$E$3,$E$16,$E$17,$E$6,$E$5)</f>
        <v>#VALUE!</v>
      </c>
      <c r="AE184" s="1" t="e" cm="1">
        <f t="array" ref="AE184">n_inv(AB184,$E$40,$E$9,$E$3,$E$16,$E$17,$E$6,$E$5)</f>
        <v>#VALUE!</v>
      </c>
      <c r="AF184" s="1" t="e" cm="1">
        <f t="array" ref="AF184">Q_oil(AB184,AD184,$E$3,$E$4,$E$17,AE184,$E$40,$E$44,$E$31,$E$36)</f>
        <v>#VALUE!</v>
      </c>
      <c r="AG184" s="4" t="e">
        <f t="shared" si="14"/>
        <v>#VALUE!</v>
      </c>
      <c r="AH184" s="1"/>
    </row>
    <row r="185" spans="27:34" x14ac:dyDescent="0.25">
      <c r="AA185" s="4">
        <f t="shared" si="16"/>
        <v>5087.9136208637829</v>
      </c>
      <c r="AB185" s="1">
        <f t="shared" si="12"/>
        <v>84.798560347729719</v>
      </c>
      <c r="AC185" s="1" t="e">
        <f t="shared" si="13"/>
        <v>#VALUE!</v>
      </c>
      <c r="AD185" s="1" t="e" cm="1">
        <f t="array" ref="AD185">N_ring(AB185,$E$9,$E$3,$E$16,$E$17,$E$6,$E$5)</f>
        <v>#VALUE!</v>
      </c>
      <c r="AE185" s="1" t="e" cm="1">
        <f t="array" ref="AE185">n_inv(AB185,$E$40,$E$9,$E$3,$E$16,$E$17,$E$6,$E$5)</f>
        <v>#VALUE!</v>
      </c>
      <c r="AF185" s="1" t="e" cm="1">
        <f t="array" ref="AF185">Q_oil(AB185,AD185,$E$3,$E$4,$E$17,AE185,$E$40,$E$44,$E$31,$E$36)</f>
        <v>#VALUE!</v>
      </c>
      <c r="AG185" s="4" t="e">
        <f t="shared" si="14"/>
        <v>#VALUE!</v>
      </c>
      <c r="AH185" s="1"/>
    </row>
    <row r="186" spans="27:34" x14ac:dyDescent="0.25">
      <c r="AA186" s="4">
        <f t="shared" si="16"/>
        <v>5138.5850863713504</v>
      </c>
      <c r="AB186" s="1">
        <f t="shared" si="12"/>
        <v>85.643084772855843</v>
      </c>
      <c r="AC186" s="1" t="e">
        <f t="shared" si="13"/>
        <v>#VALUE!</v>
      </c>
      <c r="AD186" s="1" t="e" cm="1">
        <f t="array" ref="AD186">N_ring(AB186,$E$9,$E$3,$E$16,$E$17,$E$6,$E$5)</f>
        <v>#VALUE!</v>
      </c>
      <c r="AE186" s="1" t="e" cm="1">
        <f t="array" ref="AE186">n_inv(AB186,$E$40,$E$9,$E$3,$E$16,$E$17,$E$6,$E$5)</f>
        <v>#VALUE!</v>
      </c>
      <c r="AF186" s="1" t="e" cm="1">
        <f t="array" ref="AF186">Q_oil(AB186,AD186,$E$3,$E$4,$E$17,AE186,$E$40,$E$44,$E$31,$E$36)</f>
        <v>#VALUE!</v>
      </c>
      <c r="AG186" s="4" t="e">
        <f t="shared" si="14"/>
        <v>#VALUE!</v>
      </c>
      <c r="AH186" s="1"/>
    </row>
    <row r="187" spans="27:34" x14ac:dyDescent="0.25">
      <c r="AA187" s="4">
        <f t="shared" si="16"/>
        <v>5189.2565518789179</v>
      </c>
      <c r="AB187" s="1">
        <f t="shared" si="12"/>
        <v>86.487609197981968</v>
      </c>
      <c r="AC187" s="1" t="e">
        <f t="shared" si="13"/>
        <v>#VALUE!</v>
      </c>
      <c r="AD187" s="1" t="e" cm="1">
        <f t="array" ref="AD187">N_ring(AB187,$E$9,$E$3,$E$16,$E$17,$E$6,$E$5)</f>
        <v>#VALUE!</v>
      </c>
      <c r="AE187" s="1" t="e" cm="1">
        <f t="array" ref="AE187">n_inv(AB187,$E$40,$E$9,$E$3,$E$16,$E$17,$E$6,$E$5)</f>
        <v>#VALUE!</v>
      </c>
      <c r="AF187" s="1" t="e" cm="1">
        <f t="array" ref="AF187">Q_oil(AB187,AD187,$E$3,$E$4,$E$17,AE187,$E$40,$E$44,$E$31,$E$36)</f>
        <v>#VALUE!</v>
      </c>
      <c r="AG187" s="4" t="e">
        <f t="shared" si="14"/>
        <v>#VALUE!</v>
      </c>
      <c r="AH187" s="1"/>
    </row>
    <row r="188" spans="27:34" x14ac:dyDescent="0.25">
      <c r="AA188" s="4">
        <f t="shared" si="16"/>
        <v>5239.9280173864854</v>
      </c>
      <c r="AB188" s="1">
        <f t="shared" si="12"/>
        <v>87.332133623108092</v>
      </c>
      <c r="AC188" s="1" t="e">
        <f t="shared" si="13"/>
        <v>#VALUE!</v>
      </c>
      <c r="AD188" s="1" t="e" cm="1">
        <f t="array" ref="AD188">N_ring(AB188,$E$9,$E$3,$E$16,$E$17,$E$6,$E$5)</f>
        <v>#VALUE!</v>
      </c>
      <c r="AE188" s="1" t="e" cm="1">
        <f t="array" ref="AE188">n_inv(AB188,$E$40,$E$9,$E$3,$E$16,$E$17,$E$6,$E$5)</f>
        <v>#VALUE!</v>
      </c>
      <c r="AF188" s="1" t="e" cm="1">
        <f t="array" ref="AF188">Q_oil(AB188,AD188,$E$3,$E$4,$E$17,AE188,$E$40,$E$44,$E$31,$E$36)</f>
        <v>#VALUE!</v>
      </c>
      <c r="AG188" s="4" t="e">
        <f t="shared" si="14"/>
        <v>#VALUE!</v>
      </c>
      <c r="AH188" s="1"/>
    </row>
    <row r="189" spans="27:34" x14ac:dyDescent="0.25">
      <c r="AA189" s="4">
        <f t="shared" si="16"/>
        <v>5290.5994828940529</v>
      </c>
      <c r="AB189" s="1">
        <f t="shared" ref="AB189:AB203" si="17">AA189/60</f>
        <v>88.176658048234216</v>
      </c>
      <c r="AC189" s="1" t="e">
        <f t="shared" ref="AC189:AC203" si="18">60*AD189</f>
        <v>#VALUE!</v>
      </c>
      <c r="AD189" s="1" t="e" cm="1">
        <f t="array" ref="AD189">N_ring(AB189,$E$9,$E$3,$E$16,$E$17,$E$6,$E$5)</f>
        <v>#VALUE!</v>
      </c>
      <c r="AE189" s="1" t="e" cm="1">
        <f t="array" ref="AE189">n_inv(AB189,$E$40,$E$9,$E$3,$E$16,$E$17,$E$6,$E$5)</f>
        <v>#VALUE!</v>
      </c>
      <c r="AF189" s="1" t="e" cm="1">
        <f t="array" ref="AF189">Q_oil(AB189,AD189,$E$3,$E$4,$E$17,AE189,$E$40,$E$44,$E$31,$E$36)</f>
        <v>#VALUE!</v>
      </c>
      <c r="AG189" s="4" t="e">
        <f t="shared" ref="AG189:AG203" si="19">CONVERT(AF189,"in^3","mm^3")</f>
        <v>#VALUE!</v>
      </c>
      <c r="AH189" s="1"/>
    </row>
    <row r="190" spans="27:34" x14ac:dyDescent="0.25">
      <c r="AA190" s="4">
        <f t="shared" si="16"/>
        <v>5341.2709484016204</v>
      </c>
      <c r="AB190" s="1">
        <f t="shared" si="17"/>
        <v>89.021182473360341</v>
      </c>
      <c r="AC190" s="1" t="e">
        <f t="shared" si="18"/>
        <v>#VALUE!</v>
      </c>
      <c r="AD190" s="1" t="e" cm="1">
        <f t="array" ref="AD190">N_ring(AB190,$E$9,$E$3,$E$16,$E$17,$E$6,$E$5)</f>
        <v>#VALUE!</v>
      </c>
      <c r="AE190" s="1" t="e" cm="1">
        <f t="array" ref="AE190">n_inv(AB190,$E$40,$E$9,$E$3,$E$16,$E$17,$E$6,$E$5)</f>
        <v>#VALUE!</v>
      </c>
      <c r="AF190" s="1" t="e" cm="1">
        <f t="array" ref="AF190">Q_oil(AB190,AD190,$E$3,$E$4,$E$17,AE190,$E$40,$E$44,$E$31,$E$36)</f>
        <v>#VALUE!</v>
      </c>
      <c r="AG190" s="4" t="e">
        <f t="shared" si="19"/>
        <v>#VALUE!</v>
      </c>
      <c r="AH190" s="1"/>
    </row>
    <row r="191" spans="27:34" x14ac:dyDescent="0.25">
      <c r="AA191" s="4">
        <f t="shared" si="16"/>
        <v>5391.942413909188</v>
      </c>
      <c r="AB191" s="1">
        <f t="shared" si="17"/>
        <v>89.865706898486465</v>
      </c>
      <c r="AC191" s="1" t="e">
        <f t="shared" si="18"/>
        <v>#VALUE!</v>
      </c>
      <c r="AD191" s="1" t="e" cm="1">
        <f t="array" ref="AD191">N_ring(AB191,$E$9,$E$3,$E$16,$E$17,$E$6,$E$5)</f>
        <v>#VALUE!</v>
      </c>
      <c r="AE191" s="1" t="e" cm="1">
        <f t="array" ref="AE191">n_inv(AB191,$E$40,$E$9,$E$3,$E$16,$E$17,$E$6,$E$5)</f>
        <v>#VALUE!</v>
      </c>
      <c r="AF191" s="1" t="e" cm="1">
        <f t="array" ref="AF191">Q_oil(AB191,AD191,$E$3,$E$4,$E$17,AE191,$E$40,$E$44,$E$31,$E$36)</f>
        <v>#VALUE!</v>
      </c>
      <c r="AG191" s="4" t="e">
        <f t="shared" si="19"/>
        <v>#VALUE!</v>
      </c>
      <c r="AH191" s="1"/>
    </row>
    <row r="192" spans="27:34" x14ac:dyDescent="0.25">
      <c r="AA192" s="4">
        <f t="shared" si="16"/>
        <v>5442.6138794167555</v>
      </c>
      <c r="AB192" s="1">
        <f t="shared" si="17"/>
        <v>90.710231323612589</v>
      </c>
      <c r="AC192" s="1" t="e">
        <f t="shared" si="18"/>
        <v>#VALUE!</v>
      </c>
      <c r="AD192" s="1" t="e" cm="1">
        <f t="array" ref="AD192">N_ring(AB192,$E$9,$E$3,$E$16,$E$17,$E$6,$E$5)</f>
        <v>#VALUE!</v>
      </c>
      <c r="AE192" s="1" t="e" cm="1">
        <f t="array" ref="AE192">n_inv(AB192,$E$40,$E$9,$E$3,$E$16,$E$17,$E$6,$E$5)</f>
        <v>#VALUE!</v>
      </c>
      <c r="AF192" s="1" t="e" cm="1">
        <f t="array" ref="AF192">Q_oil(AB192,AD192,$E$3,$E$4,$E$17,AE192,$E$40,$E$44,$E$31,$E$36)</f>
        <v>#VALUE!</v>
      </c>
      <c r="AG192" s="4" t="e">
        <f t="shared" si="19"/>
        <v>#VALUE!</v>
      </c>
      <c r="AH192" s="1"/>
    </row>
    <row r="193" spans="27:34" x14ac:dyDescent="0.25">
      <c r="AA193" s="4">
        <f t="shared" si="16"/>
        <v>5493.285344924323</v>
      </c>
      <c r="AB193" s="1">
        <f t="shared" si="17"/>
        <v>91.554755748738714</v>
      </c>
      <c r="AC193" s="1" t="e">
        <f t="shared" si="18"/>
        <v>#VALUE!</v>
      </c>
      <c r="AD193" s="1" t="e" cm="1">
        <f t="array" ref="AD193">N_ring(AB193,$E$9,$E$3,$E$16,$E$17,$E$6,$E$5)</f>
        <v>#VALUE!</v>
      </c>
      <c r="AE193" s="1" t="e" cm="1">
        <f t="array" ref="AE193">n_inv(AB193,$E$40,$E$9,$E$3,$E$16,$E$17,$E$6,$E$5)</f>
        <v>#VALUE!</v>
      </c>
      <c r="AF193" s="1" t="e" cm="1">
        <f t="array" ref="AF193">Q_oil(AB193,AD193,$E$3,$E$4,$E$17,AE193,$E$40,$E$44,$E$31,$E$36)</f>
        <v>#VALUE!</v>
      </c>
      <c r="AG193" s="4" t="e">
        <f t="shared" si="19"/>
        <v>#VALUE!</v>
      </c>
      <c r="AH193" s="1"/>
    </row>
    <row r="194" spans="27:34" x14ac:dyDescent="0.25">
      <c r="AA194" s="4">
        <f t="shared" si="16"/>
        <v>5543.9568104318905</v>
      </c>
      <c r="AB194" s="1">
        <f t="shared" si="17"/>
        <v>92.399280173864838</v>
      </c>
      <c r="AC194" s="1" t="e">
        <f t="shared" si="18"/>
        <v>#VALUE!</v>
      </c>
      <c r="AD194" s="1" t="e" cm="1">
        <f t="array" ref="AD194">N_ring(AB194,$E$9,$E$3,$E$16,$E$17,$E$6,$E$5)</f>
        <v>#VALUE!</v>
      </c>
      <c r="AE194" s="1" t="e" cm="1">
        <f t="array" ref="AE194">n_inv(AB194,$E$40,$E$9,$E$3,$E$16,$E$17,$E$6,$E$5)</f>
        <v>#VALUE!</v>
      </c>
      <c r="AF194" s="1" t="e" cm="1">
        <f t="array" ref="AF194">Q_oil(AB194,AD194,$E$3,$E$4,$E$17,AE194,$E$40,$E$44,$E$31,$E$36)</f>
        <v>#VALUE!</v>
      </c>
      <c r="AG194" s="4" t="e">
        <f t="shared" si="19"/>
        <v>#VALUE!</v>
      </c>
      <c r="AH194" s="1"/>
    </row>
    <row r="195" spans="27:34" x14ac:dyDescent="0.25">
      <c r="AA195" s="4">
        <f t="shared" si="16"/>
        <v>5594.628275939458</v>
      </c>
      <c r="AB195" s="1">
        <f t="shared" si="17"/>
        <v>93.243804598990963</v>
      </c>
      <c r="AC195" s="1" t="e">
        <f t="shared" si="18"/>
        <v>#VALUE!</v>
      </c>
      <c r="AD195" s="1" t="e" cm="1">
        <f t="array" ref="AD195">N_ring(AB195,$E$9,$E$3,$E$16,$E$17,$E$6,$E$5)</f>
        <v>#VALUE!</v>
      </c>
      <c r="AE195" s="1" t="e" cm="1">
        <f t="array" ref="AE195">n_inv(AB195,$E$40,$E$9,$E$3,$E$16,$E$17,$E$6,$E$5)</f>
        <v>#VALUE!</v>
      </c>
      <c r="AF195" s="1" t="e" cm="1">
        <f t="array" ref="AF195">Q_oil(AB195,AD195,$E$3,$E$4,$E$17,AE195,$E$40,$E$44,$E$31,$E$36)</f>
        <v>#VALUE!</v>
      </c>
      <c r="AG195" s="4" t="e">
        <f t="shared" si="19"/>
        <v>#VALUE!</v>
      </c>
      <c r="AH195" s="1"/>
    </row>
    <row r="196" spans="27:34" x14ac:dyDescent="0.25">
      <c r="AA196" s="4">
        <f t="shared" si="16"/>
        <v>5645.2997414470256</v>
      </c>
      <c r="AB196" s="1">
        <f t="shared" si="17"/>
        <v>94.088329024117087</v>
      </c>
      <c r="AC196" s="1" t="e">
        <f t="shared" si="18"/>
        <v>#VALUE!</v>
      </c>
      <c r="AD196" s="1" t="e" cm="1">
        <f t="array" ref="AD196">N_ring(AB196,$E$9,$E$3,$E$16,$E$17,$E$6,$E$5)</f>
        <v>#VALUE!</v>
      </c>
      <c r="AE196" s="1" t="e" cm="1">
        <f t="array" ref="AE196">n_inv(AB196,$E$40,$E$9,$E$3,$E$16,$E$17,$E$6,$E$5)</f>
        <v>#VALUE!</v>
      </c>
      <c r="AF196" s="1" t="e" cm="1">
        <f t="array" ref="AF196">Q_oil(AB196,AD196,$E$3,$E$4,$E$17,AE196,$E$40,$E$44,$E$31,$E$36)</f>
        <v>#VALUE!</v>
      </c>
      <c r="AG196" s="4" t="e">
        <f t="shared" si="19"/>
        <v>#VALUE!</v>
      </c>
      <c r="AH196" s="1"/>
    </row>
    <row r="197" spans="27:34" x14ac:dyDescent="0.25">
      <c r="AA197" s="4">
        <f t="shared" si="16"/>
        <v>5695.9712069545931</v>
      </c>
      <c r="AB197" s="1">
        <f t="shared" si="17"/>
        <v>94.932853449243211</v>
      </c>
      <c r="AC197" s="1" t="e">
        <f t="shared" si="18"/>
        <v>#VALUE!</v>
      </c>
      <c r="AD197" s="1" t="e" cm="1">
        <f t="array" ref="AD197">N_ring(AB197,$E$9,$E$3,$E$16,$E$17,$E$6,$E$5)</f>
        <v>#VALUE!</v>
      </c>
      <c r="AE197" s="1" t="e" cm="1">
        <f t="array" ref="AE197">n_inv(AB197,$E$40,$E$9,$E$3,$E$16,$E$17,$E$6,$E$5)</f>
        <v>#VALUE!</v>
      </c>
      <c r="AF197" s="1" t="e" cm="1">
        <f t="array" ref="AF197">Q_oil(AB197,AD197,$E$3,$E$4,$E$17,AE197,$E$40,$E$44,$E$31,$E$36)</f>
        <v>#VALUE!</v>
      </c>
      <c r="AG197" s="4" t="e">
        <f t="shared" si="19"/>
        <v>#VALUE!</v>
      </c>
      <c r="AH197" s="1"/>
    </row>
    <row r="198" spans="27:34" x14ac:dyDescent="0.25">
      <c r="AA198" s="4">
        <f t="shared" si="16"/>
        <v>5746.6426724621606</v>
      </c>
      <c r="AB198" s="1">
        <f t="shared" si="17"/>
        <v>95.77737787436935</v>
      </c>
      <c r="AC198" s="1" t="e">
        <f t="shared" si="18"/>
        <v>#VALUE!</v>
      </c>
      <c r="AD198" s="1" t="e" cm="1">
        <f t="array" ref="AD198">N_ring(AB198,$E$9,$E$3,$E$16,$E$17,$E$6,$E$5)</f>
        <v>#VALUE!</v>
      </c>
      <c r="AE198" s="1" t="e" cm="1">
        <f t="array" ref="AE198">n_inv(AB198,$E$40,$E$9,$E$3,$E$16,$E$17,$E$6,$E$5)</f>
        <v>#VALUE!</v>
      </c>
      <c r="AF198" s="1" t="e" cm="1">
        <f t="array" ref="AF198">Q_oil(AB198,AD198,$E$3,$E$4,$E$17,AE198,$E$40,$E$44,$E$31,$E$36)</f>
        <v>#VALUE!</v>
      </c>
      <c r="AG198" s="4" t="e">
        <f t="shared" si="19"/>
        <v>#VALUE!</v>
      </c>
      <c r="AH198" s="1"/>
    </row>
    <row r="199" spans="27:34" x14ac:dyDescent="0.25">
      <c r="AA199" s="4">
        <f t="shared" si="16"/>
        <v>5797.3141379697281</v>
      </c>
      <c r="AB199" s="1">
        <f t="shared" si="17"/>
        <v>96.621902299495474</v>
      </c>
      <c r="AC199" s="1" t="e">
        <f t="shared" si="18"/>
        <v>#VALUE!</v>
      </c>
      <c r="AD199" s="1" t="e" cm="1">
        <f t="array" ref="AD199">N_ring(AB199,$E$9,$E$3,$E$16,$E$17,$E$6,$E$5)</f>
        <v>#VALUE!</v>
      </c>
      <c r="AE199" s="1" t="e" cm="1">
        <f t="array" ref="AE199">n_inv(AB199,$E$40,$E$9,$E$3,$E$16,$E$17,$E$6,$E$5)</f>
        <v>#VALUE!</v>
      </c>
      <c r="AF199" s="1" t="e" cm="1">
        <f t="array" ref="AF199">Q_oil(AB199,AD199,$E$3,$E$4,$E$17,AE199,$E$40,$E$44,$E$31,$E$36)</f>
        <v>#VALUE!</v>
      </c>
      <c r="AG199" s="4" t="e">
        <f t="shared" si="19"/>
        <v>#VALUE!</v>
      </c>
      <c r="AH199" s="1"/>
    </row>
    <row r="200" spans="27:34" x14ac:dyDescent="0.25">
      <c r="AA200" s="4">
        <f t="shared" si="16"/>
        <v>5847.9856034772956</v>
      </c>
      <c r="AB200" s="1">
        <f t="shared" si="17"/>
        <v>97.466426724621599</v>
      </c>
      <c r="AC200" s="1" t="e">
        <f t="shared" si="18"/>
        <v>#VALUE!</v>
      </c>
      <c r="AD200" s="1" t="e" cm="1">
        <f t="array" ref="AD200">N_ring(AB200,$E$9,$E$3,$E$16,$E$17,$E$6,$E$5)</f>
        <v>#VALUE!</v>
      </c>
      <c r="AE200" s="1" t="e" cm="1">
        <f t="array" ref="AE200">n_inv(AB200,$E$40,$E$9,$E$3,$E$16,$E$17,$E$6,$E$5)</f>
        <v>#VALUE!</v>
      </c>
      <c r="AF200" s="1" t="e" cm="1">
        <f t="array" ref="AF200">Q_oil(AB200,AD200,$E$3,$E$4,$E$17,AE200,$E$40,$E$44,$E$31,$E$36)</f>
        <v>#VALUE!</v>
      </c>
      <c r="AG200" s="4" t="e">
        <f t="shared" si="19"/>
        <v>#VALUE!</v>
      </c>
      <c r="AH200" s="1"/>
    </row>
    <row r="201" spans="27:34" x14ac:dyDescent="0.25">
      <c r="AA201" s="4">
        <f t="shared" si="16"/>
        <v>5898.6570689848631</v>
      </c>
      <c r="AB201" s="1">
        <f t="shared" si="17"/>
        <v>98.310951149747723</v>
      </c>
      <c r="AC201" s="1" t="e">
        <f t="shared" si="18"/>
        <v>#VALUE!</v>
      </c>
      <c r="AD201" s="1" t="e" cm="1">
        <f t="array" ref="AD201">N_ring(AB201,$E$9,$E$3,$E$16,$E$17,$E$6,$E$5)</f>
        <v>#VALUE!</v>
      </c>
      <c r="AE201" s="1" t="e" cm="1">
        <f t="array" ref="AE201">n_inv(AB201,$E$40,$E$9,$E$3,$E$16,$E$17,$E$6,$E$5)</f>
        <v>#VALUE!</v>
      </c>
      <c r="AF201" s="1" t="e" cm="1">
        <f t="array" ref="AF201">Q_oil(AB201,AD201,$E$3,$E$4,$E$17,AE201,$E$40,$E$44,$E$31,$E$36)</f>
        <v>#VALUE!</v>
      </c>
      <c r="AG201" s="4" t="e">
        <f t="shared" si="19"/>
        <v>#VALUE!</v>
      </c>
      <c r="AH201" s="1"/>
    </row>
    <row r="202" spans="27:34" x14ac:dyDescent="0.25">
      <c r="AA202" s="4">
        <f t="shared" si="16"/>
        <v>5949.3285344924307</v>
      </c>
      <c r="AB202" s="1">
        <f t="shared" si="17"/>
        <v>99.155475574873847</v>
      </c>
      <c r="AC202" s="1" t="e">
        <f t="shared" si="18"/>
        <v>#VALUE!</v>
      </c>
      <c r="AD202" s="1" t="e" cm="1">
        <f t="array" ref="AD202">N_ring(AB202,$E$9,$E$3,$E$16,$E$17,$E$6,$E$5)</f>
        <v>#VALUE!</v>
      </c>
      <c r="AE202" s="1" t="e" cm="1">
        <f t="array" ref="AE202">n_inv(AB202,$E$40,$E$9,$E$3,$E$16,$E$17,$E$6,$E$5)</f>
        <v>#VALUE!</v>
      </c>
      <c r="AF202" s="1" t="e" cm="1">
        <f t="array" ref="AF202">Q_oil(AB202,AD202,$E$3,$E$4,$E$17,AE202,$E$40,$E$44,$E$31,$E$36)</f>
        <v>#VALUE!</v>
      </c>
      <c r="AG202" s="4" t="e">
        <f t="shared" si="19"/>
        <v>#VALUE!</v>
      </c>
      <c r="AH202" s="1"/>
    </row>
    <row r="203" spans="27:34" x14ac:dyDescent="0.25">
      <c r="AA203" s="4">
        <f t="shared" si="16"/>
        <v>5999.9999999999982</v>
      </c>
      <c r="AB203" s="1">
        <f t="shared" si="17"/>
        <v>99.999999999999972</v>
      </c>
      <c r="AC203" s="1" t="e">
        <f t="shared" si="18"/>
        <v>#VALUE!</v>
      </c>
      <c r="AD203" s="1" t="e" cm="1">
        <f t="array" ref="AD203">N_ring(AB203,$E$9,$E$3,$E$16,$E$17,$E$6,$E$5)</f>
        <v>#VALUE!</v>
      </c>
      <c r="AE203" s="1" t="e" cm="1">
        <f t="array" ref="AE203">n_inv(AB203,$E$40,$E$9,$E$3,$E$16,$E$17,$E$6,$E$5)</f>
        <v>#VALUE!</v>
      </c>
      <c r="AF203" s="1" t="e" cm="1">
        <f t="array" ref="AF203">Q_oil(AB203,AD203,$E$3,$E$4,$E$17,AE203,$E$40,$E$44,$E$31,$E$36)</f>
        <v>#VALUE!</v>
      </c>
      <c r="AG203" s="4" t="e">
        <f t="shared" si="19"/>
        <v>#VALUE!</v>
      </c>
      <c r="AH203" s="1"/>
    </row>
  </sheetData>
  <mergeCells count="23">
    <mergeCell ref="D28:E28"/>
    <mergeCell ref="B2:C2"/>
    <mergeCell ref="D2:E2"/>
    <mergeCell ref="D22:E22"/>
    <mergeCell ref="D23:E23"/>
    <mergeCell ref="D24:E24"/>
    <mergeCell ref="D25:E25"/>
    <mergeCell ref="D26:E26"/>
    <mergeCell ref="D27:E27"/>
    <mergeCell ref="B19:F19"/>
    <mergeCell ref="AI2:AP2"/>
    <mergeCell ref="AH12:AH14"/>
    <mergeCell ref="H23:I23"/>
    <mergeCell ref="H24:I24"/>
    <mergeCell ref="H25:I25"/>
    <mergeCell ref="H21:I21"/>
    <mergeCell ref="AI16:AP16"/>
    <mergeCell ref="AH17:AH19"/>
    <mergeCell ref="AH20:AH22"/>
    <mergeCell ref="H22:I22"/>
    <mergeCell ref="AH3:AH5"/>
    <mergeCell ref="AH6:AH8"/>
    <mergeCell ref="AH9:AH11"/>
  </mergeCells>
  <conditionalFormatting sqref="C15">
    <cfRule type="expression" dxfId="1" priority="6">
      <formula>$C$14&lt;&gt;"user def."</formula>
    </cfRule>
  </conditionalFormatting>
  <conditionalFormatting sqref="C16:C17">
    <cfRule type="expression" dxfId="0" priority="9">
      <formula>$C$14="user def."</formula>
    </cfRule>
  </conditionalFormatting>
  <conditionalFormatting sqref="D22:E22">
    <cfRule type="iconSet" priority="2">
      <iconSet iconSet="3Symbols" showValue="0">
        <cfvo type="percent" val="0"/>
        <cfvo type="num" val="1"/>
        <cfvo type="num" val="2"/>
      </iconSet>
    </cfRule>
  </conditionalFormatting>
  <conditionalFormatting sqref="D23:E28">
    <cfRule type="iconSet" priority="1">
      <iconSet iconSet="3Symbols" showValue="0">
        <cfvo type="percent" val="0"/>
        <cfvo type="num" val="1"/>
        <cfvo type="num" val="2"/>
      </iconSet>
    </cfRule>
  </conditionalFormatting>
  <dataValidations count="1">
    <dataValidation type="list" allowBlank="1" showInputMessage="1" showErrorMessage="1" sqref="C14" xr:uid="{8704D710-7611-4529-A939-31389CB66B2A}">
      <formula1>"ISO VG 32,ISO VG 46,ISO VG 68, user def."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1CB4-2C50-4A36-82C3-A1A2B4740536}">
  <sheetPr codeName="Foglio3"/>
  <dimension ref="B2:Z53"/>
  <sheetViews>
    <sheetView zoomScaleNormal="100" workbookViewId="0"/>
  </sheetViews>
  <sheetFormatPr defaultRowHeight="15" x14ac:dyDescent="0.25"/>
  <cols>
    <col min="1" max="1" width="2.85546875" customWidth="1"/>
    <col min="9" max="9" width="9.85546875" bestFit="1" customWidth="1"/>
    <col min="15" max="15" width="9.85546875" bestFit="1" customWidth="1"/>
    <col min="21" max="21" width="9.85546875" bestFit="1" customWidth="1"/>
    <col min="22" max="22" width="2.85546875" customWidth="1"/>
    <col min="23" max="26" width="0" hidden="1" customWidth="1"/>
  </cols>
  <sheetData>
    <row r="2" spans="2:26" x14ac:dyDescent="0.25">
      <c r="B2" s="10"/>
      <c r="C2" s="11"/>
      <c r="D2" s="155" t="s">
        <v>135</v>
      </c>
      <c r="E2" s="156"/>
      <c r="F2" s="156"/>
      <c r="G2" s="156"/>
      <c r="H2" s="156"/>
      <c r="I2" s="157"/>
      <c r="J2" s="156" t="s">
        <v>136</v>
      </c>
      <c r="K2" s="156"/>
      <c r="L2" s="156"/>
      <c r="M2" s="156"/>
      <c r="N2" s="156"/>
      <c r="O2" s="156"/>
      <c r="P2" s="155" t="s">
        <v>137</v>
      </c>
      <c r="Q2" s="156"/>
      <c r="R2" s="156"/>
      <c r="S2" s="156"/>
      <c r="T2" s="156"/>
      <c r="U2" s="157"/>
    </row>
    <row r="3" spans="2:26" x14ac:dyDescent="0.25">
      <c r="B3" s="17" t="s">
        <v>55</v>
      </c>
      <c r="C3" s="18" t="s">
        <v>54</v>
      </c>
      <c r="D3" s="19" t="s">
        <v>138</v>
      </c>
      <c r="E3" s="20" t="s">
        <v>139</v>
      </c>
      <c r="F3" s="20" t="s">
        <v>140</v>
      </c>
      <c r="G3" s="20" t="s">
        <v>141</v>
      </c>
      <c r="H3" s="20" t="s">
        <v>142</v>
      </c>
      <c r="I3" s="21" t="s">
        <v>143</v>
      </c>
      <c r="J3" s="20" t="s">
        <v>138</v>
      </c>
      <c r="K3" s="20" t="s">
        <v>139</v>
      </c>
      <c r="L3" s="20" t="s">
        <v>140</v>
      </c>
      <c r="M3" s="20" t="s">
        <v>141</v>
      </c>
      <c r="N3" s="20" t="s">
        <v>142</v>
      </c>
      <c r="O3" s="20" t="s">
        <v>143</v>
      </c>
      <c r="P3" s="19" t="s">
        <v>138</v>
      </c>
      <c r="Q3" s="20" t="s">
        <v>139</v>
      </c>
      <c r="R3" s="20" t="s">
        <v>140</v>
      </c>
      <c r="S3" s="20" t="s">
        <v>141</v>
      </c>
      <c r="T3" s="20" t="s">
        <v>142</v>
      </c>
      <c r="U3" s="21" t="s">
        <v>143</v>
      </c>
      <c r="W3" s="1" t="s">
        <v>55</v>
      </c>
      <c r="X3" s="1" t="s">
        <v>54</v>
      </c>
      <c r="Y3" s="2" t="s">
        <v>139</v>
      </c>
      <c r="Z3" s="2" t="s">
        <v>140</v>
      </c>
    </row>
    <row r="4" spans="2:26" x14ac:dyDescent="0.25">
      <c r="B4" s="12">
        <v>50</v>
      </c>
      <c r="C4" s="1">
        <v>10</v>
      </c>
      <c r="D4" s="15">
        <v>1.9970500000000001E-5</v>
      </c>
      <c r="E4" s="1">
        <v>137.6918</v>
      </c>
      <c r="F4" s="1">
        <v>158.9948</v>
      </c>
      <c r="G4" s="1">
        <v>3.1289999999999998E-2</v>
      </c>
      <c r="H4" s="1">
        <v>0.86599999999999999</v>
      </c>
      <c r="I4" s="13">
        <v>0.44209999999999999</v>
      </c>
      <c r="J4" s="3">
        <v>3.3609999999999998E-5</v>
      </c>
      <c r="K4" s="1">
        <v>231.7321</v>
      </c>
      <c r="L4" s="1">
        <v>266.36079999999998</v>
      </c>
      <c r="M4" s="1">
        <v>3.143E-2</v>
      </c>
      <c r="N4" s="1">
        <v>0.87</v>
      </c>
      <c r="O4" s="1">
        <v>0.44109999999999999</v>
      </c>
      <c r="P4" s="15">
        <v>5.4413200000000003E-5</v>
      </c>
      <c r="Q4" s="1">
        <v>375.16480000000001</v>
      </c>
      <c r="R4" s="1">
        <v>429.26350000000002</v>
      </c>
      <c r="S4" s="1">
        <v>3.1570000000000001E-2</v>
      </c>
      <c r="T4" s="1">
        <v>0.874</v>
      </c>
      <c r="U4" s="13">
        <v>0.44</v>
      </c>
      <c r="W4" s="1">
        <v>50</v>
      </c>
      <c r="X4" s="1">
        <v>10</v>
      </c>
      <c r="Y4" s="1" cm="1">
        <f t="array" ref="Y4">_xlfn.IFS('oil ring calculator'!$C$14="ISO VG 32",'oil properties'!E4,'oil ring calculator'!$C$14="ISO VG 46",'oil properties'!K4,'oil ring calculator'!$C$14="ISO VG 68",'oil properties'!Q4,'oil ring calculator'!$C$14="user def.",0)</f>
        <v>231.7321</v>
      </c>
      <c r="Z4" s="1" cm="1">
        <f t="array" ref="Z4">_xlfn.IFS('oil ring calculator'!$C$14="ISO VG 32",'oil properties'!F4,'oil ring calculator'!$C$14="ISO VG 46",'oil properties'!L4,'oil ring calculator'!$C$14="ISO VG 68",'oil properties'!R4,'oil ring calculator'!$C$14="user def.",0)</f>
        <v>266.36079999999998</v>
      </c>
    </row>
    <row r="5" spans="2:26" x14ac:dyDescent="0.25">
      <c r="B5" s="12">
        <v>60</v>
      </c>
      <c r="C5" s="1">
        <v>15.56</v>
      </c>
      <c r="D5" s="15">
        <v>1.3996500000000001E-5</v>
      </c>
      <c r="E5" s="1">
        <v>96.502600000000001</v>
      </c>
      <c r="F5" s="1">
        <v>111.923</v>
      </c>
      <c r="G5" s="1">
        <v>3.1150000000000001E-2</v>
      </c>
      <c r="H5" s="1">
        <v>0.86219999999999997</v>
      </c>
      <c r="I5" s="13">
        <v>0.44690000000000002</v>
      </c>
      <c r="J5" s="3">
        <v>2.2886599999999999E-5</v>
      </c>
      <c r="K5" s="1">
        <v>157.79740000000001</v>
      </c>
      <c r="L5" s="1">
        <v>182.1678</v>
      </c>
      <c r="M5" s="1">
        <v>3.1289999999999998E-2</v>
      </c>
      <c r="N5" s="1">
        <v>0.86619999999999997</v>
      </c>
      <c r="O5" s="1">
        <v>0.44590000000000002</v>
      </c>
      <c r="P5" s="15">
        <v>3.6058700000000001E-5</v>
      </c>
      <c r="Q5" s="1">
        <v>248.61519999999999</v>
      </c>
      <c r="R5" s="1">
        <v>285.6936</v>
      </c>
      <c r="S5" s="1">
        <v>3.1440000000000003E-2</v>
      </c>
      <c r="T5" s="1">
        <v>0.87019999999999997</v>
      </c>
      <c r="U5" s="13">
        <v>0.44490000000000002</v>
      </c>
      <c r="W5" s="1">
        <v>60</v>
      </c>
      <c r="X5" s="1">
        <v>15.56</v>
      </c>
      <c r="Y5" s="1" cm="1">
        <f t="array" ref="Y5">_xlfn.IFS('oil ring calculator'!$C$14="ISO VG 32",'oil properties'!E5,'oil ring calculator'!$C$14="ISO VG 46",'oil properties'!K5,'oil ring calculator'!$C$14="ISO VG 68",'oil properties'!Q5,'oil ring calculator'!$C$14="user def.",0)</f>
        <v>157.79740000000001</v>
      </c>
      <c r="Z5" s="1" cm="1">
        <f t="array" ref="Z5">_xlfn.IFS('oil ring calculator'!$C$14="ISO VG 32",'oil properties'!F5,'oil ring calculator'!$C$14="ISO VG 46",'oil properties'!L5,'oil ring calculator'!$C$14="ISO VG 68",'oil properties'!R5,'oil ring calculator'!$C$14="user def.",0)</f>
        <v>182.1678</v>
      </c>
    </row>
    <row r="6" spans="2:26" x14ac:dyDescent="0.25">
      <c r="B6" s="12">
        <v>70</v>
      </c>
      <c r="C6" s="1">
        <v>21.11</v>
      </c>
      <c r="D6" s="15">
        <v>1.0103599999999999E-5</v>
      </c>
      <c r="E6" s="1">
        <v>69.661699999999996</v>
      </c>
      <c r="F6" s="1">
        <v>81.146799999999999</v>
      </c>
      <c r="G6" s="1">
        <v>3.1009999999999999E-2</v>
      </c>
      <c r="H6" s="1">
        <v>0.85850000000000004</v>
      </c>
      <c r="I6" s="13">
        <v>0.45179999999999998</v>
      </c>
      <c r="J6" s="3">
        <v>1.60882E-5</v>
      </c>
      <c r="K6" s="1">
        <v>110.9242</v>
      </c>
      <c r="L6" s="1">
        <v>128.61099999999999</v>
      </c>
      <c r="M6" s="1">
        <v>3.116E-2</v>
      </c>
      <c r="N6" s="1">
        <v>0.86250000000000004</v>
      </c>
      <c r="O6" s="1">
        <v>0.45069999999999999</v>
      </c>
      <c r="P6" s="15">
        <v>2.4720400000000001E-5</v>
      </c>
      <c r="Q6" s="1">
        <v>170.44110000000001</v>
      </c>
      <c r="R6" s="1">
        <v>196.70269999999999</v>
      </c>
      <c r="S6" s="1">
        <v>3.1300000000000001E-2</v>
      </c>
      <c r="T6" s="1">
        <v>0.86650000000000005</v>
      </c>
      <c r="U6" s="13">
        <v>0.44969999999999999</v>
      </c>
      <c r="W6" s="1">
        <v>70</v>
      </c>
      <c r="X6" s="1">
        <v>21.11</v>
      </c>
      <c r="Y6" s="1" cm="1">
        <f t="array" ref="Y6">_xlfn.IFS('oil ring calculator'!$C$14="ISO VG 32",'oil properties'!E6,'oil ring calculator'!$C$14="ISO VG 46",'oil properties'!K6,'oil ring calculator'!$C$14="ISO VG 68",'oil properties'!Q6,'oil ring calculator'!$C$14="user def.",0)</f>
        <v>110.9242</v>
      </c>
      <c r="Z6" s="1" cm="1">
        <f t="array" ref="Z6">_xlfn.IFS('oil ring calculator'!$C$14="ISO VG 32",'oil properties'!F6,'oil ring calculator'!$C$14="ISO VG 46",'oil properties'!L6,'oil ring calculator'!$C$14="ISO VG 68",'oil properties'!R6,'oil ring calculator'!$C$14="user def.",0)</f>
        <v>128.61099999999999</v>
      </c>
    </row>
    <row r="7" spans="2:26" x14ac:dyDescent="0.25">
      <c r="B7" s="12">
        <v>80</v>
      </c>
      <c r="C7" s="1">
        <v>26.67</v>
      </c>
      <c r="D7" s="15">
        <v>7.4884299999999997E-6</v>
      </c>
      <c r="E7" s="1">
        <v>51.630800000000001</v>
      </c>
      <c r="F7" s="1">
        <v>60.405299999999997</v>
      </c>
      <c r="G7" s="1">
        <v>3.0880000000000001E-2</v>
      </c>
      <c r="H7" s="1">
        <v>0.85470000000000002</v>
      </c>
      <c r="I7" s="13">
        <v>0.45660000000000001</v>
      </c>
      <c r="J7" s="3">
        <v>1.1636E-5</v>
      </c>
      <c r="K7" s="1">
        <v>80.227099999999993</v>
      </c>
      <c r="L7" s="1">
        <v>93.421000000000006</v>
      </c>
      <c r="M7" s="1">
        <v>3.1029999999999999E-2</v>
      </c>
      <c r="N7" s="1">
        <v>0.85880000000000001</v>
      </c>
      <c r="O7" s="1">
        <v>0.4556</v>
      </c>
      <c r="P7" s="15">
        <v>1.74712E-5</v>
      </c>
      <c r="Q7" s="1">
        <v>120.4594</v>
      </c>
      <c r="R7" s="1">
        <v>139.61490000000001</v>
      </c>
      <c r="S7" s="1">
        <v>3.117E-2</v>
      </c>
      <c r="T7" s="1">
        <v>0.86280000000000001</v>
      </c>
      <c r="U7" s="13">
        <v>0.45450000000000002</v>
      </c>
      <c r="W7" s="1">
        <v>80</v>
      </c>
      <c r="X7" s="1">
        <v>26.67</v>
      </c>
      <c r="Y7" s="1" cm="1">
        <f t="array" ref="Y7">_xlfn.IFS('oil ring calculator'!$C$14="ISO VG 32",'oil properties'!E7,'oil ring calculator'!$C$14="ISO VG 46",'oil properties'!K7,'oil ring calculator'!$C$14="ISO VG 68",'oil properties'!Q7,'oil ring calculator'!$C$14="user def.",0)</f>
        <v>80.227099999999993</v>
      </c>
      <c r="Z7" s="1" cm="1">
        <f t="array" ref="Z7">_xlfn.IFS('oil ring calculator'!$C$14="ISO VG 32",'oil properties'!F7,'oil ring calculator'!$C$14="ISO VG 46",'oil properties'!L7,'oil ring calculator'!$C$14="ISO VG 68",'oil properties'!R7,'oil ring calculator'!$C$14="user def.",0)</f>
        <v>93.421000000000006</v>
      </c>
    </row>
    <row r="8" spans="2:26" x14ac:dyDescent="0.25">
      <c r="B8" s="12">
        <v>90</v>
      </c>
      <c r="C8" s="1">
        <v>32.22</v>
      </c>
      <c r="D8" s="15">
        <v>5.6828E-6</v>
      </c>
      <c r="E8" s="1">
        <v>39.181399999999996</v>
      </c>
      <c r="F8" s="1">
        <v>46.039099999999998</v>
      </c>
      <c r="G8" s="1">
        <v>3.075E-2</v>
      </c>
      <c r="H8" s="1">
        <v>0.85099999999999998</v>
      </c>
      <c r="I8" s="13">
        <v>0.46150000000000002</v>
      </c>
      <c r="J8" s="3">
        <v>8.63353E-6</v>
      </c>
      <c r="K8" s="1">
        <v>59.526000000000003</v>
      </c>
      <c r="L8" s="1">
        <v>69.613500000000002</v>
      </c>
      <c r="M8" s="1">
        <v>3.0890000000000001E-2</v>
      </c>
      <c r="N8" s="1">
        <v>0.85509999999999997</v>
      </c>
      <c r="O8" s="1">
        <v>0.46039999999999998</v>
      </c>
      <c r="P8" s="15">
        <v>1.269E-5</v>
      </c>
      <c r="Q8" s="1">
        <v>87.494299999999996</v>
      </c>
      <c r="R8" s="1">
        <v>101.8399</v>
      </c>
      <c r="S8" s="1">
        <v>3.1040000000000002E-2</v>
      </c>
      <c r="T8" s="1">
        <v>0.85909999999999997</v>
      </c>
      <c r="U8" s="13">
        <v>0.45929999999999999</v>
      </c>
      <c r="W8" s="1">
        <v>90</v>
      </c>
      <c r="X8" s="1">
        <v>32.22</v>
      </c>
      <c r="Y8" s="1" cm="1">
        <f t="array" ref="Y8">_xlfn.IFS('oil ring calculator'!$C$14="ISO VG 32",'oil properties'!E8,'oil ring calculator'!$C$14="ISO VG 46",'oil properties'!K8,'oil ring calculator'!$C$14="ISO VG 68",'oil properties'!Q8,'oil ring calculator'!$C$14="user def.",0)</f>
        <v>59.526000000000003</v>
      </c>
      <c r="Z8" s="1" cm="1">
        <f t="array" ref="Z8">_xlfn.IFS('oil ring calculator'!$C$14="ISO VG 32",'oil properties'!F8,'oil ring calculator'!$C$14="ISO VG 46",'oil properties'!L8,'oil ring calculator'!$C$14="ISO VG 68",'oil properties'!R8,'oil ring calculator'!$C$14="user def.",0)</f>
        <v>69.613500000000002</v>
      </c>
    </row>
    <row r="9" spans="2:26" x14ac:dyDescent="0.25">
      <c r="B9" s="12">
        <v>100</v>
      </c>
      <c r="C9" s="1">
        <v>37.78</v>
      </c>
      <c r="D9" s="15">
        <v>4.4048099999999996E-6</v>
      </c>
      <c r="E9" s="1">
        <v>30.37</v>
      </c>
      <c r="F9" s="1">
        <v>35.839700000000001</v>
      </c>
      <c r="G9" s="1">
        <v>3.0609999999999998E-2</v>
      </c>
      <c r="H9" s="1">
        <v>0.84740000000000004</v>
      </c>
      <c r="I9" s="13">
        <v>0.46629999999999999</v>
      </c>
      <c r="J9" s="3">
        <v>6.5544299999999999E-6</v>
      </c>
      <c r="K9" s="1">
        <v>45.191200000000002</v>
      </c>
      <c r="L9" s="1">
        <v>53.075699999999998</v>
      </c>
      <c r="M9" s="1">
        <v>3.0759999999999999E-2</v>
      </c>
      <c r="N9" s="1">
        <v>0.85140000000000005</v>
      </c>
      <c r="O9" s="1">
        <v>0.4652</v>
      </c>
      <c r="P9" s="15">
        <v>9.4466800000000008E-6</v>
      </c>
      <c r="Q9" s="1">
        <v>65.132499999999993</v>
      </c>
      <c r="R9" s="1">
        <v>76.133399999999995</v>
      </c>
      <c r="S9" s="1">
        <v>3.091E-2</v>
      </c>
      <c r="T9" s="1">
        <v>0.85550000000000004</v>
      </c>
      <c r="U9" s="13">
        <v>0.4642</v>
      </c>
      <c r="W9" s="1">
        <v>100</v>
      </c>
      <c r="X9" s="1">
        <v>37.78</v>
      </c>
      <c r="Y9" s="1" cm="1">
        <f t="array" ref="Y9">_xlfn.IFS('oil ring calculator'!$C$14="ISO VG 32",'oil properties'!E9,'oil ring calculator'!$C$14="ISO VG 46",'oil properties'!K9,'oil ring calculator'!$C$14="ISO VG 68",'oil properties'!Q9,'oil ring calculator'!$C$14="user def.",0)</f>
        <v>45.191200000000002</v>
      </c>
      <c r="Z9" s="1" cm="1">
        <f t="array" ref="Z9">_xlfn.IFS('oil ring calculator'!$C$14="ISO VG 32",'oil properties'!F9,'oil ring calculator'!$C$14="ISO VG 46",'oil properties'!L9,'oil ring calculator'!$C$14="ISO VG 68",'oil properties'!R9,'oil ring calculator'!$C$14="user def.",0)</f>
        <v>53.075699999999998</v>
      </c>
    </row>
    <row r="10" spans="2:26" x14ac:dyDescent="0.25">
      <c r="B10" s="12">
        <v>110</v>
      </c>
      <c r="C10" s="1">
        <v>43.33</v>
      </c>
      <c r="D10" s="15">
        <v>3.47975E-6</v>
      </c>
      <c r="E10" s="1">
        <v>23.992000000000001</v>
      </c>
      <c r="F10" s="1">
        <v>28.434799999999999</v>
      </c>
      <c r="G10" s="1">
        <v>3.048E-2</v>
      </c>
      <c r="H10" s="1">
        <v>0.84379999999999999</v>
      </c>
      <c r="I10" s="13">
        <v>0.47120000000000001</v>
      </c>
      <c r="J10" s="3">
        <v>5.0797300000000002E-6</v>
      </c>
      <c r="K10" s="1">
        <v>35.023499999999999</v>
      </c>
      <c r="L10" s="1">
        <v>41.3095</v>
      </c>
      <c r="M10" s="1">
        <v>3.0630000000000001E-2</v>
      </c>
      <c r="N10" s="1">
        <v>0.8478</v>
      </c>
      <c r="O10" s="1">
        <v>0.47010000000000002</v>
      </c>
      <c r="P10" s="15">
        <v>7.1897799999999996E-6</v>
      </c>
      <c r="Q10" s="1">
        <v>49.5717</v>
      </c>
      <c r="R10" s="1">
        <v>58.189300000000003</v>
      </c>
      <c r="S10" s="1">
        <v>3.0779999999999998E-2</v>
      </c>
      <c r="T10" s="1">
        <v>0.85189999999999999</v>
      </c>
      <c r="U10" s="13">
        <v>0.46899999999999997</v>
      </c>
      <c r="W10" s="1">
        <v>110</v>
      </c>
      <c r="X10" s="1">
        <v>43.33</v>
      </c>
      <c r="Y10" s="1" cm="1">
        <f t="array" ref="Y10">_xlfn.IFS('oil ring calculator'!$C$14="ISO VG 32",'oil properties'!E10,'oil ring calculator'!$C$14="ISO VG 46",'oil properties'!K10,'oil ring calculator'!$C$14="ISO VG 68",'oil properties'!Q10,'oil ring calculator'!$C$14="user def.",0)</f>
        <v>35.023499999999999</v>
      </c>
      <c r="Z10" s="1" cm="1">
        <f t="array" ref="Z10">_xlfn.IFS('oil ring calculator'!$C$14="ISO VG 32",'oil properties'!F10,'oil ring calculator'!$C$14="ISO VG 46",'oil properties'!L10,'oil ring calculator'!$C$14="ISO VG 68",'oil properties'!R10,'oil ring calculator'!$C$14="user def.",0)</f>
        <v>41.3095</v>
      </c>
    </row>
    <row r="11" spans="2:26" x14ac:dyDescent="0.25">
      <c r="B11" s="12">
        <v>120</v>
      </c>
      <c r="C11" s="1">
        <v>48.89</v>
      </c>
      <c r="D11" s="15">
        <v>2.7963600000000002E-6</v>
      </c>
      <c r="E11" s="1">
        <v>19.280200000000001</v>
      </c>
      <c r="F11" s="1">
        <v>22.9483</v>
      </c>
      <c r="G11" s="1">
        <v>3.0349999999999999E-2</v>
      </c>
      <c r="H11" s="1">
        <v>0.84019999999999995</v>
      </c>
      <c r="I11" s="13">
        <v>0.47599999999999998</v>
      </c>
      <c r="J11" s="3">
        <v>4.01067E-6</v>
      </c>
      <c r="K11" s="1">
        <v>27.6526</v>
      </c>
      <c r="L11" s="1">
        <v>32.754100000000001</v>
      </c>
      <c r="M11" s="1">
        <v>3.0499999999999999E-2</v>
      </c>
      <c r="N11" s="1">
        <v>0.84419999999999995</v>
      </c>
      <c r="O11" s="1">
        <v>0.47489999999999999</v>
      </c>
      <c r="P11" s="15">
        <v>5.5824899999999996E-6</v>
      </c>
      <c r="Q11" s="1">
        <v>38.489800000000002</v>
      </c>
      <c r="R11" s="1">
        <v>45.371099999999998</v>
      </c>
      <c r="S11" s="1">
        <v>3.065E-2</v>
      </c>
      <c r="T11" s="1">
        <v>0.84830000000000005</v>
      </c>
      <c r="U11" s="13">
        <v>0.4738</v>
      </c>
      <c r="W11" s="1">
        <v>120</v>
      </c>
      <c r="X11" s="1">
        <v>48.89</v>
      </c>
      <c r="Y11" s="1" cm="1">
        <f t="array" ref="Y11">_xlfn.IFS('oil ring calculator'!$C$14="ISO VG 32",'oil properties'!E11,'oil ring calculator'!$C$14="ISO VG 46",'oil properties'!K11,'oil ring calculator'!$C$14="ISO VG 68",'oil properties'!Q11,'oil ring calculator'!$C$14="user def.",0)</f>
        <v>27.6526</v>
      </c>
      <c r="Z11" s="1" cm="1">
        <f t="array" ref="Z11">_xlfn.IFS('oil ring calculator'!$C$14="ISO VG 32",'oil properties'!F11,'oil ring calculator'!$C$14="ISO VG 46",'oil properties'!L11,'oil ring calculator'!$C$14="ISO VG 68",'oil properties'!R11,'oil ring calculator'!$C$14="user def.",0)</f>
        <v>32.754100000000001</v>
      </c>
    </row>
    <row r="12" spans="2:26" x14ac:dyDescent="0.25">
      <c r="B12" s="12">
        <v>130</v>
      </c>
      <c r="C12" s="1">
        <v>54.44</v>
      </c>
      <c r="D12" s="15">
        <v>2.2820599999999999E-6</v>
      </c>
      <c r="E12" s="1">
        <v>15.734299999999999</v>
      </c>
      <c r="F12" s="1">
        <v>18.807700000000001</v>
      </c>
      <c r="G12" s="1">
        <v>3.022E-2</v>
      </c>
      <c r="H12" s="1">
        <v>0.83660000000000001</v>
      </c>
      <c r="I12" s="13">
        <v>0.48089999999999999</v>
      </c>
      <c r="J12" s="3">
        <v>3.2201400000000001E-6</v>
      </c>
      <c r="K12" s="1">
        <v>22.202000000000002</v>
      </c>
      <c r="L12" s="1">
        <v>26.409199999999998</v>
      </c>
      <c r="M12" s="1">
        <v>3.0370000000000001E-2</v>
      </c>
      <c r="N12" s="1">
        <v>0.8407</v>
      </c>
      <c r="O12" s="1">
        <v>0.47970000000000002</v>
      </c>
      <c r="P12" s="15">
        <v>4.4134300000000004E-6</v>
      </c>
      <c r="Q12" s="1">
        <v>30.429500000000001</v>
      </c>
      <c r="R12" s="1">
        <v>36.020099999999999</v>
      </c>
      <c r="S12" s="1">
        <v>3.0519999999999999E-2</v>
      </c>
      <c r="T12" s="1">
        <v>0.8448</v>
      </c>
      <c r="U12" s="13">
        <v>0.47860000000000003</v>
      </c>
      <c r="W12" s="1">
        <v>130</v>
      </c>
      <c r="X12" s="1">
        <v>54.44</v>
      </c>
      <c r="Y12" s="1" cm="1">
        <f t="array" ref="Y12">_xlfn.IFS('oil ring calculator'!$C$14="ISO VG 32",'oil properties'!E12,'oil ring calculator'!$C$14="ISO VG 46",'oil properties'!K12,'oil ring calculator'!$C$14="ISO VG 68",'oil properties'!Q12,'oil ring calculator'!$C$14="user def.",0)</f>
        <v>22.202000000000002</v>
      </c>
      <c r="Z12" s="1" cm="1">
        <f t="array" ref="Z12">_xlfn.IFS('oil ring calculator'!$C$14="ISO VG 32",'oil properties'!F12,'oil ring calculator'!$C$14="ISO VG 46",'oil properties'!L12,'oil ring calculator'!$C$14="ISO VG 68",'oil properties'!R12,'oil ring calculator'!$C$14="user def.",0)</f>
        <v>26.409199999999998</v>
      </c>
    </row>
    <row r="13" spans="2:26" x14ac:dyDescent="0.25">
      <c r="B13" s="12">
        <v>140</v>
      </c>
      <c r="C13" s="1">
        <v>60</v>
      </c>
      <c r="D13" s="15">
        <v>1.88843E-6</v>
      </c>
      <c r="E13" s="1">
        <v>13.020300000000001</v>
      </c>
      <c r="F13" s="1">
        <v>15.6296</v>
      </c>
      <c r="G13" s="1">
        <v>3.0099999999999998E-2</v>
      </c>
      <c r="H13" s="1">
        <v>0.83299999999999996</v>
      </c>
      <c r="I13" s="13">
        <v>0.48570000000000002</v>
      </c>
      <c r="J13" s="3">
        <v>2.6248900000000002E-6</v>
      </c>
      <c r="K13" s="1">
        <v>18.097999999999999</v>
      </c>
      <c r="L13" s="1">
        <v>21.618099999999998</v>
      </c>
      <c r="M13" s="1">
        <v>3.024E-2</v>
      </c>
      <c r="N13" s="1">
        <v>0.83720000000000006</v>
      </c>
      <c r="O13" s="1">
        <v>0.48459999999999998</v>
      </c>
      <c r="P13" s="15">
        <v>3.5466200000000002E-6</v>
      </c>
      <c r="Q13" s="1">
        <v>24.452999999999999</v>
      </c>
      <c r="R13" s="1">
        <v>29.066400000000002</v>
      </c>
      <c r="S13" s="1">
        <v>3.039E-2</v>
      </c>
      <c r="T13" s="1">
        <v>0.84130000000000005</v>
      </c>
      <c r="U13" s="13">
        <v>0.48349999999999999</v>
      </c>
      <c r="W13" s="1">
        <v>140</v>
      </c>
      <c r="X13" s="1">
        <v>60</v>
      </c>
      <c r="Y13" s="1" cm="1">
        <f t="array" ref="Y13">_xlfn.IFS('oil ring calculator'!$C$14="ISO VG 32",'oil properties'!E13,'oil ring calculator'!$C$14="ISO VG 46",'oil properties'!K13,'oil ring calculator'!$C$14="ISO VG 68",'oil properties'!Q13,'oil ring calculator'!$C$14="user def.",0)</f>
        <v>18.097999999999999</v>
      </c>
      <c r="Z13" s="1" cm="1">
        <f t="array" ref="Z13">_xlfn.IFS('oil ring calculator'!$C$14="ISO VG 32",'oil properties'!F13,'oil ring calculator'!$C$14="ISO VG 46",'oil properties'!L13,'oil ring calculator'!$C$14="ISO VG 68",'oil properties'!R13,'oil ring calculator'!$C$14="user def.",0)</f>
        <v>21.618099999999998</v>
      </c>
    </row>
    <row r="14" spans="2:26" x14ac:dyDescent="0.25">
      <c r="B14" s="12">
        <v>150</v>
      </c>
      <c r="C14" s="1">
        <v>65.56</v>
      </c>
      <c r="D14" s="15">
        <v>1.5824699999999999E-6</v>
      </c>
      <c r="E14" s="1">
        <v>10.9107</v>
      </c>
      <c r="F14" s="1">
        <v>13.152699999999999</v>
      </c>
      <c r="G14" s="1">
        <v>2.997E-2</v>
      </c>
      <c r="H14" s="1">
        <v>0.82950000000000002</v>
      </c>
      <c r="I14" s="13">
        <v>0.49049999999999999</v>
      </c>
      <c r="J14" s="3">
        <v>2.16922E-6</v>
      </c>
      <c r="K14" s="1">
        <v>14.956200000000001</v>
      </c>
      <c r="L14" s="1">
        <v>17.940100000000001</v>
      </c>
      <c r="M14" s="1">
        <v>3.0120000000000001E-2</v>
      </c>
      <c r="N14" s="1">
        <v>0.8337</v>
      </c>
      <c r="O14" s="1">
        <v>0.4894</v>
      </c>
      <c r="P14" s="15">
        <v>2.8925100000000001E-6</v>
      </c>
      <c r="Q14" s="1">
        <v>19.943100000000001</v>
      </c>
      <c r="R14" s="1">
        <v>23.804200000000002</v>
      </c>
      <c r="S14" s="1">
        <v>3.0269999999999998E-2</v>
      </c>
      <c r="T14" s="1">
        <v>0.83779999999999999</v>
      </c>
      <c r="U14" s="13">
        <v>0.48830000000000001</v>
      </c>
      <c r="W14" s="1">
        <v>150</v>
      </c>
      <c r="X14" s="1">
        <v>65.56</v>
      </c>
      <c r="Y14" s="1" cm="1">
        <f t="array" ref="Y14">_xlfn.IFS('oil ring calculator'!$C$14="ISO VG 32",'oil properties'!E14,'oil ring calculator'!$C$14="ISO VG 46",'oil properties'!K14,'oil ring calculator'!$C$14="ISO VG 68",'oil properties'!Q14,'oil ring calculator'!$C$14="user def.",0)</f>
        <v>14.956200000000001</v>
      </c>
      <c r="Z14" s="1" cm="1">
        <f t="array" ref="Z14">_xlfn.IFS('oil ring calculator'!$C$14="ISO VG 32",'oil properties'!F14,'oil ring calculator'!$C$14="ISO VG 46",'oil properties'!L14,'oil ring calculator'!$C$14="ISO VG 68",'oil properties'!R14,'oil ring calculator'!$C$14="user def.",0)</f>
        <v>17.940100000000001</v>
      </c>
    </row>
    <row r="15" spans="2:26" x14ac:dyDescent="0.25">
      <c r="B15" s="12">
        <v>160</v>
      </c>
      <c r="C15" s="1">
        <v>71.11</v>
      </c>
      <c r="D15" s="15">
        <v>1.34127E-6</v>
      </c>
      <c r="E15" s="1">
        <v>9.2477</v>
      </c>
      <c r="F15" s="1">
        <v>11.195</v>
      </c>
      <c r="G15" s="1">
        <v>2.9839999999999998E-2</v>
      </c>
      <c r="H15" s="1">
        <v>0.82609999999999995</v>
      </c>
      <c r="I15" s="13">
        <v>0.49540000000000001</v>
      </c>
      <c r="J15" s="3">
        <v>1.8150800000000001E-6</v>
      </c>
      <c r="K15" s="1">
        <v>12.5145</v>
      </c>
      <c r="L15" s="1">
        <v>15.074</v>
      </c>
      <c r="M15" s="1">
        <v>2.9989999999999999E-2</v>
      </c>
      <c r="N15" s="1">
        <v>0.83020000000000005</v>
      </c>
      <c r="O15" s="1">
        <v>0.49419999999999997</v>
      </c>
      <c r="P15" s="15">
        <v>2.3909100000000001E-6</v>
      </c>
      <c r="Q15" s="1">
        <v>16.4847</v>
      </c>
      <c r="R15" s="1">
        <v>19.7577</v>
      </c>
      <c r="S15" s="1">
        <v>3.014E-2</v>
      </c>
      <c r="T15" s="1">
        <v>0.83430000000000004</v>
      </c>
      <c r="U15" s="13">
        <v>0.49309999999999998</v>
      </c>
      <c r="W15" s="1">
        <v>160</v>
      </c>
      <c r="X15" s="1">
        <v>71.11</v>
      </c>
      <c r="Y15" s="1" cm="1">
        <f t="array" ref="Y15">_xlfn.IFS('oil ring calculator'!$C$14="ISO VG 32",'oil properties'!E15,'oil ring calculator'!$C$14="ISO VG 46",'oil properties'!K15,'oil ring calculator'!$C$14="ISO VG 68",'oil properties'!Q15,'oil ring calculator'!$C$14="user def.",0)</f>
        <v>12.5145</v>
      </c>
      <c r="Z15" s="1" cm="1">
        <f t="array" ref="Z15">_xlfn.IFS('oil ring calculator'!$C$14="ISO VG 32",'oil properties'!F15,'oil ring calculator'!$C$14="ISO VG 46",'oil properties'!L15,'oil ring calculator'!$C$14="ISO VG 68",'oil properties'!R15,'oil ring calculator'!$C$14="user def.",0)</f>
        <v>15.074</v>
      </c>
    </row>
    <row r="16" spans="2:26" x14ac:dyDescent="0.25">
      <c r="B16" s="12">
        <v>170</v>
      </c>
      <c r="C16" s="1">
        <v>76.67</v>
      </c>
      <c r="D16" s="15">
        <v>1.1486600000000001E-6</v>
      </c>
      <c r="E16" s="1">
        <v>7.9196999999999997</v>
      </c>
      <c r="F16" s="1">
        <v>9.6274999999999995</v>
      </c>
      <c r="G16" s="1">
        <v>2.972E-2</v>
      </c>
      <c r="H16" s="1">
        <v>0.8226</v>
      </c>
      <c r="I16" s="13">
        <v>0.50019999999999998</v>
      </c>
      <c r="J16" s="3">
        <v>1.5360100000000001E-6</v>
      </c>
      <c r="K16" s="1">
        <v>10.590400000000001</v>
      </c>
      <c r="L16" s="1">
        <v>12.8093</v>
      </c>
      <c r="M16" s="1">
        <v>2.9870000000000001E-2</v>
      </c>
      <c r="N16" s="1">
        <v>0.82679999999999998</v>
      </c>
      <c r="O16" s="1">
        <v>0.49909999999999999</v>
      </c>
      <c r="P16" s="15">
        <v>2.0005499999999998E-6</v>
      </c>
      <c r="Q16" s="1">
        <v>13.7933</v>
      </c>
      <c r="R16" s="1">
        <v>16.599900000000002</v>
      </c>
      <c r="S16" s="1">
        <v>3.0020000000000002E-2</v>
      </c>
      <c r="T16" s="1">
        <v>0.83089999999999997</v>
      </c>
      <c r="U16" s="13">
        <v>0.49790000000000001</v>
      </c>
      <c r="W16" s="1">
        <v>170</v>
      </c>
      <c r="X16" s="1">
        <v>76.67</v>
      </c>
      <c r="Y16" s="1" cm="1">
        <f t="array" ref="Y16">_xlfn.IFS('oil ring calculator'!$C$14="ISO VG 32",'oil properties'!E16,'oil ring calculator'!$C$14="ISO VG 46",'oil properties'!K16,'oil ring calculator'!$C$14="ISO VG 68",'oil properties'!Q16,'oil ring calculator'!$C$14="user def.",0)</f>
        <v>10.590400000000001</v>
      </c>
      <c r="Z16" s="1" cm="1">
        <f t="array" ref="Z16">_xlfn.IFS('oil ring calculator'!$C$14="ISO VG 32",'oil properties'!F16,'oil ring calculator'!$C$14="ISO VG 46",'oil properties'!L16,'oil ring calculator'!$C$14="ISO VG 68",'oil properties'!R16,'oil ring calculator'!$C$14="user def.",0)</f>
        <v>12.8093</v>
      </c>
    </row>
    <row r="17" spans="2:26" x14ac:dyDescent="0.25">
      <c r="B17" s="12">
        <v>180</v>
      </c>
      <c r="C17" s="1">
        <v>82.22</v>
      </c>
      <c r="D17" s="15">
        <v>9.9300499999999999E-7</v>
      </c>
      <c r="E17" s="1">
        <v>6.8464999999999998</v>
      </c>
      <c r="F17" s="1">
        <v>8.3576999999999995</v>
      </c>
      <c r="G17" s="1">
        <v>2.9600000000000001E-2</v>
      </c>
      <c r="H17" s="1">
        <v>0.81920000000000004</v>
      </c>
      <c r="I17" s="13">
        <v>0.50509999999999999</v>
      </c>
      <c r="J17" s="3">
        <v>1.31327E-6</v>
      </c>
      <c r="K17" s="1">
        <v>9.0547000000000004</v>
      </c>
      <c r="L17" s="1">
        <v>10.997199999999999</v>
      </c>
      <c r="M17" s="1">
        <v>2.9749999999999999E-2</v>
      </c>
      <c r="N17" s="1">
        <v>0.82340000000000002</v>
      </c>
      <c r="O17" s="1">
        <v>0.50390000000000001</v>
      </c>
      <c r="P17" s="15">
        <v>1.6925999999999999E-6</v>
      </c>
      <c r="Q17" s="1">
        <v>11.6701</v>
      </c>
      <c r="R17" s="1">
        <v>14.102399999999999</v>
      </c>
      <c r="S17" s="1">
        <v>2.9899999999999999E-2</v>
      </c>
      <c r="T17" s="1">
        <v>0.82750000000000001</v>
      </c>
      <c r="U17" s="13">
        <v>0.50280000000000002</v>
      </c>
      <c r="W17" s="1">
        <v>180</v>
      </c>
      <c r="X17" s="1">
        <v>82.22</v>
      </c>
      <c r="Y17" s="1" cm="1">
        <f t="array" ref="Y17">_xlfn.IFS('oil ring calculator'!$C$14="ISO VG 32",'oil properties'!E17,'oil ring calculator'!$C$14="ISO VG 46",'oil properties'!K17,'oil ring calculator'!$C$14="ISO VG 68",'oil properties'!Q17,'oil ring calculator'!$C$14="user def.",0)</f>
        <v>9.0547000000000004</v>
      </c>
      <c r="Z17" s="1" cm="1">
        <f t="array" ref="Z17">_xlfn.IFS('oil ring calculator'!$C$14="ISO VG 32",'oil properties'!F17,'oil ring calculator'!$C$14="ISO VG 46",'oil properties'!L17,'oil ring calculator'!$C$14="ISO VG 68",'oil properties'!R17,'oil ring calculator'!$C$14="user def.",0)</f>
        <v>10.997199999999999</v>
      </c>
    </row>
    <row r="18" spans="2:26" x14ac:dyDescent="0.25">
      <c r="B18" s="12">
        <v>190</v>
      </c>
      <c r="C18" s="1">
        <v>87.78</v>
      </c>
      <c r="D18" s="15">
        <v>8.65841E-7</v>
      </c>
      <c r="E18" s="1">
        <v>5.9698000000000002</v>
      </c>
      <c r="F18" s="1">
        <v>7.3177000000000003</v>
      </c>
      <c r="G18" s="1">
        <v>2.947E-2</v>
      </c>
      <c r="H18" s="1">
        <v>0.81579999999999997</v>
      </c>
      <c r="I18" s="13">
        <v>0.50990000000000002</v>
      </c>
      <c r="J18" s="3">
        <v>1.1334E-6</v>
      </c>
      <c r="K18" s="1">
        <v>7.8144999999999998</v>
      </c>
      <c r="L18" s="1">
        <v>9.5300999999999991</v>
      </c>
      <c r="M18" s="1">
        <v>2.962E-2</v>
      </c>
      <c r="N18" s="1">
        <v>0.82</v>
      </c>
      <c r="O18" s="1">
        <v>0.50880000000000003</v>
      </c>
      <c r="P18" s="15">
        <v>1.44663E-6</v>
      </c>
      <c r="Q18" s="1">
        <v>9.9741999999999997</v>
      </c>
      <c r="R18" s="1">
        <v>12.1023</v>
      </c>
      <c r="S18" s="1">
        <v>2.9770000000000001E-2</v>
      </c>
      <c r="T18" s="1">
        <v>0.82420000000000004</v>
      </c>
      <c r="U18" s="13">
        <v>0.50760000000000005</v>
      </c>
      <c r="W18" s="1">
        <v>190</v>
      </c>
      <c r="X18" s="1">
        <v>87.78</v>
      </c>
      <c r="Y18" s="1" cm="1">
        <f t="array" ref="Y18">_xlfn.IFS('oil ring calculator'!$C$14="ISO VG 32",'oil properties'!E18,'oil ring calculator'!$C$14="ISO VG 46",'oil properties'!K18,'oil ring calculator'!$C$14="ISO VG 68",'oil properties'!Q18,'oil ring calculator'!$C$14="user def.",0)</f>
        <v>7.8144999999999998</v>
      </c>
      <c r="Z18" s="1" cm="1">
        <f t="array" ref="Z18">_xlfn.IFS('oil ring calculator'!$C$14="ISO VG 32",'oil properties'!F18,'oil ring calculator'!$C$14="ISO VG 46",'oil properties'!L18,'oil ring calculator'!$C$14="ISO VG 68",'oil properties'!R18,'oil ring calculator'!$C$14="user def.",0)</f>
        <v>9.5300999999999991</v>
      </c>
    </row>
    <row r="19" spans="2:26" x14ac:dyDescent="0.25">
      <c r="B19" s="12">
        <v>200</v>
      </c>
      <c r="C19" s="1">
        <v>93.33</v>
      </c>
      <c r="D19" s="15">
        <v>7.6090100000000002E-7</v>
      </c>
      <c r="E19" s="1">
        <v>5.2462</v>
      </c>
      <c r="F19" s="1">
        <v>6.4573999999999998</v>
      </c>
      <c r="G19" s="1">
        <v>2.9350000000000001E-2</v>
      </c>
      <c r="H19" s="1">
        <v>0.81240000000000001</v>
      </c>
      <c r="I19" s="13">
        <v>0.51480000000000004</v>
      </c>
      <c r="J19" s="3">
        <v>9.8657900000000006E-7</v>
      </c>
      <c r="K19" s="1">
        <v>6.8022</v>
      </c>
      <c r="L19" s="1">
        <v>8.3295999999999992</v>
      </c>
      <c r="M19" s="1">
        <v>2.9499999999999998E-2</v>
      </c>
      <c r="N19" s="1">
        <v>0.81659999999999999</v>
      </c>
      <c r="O19" s="1">
        <v>0.51359999999999995</v>
      </c>
      <c r="P19" s="15">
        <v>1.2478900000000001E-6</v>
      </c>
      <c r="Q19" s="1">
        <v>8.6038999999999994</v>
      </c>
      <c r="R19" s="1">
        <v>10.482200000000001</v>
      </c>
      <c r="S19" s="1">
        <v>2.9649999999999999E-2</v>
      </c>
      <c r="T19" s="1">
        <v>0.82079999999999997</v>
      </c>
      <c r="U19" s="13">
        <v>0.51239999999999997</v>
      </c>
      <c r="W19" s="1">
        <v>200</v>
      </c>
      <c r="X19" s="1">
        <v>93.33</v>
      </c>
      <c r="Y19" s="1" cm="1">
        <f t="array" ref="Y19">_xlfn.IFS('oil ring calculator'!$C$14="ISO VG 32",'oil properties'!E19,'oil ring calculator'!$C$14="ISO VG 46",'oil properties'!K19,'oil ring calculator'!$C$14="ISO VG 68",'oil properties'!Q19,'oil ring calculator'!$C$14="user def.",0)</f>
        <v>6.8022</v>
      </c>
      <c r="Z19" s="1" cm="1">
        <f t="array" ref="Z19">_xlfn.IFS('oil ring calculator'!$C$14="ISO VG 32",'oil properties'!F19,'oil ring calculator'!$C$14="ISO VG 46",'oil properties'!L19,'oil ring calculator'!$C$14="ISO VG 68",'oil properties'!R19,'oil ring calculator'!$C$14="user def.",0)</f>
        <v>8.3295999999999992</v>
      </c>
    </row>
    <row r="20" spans="2:26" x14ac:dyDescent="0.25">
      <c r="B20" s="12">
        <v>210</v>
      </c>
      <c r="C20" s="1">
        <v>98.89</v>
      </c>
      <c r="D20" s="15">
        <v>6.7349599999999998E-7</v>
      </c>
      <c r="E20" s="1">
        <v>4.6436000000000002</v>
      </c>
      <c r="F20" s="1">
        <v>5.7392000000000003</v>
      </c>
      <c r="G20" s="1">
        <v>2.9229999999999999E-2</v>
      </c>
      <c r="H20" s="1">
        <v>0.80910000000000004</v>
      </c>
      <c r="I20" s="13">
        <v>0.51959999999999995</v>
      </c>
      <c r="J20" s="3">
        <v>8.6552700000000002E-7</v>
      </c>
      <c r="K20" s="1">
        <v>5.9676</v>
      </c>
      <c r="L20" s="1">
        <v>7.3375000000000004</v>
      </c>
      <c r="M20" s="1">
        <v>2.938E-2</v>
      </c>
      <c r="N20" s="1">
        <v>0.81330000000000002</v>
      </c>
      <c r="O20" s="1">
        <v>0.51839999999999997</v>
      </c>
      <c r="P20" s="15">
        <v>1.0856E-6</v>
      </c>
      <c r="Q20" s="1">
        <v>7.4850000000000003</v>
      </c>
      <c r="R20" s="1">
        <v>9.1559000000000008</v>
      </c>
      <c r="S20" s="1">
        <v>2.9530000000000001E-2</v>
      </c>
      <c r="T20" s="1">
        <v>0.8175</v>
      </c>
      <c r="U20" s="13">
        <v>0.51719999999999999</v>
      </c>
      <c r="W20" s="1">
        <v>210</v>
      </c>
      <c r="X20" s="1">
        <v>98.89</v>
      </c>
      <c r="Y20" s="1" cm="1">
        <f t="array" ref="Y20">_xlfn.IFS('oil ring calculator'!$C$14="ISO VG 32",'oil properties'!E20,'oil ring calculator'!$C$14="ISO VG 46",'oil properties'!K20,'oil ring calculator'!$C$14="ISO VG 68",'oil properties'!Q20,'oil ring calculator'!$C$14="user def.",0)</f>
        <v>5.9676</v>
      </c>
      <c r="Z20" s="1" cm="1">
        <f t="array" ref="Z20">_xlfn.IFS('oil ring calculator'!$C$14="ISO VG 32",'oil properties'!F20,'oil ring calculator'!$C$14="ISO VG 46",'oil properties'!L20,'oil ring calculator'!$C$14="ISO VG 68",'oil properties'!R20,'oil ring calculator'!$C$14="user def.",0)</f>
        <v>7.3375000000000004</v>
      </c>
    </row>
    <row r="21" spans="2:26" x14ac:dyDescent="0.25">
      <c r="B21" s="12">
        <v>220</v>
      </c>
      <c r="C21" s="1">
        <v>104.44</v>
      </c>
      <c r="D21" s="15">
        <v>6.0006899999999997E-7</v>
      </c>
      <c r="E21" s="1">
        <v>4.1372999999999998</v>
      </c>
      <c r="F21" s="1">
        <v>5.1345000000000001</v>
      </c>
      <c r="G21" s="1">
        <v>2.911E-2</v>
      </c>
      <c r="H21" s="1">
        <v>0.80579999999999996</v>
      </c>
      <c r="I21" s="13">
        <v>0.52449999999999997</v>
      </c>
      <c r="J21" s="3">
        <v>7.6480099999999999E-7</v>
      </c>
      <c r="K21" s="1">
        <v>5.2731000000000003</v>
      </c>
      <c r="L21" s="1">
        <v>6.51</v>
      </c>
      <c r="M21" s="1">
        <v>2.9260000000000001E-2</v>
      </c>
      <c r="N21" s="1">
        <v>0.81</v>
      </c>
      <c r="O21" s="1">
        <v>0.52329999999999999</v>
      </c>
      <c r="P21" s="15">
        <v>9.5177399999999996E-7</v>
      </c>
      <c r="Q21" s="1">
        <v>6.5621999999999998</v>
      </c>
      <c r="R21" s="1">
        <v>8.0595999999999997</v>
      </c>
      <c r="S21" s="1">
        <v>2.9420000000000002E-2</v>
      </c>
      <c r="T21" s="1">
        <v>0.81420000000000003</v>
      </c>
      <c r="U21" s="13">
        <v>0.52210000000000001</v>
      </c>
      <c r="W21" s="1">
        <v>220</v>
      </c>
      <c r="X21" s="1">
        <v>104.44</v>
      </c>
      <c r="Y21" s="1" cm="1">
        <f t="array" ref="Y21">_xlfn.IFS('oil ring calculator'!$C$14="ISO VG 32",'oil properties'!E21,'oil ring calculator'!$C$14="ISO VG 46",'oil properties'!K21,'oil ring calculator'!$C$14="ISO VG 68",'oil properties'!Q21,'oil ring calculator'!$C$14="user def.",0)</f>
        <v>5.2731000000000003</v>
      </c>
      <c r="Z21" s="1" cm="1">
        <f t="array" ref="Z21">_xlfn.IFS('oil ring calculator'!$C$14="ISO VG 32",'oil properties'!F21,'oil ring calculator'!$C$14="ISO VG 46",'oil properties'!L21,'oil ring calculator'!$C$14="ISO VG 68",'oil properties'!R21,'oil ring calculator'!$C$14="user def.",0)</f>
        <v>6.51</v>
      </c>
    </row>
    <row r="22" spans="2:26" x14ac:dyDescent="0.25">
      <c r="B22" s="12">
        <v>230</v>
      </c>
      <c r="C22" s="1">
        <v>110</v>
      </c>
      <c r="D22" s="15">
        <v>5.3789299999999998E-7</v>
      </c>
      <c r="E22" s="1">
        <v>3.7086000000000001</v>
      </c>
      <c r="F22" s="1">
        <v>4.6212999999999997</v>
      </c>
      <c r="G22" s="1">
        <v>2.8989999999999998E-2</v>
      </c>
      <c r="H22" s="1">
        <v>0.80249999999999999</v>
      </c>
      <c r="I22" s="13">
        <v>0.52929999999999999</v>
      </c>
      <c r="J22" s="3">
        <v>6.8027100000000002E-7</v>
      </c>
      <c r="K22" s="1">
        <v>4.6902999999999997</v>
      </c>
      <c r="L22" s="1">
        <v>5.8140000000000001</v>
      </c>
      <c r="M22" s="1">
        <v>2.9149999999999999E-2</v>
      </c>
      <c r="N22" s="1">
        <v>0.80669999999999997</v>
      </c>
      <c r="O22" s="1">
        <v>0.52810000000000001</v>
      </c>
      <c r="P22" s="15">
        <v>8.4040899999999997E-7</v>
      </c>
      <c r="Q22" s="1">
        <v>5.7944000000000004</v>
      </c>
      <c r="R22" s="1">
        <v>7.1452</v>
      </c>
      <c r="S22" s="1">
        <v>2.93E-2</v>
      </c>
      <c r="T22" s="1">
        <v>0.81089999999999995</v>
      </c>
      <c r="U22" s="13">
        <v>0.52690000000000003</v>
      </c>
      <c r="W22" s="1">
        <v>230</v>
      </c>
      <c r="X22" s="1">
        <v>110</v>
      </c>
      <c r="Y22" s="1" cm="1">
        <f t="array" ref="Y22">_xlfn.IFS('oil ring calculator'!$C$14="ISO VG 32",'oil properties'!E22,'oil ring calculator'!$C$14="ISO VG 46",'oil properties'!K22,'oil ring calculator'!$C$14="ISO VG 68",'oil properties'!Q22,'oil ring calculator'!$C$14="user def.",0)</f>
        <v>4.6902999999999997</v>
      </c>
      <c r="Z22" s="1" cm="1">
        <f t="array" ref="Z22">_xlfn.IFS('oil ring calculator'!$C$14="ISO VG 32",'oil properties'!F22,'oil ring calculator'!$C$14="ISO VG 46",'oil properties'!L22,'oil ring calculator'!$C$14="ISO VG 68",'oil properties'!R22,'oil ring calculator'!$C$14="user def.",0)</f>
        <v>5.8140000000000001</v>
      </c>
    </row>
    <row r="23" spans="2:26" x14ac:dyDescent="0.25">
      <c r="B23" s="12">
        <v>240</v>
      </c>
      <c r="C23" s="1">
        <v>115.56</v>
      </c>
      <c r="D23" s="15">
        <v>4.8485599999999996E-7</v>
      </c>
      <c r="E23" s="1">
        <v>3.343</v>
      </c>
      <c r="F23" s="1">
        <v>4.1825999999999999</v>
      </c>
      <c r="G23" s="1">
        <v>2.887E-2</v>
      </c>
      <c r="H23" s="1">
        <v>0.79920000000000002</v>
      </c>
      <c r="I23" s="13">
        <v>0.53420000000000001</v>
      </c>
      <c r="J23" s="3">
        <v>6.0877199999999997E-7</v>
      </c>
      <c r="K23" s="1">
        <v>4.1973000000000003</v>
      </c>
      <c r="L23" s="1">
        <v>5.2239000000000004</v>
      </c>
      <c r="M23" s="1">
        <v>2.903E-2</v>
      </c>
      <c r="N23" s="1">
        <v>0.80349999999999999</v>
      </c>
      <c r="O23" s="1">
        <v>0.53290000000000004</v>
      </c>
      <c r="P23" s="15">
        <v>7.4695400000000001E-7</v>
      </c>
      <c r="Q23" s="1">
        <v>5.1501000000000001</v>
      </c>
      <c r="R23" s="1">
        <v>6.3761000000000001</v>
      </c>
      <c r="S23" s="1">
        <v>2.9180000000000001E-2</v>
      </c>
      <c r="T23" s="1">
        <v>0.80769999999999997</v>
      </c>
      <c r="U23" s="13">
        <v>0.53169999999999995</v>
      </c>
      <c r="W23" s="1">
        <v>240</v>
      </c>
      <c r="X23" s="1">
        <v>115.56</v>
      </c>
      <c r="Y23" s="1" cm="1">
        <f t="array" ref="Y23">_xlfn.IFS('oil ring calculator'!$C$14="ISO VG 32",'oil properties'!E23,'oil ring calculator'!$C$14="ISO VG 46",'oil properties'!K23,'oil ring calculator'!$C$14="ISO VG 68",'oil properties'!Q23,'oil ring calculator'!$C$14="user def.",0)</f>
        <v>4.1973000000000003</v>
      </c>
      <c r="Z23" s="1" cm="1">
        <f t="array" ref="Z23">_xlfn.IFS('oil ring calculator'!$C$14="ISO VG 32",'oil properties'!F23,'oil ring calculator'!$C$14="ISO VG 46",'oil properties'!L23,'oil ring calculator'!$C$14="ISO VG 68",'oil properties'!R23,'oil ring calculator'!$C$14="user def.",0)</f>
        <v>5.2239000000000004</v>
      </c>
    </row>
    <row r="24" spans="2:26" x14ac:dyDescent="0.25">
      <c r="B24" s="6">
        <v>250</v>
      </c>
      <c r="C24" s="7">
        <v>121.11</v>
      </c>
      <c r="D24" s="16">
        <v>4.3930599999999998E-7</v>
      </c>
      <c r="E24" s="7">
        <v>3.0289000000000001</v>
      </c>
      <c r="F24" s="7">
        <v>3.8050999999999999</v>
      </c>
      <c r="G24" s="7">
        <v>2.8760000000000001E-2</v>
      </c>
      <c r="H24" s="7">
        <v>0.79600000000000004</v>
      </c>
      <c r="I24" s="8">
        <v>0.53900000000000003</v>
      </c>
      <c r="J24" s="14">
        <v>5.4784800000000002E-7</v>
      </c>
      <c r="K24" s="7">
        <v>3.7772999999999999</v>
      </c>
      <c r="L24" s="7">
        <v>4.72</v>
      </c>
      <c r="M24" s="7">
        <v>2.8910000000000002E-2</v>
      </c>
      <c r="N24" s="7">
        <v>0.80030000000000001</v>
      </c>
      <c r="O24" s="7">
        <v>0.53779999999999994</v>
      </c>
      <c r="P24" s="16">
        <v>6.6791499999999998E-7</v>
      </c>
      <c r="Q24" s="7">
        <v>4.6051000000000002</v>
      </c>
      <c r="R24" s="7">
        <v>5.7241999999999997</v>
      </c>
      <c r="S24" s="7">
        <v>2.9059999999999999E-2</v>
      </c>
      <c r="T24" s="7">
        <v>0.80449999999999999</v>
      </c>
      <c r="U24" s="8">
        <v>0.53649999999999998</v>
      </c>
      <c r="W24" s="1">
        <v>250</v>
      </c>
      <c r="X24" s="1">
        <v>121.11</v>
      </c>
      <c r="Y24" s="1" cm="1">
        <f t="array" ref="Y24">_xlfn.IFS('oil ring calculator'!$C$14="ISO VG 32",'oil properties'!E24,'oil ring calculator'!$C$14="ISO VG 46",'oil properties'!K24,'oil ring calculator'!$C$14="ISO VG 68",'oil properties'!Q24,'oil ring calculator'!$C$14="user def.",0)</f>
        <v>3.7772999999999999</v>
      </c>
      <c r="Z24" s="1" cm="1">
        <f t="array" ref="Z24">_xlfn.IFS('oil ring calculator'!$C$14="ISO VG 32",'oil properties'!F24,'oil ring calculator'!$C$14="ISO VG 46",'oil properties'!L24,'oil ring calculator'!$C$14="ISO VG 68",'oil properties'!R24,'oil ring calculator'!$C$14="user def.",0)</f>
        <v>4.72</v>
      </c>
    </row>
    <row r="29" spans="2:26" x14ac:dyDescent="0.25">
      <c r="L29" s="9"/>
    </row>
    <row r="30" spans="2:26" x14ac:dyDescent="0.25">
      <c r="L30" s="9"/>
    </row>
    <row r="31" spans="2:26" x14ac:dyDescent="0.25">
      <c r="L31" s="9"/>
    </row>
    <row r="32" spans="2:26" x14ac:dyDescent="0.25">
      <c r="L32" s="9"/>
    </row>
    <row r="33" spans="12:12" x14ac:dyDescent="0.25">
      <c r="L33" s="9"/>
    </row>
    <row r="34" spans="12:12" x14ac:dyDescent="0.25">
      <c r="L34" s="9"/>
    </row>
    <row r="35" spans="12:12" x14ac:dyDescent="0.25">
      <c r="L35" s="9"/>
    </row>
    <row r="36" spans="12:12" x14ac:dyDescent="0.25">
      <c r="L36" s="9"/>
    </row>
    <row r="37" spans="12:12" x14ac:dyDescent="0.25">
      <c r="L37" s="9"/>
    </row>
    <row r="38" spans="12:12" x14ac:dyDescent="0.25">
      <c r="L38" s="9"/>
    </row>
    <row r="39" spans="12:12" x14ac:dyDescent="0.25">
      <c r="L39" s="9"/>
    </row>
    <row r="40" spans="12:12" x14ac:dyDescent="0.25">
      <c r="L40" s="9"/>
    </row>
    <row r="41" spans="12:12" x14ac:dyDescent="0.25">
      <c r="L41" s="9"/>
    </row>
    <row r="42" spans="12:12" x14ac:dyDescent="0.25">
      <c r="L42" s="9"/>
    </row>
    <row r="43" spans="12:12" x14ac:dyDescent="0.25">
      <c r="L43" s="9"/>
    </row>
    <row r="44" spans="12:12" x14ac:dyDescent="0.25">
      <c r="L44" s="9"/>
    </row>
    <row r="45" spans="12:12" x14ac:dyDescent="0.25">
      <c r="L45" s="9"/>
    </row>
    <row r="46" spans="12:12" x14ac:dyDescent="0.25">
      <c r="L46" s="9"/>
    </row>
    <row r="47" spans="12:12" x14ac:dyDescent="0.25">
      <c r="L47" s="9"/>
    </row>
    <row r="48" spans="12:12" x14ac:dyDescent="0.25">
      <c r="L48" s="9"/>
    </row>
    <row r="49" spans="12:12" x14ac:dyDescent="0.25">
      <c r="L49" s="9"/>
    </row>
    <row r="50" spans="12:12" x14ac:dyDescent="0.25">
      <c r="L50" s="9"/>
    </row>
    <row r="51" spans="12:12" x14ac:dyDescent="0.25">
      <c r="L51" s="9"/>
    </row>
    <row r="52" spans="12:12" x14ac:dyDescent="0.25">
      <c r="L52" s="9"/>
    </row>
    <row r="53" spans="12:12" x14ac:dyDescent="0.25">
      <c r="L53" s="9"/>
    </row>
  </sheetData>
  <mergeCells count="3">
    <mergeCell ref="D2:I2"/>
    <mergeCell ref="J2:O2"/>
    <mergeCell ref="P2:U2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FF5BB9810E8454BA2B38D00B6D18848" ma:contentTypeVersion="3" ma:contentTypeDescription="Creare un nuovo documento." ma:contentTypeScope="" ma:versionID="85968c8a5930af966cb491cc87274750">
  <xsd:schema xmlns:xsd="http://www.w3.org/2001/XMLSchema" xmlns:xs="http://www.w3.org/2001/XMLSchema" xmlns:p="http://schemas.microsoft.com/office/2006/metadata/properties" xmlns:ns2="427a1db5-2437-44f3-a84b-464aead4a71a" targetNamespace="http://schemas.microsoft.com/office/2006/metadata/properties" ma:root="true" ma:fieldsID="d822db9e2d05bc620d08fbffa4bfffa8" ns2:_="">
    <xsd:import namespace="427a1db5-2437-44f3-a84b-464aead4a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7a1db5-2437-44f3-a84b-464aead4a71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EE8EF9A-458B-47DF-8F05-90F9C3ED4905}">
  <ds:schemaRefs>
    <ds:schemaRef ds:uri="http://schemas.microsoft.com/office/2006/metadata/properties"/>
    <ds:schemaRef ds:uri="http://schemas.microsoft.com/office/infopath/2007/PartnerControls"/>
    <ds:schemaRef ds:uri="2710bc8b-17c9-4e36-a567-5a8748d28b44"/>
    <ds:schemaRef ds:uri="f16ae08e-32aa-43c4-955b-813e13c9303e"/>
  </ds:schemaRefs>
</ds:datastoreItem>
</file>

<file path=customXml/itemProps2.xml><?xml version="1.0" encoding="utf-8"?>
<ds:datastoreItem xmlns:ds="http://schemas.openxmlformats.org/officeDocument/2006/customXml" ds:itemID="{8EEEE511-E694-4B4E-ABF5-34F0B1403B2F}"/>
</file>

<file path=customXml/itemProps3.xml><?xml version="1.0" encoding="utf-8"?>
<ds:datastoreItem xmlns:ds="http://schemas.openxmlformats.org/officeDocument/2006/customXml" ds:itemID="{8DC4FA59-53B5-4341-BCA1-93AAC9CE5E9E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ac69433e-9fbc-4566-9c7b-2629ed8b780f}" enabled="0" method="" siteId="{ac69433e-9fbc-4566-9c7b-2629ed8b780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content</vt:lpstr>
      <vt:lpstr>oil ring calculator</vt:lpstr>
      <vt:lpstr>oil properties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Fabrizio Cademartori</dc:creator>
  <cp:keywords/>
  <dc:description/>
  <cp:lastModifiedBy>Carmine Delli Quadri</cp:lastModifiedBy>
  <cp:revision/>
  <dcterms:created xsi:type="dcterms:W3CDTF">2024-09-06T10:16:22Z</dcterms:created>
  <dcterms:modified xsi:type="dcterms:W3CDTF">2024-12-05T07:23:12Z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0x0101003FF5BB9810E8454BA2B38D00B6D18848</vt:lpwstr>
  </property>
  <property fmtid="{D5CDD505-2E9C-101B-9397-08002B2CF9AE}" pid="3" name="MediaServiceImageTags">
    <vt:lpwstr/>
  </property>
</Properties>
</file>