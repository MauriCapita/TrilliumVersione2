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110453\Downloads\"/>
    </mc:Choice>
  </mc:AlternateContent>
  <xr:revisionPtr revIDLastSave="0" documentId="13_ncr:1_{0FEC0BD9-C94F-424F-96CC-D1402940A204}" xr6:coauthVersionLast="47" xr6:coauthVersionMax="47" xr10:uidLastSave="{00000000-0000-0000-0000-000000000000}"/>
  <bookViews>
    <workbookView xWindow="-120" yWindow="-120" windowWidth="19440" windowHeight="15000" xr2:uid="{03A19870-0A81-49D8-AC11-98089251D9FA}"/>
  </bookViews>
  <sheets>
    <sheet name="cover" sheetId="4" r:id="rId1"/>
    <sheet name="limits for extrusion" sheetId="1" r:id="rId2"/>
    <sheet name="dati" sheetId="2" state="hidden" r:id="rId3"/>
    <sheet name="compression set" sheetId="3" r:id="rId4"/>
  </sheets>
  <externalReferences>
    <externalReference r:id="rId5"/>
    <externalReference r:id="rId6"/>
    <externalReference r:id="rId7"/>
    <externalReference r:id="rId8"/>
    <externalReference r:id="rId9"/>
  </externalReferences>
  <definedNames>
    <definedName name="_bga2">#REF!</definedName>
    <definedName name="a">#REF!</definedName>
    <definedName name="Ac">#REF!</definedName>
    <definedName name="adsv">#REF!</definedName>
    <definedName name="_xlnm.Print_Area" localSheetId="0">cover!$A$1:$AD$48</definedName>
    <definedName name="asdfg">[1]DAF!$F$17:$F$20</definedName>
    <definedName name="bga">#REF!</definedName>
    <definedName name="bp">#REF!</definedName>
    <definedName name="CK">#REF!</definedName>
    <definedName name="d">#REF!</definedName>
    <definedName name="das">#REF!</definedName>
    <definedName name="ddd">'[2]From RPI'!$AB$90</definedName>
    <definedName name="Doc_type">#REF!</definedName>
    <definedName name="DOCID">[3]listes!$C$2:$C$150</definedName>
    <definedName name="dpt_code">#REF!</definedName>
    <definedName name="EQPT_LIST_UNIT_31">#REF!</definedName>
    <definedName name="FACTORS">#REF!</definedName>
    <definedName name="fm">#REF!</definedName>
    <definedName name="Impeller_Eye_Area" localSheetId="0">#REF!</definedName>
    <definedName name="Impeller_Eye_Area">#REF!</definedName>
    <definedName name="Impeller_Eye_Diameter" localSheetId="0">#REF!</definedName>
    <definedName name="Impeller_Eye_Diameter">#REF!</definedName>
    <definedName name="Impeller_Hub_Diameter" localSheetId="0">#REF!</definedName>
    <definedName name="Impeller_Hub_Diameter">#REF!</definedName>
    <definedName name="Impeller_Inlet_Diameter" localSheetId="0">#REF!</definedName>
    <definedName name="Impeller_Inlet_Diameter">#REF!</definedName>
    <definedName name="INT_DIAM">#REF!</definedName>
    <definedName name="kl">#REF!</definedName>
    <definedName name="KR">#REF!</definedName>
    <definedName name="Language">#REF!</definedName>
    <definedName name="Larghezza">#REF!</definedName>
    <definedName name="LENGHTS">#REF!</definedName>
    <definedName name="LINE_LIST_UNIT_31">#REF!</definedName>
    <definedName name="Number">#REF!</definedName>
    <definedName name="pipesize">#REF!</definedName>
    <definedName name="Portata">#REF!</definedName>
    <definedName name="portatacalcolo">'[4]Basi di progetto'!$D$16</definedName>
    <definedName name="portataminima">'[4]Basi di progetto'!$D$10</definedName>
    <definedName name="portatanera">'[4]Basi di progetto'!$D$14</definedName>
    <definedName name="portcalcolo">#REF!</definedName>
    <definedName name="portnera">#REF!</definedName>
    <definedName name="Print_Area_MI">#REF!</definedName>
    <definedName name="prtpioggia">'[4]Basi di progetto'!$D$12</definedName>
    <definedName name="pump">#REF!</definedName>
    <definedName name="PUMPCALC">'[5]PUMP CALCULATION'!$J$4</definedName>
    <definedName name="PUMPDATA">'[5]PUMP CALCULATION'!$J$12</definedName>
    <definedName name="q">#REF!</definedName>
    <definedName name="references">#REF!</definedName>
    <definedName name="rev">#REF!</definedName>
    <definedName name="RevTable">#REF!</definedName>
    <definedName name="Rgas">#REF!</definedName>
    <definedName name="rhokl">#REF!</definedName>
    <definedName name="ROUGHNESS">#REF!</definedName>
    <definedName name="s">'[2]From RPI'!$AB$88</definedName>
    <definedName name="solub">#REF!</definedName>
    <definedName name="Suction_Diameter" localSheetId="0">#REF!</definedName>
    <definedName name="Suction_Diameter">#REF!</definedName>
    <definedName name="Sup">#REF!</definedName>
    <definedName name="title">#REF!</definedName>
    <definedName name="uh">#REF!</definedName>
    <definedName name="UNIT">[3]listes!$D$2:$D$150</definedName>
    <definedName name="Unit_number">#REF!</definedName>
    <definedName name="units">#REF!</definedName>
    <definedName name="velocita_di_progetto">#REF!</definedName>
    <definedName name="velocità_di_progetto">#REF!</definedName>
    <definedName name="velocitamassima">#REF!</definedName>
    <definedName name="velocitaminima">#REF!</definedName>
    <definedName name="VH">#REF!</definedName>
    <definedName name="vt">#REF!</definedName>
    <definedName name="WC">[3]listes!$A$2:$A$25</definedName>
    <definedName name="work_center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" i="3" l="1"/>
  <c r="P7" i="2"/>
  <c r="I4" i="2"/>
  <c r="K4" i="2"/>
  <c r="M4" i="2"/>
  <c r="P2" i="2"/>
  <c r="M5" i="2"/>
  <c r="M6" i="2"/>
  <c r="M7" i="2"/>
  <c r="M8" i="2"/>
  <c r="M9" i="2"/>
  <c r="M10" i="2"/>
  <c r="M11" i="2"/>
  <c r="M12" i="2"/>
  <c r="J4" i="2"/>
  <c r="J16" i="2"/>
  <c r="L16" i="2"/>
  <c r="J15" i="2"/>
  <c r="L15" i="2"/>
  <c r="J14" i="2"/>
  <c r="L14" i="2"/>
  <c r="J13" i="2"/>
  <c r="L13" i="2"/>
  <c r="J12" i="2"/>
  <c r="L12" i="2"/>
  <c r="J11" i="2"/>
  <c r="L11" i="2"/>
  <c r="J10" i="2"/>
  <c r="L10" i="2"/>
  <c r="J9" i="2"/>
  <c r="L9" i="2"/>
  <c r="J8" i="2"/>
  <c r="L8" i="2"/>
  <c r="J7" i="2"/>
  <c r="L7" i="2"/>
  <c r="J6" i="2"/>
  <c r="L6" i="2"/>
  <c r="J5" i="2"/>
  <c r="L5" i="2"/>
  <c r="L4" i="2"/>
  <c r="I7" i="3"/>
  <c r="I8" i="3" s="1"/>
  <c r="I14" i="3" s="1"/>
  <c r="I6" i="3"/>
  <c r="P9" i="2" a="1"/>
  <c r="P8" i="2" a="1"/>
  <c r="P10" i="2" a="1"/>
  <c r="I13" i="3" l="1"/>
  <c r="P10" i="2"/>
  <c r="M5" i="1" s="1" a="1"/>
  <c r="M5" i="1" s="1"/>
  <c r="P9" i="2"/>
  <c r="P8" i="2"/>
  <c r="C3" i="3"/>
  <c r="C4" i="3"/>
  <c r="C4" i="1" l="1"/>
  <c r="C3" i="1"/>
  <c r="I16" i="2"/>
  <c r="I15" i="2"/>
  <c r="K14" i="2"/>
  <c r="I14" i="2"/>
  <c r="K13" i="2"/>
  <c r="I13" i="2"/>
  <c r="K12" i="2"/>
  <c r="I12" i="2"/>
  <c r="K11" i="2"/>
  <c r="I11" i="2"/>
  <c r="K10" i="2"/>
  <c r="I10" i="2"/>
  <c r="K9" i="2"/>
  <c r="I9" i="2"/>
  <c r="K8" i="2"/>
  <c r="I8" i="2"/>
  <c r="K7" i="2"/>
  <c r="I7" i="2"/>
  <c r="K6" i="2"/>
  <c r="I6" i="2"/>
  <c r="K5" i="2"/>
  <c r="I5" i="2"/>
  <c r="P4" i="2" l="1" a="1"/>
  <c r="P4" i="2" s="1"/>
  <c r="P3" i="2" a="1"/>
  <c r="P3" i="2" s="1"/>
  <c r="B2" i="1" l="1"/>
  <c r="B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<sst xmlns="http://schemas.openxmlformats.org/spreadsheetml/2006/main" count="82" uniqueCount="56">
  <si>
    <t>xx/xx/xxxx</t>
  </si>
  <si>
    <t>First issue</t>
  </si>
  <si>
    <t>X</t>
  </si>
  <si>
    <t>Rev.</t>
  </si>
  <si>
    <t>Date</t>
  </si>
  <si>
    <t>Description</t>
  </si>
  <si>
    <t>Prepared</t>
  </si>
  <si>
    <t>Checked</t>
  </si>
  <si>
    <t>Approved</t>
  </si>
  <si>
    <t>Limits for extrusion</t>
  </si>
  <si>
    <t>hardness shore</t>
  </si>
  <si>
    <t>(duromeer hardness)</t>
  </si>
  <si>
    <t>p [bar]</t>
  </si>
  <si>
    <t>(fluid pressure)</t>
  </si>
  <si>
    <t>c [mm]</t>
  </si>
  <si>
    <t>(maximum allowable clearance without anti-extrusion ring)</t>
  </si>
  <si>
    <t>Legend</t>
  </si>
  <si>
    <t>input data</t>
  </si>
  <si>
    <t>descriptor</t>
  </si>
  <si>
    <t>calculated</t>
  </si>
  <si>
    <t>annotation</t>
  </si>
  <si>
    <t>hardness</t>
  </si>
  <si>
    <t>c [in]</t>
  </si>
  <si>
    <t>p [psi]</t>
  </si>
  <si>
    <t>(max)</t>
  </si>
  <si>
    <t>(min)</t>
  </si>
  <si>
    <t>Compression set</t>
  </si>
  <si>
    <t>return</t>
  </si>
  <si>
    <t>C [-]</t>
  </si>
  <si>
    <t>(compression set as percent of original deflection)</t>
  </si>
  <si>
    <t>compression</t>
  </si>
  <si>
    <r>
      <t>t</t>
    </r>
    <r>
      <rPr>
        <b/>
        <vertAlign val="subscript"/>
        <sz val="11"/>
        <color theme="0"/>
        <rFont val="Aptos Narrow"/>
        <family val="2"/>
        <scheme val="minor"/>
      </rPr>
      <t>0</t>
    </r>
    <r>
      <rPr>
        <b/>
        <sz val="11"/>
        <color theme="0"/>
        <rFont val="Aptos Narrow"/>
        <family val="2"/>
        <scheme val="minor"/>
      </rPr>
      <t xml:space="preserve"> [mm]</t>
    </r>
  </si>
  <si>
    <t>(original thickness)</t>
  </si>
  <si>
    <r>
      <t>t</t>
    </r>
    <r>
      <rPr>
        <b/>
        <vertAlign val="subscript"/>
        <sz val="11"/>
        <color theme="0"/>
        <rFont val="Aptos Narrow"/>
        <family val="2"/>
        <scheme val="minor"/>
      </rPr>
      <t>s</t>
    </r>
    <r>
      <rPr>
        <b/>
        <sz val="11"/>
        <color theme="0"/>
        <rFont val="Aptos Narrow"/>
        <family val="2"/>
        <scheme val="minor"/>
      </rPr>
      <t xml:space="preserve"> [mm]</t>
    </r>
  </si>
  <si>
    <t>(compressed thickness/gland depth)</t>
  </si>
  <si>
    <r>
      <t>t</t>
    </r>
    <r>
      <rPr>
        <b/>
        <vertAlign val="subscript"/>
        <sz val="11"/>
        <color theme="0"/>
        <rFont val="Aptos Narrow"/>
        <family val="2"/>
        <scheme val="minor"/>
      </rPr>
      <t>0</t>
    </r>
    <r>
      <rPr>
        <b/>
        <sz val="11"/>
        <color theme="0"/>
        <rFont val="Aptos Narrow"/>
        <family val="2"/>
        <scheme val="minor"/>
      </rPr>
      <t>-t</t>
    </r>
    <r>
      <rPr>
        <b/>
        <vertAlign val="subscript"/>
        <sz val="11"/>
        <color theme="0"/>
        <rFont val="Aptos Narrow"/>
        <family val="2"/>
        <scheme val="minor"/>
      </rPr>
      <t>s</t>
    </r>
    <r>
      <rPr>
        <b/>
        <sz val="11"/>
        <color theme="0"/>
        <rFont val="Aptos Narrow"/>
        <family val="2"/>
        <scheme val="minor"/>
      </rPr>
      <t xml:space="preserve"> [mm]</t>
    </r>
  </si>
  <si>
    <t>(deflection)</t>
  </si>
  <si>
    <r>
      <t>t</t>
    </r>
    <r>
      <rPr>
        <b/>
        <vertAlign val="subscript"/>
        <sz val="11"/>
        <color theme="0"/>
        <rFont val="Aptos Narrow"/>
        <family val="2"/>
        <scheme val="minor"/>
      </rPr>
      <t>i</t>
    </r>
    <r>
      <rPr>
        <b/>
        <sz val="11"/>
        <color theme="0"/>
        <rFont val="Aptos Narrow"/>
        <family val="2"/>
        <scheme val="minor"/>
      </rPr>
      <t xml:space="preserve"> [mm]</t>
    </r>
  </si>
  <si>
    <t>(recovered thickness)</t>
  </si>
  <si>
    <r>
      <t>t</t>
    </r>
    <r>
      <rPr>
        <b/>
        <vertAlign val="subscript"/>
        <sz val="11"/>
        <color theme="0"/>
        <rFont val="Aptos Narrow"/>
        <family val="2"/>
        <scheme val="minor"/>
      </rPr>
      <t>i</t>
    </r>
    <r>
      <rPr>
        <b/>
        <sz val="11"/>
        <color theme="0"/>
        <rFont val="Aptos Narrow"/>
        <family val="2"/>
        <scheme val="minor"/>
      </rPr>
      <t>-t</t>
    </r>
    <r>
      <rPr>
        <b/>
        <vertAlign val="subscript"/>
        <sz val="11"/>
        <color theme="0"/>
        <rFont val="Aptos Narrow"/>
        <family val="2"/>
        <scheme val="minor"/>
      </rPr>
      <t>s</t>
    </r>
    <r>
      <rPr>
        <b/>
        <sz val="11"/>
        <color theme="0"/>
        <rFont val="Aptos Narrow"/>
        <family val="2"/>
        <scheme val="minor"/>
      </rPr>
      <t xml:space="preserve"> [mm]</t>
    </r>
  </si>
  <si>
    <t>(return)</t>
  </si>
  <si>
    <t>seal type</t>
  </si>
  <si>
    <t>axial</t>
  </si>
  <si>
    <t>(type of seal)</t>
  </si>
  <si>
    <r>
      <t>c</t>
    </r>
    <r>
      <rPr>
        <b/>
        <vertAlign val="subscript"/>
        <sz val="11"/>
        <color theme="0"/>
        <rFont val="Aptos Narrow"/>
        <family val="2"/>
        <scheme val="minor"/>
      </rPr>
      <t>op</t>
    </r>
    <r>
      <rPr>
        <b/>
        <sz val="11"/>
        <color theme="0"/>
        <rFont val="Aptos Narrow"/>
        <family val="2"/>
        <scheme val="minor"/>
      </rPr>
      <t xml:space="preserve"> [mm]</t>
    </r>
  </si>
  <si>
    <r>
      <t>c</t>
    </r>
    <r>
      <rPr>
        <b/>
        <vertAlign val="subscript"/>
        <sz val="11"/>
        <color theme="0"/>
        <rFont val="Aptos Narrow"/>
        <family val="2"/>
        <scheme val="minor"/>
      </rPr>
      <t>h</t>
    </r>
    <r>
      <rPr>
        <b/>
        <sz val="11"/>
        <color theme="0"/>
        <rFont val="Aptos Narrow"/>
        <family val="2"/>
        <scheme val="minor"/>
      </rPr>
      <t xml:space="preserve"> [mm]</t>
    </r>
  </si>
  <si>
    <t>FS</t>
  </si>
  <si>
    <t>(factor of safety)</t>
  </si>
  <si>
    <t>(recovered thickness verification - operating conditions)</t>
  </si>
  <si>
    <t>(recovered thickness verification - hydrotest)</t>
  </si>
  <si>
    <t>O-ring
(linked to SOP-506)</t>
  </si>
  <si>
    <t>Mod.482-0</t>
  </si>
  <si>
    <r>
      <t>(t</t>
    </r>
    <r>
      <rPr>
        <b/>
        <vertAlign val="subscript"/>
        <sz val="11"/>
        <color theme="0"/>
        <rFont val="Aptos Narrow"/>
        <family val="2"/>
        <scheme val="minor"/>
      </rPr>
      <t>i</t>
    </r>
    <r>
      <rPr>
        <b/>
        <sz val="11"/>
        <color theme="0"/>
        <rFont val="Aptos Narrow"/>
        <family val="2"/>
        <scheme val="minor"/>
      </rPr>
      <t>-t</t>
    </r>
    <r>
      <rPr>
        <b/>
        <vertAlign val="subscript"/>
        <sz val="11"/>
        <color theme="0"/>
        <rFont val="Aptos Narrow"/>
        <family val="2"/>
        <scheme val="minor"/>
      </rPr>
      <t>s</t>
    </r>
    <r>
      <rPr>
        <b/>
        <sz val="11"/>
        <color theme="0"/>
        <rFont val="Aptos Narrow"/>
        <family val="2"/>
        <scheme val="minor"/>
      </rPr>
      <t>)/c</t>
    </r>
    <r>
      <rPr>
        <b/>
        <vertAlign val="subscript"/>
        <sz val="11"/>
        <color theme="0"/>
        <rFont val="Aptos Narrow"/>
        <family val="2"/>
        <scheme val="minor"/>
      </rPr>
      <t>op</t>
    </r>
    <r>
      <rPr>
        <b/>
        <sz val="11"/>
        <color theme="0"/>
        <rFont val="Aptos Narrow"/>
        <family val="2"/>
        <scheme val="minor"/>
      </rPr>
      <t xml:space="preserve"> [-]</t>
    </r>
  </si>
  <si>
    <r>
      <t>(t</t>
    </r>
    <r>
      <rPr>
        <b/>
        <vertAlign val="subscript"/>
        <sz val="11"/>
        <color theme="0"/>
        <rFont val="Aptos Narrow"/>
        <family val="2"/>
        <scheme val="minor"/>
      </rPr>
      <t>i</t>
    </r>
    <r>
      <rPr>
        <b/>
        <sz val="11"/>
        <color theme="0"/>
        <rFont val="Aptos Narrow"/>
        <family val="2"/>
        <scheme val="minor"/>
      </rPr>
      <t>-t</t>
    </r>
    <r>
      <rPr>
        <b/>
        <vertAlign val="subscript"/>
        <sz val="11"/>
        <color theme="0"/>
        <rFont val="Aptos Narrow"/>
        <family val="2"/>
        <scheme val="minor"/>
      </rPr>
      <t>s</t>
    </r>
    <r>
      <rPr>
        <b/>
        <sz val="11"/>
        <color theme="0"/>
        <rFont val="Aptos Narrow"/>
        <family val="2"/>
        <scheme val="minor"/>
      </rPr>
      <t>)/c</t>
    </r>
    <r>
      <rPr>
        <b/>
        <vertAlign val="subscript"/>
        <sz val="11"/>
        <color theme="0"/>
        <rFont val="Aptos Narrow"/>
        <family val="2"/>
        <scheme val="minor"/>
      </rPr>
      <t xml:space="preserve">h </t>
    </r>
    <r>
      <rPr>
        <b/>
        <sz val="11"/>
        <color theme="0"/>
        <rFont val="Aptos Narrow"/>
        <family val="2"/>
        <scheme val="minor"/>
      </rPr>
      <t>[-]</t>
    </r>
  </si>
  <si>
    <t>(calculated clearance - operating conditions)</t>
  </si>
  <si>
    <t>(calculated clearance - hydrotest)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</si>
</sst>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General_)"/>
    <numFmt numFmtId="167" formatCode="&quot;$&quot;#,##0.00;[Red]\-&quot;$&quot;#,##0.00"/>
    <numFmt numFmtId="168" formatCode="0.00000"/>
  </numFmts>
  <fonts count="19" x14ac:knownFonts="1">
    <font>
      <sz val="11"/>
      <color theme="1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sz val="11"/>
      <name val="Aptos Narrow"/>
      <family val="2"/>
      <scheme val="minor"/>
    </font>
    <font>
      <i/>
      <sz val="1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6"/>
      <name val="Arial"/>
      <family val="2"/>
    </font>
    <font>
      <b/>
      <sz val="26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b/>
      <u/>
      <sz val="11"/>
      <color theme="1"/>
      <name val="Aptos Narrow"/>
      <family val="2"/>
      <scheme val="minor"/>
    </font>
    <font>
      <b/>
      <vertAlign val="subscript"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4" fillId="0" borderId="0" applyFont="0" applyFill="0" applyBorder="0" applyAlignment="0" applyProtection="0"/>
    <xf numFmtId="0" fontId="6" fillId="0" borderId="0"/>
    <xf numFmtId="166" fontId="7" fillId="0" borderId="0"/>
    <xf numFmtId="167" fontId="13" fillId="0" borderId="0" applyFont="0" applyFill="0" applyBorder="0" applyAlignment="0" applyProtection="0"/>
  </cellStyleXfs>
  <cellXfs count="82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/>
    <xf numFmtId="164" fontId="0" fillId="0" borderId="0" xfId="0" applyNumberFormat="1"/>
    <xf numFmtId="10" fontId="0" fillId="0" borderId="0" xfId="0" applyNumberFormat="1" applyAlignment="1">
      <alignment horizontal="center"/>
    </xf>
    <xf numFmtId="0" fontId="6" fillId="0" borderId="5" xfId="2" applyBorder="1" applyAlignment="1">
      <alignment horizontal="center" vertical="center"/>
    </xf>
    <xf numFmtId="0" fontId="6" fillId="0" borderId="6" xfId="2" applyBorder="1" applyAlignment="1">
      <alignment horizontal="center" vertical="center"/>
    </xf>
    <xf numFmtId="0" fontId="6" fillId="0" borderId="7" xfId="2" applyBorder="1" applyAlignment="1">
      <alignment horizontal="center" vertical="center"/>
    </xf>
    <xf numFmtId="166" fontId="7" fillId="0" borderId="0" xfId="3"/>
    <xf numFmtId="0" fontId="6" fillId="0" borderId="8" xfId="2" applyBorder="1" applyAlignment="1">
      <alignment horizontal="center" vertical="center"/>
    </xf>
    <xf numFmtId="0" fontId="6" fillId="0" borderId="0" xfId="2" applyAlignment="1">
      <alignment horizontal="center" vertical="center"/>
    </xf>
    <xf numFmtId="0" fontId="6" fillId="0" borderId="9" xfId="2" applyBorder="1" applyAlignment="1">
      <alignment horizontal="center" vertical="center"/>
    </xf>
    <xf numFmtId="0" fontId="8" fillId="0" borderId="0" xfId="2" applyFont="1" applyAlignment="1">
      <alignment horizontal="center" vertical="top"/>
    </xf>
    <xf numFmtId="0" fontId="6" fillId="0" borderId="0" xfId="2" applyAlignment="1">
      <alignment horizontal="center"/>
    </xf>
    <xf numFmtId="0" fontId="9" fillId="0" borderId="0" xfId="2" applyFont="1" applyAlignment="1">
      <alignment horizontal="center" vertical="top"/>
    </xf>
    <xf numFmtId="0" fontId="10" fillId="0" borderId="9" xfId="2" applyFont="1" applyBorder="1" applyAlignment="1">
      <alignment horizontal="center" vertical="top"/>
    </xf>
    <xf numFmtId="0" fontId="11" fillId="0" borderId="8" xfId="2" applyFont="1" applyBorder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1" fillId="0" borderId="9" xfId="2" applyFont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2" fontId="2" fillId="3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164" fontId="3" fillId="0" borderId="1" xfId="0" applyNumberFormat="1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9" fontId="2" fillId="3" borderId="1" xfId="1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7" fillId="0" borderId="0" xfId="0" applyFont="1" applyAlignment="1">
      <alignment horizontal="center"/>
    </xf>
    <xf numFmtId="0" fontId="5" fillId="4" borderId="0" xfId="0" applyFont="1" applyFill="1" applyAlignment="1">
      <alignment horizontal="center" vertical="center"/>
    </xf>
    <xf numFmtId="1" fontId="2" fillId="3" borderId="1" xfId="0" applyNumberFormat="1" applyFont="1" applyFill="1" applyBorder="1" applyAlignment="1">
      <alignment horizontal="center" vertical="center"/>
    </xf>
    <xf numFmtId="167" fontId="7" fillId="0" borderId="10" xfId="4" applyFont="1" applyBorder="1" applyAlignment="1">
      <alignment horizontal="right" vertical="center"/>
    </xf>
    <xf numFmtId="167" fontId="7" fillId="0" borderId="11" xfId="4" applyFont="1" applyBorder="1" applyAlignment="1">
      <alignment horizontal="right" vertical="center"/>
    </xf>
    <xf numFmtId="167" fontId="7" fillId="0" borderId="12" xfId="4" applyFont="1" applyBorder="1" applyAlignment="1">
      <alignment horizontal="right" vertical="center"/>
    </xf>
    <xf numFmtId="167" fontId="6" fillId="0" borderId="20" xfId="4" applyFont="1" applyBorder="1" applyAlignment="1">
      <alignment horizontal="center" vertical="center"/>
    </xf>
    <xf numFmtId="167" fontId="6" fillId="0" borderId="21" xfId="4" applyFont="1" applyBorder="1" applyAlignment="1">
      <alignment horizontal="center" vertical="center"/>
    </xf>
    <xf numFmtId="0" fontId="14" fillId="0" borderId="22" xfId="2" applyFont="1" applyBorder="1" applyAlignment="1">
      <alignment horizontal="center" vertical="center"/>
    </xf>
    <xf numFmtId="0" fontId="14" fillId="0" borderId="23" xfId="2" applyFont="1" applyBorder="1" applyAlignment="1">
      <alignment horizontal="center" vertical="center"/>
    </xf>
    <xf numFmtId="0" fontId="14" fillId="0" borderId="21" xfId="2" applyFont="1" applyBorder="1" applyAlignment="1">
      <alignment horizontal="center" vertical="center"/>
    </xf>
    <xf numFmtId="0" fontId="14" fillId="0" borderId="24" xfId="2" applyFont="1" applyBorder="1" applyAlignment="1">
      <alignment horizontal="center" vertical="center"/>
    </xf>
    <xf numFmtId="0" fontId="13" fillId="0" borderId="2" xfId="2" applyFont="1" applyBorder="1" applyAlignment="1">
      <alignment horizontal="center" vertical="center" wrapText="1"/>
    </xf>
    <xf numFmtId="0" fontId="13" fillId="0" borderId="3" xfId="2" applyFont="1" applyBorder="1" applyAlignment="1">
      <alignment horizontal="center" vertical="center" wrapText="1"/>
    </xf>
    <xf numFmtId="0" fontId="13" fillId="0" borderId="19" xfId="2" applyFont="1" applyBorder="1" applyAlignment="1">
      <alignment horizontal="center" vertical="center" wrapText="1"/>
    </xf>
    <xf numFmtId="0" fontId="6" fillId="0" borderId="18" xfId="2" applyBorder="1" applyAlignment="1">
      <alignment horizontal="center" vertical="center"/>
    </xf>
    <xf numFmtId="0" fontId="6" fillId="0" borderId="4" xfId="2" applyBorder="1" applyAlignment="1">
      <alignment horizontal="center" vertical="center"/>
    </xf>
    <xf numFmtId="0" fontId="6" fillId="0" borderId="2" xfId="2" applyBorder="1" applyAlignment="1">
      <alignment horizontal="center" vertical="center"/>
    </xf>
    <xf numFmtId="0" fontId="6" fillId="0" borderId="3" xfId="2" applyBorder="1" applyAlignment="1">
      <alignment horizontal="center" vertical="center"/>
    </xf>
    <xf numFmtId="0" fontId="6" fillId="0" borderId="19" xfId="2" applyBorder="1" applyAlignment="1">
      <alignment horizontal="center" vertical="center"/>
    </xf>
    <xf numFmtId="0" fontId="13" fillId="0" borderId="18" xfId="2" applyFont="1" applyBorder="1" applyAlignment="1">
      <alignment horizontal="center" vertical="center"/>
    </xf>
    <xf numFmtId="0" fontId="13" fillId="0" borderId="4" xfId="2" applyFont="1" applyBorder="1" applyAlignment="1">
      <alignment horizontal="center" vertical="center"/>
    </xf>
    <xf numFmtId="14" fontId="13" fillId="0" borderId="2" xfId="2" applyNumberFormat="1" applyFont="1" applyBorder="1" applyAlignment="1">
      <alignment horizontal="center" vertical="center"/>
    </xf>
    <xf numFmtId="14" fontId="13" fillId="0" borderId="3" xfId="2" applyNumberFormat="1" applyFont="1" applyBorder="1" applyAlignment="1">
      <alignment horizontal="center" vertical="center"/>
    </xf>
    <xf numFmtId="14" fontId="13" fillId="0" borderId="4" xfId="2" applyNumberFormat="1" applyFont="1" applyBorder="1" applyAlignment="1">
      <alignment horizontal="center" vertical="center"/>
    </xf>
    <xf numFmtId="0" fontId="13" fillId="0" borderId="2" xfId="2" applyFont="1" applyBorder="1" applyAlignment="1">
      <alignment horizontal="center" vertical="center"/>
    </xf>
    <xf numFmtId="0" fontId="13" fillId="0" borderId="3" xfId="2" applyFont="1" applyBorder="1" applyAlignment="1">
      <alignment horizontal="center" vertical="center"/>
    </xf>
    <xf numFmtId="0" fontId="13" fillId="0" borderId="4" xfId="2" applyFont="1" applyBorder="1" applyAlignment="1">
      <alignment horizontal="center" vertical="center" wrapText="1"/>
    </xf>
    <xf numFmtId="0" fontId="11" fillId="0" borderId="5" xfId="2" applyFont="1" applyBorder="1" applyAlignment="1">
      <alignment horizontal="center" vertical="center" wrapText="1"/>
    </xf>
    <xf numFmtId="0" fontId="11" fillId="0" borderId="6" xfId="2" applyFont="1" applyBorder="1" applyAlignment="1">
      <alignment horizontal="center" vertical="center" wrapText="1"/>
    </xf>
    <xf numFmtId="0" fontId="11" fillId="0" borderId="7" xfId="2" applyFont="1" applyBorder="1" applyAlignment="1">
      <alignment horizontal="center" vertical="center" wrapText="1"/>
    </xf>
    <xf numFmtId="0" fontId="11" fillId="0" borderId="8" xfId="2" applyFont="1" applyBorder="1" applyAlignment="1">
      <alignment horizontal="center" vertical="center" wrapText="1"/>
    </xf>
    <xf numFmtId="0" fontId="11" fillId="0" borderId="0" xfId="2" applyFont="1" applyAlignment="1">
      <alignment horizontal="center" vertical="center" wrapText="1"/>
    </xf>
    <xf numFmtId="0" fontId="11" fillId="0" borderId="9" xfId="2" applyFont="1" applyBorder="1" applyAlignment="1">
      <alignment horizontal="center" vertical="center" wrapText="1"/>
    </xf>
    <xf numFmtId="0" fontId="11" fillId="0" borderId="10" xfId="2" applyFont="1" applyBorder="1" applyAlignment="1">
      <alignment horizontal="center" vertical="center" wrapText="1"/>
    </xf>
    <xf numFmtId="0" fontId="11" fillId="0" borderId="11" xfId="2" applyFont="1" applyBorder="1" applyAlignment="1">
      <alignment horizontal="center" vertical="center" wrapText="1"/>
    </xf>
    <xf numFmtId="0" fontId="11" fillId="0" borderId="12" xfId="2" applyFont="1" applyBorder="1" applyAlignment="1">
      <alignment horizontal="center" vertical="center" wrapText="1"/>
    </xf>
    <xf numFmtId="0" fontId="6" fillId="0" borderId="13" xfId="2" applyBorder="1" applyAlignment="1">
      <alignment horizontal="center" vertical="center"/>
    </xf>
    <xf numFmtId="0" fontId="6" fillId="0" borderId="14" xfId="2" applyBorder="1" applyAlignment="1">
      <alignment horizontal="center" vertical="center"/>
    </xf>
    <xf numFmtId="0" fontId="6" fillId="0" borderId="15" xfId="2" applyBorder="1" applyAlignment="1">
      <alignment horizontal="center" vertical="center"/>
    </xf>
    <xf numFmtId="0" fontId="6" fillId="0" borderId="16" xfId="2" applyBorder="1" applyAlignment="1">
      <alignment horizontal="center" vertical="center"/>
    </xf>
    <xf numFmtId="0" fontId="6" fillId="0" borderId="17" xfId="2" applyBorder="1" applyAlignment="1">
      <alignment horizontal="center" vertical="center"/>
    </xf>
    <xf numFmtId="0" fontId="15" fillId="2" borderId="2" xfId="0" applyFont="1" applyFill="1" applyBorder="1" applyAlignment="1">
      <alignment horizontal="left" vertical="center"/>
    </xf>
    <xf numFmtId="0" fontId="15" fillId="2" borderId="3" xfId="0" applyFont="1" applyFill="1" applyBorder="1" applyAlignment="1">
      <alignment horizontal="left" vertical="center"/>
    </xf>
    <xf numFmtId="0" fontId="15" fillId="2" borderId="4" xfId="0" applyFont="1" applyFill="1" applyBorder="1" applyAlignment="1">
      <alignment horizontal="left" vertical="center"/>
    </xf>
    <xf numFmtId="0" fontId="1" fillId="0" borderId="1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</cellXfs>
  <cellStyles count="5">
    <cellStyle name="Normale" xfId="0" builtinId="0"/>
    <cellStyle name="Normale 3" xfId="3" xr:uid="{674E85F8-2BC4-42C5-A9C1-AC43E70FC41D}"/>
    <cellStyle name="Normale 4" xfId="2" xr:uid="{23EB9F97-D045-4AED-8EF4-234B940455CB}"/>
    <cellStyle name="Percentuale" xfId="1" builtinId="5"/>
    <cellStyle name="Valuta 2" xfId="4" xr:uid="{FD003F63-9811-42B2-8C4C-2C21D08AA48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dati!$I$2</c:f>
              <c:strCache>
                <c:ptCount val="1"/>
                <c:pt idx="0">
                  <c:v>90</c:v>
                </c:pt>
              </c:strCache>
            </c:strRef>
          </c:tx>
          <c:spPr>
            <a:ln w="25400" cap="flat" cmpd="sng" algn="ctr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dati!$H$4:$H$16</c:f>
              <c:numCache>
                <c:formatCode>0.000</c:formatCode>
                <c:ptCount val="13"/>
                <c:pt idx="0">
                  <c:v>0.87416524216524216</c:v>
                </c:pt>
                <c:pt idx="1">
                  <c:v>0.78370940170940173</c:v>
                </c:pt>
                <c:pt idx="2">
                  <c:v>0.71542120343839544</c:v>
                </c:pt>
                <c:pt idx="3">
                  <c:v>0.6608366762177651</c:v>
                </c:pt>
                <c:pt idx="4">
                  <c:v>0.5880573065902579</c:v>
                </c:pt>
                <c:pt idx="5">
                  <c:v>0.5298338108882521</c:v>
                </c:pt>
                <c:pt idx="6">
                  <c:v>0.47855072463768106</c:v>
                </c:pt>
                <c:pt idx="7">
                  <c:v>0.254</c:v>
                </c:pt>
                <c:pt idx="8">
                  <c:v>0.17555882352941179</c:v>
                </c:pt>
                <c:pt idx="9">
                  <c:v>0.1195294117647059</c:v>
                </c:pt>
                <c:pt idx="10">
                  <c:v>6.3500000000000001E-2</c:v>
                </c:pt>
                <c:pt idx="11">
                  <c:v>2.6147058823529405E-2</c:v>
                </c:pt>
                <c:pt idx="12">
                  <c:v>0</c:v>
                </c:pt>
              </c:numCache>
            </c:numRef>
          </c:xVal>
          <c:yVal>
            <c:numRef>
              <c:f>dati!$I$4:$I$16</c:f>
              <c:numCache>
                <c:formatCode>0.00</c:formatCode>
                <c:ptCount val="13"/>
                <c:pt idx="0">
                  <c:v>6.8947572931683618</c:v>
                </c:pt>
                <c:pt idx="1">
                  <c:v>13.789514586336724</c:v>
                </c:pt>
                <c:pt idx="2">
                  <c:v>20.684271879505083</c:v>
                </c:pt>
                <c:pt idx="3">
                  <c:v>27.579029172673447</c:v>
                </c:pt>
                <c:pt idx="4">
                  <c:v>41.368543759010166</c:v>
                </c:pt>
                <c:pt idx="5">
                  <c:v>55.158058345346895</c:v>
                </c:pt>
                <c:pt idx="6">
                  <c:v>68.947572931683609</c:v>
                </c:pt>
                <c:pt idx="7">
                  <c:v>137.89514586336722</c:v>
                </c:pt>
                <c:pt idx="8">
                  <c:v>206.84271879505087</c:v>
                </c:pt>
                <c:pt idx="9">
                  <c:v>275.79029172673444</c:v>
                </c:pt>
                <c:pt idx="10">
                  <c:v>413.68543759010174</c:v>
                </c:pt>
                <c:pt idx="11">
                  <c:v>551.58058345346888</c:v>
                </c:pt>
                <c:pt idx="12">
                  <c:v>689.47572931683612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D1-4421-9E0C-24BA2BF46FFE}"/>
            </c:ext>
          </c:extLst>
        </c:ser>
        <c:ser>
          <c:idx val="1"/>
          <c:order val="1"/>
          <c:tx>
            <c:strRef>
              <c:f>dati!$K$2</c:f>
              <c:strCache>
                <c:ptCount val="1"/>
                <c:pt idx="0">
                  <c:v>80</c:v>
                </c:pt>
              </c:strCache>
            </c:strRef>
          </c:tx>
          <c:spPr>
            <a:ln w="25400" cap="flat" cmpd="sng" algn="ctr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dati!$J$4:$J$16</c:f>
              <c:numCache>
                <c:formatCode>0.000</c:formatCode>
                <c:ptCount val="13"/>
                <c:pt idx="0">
                  <c:v>0.80758974358974367</c:v>
                </c:pt>
                <c:pt idx="1">
                  <c:v>0.72633810888252148</c:v>
                </c:pt>
                <c:pt idx="2">
                  <c:v>0.6608366762177651</c:v>
                </c:pt>
                <c:pt idx="3">
                  <c:v>0.5880573065902579</c:v>
                </c:pt>
                <c:pt idx="4">
                  <c:v>0.48959420289855071</c:v>
                </c:pt>
                <c:pt idx="5">
                  <c:v>0.3975652173913044</c:v>
                </c:pt>
                <c:pt idx="6">
                  <c:v>0.32026086956521738</c:v>
                </c:pt>
                <c:pt idx="7">
                  <c:v>0.13073529411764709</c:v>
                </c:pt>
                <c:pt idx="8">
                  <c:v>7.4705882352941178E-2</c:v>
                </c:pt>
                <c:pt idx="9">
                  <c:v>3.7352941176470589E-2</c:v>
                </c:pt>
                <c:pt idx="10">
                  <c:v>0</c:v>
                </c:pt>
                <c:pt idx="11">
                  <c:v>#N/A</c:v>
                </c:pt>
                <c:pt idx="12">
                  <c:v>#N/A</c:v>
                </c:pt>
              </c:numCache>
            </c:numRef>
          </c:xVal>
          <c:yVal>
            <c:numRef>
              <c:f>dati!$K$4:$K$16</c:f>
              <c:numCache>
                <c:formatCode>0.00</c:formatCode>
                <c:ptCount val="13"/>
                <c:pt idx="0">
                  <c:v>6.8947572931683618</c:v>
                </c:pt>
                <c:pt idx="1">
                  <c:v>13.789514586336724</c:v>
                </c:pt>
                <c:pt idx="2">
                  <c:v>20.684271879505083</c:v>
                </c:pt>
                <c:pt idx="3">
                  <c:v>27.579029172673447</c:v>
                </c:pt>
                <c:pt idx="4">
                  <c:v>41.368543759010166</c:v>
                </c:pt>
                <c:pt idx="5">
                  <c:v>55.158058345346895</c:v>
                </c:pt>
                <c:pt idx="6">
                  <c:v>68.947572931683609</c:v>
                </c:pt>
                <c:pt idx="7">
                  <c:v>137.89514586336722</c:v>
                </c:pt>
                <c:pt idx="8">
                  <c:v>206.84271879505087</c:v>
                </c:pt>
                <c:pt idx="9">
                  <c:v>275.79029172673444</c:v>
                </c:pt>
                <c:pt idx="10">
                  <c:v>413.68543759010174</c:v>
                </c:pt>
                <c:pt idx="11" formatCode="0.00000">
                  <c:v>#N/A</c:v>
                </c:pt>
                <c:pt idx="12" formatCode="0.000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2D1-4421-9E0C-24BA2BF46FFE}"/>
            </c:ext>
          </c:extLst>
        </c:ser>
        <c:ser>
          <c:idx val="2"/>
          <c:order val="2"/>
          <c:tx>
            <c:strRef>
              <c:f>dati!$M$2</c:f>
              <c:strCache>
                <c:ptCount val="1"/>
                <c:pt idx="0">
                  <c:v>70</c:v>
                </c:pt>
              </c:strCache>
            </c:strRef>
          </c:tx>
          <c:spPr>
            <a:ln w="25400" cap="flat" cmpd="sng" algn="ctr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dati!$L$4:$L$16</c:f>
              <c:numCache>
                <c:formatCode>0.000</c:formatCode>
                <c:ptCount val="13"/>
                <c:pt idx="0">
                  <c:v>0.77864387464387463</c:v>
                </c:pt>
                <c:pt idx="1">
                  <c:v>0.64991977077363894</c:v>
                </c:pt>
                <c:pt idx="2">
                  <c:v>0.558945558739255</c:v>
                </c:pt>
                <c:pt idx="3">
                  <c:v>0.48223188405797113</c:v>
                </c:pt>
                <c:pt idx="4">
                  <c:v>0.36443478260869566</c:v>
                </c:pt>
                <c:pt idx="5">
                  <c:v>0.254</c:v>
                </c:pt>
                <c:pt idx="6">
                  <c:v>0.19423529411764709</c:v>
                </c:pt>
                <c:pt idx="7">
                  <c:v>5.229411764705881E-2</c:v>
                </c:pt>
                <c:pt idx="8">
                  <c:v>0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xVal>
          <c:yVal>
            <c:numRef>
              <c:f>dati!$M$4:$M$16</c:f>
              <c:numCache>
                <c:formatCode>0.00</c:formatCode>
                <c:ptCount val="13"/>
                <c:pt idx="0">
                  <c:v>6.8947572931683618</c:v>
                </c:pt>
                <c:pt idx="1">
                  <c:v>13.789514586336724</c:v>
                </c:pt>
                <c:pt idx="2">
                  <c:v>20.684271879505083</c:v>
                </c:pt>
                <c:pt idx="3">
                  <c:v>27.579029172673447</c:v>
                </c:pt>
                <c:pt idx="4">
                  <c:v>41.368543759010166</c:v>
                </c:pt>
                <c:pt idx="5">
                  <c:v>55.158058345346895</c:v>
                </c:pt>
                <c:pt idx="6">
                  <c:v>68.947572931683609</c:v>
                </c:pt>
                <c:pt idx="7">
                  <c:v>137.89514586336722</c:v>
                </c:pt>
                <c:pt idx="8">
                  <c:v>206.84271879505087</c:v>
                </c:pt>
                <c:pt idx="9" formatCode="0.00000">
                  <c:v>#N/A</c:v>
                </c:pt>
                <c:pt idx="10" formatCode="0.00000">
                  <c:v>#N/A</c:v>
                </c:pt>
                <c:pt idx="11" formatCode="0.00000">
                  <c:v>#N/A</c:v>
                </c:pt>
                <c:pt idx="12" formatCode="0.000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2D1-4421-9E0C-24BA2BF46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35280"/>
        <c:axId val="219128080"/>
      </c:scatterChart>
      <c:scatterChart>
        <c:scatterStyle val="lineMarker"/>
        <c:varyColors val="0"/>
        <c:ser>
          <c:idx val="3"/>
          <c:order val="3"/>
          <c:tx>
            <c:v>val</c:v>
          </c:tx>
          <c:spPr>
            <a:ln w="19050" cap="flat" cmpd="sng" algn="ctr">
              <a:solidFill>
                <a:schemeClr val="tx1"/>
              </a:solidFill>
              <a:prstDash val="dashDot"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0.11737219637318062"/>
                  <c:y val="-6.1994400699912675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AA70A11-7397-4A33-9883-524C39550BA7}" type="XVALUE">
                      <a:rPr lang="en-US" sz="1000" b="1" i="1"/>
                      <a:pPr>
                        <a:defRPr sz="1000"/>
                      </a:pPr>
                      <a:t>[VALORE X]</a:t>
                    </a:fld>
                    <a:endParaRPr lang="it-IT"/>
                  </a:p>
                </c:rich>
              </c:tx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52D1-4421-9E0C-24BA2BF46FFE}"/>
                </c:ext>
              </c:extLst>
            </c:dLbl>
            <c:dLbl>
              <c:idx val="2"/>
              <c:layout>
                <c:manualLayout>
                  <c:x val="4.3664847291815793E-2"/>
                  <c:y val="-7.1111111111111111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7B57115-F1CE-43AB-A5F6-0A604749BB28}" type="YVALUE">
                      <a:rPr lang="en-US" sz="1000" b="1" i="1"/>
                      <a:pPr>
                        <a:defRPr/>
                      </a:pPr>
                      <a:t>[VALORE Y]</a:t>
                    </a:fld>
                    <a:endParaRPr lang="it-IT"/>
                  </a:p>
                </c:rich>
              </c:tx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52D1-4421-9E0C-24BA2BF46FFE}"/>
                </c:ext>
              </c:extLst>
            </c:dLbl>
            <c:spPr>
              <a:noFill/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'limits for extrusion'!$B$2:$B$4</c:f>
              <c:numCache>
                <c:formatCode>0.000</c:formatCode>
                <c:ptCount val="3"/>
                <c:pt idx="0">
                  <c:v>0.16244848629907968</c:v>
                </c:pt>
                <c:pt idx="1">
                  <c:v>0.16244848629907968</c:v>
                </c:pt>
                <c:pt idx="2">
                  <c:v>0</c:v>
                </c:pt>
              </c:numCache>
            </c:numRef>
          </c:xVal>
          <c:yVal>
            <c:numRef>
              <c:f>'limits for extrusion'!$C$2:$C$4</c:f>
              <c:numCache>
                <c:formatCode>0.00</c:formatCode>
                <c:ptCount val="3"/>
                <c:pt idx="0">
                  <c:v>6.9</c:v>
                </c:pt>
                <c:pt idx="1">
                  <c:v>220</c:v>
                </c:pt>
                <c:pt idx="2">
                  <c:v>220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2D1-4421-9E0C-24BA2BF46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35280"/>
        <c:axId val="219128080"/>
      </c:scatterChart>
      <c:valAx>
        <c:axId val="219135280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cap="none" baseline="0"/>
                  <a:t>total diametral clearance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28080"/>
        <c:crosses val="autoZero"/>
        <c:crossBetween val="midCat"/>
        <c:majorUnit val="0.2"/>
        <c:minorUnit val="5.000000000000001E-2"/>
      </c:valAx>
      <c:valAx>
        <c:axId val="219128080"/>
        <c:scaling>
          <c:logBase val="10"/>
          <c:orientation val="minMax"/>
          <c:max val="690"/>
          <c:min val="6.8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cap="none" baseline="0"/>
                  <a:t>fluid pressure [bar]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35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 w="25400" cap="flat" cmpd="sng" algn="ctr">
          <a:noFill/>
          <a:round/>
        </a:ln>
        <a:effectLst/>
        <a:sp3d/>
      </c:spPr>
    </c:floor>
    <c:sideWall>
      <c:thickness val="0"/>
      <c:spPr>
        <a:noFill/>
        <a:ln w="25400"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'compression set'!$B$3</c:f>
              <c:strCache>
                <c:ptCount val="1"/>
                <c:pt idx="0">
                  <c:v>return</c:v>
                </c:pt>
              </c:strCache>
            </c:strRef>
          </c:tx>
          <c:spPr>
            <a:pattFill prst="ltDnDiag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solidFill>
                <a:schemeClr val="accent1"/>
              </a:solidFill>
            </a:ln>
            <a:effectLst/>
            <a:sp3d>
              <a:contourClr>
                <a:schemeClr val="accent1"/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'compression set'!$C$3</c:f>
              <c:numCache>
                <c:formatCode>0.00%</c:formatCode>
                <c:ptCount val="1"/>
                <c:pt idx="0">
                  <c:v>0.96595135908440621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05-45A5-B99E-BEFB14059A61}"/>
            </c:ext>
          </c:extLst>
        </c:ser>
        <c:ser>
          <c:idx val="1"/>
          <c:order val="1"/>
          <c:tx>
            <c:strRef>
              <c:f>'compression set'!$B$4</c:f>
              <c:strCache>
                <c:ptCount val="1"/>
                <c:pt idx="0">
                  <c:v>compression</c:v>
                </c:pt>
              </c:strCache>
            </c:strRef>
          </c:tx>
          <c:spPr>
            <a:pattFill prst="ltDnDiag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solidFill>
                <a:schemeClr val="accent2"/>
              </a:solidFill>
            </a:ln>
            <a:effectLst/>
            <a:sp3d>
              <a:contourClr>
                <a:schemeClr val="accent2"/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'compression set'!$C$4</c:f>
              <c:numCache>
                <c:formatCode>0.00%</c:formatCode>
                <c:ptCount val="1"/>
                <c:pt idx="0">
                  <c:v>3.4048640915593766E-2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05-45A5-B99E-BEFB14059A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31598880"/>
        <c:axId val="731590720"/>
        <c:axId val="0"/>
      </c:bar3DChart>
      <c:catAx>
        <c:axId val="7315988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31590720"/>
        <c:crosses val="autoZero"/>
        <c:auto val="1"/>
        <c:lblAlgn val="ctr"/>
        <c:lblOffset val="100"/>
        <c:noMultiLvlLbl val="0"/>
      </c:catAx>
      <c:valAx>
        <c:axId val="731590720"/>
        <c:scaling>
          <c:orientation val="minMax"/>
          <c:min val="0"/>
        </c:scaling>
        <c:delete val="1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0%" sourceLinked="1"/>
        <c:majorTickMark val="out"/>
        <c:minorTickMark val="none"/>
        <c:tickLblPos val="nextTo"/>
        <c:crossAx val="73159888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209550</xdr:colOff>
      <xdr:row>1</xdr:row>
      <xdr:rowOff>114300</xdr:rowOff>
    </xdr:from>
    <xdr:to>
      <xdr:col>19</xdr:col>
      <xdr:colOff>95250</xdr:colOff>
      <xdr:row>4</xdr:row>
      <xdr:rowOff>145782</xdr:rowOff>
    </xdr:to>
    <xdr:pic>
      <xdr:nvPicPr>
        <xdr:cNvPr id="2" name="Picture 2" descr="trillium 2">
          <a:extLst>
            <a:ext uri="{FF2B5EF4-FFF2-40B4-BE49-F238E27FC236}">
              <a16:creationId xmlns:a16="http://schemas.microsoft.com/office/drawing/2014/main" id="{743D0EEF-F0B4-4838-B62F-8F4A2E6980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" y="304800"/>
          <a:ext cx="2514600" cy="6029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0</xdr:colOff>
      <xdr:row>30</xdr:row>
      <xdr:rowOff>0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4B3541-BC5D-40B4-9260-38C9CFF9D8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11</xdr:col>
      <xdr:colOff>0</xdr:colOff>
      <xdr:row>12</xdr:row>
      <xdr:rowOff>0</xdr:rowOff>
    </xdr:from>
    <xdr:to>
      <xdr:col>20</xdr:col>
      <xdr:colOff>0</xdr:colOff>
      <xdr:row>30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8A7B75F-5D4A-47AB-AF09-2C62F2B956C1}"/>
            </a:ext>
          </a:extLst>
        </xdr:cNvPr>
        <xdr:cNvSpPr txBox="1"/>
      </xdr:nvSpPr>
      <xdr:spPr>
        <a:xfrm>
          <a:off x="5848350" y="2286000"/>
          <a:ext cx="6057900" cy="342900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u="none" baseline="0"/>
            <a:t>This graph defines the maximum allowable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O-ring </a:t>
          </a:r>
          <a:r>
            <a:rPr lang="en-US" sz="1100" b="0" u="none" baseline="0"/>
            <a:t>clearance that may sefely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 tolerated without the adoption of anti-extrusion ring. There are three setps to follow:</a:t>
          </a:r>
          <a:endParaRPr lang="en-US" sz="1100" b="0" u="none" baseline="0"/>
        </a:p>
        <a:p>
          <a:r>
            <a:rPr lang="en-US" sz="1100" b="0" u="none" baseline="0"/>
            <a:t>1)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the hardness shore (70, 80 or 90);</a:t>
          </a:r>
          <a:endParaRPr lang="it-IT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it-IT" sz="11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the operating pressure;</a:t>
          </a:r>
          <a:endParaRPr lang="it-IT">
            <a:effectLst/>
          </a:endParaRPr>
        </a:p>
        <a:p>
          <a:pPr eaLnBrk="1" fontAlgn="auto" latinLnBrk="0" hangingPunct="1"/>
          <a:r>
            <a:rPr lang="it-IT" sz="11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calculate the clearance.</a:t>
          </a:r>
          <a:endParaRPr lang="it-IT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Reduce the clearance shown by 60% when using silicone or fluorosilicone elastomers.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Basis for Curves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100000 pressure cycles at the rate of 60 per minute from zero to the indicated pressure.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Maximum temperature (i.e. test temperature) 71°C (160°F).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No back-up rings.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Total diametral clearance must include cylinder expansion due to pressure.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Apply a reasonable safety factor in practical applications to allow for excessively sharp edges and other imperfections and for higher temperatures.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ref "Parker O-Ring Handbook"</a:t>
          </a:r>
          <a:endParaRPr lang="it-IT">
            <a:effectLst/>
          </a:endParaRPr>
        </a:p>
      </xdr:txBody>
    </xdr:sp>
    <xdr:clientData/>
  </xdr:twoCellAnchor>
  <xdr:oneCellAnchor>
    <xdr:from>
      <xdr:col>6</xdr:col>
      <xdr:colOff>257175</xdr:colOff>
      <xdr:row>11</xdr:row>
      <xdr:rowOff>152400</xdr:rowOff>
    </xdr:from>
    <xdr:ext cx="981615" cy="342851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F98CAFD5-ECDC-BBDD-7FFC-153D7B9DAB79}"/>
            </a:ext>
          </a:extLst>
        </xdr:cNvPr>
        <xdr:cNvSpPr txBox="1"/>
      </xdr:nvSpPr>
      <xdr:spPr>
        <a:xfrm>
          <a:off x="3486150" y="2247900"/>
          <a:ext cx="981615" cy="342851"/>
        </a:xfrm>
        <a:prstGeom prst="rect">
          <a:avLst/>
        </a:prstGeom>
        <a:solidFill>
          <a:schemeClr val="bg1">
            <a:alpha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t-IT" sz="1600" b="1">
              <a:solidFill>
                <a:schemeClr val="tx2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extrusion</a:t>
          </a:r>
        </a:p>
      </xdr:txBody>
    </xdr:sp>
    <xdr:clientData/>
  </xdr:oneCellAnchor>
  <xdr:oneCellAnchor>
    <xdr:from>
      <xdr:col>2</xdr:col>
      <xdr:colOff>466725</xdr:colOff>
      <xdr:row>19</xdr:row>
      <xdr:rowOff>57150</xdr:rowOff>
    </xdr:from>
    <xdr:ext cx="1232582" cy="342851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E1457BF7-03EA-6532-D3BA-C7DC093505D4}"/>
            </a:ext>
          </a:extLst>
        </xdr:cNvPr>
        <xdr:cNvSpPr txBox="1"/>
      </xdr:nvSpPr>
      <xdr:spPr>
        <a:xfrm>
          <a:off x="1257300" y="3676650"/>
          <a:ext cx="1232582" cy="342851"/>
        </a:xfrm>
        <a:prstGeom prst="rect">
          <a:avLst/>
        </a:prstGeom>
        <a:solidFill>
          <a:schemeClr val="bg1">
            <a:alpha val="7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t-IT" sz="1600" b="1">
              <a:solidFill>
                <a:schemeClr val="tx2">
                  <a:lumMod val="75000"/>
                  <a:lumOff val="25000"/>
                </a:schemeClr>
              </a:solidFill>
            </a:rPr>
            <a:t>no extrusion</a:t>
          </a:r>
        </a:p>
      </xdr:txBody>
    </xdr:sp>
    <xdr:clientData/>
  </xdr:oneCellAnchor>
  <xdr:oneCellAnchor>
    <xdr:from>
      <xdr:col>6</xdr:col>
      <xdr:colOff>540657</xdr:colOff>
      <xdr:row>17</xdr:row>
      <xdr:rowOff>171449</xdr:rowOff>
    </xdr:from>
    <xdr:ext cx="327654" cy="264560"/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3DCB9FE5-FC43-C978-218B-88750F4E6ABE}"/>
            </a:ext>
          </a:extLst>
        </xdr:cNvPr>
        <xdr:cNvSpPr txBox="1"/>
      </xdr:nvSpPr>
      <xdr:spPr>
        <a:xfrm>
          <a:off x="3770086" y="3255735"/>
          <a:ext cx="327654" cy="2645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t-IT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90</a:t>
          </a:r>
        </a:p>
      </xdr:txBody>
    </xdr:sp>
    <xdr:clientData/>
  </xdr:oneCellAnchor>
  <xdr:oneCellAnchor>
    <xdr:from>
      <xdr:col>6</xdr:col>
      <xdr:colOff>295275</xdr:colOff>
      <xdr:row>18</xdr:row>
      <xdr:rowOff>110218</xdr:rowOff>
    </xdr:from>
    <xdr:ext cx="327654" cy="264560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A2DA9478-8412-4766-CC99-8A27C0D637F2}"/>
            </a:ext>
          </a:extLst>
        </xdr:cNvPr>
        <xdr:cNvSpPr txBox="1"/>
      </xdr:nvSpPr>
      <xdr:spPr>
        <a:xfrm>
          <a:off x="3524704" y="3375932"/>
          <a:ext cx="327654" cy="2645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t-IT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80</a:t>
          </a:r>
        </a:p>
      </xdr:txBody>
    </xdr:sp>
    <xdr:clientData/>
  </xdr:oneCellAnchor>
  <xdr:oneCellAnchor>
    <xdr:from>
      <xdr:col>5</xdr:col>
      <xdr:colOff>572861</xdr:colOff>
      <xdr:row>19</xdr:row>
      <xdr:rowOff>54429</xdr:rowOff>
    </xdr:from>
    <xdr:ext cx="327654" cy="264560"/>
    <xdr:sp macro="" textlink="">
      <xdr:nvSpPr>
        <xdr:cNvPr id="7" name="CasellaDiTesto 6">
          <a:extLst>
            <a:ext uri="{FF2B5EF4-FFF2-40B4-BE49-F238E27FC236}">
              <a16:creationId xmlns:a16="http://schemas.microsoft.com/office/drawing/2014/main" id="{4FD1F2C1-C7EB-6BF5-8DAB-D9B68E7BF55A}"/>
            </a:ext>
          </a:extLst>
        </xdr:cNvPr>
        <xdr:cNvSpPr txBox="1"/>
      </xdr:nvSpPr>
      <xdr:spPr>
        <a:xfrm>
          <a:off x="3194504" y="3501572"/>
          <a:ext cx="327654" cy="2645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t-IT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70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6</xdr:col>
      <xdr:colOff>0</xdr:colOff>
      <xdr:row>25</xdr:row>
      <xdr:rowOff>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FABCC09E-6A31-7098-A3FE-7B7F46F21F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175894</xdr:colOff>
      <xdr:row>14</xdr:row>
      <xdr:rowOff>111510</xdr:rowOff>
    </xdr:from>
    <xdr:to>
      <xdr:col>16</xdr:col>
      <xdr:colOff>0</xdr:colOff>
      <xdr:row>25</xdr:row>
      <xdr:rowOff>0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CA9D6369-2A7F-4953-BC24-FBAF123341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6610" r="15640" b="34948"/>
        <a:stretch/>
      </xdr:blipFill>
      <xdr:spPr>
        <a:xfrm>
          <a:off x="3414394" y="2946150"/>
          <a:ext cx="5760086" cy="1900170"/>
        </a:xfrm>
        <a:prstGeom prst="rect">
          <a:avLst/>
        </a:prstGeom>
      </xdr:spPr>
    </xdr:pic>
    <xdr:clientData/>
  </xdr:twoCellAnchor>
  <xdr:twoCellAnchor>
    <xdr:from>
      <xdr:col>4</xdr:col>
      <xdr:colOff>552450</xdr:colOff>
      <xdr:row>4</xdr:row>
      <xdr:rowOff>219073</xdr:rowOff>
    </xdr:from>
    <xdr:to>
      <xdr:col>4</xdr:col>
      <xdr:colOff>552450</xdr:colOff>
      <xdr:row>20</xdr:row>
      <xdr:rowOff>142273</xdr:rowOff>
    </xdr:to>
    <xdr:cxnSp macro="">
      <xdr:nvCxnSpPr>
        <xdr:cNvPr id="7" name="Connettore 2 6">
          <a:extLst>
            <a:ext uri="{FF2B5EF4-FFF2-40B4-BE49-F238E27FC236}">
              <a16:creationId xmlns:a16="http://schemas.microsoft.com/office/drawing/2014/main" id="{F14CB04D-79F0-81E9-0D93-E572CF012445}"/>
            </a:ext>
          </a:extLst>
        </xdr:cNvPr>
        <xdr:cNvCxnSpPr/>
      </xdr:nvCxnSpPr>
      <xdr:spPr>
        <a:xfrm flipH="1">
          <a:off x="2562225" y="1019173"/>
          <a:ext cx="0" cy="3276000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41927</xdr:colOff>
      <xdr:row>9</xdr:row>
      <xdr:rowOff>53323</xdr:rowOff>
    </xdr:from>
    <xdr:ext cx="264560" cy="1167564"/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551F86B5-CEAC-B000-C69D-83818EABBD90}"/>
            </a:ext>
          </a:extLst>
        </xdr:cNvPr>
        <xdr:cNvSpPr txBox="1"/>
      </xdr:nvSpPr>
      <xdr:spPr>
        <a:xfrm rot="5400000">
          <a:off x="2209800" y="2409825"/>
          <a:ext cx="1167564" cy="26456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t-IT" sz="1100"/>
            <a:t>original</a:t>
          </a:r>
          <a:r>
            <a:rPr lang="it-IT" sz="1100" baseline="0"/>
            <a:t> thickness</a:t>
          </a:r>
          <a:endParaRPr lang="it-IT" sz="1100"/>
        </a:p>
      </xdr:txBody>
    </xdr:sp>
    <xdr:clientData/>
  </xdr:oneCellAnchor>
  <xdr:twoCellAnchor editAs="absolute">
    <xdr:from>
      <xdr:col>17</xdr:col>
      <xdr:colOff>0</xdr:colOff>
      <xdr:row>7</xdr:row>
      <xdr:rowOff>0</xdr:rowOff>
    </xdr:from>
    <xdr:to>
      <xdr:col>27</xdr:col>
      <xdr:colOff>0</xdr:colOff>
      <xdr:row>19</xdr:row>
      <xdr:rowOff>0</xdr:rowOff>
    </xdr:to>
    <xdr:sp macro="" textlink="">
      <xdr:nvSpPr>
        <xdr:cNvPr id="4" name="TextBox 1">
          <a:extLst>
            <a:ext uri="{FF2B5EF4-FFF2-40B4-BE49-F238E27FC236}">
              <a16:creationId xmlns:a16="http://schemas.microsoft.com/office/drawing/2014/main" id="{FAFA0A6A-B6D0-492D-A606-4C895E9F9854}"/>
            </a:ext>
          </a:extLst>
        </xdr:cNvPr>
        <xdr:cNvSpPr txBox="1"/>
      </xdr:nvSpPr>
      <xdr:spPr>
        <a:xfrm>
          <a:off x="9364980" y="1402080"/>
          <a:ext cx="6240780" cy="234696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u="none" baseline="0"/>
            <a:t>This worksheet calculates the deflection, the return and the recovered thickness of a O-ring:</a:t>
          </a:r>
        </a:p>
        <a:p>
          <a:r>
            <a:rPr lang="en-US" sz="1100" b="0" u="none" baseline="0"/>
            <a:t>1) </a:t>
          </a:r>
          <a:r>
            <a:rPr lang="en-US" sz="11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insert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the compression set;</a:t>
          </a:r>
          <a:endParaRPr lang="it-IT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it-IT" sz="11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insert the original thickness;</a:t>
          </a:r>
          <a:endParaRPr lang="it-IT">
            <a:effectLst/>
          </a:endParaRPr>
        </a:p>
        <a:p>
          <a:pPr eaLnBrk="1" fontAlgn="auto" latinLnBrk="0" hangingPunct="1"/>
          <a:r>
            <a:rPr lang="it-IT" sz="11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insert the compressed thickness (gland depth);</a:t>
          </a:r>
        </a:p>
        <a:p>
          <a:pPr eaLnBrk="1" fontAlgn="auto" latinLnBrk="0" hangingPunct="1"/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4) calculate deflection, recovered thickness and return;</a:t>
          </a:r>
        </a:p>
        <a:p>
          <a:pPr eaLnBrk="1" fontAlgn="auto" latinLnBrk="0" hangingPunct="1"/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5) select the type of seal;</a:t>
          </a:r>
        </a:p>
        <a:p>
          <a:pPr eaLnBrk="1" fontAlgn="auto" latinLnBrk="0" hangingPunct="1"/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6) insert calculated clearance at operating conditions;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7) insert calculated clearance at hydrotest conditions;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8) verify recoved thickness at operating conditions;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9) verify recoved thickness at hydrotest conditions.</a:t>
          </a:r>
        </a:p>
        <a:p>
          <a:pPr eaLnBrk="1" fontAlgn="auto" latinLnBrk="0" hangingPunct="1"/>
          <a:endParaRPr lang="en-US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ref "Parker O-Ring Handbook"</a:t>
          </a:r>
          <a:endParaRPr lang="it-IT">
            <a:effectLst/>
          </a:endParaRPr>
        </a:p>
      </xdr:txBody>
    </xdr:sp>
    <xdr:clientData/>
  </xdr:twoCellAnchor>
  <xdr:twoCellAnchor>
    <xdr:from>
      <xdr:col>10</xdr:col>
      <xdr:colOff>364490</xdr:colOff>
      <xdr:row>22</xdr:row>
      <xdr:rowOff>13970</xdr:rowOff>
    </xdr:from>
    <xdr:to>
      <xdr:col>11</xdr:col>
      <xdr:colOff>458470</xdr:colOff>
      <xdr:row>24</xdr:row>
      <xdr:rowOff>137160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E9B6014E-E2C5-CAB6-F6D8-CED4569EA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81370" y="4311650"/>
          <a:ext cx="703580" cy="488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reas\FWENVI\WWT%20Area\1-BH-0267A%20-%20prolungamento%20studio%20di%20fattibilit&#224;%20KRC\09%20Design%20calculations\calcoli%20finali\pfd%20nuovo%20impianto%20-%20falda%20+%20processo%20con%20biologico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tmilfs002\b1h00\PROJECTS\1-BH-0389A%20KJO-RWTF2\09%20Design%20calculations\Linee\Linee%2010_12_16%20sketch%20Bottazzi\Design%20flowrate\line%2012%20pollici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fwfsc003/1cd1213a/ZoneExchange/Equipment%20list/front%20page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c\Backup%2029-09-06\Seam%201-025%20Politecnico%20Merone\09.0%20-%20Design%20Calculation\Linea%20fanghi\Progettazione%20impianto%20civile\progetto%20impianto%20di%20depurazione%20civil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REAS\DIP110\APPLICAT\pumps\PUM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c medie inquinanti "/>
      <sheetName val="Schema a blocchi"/>
      <sheetName val="calcolo servizi"/>
      <sheetName val="API"/>
      <sheetName val="DAF"/>
      <sheetName val="Caldensitàmiscela"/>
      <sheetName val="Basi di progetto biologico"/>
      <sheetName val="Biologico tradizionale"/>
      <sheetName val="Calcolo ossigeno"/>
      <sheetName val="Sedimentazione Secondaria"/>
      <sheetName val="Valutazione fanghi prodotti"/>
      <sheetName val="Ispessitore"/>
      <sheetName val="Ricalcolo acqua in ingresso API"/>
      <sheetName val="Calcolo apparecchiature"/>
      <sheetName val="Compressori"/>
      <sheetName val="CPI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m RPI"/>
      <sheetName val="From Surge Tank"/>
      <sheetName val="From CPI"/>
    </sheetNames>
    <sheetDataSet>
      <sheetData sheetId="0"/>
      <sheetData sheetId="1"/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 rev1"/>
      <sheetName val="listes"/>
    </sheetNames>
    <sheetDataSet>
      <sheetData sheetId="0" refreshError="1"/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 di progetto"/>
      <sheetName val="Canaletta in ingresso"/>
      <sheetName val="Griglia grossolana"/>
      <sheetName val="Dissabbiatore"/>
      <sheetName val="Vasca di compenso"/>
      <sheetName val="Sedimentazione Primaria"/>
      <sheetName val="Biologico tradizionale"/>
      <sheetName val="Nitro"/>
      <sheetName val="Denitro"/>
      <sheetName val=" nitro denitro (T perm) e dim."/>
      <sheetName val="Sedimentazione Secondaria"/>
      <sheetName val="ossigeno in nitro"/>
      <sheetName val="Filtrazione"/>
      <sheetName val="Disinfezione"/>
      <sheetName val="Valutazione fanghi prodotti"/>
      <sheetName val="vasca di miscelazione fanghi"/>
      <sheetName val="Ispessitore"/>
      <sheetName val="Digestione Anaerobica"/>
      <sheetName val="Dimensionamento dig. anaer."/>
      <sheetName val="Filtropressatura"/>
      <sheetName val="Gasometro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UMP CALCULATION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1B1A6-A087-4D51-BA9A-5C43B5A1A233}">
  <sheetPr codeName="Foglio4"/>
  <dimension ref="A1:AD48"/>
  <sheetViews>
    <sheetView tabSelected="1" topLeftCell="A29" zoomScaleNormal="100" zoomScaleSheetLayoutView="100" workbookViewId="0"/>
  </sheetViews>
  <sheetFormatPr defaultRowHeight="12" x14ac:dyDescent="0.2"/>
  <cols>
    <col min="1" max="30" width="3.28515625" style="11" customWidth="1"/>
    <col min="31" max="256" width="9.140625" style="11"/>
    <col min="257" max="286" width="3.28515625" style="11" customWidth="1"/>
    <col min="287" max="512" width="9.140625" style="11"/>
    <col min="513" max="542" width="3.28515625" style="11" customWidth="1"/>
    <col min="543" max="768" width="9.140625" style="11"/>
    <col min="769" max="798" width="3.28515625" style="11" customWidth="1"/>
    <col min="799" max="1024" width="9.140625" style="11"/>
    <col min="1025" max="1054" width="3.28515625" style="11" customWidth="1"/>
    <col min="1055" max="1280" width="9.140625" style="11"/>
    <col min="1281" max="1310" width="3.28515625" style="11" customWidth="1"/>
    <col min="1311" max="1536" width="9.140625" style="11"/>
    <col min="1537" max="1566" width="3.28515625" style="11" customWidth="1"/>
    <col min="1567" max="1792" width="9.140625" style="11"/>
    <col min="1793" max="1822" width="3.28515625" style="11" customWidth="1"/>
    <col min="1823" max="2048" width="9.140625" style="11"/>
    <col min="2049" max="2078" width="3.28515625" style="11" customWidth="1"/>
    <col min="2079" max="2304" width="9.140625" style="11"/>
    <col min="2305" max="2334" width="3.28515625" style="11" customWidth="1"/>
    <col min="2335" max="2560" width="9.140625" style="11"/>
    <col min="2561" max="2590" width="3.28515625" style="11" customWidth="1"/>
    <col min="2591" max="2816" width="9.140625" style="11"/>
    <col min="2817" max="2846" width="3.28515625" style="11" customWidth="1"/>
    <col min="2847" max="3072" width="9.140625" style="11"/>
    <col min="3073" max="3102" width="3.28515625" style="11" customWidth="1"/>
    <col min="3103" max="3328" width="9.140625" style="11"/>
    <col min="3329" max="3358" width="3.28515625" style="11" customWidth="1"/>
    <col min="3359" max="3584" width="9.140625" style="11"/>
    <col min="3585" max="3614" width="3.28515625" style="11" customWidth="1"/>
    <col min="3615" max="3840" width="9.140625" style="11"/>
    <col min="3841" max="3870" width="3.28515625" style="11" customWidth="1"/>
    <col min="3871" max="4096" width="9.140625" style="11"/>
    <col min="4097" max="4126" width="3.28515625" style="11" customWidth="1"/>
    <col min="4127" max="4352" width="9.140625" style="11"/>
    <col min="4353" max="4382" width="3.28515625" style="11" customWidth="1"/>
    <col min="4383" max="4608" width="9.140625" style="11"/>
    <col min="4609" max="4638" width="3.28515625" style="11" customWidth="1"/>
    <col min="4639" max="4864" width="9.140625" style="11"/>
    <col min="4865" max="4894" width="3.28515625" style="11" customWidth="1"/>
    <col min="4895" max="5120" width="9.140625" style="11"/>
    <col min="5121" max="5150" width="3.28515625" style="11" customWidth="1"/>
    <col min="5151" max="5376" width="9.140625" style="11"/>
    <col min="5377" max="5406" width="3.28515625" style="11" customWidth="1"/>
    <col min="5407" max="5632" width="9.140625" style="11"/>
    <col min="5633" max="5662" width="3.28515625" style="11" customWidth="1"/>
    <col min="5663" max="5888" width="9.140625" style="11"/>
    <col min="5889" max="5918" width="3.28515625" style="11" customWidth="1"/>
    <col min="5919" max="6144" width="9.140625" style="11"/>
    <col min="6145" max="6174" width="3.28515625" style="11" customWidth="1"/>
    <col min="6175" max="6400" width="9.140625" style="11"/>
    <col min="6401" max="6430" width="3.28515625" style="11" customWidth="1"/>
    <col min="6431" max="6656" width="9.140625" style="11"/>
    <col min="6657" max="6686" width="3.28515625" style="11" customWidth="1"/>
    <col min="6687" max="6912" width="9.140625" style="11"/>
    <col min="6913" max="6942" width="3.28515625" style="11" customWidth="1"/>
    <col min="6943" max="7168" width="9.140625" style="11"/>
    <col min="7169" max="7198" width="3.28515625" style="11" customWidth="1"/>
    <col min="7199" max="7424" width="9.140625" style="11"/>
    <col min="7425" max="7454" width="3.28515625" style="11" customWidth="1"/>
    <col min="7455" max="7680" width="9.140625" style="11"/>
    <col min="7681" max="7710" width="3.28515625" style="11" customWidth="1"/>
    <col min="7711" max="7936" width="9.140625" style="11"/>
    <col min="7937" max="7966" width="3.28515625" style="11" customWidth="1"/>
    <col min="7967" max="8192" width="9.140625" style="11"/>
    <col min="8193" max="8222" width="3.28515625" style="11" customWidth="1"/>
    <col min="8223" max="8448" width="9.140625" style="11"/>
    <col min="8449" max="8478" width="3.28515625" style="11" customWidth="1"/>
    <col min="8479" max="8704" width="9.140625" style="11"/>
    <col min="8705" max="8734" width="3.28515625" style="11" customWidth="1"/>
    <col min="8735" max="8960" width="9.140625" style="11"/>
    <col min="8961" max="8990" width="3.28515625" style="11" customWidth="1"/>
    <col min="8991" max="9216" width="9.140625" style="11"/>
    <col min="9217" max="9246" width="3.28515625" style="11" customWidth="1"/>
    <col min="9247" max="9472" width="9.140625" style="11"/>
    <col min="9473" max="9502" width="3.28515625" style="11" customWidth="1"/>
    <col min="9503" max="9728" width="9.140625" style="11"/>
    <col min="9729" max="9758" width="3.28515625" style="11" customWidth="1"/>
    <col min="9759" max="9984" width="9.140625" style="11"/>
    <col min="9985" max="10014" width="3.28515625" style="11" customWidth="1"/>
    <col min="10015" max="10240" width="9.140625" style="11"/>
    <col min="10241" max="10270" width="3.28515625" style="11" customWidth="1"/>
    <col min="10271" max="10496" width="9.140625" style="11"/>
    <col min="10497" max="10526" width="3.28515625" style="11" customWidth="1"/>
    <col min="10527" max="10752" width="9.140625" style="11"/>
    <col min="10753" max="10782" width="3.28515625" style="11" customWidth="1"/>
    <col min="10783" max="11008" width="9.140625" style="11"/>
    <col min="11009" max="11038" width="3.28515625" style="11" customWidth="1"/>
    <col min="11039" max="11264" width="9.140625" style="11"/>
    <col min="11265" max="11294" width="3.28515625" style="11" customWidth="1"/>
    <col min="11295" max="11520" width="9.140625" style="11"/>
    <col min="11521" max="11550" width="3.28515625" style="11" customWidth="1"/>
    <col min="11551" max="11776" width="9.140625" style="11"/>
    <col min="11777" max="11806" width="3.28515625" style="11" customWidth="1"/>
    <col min="11807" max="12032" width="9.140625" style="11"/>
    <col min="12033" max="12062" width="3.28515625" style="11" customWidth="1"/>
    <col min="12063" max="12288" width="9.140625" style="11"/>
    <col min="12289" max="12318" width="3.28515625" style="11" customWidth="1"/>
    <col min="12319" max="12544" width="9.140625" style="11"/>
    <col min="12545" max="12574" width="3.28515625" style="11" customWidth="1"/>
    <col min="12575" max="12800" width="9.140625" style="11"/>
    <col min="12801" max="12830" width="3.28515625" style="11" customWidth="1"/>
    <col min="12831" max="13056" width="9.140625" style="11"/>
    <col min="13057" max="13086" width="3.28515625" style="11" customWidth="1"/>
    <col min="13087" max="13312" width="9.140625" style="11"/>
    <col min="13313" max="13342" width="3.28515625" style="11" customWidth="1"/>
    <col min="13343" max="13568" width="9.140625" style="11"/>
    <col min="13569" max="13598" width="3.28515625" style="11" customWidth="1"/>
    <col min="13599" max="13824" width="9.140625" style="11"/>
    <col min="13825" max="13854" width="3.28515625" style="11" customWidth="1"/>
    <col min="13855" max="14080" width="9.140625" style="11"/>
    <col min="14081" max="14110" width="3.28515625" style="11" customWidth="1"/>
    <col min="14111" max="14336" width="9.140625" style="11"/>
    <col min="14337" max="14366" width="3.28515625" style="11" customWidth="1"/>
    <col min="14367" max="14592" width="9.140625" style="11"/>
    <col min="14593" max="14622" width="3.28515625" style="11" customWidth="1"/>
    <col min="14623" max="14848" width="9.140625" style="11"/>
    <col min="14849" max="14878" width="3.28515625" style="11" customWidth="1"/>
    <col min="14879" max="15104" width="9.140625" style="11"/>
    <col min="15105" max="15134" width="3.28515625" style="11" customWidth="1"/>
    <col min="15135" max="15360" width="9.140625" style="11"/>
    <col min="15361" max="15390" width="3.28515625" style="11" customWidth="1"/>
    <col min="15391" max="15616" width="9.140625" style="11"/>
    <col min="15617" max="15646" width="3.28515625" style="11" customWidth="1"/>
    <col min="15647" max="15872" width="9.140625" style="11"/>
    <col min="15873" max="15902" width="3.28515625" style="11" customWidth="1"/>
    <col min="15903" max="16128" width="9.140625" style="11"/>
    <col min="16129" max="16158" width="3.28515625" style="11" customWidth="1"/>
    <col min="16159" max="16384" width="9.140625" style="11"/>
  </cols>
  <sheetData>
    <row r="1" spans="1:30" ht="15" customHeight="1" x14ac:dyDescent="0.2">
      <c r="A1" s="8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10"/>
    </row>
    <row r="2" spans="1:30" ht="15" customHeight="1" x14ac:dyDescent="0.2">
      <c r="A2" s="12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4"/>
    </row>
    <row r="3" spans="1:30" ht="15" customHeight="1" x14ac:dyDescent="0.2">
      <c r="A3" s="12"/>
      <c r="B3" s="13"/>
      <c r="C3" s="13"/>
      <c r="D3" s="13"/>
      <c r="E3" s="13"/>
      <c r="F3" s="13"/>
      <c r="G3" s="13"/>
      <c r="H3" s="15"/>
      <c r="I3" s="15"/>
      <c r="J3" s="15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7"/>
      <c r="X3" s="17"/>
      <c r="Y3" s="17"/>
      <c r="Z3" s="17"/>
      <c r="AA3" s="17"/>
      <c r="AB3" s="17"/>
      <c r="AC3" s="17"/>
      <c r="AD3" s="18"/>
    </row>
    <row r="4" spans="1:30" ht="15" customHeight="1" x14ac:dyDescent="0.2">
      <c r="A4" s="12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4"/>
    </row>
    <row r="5" spans="1:30" ht="15" customHeight="1" x14ac:dyDescent="0.2">
      <c r="A5" s="12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4"/>
    </row>
    <row r="6" spans="1:30" ht="15" customHeight="1" x14ac:dyDescent="0.2">
      <c r="A6" s="12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4"/>
    </row>
    <row r="7" spans="1:30" ht="15" customHeight="1" thickBot="1" x14ac:dyDescent="0.25">
      <c r="A7" s="19"/>
      <c r="B7" s="20"/>
      <c r="C7" s="20"/>
      <c r="D7" s="20"/>
      <c r="E7" s="20"/>
      <c r="F7" s="21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20"/>
      <c r="AB7" s="20"/>
      <c r="AC7" s="20"/>
      <c r="AD7" s="22"/>
    </row>
    <row r="8" spans="1:30" ht="15" customHeight="1" x14ac:dyDescent="0.2">
      <c r="A8" s="61" t="s">
        <v>50</v>
      </c>
      <c r="B8" s="62"/>
      <c r="C8" s="62"/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3"/>
    </row>
    <row r="9" spans="1:30" ht="15" customHeight="1" x14ac:dyDescent="0.2">
      <c r="A9" s="64"/>
      <c r="B9" s="65"/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6"/>
    </row>
    <row r="10" spans="1:30" ht="15" customHeight="1" x14ac:dyDescent="0.2">
      <c r="A10" s="64"/>
      <c r="B10" s="65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6"/>
    </row>
    <row r="11" spans="1:30" ht="15" customHeight="1" x14ac:dyDescent="0.2">
      <c r="A11" s="64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6"/>
    </row>
    <row r="12" spans="1:30" ht="15" customHeight="1" x14ac:dyDescent="0.2">
      <c r="A12" s="64"/>
      <c r="B12" s="65"/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6"/>
    </row>
    <row r="13" spans="1:30" ht="15" customHeight="1" x14ac:dyDescent="0.2">
      <c r="A13" s="64"/>
      <c r="B13" s="65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6"/>
    </row>
    <row r="14" spans="1:30" ht="15" customHeight="1" x14ac:dyDescent="0.2">
      <c r="A14" s="64"/>
      <c r="B14" s="65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6"/>
    </row>
    <row r="15" spans="1:30" ht="15" customHeight="1" x14ac:dyDescent="0.2">
      <c r="A15" s="64"/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6"/>
    </row>
    <row r="16" spans="1:30" ht="15" customHeight="1" x14ac:dyDescent="0.2">
      <c r="A16" s="64"/>
      <c r="B16" s="65"/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6"/>
    </row>
    <row r="17" spans="1:30" ht="15" customHeight="1" x14ac:dyDescent="0.2">
      <c r="A17" s="64"/>
      <c r="B17" s="65"/>
      <c r="C17" s="65"/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6"/>
    </row>
    <row r="18" spans="1:30" ht="15" customHeight="1" x14ac:dyDescent="0.2">
      <c r="A18" s="64"/>
      <c r="B18" s="65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6"/>
    </row>
    <row r="19" spans="1:30" ht="15" customHeight="1" x14ac:dyDescent="0.2">
      <c r="A19" s="64"/>
      <c r="B19" s="65"/>
      <c r="C19" s="65"/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6"/>
    </row>
    <row r="20" spans="1:30" ht="15" customHeight="1" x14ac:dyDescent="0.2">
      <c r="A20" s="64"/>
      <c r="B20" s="65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6"/>
    </row>
    <row r="21" spans="1:30" ht="15" customHeight="1" x14ac:dyDescent="0.2">
      <c r="A21" s="64"/>
      <c r="B21" s="65"/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6"/>
    </row>
    <row r="22" spans="1:30" ht="15" customHeight="1" x14ac:dyDescent="0.2">
      <c r="A22" s="64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6"/>
    </row>
    <row r="23" spans="1:30" ht="15" customHeight="1" x14ac:dyDescent="0.2">
      <c r="A23" s="64"/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6"/>
    </row>
    <row r="24" spans="1:30" ht="15" customHeight="1" x14ac:dyDescent="0.2">
      <c r="A24" s="64"/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6"/>
    </row>
    <row r="25" spans="1:30" ht="15" customHeight="1" x14ac:dyDescent="0.2">
      <c r="A25" s="64"/>
      <c r="B25" s="65"/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6"/>
    </row>
    <row r="26" spans="1:30" ht="15" customHeight="1" x14ac:dyDescent="0.2">
      <c r="A26" s="64"/>
      <c r="B26" s="65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6"/>
    </row>
    <row r="27" spans="1:30" ht="15" customHeight="1" x14ac:dyDescent="0.2">
      <c r="A27" s="64"/>
      <c r="B27" s="65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6"/>
    </row>
    <row r="28" spans="1:30" ht="15" customHeight="1" x14ac:dyDescent="0.2">
      <c r="A28" s="64"/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6"/>
    </row>
    <row r="29" spans="1:30" ht="15" customHeight="1" x14ac:dyDescent="0.2">
      <c r="A29" s="64"/>
      <c r="B29" s="65"/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6"/>
    </row>
    <row r="30" spans="1:30" ht="15" customHeight="1" x14ac:dyDescent="0.2">
      <c r="A30" s="64"/>
      <c r="B30" s="65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6"/>
    </row>
    <row r="31" spans="1:30" ht="15" customHeight="1" x14ac:dyDescent="0.2">
      <c r="A31" s="64"/>
      <c r="B31" s="65"/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6"/>
    </row>
    <row r="32" spans="1:30" ht="15" customHeight="1" x14ac:dyDescent="0.2">
      <c r="A32" s="64"/>
      <c r="B32" s="65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6"/>
    </row>
    <row r="33" spans="1:30" ht="15" customHeight="1" x14ac:dyDescent="0.2">
      <c r="A33" s="64"/>
      <c r="B33" s="65"/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6"/>
    </row>
    <row r="34" spans="1:30" ht="15" customHeight="1" x14ac:dyDescent="0.2">
      <c r="A34" s="64"/>
      <c r="B34" s="65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6"/>
    </row>
    <row r="35" spans="1:30" ht="15" customHeight="1" x14ac:dyDescent="0.2">
      <c r="A35" s="64"/>
      <c r="B35" s="65"/>
      <c r="C35" s="65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6"/>
    </row>
    <row r="36" spans="1:30" ht="15" customHeight="1" x14ac:dyDescent="0.2">
      <c r="A36" s="64"/>
      <c r="B36" s="65"/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6"/>
    </row>
    <row r="37" spans="1:30" ht="15" customHeight="1" x14ac:dyDescent="0.2">
      <c r="A37" s="64"/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6"/>
    </row>
    <row r="38" spans="1:30" ht="15" customHeight="1" x14ac:dyDescent="0.2">
      <c r="A38" s="64"/>
      <c r="B38" s="65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6"/>
    </row>
    <row r="39" spans="1:30" ht="15" customHeight="1" thickBot="1" x14ac:dyDescent="0.25">
      <c r="A39" s="67"/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9"/>
    </row>
    <row r="40" spans="1:30" ht="30" customHeight="1" x14ac:dyDescent="0.2">
      <c r="A40" s="70"/>
      <c r="B40" s="71"/>
      <c r="C40" s="72"/>
      <c r="D40" s="73"/>
      <c r="E40" s="73"/>
      <c r="F40" s="71"/>
      <c r="G40" s="72"/>
      <c r="H40" s="73"/>
      <c r="I40" s="73"/>
      <c r="J40" s="73"/>
      <c r="K40" s="73"/>
      <c r="L40" s="73"/>
      <c r="M40" s="73"/>
      <c r="N40" s="73"/>
      <c r="O40" s="73"/>
      <c r="P40" s="72"/>
      <c r="Q40" s="73"/>
      <c r="R40" s="73"/>
      <c r="S40" s="73"/>
      <c r="T40" s="71"/>
      <c r="U40" s="72"/>
      <c r="V40" s="73"/>
      <c r="W40" s="73"/>
      <c r="X40" s="73"/>
      <c r="Y40" s="71"/>
      <c r="Z40" s="72"/>
      <c r="AA40" s="73"/>
      <c r="AB40" s="73"/>
      <c r="AC40" s="73"/>
      <c r="AD40" s="74"/>
    </row>
    <row r="41" spans="1:30" ht="30" customHeight="1" x14ac:dyDescent="0.2">
      <c r="A41" s="48"/>
      <c r="B41" s="49"/>
      <c r="C41" s="50"/>
      <c r="D41" s="51"/>
      <c r="E41" s="51"/>
      <c r="F41" s="49"/>
      <c r="G41" s="50"/>
      <c r="H41" s="51"/>
      <c r="I41" s="51"/>
      <c r="J41" s="51"/>
      <c r="K41" s="51"/>
      <c r="L41" s="51"/>
      <c r="M41" s="51"/>
      <c r="N41" s="51"/>
      <c r="O41" s="51"/>
      <c r="P41" s="50"/>
      <c r="Q41" s="51"/>
      <c r="R41" s="51"/>
      <c r="S41" s="51"/>
      <c r="T41" s="49"/>
      <c r="U41" s="50"/>
      <c r="V41" s="51"/>
      <c r="W41" s="51"/>
      <c r="X41" s="51"/>
      <c r="Y41" s="49"/>
      <c r="Z41" s="50"/>
      <c r="AA41" s="51"/>
      <c r="AB41" s="51"/>
      <c r="AC41" s="51"/>
      <c r="AD41" s="52"/>
    </row>
    <row r="42" spans="1:30" ht="30" customHeight="1" x14ac:dyDescent="0.2">
      <c r="A42" s="48"/>
      <c r="B42" s="49"/>
      <c r="C42" s="50"/>
      <c r="D42" s="51"/>
      <c r="E42" s="51"/>
      <c r="F42" s="49"/>
      <c r="G42" s="50"/>
      <c r="H42" s="51"/>
      <c r="I42" s="51"/>
      <c r="J42" s="51"/>
      <c r="K42" s="51"/>
      <c r="L42" s="51"/>
      <c r="M42" s="51"/>
      <c r="N42" s="51"/>
      <c r="O42" s="51"/>
      <c r="P42" s="50"/>
      <c r="Q42" s="51"/>
      <c r="R42" s="51"/>
      <c r="S42" s="51"/>
      <c r="T42" s="49"/>
      <c r="U42" s="50"/>
      <c r="V42" s="51"/>
      <c r="W42" s="51"/>
      <c r="X42" s="51"/>
      <c r="Y42" s="49"/>
      <c r="Z42" s="50"/>
      <c r="AA42" s="51"/>
      <c r="AB42" s="51"/>
      <c r="AC42" s="51"/>
      <c r="AD42" s="52"/>
    </row>
    <row r="43" spans="1:30" ht="30" customHeight="1" x14ac:dyDescent="0.2">
      <c r="A43" s="48"/>
      <c r="B43" s="49"/>
      <c r="C43" s="50"/>
      <c r="D43" s="51"/>
      <c r="E43" s="51"/>
      <c r="F43" s="49"/>
      <c r="G43" s="50"/>
      <c r="H43" s="51"/>
      <c r="I43" s="51"/>
      <c r="J43" s="51"/>
      <c r="K43" s="51"/>
      <c r="L43" s="51"/>
      <c r="M43" s="51"/>
      <c r="N43" s="51"/>
      <c r="O43" s="51"/>
      <c r="P43" s="50"/>
      <c r="Q43" s="51"/>
      <c r="R43" s="51"/>
      <c r="S43" s="51"/>
      <c r="T43" s="49"/>
      <c r="U43" s="50"/>
      <c r="V43" s="51"/>
      <c r="W43" s="51"/>
      <c r="X43" s="51"/>
      <c r="Y43" s="49"/>
      <c r="Z43" s="50"/>
      <c r="AA43" s="51"/>
      <c r="AB43" s="51"/>
      <c r="AC43" s="51"/>
      <c r="AD43" s="52"/>
    </row>
    <row r="44" spans="1:30" ht="30" customHeight="1" x14ac:dyDescent="0.2">
      <c r="A44" s="48"/>
      <c r="B44" s="49"/>
      <c r="C44" s="50"/>
      <c r="D44" s="51"/>
      <c r="E44" s="51"/>
      <c r="F44" s="49"/>
      <c r="G44" s="50"/>
      <c r="H44" s="51"/>
      <c r="I44" s="51"/>
      <c r="J44" s="51"/>
      <c r="K44" s="51"/>
      <c r="L44" s="51"/>
      <c r="M44" s="51"/>
      <c r="N44" s="51"/>
      <c r="O44" s="51"/>
      <c r="P44" s="50"/>
      <c r="Q44" s="51"/>
      <c r="R44" s="51"/>
      <c r="S44" s="51"/>
      <c r="T44" s="49"/>
      <c r="U44" s="50"/>
      <c r="V44" s="51"/>
      <c r="W44" s="51"/>
      <c r="X44" s="51"/>
      <c r="Y44" s="49"/>
      <c r="Z44" s="50"/>
      <c r="AA44" s="51"/>
      <c r="AB44" s="51"/>
      <c r="AC44" s="51"/>
      <c r="AD44" s="52"/>
    </row>
    <row r="45" spans="1:30" ht="30" customHeight="1" x14ac:dyDescent="0.2">
      <c r="A45" s="48"/>
      <c r="B45" s="49"/>
      <c r="C45" s="50"/>
      <c r="D45" s="51"/>
      <c r="E45" s="51"/>
      <c r="F45" s="49"/>
      <c r="G45" s="50"/>
      <c r="H45" s="51"/>
      <c r="I45" s="51"/>
      <c r="J45" s="51"/>
      <c r="K45" s="51"/>
      <c r="L45" s="51"/>
      <c r="M45" s="51"/>
      <c r="N45" s="51"/>
      <c r="O45" s="51"/>
      <c r="P45" s="50"/>
      <c r="Q45" s="51"/>
      <c r="R45" s="51"/>
      <c r="S45" s="51"/>
      <c r="T45" s="49"/>
      <c r="U45" s="50"/>
      <c r="V45" s="51"/>
      <c r="W45" s="51"/>
      <c r="X45" s="51"/>
      <c r="Y45" s="49"/>
      <c r="Z45" s="50"/>
      <c r="AA45" s="51"/>
      <c r="AB45" s="51"/>
      <c r="AC45" s="51"/>
      <c r="AD45" s="52"/>
    </row>
    <row r="46" spans="1:30" ht="30" customHeight="1" x14ac:dyDescent="0.2">
      <c r="A46" s="53">
        <v>0</v>
      </c>
      <c r="B46" s="54"/>
      <c r="C46" s="55" t="s">
        <v>0</v>
      </c>
      <c r="D46" s="56"/>
      <c r="E46" s="56"/>
      <c r="F46" s="57"/>
      <c r="G46" s="58" t="s">
        <v>1</v>
      </c>
      <c r="H46" s="59"/>
      <c r="I46" s="59"/>
      <c r="J46" s="59"/>
      <c r="K46" s="59"/>
      <c r="L46" s="59"/>
      <c r="M46" s="59"/>
      <c r="N46" s="59"/>
      <c r="O46" s="59"/>
      <c r="P46" s="45" t="s">
        <v>2</v>
      </c>
      <c r="Q46" s="46"/>
      <c r="R46" s="46"/>
      <c r="S46" s="46"/>
      <c r="T46" s="60"/>
      <c r="U46" s="45" t="s">
        <v>2</v>
      </c>
      <c r="V46" s="46"/>
      <c r="W46" s="46"/>
      <c r="X46" s="46"/>
      <c r="Y46" s="60"/>
      <c r="Z46" s="45" t="s">
        <v>2</v>
      </c>
      <c r="AA46" s="46"/>
      <c r="AB46" s="46"/>
      <c r="AC46" s="46"/>
      <c r="AD46" s="47"/>
    </row>
    <row r="47" spans="1:30" ht="15" customHeight="1" thickBot="1" x14ac:dyDescent="0.25">
      <c r="A47" s="39" t="s">
        <v>3</v>
      </c>
      <c r="B47" s="40"/>
      <c r="C47" s="41" t="s">
        <v>4</v>
      </c>
      <c r="D47" s="42"/>
      <c r="E47" s="42"/>
      <c r="F47" s="43"/>
      <c r="G47" s="41" t="s">
        <v>5</v>
      </c>
      <c r="H47" s="42"/>
      <c r="I47" s="42"/>
      <c r="J47" s="42"/>
      <c r="K47" s="42"/>
      <c r="L47" s="42"/>
      <c r="M47" s="42"/>
      <c r="N47" s="42"/>
      <c r="O47" s="42"/>
      <c r="P47" s="41" t="s">
        <v>6</v>
      </c>
      <c r="Q47" s="42"/>
      <c r="R47" s="42"/>
      <c r="S47" s="42"/>
      <c r="T47" s="43"/>
      <c r="U47" s="41" t="s">
        <v>7</v>
      </c>
      <c r="V47" s="42"/>
      <c r="W47" s="42"/>
      <c r="X47" s="42"/>
      <c r="Y47" s="42"/>
      <c r="Z47" s="41" t="s">
        <v>8</v>
      </c>
      <c r="AA47" s="42"/>
      <c r="AB47" s="42"/>
      <c r="AC47" s="42"/>
      <c r="AD47" s="44"/>
    </row>
    <row r="48" spans="1:30" ht="15" customHeight="1" thickBot="1" x14ac:dyDescent="0.25">
      <c r="A48" s="36" t="s">
        <v>51</v>
      </c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8"/>
    </row>
  </sheetData>
  <mergeCells count="50">
    <mergeCell ref="A8:AD39"/>
    <mergeCell ref="A40:B40"/>
    <mergeCell ref="C40:F40"/>
    <mergeCell ref="G40:O40"/>
    <mergeCell ref="P40:T40"/>
    <mergeCell ref="U40:Y40"/>
    <mergeCell ref="Z40:AD40"/>
    <mergeCell ref="Z42:AD42"/>
    <mergeCell ref="A41:B41"/>
    <mergeCell ref="C41:F41"/>
    <mergeCell ref="G41:O41"/>
    <mergeCell ref="P41:T41"/>
    <mergeCell ref="U41:Y41"/>
    <mergeCell ref="Z41:AD41"/>
    <mergeCell ref="A42:B42"/>
    <mergeCell ref="C42:F42"/>
    <mergeCell ref="G42:O42"/>
    <mergeCell ref="P42:T42"/>
    <mergeCell ref="U42:Y42"/>
    <mergeCell ref="Z44:AD44"/>
    <mergeCell ref="A43:B43"/>
    <mergeCell ref="C43:F43"/>
    <mergeCell ref="G43:O43"/>
    <mergeCell ref="P43:T43"/>
    <mergeCell ref="U43:Y43"/>
    <mergeCell ref="Z43:AD43"/>
    <mergeCell ref="A44:B44"/>
    <mergeCell ref="C44:F44"/>
    <mergeCell ref="G44:O44"/>
    <mergeCell ref="P44:T44"/>
    <mergeCell ref="U44:Y44"/>
    <mergeCell ref="Z46:AD46"/>
    <mergeCell ref="A45:B45"/>
    <mergeCell ref="C45:F45"/>
    <mergeCell ref="G45:O45"/>
    <mergeCell ref="P45:T45"/>
    <mergeCell ref="U45:Y45"/>
    <mergeCell ref="Z45:AD45"/>
    <mergeCell ref="A46:B46"/>
    <mergeCell ref="C46:F46"/>
    <mergeCell ref="G46:O46"/>
    <mergeCell ref="P46:T46"/>
    <mergeCell ref="U46:Y46"/>
    <mergeCell ref="A48:AD48"/>
    <mergeCell ref="A47:B47"/>
    <mergeCell ref="C47:F47"/>
    <mergeCell ref="G47:O47"/>
    <mergeCell ref="P47:T47"/>
    <mergeCell ref="U47:Y47"/>
    <mergeCell ref="Z47:AD47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0" fitToWidth="3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EF827-678E-445A-8BF7-BD66BC26559B}">
  <sheetPr codeName="Foglio1"/>
  <dimension ref="B2:BA69"/>
  <sheetViews>
    <sheetView zoomScaleNormal="100" zoomScaleSheetLayoutView="100" workbookViewId="0"/>
  </sheetViews>
  <sheetFormatPr defaultRowHeight="15" x14ac:dyDescent="0.25"/>
  <cols>
    <col min="1" max="1" width="2.7109375" customWidth="1"/>
    <col min="11" max="11" width="2.7109375" customWidth="1"/>
    <col min="12" max="12" width="18.42578125" bestFit="1" customWidth="1"/>
    <col min="13" max="16" width="8.85546875" customWidth="1"/>
    <col min="19" max="19" width="9.28515625" bestFit="1" customWidth="1"/>
    <col min="20" max="20" width="9.42578125" bestFit="1" customWidth="1"/>
    <col min="21" max="28" width="9.42578125" customWidth="1"/>
  </cols>
  <sheetData>
    <row r="2" spans="2:53" x14ac:dyDescent="0.25">
      <c r="B2" s="6">
        <f>M5</f>
        <v>0.16244848629907968</v>
      </c>
      <c r="C2" s="5">
        <v>6.9</v>
      </c>
      <c r="L2" s="75" t="s">
        <v>9</v>
      </c>
      <c r="M2" s="76"/>
      <c r="N2" s="76"/>
      <c r="O2" s="76"/>
      <c r="P2" s="76"/>
      <c r="Q2" s="76"/>
      <c r="R2" s="76"/>
      <c r="S2" s="77"/>
    </row>
    <row r="3" spans="2:53" x14ac:dyDescent="0.25">
      <c r="B3" s="6">
        <f>M5</f>
        <v>0.16244848629907968</v>
      </c>
      <c r="C3" s="5">
        <f>M4</f>
        <v>220</v>
      </c>
      <c r="L3" s="25" t="s">
        <v>10</v>
      </c>
      <c r="M3" s="35">
        <v>90</v>
      </c>
      <c r="N3" s="78" t="s">
        <v>11</v>
      </c>
      <c r="O3" s="78"/>
      <c r="P3" s="78"/>
      <c r="Q3" s="78"/>
      <c r="R3" s="78"/>
      <c r="S3" s="78"/>
      <c r="AT3" s="2"/>
      <c r="AU3" s="2"/>
      <c r="AW3" s="2"/>
      <c r="AX3" s="2"/>
      <c r="AZ3" s="2"/>
      <c r="BA3" s="2"/>
    </row>
    <row r="4" spans="2:53" x14ac:dyDescent="0.25">
      <c r="B4" s="6">
        <v>0</v>
      </c>
      <c r="C4" s="5">
        <f>M4</f>
        <v>220</v>
      </c>
      <c r="L4" s="25" t="s">
        <v>12</v>
      </c>
      <c r="M4" s="24">
        <v>220</v>
      </c>
      <c r="N4" s="78" t="s">
        <v>13</v>
      </c>
      <c r="O4" s="78"/>
      <c r="P4" s="78"/>
      <c r="Q4" s="78"/>
      <c r="R4" s="78"/>
      <c r="S4" s="78"/>
      <c r="AT4" s="2"/>
      <c r="AU4" s="2"/>
      <c r="AW4" s="2"/>
      <c r="AX4" s="2"/>
      <c r="AZ4" s="2"/>
      <c r="BA4" s="2"/>
    </row>
    <row r="5" spans="2:53" x14ac:dyDescent="0.25">
      <c r="L5" s="25" t="s">
        <v>14</v>
      </c>
      <c r="M5" s="28" cm="1">
        <f t="array" ref="M5">_xlfn.IFS(M3=70,dati!P8,M3=80,dati!P9,M3=90,dati!P10)</f>
        <v>0.16244848629907968</v>
      </c>
      <c r="N5" s="78" t="s">
        <v>15</v>
      </c>
      <c r="O5" s="78"/>
      <c r="P5" s="78"/>
      <c r="Q5" s="78"/>
      <c r="R5" s="78"/>
      <c r="S5" s="78"/>
      <c r="AT5" s="2"/>
      <c r="AU5" s="2"/>
      <c r="AW5" s="2"/>
      <c r="AX5" s="2"/>
      <c r="AZ5" s="2"/>
      <c r="BA5" s="2"/>
    </row>
    <row r="6" spans="2:53" x14ac:dyDescent="0.25">
      <c r="AT6" s="2"/>
      <c r="AU6" s="2"/>
      <c r="AW6" s="2"/>
      <c r="AX6" s="2"/>
      <c r="AZ6" s="2"/>
      <c r="BA6" s="2"/>
    </row>
    <row r="7" spans="2:53" x14ac:dyDescent="0.25">
      <c r="L7" s="23" t="s">
        <v>16</v>
      </c>
      <c r="M7" s="1"/>
      <c r="N7" s="1"/>
      <c r="O7" s="1"/>
      <c r="AT7" s="2"/>
      <c r="AU7" s="2"/>
      <c r="AW7" s="2"/>
      <c r="AX7" s="2"/>
      <c r="AZ7" s="2"/>
      <c r="BA7" s="2"/>
    </row>
    <row r="8" spans="2:53" x14ac:dyDescent="0.25">
      <c r="L8" s="24" t="s">
        <v>17</v>
      </c>
      <c r="M8" s="1"/>
      <c r="N8" s="1"/>
      <c r="O8" s="1"/>
      <c r="AT8" s="2"/>
      <c r="AU8" s="2"/>
      <c r="AW8" s="2"/>
      <c r="AX8" s="2"/>
      <c r="AZ8" s="2"/>
      <c r="BA8" s="2"/>
    </row>
    <row r="9" spans="2:53" x14ac:dyDescent="0.25">
      <c r="L9" s="25" t="s">
        <v>18</v>
      </c>
      <c r="AT9" s="2"/>
      <c r="AU9" s="2"/>
      <c r="AW9" s="2"/>
      <c r="AX9" s="2"/>
      <c r="AZ9" s="2"/>
      <c r="BA9" s="2"/>
    </row>
    <row r="10" spans="2:53" x14ac:dyDescent="0.25">
      <c r="L10" s="26" t="s">
        <v>19</v>
      </c>
      <c r="AT10" s="2"/>
      <c r="AU10" s="2"/>
      <c r="AW10" s="2"/>
      <c r="AX10" s="2"/>
      <c r="AZ10" s="2"/>
      <c r="BA10" s="2"/>
    </row>
    <row r="11" spans="2:53" x14ac:dyDescent="0.25">
      <c r="L11" s="27" t="s">
        <v>20</v>
      </c>
      <c r="AT11" s="2"/>
      <c r="AU11" s="2"/>
      <c r="AW11" s="2"/>
      <c r="AX11" s="2"/>
      <c r="AZ11" s="2"/>
      <c r="BA11" s="2"/>
    </row>
    <row r="12" spans="2:53" x14ac:dyDescent="0.25">
      <c r="AT12" s="2"/>
      <c r="AU12" s="2"/>
      <c r="AW12" s="2"/>
      <c r="AX12" s="2"/>
      <c r="AZ12" s="2"/>
      <c r="BA12" s="2"/>
    </row>
    <row r="13" spans="2:53" x14ac:dyDescent="0.25">
      <c r="AT13" s="2"/>
      <c r="AU13" s="2"/>
      <c r="AW13" s="2"/>
      <c r="AX13" s="2"/>
      <c r="AZ13" s="2"/>
      <c r="BA13" s="2"/>
    </row>
    <row r="14" spans="2:53" x14ac:dyDescent="0.25">
      <c r="AT14" s="2"/>
      <c r="AU14" s="2"/>
      <c r="AW14" s="2"/>
      <c r="AX14" s="2"/>
      <c r="AZ14" s="2"/>
      <c r="BA14" s="2"/>
    </row>
    <row r="15" spans="2:53" x14ac:dyDescent="0.25">
      <c r="AT15" s="2"/>
      <c r="AU15" s="2"/>
      <c r="AW15" s="2"/>
      <c r="AX15" s="2"/>
      <c r="AZ15" s="2"/>
      <c r="BA15" s="2"/>
    </row>
    <row r="16" spans="2:53" x14ac:dyDescent="0.25">
      <c r="AT16" s="2"/>
      <c r="AU16" s="2"/>
      <c r="AW16" s="2"/>
      <c r="AX16" s="2"/>
      <c r="AZ16" s="2"/>
      <c r="BA16" s="2"/>
    </row>
    <row r="17" spans="33:53" x14ac:dyDescent="0.25">
      <c r="AT17" s="2"/>
      <c r="AU17" s="2"/>
      <c r="AW17" s="2"/>
      <c r="AX17" s="2"/>
      <c r="AZ17" s="2"/>
      <c r="BA17" s="2"/>
    </row>
    <row r="18" spans="33:53" x14ac:dyDescent="0.25">
      <c r="AT18" s="2"/>
      <c r="AU18" s="2"/>
      <c r="AW18" s="2"/>
      <c r="AX18" s="2"/>
      <c r="AZ18" s="2"/>
      <c r="BA18" s="2"/>
    </row>
    <row r="19" spans="33:53" x14ac:dyDescent="0.25">
      <c r="AT19" s="2"/>
      <c r="AU19" s="2"/>
      <c r="AW19" s="2"/>
      <c r="AX19" s="2"/>
      <c r="AZ19" s="2"/>
      <c r="BA19" s="2"/>
    </row>
    <row r="20" spans="33:53" x14ac:dyDescent="0.25">
      <c r="AT20" s="2"/>
      <c r="AU20" s="2"/>
      <c r="AW20" s="2"/>
      <c r="AX20" s="2"/>
      <c r="AZ20" s="2"/>
      <c r="BA20" s="2"/>
    </row>
    <row r="21" spans="33:53" x14ac:dyDescent="0.25">
      <c r="AT21" s="2"/>
      <c r="AU21" s="2"/>
      <c r="AW21" s="2"/>
      <c r="AX21" s="2"/>
      <c r="AZ21" s="2"/>
      <c r="BA21" s="2"/>
    </row>
    <row r="22" spans="33:53" x14ac:dyDescent="0.25">
      <c r="AT22" s="2"/>
      <c r="AU22" s="2"/>
      <c r="AW22" s="2"/>
      <c r="AX22" s="2"/>
      <c r="AZ22" s="2"/>
      <c r="BA22" s="2"/>
    </row>
    <row r="23" spans="33:53" x14ac:dyDescent="0.25">
      <c r="AT23" s="2"/>
      <c r="AU23" s="2"/>
      <c r="AW23" s="2"/>
      <c r="AX23" s="2"/>
      <c r="AZ23" s="2"/>
      <c r="BA23" s="2"/>
    </row>
    <row r="24" spans="33:53" x14ac:dyDescent="0.25">
      <c r="AT24" s="2"/>
      <c r="AU24" s="2"/>
      <c r="AW24" s="2"/>
      <c r="AX24" s="2"/>
      <c r="AZ24" s="2"/>
      <c r="BA24" s="2"/>
    </row>
    <row r="25" spans="33:53" x14ac:dyDescent="0.25">
      <c r="AT25" s="2"/>
      <c r="AU25" s="2"/>
      <c r="AW25" s="2"/>
      <c r="AX25" s="2"/>
      <c r="AZ25" s="2"/>
      <c r="BA25" s="2"/>
    </row>
    <row r="26" spans="33:53" x14ac:dyDescent="0.25">
      <c r="AT26" s="2"/>
      <c r="AU26" s="2"/>
      <c r="AW26" s="2"/>
      <c r="AX26" s="2"/>
      <c r="AZ26" s="2"/>
      <c r="BA26" s="2"/>
    </row>
    <row r="27" spans="33:53" x14ac:dyDescent="0.25">
      <c r="AT27" s="2"/>
      <c r="AU27" s="2"/>
      <c r="AW27" s="2"/>
      <c r="AX27" s="2"/>
      <c r="AZ27" s="2"/>
      <c r="BA27" s="2"/>
    </row>
    <row r="28" spans="33:53" x14ac:dyDescent="0.25">
      <c r="AT28" s="2"/>
      <c r="AU28" s="2"/>
      <c r="AW28" s="2"/>
      <c r="AX28" s="2"/>
      <c r="AZ28" s="2"/>
      <c r="BA28" s="2"/>
    </row>
    <row r="29" spans="33:53" x14ac:dyDescent="0.25">
      <c r="AT29" s="2"/>
      <c r="AU29" s="2"/>
      <c r="AW29" s="2"/>
      <c r="AX29" s="2"/>
      <c r="AZ29" s="2"/>
      <c r="BA29" s="2"/>
    </row>
    <row r="30" spans="33:53" x14ac:dyDescent="0.25">
      <c r="AG30" s="1"/>
      <c r="AK30" s="1"/>
      <c r="AT30" s="2"/>
      <c r="AU30" s="2"/>
      <c r="AW30" s="2"/>
      <c r="AX30" s="2"/>
      <c r="AZ30" s="2"/>
      <c r="BA30" s="2"/>
    </row>
    <row r="31" spans="33:53" x14ac:dyDescent="0.25">
      <c r="AG31" s="1"/>
      <c r="AK31" s="1"/>
      <c r="AT31" s="2"/>
      <c r="AU31" s="2"/>
      <c r="AW31" s="2"/>
      <c r="AX31" s="2"/>
      <c r="AZ31" s="2"/>
      <c r="BA31" s="2"/>
    </row>
    <row r="32" spans="33:53" x14ac:dyDescent="0.25">
      <c r="AG32" s="1"/>
      <c r="AK32" s="1"/>
      <c r="AT32" s="2"/>
      <c r="AU32" s="2"/>
      <c r="AW32" s="2"/>
      <c r="AX32" s="2"/>
      <c r="AZ32" s="2"/>
      <c r="BA32" s="2"/>
    </row>
    <row r="33" spans="17:53" x14ac:dyDescent="0.25">
      <c r="AG33" s="1"/>
      <c r="AK33" s="1"/>
      <c r="AT33" s="2"/>
      <c r="AU33" s="2"/>
      <c r="AW33" s="2"/>
      <c r="AX33" s="2"/>
      <c r="AZ33" s="2"/>
      <c r="BA33" s="2"/>
    </row>
    <row r="34" spans="17:53" x14ac:dyDescent="0.25">
      <c r="AG34" s="1"/>
      <c r="AK34" s="1"/>
      <c r="AT34" s="2"/>
      <c r="AU34" s="2"/>
      <c r="AW34" s="2"/>
      <c r="AX34" s="2"/>
      <c r="AZ34" s="2"/>
      <c r="BA34" s="2"/>
    </row>
    <row r="35" spans="17:53" x14ac:dyDescent="0.25">
      <c r="AG35" s="1"/>
      <c r="AK35" s="1"/>
      <c r="AT35" s="2"/>
      <c r="AU35" s="2"/>
      <c r="AW35" s="2"/>
      <c r="AX35" s="2"/>
      <c r="AZ35" s="2"/>
      <c r="BA35" s="2"/>
    </row>
    <row r="36" spans="17:53" x14ac:dyDescent="0.25">
      <c r="AG36" s="1"/>
      <c r="AK36" s="1"/>
      <c r="AT36" s="2"/>
      <c r="AU36" s="2"/>
      <c r="AW36" s="2"/>
      <c r="AX36" s="2"/>
      <c r="AZ36" s="2"/>
      <c r="BA36" s="2"/>
    </row>
    <row r="37" spans="17:53" x14ac:dyDescent="0.25">
      <c r="Q37" s="4"/>
      <c r="R37" s="1"/>
      <c r="AG37" s="1"/>
      <c r="AK37" s="1"/>
      <c r="AT37" s="2"/>
      <c r="AU37" s="2"/>
      <c r="AW37" s="2"/>
      <c r="AX37" s="2"/>
      <c r="AZ37" s="2"/>
      <c r="BA37" s="2"/>
    </row>
    <row r="38" spans="17:53" x14ac:dyDescent="0.25">
      <c r="S38" s="1"/>
      <c r="T38" s="1"/>
      <c r="AG38" s="1"/>
      <c r="AK38" s="1"/>
      <c r="AT38" s="2"/>
      <c r="AU38" s="2"/>
      <c r="AW38" s="2"/>
      <c r="AX38" s="2"/>
      <c r="AZ38" s="2"/>
      <c r="BA38" s="2"/>
    </row>
    <row r="39" spans="17:53" x14ac:dyDescent="0.25">
      <c r="S39" s="1"/>
      <c r="T39" s="1"/>
      <c r="AG39" s="1"/>
      <c r="AT39" s="2"/>
      <c r="AU39" s="2"/>
      <c r="AW39" s="2"/>
      <c r="AX39" s="2"/>
      <c r="AZ39" s="2"/>
      <c r="BA39" s="2"/>
    </row>
    <row r="40" spans="17:53" x14ac:dyDescent="0.25">
      <c r="S40" s="1"/>
      <c r="AT40" s="2"/>
      <c r="AU40" s="2"/>
      <c r="AW40" s="2"/>
      <c r="AX40" s="2"/>
      <c r="AZ40" s="2"/>
      <c r="BA40" s="2"/>
    </row>
    <row r="41" spans="17:53" x14ac:dyDescent="0.25">
      <c r="Q41" s="1"/>
      <c r="R41" s="1"/>
      <c r="S41" s="1"/>
      <c r="AT41" s="2"/>
      <c r="AU41" s="2"/>
      <c r="AW41" s="2"/>
      <c r="AX41" s="2"/>
      <c r="AZ41" s="2"/>
      <c r="BA41" s="2"/>
    </row>
    <row r="42" spans="17:53" x14ac:dyDescent="0.25">
      <c r="Q42" s="1"/>
      <c r="R42" s="1"/>
      <c r="S42" s="1"/>
      <c r="AT42" s="2"/>
      <c r="AU42" s="2"/>
      <c r="AW42" s="2"/>
      <c r="AX42" s="2"/>
    </row>
    <row r="43" spans="17:53" x14ac:dyDescent="0.25">
      <c r="Q43" s="1"/>
      <c r="R43" s="1"/>
      <c r="S43" s="1"/>
      <c r="AT43" s="2"/>
      <c r="AU43" s="2"/>
      <c r="AW43" s="2"/>
      <c r="AX43" s="2"/>
    </row>
    <row r="44" spans="17:53" x14ac:dyDescent="0.25">
      <c r="Q44" s="1"/>
      <c r="R44" s="1"/>
      <c r="S44" s="1"/>
      <c r="AT44" s="2"/>
      <c r="AU44" s="2"/>
      <c r="AW44" s="2"/>
      <c r="AX44" s="2"/>
    </row>
    <row r="45" spans="17:53" x14ac:dyDescent="0.25">
      <c r="Q45" s="1"/>
      <c r="R45" s="1"/>
      <c r="AT45" s="2"/>
      <c r="AU45" s="2"/>
    </row>
    <row r="46" spans="17:53" x14ac:dyDescent="0.25">
      <c r="Q46" s="1"/>
      <c r="R46" s="1"/>
      <c r="S46" s="1"/>
      <c r="AT46" s="2"/>
      <c r="AU46" s="2"/>
    </row>
    <row r="47" spans="17:53" x14ac:dyDescent="0.25">
      <c r="Q47" s="1"/>
      <c r="R47" s="1"/>
      <c r="S47" s="1"/>
      <c r="AT47" s="2"/>
      <c r="AU47" s="2"/>
    </row>
    <row r="48" spans="17:53" x14ac:dyDescent="0.25">
      <c r="Q48" s="1"/>
      <c r="R48" s="1"/>
      <c r="S48" s="1"/>
    </row>
    <row r="49" spans="17:19" x14ac:dyDescent="0.25">
      <c r="Q49" s="1"/>
      <c r="R49" s="1"/>
      <c r="S49" s="1"/>
    </row>
    <row r="50" spans="17:19" x14ac:dyDescent="0.25">
      <c r="Q50" s="1"/>
      <c r="R50" s="1"/>
      <c r="S50" s="1"/>
    </row>
    <row r="51" spans="17:19" x14ac:dyDescent="0.25">
      <c r="Q51" s="1"/>
      <c r="R51" s="1"/>
      <c r="S51" s="1"/>
    </row>
    <row r="52" spans="17:19" x14ac:dyDescent="0.25">
      <c r="Q52" s="1"/>
      <c r="R52" s="1"/>
      <c r="S52" s="1"/>
    </row>
    <row r="53" spans="17:19" x14ac:dyDescent="0.25">
      <c r="Q53" s="1"/>
      <c r="R53" s="1"/>
      <c r="S53" s="1"/>
    </row>
    <row r="54" spans="17:19" x14ac:dyDescent="0.25">
      <c r="Q54" s="1"/>
      <c r="R54" s="1"/>
      <c r="S54" s="1"/>
    </row>
    <row r="55" spans="17:19" x14ac:dyDescent="0.25">
      <c r="Q55" s="1"/>
      <c r="R55" s="1"/>
      <c r="S55" s="1"/>
    </row>
    <row r="56" spans="17:19" x14ac:dyDescent="0.25">
      <c r="Q56" s="1"/>
      <c r="R56" s="1"/>
      <c r="S56" s="1"/>
    </row>
    <row r="57" spans="17:19" x14ac:dyDescent="0.25">
      <c r="Q57" s="1"/>
      <c r="R57" s="1"/>
      <c r="S57" s="1"/>
    </row>
    <row r="58" spans="17:19" x14ac:dyDescent="0.25">
      <c r="Q58" s="1"/>
      <c r="R58" s="1"/>
      <c r="S58" s="1"/>
    </row>
    <row r="59" spans="17:19" x14ac:dyDescent="0.25">
      <c r="Q59" s="1"/>
      <c r="R59" s="1"/>
      <c r="S59" s="1"/>
    </row>
    <row r="60" spans="17:19" x14ac:dyDescent="0.25">
      <c r="Q60" s="1"/>
      <c r="R60" s="1"/>
      <c r="S60" s="1"/>
    </row>
    <row r="61" spans="17:19" x14ac:dyDescent="0.25">
      <c r="Q61" s="1"/>
      <c r="R61" s="1"/>
      <c r="S61" s="1"/>
    </row>
    <row r="62" spans="17:19" x14ac:dyDescent="0.25">
      <c r="Q62" s="1"/>
      <c r="R62" s="1"/>
      <c r="S62" s="1"/>
    </row>
    <row r="63" spans="17:19" x14ac:dyDescent="0.25">
      <c r="Q63" s="1"/>
      <c r="R63" s="1"/>
      <c r="S63" s="1"/>
    </row>
    <row r="64" spans="17:19" x14ac:dyDescent="0.25">
      <c r="Q64" s="1"/>
      <c r="R64" s="1"/>
      <c r="S64" s="1"/>
    </row>
    <row r="65" spans="17:19" x14ac:dyDescent="0.25">
      <c r="Q65" s="1"/>
      <c r="R65" s="1"/>
      <c r="S65" s="1"/>
    </row>
    <row r="66" spans="17:19" x14ac:dyDescent="0.25">
      <c r="Q66" s="1"/>
      <c r="R66" s="1"/>
      <c r="S66" s="1"/>
    </row>
    <row r="67" spans="17:19" x14ac:dyDescent="0.25">
      <c r="Q67" s="1"/>
      <c r="R67" s="1"/>
      <c r="S67" s="1"/>
    </row>
    <row r="68" spans="17:19" x14ac:dyDescent="0.25">
      <c r="Q68" s="1"/>
      <c r="R68" s="1"/>
      <c r="S68" s="1"/>
    </row>
    <row r="69" spans="17:19" x14ac:dyDescent="0.25">
      <c r="Q69" s="1"/>
      <c r="R69" s="1"/>
      <c r="S69" s="1"/>
    </row>
  </sheetData>
  <sortState xmlns:xlrd2="http://schemas.microsoft.com/office/spreadsheetml/2017/richdata2" ref="S3:T27">
    <sortCondition ref="T3:T27"/>
  </sortState>
  <mergeCells count="4">
    <mergeCell ref="L2:S2"/>
    <mergeCell ref="N3:S3"/>
    <mergeCell ref="N4:S4"/>
    <mergeCell ref="N5:S5"/>
  </mergeCells>
  <dataValidations count="1">
    <dataValidation type="list" allowBlank="1" showInputMessage="1" showErrorMessage="1" sqref="M3" xr:uid="{265F520C-262C-4711-B6C5-C6A993F79D58}">
      <formula1>"70,80,90"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decimal" allowBlank="1" showInputMessage="1" showErrorMessage="1" xr:uid="{196E5E9F-09DC-4038-BC5C-60EDC2F62889}">
          <x14:formula1>
            <xm:f>dati!P4</xm:f>
          </x14:formula1>
          <x14:formula2>
            <xm:f>dati!P3</xm:f>
          </x14:formula2>
          <xm:sqref>M4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EF39A-1BC0-4523-8EAF-566237893BB6}">
  <sheetPr codeName="Foglio2"/>
  <dimension ref="B1:AH18"/>
  <sheetViews>
    <sheetView zoomScaleNormal="100" workbookViewId="0"/>
  </sheetViews>
  <sheetFormatPr defaultRowHeight="15" x14ac:dyDescent="0.25"/>
  <cols>
    <col min="1" max="1" width="2.5703125" customWidth="1"/>
    <col min="14" max="14" width="2.5703125" customWidth="1"/>
    <col min="18" max="18" width="2.5703125" customWidth="1"/>
    <col min="20" max="28" width="8.7109375" customWidth="1"/>
  </cols>
  <sheetData>
    <row r="1" spans="2:34" x14ac:dyDescent="0.25">
      <c r="T1" s="1"/>
      <c r="U1" s="1"/>
      <c r="V1" s="1"/>
      <c r="W1" s="1"/>
      <c r="X1" s="1"/>
      <c r="Y1" s="1"/>
      <c r="Z1" s="1"/>
      <c r="AA1" s="1"/>
      <c r="AB1" s="1"/>
      <c r="AC1" s="1"/>
    </row>
    <row r="2" spans="2:34" x14ac:dyDescent="0.25">
      <c r="B2" s="33" t="s">
        <v>21</v>
      </c>
      <c r="C2" s="33">
        <v>90</v>
      </c>
      <c r="D2" s="33" t="s">
        <v>21</v>
      </c>
      <c r="E2" s="33">
        <v>80</v>
      </c>
      <c r="F2" s="33" t="s">
        <v>21</v>
      </c>
      <c r="G2" s="33">
        <v>70</v>
      </c>
      <c r="H2" s="33" t="s">
        <v>21</v>
      </c>
      <c r="I2" s="33">
        <v>90</v>
      </c>
      <c r="J2" s="33" t="s">
        <v>21</v>
      </c>
      <c r="K2" s="33">
        <v>80</v>
      </c>
      <c r="L2" s="33" t="s">
        <v>21</v>
      </c>
      <c r="M2" s="33">
        <v>70</v>
      </c>
      <c r="O2" s="33" t="s">
        <v>21</v>
      </c>
      <c r="P2" s="2">
        <f>'limits for extrusion'!M3</f>
        <v>90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2:34" x14ac:dyDescent="0.25">
      <c r="B3" s="33" t="s">
        <v>22</v>
      </c>
      <c r="C3" s="33" t="s">
        <v>23</v>
      </c>
      <c r="D3" s="33" t="s">
        <v>22</v>
      </c>
      <c r="E3" s="33" t="s">
        <v>23</v>
      </c>
      <c r="F3" s="33" t="s">
        <v>22</v>
      </c>
      <c r="G3" s="33" t="s">
        <v>23</v>
      </c>
      <c r="H3" s="33" t="s">
        <v>14</v>
      </c>
      <c r="I3" s="33" t="s">
        <v>12</v>
      </c>
      <c r="J3" s="33" t="s">
        <v>14</v>
      </c>
      <c r="K3" s="33" t="s">
        <v>12</v>
      </c>
      <c r="L3" s="33" t="s">
        <v>14</v>
      </c>
      <c r="M3" s="33" t="s">
        <v>12</v>
      </c>
      <c r="O3" s="33" t="s">
        <v>12</v>
      </c>
      <c r="P3" s="2" cm="1">
        <f t="array" ref="P3">_xlfn.IFS('limits for extrusion'!M3=70,MAX(M4:M12),'limits for extrusion'!M3=80,MAX(K4:K14),'limits for extrusion'!M3=90,MAX(I4:I16))</f>
        <v>689.47572931683612</v>
      </c>
      <c r="Q3" s="1" t="s">
        <v>24</v>
      </c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2:34" x14ac:dyDescent="0.25">
      <c r="B4" s="32">
        <v>3.4415954415954415E-2</v>
      </c>
      <c r="C4" s="1">
        <v>100</v>
      </c>
      <c r="D4" s="32">
        <v>3.1794871794871796E-2</v>
      </c>
      <c r="E4" s="1">
        <v>100</v>
      </c>
      <c r="F4" s="32">
        <v>3.0655270655270656E-2</v>
      </c>
      <c r="G4" s="1">
        <v>100</v>
      </c>
      <c r="H4" s="3">
        <v>0.87416524216524216</v>
      </c>
      <c r="I4" s="2">
        <f t="shared" ref="I4:I16" si="0">CONVERT(C4,"psi","Pa")/100000</f>
        <v>6.8947572931683618</v>
      </c>
      <c r="J4" s="3">
        <f>CONVERT(D4,"in","mm")</f>
        <v>0.80758974358974367</v>
      </c>
      <c r="K4" s="2">
        <f t="shared" ref="K4:K14" si="1">CONVERT(E4,"psi","Pa")/100000</f>
        <v>6.8947572931683618</v>
      </c>
      <c r="L4" s="3">
        <f>CONVERT(F4,"in","mm")</f>
        <v>0.77864387464387463</v>
      </c>
      <c r="M4" s="2">
        <f t="shared" ref="M4:M12" si="2">CONVERT(G4,"psi","Pa")/100000</f>
        <v>6.8947572931683618</v>
      </c>
      <c r="O4" s="33" t="s">
        <v>12</v>
      </c>
      <c r="P4" s="2" cm="1">
        <f t="array" ref="P4">_xlfn.IFS('limits for extrusion'!M3=70,MIN(M4:M12),'limits for extrusion'!M3=80,MIN(K4:K14),'limits for extrusion'!M3=90,MIN(I4:I16))</f>
        <v>6.8947572931683618</v>
      </c>
      <c r="Q4" s="1" t="s">
        <v>25</v>
      </c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2:34" x14ac:dyDescent="0.25">
      <c r="B5" s="32">
        <v>3.0854700854700854E-2</v>
      </c>
      <c r="C5" s="1">
        <v>200</v>
      </c>
      <c r="D5" s="32">
        <v>2.8595988538681949E-2</v>
      </c>
      <c r="E5" s="1">
        <v>200</v>
      </c>
      <c r="F5" s="32">
        <v>2.5587392550143265E-2</v>
      </c>
      <c r="G5" s="1">
        <v>200</v>
      </c>
      <c r="H5" s="3">
        <v>0.78370940170940173</v>
      </c>
      <c r="I5" s="2">
        <f t="shared" si="0"/>
        <v>13.789514586336724</v>
      </c>
      <c r="J5" s="3">
        <f t="shared" ref="J5:L16" si="3">CONVERT(D5,"in","mm")</f>
        <v>0.72633810888252148</v>
      </c>
      <c r="K5" s="2">
        <f t="shared" si="1"/>
        <v>13.789514586336724</v>
      </c>
      <c r="L5" s="3">
        <f t="shared" si="3"/>
        <v>0.64991977077363894</v>
      </c>
      <c r="M5" s="2">
        <f t="shared" si="2"/>
        <v>13.789514586336724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2:34" x14ac:dyDescent="0.25">
      <c r="B6" s="32">
        <v>2.8166189111747852E-2</v>
      </c>
      <c r="C6" s="1">
        <v>300</v>
      </c>
      <c r="D6" s="32">
        <v>2.6017191977077365E-2</v>
      </c>
      <c r="E6" s="1">
        <v>300</v>
      </c>
      <c r="F6" s="32">
        <v>2.2005730659025786E-2</v>
      </c>
      <c r="G6" s="1">
        <v>300</v>
      </c>
      <c r="H6" s="3">
        <v>0.71542120343839544</v>
      </c>
      <c r="I6" s="2">
        <f t="shared" si="0"/>
        <v>20.684271879505083</v>
      </c>
      <c r="J6" s="3">
        <f t="shared" si="3"/>
        <v>0.6608366762177651</v>
      </c>
      <c r="K6" s="2">
        <f t="shared" si="1"/>
        <v>20.684271879505083</v>
      </c>
      <c r="L6" s="3">
        <f t="shared" si="3"/>
        <v>0.558945558739255</v>
      </c>
      <c r="M6" s="2">
        <f t="shared" si="2"/>
        <v>20.684271879505083</v>
      </c>
      <c r="U6" s="1"/>
      <c r="V6" s="1"/>
      <c r="W6" s="1"/>
      <c r="X6" s="1"/>
      <c r="Y6" s="1"/>
      <c r="Z6" s="1"/>
      <c r="AA6" s="1"/>
      <c r="AB6" s="1"/>
      <c r="AC6" s="1"/>
    </row>
    <row r="7" spans="2:34" x14ac:dyDescent="0.25">
      <c r="B7" s="32">
        <v>2.6017191977077365E-2</v>
      </c>
      <c r="C7" s="1">
        <v>400</v>
      </c>
      <c r="D7" s="32">
        <v>2.3151862464183381E-2</v>
      </c>
      <c r="E7" s="1">
        <v>400</v>
      </c>
      <c r="F7" s="32">
        <v>1.8985507246376813E-2</v>
      </c>
      <c r="G7" s="1">
        <v>400</v>
      </c>
      <c r="H7" s="3">
        <v>0.6608366762177651</v>
      </c>
      <c r="I7" s="2">
        <f t="shared" si="0"/>
        <v>27.579029172673447</v>
      </c>
      <c r="J7" s="3">
        <f t="shared" si="3"/>
        <v>0.5880573065902579</v>
      </c>
      <c r="K7" s="2">
        <f t="shared" si="1"/>
        <v>27.579029172673447</v>
      </c>
      <c r="L7" s="3">
        <f t="shared" si="3"/>
        <v>0.48223188405797113</v>
      </c>
      <c r="M7" s="2">
        <f t="shared" si="2"/>
        <v>27.579029172673447</v>
      </c>
      <c r="O7" s="33" t="s">
        <v>12</v>
      </c>
      <c r="P7" s="2">
        <f>'limits for extrusion'!M4</f>
        <v>220</v>
      </c>
      <c r="U7" s="1"/>
      <c r="V7" s="1"/>
      <c r="W7" s="1"/>
      <c r="X7" s="1"/>
      <c r="Y7" s="1"/>
      <c r="Z7" s="1"/>
      <c r="AA7" s="1"/>
      <c r="AB7" s="1"/>
      <c r="AC7" s="1"/>
    </row>
    <row r="8" spans="2:34" x14ac:dyDescent="0.25">
      <c r="B8" s="32">
        <v>2.3151862464183381E-2</v>
      </c>
      <c r="C8" s="1">
        <v>600</v>
      </c>
      <c r="D8" s="32">
        <v>1.927536231884058E-2</v>
      </c>
      <c r="E8" s="1">
        <v>600</v>
      </c>
      <c r="F8" s="32">
        <v>1.4347826086956521E-2</v>
      </c>
      <c r="G8" s="1">
        <v>600</v>
      </c>
      <c r="H8" s="3">
        <v>0.5880573065902579</v>
      </c>
      <c r="I8" s="2">
        <f t="shared" si="0"/>
        <v>41.368543759010166</v>
      </c>
      <c r="J8" s="3">
        <f t="shared" si="3"/>
        <v>0.48959420289855071</v>
      </c>
      <c r="K8" s="2">
        <f t="shared" si="1"/>
        <v>41.368543759010166</v>
      </c>
      <c r="L8" s="3">
        <f t="shared" si="3"/>
        <v>0.36443478260869566</v>
      </c>
      <c r="M8" s="2">
        <f t="shared" si="2"/>
        <v>41.368543759010166</v>
      </c>
      <c r="O8" s="1">
        <v>70</v>
      </c>
      <c r="P8" s="1" t="e" cm="1">
        <f t="array" ref="P8">Bezier(M4:M12,L4:L12,P7)</f>
        <v>#NAME?</v>
      </c>
      <c r="U8" s="1"/>
      <c r="V8" s="1"/>
      <c r="W8" s="1"/>
      <c r="X8" s="1"/>
      <c r="Y8" s="1"/>
      <c r="Z8" s="1"/>
      <c r="AA8" s="1"/>
      <c r="AB8" s="1"/>
      <c r="AC8" s="1"/>
    </row>
    <row r="9" spans="2:34" x14ac:dyDescent="0.25">
      <c r="B9" s="32">
        <v>2.0859598853868195E-2</v>
      </c>
      <c r="C9" s="1">
        <v>800</v>
      </c>
      <c r="D9" s="32">
        <v>1.5652173913043479E-2</v>
      </c>
      <c r="E9" s="1">
        <v>800</v>
      </c>
      <c r="F9" s="32">
        <v>0.01</v>
      </c>
      <c r="G9" s="1">
        <v>800</v>
      </c>
      <c r="H9" s="3">
        <v>0.5298338108882521</v>
      </c>
      <c r="I9" s="2">
        <f t="shared" si="0"/>
        <v>55.158058345346895</v>
      </c>
      <c r="J9" s="3">
        <f t="shared" si="3"/>
        <v>0.3975652173913044</v>
      </c>
      <c r="K9" s="2">
        <f t="shared" si="1"/>
        <v>55.158058345346895</v>
      </c>
      <c r="L9" s="3">
        <f t="shared" si="3"/>
        <v>0.254</v>
      </c>
      <c r="M9" s="2">
        <f t="shared" si="2"/>
        <v>55.158058345346895</v>
      </c>
      <c r="O9" s="1">
        <v>80</v>
      </c>
      <c r="P9" s="1" cm="1">
        <f t="array" ref="P9">Bezier(K4:K14,J4:J14,P7)</f>
        <v>6.5723730392944962E-2</v>
      </c>
      <c r="T9" s="1"/>
      <c r="U9" s="1"/>
      <c r="V9" s="1"/>
      <c r="W9" s="1"/>
      <c r="X9" s="1"/>
    </row>
    <row r="10" spans="2:34" x14ac:dyDescent="0.25">
      <c r="B10" s="32">
        <v>1.8840579710144925E-2</v>
      </c>
      <c r="C10" s="1">
        <v>1000</v>
      </c>
      <c r="D10" s="32">
        <v>1.2608695652173913E-2</v>
      </c>
      <c r="E10" s="1">
        <v>1000</v>
      </c>
      <c r="F10" s="32">
        <v>7.647058823529413E-3</v>
      </c>
      <c r="G10" s="1">
        <v>1000</v>
      </c>
      <c r="H10" s="3">
        <v>0.47855072463768106</v>
      </c>
      <c r="I10" s="2">
        <f t="shared" si="0"/>
        <v>68.947572931683609</v>
      </c>
      <c r="J10" s="3">
        <f t="shared" si="3"/>
        <v>0.32026086956521738</v>
      </c>
      <c r="K10" s="2">
        <f t="shared" si="1"/>
        <v>68.947572931683609</v>
      </c>
      <c r="L10" s="3">
        <f t="shared" si="3"/>
        <v>0.19423529411764709</v>
      </c>
      <c r="M10" s="2">
        <f t="shared" si="2"/>
        <v>68.947572931683609</v>
      </c>
      <c r="O10" s="1">
        <v>90</v>
      </c>
      <c r="P10" s="1" cm="1">
        <f t="array" ref="P10">Bezier(I4:I16,H4:H16,P7)</f>
        <v>0.16244848629907968</v>
      </c>
      <c r="T10" s="1"/>
      <c r="U10" s="1"/>
      <c r="V10" s="1"/>
      <c r="W10" s="1"/>
      <c r="X10" s="1"/>
    </row>
    <row r="11" spans="2:34" x14ac:dyDescent="0.25">
      <c r="B11" s="32">
        <v>0.01</v>
      </c>
      <c r="C11" s="1">
        <v>2000</v>
      </c>
      <c r="D11" s="32">
        <v>5.1470588235294126E-3</v>
      </c>
      <c r="E11" s="1">
        <v>2000</v>
      </c>
      <c r="F11" s="32">
        <v>2.0588235294117644E-3</v>
      </c>
      <c r="G11" s="1">
        <v>2000</v>
      </c>
      <c r="H11" s="3">
        <v>0.254</v>
      </c>
      <c r="I11" s="2">
        <f t="shared" si="0"/>
        <v>137.89514586336722</v>
      </c>
      <c r="J11" s="3">
        <f t="shared" si="3"/>
        <v>0.13073529411764709</v>
      </c>
      <c r="K11" s="2">
        <f t="shared" si="1"/>
        <v>137.89514586336722</v>
      </c>
      <c r="L11" s="3">
        <f t="shared" si="3"/>
        <v>5.229411764705881E-2</v>
      </c>
      <c r="M11" s="2">
        <f t="shared" si="2"/>
        <v>137.89514586336722</v>
      </c>
      <c r="T11" s="1"/>
      <c r="U11" s="1"/>
      <c r="V11" s="1"/>
      <c r="W11" s="1"/>
      <c r="X11" s="1"/>
    </row>
    <row r="12" spans="2:34" x14ac:dyDescent="0.25">
      <c r="B12" s="32">
        <v>6.9117647058823534E-3</v>
      </c>
      <c r="C12" s="1">
        <v>3000</v>
      </c>
      <c r="D12" s="32">
        <v>2.9411764705882353E-3</v>
      </c>
      <c r="E12" s="1">
        <v>3000</v>
      </c>
      <c r="F12" s="32">
        <v>0</v>
      </c>
      <c r="G12" s="1">
        <v>3000</v>
      </c>
      <c r="H12" s="3">
        <v>0.17555882352941179</v>
      </c>
      <c r="I12" s="2">
        <f t="shared" si="0"/>
        <v>206.84271879505087</v>
      </c>
      <c r="J12" s="3">
        <f t="shared" si="3"/>
        <v>7.4705882352941178E-2</v>
      </c>
      <c r="K12" s="2">
        <f t="shared" si="1"/>
        <v>206.84271879505087</v>
      </c>
      <c r="L12" s="3">
        <f t="shared" si="3"/>
        <v>0</v>
      </c>
      <c r="M12" s="2">
        <f t="shared" si="2"/>
        <v>206.84271879505087</v>
      </c>
      <c r="T12" s="1"/>
      <c r="U12" s="1"/>
      <c r="V12" s="1"/>
      <c r="W12" s="1"/>
      <c r="X12" s="1"/>
    </row>
    <row r="13" spans="2:34" x14ac:dyDescent="0.25">
      <c r="B13" s="32">
        <v>4.7058823529411769E-3</v>
      </c>
      <c r="C13" s="1">
        <v>4000</v>
      </c>
      <c r="D13" s="32">
        <v>1.4705882352941176E-3</v>
      </c>
      <c r="E13" s="1">
        <v>4000</v>
      </c>
      <c r="F13" s="32" t="e">
        <v>#N/A</v>
      </c>
      <c r="G13" s="1">
        <v>4000</v>
      </c>
      <c r="H13" s="3">
        <v>0.1195294117647059</v>
      </c>
      <c r="I13" s="2">
        <f t="shared" si="0"/>
        <v>275.79029172673444</v>
      </c>
      <c r="J13" s="3">
        <f t="shared" si="3"/>
        <v>3.7352941176470589E-2</v>
      </c>
      <c r="K13" s="2">
        <f t="shared" si="1"/>
        <v>275.79029172673444</v>
      </c>
      <c r="L13" s="3" t="e">
        <f t="shared" si="3"/>
        <v>#N/A</v>
      </c>
      <c r="M13" s="32" t="e">
        <v>#N/A</v>
      </c>
      <c r="T13" s="1"/>
      <c r="U13" s="1"/>
      <c r="V13" s="1"/>
      <c r="W13" s="1"/>
      <c r="X13" s="1"/>
    </row>
    <row r="14" spans="2:34" x14ac:dyDescent="0.25">
      <c r="B14" s="32">
        <v>2.5000000000000001E-3</v>
      </c>
      <c r="C14" s="1">
        <v>6000</v>
      </c>
      <c r="D14" s="32">
        <v>0</v>
      </c>
      <c r="E14" s="1">
        <v>6000</v>
      </c>
      <c r="F14" s="32" t="e">
        <v>#N/A</v>
      </c>
      <c r="G14" s="1">
        <v>6000</v>
      </c>
      <c r="H14" s="3">
        <v>6.3500000000000001E-2</v>
      </c>
      <c r="I14" s="2">
        <f t="shared" si="0"/>
        <v>413.68543759010174</v>
      </c>
      <c r="J14" s="3">
        <f t="shared" si="3"/>
        <v>0</v>
      </c>
      <c r="K14" s="2">
        <f t="shared" si="1"/>
        <v>413.68543759010174</v>
      </c>
      <c r="L14" s="3" t="e">
        <f t="shared" si="3"/>
        <v>#N/A</v>
      </c>
      <c r="M14" s="32" t="e">
        <v>#N/A</v>
      </c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</row>
    <row r="15" spans="2:34" x14ac:dyDescent="0.25">
      <c r="B15" s="32">
        <v>1.0294117647058822E-3</v>
      </c>
      <c r="C15" s="1">
        <v>8000</v>
      </c>
      <c r="D15" s="32" t="e">
        <v>#N/A</v>
      </c>
      <c r="E15" s="1">
        <v>8000</v>
      </c>
      <c r="F15" s="32" t="e">
        <v>#N/A</v>
      </c>
      <c r="G15" s="1">
        <v>8000</v>
      </c>
      <c r="H15" s="3">
        <v>2.6147058823529405E-2</v>
      </c>
      <c r="I15" s="2">
        <f t="shared" si="0"/>
        <v>551.58058345346888</v>
      </c>
      <c r="J15" s="3" t="e">
        <f t="shared" si="3"/>
        <v>#N/A</v>
      </c>
      <c r="K15" s="32" t="e">
        <v>#N/A</v>
      </c>
      <c r="L15" s="3" t="e">
        <f t="shared" si="3"/>
        <v>#N/A</v>
      </c>
      <c r="M15" s="32" t="e">
        <v>#N/A</v>
      </c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</row>
    <row r="16" spans="2:34" x14ac:dyDescent="0.25">
      <c r="B16" s="32">
        <v>0</v>
      </c>
      <c r="C16" s="1">
        <v>10000</v>
      </c>
      <c r="D16" s="32" t="e">
        <v>#N/A</v>
      </c>
      <c r="E16" s="1">
        <v>10000</v>
      </c>
      <c r="F16" s="32" t="e">
        <v>#N/A</v>
      </c>
      <c r="G16" s="1">
        <v>10000</v>
      </c>
      <c r="H16" s="3">
        <v>0</v>
      </c>
      <c r="I16" s="2">
        <f t="shared" si="0"/>
        <v>689.47572931683612</v>
      </c>
      <c r="J16" s="3" t="e">
        <f t="shared" si="3"/>
        <v>#N/A</v>
      </c>
      <c r="K16" s="32" t="e">
        <v>#N/A</v>
      </c>
      <c r="L16" s="3" t="e">
        <f t="shared" si="3"/>
        <v>#N/A</v>
      </c>
      <c r="M16" s="32" t="e">
        <v>#N/A</v>
      </c>
      <c r="U16" s="1"/>
      <c r="V16" s="1"/>
      <c r="W16" s="1"/>
      <c r="X16" s="1"/>
    </row>
    <row r="17" spans="24:34" x14ac:dyDescent="0.25"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</row>
    <row r="18" spans="24:34" x14ac:dyDescent="0.25"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</row>
  </sheetData>
  <phoneticPr fontId="18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8F52D-AD4C-43DA-8DF6-F1647B7AB4BD}">
  <sheetPr codeName="Foglio3"/>
  <dimension ref="B2:R14"/>
  <sheetViews>
    <sheetView workbookViewId="0"/>
  </sheetViews>
  <sheetFormatPr defaultRowHeight="15" x14ac:dyDescent="0.25"/>
  <cols>
    <col min="1" max="1" width="2.7109375" customWidth="1"/>
    <col min="7" max="7" width="2.7109375" customWidth="1"/>
    <col min="8" max="8" width="10.42578125" bestFit="1" customWidth="1"/>
    <col min="9" max="9" width="10.7109375" customWidth="1"/>
    <col min="17" max="17" width="2.7109375" customWidth="1"/>
    <col min="18" max="18" width="10.85546875" bestFit="1" customWidth="1"/>
  </cols>
  <sheetData>
    <row r="2" spans="2:18" x14ac:dyDescent="0.25">
      <c r="H2" s="75" t="s">
        <v>26</v>
      </c>
      <c r="I2" s="76"/>
      <c r="J2" s="76"/>
      <c r="K2" s="76"/>
      <c r="L2" s="76"/>
      <c r="M2" s="76"/>
      <c r="N2" s="76"/>
      <c r="O2" s="76"/>
      <c r="P2" s="77"/>
      <c r="R2" s="23" t="s">
        <v>16</v>
      </c>
    </row>
    <row r="3" spans="2:18" x14ac:dyDescent="0.25">
      <c r="B3" t="s">
        <v>27</v>
      </c>
      <c r="C3" s="7">
        <f>I7/I4</f>
        <v>0.96595135908440621</v>
      </c>
      <c r="H3" s="25" t="s">
        <v>28</v>
      </c>
      <c r="I3" s="31">
        <v>0.2</v>
      </c>
      <c r="J3" s="79" t="s">
        <v>29</v>
      </c>
      <c r="K3" s="80"/>
      <c r="L3" s="80"/>
      <c r="M3" s="80"/>
      <c r="N3" s="80"/>
      <c r="O3" s="80"/>
      <c r="P3" s="81"/>
      <c r="R3" s="24" t="s">
        <v>17</v>
      </c>
    </row>
    <row r="4" spans="2:18" ht="18" x14ac:dyDescent="0.25">
      <c r="B4" t="s">
        <v>30</v>
      </c>
      <c r="C4" s="7">
        <f>(I4-I7)/I4</f>
        <v>3.4048640915593766E-2</v>
      </c>
      <c r="H4" s="25" t="s">
        <v>31</v>
      </c>
      <c r="I4" s="29">
        <v>6.99</v>
      </c>
      <c r="J4" s="79" t="s">
        <v>32</v>
      </c>
      <c r="K4" s="80"/>
      <c r="L4" s="80"/>
      <c r="M4" s="80"/>
      <c r="N4" s="80"/>
      <c r="O4" s="80"/>
      <c r="P4" s="81"/>
      <c r="R4" s="25" t="s">
        <v>18</v>
      </c>
    </row>
    <row r="5" spans="2:18" ht="18" x14ac:dyDescent="0.25">
      <c r="H5" s="25" t="s">
        <v>33</v>
      </c>
      <c r="I5" s="29">
        <v>5.8</v>
      </c>
      <c r="J5" s="79" t="s">
        <v>34</v>
      </c>
      <c r="K5" s="80"/>
      <c r="L5" s="80"/>
      <c r="M5" s="80"/>
      <c r="N5" s="80"/>
      <c r="O5" s="80"/>
      <c r="P5" s="81"/>
      <c r="R5" s="26" t="s">
        <v>19</v>
      </c>
    </row>
    <row r="6" spans="2:18" ht="18" x14ac:dyDescent="0.25">
      <c r="H6" s="25" t="s">
        <v>35</v>
      </c>
      <c r="I6" s="30">
        <f>I4-I5</f>
        <v>1.1900000000000004</v>
      </c>
      <c r="J6" s="79" t="s">
        <v>36</v>
      </c>
      <c r="K6" s="80"/>
      <c r="L6" s="80"/>
      <c r="M6" s="80"/>
      <c r="N6" s="80"/>
      <c r="O6" s="80"/>
      <c r="P6" s="81"/>
      <c r="R6" s="27" t="s">
        <v>20</v>
      </c>
    </row>
    <row r="7" spans="2:18" ht="18" x14ac:dyDescent="0.25">
      <c r="H7" s="25" t="s">
        <v>37</v>
      </c>
      <c r="I7" s="30">
        <f>I4-I3*(I4-I5)</f>
        <v>6.7519999999999998</v>
      </c>
      <c r="J7" s="79" t="s">
        <v>38</v>
      </c>
      <c r="K7" s="80"/>
      <c r="L7" s="80"/>
      <c r="M7" s="80"/>
      <c r="N7" s="80"/>
      <c r="O7" s="80"/>
      <c r="P7" s="81"/>
    </row>
    <row r="8" spans="2:18" ht="18" x14ac:dyDescent="0.25">
      <c r="H8" s="25" t="s">
        <v>39</v>
      </c>
      <c r="I8" s="30">
        <f>I7-I5</f>
        <v>0.95199999999999996</v>
      </c>
      <c r="J8" s="79" t="s">
        <v>40</v>
      </c>
      <c r="K8" s="80"/>
      <c r="L8" s="80"/>
      <c r="M8" s="80"/>
      <c r="N8" s="80"/>
      <c r="O8" s="80"/>
      <c r="P8" s="81"/>
    </row>
    <row r="9" spans="2:18" x14ac:dyDescent="0.25">
      <c r="H9" s="34" t="s">
        <v>41</v>
      </c>
      <c r="I9" s="31" t="s">
        <v>42</v>
      </c>
      <c r="J9" s="79" t="s">
        <v>43</v>
      </c>
      <c r="K9" s="80"/>
      <c r="L9" s="80"/>
      <c r="M9" s="80"/>
      <c r="N9" s="80"/>
      <c r="O9" s="80"/>
      <c r="P9" s="81"/>
    </row>
    <row r="10" spans="2:18" ht="18" x14ac:dyDescent="0.25">
      <c r="H10" s="25" t="s">
        <v>44</v>
      </c>
      <c r="I10" s="29">
        <v>0.45</v>
      </c>
      <c r="J10" s="79" t="s">
        <v>54</v>
      </c>
      <c r="K10" s="80"/>
      <c r="L10" s="80"/>
      <c r="M10" s="80"/>
      <c r="N10" s="80"/>
      <c r="O10" s="80"/>
      <c r="P10" s="81"/>
    </row>
    <row r="11" spans="2:18" ht="18" x14ac:dyDescent="0.25">
      <c r="H11" s="25" t="s">
        <v>45</v>
      </c>
      <c r="I11" s="29">
        <v>0.69</v>
      </c>
      <c r="J11" s="79" t="s">
        <v>55</v>
      </c>
      <c r="K11" s="80"/>
      <c r="L11" s="80"/>
      <c r="M11" s="80"/>
      <c r="N11" s="80"/>
      <c r="O11" s="80"/>
      <c r="P11" s="81"/>
    </row>
    <row r="12" spans="2:18" x14ac:dyDescent="0.25">
      <c r="H12" s="25" t="s">
        <v>46</v>
      </c>
      <c r="I12" s="30">
        <f>IF(I9&lt;&gt;"axial",1.5,1.6)</f>
        <v>1.6</v>
      </c>
      <c r="J12" s="79" t="s">
        <v>47</v>
      </c>
      <c r="K12" s="80"/>
      <c r="L12" s="80"/>
      <c r="M12" s="80"/>
      <c r="N12" s="80"/>
      <c r="O12" s="80"/>
      <c r="P12" s="81"/>
    </row>
    <row r="13" spans="2:18" ht="18" x14ac:dyDescent="0.25">
      <c r="H13" s="25" t="s">
        <v>52</v>
      </c>
      <c r="I13" s="26">
        <f>I8/I10</f>
        <v>2.1155555555555554</v>
      </c>
      <c r="J13" s="79" t="s">
        <v>48</v>
      </c>
      <c r="K13" s="80"/>
      <c r="L13" s="80"/>
      <c r="M13" s="80"/>
      <c r="N13" s="80"/>
      <c r="O13" s="80"/>
      <c r="P13" s="81"/>
    </row>
    <row r="14" spans="2:18" ht="18" x14ac:dyDescent="0.25">
      <c r="H14" s="25" t="s">
        <v>53</v>
      </c>
      <c r="I14" s="26">
        <f>I8/I11</f>
        <v>1.3797101449275362</v>
      </c>
      <c r="J14" s="79" t="s">
        <v>49</v>
      </c>
      <c r="K14" s="80"/>
      <c r="L14" s="80"/>
      <c r="M14" s="80"/>
      <c r="N14" s="80"/>
      <c r="O14" s="80"/>
      <c r="P14" s="81"/>
    </row>
  </sheetData>
  <mergeCells count="13">
    <mergeCell ref="J13:P13"/>
    <mergeCell ref="J14:P14"/>
    <mergeCell ref="J9:P9"/>
    <mergeCell ref="J10:P10"/>
    <mergeCell ref="J11:P11"/>
    <mergeCell ref="J12:P12"/>
    <mergeCell ref="H2:P2"/>
    <mergeCell ref="J3:P3"/>
    <mergeCell ref="J4:P4"/>
    <mergeCell ref="J8:P8"/>
    <mergeCell ref="J7:P7"/>
    <mergeCell ref="J6:P6"/>
    <mergeCell ref="J5:P5"/>
  </mergeCells>
  <conditionalFormatting sqref="I13:I14">
    <cfRule type="iconSet" priority="1">
      <iconSet iconSet="3Symbols">
        <cfvo type="percent" val="0"/>
        <cfvo type="formula" val="$I$12"/>
        <cfvo type="formula" val="1.1*$I$12"/>
      </iconSet>
    </cfRule>
  </conditionalFormatting>
  <dataValidations count="1">
    <dataValidation type="list" allowBlank="1" showInputMessage="1" showErrorMessage="1" sqref="I9" xr:uid="{357E0562-74C0-4952-9573-0A7EF05BE26D}">
      <formula1>"piston,rod,axial"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FF5BB9810E8454BA2B38D00B6D18848" ma:contentTypeVersion="3" ma:contentTypeDescription="Creare un nuovo documento." ma:contentTypeScope="" ma:versionID="85968c8a5930af966cb491cc87274750">
  <xsd:schema xmlns:xsd="http://www.w3.org/2001/XMLSchema" xmlns:xs="http://www.w3.org/2001/XMLSchema" xmlns:p="http://schemas.microsoft.com/office/2006/metadata/properties" xmlns:ns2="427a1db5-2437-44f3-a84b-464aead4a71a" targetNamespace="http://schemas.microsoft.com/office/2006/metadata/properties" ma:root="true" ma:fieldsID="d822db9e2d05bc620d08fbffa4bfffa8" ns2:_="">
    <xsd:import namespace="427a1db5-2437-44f3-a84b-464aead4a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7a1db5-2437-44f3-a84b-464aead4a7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996DF3F-A504-4965-B831-7B9D19A7EA29}">
  <ds:schemaRefs>
    <ds:schemaRef ds:uri="http://schemas.microsoft.com/office/2006/metadata/properties"/>
    <ds:schemaRef ds:uri="http://schemas.microsoft.com/office/infopath/2007/PartnerControls"/>
    <ds:schemaRef ds:uri="2710bc8b-17c9-4e36-a567-5a8748d28b44"/>
    <ds:schemaRef ds:uri="f16ae08e-32aa-43c4-955b-813e13c9303e"/>
  </ds:schemaRefs>
</ds:datastoreItem>
</file>

<file path=customXml/itemProps2.xml><?xml version="1.0" encoding="utf-8"?>
<ds:datastoreItem xmlns:ds="http://schemas.openxmlformats.org/officeDocument/2006/customXml" ds:itemID="{931A43D9-18F9-4AAC-92F5-5E9B15F6BC6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C8D88D4-7787-412D-91D4-D10B1723310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1</vt:i4>
      </vt:variant>
    </vt:vector>
  </HeadingPairs>
  <TitlesOfParts>
    <vt:vector size="5" baseType="lpstr">
      <vt:lpstr>cover</vt:lpstr>
      <vt:lpstr>limits for extrusion</vt:lpstr>
      <vt:lpstr>dati</vt:lpstr>
      <vt:lpstr>compression set</vt:lpstr>
      <vt:lpstr>cover!Area_stampa</vt:lpstr>
    </vt:vector>
  </TitlesOfParts>
  <Manager/>
  <Company>Trillium Flow Technologies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Fabrizio Cademartori</dc:creator>
  <cp:keywords/>
  <dc:description/>
  <cp:lastModifiedBy>Carmine Delli Quadri</cp:lastModifiedBy>
  <cp:revision/>
  <dcterms:created xsi:type="dcterms:W3CDTF">2024-08-05T11:46:30Z</dcterms:created>
  <dcterms:modified xsi:type="dcterms:W3CDTF">2025-02-03T08:58:50Z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0x0101003FF5BB9810E8454BA2B38D00B6D18848</vt:lpwstr>
  </property>
  <property fmtid="{D5CDD505-2E9C-101B-9397-08002B2CF9AE}" pid="3" name="MediaServiceImageTags">
    <vt:lpwstr/>
  </property>
</Properties>
</file>