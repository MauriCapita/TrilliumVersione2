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00000000-0000-0000-0000-000000000000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400090\Downloads\"/>
    </mc:Choice>
  </mc:AlternateContent>
  <xr:revisionPtr revIDLastSave="0" documentId="13_ncr:1_{47FC9F46-55E1-4425-B7F1-04B7665C8DD7}" xr6:coauthVersionLast="47" xr6:coauthVersionMax="47" xr10:uidLastSave="{00000000-0000-0000-0000-000000000000}"/>
  <bookViews>
    <workbookView xWindow="-120" yWindow="-120" windowWidth="29040" windowHeight="15840" activeTab="1" xr2:uid="{0E2D46F3-78B3-4CE7-B1E3-EFCC0B8E12B1}"/>
  </bookViews>
  <sheets>
    <sheet name="content" sheetId="2" r:id="rId1"/>
    <sheet name="shaft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H9" i="1"/>
  <c r="H4" i="1"/>
  <c r="H3" i="1"/>
</calcChain>
</file>

<file path=xl/sharedStrings.xml><?xml version="1.0" encoding="utf-8"?>
<sst xmlns="http://schemas.openxmlformats.org/spreadsheetml/2006/main" count="58" uniqueCount="43">
  <si>
    <t>Lateral analysis - Level 1 - First lateral critical speed calculator</t>
  </si>
  <si>
    <t>Revision</t>
  </si>
  <si>
    <t>By</t>
  </si>
  <si>
    <t>Approved</t>
  </si>
  <si>
    <t>Date</t>
  </si>
  <si>
    <t>Detail of revision</t>
  </si>
  <si>
    <t>draft</t>
  </si>
  <si>
    <t>Fabrizio Cademartori</t>
  </si>
  <si>
    <t>shaft material</t>
  </si>
  <si>
    <t>node ID</t>
  </si>
  <si>
    <t>s [mm]</t>
  </si>
  <si>
    <t>δ [mm]</t>
  </si>
  <si>
    <t>E[GPa]</t>
  </si>
  <si>
    <t>first bearing</t>
  </si>
  <si>
    <t>bearing position</t>
  </si>
  <si>
    <r>
      <rPr>
        <b/>
        <sz val="11"/>
        <color theme="0"/>
        <rFont val="Calibri"/>
        <family val="2"/>
      </rPr>
      <t xml:space="preserve">ρ </t>
    </r>
    <r>
      <rPr>
        <b/>
        <sz val="11"/>
        <color theme="0"/>
        <rFont val="Calibri"/>
        <family val="2"/>
        <scheme val="minor"/>
      </rPr>
      <t>[kg/m³]</t>
    </r>
  </si>
  <si>
    <t>second bearing</t>
  </si>
  <si>
    <t>concentrated mass</t>
  </si>
  <si>
    <t>Shaft</t>
  </si>
  <si>
    <t>graph</t>
  </si>
  <si>
    <t>deflection</t>
  </si>
  <si>
    <t>element ID</t>
  </si>
  <si>
    <t>L [mm]</t>
  </si>
  <si>
    <t>d [mm]</t>
  </si>
  <si>
    <t>Node ID [-]</t>
  </si>
  <si>
    <t>M [kg]</t>
  </si>
  <si>
    <t>R+ [mm]</t>
  </si>
  <si>
    <t>R- [mm]</t>
  </si>
  <si>
    <t>axes [mm]</t>
  </si>
  <si>
    <t>Shaft weight only</t>
  </si>
  <si>
    <t>Rayleigh's equation</t>
  </si>
  <si>
    <t>Legenda</t>
  </si>
  <si>
    <t>Reaction force 1  [N]</t>
  </si>
  <si>
    <t>First critical speed (massless shaft) [rpm]</t>
  </si>
  <si>
    <t>input data</t>
  </si>
  <si>
    <t>Reaction force 2  [N]</t>
  </si>
  <si>
    <t>Dunkerly's equation</t>
  </si>
  <si>
    <t>descriptor</t>
  </si>
  <si>
    <t>Concentrated masses</t>
  </si>
  <si>
    <t>calculated formula</t>
  </si>
  <si>
    <t>First critical speed of the shaft [rpm]</t>
  </si>
  <si>
    <t>Shaft and concentrated masses</t>
  </si>
  <si>
    <t>First critical speed [rpm]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</si>
</sst>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i/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0" tint="-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0"/>
      <name val="Calibri"/>
      <family val="2"/>
    </font>
    <font>
      <b/>
      <sz val="18"/>
      <color theme="3"/>
      <name val="Calibri Light"/>
      <family val="2"/>
      <scheme val="maj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theme="0" tint="-0.14999847407452621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12" fillId="0" borderId="0" xfId="1" applyFont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0" xfId="0" applyFill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8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2" fontId="10" fillId="0" borderId="3" xfId="0" applyNumberFormat="1" applyFont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2" fontId="5" fillId="0" borderId="3" xfId="0" applyNumberFormat="1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2" xfId="0" applyFont="1" applyFill="1" applyBorder="1" applyAlignment="1">
      <alignment horizontal="center"/>
    </xf>
  </cellXfs>
  <cellStyles count="2">
    <cellStyle name="Normal" xfId="0" builtinId="0"/>
    <cellStyle name="Title" xfId="1" builtinId="15"/>
  </cellStyles>
  <dxfs count="21"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i/>
      </font>
      <alignment horizontal="center" vertical="bottom" textRotation="0" wrapText="0" indent="0" justifyLastLine="0" shrinkToFit="0" readingOrder="0"/>
    </dxf>
    <dxf>
      <font>
        <i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i/>
      </font>
      <alignment horizontal="center" vertical="bottom" textRotation="0" wrapText="0" indent="0" justifyLastLine="0" shrinkToFit="0" readingOrder="0"/>
    </dxf>
    <dxf>
      <font>
        <i/>
      </font>
      <alignment horizontal="center" vertical="bottom" textRotation="0" wrapText="0" indent="0" justifyLastLine="0" shrinkToFit="0" readingOrder="0"/>
    </dxf>
    <dxf>
      <font>
        <i/>
      </font>
      <alignment horizontal="center" vertical="bottom" textRotation="0" wrapText="0" indent="0" justifyLastLine="0" shrinkToFit="0" readingOrder="0"/>
    </dxf>
    <dxf>
      <font>
        <i/>
      </font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236811023622046E-2"/>
          <c:y val="0.14059556191839656"/>
          <c:w val="0.93716318897637796"/>
          <c:h val="0.79273777141493673"/>
        </c:manualLayout>
      </c:layout>
      <c:scatterChart>
        <c:scatterStyle val="lineMarker"/>
        <c:varyColors val="0"/>
        <c:ser>
          <c:idx val="0"/>
          <c:order val="0"/>
          <c:tx>
            <c:v>upper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shaft!$L$8:$L$79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100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300</c:v>
                </c:pt>
                <c:pt idx="8">
                  <c:v>400</c:v>
                </c:pt>
                <c:pt idx="9">
                  <c:v>400</c:v>
                </c:pt>
                <c:pt idx="10">
                  <c:v>500</c:v>
                </c:pt>
                <c:pt idx="11">
                  <c:v>500</c:v>
                </c:pt>
                <c:pt idx="12">
                  <c:v>700</c:v>
                </c:pt>
                <c:pt idx="13">
                  <c:v>700</c:v>
                </c:pt>
                <c:pt idx="14">
                  <c:v>900</c:v>
                </c:pt>
                <c:pt idx="15">
                  <c:v>900</c:v>
                </c:pt>
                <c:pt idx="16">
                  <c:v>1100</c:v>
                </c:pt>
                <c:pt idx="17">
                  <c:v>1100</c:v>
                </c:pt>
                <c:pt idx="18">
                  <c:v>1300</c:v>
                </c:pt>
                <c:pt idx="19">
                  <c:v>1300</c:v>
                </c:pt>
                <c:pt idx="20">
                  <c:v>1500</c:v>
                </c:pt>
                <c:pt idx="21">
                  <c:v>1500</c:v>
                </c:pt>
                <c:pt idx="22">
                  <c:v>1700</c:v>
                </c:pt>
                <c:pt idx="23">
                  <c:v>1700</c:v>
                </c:pt>
                <c:pt idx="24">
                  <c:v>1900</c:v>
                </c:pt>
                <c:pt idx="25">
                  <c:v>1900</c:v>
                </c:pt>
                <c:pt idx="26">
                  <c:v>2100</c:v>
                </c:pt>
                <c:pt idx="27">
                  <c:v>2100</c:v>
                </c:pt>
                <c:pt idx="28">
                  <c:v>2300</c:v>
                </c:pt>
                <c:pt idx="29">
                  <c:v>2300</c:v>
                </c:pt>
                <c:pt idx="30">
                  <c:v>2500</c:v>
                </c:pt>
                <c:pt idx="31">
                  <c:v>2500</c:v>
                </c:pt>
                <c:pt idx="32">
                  <c:v>2700</c:v>
                </c:pt>
                <c:pt idx="33">
                  <c:v>2700</c:v>
                </c:pt>
                <c:pt idx="34">
                  <c:v>2900</c:v>
                </c:pt>
                <c:pt idx="35">
                  <c:v>2900</c:v>
                </c:pt>
                <c:pt idx="36">
                  <c:v>3100</c:v>
                </c:pt>
                <c:pt idx="37">
                  <c:v>3100</c:v>
                </c:pt>
                <c:pt idx="38">
                  <c:v>3300</c:v>
                </c:pt>
                <c:pt idx="39">
                  <c:v>3300</c:v>
                </c:pt>
                <c:pt idx="40">
                  <c:v>3500</c:v>
                </c:pt>
                <c:pt idx="41">
                  <c:v>3500</c:v>
                </c:pt>
                <c:pt idx="42">
                  <c:v>3700</c:v>
                </c:pt>
                <c:pt idx="43">
                  <c:v>3700</c:v>
                </c:pt>
                <c:pt idx="44">
                  <c:v>3900</c:v>
                </c:pt>
                <c:pt idx="45">
                  <c:v>3900</c:v>
                </c:pt>
                <c:pt idx="46">
                  <c:v>4100</c:v>
                </c:pt>
                <c:pt idx="47">
                  <c:v>4100</c:v>
                </c:pt>
                <c:pt idx="48">
                  <c:v>4300</c:v>
                </c:pt>
                <c:pt idx="49">
                  <c:v>4300</c:v>
                </c:pt>
                <c:pt idx="50">
                  <c:v>4500</c:v>
                </c:pt>
                <c:pt idx="51">
                  <c:v>4500</c:v>
                </c:pt>
                <c:pt idx="52">
                  <c:v>4700</c:v>
                </c:pt>
                <c:pt idx="53">
                  <c:v>4700</c:v>
                </c:pt>
                <c:pt idx="54">
                  <c:v>4900</c:v>
                </c:pt>
                <c:pt idx="55">
                  <c:v>4900</c:v>
                </c:pt>
                <c:pt idx="56">
                  <c:v>5100</c:v>
                </c:pt>
                <c:pt idx="57">
                  <c:v>5100</c:v>
                </c:pt>
                <c:pt idx="58">
                  <c:v>5300</c:v>
                </c:pt>
                <c:pt idx="59">
                  <c:v>5300</c:v>
                </c:pt>
                <c:pt idx="60">
                  <c:v>5500</c:v>
                </c:pt>
                <c:pt idx="61">
                  <c:v>5500</c:v>
                </c:pt>
                <c:pt idx="62">
                  <c:v>5600</c:v>
                </c:pt>
                <c:pt idx="63">
                  <c:v>5600</c:v>
                </c:pt>
                <c:pt idx="64">
                  <c:v>5700</c:v>
                </c:pt>
                <c:pt idx="65">
                  <c:v>5700</c:v>
                </c:pt>
                <c:pt idx="66">
                  <c:v>5800</c:v>
                </c:pt>
                <c:pt idx="67">
                  <c:v>5800</c:v>
                </c:pt>
                <c:pt idx="68">
                  <c:v>5900</c:v>
                </c:pt>
                <c:pt idx="69">
                  <c:v>5900</c:v>
                </c:pt>
                <c:pt idx="70">
                  <c:v>6000</c:v>
                </c:pt>
                <c:pt idx="71">
                  <c:v>6000</c:v>
                </c:pt>
              </c:numCache>
            </c:numRef>
          </c:xVal>
          <c:yVal>
            <c:numRef>
              <c:f>shaft!$M$8:$M$79</c:f>
              <c:numCache>
                <c:formatCode>General</c:formatCode>
                <c:ptCount val="72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50</c:v>
                </c:pt>
                <c:pt idx="66">
                  <c:v>50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50</c:v>
                </c:pt>
                <c:pt idx="7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8C-4810-9EE2-9A486064F0D1}"/>
            </c:ext>
          </c:extLst>
        </c:ser>
        <c:ser>
          <c:idx val="1"/>
          <c:order val="1"/>
          <c:tx>
            <c:v>lower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shaft!$L$8:$L$79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100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300</c:v>
                </c:pt>
                <c:pt idx="8">
                  <c:v>400</c:v>
                </c:pt>
                <c:pt idx="9">
                  <c:v>400</c:v>
                </c:pt>
                <c:pt idx="10">
                  <c:v>500</c:v>
                </c:pt>
                <c:pt idx="11">
                  <c:v>500</c:v>
                </c:pt>
                <c:pt idx="12">
                  <c:v>700</c:v>
                </c:pt>
                <c:pt idx="13">
                  <c:v>700</c:v>
                </c:pt>
                <c:pt idx="14">
                  <c:v>900</c:v>
                </c:pt>
                <c:pt idx="15">
                  <c:v>900</c:v>
                </c:pt>
                <c:pt idx="16">
                  <c:v>1100</c:v>
                </c:pt>
                <c:pt idx="17">
                  <c:v>1100</c:v>
                </c:pt>
                <c:pt idx="18">
                  <c:v>1300</c:v>
                </c:pt>
                <c:pt idx="19">
                  <c:v>1300</c:v>
                </c:pt>
                <c:pt idx="20">
                  <c:v>1500</c:v>
                </c:pt>
                <c:pt idx="21">
                  <c:v>1500</c:v>
                </c:pt>
                <c:pt idx="22">
                  <c:v>1700</c:v>
                </c:pt>
                <c:pt idx="23">
                  <c:v>1700</c:v>
                </c:pt>
                <c:pt idx="24">
                  <c:v>1900</c:v>
                </c:pt>
                <c:pt idx="25">
                  <c:v>1900</c:v>
                </c:pt>
                <c:pt idx="26">
                  <c:v>2100</c:v>
                </c:pt>
                <c:pt idx="27">
                  <c:v>2100</c:v>
                </c:pt>
                <c:pt idx="28">
                  <c:v>2300</c:v>
                </c:pt>
                <c:pt idx="29">
                  <c:v>2300</c:v>
                </c:pt>
                <c:pt idx="30">
                  <c:v>2500</c:v>
                </c:pt>
                <c:pt idx="31">
                  <c:v>2500</c:v>
                </c:pt>
                <c:pt idx="32">
                  <c:v>2700</c:v>
                </c:pt>
                <c:pt idx="33">
                  <c:v>2700</c:v>
                </c:pt>
                <c:pt idx="34">
                  <c:v>2900</c:v>
                </c:pt>
                <c:pt idx="35">
                  <c:v>2900</c:v>
                </c:pt>
                <c:pt idx="36">
                  <c:v>3100</c:v>
                </c:pt>
                <c:pt idx="37">
                  <c:v>3100</c:v>
                </c:pt>
                <c:pt idx="38">
                  <c:v>3300</c:v>
                </c:pt>
                <c:pt idx="39">
                  <c:v>3300</c:v>
                </c:pt>
                <c:pt idx="40">
                  <c:v>3500</c:v>
                </c:pt>
                <c:pt idx="41">
                  <c:v>3500</c:v>
                </c:pt>
                <c:pt idx="42">
                  <c:v>3700</c:v>
                </c:pt>
                <c:pt idx="43">
                  <c:v>3700</c:v>
                </c:pt>
                <c:pt idx="44">
                  <c:v>3900</c:v>
                </c:pt>
                <c:pt idx="45">
                  <c:v>3900</c:v>
                </c:pt>
                <c:pt idx="46">
                  <c:v>4100</c:v>
                </c:pt>
                <c:pt idx="47">
                  <c:v>4100</c:v>
                </c:pt>
                <c:pt idx="48">
                  <c:v>4300</c:v>
                </c:pt>
                <c:pt idx="49">
                  <c:v>4300</c:v>
                </c:pt>
                <c:pt idx="50">
                  <c:v>4500</c:v>
                </c:pt>
                <c:pt idx="51">
                  <c:v>4500</c:v>
                </c:pt>
                <c:pt idx="52">
                  <c:v>4700</c:v>
                </c:pt>
                <c:pt idx="53">
                  <c:v>4700</c:v>
                </c:pt>
                <c:pt idx="54">
                  <c:v>4900</c:v>
                </c:pt>
                <c:pt idx="55">
                  <c:v>4900</c:v>
                </c:pt>
                <c:pt idx="56">
                  <c:v>5100</c:v>
                </c:pt>
                <c:pt idx="57">
                  <c:v>5100</c:v>
                </c:pt>
                <c:pt idx="58">
                  <c:v>5300</c:v>
                </c:pt>
                <c:pt idx="59">
                  <c:v>5300</c:v>
                </c:pt>
                <c:pt idx="60">
                  <c:v>5500</c:v>
                </c:pt>
                <c:pt idx="61">
                  <c:v>5500</c:v>
                </c:pt>
                <c:pt idx="62">
                  <c:v>5600</c:v>
                </c:pt>
                <c:pt idx="63">
                  <c:v>5600</c:v>
                </c:pt>
                <c:pt idx="64">
                  <c:v>5700</c:v>
                </c:pt>
                <c:pt idx="65">
                  <c:v>5700</c:v>
                </c:pt>
                <c:pt idx="66">
                  <c:v>5800</c:v>
                </c:pt>
                <c:pt idx="67">
                  <c:v>5800</c:v>
                </c:pt>
                <c:pt idx="68">
                  <c:v>5900</c:v>
                </c:pt>
                <c:pt idx="69">
                  <c:v>5900</c:v>
                </c:pt>
                <c:pt idx="70">
                  <c:v>6000</c:v>
                </c:pt>
                <c:pt idx="71">
                  <c:v>6000</c:v>
                </c:pt>
              </c:numCache>
            </c:numRef>
          </c:xVal>
          <c:yVal>
            <c:numRef>
              <c:f>shaft!$N$8:$N$79</c:f>
              <c:numCache>
                <c:formatCode>General</c:formatCode>
                <c:ptCount val="72"/>
                <c:pt idx="0">
                  <c:v>0</c:v>
                </c:pt>
                <c:pt idx="1">
                  <c:v>-50</c:v>
                </c:pt>
                <c:pt idx="2">
                  <c:v>-50</c:v>
                </c:pt>
                <c:pt idx="3">
                  <c:v>-50</c:v>
                </c:pt>
                <c:pt idx="4">
                  <c:v>-50</c:v>
                </c:pt>
                <c:pt idx="5">
                  <c:v>-50</c:v>
                </c:pt>
                <c:pt idx="6">
                  <c:v>-50</c:v>
                </c:pt>
                <c:pt idx="7">
                  <c:v>-50</c:v>
                </c:pt>
                <c:pt idx="8">
                  <c:v>-50</c:v>
                </c:pt>
                <c:pt idx="9">
                  <c:v>-50</c:v>
                </c:pt>
                <c:pt idx="10">
                  <c:v>-50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-100</c:v>
                </c:pt>
                <c:pt idx="22">
                  <c:v>-100</c:v>
                </c:pt>
                <c:pt idx="23">
                  <c:v>-100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-150</c:v>
                </c:pt>
                <c:pt idx="32">
                  <c:v>-150</c:v>
                </c:pt>
                <c:pt idx="33">
                  <c:v>-150</c:v>
                </c:pt>
                <c:pt idx="34">
                  <c:v>-150</c:v>
                </c:pt>
                <c:pt idx="35">
                  <c:v>-150</c:v>
                </c:pt>
                <c:pt idx="36">
                  <c:v>-150</c:v>
                </c:pt>
                <c:pt idx="37">
                  <c:v>-150</c:v>
                </c:pt>
                <c:pt idx="38">
                  <c:v>-150</c:v>
                </c:pt>
                <c:pt idx="39">
                  <c:v>-150</c:v>
                </c:pt>
                <c:pt idx="40">
                  <c:v>-150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-50</c:v>
                </c:pt>
                <c:pt idx="62">
                  <c:v>-50</c:v>
                </c:pt>
                <c:pt idx="63">
                  <c:v>-50</c:v>
                </c:pt>
                <c:pt idx="64">
                  <c:v>-50</c:v>
                </c:pt>
                <c:pt idx="65">
                  <c:v>-50</c:v>
                </c:pt>
                <c:pt idx="66">
                  <c:v>-50</c:v>
                </c:pt>
                <c:pt idx="67">
                  <c:v>-50</c:v>
                </c:pt>
                <c:pt idx="68">
                  <c:v>-50</c:v>
                </c:pt>
                <c:pt idx="69">
                  <c:v>-50</c:v>
                </c:pt>
                <c:pt idx="70">
                  <c:v>-50</c:v>
                </c:pt>
                <c:pt idx="7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8C-4810-9EE2-9A486064F0D1}"/>
            </c:ext>
          </c:extLst>
        </c:ser>
        <c:ser>
          <c:idx val="2"/>
          <c:order val="2"/>
          <c:tx>
            <c:v>bearing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4"/>
            <c:spPr>
              <a:solidFill>
                <a:srgbClr val="00B05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shaft!$H$3:$H$4</c:f>
              <c:numCache>
                <c:formatCode>General</c:formatCode>
                <c:ptCount val="2"/>
                <c:pt idx="0">
                  <c:v>200</c:v>
                </c:pt>
                <c:pt idx="1">
                  <c:v>5800</c:v>
                </c:pt>
              </c:numCache>
            </c:numRef>
          </c:xVal>
          <c:yVal>
            <c:numRef>
              <c:f>shaft!$I$3:$I$4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8C-4810-9EE2-9A486064F0D1}"/>
            </c:ext>
          </c:extLst>
        </c:ser>
        <c:ser>
          <c:idx val="3"/>
          <c:order val="3"/>
          <c:tx>
            <c:v>masses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chemeClr val="accent4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shaft!$H$8:$H$9</c:f>
              <c:numCache>
                <c:formatCode>General</c:formatCode>
                <c:ptCount val="2"/>
                <c:pt idx="0">
                  <c:v>2500</c:v>
                </c:pt>
                <c:pt idx="1">
                  <c:v>3500</c:v>
                </c:pt>
              </c:numCache>
            </c:numRef>
          </c:xVal>
          <c:yVal>
            <c:numRef>
              <c:f>shaft!$I$8:$I$9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8C-4810-9EE2-9A486064F0D1}"/>
            </c:ext>
          </c:extLst>
        </c:ser>
        <c:ser>
          <c:idx val="4"/>
          <c:order val="4"/>
          <c:tx>
            <c:v>axes</c:v>
          </c:tx>
          <c:spPr>
            <a:ln w="19050" cap="rnd">
              <a:solidFill>
                <a:schemeClr val="tx1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DF487A6-FD2C-437A-8790-FFD9D4E264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72B-4193-993B-A2D53BA2B9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1B28FB-88FC-4E28-9E33-C0E5186F80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2B-4193-993B-A2D53BA2B9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9869EA-C038-434C-836E-6D74A38F42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2B-4193-993B-A2D53BA2B9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67F241-B5B0-4C28-9255-361B1D772E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2B-4193-993B-A2D53BA2B9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336A9B-C78A-400B-84C0-C64D4F9FD8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2B-4193-993B-A2D53BA2B9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C60944-718B-4B08-BF65-8AEEAF3C7E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2B-4193-993B-A2D53BA2B9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D165F0-7FE8-45F2-9514-A616C0C099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972B-4193-993B-A2D53BA2B9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84A1D42-BBE3-449C-85F0-F5AC92BAD6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72B-4193-993B-A2D53BA2B9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260C7B1-BBA9-479C-8D03-F69527573D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972B-4193-993B-A2D53BA2B9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B029C3D-9268-4E08-A880-C9509F8B57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972B-4193-993B-A2D53BA2B9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1C0EA13-F56D-4F3A-8F47-B07502373B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72B-4193-993B-A2D53BA2B9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6D4268-118C-45EB-A63C-7E161A0982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972B-4193-993B-A2D53BA2B97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5DEF1E9-05A9-4F4C-B79E-7473819515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972B-4193-993B-A2D53BA2B97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ABE9E7-AAB1-4FB4-8932-EB42C352F0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972B-4193-993B-A2D53BA2B97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CF0F739-1235-4349-A5CC-007B91C839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972B-4193-993B-A2D53BA2B97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9068AF-83F9-4C4C-A0E8-62AD4FB176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972B-4193-993B-A2D53BA2B97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328EA2-EE6A-4033-8A3E-6902FC8A6C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972B-4193-993B-A2D53BA2B97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DEAD23A-F28E-42DB-8687-755A3E1D1E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972B-4193-993B-A2D53BA2B97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55DEE93-F81C-4D69-BDCF-85890D01F0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972B-4193-993B-A2D53BA2B97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1BEDDBD-6AA3-4CBB-BAE1-8B7A256DA4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972B-4193-993B-A2D53BA2B97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2F2CDF7-5D77-41E3-8F07-67938D112B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972B-4193-993B-A2D53BA2B97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140A454-4F16-4655-BC99-A92E1AA195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972B-4193-993B-A2D53BA2B97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E9769D-5762-4273-A6E2-B95707BC53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972B-4193-993B-A2D53BA2B97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16BAC49-83F2-47B9-8DE2-27F7A59B64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972B-4193-993B-A2D53BA2B97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8A607F3-32FC-4C5E-8507-98DB66F6B3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972B-4193-993B-A2D53BA2B97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7B138F-8803-4D10-A60C-49A6579137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972B-4193-993B-A2D53BA2B97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EF5DEC-D5DB-4FD9-B48E-7F7476725F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972B-4193-993B-A2D53BA2B97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FA74241-C398-4C19-A46D-253D51F9D3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972B-4193-993B-A2D53BA2B97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97BECAA-3895-44F7-93E4-A3E080DF11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972B-4193-993B-A2D53BA2B97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717E6A3-BCD0-4115-89FE-025FFE57CC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972B-4193-993B-A2D53BA2B97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2CBEDFD-91AF-41E6-B958-E5737C7C12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972B-4193-993B-A2D53BA2B97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4711AE-28DD-495F-8CCB-1F5ACF1F06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972B-4193-993B-A2D53BA2B97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B1D96A-DD53-49D1-AB77-7861384EC5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972B-4193-993B-A2D53BA2B97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1AAF4B2-0B2D-4425-8AF9-8FD5B48600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972B-4193-993B-A2D53BA2B97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E70FA32-0FFA-4AF1-A4D2-5A2E04F06B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972B-4193-993B-A2D53BA2B97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E0B607C-6497-4214-A8AD-3520206E27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972B-4193-993B-A2D53BA2B97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198D1D-40F1-4D9E-B755-80A264F76C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972B-4193-993B-A2D53BA2B97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B9CBB4E-CDE9-4783-871D-F5D8BB8C00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972B-4193-993B-A2D53BA2B97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D513174-8C31-44F2-B2B2-7C4B9FACA4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972B-4193-993B-A2D53BA2B97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F639A2E-4004-45D6-8055-0410C32B13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972B-4193-993B-A2D53BA2B97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26A09E7-DB2A-4070-B0E5-E6946BCF13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972B-4193-993B-A2D53BA2B97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98AC9D1-C52A-4693-9322-6E99568CFD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972B-4193-993B-A2D53BA2B97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ED960B0-B53B-4ACB-9193-11F3922532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972B-4193-993B-A2D53BA2B97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EFF3FF7-A2A2-44D2-B9C4-5D52567939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972B-4193-993B-A2D53BA2B97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2CAF1B-81AA-4658-83C5-3D4C7AD27E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972B-4193-993B-A2D53BA2B97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FED37A2-A22F-46EF-8142-AAA8801998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972B-4193-993B-A2D53BA2B97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47093EA-9DBD-4123-BE51-EA7ED9003E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972B-4193-993B-A2D53BA2B97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008B433-2A16-4E33-8C51-2AB003FA8A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972B-4193-993B-A2D53BA2B97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63C143-0E0C-44A9-86A0-0E110905DB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972B-4193-993B-A2D53BA2B97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4F5EB38-57C5-48A5-8ADA-FB3FB63EA2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972B-4193-993B-A2D53BA2B97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7AF8F56-76A6-4232-856F-2F98E90D50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972B-4193-993B-A2D53BA2B97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A9E42CC-9A92-458C-88AA-C9A821394B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972B-4193-993B-A2D53BA2B97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EE6609E-A349-4B11-89DC-8CC064276F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972B-4193-993B-A2D53BA2B97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B50CCA-89D5-41A7-9528-B50D36E90C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972B-4193-993B-A2D53BA2B97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122E45-C97E-4C87-959B-B9389CD3F4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972B-4193-993B-A2D53BA2B97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7487541-4803-4207-88F9-48E4DFAB69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972B-4193-993B-A2D53BA2B97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FB0B43C-4639-4F1D-B69C-2E2B79CC48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972B-4193-993B-A2D53BA2B97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3BACEC5-FE81-402F-80B6-54D1443AF0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972B-4193-993B-A2D53BA2B97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D2C6E00-051C-412C-A64C-078066EFD4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972B-4193-993B-A2D53BA2B97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7C7BDA-4261-44FB-9B67-E398842504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972B-4193-993B-A2D53BA2B97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B84386-0ACE-4AC4-9A9F-D58F387FBE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972B-4193-993B-A2D53BA2B97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808C4C-53F4-4CFD-9EB3-38C033B365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972B-4193-993B-A2D53BA2B97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5CBD16A-7947-4FD5-BC07-36F263BA98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972B-4193-993B-A2D53BA2B97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C8F04F-0273-459A-93F7-B56DA6B800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972B-4193-993B-A2D53BA2B97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02B96FD-EB4F-4DD3-98FD-76C4293AD3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972B-4193-993B-A2D53BA2B97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221BF5F-F030-4E58-8A54-4C2137321D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1-972B-4193-993B-A2D53BA2B97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4C9281-77F6-4FDC-B93F-F5AC8CFA84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2-972B-4193-993B-A2D53BA2B97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049968E-CAED-49A0-9A30-61521F7033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972B-4193-993B-A2D53BA2B97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2383B83-34CA-4790-80AA-C52C255D70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4-972B-4193-993B-A2D53BA2B97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5F8B76-77D2-44F7-AC65-7DFA637443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5-972B-4193-993B-A2D53BA2B97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1114F94-6639-4F72-AFDF-D2973BEDF7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6-972B-4193-993B-A2D53BA2B97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4E44937-D66B-45F6-9D3A-4A0A29EF4F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72B-4193-993B-A2D53BA2B9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shaft!$L$8:$L$79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100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300</c:v>
                </c:pt>
                <c:pt idx="8">
                  <c:v>400</c:v>
                </c:pt>
                <c:pt idx="9">
                  <c:v>400</c:v>
                </c:pt>
                <c:pt idx="10">
                  <c:v>500</c:v>
                </c:pt>
                <c:pt idx="11">
                  <c:v>500</c:v>
                </c:pt>
                <c:pt idx="12">
                  <c:v>700</c:v>
                </c:pt>
                <c:pt idx="13">
                  <c:v>700</c:v>
                </c:pt>
                <c:pt idx="14">
                  <c:v>900</c:v>
                </c:pt>
                <c:pt idx="15">
                  <c:v>900</c:v>
                </c:pt>
                <c:pt idx="16">
                  <c:v>1100</c:v>
                </c:pt>
                <c:pt idx="17">
                  <c:v>1100</c:v>
                </c:pt>
                <c:pt idx="18">
                  <c:v>1300</c:v>
                </c:pt>
                <c:pt idx="19">
                  <c:v>1300</c:v>
                </c:pt>
                <c:pt idx="20">
                  <c:v>1500</c:v>
                </c:pt>
                <c:pt idx="21">
                  <c:v>1500</c:v>
                </c:pt>
                <c:pt idx="22">
                  <c:v>1700</c:v>
                </c:pt>
                <c:pt idx="23">
                  <c:v>1700</c:v>
                </c:pt>
                <c:pt idx="24">
                  <c:v>1900</c:v>
                </c:pt>
                <c:pt idx="25">
                  <c:v>1900</c:v>
                </c:pt>
                <c:pt idx="26">
                  <c:v>2100</c:v>
                </c:pt>
                <c:pt idx="27">
                  <c:v>2100</c:v>
                </c:pt>
                <c:pt idx="28">
                  <c:v>2300</c:v>
                </c:pt>
                <c:pt idx="29">
                  <c:v>2300</c:v>
                </c:pt>
                <c:pt idx="30">
                  <c:v>2500</c:v>
                </c:pt>
                <c:pt idx="31">
                  <c:v>2500</c:v>
                </c:pt>
                <c:pt idx="32">
                  <c:v>2700</c:v>
                </c:pt>
                <c:pt idx="33">
                  <c:v>2700</c:v>
                </c:pt>
                <c:pt idx="34">
                  <c:v>2900</c:v>
                </c:pt>
                <c:pt idx="35">
                  <c:v>2900</c:v>
                </c:pt>
                <c:pt idx="36">
                  <c:v>3100</c:v>
                </c:pt>
                <c:pt idx="37">
                  <c:v>3100</c:v>
                </c:pt>
                <c:pt idx="38">
                  <c:v>3300</c:v>
                </c:pt>
                <c:pt idx="39">
                  <c:v>3300</c:v>
                </c:pt>
                <c:pt idx="40">
                  <c:v>3500</c:v>
                </c:pt>
                <c:pt idx="41">
                  <c:v>3500</c:v>
                </c:pt>
                <c:pt idx="42">
                  <c:v>3700</c:v>
                </c:pt>
                <c:pt idx="43">
                  <c:v>3700</c:v>
                </c:pt>
                <c:pt idx="44">
                  <c:v>3900</c:v>
                </c:pt>
                <c:pt idx="45">
                  <c:v>3900</c:v>
                </c:pt>
                <c:pt idx="46">
                  <c:v>4100</c:v>
                </c:pt>
                <c:pt idx="47">
                  <c:v>4100</c:v>
                </c:pt>
                <c:pt idx="48">
                  <c:v>4300</c:v>
                </c:pt>
                <c:pt idx="49">
                  <c:v>4300</c:v>
                </c:pt>
                <c:pt idx="50">
                  <c:v>4500</c:v>
                </c:pt>
                <c:pt idx="51">
                  <c:v>4500</c:v>
                </c:pt>
                <c:pt idx="52">
                  <c:v>4700</c:v>
                </c:pt>
                <c:pt idx="53">
                  <c:v>4700</c:v>
                </c:pt>
                <c:pt idx="54">
                  <c:v>4900</c:v>
                </c:pt>
                <c:pt idx="55">
                  <c:v>4900</c:v>
                </c:pt>
                <c:pt idx="56">
                  <c:v>5100</c:v>
                </c:pt>
                <c:pt idx="57">
                  <c:v>5100</c:v>
                </c:pt>
                <c:pt idx="58">
                  <c:v>5300</c:v>
                </c:pt>
                <c:pt idx="59">
                  <c:v>5300</c:v>
                </c:pt>
                <c:pt idx="60">
                  <c:v>5500</c:v>
                </c:pt>
                <c:pt idx="61">
                  <c:v>5500</c:v>
                </c:pt>
                <c:pt idx="62">
                  <c:v>5600</c:v>
                </c:pt>
                <c:pt idx="63">
                  <c:v>5600</c:v>
                </c:pt>
                <c:pt idx="64">
                  <c:v>5700</c:v>
                </c:pt>
                <c:pt idx="65">
                  <c:v>5700</c:v>
                </c:pt>
                <c:pt idx="66">
                  <c:v>5800</c:v>
                </c:pt>
                <c:pt idx="67">
                  <c:v>5800</c:v>
                </c:pt>
                <c:pt idx="68">
                  <c:v>5900</c:v>
                </c:pt>
                <c:pt idx="69">
                  <c:v>5900</c:v>
                </c:pt>
                <c:pt idx="70">
                  <c:v>6000</c:v>
                </c:pt>
                <c:pt idx="71">
                  <c:v>6000</c:v>
                </c:pt>
              </c:numCache>
            </c:numRef>
          </c:xVal>
          <c:yVal>
            <c:numRef>
              <c:f>shaft!$O$8:$O$79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shaft!$K$8:$K$79</c15:f>
                <c15:dlblRangeCache>
                  <c:ptCount val="72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7</c:v>
                  </c:pt>
                  <c:pt idx="13">
                    <c:v>7</c:v>
                  </c:pt>
                  <c:pt idx="14">
                    <c:v>8</c:v>
                  </c:pt>
                  <c:pt idx="15">
                    <c:v>8</c:v>
                  </c:pt>
                  <c:pt idx="16">
                    <c:v>9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10</c:v>
                  </c:pt>
                  <c:pt idx="20">
                    <c:v>11</c:v>
                  </c:pt>
                  <c:pt idx="21">
                    <c:v>11</c:v>
                  </c:pt>
                  <c:pt idx="22">
                    <c:v>12</c:v>
                  </c:pt>
                  <c:pt idx="23">
                    <c:v>12</c:v>
                  </c:pt>
                  <c:pt idx="24">
                    <c:v>13</c:v>
                  </c:pt>
                  <c:pt idx="25">
                    <c:v>13</c:v>
                  </c:pt>
                  <c:pt idx="26">
                    <c:v>14</c:v>
                  </c:pt>
                  <c:pt idx="27">
                    <c:v>14</c:v>
                  </c:pt>
                  <c:pt idx="28">
                    <c:v>15</c:v>
                  </c:pt>
                  <c:pt idx="29">
                    <c:v>15</c:v>
                  </c:pt>
                  <c:pt idx="30">
                    <c:v>16</c:v>
                  </c:pt>
                  <c:pt idx="31">
                    <c:v>16</c:v>
                  </c:pt>
                  <c:pt idx="32">
                    <c:v>17</c:v>
                  </c:pt>
                  <c:pt idx="33">
                    <c:v>17</c:v>
                  </c:pt>
                  <c:pt idx="34">
                    <c:v>18</c:v>
                  </c:pt>
                  <c:pt idx="35">
                    <c:v>18</c:v>
                  </c:pt>
                  <c:pt idx="36">
                    <c:v>19</c:v>
                  </c:pt>
                  <c:pt idx="37">
                    <c:v>19</c:v>
                  </c:pt>
                  <c:pt idx="38">
                    <c:v>20</c:v>
                  </c:pt>
                  <c:pt idx="39">
                    <c:v>20</c:v>
                  </c:pt>
                  <c:pt idx="40">
                    <c:v>21</c:v>
                  </c:pt>
                  <c:pt idx="41">
                    <c:v>21</c:v>
                  </c:pt>
                  <c:pt idx="42">
                    <c:v>22</c:v>
                  </c:pt>
                  <c:pt idx="43">
                    <c:v>22</c:v>
                  </c:pt>
                  <c:pt idx="44">
                    <c:v>23</c:v>
                  </c:pt>
                  <c:pt idx="45">
                    <c:v>23</c:v>
                  </c:pt>
                  <c:pt idx="46">
                    <c:v>24</c:v>
                  </c:pt>
                  <c:pt idx="47">
                    <c:v>24</c:v>
                  </c:pt>
                  <c:pt idx="48">
                    <c:v>25</c:v>
                  </c:pt>
                  <c:pt idx="49">
                    <c:v>25</c:v>
                  </c:pt>
                  <c:pt idx="50">
                    <c:v>26</c:v>
                  </c:pt>
                  <c:pt idx="51">
                    <c:v>26</c:v>
                  </c:pt>
                  <c:pt idx="52">
                    <c:v>27</c:v>
                  </c:pt>
                  <c:pt idx="53">
                    <c:v>27</c:v>
                  </c:pt>
                  <c:pt idx="54">
                    <c:v>28</c:v>
                  </c:pt>
                  <c:pt idx="55">
                    <c:v>28</c:v>
                  </c:pt>
                  <c:pt idx="56">
                    <c:v>29</c:v>
                  </c:pt>
                  <c:pt idx="57">
                    <c:v>29</c:v>
                  </c:pt>
                  <c:pt idx="58">
                    <c:v>30</c:v>
                  </c:pt>
                  <c:pt idx="59">
                    <c:v>30</c:v>
                  </c:pt>
                  <c:pt idx="60">
                    <c:v>31</c:v>
                  </c:pt>
                  <c:pt idx="61">
                    <c:v>31</c:v>
                  </c:pt>
                  <c:pt idx="62">
                    <c:v>32</c:v>
                  </c:pt>
                  <c:pt idx="63">
                    <c:v>32</c:v>
                  </c:pt>
                  <c:pt idx="64">
                    <c:v>33</c:v>
                  </c:pt>
                  <c:pt idx="65">
                    <c:v>33</c:v>
                  </c:pt>
                  <c:pt idx="66">
                    <c:v>34</c:v>
                  </c:pt>
                  <c:pt idx="67">
                    <c:v>34</c:v>
                  </c:pt>
                  <c:pt idx="68">
                    <c:v>35</c:v>
                  </c:pt>
                  <c:pt idx="69">
                    <c:v>35</c:v>
                  </c:pt>
                  <c:pt idx="70">
                    <c:v>36</c:v>
                  </c:pt>
                  <c:pt idx="71">
                    <c:v>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4D8C-4810-9EE2-9A486064F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48879"/>
        <c:axId val="106380351"/>
      </c:scatterChart>
      <c:valAx>
        <c:axId val="181148879"/>
        <c:scaling>
          <c:orientation val="minMax"/>
          <c:max val="600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80351"/>
        <c:crosses val="max"/>
        <c:crossBetween val="midCat"/>
        <c:majorUnit val="500"/>
        <c:minorUnit val="250"/>
      </c:valAx>
      <c:valAx>
        <c:axId val="106380351"/>
        <c:scaling>
          <c:orientation val="minMax"/>
          <c:max val="375"/>
          <c:min val="-3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48879"/>
        <c:crosses val="autoZero"/>
        <c:crossBetween val="midCat"/>
        <c:minorUnit val="5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881766224464167E-2"/>
          <c:y val="8.1481481481481488E-2"/>
          <c:w val="0.94705683217149861"/>
          <c:h val="0.83703703703703702"/>
        </c:manualLayout>
      </c:layout>
      <c:scatterChart>
        <c:scatterStyle val="lineMarker"/>
        <c:varyColors val="0"/>
        <c:ser>
          <c:idx val="1"/>
          <c:order val="0"/>
          <c:tx>
            <c:v>deflection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shaft!$R$8:$R$43</c:f>
              <c:numCache>
                <c:formatCode>General</c:formatCode>
                <c:ptCount val="36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700</c:v>
                </c:pt>
                <c:pt idx="7">
                  <c:v>900</c:v>
                </c:pt>
                <c:pt idx="8">
                  <c:v>1100</c:v>
                </c:pt>
                <c:pt idx="9">
                  <c:v>1300</c:v>
                </c:pt>
                <c:pt idx="10">
                  <c:v>1500</c:v>
                </c:pt>
                <c:pt idx="11">
                  <c:v>1700</c:v>
                </c:pt>
                <c:pt idx="12">
                  <c:v>1900</c:v>
                </c:pt>
                <c:pt idx="13">
                  <c:v>2100</c:v>
                </c:pt>
                <c:pt idx="14">
                  <c:v>2300</c:v>
                </c:pt>
                <c:pt idx="15">
                  <c:v>2500</c:v>
                </c:pt>
                <c:pt idx="16">
                  <c:v>2700</c:v>
                </c:pt>
                <c:pt idx="17">
                  <c:v>2900</c:v>
                </c:pt>
                <c:pt idx="18">
                  <c:v>3100</c:v>
                </c:pt>
                <c:pt idx="19">
                  <c:v>3300</c:v>
                </c:pt>
                <c:pt idx="20">
                  <c:v>3500</c:v>
                </c:pt>
                <c:pt idx="21">
                  <c:v>3700</c:v>
                </c:pt>
                <c:pt idx="22">
                  <c:v>3900</c:v>
                </c:pt>
                <c:pt idx="23">
                  <c:v>4100</c:v>
                </c:pt>
                <c:pt idx="24">
                  <c:v>4300</c:v>
                </c:pt>
                <c:pt idx="25">
                  <c:v>4500</c:v>
                </c:pt>
                <c:pt idx="26">
                  <c:v>4700</c:v>
                </c:pt>
                <c:pt idx="27">
                  <c:v>4900</c:v>
                </c:pt>
                <c:pt idx="28">
                  <c:v>5100</c:v>
                </c:pt>
                <c:pt idx="29">
                  <c:v>5300</c:v>
                </c:pt>
                <c:pt idx="30">
                  <c:v>5500</c:v>
                </c:pt>
                <c:pt idx="31">
                  <c:v>5600</c:v>
                </c:pt>
                <c:pt idx="32">
                  <c:v>5700</c:v>
                </c:pt>
                <c:pt idx="33">
                  <c:v>5800</c:v>
                </c:pt>
                <c:pt idx="34">
                  <c:v>5900</c:v>
                </c:pt>
                <c:pt idx="35">
                  <c:v>6000</c:v>
                </c:pt>
              </c:numCache>
            </c:numRef>
          </c:xVal>
          <c:yVal>
            <c:numRef>
              <c:f>shaft!$S$8:$S$43</c:f>
              <c:numCache>
                <c:formatCode>General</c:formatCode>
                <c:ptCount val="36"/>
                <c:pt idx="0">
                  <c:v>0.51634486000000002</c:v>
                </c:pt>
                <c:pt idx="1">
                  <c:v>0.25819036000000001</c:v>
                </c:pt>
                <c:pt idx="2">
                  <c:v>0</c:v>
                </c:pt>
                <c:pt idx="3">
                  <c:v>-0.25615406000000002</c:v>
                </c:pt>
                <c:pt idx="4">
                  <c:v>-0.49960357999999999</c:v>
                </c:pt>
                <c:pt idx="5">
                  <c:v>-0.71757749999999998</c:v>
                </c:pt>
                <c:pt idx="6">
                  <c:v>-1.1137463000000001</c:v>
                </c:pt>
                <c:pt idx="7">
                  <c:v>-1.49417149</c:v>
                </c:pt>
                <c:pt idx="8">
                  <c:v>-1.85288253</c:v>
                </c:pt>
                <c:pt idx="9">
                  <c:v>-2.18415435</c:v>
                </c:pt>
                <c:pt idx="10">
                  <c:v>-2.4825084400000001</c:v>
                </c:pt>
                <c:pt idx="11">
                  <c:v>-2.7427115500000001</c:v>
                </c:pt>
                <c:pt idx="12">
                  <c:v>-2.9597764</c:v>
                </c:pt>
                <c:pt idx="13">
                  <c:v>-3.1289618799999999</c:v>
                </c:pt>
                <c:pt idx="14">
                  <c:v>-3.2457726299999998</c:v>
                </c:pt>
                <c:pt idx="15">
                  <c:v>-3.3059589599999999</c:v>
                </c:pt>
                <c:pt idx="16">
                  <c:v>-3.3304470799999999</c:v>
                </c:pt>
                <c:pt idx="17">
                  <c:v>-3.3427457899999999</c:v>
                </c:pt>
                <c:pt idx="18">
                  <c:v>-3.3427458200000002</c:v>
                </c:pt>
                <c:pt idx="19">
                  <c:v>-3.3304471699999998</c:v>
                </c:pt>
                <c:pt idx="20">
                  <c:v>-3.3059590999999999</c:v>
                </c:pt>
                <c:pt idx="21">
                  <c:v>-3.24577282</c:v>
                </c:pt>
                <c:pt idx="22">
                  <c:v>-3.1289621300000001</c:v>
                </c:pt>
                <c:pt idx="23">
                  <c:v>-2.9597768200000001</c:v>
                </c:pt>
                <c:pt idx="24">
                  <c:v>-2.7427116100000002</c:v>
                </c:pt>
                <c:pt idx="25">
                  <c:v>-2.48250883</c:v>
                </c:pt>
                <c:pt idx="26">
                  <c:v>-2.1841551699999999</c:v>
                </c:pt>
                <c:pt idx="27">
                  <c:v>-1.8528828100000001</c:v>
                </c:pt>
                <c:pt idx="28">
                  <c:v>-1.49417223</c:v>
                </c:pt>
                <c:pt idx="29">
                  <c:v>-1.1137465</c:v>
                </c:pt>
                <c:pt idx="30">
                  <c:v>-0.71757808000000001</c:v>
                </c:pt>
                <c:pt idx="31">
                  <c:v>-0.49960436000000003</c:v>
                </c:pt>
                <c:pt idx="32">
                  <c:v>-0.25615505999999999</c:v>
                </c:pt>
                <c:pt idx="33">
                  <c:v>0</c:v>
                </c:pt>
                <c:pt idx="34">
                  <c:v>0.25819017</c:v>
                </c:pt>
                <c:pt idx="35">
                  <c:v>0.51634447999999999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69-47C7-81D5-A0096334B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48879"/>
        <c:axId val="106380351"/>
      </c:scatterChart>
      <c:valAx>
        <c:axId val="181148879"/>
        <c:scaling>
          <c:orientation val="minMax"/>
          <c:max val="8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80351"/>
        <c:crosses val="autoZero"/>
        <c:crossBetween val="midCat"/>
        <c:majorUnit val="500"/>
        <c:minorUnit val="250"/>
      </c:valAx>
      <c:valAx>
        <c:axId val="10638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488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832677165354333E-2"/>
          <c:y val="5.0925925925925923E-2"/>
          <c:w val="0.93890065616797902"/>
          <c:h val="0.8981481481481481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shaft!$R$8:$R$43</c:f>
              <c:numCache>
                <c:formatCode>General</c:formatCode>
                <c:ptCount val="36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700</c:v>
                </c:pt>
                <c:pt idx="7">
                  <c:v>900</c:v>
                </c:pt>
                <c:pt idx="8">
                  <c:v>1100</c:v>
                </c:pt>
                <c:pt idx="9">
                  <c:v>1300</c:v>
                </c:pt>
                <c:pt idx="10">
                  <c:v>1500</c:v>
                </c:pt>
                <c:pt idx="11">
                  <c:v>1700</c:v>
                </c:pt>
                <c:pt idx="12">
                  <c:v>1900</c:v>
                </c:pt>
                <c:pt idx="13">
                  <c:v>2100</c:v>
                </c:pt>
                <c:pt idx="14">
                  <c:v>2300</c:v>
                </c:pt>
                <c:pt idx="15">
                  <c:v>2500</c:v>
                </c:pt>
                <c:pt idx="16">
                  <c:v>2700</c:v>
                </c:pt>
                <c:pt idx="17">
                  <c:v>2900</c:v>
                </c:pt>
                <c:pt idx="18">
                  <c:v>3100</c:v>
                </c:pt>
                <c:pt idx="19">
                  <c:v>3300</c:v>
                </c:pt>
                <c:pt idx="20">
                  <c:v>3500</c:v>
                </c:pt>
                <c:pt idx="21">
                  <c:v>3700</c:v>
                </c:pt>
                <c:pt idx="22">
                  <c:v>3900</c:v>
                </c:pt>
                <c:pt idx="23">
                  <c:v>4100</c:v>
                </c:pt>
                <c:pt idx="24">
                  <c:v>4300</c:v>
                </c:pt>
                <c:pt idx="25">
                  <c:v>4500</c:v>
                </c:pt>
                <c:pt idx="26">
                  <c:v>4700</c:v>
                </c:pt>
                <c:pt idx="27">
                  <c:v>4900</c:v>
                </c:pt>
                <c:pt idx="28">
                  <c:v>5100</c:v>
                </c:pt>
                <c:pt idx="29">
                  <c:v>5300</c:v>
                </c:pt>
                <c:pt idx="30">
                  <c:v>5500</c:v>
                </c:pt>
                <c:pt idx="31">
                  <c:v>5600</c:v>
                </c:pt>
                <c:pt idx="32">
                  <c:v>5700</c:v>
                </c:pt>
                <c:pt idx="33">
                  <c:v>5800</c:v>
                </c:pt>
                <c:pt idx="34">
                  <c:v>5900</c:v>
                </c:pt>
                <c:pt idx="35">
                  <c:v>6000</c:v>
                </c:pt>
              </c:numCache>
            </c:numRef>
          </c:xVal>
          <c:yVal>
            <c:numRef>
              <c:f>shaft!$S$8:$S$43</c:f>
              <c:numCache>
                <c:formatCode>General</c:formatCode>
                <c:ptCount val="36"/>
                <c:pt idx="0">
                  <c:v>0.51634486000000002</c:v>
                </c:pt>
                <c:pt idx="1">
                  <c:v>0.25819036000000001</c:v>
                </c:pt>
                <c:pt idx="2">
                  <c:v>0</c:v>
                </c:pt>
                <c:pt idx="3">
                  <c:v>-0.25615406000000002</c:v>
                </c:pt>
                <c:pt idx="4">
                  <c:v>-0.49960357999999999</c:v>
                </c:pt>
                <c:pt idx="5">
                  <c:v>-0.71757749999999998</c:v>
                </c:pt>
                <c:pt idx="6">
                  <c:v>-1.1137463000000001</c:v>
                </c:pt>
                <c:pt idx="7">
                  <c:v>-1.49417149</c:v>
                </c:pt>
                <c:pt idx="8">
                  <c:v>-1.85288253</c:v>
                </c:pt>
                <c:pt idx="9">
                  <c:v>-2.18415435</c:v>
                </c:pt>
                <c:pt idx="10">
                  <c:v>-2.4825084400000001</c:v>
                </c:pt>
                <c:pt idx="11">
                  <c:v>-2.7427115500000001</c:v>
                </c:pt>
                <c:pt idx="12">
                  <c:v>-2.9597764</c:v>
                </c:pt>
                <c:pt idx="13">
                  <c:v>-3.1289618799999999</c:v>
                </c:pt>
                <c:pt idx="14">
                  <c:v>-3.2457726299999998</c:v>
                </c:pt>
                <c:pt idx="15">
                  <c:v>-3.3059589599999999</c:v>
                </c:pt>
                <c:pt idx="16">
                  <c:v>-3.3304470799999999</c:v>
                </c:pt>
                <c:pt idx="17">
                  <c:v>-3.3427457899999999</c:v>
                </c:pt>
                <c:pt idx="18">
                  <c:v>-3.3427458200000002</c:v>
                </c:pt>
                <c:pt idx="19">
                  <c:v>-3.3304471699999998</c:v>
                </c:pt>
                <c:pt idx="20">
                  <c:v>-3.3059590999999999</c:v>
                </c:pt>
                <c:pt idx="21">
                  <c:v>-3.24577282</c:v>
                </c:pt>
                <c:pt idx="22">
                  <c:v>-3.1289621300000001</c:v>
                </c:pt>
                <c:pt idx="23">
                  <c:v>-2.9597768200000001</c:v>
                </c:pt>
                <c:pt idx="24">
                  <c:v>-2.7427116100000002</c:v>
                </c:pt>
                <c:pt idx="25">
                  <c:v>-2.48250883</c:v>
                </c:pt>
                <c:pt idx="26">
                  <c:v>-2.1841551699999999</c:v>
                </c:pt>
                <c:pt idx="27">
                  <c:v>-1.8528828100000001</c:v>
                </c:pt>
                <c:pt idx="28">
                  <c:v>-1.49417223</c:v>
                </c:pt>
                <c:pt idx="29">
                  <c:v>-1.1137465</c:v>
                </c:pt>
                <c:pt idx="30">
                  <c:v>-0.71757808000000001</c:v>
                </c:pt>
                <c:pt idx="31">
                  <c:v>-0.49960436000000003</c:v>
                </c:pt>
                <c:pt idx="32">
                  <c:v>-0.25615505999999999</c:v>
                </c:pt>
                <c:pt idx="33">
                  <c:v>0</c:v>
                </c:pt>
                <c:pt idx="34">
                  <c:v>0.25819017</c:v>
                </c:pt>
                <c:pt idx="35">
                  <c:v>0.51634447999999999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29-4BFA-BC30-8D9B2190C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630480"/>
        <c:axId val="2115124032"/>
      </c:scatterChart>
      <c:valAx>
        <c:axId val="1590630480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124032"/>
        <c:crosses val="autoZero"/>
        <c:crossBetween val="midCat"/>
      </c:valAx>
      <c:valAx>
        <c:axId val="211512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>
                    <a:latin typeface="Calibri" panose="020F0502020204030204" pitchFamily="34" charset="0"/>
                    <a:cs typeface="Calibri" panose="020F0502020204030204" pitchFamily="34" charset="0"/>
                  </a:rPr>
                  <a:t>δ</a:t>
                </a:r>
                <a:r>
                  <a:rPr lang="it-IT">
                    <a:latin typeface="Calibri" panose="020F0502020204030204" pitchFamily="34" charset="0"/>
                    <a:cs typeface="Calibri" panose="020F0502020204030204" pitchFamily="34" charset="0"/>
                  </a:rPr>
                  <a:t> [mm]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630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0975" y="676275"/>
          <a:ext cx="7315200" cy="17145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These worksheets calculate the first lateral critical</a:t>
          </a:r>
          <a:r>
            <a:rPr lang="en-US" sz="1100" b="0" u="none" baseline="0"/>
            <a:t> speed of a shaft following four different methods:</a:t>
          </a:r>
        </a:p>
        <a:p>
          <a:r>
            <a:rPr lang="en-US" sz="1100" b="0" u="none" baseline="0"/>
            <a:t>1) Rayleigh's equation (massless shaft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underestimates natural frequency</a:t>
          </a:r>
          <a:r>
            <a:rPr lang="en-US" sz="1100" b="0" u="none" baseline="0"/>
            <a:t>);</a:t>
          </a:r>
        </a:p>
        <a:p>
          <a:r>
            <a:rPr lang="en-US" sz="1100" b="0" u="none" baseline="0"/>
            <a:t>2) Dunkerly's equation (massless shaft, overestimates natural frequency);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3)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Rayleigh's equation (shaft without mass attached);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Dunkerly's equation "corrected" (include the mass of the shaft).</a:t>
          </a:r>
          <a:endParaRPr lang="it-IT">
            <a:effectLst/>
          </a:endParaRPr>
        </a:p>
        <a:p>
          <a:endParaRPr lang="en-US" sz="1100" b="0" u="none" baseline="0"/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"shaft"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Creates a diagram with shaft deflection and calculates shaft critical speed.</a:t>
          </a:r>
        </a:p>
        <a:p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>
            <a:effectLst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5</xdr:row>
      <xdr:rowOff>190499</xdr:rowOff>
    </xdr:from>
    <xdr:to>
      <xdr:col>44</xdr:col>
      <xdr:colOff>28575</xdr:colOff>
      <xdr:row>16</xdr:row>
      <xdr:rowOff>0</xdr:rowOff>
    </xdr:to>
    <xdr:graphicFrame macro="">
      <xdr:nvGraphicFramePr>
        <xdr:cNvPr id="5" name="shaf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8</xdr:row>
      <xdr:rowOff>0</xdr:rowOff>
    </xdr:from>
    <xdr:to>
      <xdr:col>41</xdr:col>
      <xdr:colOff>0</xdr:colOff>
      <xdr:row>8</xdr:row>
      <xdr:rowOff>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16</xdr:row>
      <xdr:rowOff>0</xdr:rowOff>
    </xdr:from>
    <xdr:to>
      <xdr:col>44</xdr:col>
      <xdr:colOff>28575</xdr:colOff>
      <xdr:row>30</xdr:row>
      <xdr:rowOff>76200</xdr:rowOff>
    </xdr:to>
    <xdr:graphicFrame macro="">
      <xdr:nvGraphicFramePr>
        <xdr:cNvPr id="2" name="deflecti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31</xdr:row>
          <xdr:rowOff>180975</xdr:rowOff>
        </xdr:from>
        <xdr:to>
          <xdr:col>32</xdr:col>
          <xdr:colOff>0</xdr:colOff>
          <xdr:row>34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input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34</xdr:row>
          <xdr:rowOff>123825</xdr:rowOff>
        </xdr:from>
        <xdr:to>
          <xdr:col>32</xdr:col>
          <xdr:colOff>0</xdr:colOff>
          <xdr:row>37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37</xdr:row>
          <xdr:rowOff>66675</xdr:rowOff>
        </xdr:from>
        <xdr:to>
          <xdr:col>32</xdr:col>
          <xdr:colOff>0</xdr:colOff>
          <xdr:row>40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41</xdr:row>
      <xdr:rowOff>190499</xdr:rowOff>
    </xdr:from>
    <xdr:to>
      <xdr:col>34</xdr:col>
      <xdr:colOff>0</xdr:colOff>
      <xdr:row>58</xdr:row>
      <xdr:rowOff>0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15425" y="8000999"/>
          <a:ext cx="8534400" cy="30480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>
              <a:solidFill>
                <a:sysClr val="windowText" lastClr="000000"/>
              </a:solidFill>
            </a:rPr>
            <a:t>INSTRUCTIONS</a:t>
          </a:r>
        </a:p>
        <a:p>
          <a:r>
            <a:rPr lang="en-US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1) Put in a local working directory with read/write permission:</a:t>
          </a:r>
          <a:endParaRPr lang="it-IT">
            <a:solidFill>
              <a:sysClr val="windowText" lastClr="000000"/>
            </a:solidFill>
            <a:effectLst/>
          </a:endParaRPr>
        </a:p>
        <a:p>
          <a:r>
            <a:rPr lang="en-US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     a) this worksheet;</a:t>
          </a:r>
          <a:endParaRPr lang="it-IT">
            <a:solidFill>
              <a:sysClr val="windowText" lastClr="000000"/>
            </a:solidFill>
            <a:effectLst/>
          </a:endParaRPr>
        </a:p>
        <a:p>
          <a:r>
            <a:rPr lang="en-US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     b) MOD423-Critical_Speed_Calculator.py;</a:t>
          </a:r>
          <a:endParaRPr lang="it-IT">
            <a:solidFill>
              <a:sysClr val="windowText" lastClr="000000"/>
            </a:solidFill>
            <a:effectLst/>
          </a:endParaRPr>
        </a:p>
        <a:p>
          <a:r>
            <a:rPr lang="it-IT" sz="1100" b="0">
              <a:solidFill>
                <a:sysClr val="windowText" lastClr="000000"/>
              </a:solidFill>
            </a:rPr>
            <a:t>2) Define shaft material properties</a:t>
          </a:r>
          <a:r>
            <a:rPr lang="it-IT" sz="1100" b="0" baseline="0">
              <a:solidFill>
                <a:sysClr val="windowText" lastClr="000000"/>
              </a:solidFill>
            </a:rPr>
            <a:t> (Young's modulus E, density </a:t>
          </a:r>
          <a:r>
            <a:rPr lang="el-GR" sz="1100" b="0" baseline="0">
              <a:solidFill>
                <a:sysClr val="windowText" lastClr="000000"/>
              </a:solidFill>
              <a:latin typeface="Calibri" panose="020F0502020204030204" pitchFamily="34" charset="0"/>
              <a:cs typeface="Calibri" panose="020F0502020204030204" pitchFamily="34" charset="0"/>
            </a:rPr>
            <a:t>ρ</a:t>
          </a:r>
          <a:r>
            <a:rPr lang="it-IT" sz="1100" b="0" baseline="0">
              <a:solidFill>
                <a:sysClr val="windowText" lastClr="000000"/>
              </a:solidFill>
              <a:latin typeface="Calibri" panose="020F0502020204030204" pitchFamily="34" charset="0"/>
              <a:cs typeface="Calibri" panose="020F0502020204030204" pitchFamily="34" charset="0"/>
            </a:rPr>
            <a:t>).</a:t>
          </a:r>
          <a:endParaRPr lang="it-IT" sz="1100" b="0">
            <a:solidFill>
              <a:sysClr val="windowText" lastClr="000000"/>
            </a:solidFill>
          </a:endParaRPr>
        </a:p>
        <a:p>
          <a:r>
            <a:rPr lang="it-IT" sz="1100" i="0">
              <a:solidFill>
                <a:sysClr val="windowText" lastClr="000000"/>
              </a:solidFill>
            </a:rPr>
            <a:t>3) C</a:t>
          </a:r>
          <a:r>
            <a:rPr lang="it-IT" sz="1100">
              <a:solidFill>
                <a:sysClr val="windowText" lastClr="000000"/>
              </a:solidFill>
            </a:rPr>
            <a:t>ompile the cells in the table "Shaft" to create the shaft: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aseline="0">
              <a:solidFill>
                <a:sysClr val="windowText" lastClr="000000"/>
              </a:solidFill>
            </a:rPr>
            <a:t>         </a:t>
          </a:r>
          <a:r>
            <a:rPr lang="it-IT" sz="1100">
              <a:solidFill>
                <a:sysClr val="windowText" lastClr="000000"/>
              </a:solidFill>
            </a:rPr>
            <a:t>a) discretize the shaft</a:t>
          </a:r>
          <a:r>
            <a:rPr lang="it-IT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(L/D&lt;1, L/D=0.5 is optimal</a:t>
          </a:r>
          <a:r>
            <a:rPr lang="it-IT" sz="1100">
              <a:solidFill>
                <a:sysClr val="windowText" lastClr="000000"/>
              </a:solidFill>
            </a:rPr>
            <a:t>);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>
              <a:solidFill>
                <a:sysClr val="windowText" lastClr="000000"/>
              </a:solidFill>
            </a:rPr>
            <a:t>         b) max element</a:t>
          </a:r>
          <a:r>
            <a:rPr lang="it-IT" sz="1100" baseline="0">
              <a:solidFill>
                <a:sysClr val="windowText" lastClr="000000"/>
              </a:solidFill>
            </a:rPr>
            <a:t> number = 80.</a:t>
          </a:r>
          <a:endParaRPr lang="it-IT" sz="1100">
            <a:solidFill>
              <a:sysClr val="windowText" lastClr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>
              <a:solidFill>
                <a:sysClr val="windowText" lastClr="000000"/>
              </a:solidFill>
            </a:rPr>
            <a:t>4)</a:t>
          </a:r>
          <a:r>
            <a:rPr lang="it-IT" sz="1100" baseline="0">
              <a:solidFill>
                <a:sysClr val="windowText" lastClr="000000"/>
              </a:solidFill>
            </a:rPr>
            <a:t> Indicate node where </a:t>
          </a:r>
          <a:r>
            <a:rPr lang="it-IT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bearings </a:t>
          </a:r>
          <a:r>
            <a:rPr lang="it-IT" sz="1100" baseline="0">
              <a:solidFill>
                <a:sysClr val="windowText" lastClr="000000"/>
              </a:solidFill>
            </a:rPr>
            <a:t>are attached.</a:t>
          </a:r>
        </a:p>
        <a:p>
          <a:r>
            <a:rPr lang="it-IT" sz="1100" baseline="0">
              <a:solidFill>
                <a:sysClr val="windowText" lastClr="000000"/>
              </a:solidFill>
            </a:rPr>
            <a:t>5) Compile table "concentrated mass", defining masses attached to the shaft and its relative node.</a:t>
          </a:r>
          <a:endParaRPr lang="it-IT" sz="1100">
            <a:solidFill>
              <a:sysClr val="windowText" lastClr="000000"/>
            </a:solidFill>
          </a:endParaRPr>
        </a:p>
        <a:p>
          <a:r>
            <a:rPr lang="it-IT" sz="1100" i="0" baseline="0">
              <a:solidFill>
                <a:sysClr val="windowText" lastClr="000000"/>
              </a:solidFill>
            </a:rPr>
            <a:t>6) G</a:t>
          </a:r>
          <a:r>
            <a:rPr lang="it-IT" sz="1100" baseline="0">
              <a:solidFill>
                <a:sysClr val="windowText" lastClr="000000"/>
              </a:solidFill>
            </a:rPr>
            <a:t>enerate the input file </a:t>
          </a:r>
          <a:r>
            <a:rPr lang="it-IT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"shaft.txt" in the working directory </a:t>
          </a:r>
          <a:r>
            <a:rPr lang="it-IT" sz="1100" baseline="0">
              <a:solidFill>
                <a:sysClr val="windowText" lastClr="000000"/>
              </a:solidFill>
            </a:rPr>
            <a:t>for shaft deflection calculator (press button </a:t>
          </a:r>
          <a:r>
            <a:rPr lang="it-IT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"create input file") </a:t>
          </a:r>
          <a:endParaRPr lang="it-IT" sz="1100" baseline="0">
            <a:solidFill>
              <a:sysClr val="windowText" lastClr="000000"/>
            </a:solidFill>
          </a:endParaRPr>
        </a:p>
        <a:p>
          <a:r>
            <a:rPr lang="it-IT" sz="1100" i="0" baseline="0">
              <a:solidFill>
                <a:sysClr val="windowText" lastClr="000000"/>
              </a:solidFill>
            </a:rPr>
            <a:t>7) C</a:t>
          </a:r>
          <a:r>
            <a:rPr lang="it-IT" sz="1100" baseline="0">
              <a:solidFill>
                <a:sysClr val="windowText" lastClr="000000"/>
              </a:solidFill>
            </a:rPr>
            <a:t>reate graphical representation of the shaft (press button "graph").</a:t>
          </a:r>
        </a:p>
        <a:p>
          <a:r>
            <a:rPr lang="it-IT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8) </a:t>
          </a:r>
          <a:r>
            <a:rPr lang="it-IT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Go to "Start" in windows and digit "Anaconda Prompt".</a:t>
          </a:r>
          <a:endParaRPr lang="it-IT">
            <a:solidFill>
              <a:sysClr val="windowText" lastClr="000000"/>
            </a:solidFill>
            <a:effectLst/>
          </a:endParaRPr>
        </a:p>
        <a:p>
          <a:r>
            <a:rPr lang="it-IT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9) In anaconda prompt window, go to the working directory using dos commands (cd, cd.., etc...).</a:t>
          </a:r>
          <a:endParaRPr lang="it-IT">
            <a:solidFill>
              <a:sysClr val="windowText" lastClr="000000"/>
            </a:solidFill>
            <a:effectLst/>
          </a:endParaRPr>
        </a:p>
        <a:p>
          <a:r>
            <a:rPr lang="it-IT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10) In anaconda prompt window, digit "python MOD423-Critical_Speed_Calculator.py" and press enter.</a:t>
          </a:r>
          <a:endParaRPr lang="it-IT">
            <a:solidFill>
              <a:sysClr val="windowText" lastClr="000000"/>
            </a:solidFill>
            <a:effectLst/>
          </a:endParaRPr>
        </a:p>
        <a:p>
          <a:r>
            <a:rPr lang="it-IT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11) In the working directory there will be two result files: static_deflection.txt and critical_speed.txt</a:t>
          </a:r>
        </a:p>
        <a:p>
          <a:r>
            <a:rPr lang="it-IT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12) Create deflection diagram and import results (press button "read results)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21</xdr:col>
      <xdr:colOff>256050</xdr:colOff>
      <xdr:row>4</xdr:row>
      <xdr:rowOff>27450</xdr:rowOff>
    </xdr:from>
    <xdr:to>
      <xdr:col>21</xdr:col>
      <xdr:colOff>400050</xdr:colOff>
      <xdr:row>4</xdr:row>
      <xdr:rowOff>171450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981075" y="789450"/>
          <a:ext cx="144000" cy="144000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21</xdr:col>
      <xdr:colOff>246525</xdr:colOff>
      <xdr:row>2</xdr:row>
      <xdr:rowOff>27450</xdr:rowOff>
    </xdr:from>
    <xdr:to>
      <xdr:col>21</xdr:col>
      <xdr:colOff>390525</xdr:colOff>
      <xdr:row>2</xdr:row>
      <xdr:rowOff>171450</xdr:rowOff>
    </xdr:to>
    <xdr:sp macro="" textlink="">
      <xdr:nvSpPr>
        <xdr:cNvPr id="7" name="Triangolo isosce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971550" y="408450"/>
          <a:ext cx="144000" cy="144000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615ED4-F049-4FE0-A046-AEFD5FBA21D9}" name="grafico" displayName="grafico" ref="K7:O79" totalsRowShown="0" headerRowDxfId="20" dataDxfId="19">
  <autoFilter ref="K7:O79" xr:uid="{FE615ED4-F049-4FE0-A046-AEFD5FBA21D9}"/>
  <tableColumns count="5">
    <tableColumn id="1" xr3:uid="{A0D8F0B3-39A2-4946-B7F2-8B28233571B6}" name="node ID" dataDxfId="18"/>
    <tableColumn id="2" xr3:uid="{F6490B0A-3F1E-44E3-87EB-C8AE3376C4F9}" name="s [mm]" dataDxfId="17"/>
    <tableColumn id="3" xr3:uid="{B7B1A77C-83FF-425C-89B0-5AFD65031795}" name="R+ [mm]" dataDxfId="16"/>
    <tableColumn id="4" xr3:uid="{2B8BC459-00D1-4163-AF69-F8382896A7EE}" name="R- [mm]" dataDxfId="15"/>
    <tableColumn id="5" xr3:uid="{044C29DF-50EF-44BC-919E-F0C066480230}" name="axes [mm]" dataDxfId="14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05A82E-8643-4AC0-B731-345F4F50549C}" name="deflection" displayName="deflection" ref="Q7:S43" totalsRowShown="0" dataDxfId="13">
  <autoFilter ref="Q7:S43" xr:uid="{7A05A82E-8643-4AC0-B731-345F4F50549C}"/>
  <tableColumns count="3">
    <tableColumn id="1" xr3:uid="{8620E42B-0E0C-48A4-9130-2229B762FAC5}" name="node ID" dataDxfId="12"/>
    <tableColumn id="2" xr3:uid="{D4DD810D-018A-490C-8933-45C0A6DE86CD}" name="s [mm]" dataDxfId="11"/>
    <tableColumn id="3" xr3:uid="{0BAAC2A5-BA07-4774-B9A9-0A0E1537EB85}" name="δ [mm]" dataDxfId="10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385900-7108-4D4C-A97B-B04136385EAA}" name="shaft" displayName="shaft" ref="B7:D42" totalsRowShown="0" dataDxfId="9">
  <autoFilter ref="B7:D42" xr:uid="{30385900-7108-4D4C-A97B-B04136385EAA}"/>
  <tableColumns count="3">
    <tableColumn id="1" xr3:uid="{0C498F9D-0B9A-4044-89DC-4764DA020D9F}" name="element ID" dataDxfId="8"/>
    <tableColumn id="2" xr3:uid="{402CBEC9-22D8-4D6E-A9CF-E91AE82ABA31}" name="L [mm]" dataDxfId="7"/>
    <tableColumn id="3" xr3:uid="{3AC86DAD-F73D-4126-9C85-74E8CF6E0BEF}" name="d [mm]" dataDxfId="6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504D7E6-D8FF-4911-ABAC-EA91CB244B92}" name="mass" displayName="mass" ref="F7:I9" totalsRowShown="0" headerRowDxfId="5" dataDxfId="4">
  <autoFilter ref="F7:I9" xr:uid="{1504D7E6-D8FF-4911-ABAC-EA91CB244B92}"/>
  <tableColumns count="4">
    <tableColumn id="1" xr3:uid="{64DE6B63-F96C-43A4-8C16-0BE7AF1662CF}" name="Node ID [-]" dataDxfId="3"/>
    <tableColumn id="2" xr3:uid="{F6289A8A-8FA7-402F-8B3D-A1F1FD03F1C3}" name="M [kg]" dataDxfId="2"/>
    <tableColumn id="3" xr3:uid="{5290B03A-BE36-43A2-9C0C-105618B5DF53}" name="s [mm]" dataDxfId="1">
      <calculatedColumnFormula>VLOOKUP(F8,$K$8:$O$79,2,FALSE)</calculatedColumnFormula>
    </tableColumn>
    <tableColumn id="4" xr3:uid="{688B2DC4-9673-4728-B56C-8E7317D62811}" name="δ [mm]" dataDxfId="0">
      <calculatedColumnFormula>$I$3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E4098-FB10-4AE0-81AA-11CD2DDCAEF9}">
  <sheetPr codeName="Foglio2"/>
  <dimension ref="B2:M22"/>
  <sheetViews>
    <sheetView workbookViewId="0"/>
  </sheetViews>
  <sheetFormatPr defaultRowHeight="15" x14ac:dyDescent="0.25"/>
  <cols>
    <col min="1" max="1" width="2.7109375" customWidth="1"/>
    <col min="14" max="14" width="2.7109375" customWidth="1"/>
  </cols>
  <sheetData>
    <row r="2" spans="2:13" ht="23.25" x14ac:dyDescent="0.35">
      <c r="B2" s="20" t="s">
        <v>0</v>
      </c>
    </row>
    <row r="15" spans="2:13" x14ac:dyDescent="0.25">
      <c r="B15" s="5" t="s">
        <v>1</v>
      </c>
      <c r="C15" s="37" t="s">
        <v>2</v>
      </c>
      <c r="D15" s="38"/>
      <c r="E15" s="39"/>
      <c r="F15" s="40" t="s">
        <v>3</v>
      </c>
      <c r="G15" s="41"/>
      <c r="H15" s="42"/>
      <c r="I15" s="43" t="s">
        <v>4</v>
      </c>
      <c r="J15" s="44"/>
      <c r="K15" s="43" t="s">
        <v>5</v>
      </c>
      <c r="L15" s="45"/>
      <c r="M15" s="44"/>
    </row>
    <row r="16" spans="2:13" x14ac:dyDescent="0.25">
      <c r="B16" s="6" t="s">
        <v>6</v>
      </c>
      <c r="C16" s="30" t="s">
        <v>7</v>
      </c>
      <c r="D16" s="31"/>
      <c r="E16" s="32"/>
      <c r="F16" s="33"/>
      <c r="G16" s="34"/>
      <c r="H16" s="35"/>
      <c r="I16" s="46">
        <v>45260</v>
      </c>
      <c r="J16" s="36"/>
      <c r="K16" s="33"/>
      <c r="L16" s="34"/>
      <c r="M16" s="35"/>
    </row>
    <row r="17" spans="2:13" x14ac:dyDescent="0.25">
      <c r="B17" s="6"/>
      <c r="C17" s="30"/>
      <c r="D17" s="31"/>
      <c r="E17" s="32"/>
      <c r="F17" s="33"/>
      <c r="G17" s="34"/>
      <c r="H17" s="35"/>
      <c r="I17" s="36"/>
      <c r="J17" s="36"/>
      <c r="K17" s="33"/>
      <c r="L17" s="34"/>
      <c r="M17" s="35"/>
    </row>
    <row r="18" spans="2:13" x14ac:dyDescent="0.25">
      <c r="B18" s="6"/>
      <c r="C18" s="30"/>
      <c r="D18" s="31"/>
      <c r="E18" s="32"/>
      <c r="F18" s="33"/>
      <c r="G18" s="34"/>
      <c r="H18" s="35"/>
      <c r="I18" s="36"/>
      <c r="J18" s="36"/>
      <c r="K18" s="33"/>
      <c r="L18" s="34"/>
      <c r="M18" s="35"/>
    </row>
    <row r="19" spans="2:13" x14ac:dyDescent="0.25">
      <c r="B19" s="6"/>
      <c r="C19" s="30"/>
      <c r="D19" s="31"/>
      <c r="E19" s="32"/>
      <c r="F19" s="33"/>
      <c r="G19" s="34"/>
      <c r="H19" s="35"/>
      <c r="I19" s="36"/>
      <c r="J19" s="36"/>
      <c r="K19" s="33"/>
      <c r="L19" s="34"/>
      <c r="M19" s="35"/>
    </row>
    <row r="20" spans="2:13" x14ac:dyDescent="0.25">
      <c r="B20" s="6"/>
      <c r="C20" s="30"/>
      <c r="D20" s="31"/>
      <c r="E20" s="32"/>
      <c r="F20" s="33"/>
      <c r="G20" s="34"/>
      <c r="H20" s="35"/>
      <c r="I20" s="36"/>
      <c r="J20" s="36"/>
      <c r="K20" s="33"/>
      <c r="L20" s="34"/>
      <c r="M20" s="35"/>
    </row>
    <row r="21" spans="2:13" x14ac:dyDescent="0.25">
      <c r="B21" s="6"/>
      <c r="C21" s="30"/>
      <c r="D21" s="31"/>
      <c r="E21" s="32"/>
      <c r="F21" s="33"/>
      <c r="G21" s="34"/>
      <c r="H21" s="35"/>
      <c r="I21" s="36"/>
      <c r="J21" s="36"/>
      <c r="K21" s="33"/>
      <c r="L21" s="34"/>
      <c r="M21" s="35"/>
    </row>
    <row r="22" spans="2:13" x14ac:dyDescent="0.25">
      <c r="B22" s="6"/>
      <c r="C22" s="30"/>
      <c r="D22" s="31"/>
      <c r="E22" s="32"/>
      <c r="F22" s="33"/>
      <c r="G22" s="34"/>
      <c r="H22" s="35"/>
      <c r="I22" s="36"/>
      <c r="J22" s="36"/>
      <c r="K22" s="33"/>
      <c r="L22" s="34"/>
      <c r="M22" s="35"/>
    </row>
  </sheetData>
  <mergeCells count="32">
    <mergeCell ref="C15:E15"/>
    <mergeCell ref="F15:H15"/>
    <mergeCell ref="I15:J15"/>
    <mergeCell ref="K15:M15"/>
    <mergeCell ref="C16:E16"/>
    <mergeCell ref="F16:H16"/>
    <mergeCell ref="I16:J16"/>
    <mergeCell ref="K16:M16"/>
    <mergeCell ref="C17:E17"/>
    <mergeCell ref="F17:H17"/>
    <mergeCell ref="I17:J17"/>
    <mergeCell ref="K17:M17"/>
    <mergeCell ref="C18:E18"/>
    <mergeCell ref="F18:H18"/>
    <mergeCell ref="I18:J18"/>
    <mergeCell ref="K18:M18"/>
    <mergeCell ref="C19:E19"/>
    <mergeCell ref="F19:H19"/>
    <mergeCell ref="I19:J19"/>
    <mergeCell ref="K19:M19"/>
    <mergeCell ref="C20:E20"/>
    <mergeCell ref="F20:H20"/>
    <mergeCell ref="I20:J20"/>
    <mergeCell ref="K20:M20"/>
    <mergeCell ref="C21:E21"/>
    <mergeCell ref="F21:H21"/>
    <mergeCell ref="I21:J21"/>
    <mergeCell ref="K21:M21"/>
    <mergeCell ref="C22:E22"/>
    <mergeCell ref="F22:H22"/>
    <mergeCell ref="I22:J22"/>
    <mergeCell ref="K22:M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11613-FEB2-4F4E-AE9B-E07D47E792EC}">
  <sheetPr codeName="Foglio1"/>
  <dimension ref="B2:AI79"/>
  <sheetViews>
    <sheetView tabSelected="1" topLeftCell="A4" zoomScaleNormal="100" workbookViewId="0">
      <selection activeCell="I50" sqref="I50"/>
    </sheetView>
  </sheetViews>
  <sheetFormatPr defaultRowHeight="15" x14ac:dyDescent="0.25"/>
  <cols>
    <col min="1" max="1" width="2.7109375" customWidth="1"/>
    <col min="2" max="2" width="13" customWidth="1"/>
    <col min="3" max="3" width="11.7109375" bestFit="1" customWidth="1"/>
    <col min="4" max="4" width="12" bestFit="1" customWidth="1"/>
    <col min="5" max="5" width="2.7109375" customWidth="1"/>
    <col min="6" max="6" width="15.28515625" bestFit="1" customWidth="1"/>
    <col min="7" max="7" width="11.28515625" bestFit="1" customWidth="1"/>
    <col min="8" max="8" width="11.7109375" customWidth="1"/>
    <col min="9" max="9" width="12" customWidth="1"/>
    <col min="10" max="10" width="2.7109375" customWidth="1"/>
    <col min="11" max="11" width="12.42578125" style="1" hidden="1" customWidth="1"/>
    <col min="12" max="12" width="11.7109375" style="1" hidden="1" customWidth="1"/>
    <col min="13" max="13" width="13" style="1" hidden="1" customWidth="1"/>
    <col min="14" max="14" width="12.7109375" style="1" hidden="1" customWidth="1"/>
    <col min="15" max="15" width="12.5703125" hidden="1" customWidth="1"/>
    <col min="16" max="16" width="2.7109375" customWidth="1"/>
    <col min="17" max="17" width="12.42578125" bestFit="1" customWidth="1"/>
    <col min="18" max="18" width="11.7109375" bestFit="1" customWidth="1"/>
    <col min="19" max="19" width="12" bestFit="1" customWidth="1"/>
    <col min="20" max="20" width="2.7109375" customWidth="1"/>
    <col min="36" max="41" width="9.140625" customWidth="1"/>
    <col min="42" max="42" width="12.42578125" bestFit="1" customWidth="1"/>
    <col min="43" max="43" width="11.7109375" bestFit="1" customWidth="1"/>
    <col min="44" max="44" width="12" bestFit="1" customWidth="1"/>
  </cols>
  <sheetData>
    <row r="2" spans="2:24" x14ac:dyDescent="0.25">
      <c r="B2" s="52" t="s">
        <v>8</v>
      </c>
      <c r="C2" s="52"/>
      <c r="F2" s="1"/>
      <c r="G2" s="13" t="s">
        <v>9</v>
      </c>
      <c r="H2" s="13" t="s">
        <v>10</v>
      </c>
      <c r="I2" s="13" t="s">
        <v>11</v>
      </c>
    </row>
    <row r="3" spans="2:24" x14ac:dyDescent="0.25">
      <c r="B3" s="9" t="s">
        <v>12</v>
      </c>
      <c r="C3" s="18">
        <v>199.94800000000001</v>
      </c>
      <c r="F3" s="11" t="s">
        <v>13</v>
      </c>
      <c r="G3" s="16">
        <v>3</v>
      </c>
      <c r="H3" s="14">
        <f>VLOOKUP(G3,K8:L79,2,FALSE)</f>
        <v>200</v>
      </c>
      <c r="I3" s="14">
        <v>0</v>
      </c>
      <c r="V3" s="21"/>
      <c r="W3" s="22" t="s">
        <v>14</v>
      </c>
      <c r="X3" s="23"/>
    </row>
    <row r="4" spans="2:24" x14ac:dyDescent="0.25">
      <c r="B4" s="10" t="s">
        <v>15</v>
      </c>
      <c r="C4" s="19">
        <v>7833.41</v>
      </c>
      <c r="F4" s="12" t="s">
        <v>16</v>
      </c>
      <c r="G4" s="17">
        <v>34</v>
      </c>
      <c r="H4" s="15">
        <f>VLOOKUP(G4,K8:L79,2,FALSE)</f>
        <v>5800</v>
      </c>
      <c r="I4" s="15">
        <v>0</v>
      </c>
      <c r="V4" s="24"/>
      <c r="W4" s="25"/>
      <c r="X4" s="26"/>
    </row>
    <row r="5" spans="2:24" x14ac:dyDescent="0.25">
      <c r="V5" s="27"/>
      <c r="W5" s="28" t="s">
        <v>17</v>
      </c>
      <c r="X5" s="29"/>
    </row>
    <row r="6" spans="2:24" x14ac:dyDescent="0.25">
      <c r="B6" s="51" t="s">
        <v>18</v>
      </c>
      <c r="C6" s="51"/>
      <c r="D6" s="51"/>
      <c r="F6" s="51" t="s">
        <v>17</v>
      </c>
      <c r="G6" s="51"/>
      <c r="H6" s="51"/>
      <c r="I6" s="51"/>
      <c r="K6" s="51" t="s">
        <v>19</v>
      </c>
      <c r="L6" s="51"/>
      <c r="M6" s="51"/>
      <c r="N6" s="51"/>
      <c r="O6" s="51"/>
      <c r="Q6" s="51" t="s">
        <v>20</v>
      </c>
      <c r="R6" s="51"/>
      <c r="S6" s="51"/>
    </row>
    <row r="7" spans="2:24" x14ac:dyDescent="0.25">
      <c r="B7" t="s">
        <v>21</v>
      </c>
      <c r="C7" s="1" t="s">
        <v>22</v>
      </c>
      <c r="D7" s="1" t="s">
        <v>23</v>
      </c>
      <c r="F7" s="1" t="s">
        <v>24</v>
      </c>
      <c r="G7" s="1" t="s">
        <v>25</v>
      </c>
      <c r="H7" s="1" t="s">
        <v>10</v>
      </c>
      <c r="I7" s="2" t="s">
        <v>11</v>
      </c>
      <c r="K7" s="1" t="s">
        <v>9</v>
      </c>
      <c r="L7" s="1" t="s">
        <v>10</v>
      </c>
      <c r="M7" s="1" t="s">
        <v>26</v>
      </c>
      <c r="N7" s="1" t="s">
        <v>27</v>
      </c>
      <c r="O7" t="s">
        <v>28</v>
      </c>
      <c r="Q7" s="1" t="s">
        <v>9</v>
      </c>
      <c r="R7" s="1" t="s">
        <v>10</v>
      </c>
      <c r="S7" s="2" t="s">
        <v>11</v>
      </c>
    </row>
    <row r="8" spans="2:24" x14ac:dyDescent="0.25">
      <c r="B8" s="7">
        <v>1</v>
      </c>
      <c r="C8" s="7">
        <v>100</v>
      </c>
      <c r="D8" s="7">
        <v>100</v>
      </c>
      <c r="F8" s="7">
        <v>16</v>
      </c>
      <c r="G8" s="7">
        <v>500</v>
      </c>
      <c r="H8" s="8">
        <f>VLOOKUP(F8,$K$8:$O$79,2,FALSE)</f>
        <v>2500</v>
      </c>
      <c r="I8" s="3">
        <v>0</v>
      </c>
      <c r="K8" s="1">
        <v>1</v>
      </c>
      <c r="L8" s="1">
        <v>0</v>
      </c>
      <c r="M8" s="1">
        <v>0</v>
      </c>
      <c r="N8" s="1">
        <v>0</v>
      </c>
      <c r="O8" s="1">
        <v>0</v>
      </c>
      <c r="Q8" s="3">
        <v>1</v>
      </c>
      <c r="R8" s="3">
        <v>0</v>
      </c>
      <c r="S8" s="3">
        <v>0.51634486000000002</v>
      </c>
    </row>
    <row r="9" spans="2:24" x14ac:dyDescent="0.25">
      <c r="B9" s="7">
        <v>2</v>
      </c>
      <c r="C9" s="7">
        <v>100</v>
      </c>
      <c r="D9" s="7">
        <v>100</v>
      </c>
      <c r="F9" s="7">
        <v>21</v>
      </c>
      <c r="G9" s="7">
        <v>500</v>
      </c>
      <c r="H9" s="8">
        <f>VLOOKUP(F9,$K$8:$O$79,2,FALSE)</f>
        <v>3500</v>
      </c>
      <c r="I9" s="3">
        <v>0</v>
      </c>
      <c r="K9" s="1">
        <v>1</v>
      </c>
      <c r="L9" s="1">
        <v>0</v>
      </c>
      <c r="M9" s="1">
        <v>50</v>
      </c>
      <c r="N9" s="1">
        <v>-50</v>
      </c>
      <c r="O9" s="1">
        <v>0</v>
      </c>
      <c r="Q9" s="3">
        <v>2</v>
      </c>
      <c r="R9" s="3">
        <v>100</v>
      </c>
      <c r="S9" s="3">
        <v>0.25819036000000001</v>
      </c>
    </row>
    <row r="10" spans="2:24" x14ac:dyDescent="0.25">
      <c r="B10" s="7">
        <v>3</v>
      </c>
      <c r="C10" s="7">
        <v>100</v>
      </c>
      <c r="D10" s="7">
        <v>100</v>
      </c>
      <c r="F10" s="1"/>
      <c r="G10" s="1"/>
      <c r="H10" s="3"/>
      <c r="I10" s="3"/>
      <c r="K10" s="1">
        <v>2</v>
      </c>
      <c r="L10" s="1">
        <v>100</v>
      </c>
      <c r="M10" s="1">
        <v>50</v>
      </c>
      <c r="N10" s="1">
        <v>-50</v>
      </c>
      <c r="O10" s="1">
        <v>0</v>
      </c>
      <c r="Q10" s="3">
        <v>3</v>
      </c>
      <c r="R10" s="3">
        <v>200</v>
      </c>
      <c r="S10" s="3">
        <v>0</v>
      </c>
    </row>
    <row r="11" spans="2:24" x14ac:dyDescent="0.25">
      <c r="B11" s="7">
        <v>4</v>
      </c>
      <c r="C11" s="7">
        <v>100</v>
      </c>
      <c r="D11" s="7">
        <v>100</v>
      </c>
      <c r="F11" s="1"/>
      <c r="G11" s="1"/>
      <c r="H11" s="3"/>
      <c r="I11" s="3"/>
      <c r="K11" s="1">
        <v>2</v>
      </c>
      <c r="L11" s="1">
        <v>100</v>
      </c>
      <c r="M11" s="1">
        <v>50</v>
      </c>
      <c r="N11" s="1">
        <v>-50</v>
      </c>
      <c r="O11" s="1">
        <v>0</v>
      </c>
      <c r="Q11" s="3">
        <v>4</v>
      </c>
      <c r="R11" s="3">
        <v>300</v>
      </c>
      <c r="S11" s="3">
        <v>-0.25615406000000002</v>
      </c>
    </row>
    <row r="12" spans="2:24" x14ac:dyDescent="0.25">
      <c r="B12" s="7">
        <v>5</v>
      </c>
      <c r="C12" s="7">
        <v>100</v>
      </c>
      <c r="D12" s="7">
        <v>100</v>
      </c>
      <c r="K12" s="1">
        <v>3</v>
      </c>
      <c r="L12" s="1">
        <v>200</v>
      </c>
      <c r="M12" s="1">
        <v>50</v>
      </c>
      <c r="N12" s="1">
        <v>-50</v>
      </c>
      <c r="O12" s="1">
        <v>0</v>
      </c>
      <c r="Q12" s="3">
        <v>5</v>
      </c>
      <c r="R12" s="3">
        <v>400</v>
      </c>
      <c r="S12" s="3">
        <v>-0.49960357999999999</v>
      </c>
    </row>
    <row r="13" spans="2:24" x14ac:dyDescent="0.25">
      <c r="B13" s="7">
        <v>6</v>
      </c>
      <c r="C13" s="7">
        <v>200</v>
      </c>
      <c r="D13" s="7">
        <v>200</v>
      </c>
      <c r="K13" s="1">
        <v>3</v>
      </c>
      <c r="L13" s="1">
        <v>200</v>
      </c>
      <c r="M13" s="1">
        <v>50</v>
      </c>
      <c r="N13" s="1">
        <v>-50</v>
      </c>
      <c r="O13" s="1">
        <v>0</v>
      </c>
      <c r="Q13" s="3">
        <v>6</v>
      </c>
      <c r="R13" s="3">
        <v>500</v>
      </c>
      <c r="S13" s="3">
        <v>-0.71757749999999998</v>
      </c>
    </row>
    <row r="14" spans="2:24" x14ac:dyDescent="0.25">
      <c r="B14" s="7">
        <v>7</v>
      </c>
      <c r="C14" s="7">
        <v>200</v>
      </c>
      <c r="D14" s="7">
        <v>200</v>
      </c>
      <c r="K14" s="1">
        <v>4</v>
      </c>
      <c r="L14" s="1">
        <v>300</v>
      </c>
      <c r="M14" s="1">
        <v>50</v>
      </c>
      <c r="N14" s="1">
        <v>-50</v>
      </c>
      <c r="O14" s="1">
        <v>0</v>
      </c>
      <c r="Q14" s="3">
        <v>7</v>
      </c>
      <c r="R14" s="3">
        <v>700</v>
      </c>
      <c r="S14" s="3">
        <v>-1.1137463000000001</v>
      </c>
    </row>
    <row r="15" spans="2:24" x14ac:dyDescent="0.25">
      <c r="B15" s="7">
        <v>8</v>
      </c>
      <c r="C15" s="7">
        <v>200</v>
      </c>
      <c r="D15" s="7">
        <v>200</v>
      </c>
      <c r="K15" s="1">
        <v>4</v>
      </c>
      <c r="L15" s="1">
        <v>300</v>
      </c>
      <c r="M15" s="1">
        <v>50</v>
      </c>
      <c r="N15" s="1">
        <v>-50</v>
      </c>
      <c r="O15" s="1">
        <v>0</v>
      </c>
      <c r="Q15" s="3">
        <v>8</v>
      </c>
      <c r="R15" s="3">
        <v>900</v>
      </c>
      <c r="S15" s="3">
        <v>-1.49417149</v>
      </c>
    </row>
    <row r="16" spans="2:24" x14ac:dyDescent="0.25">
      <c r="B16" s="7">
        <v>9</v>
      </c>
      <c r="C16" s="7">
        <v>200</v>
      </c>
      <c r="D16" s="7">
        <v>200</v>
      </c>
      <c r="K16" s="1">
        <v>5</v>
      </c>
      <c r="L16" s="1">
        <v>400</v>
      </c>
      <c r="M16" s="1">
        <v>50</v>
      </c>
      <c r="N16" s="1">
        <v>-50</v>
      </c>
      <c r="O16" s="1">
        <v>0</v>
      </c>
      <c r="Q16" s="3">
        <v>9</v>
      </c>
      <c r="R16" s="3">
        <v>1100</v>
      </c>
      <c r="S16" s="3">
        <v>-1.85288253</v>
      </c>
    </row>
    <row r="17" spans="2:19" x14ac:dyDescent="0.25">
      <c r="B17" s="7">
        <v>10</v>
      </c>
      <c r="C17" s="7">
        <v>200</v>
      </c>
      <c r="D17" s="7">
        <v>200</v>
      </c>
      <c r="K17" s="1">
        <v>5</v>
      </c>
      <c r="L17" s="1">
        <v>400</v>
      </c>
      <c r="M17" s="1">
        <v>50</v>
      </c>
      <c r="N17" s="1">
        <v>-50</v>
      </c>
      <c r="O17" s="1">
        <v>0</v>
      </c>
      <c r="Q17" s="3">
        <v>10</v>
      </c>
      <c r="R17" s="3">
        <v>1300</v>
      </c>
      <c r="S17" s="3">
        <v>-2.18415435</v>
      </c>
    </row>
    <row r="18" spans="2:19" x14ac:dyDescent="0.25">
      <c r="B18" s="7">
        <v>11</v>
      </c>
      <c r="C18" s="7">
        <v>200</v>
      </c>
      <c r="D18" s="7">
        <v>200</v>
      </c>
      <c r="K18" s="1">
        <v>6</v>
      </c>
      <c r="L18" s="1">
        <v>500</v>
      </c>
      <c r="M18" s="1">
        <v>50</v>
      </c>
      <c r="N18" s="1">
        <v>-50</v>
      </c>
      <c r="O18" s="1">
        <v>0</v>
      </c>
      <c r="Q18" s="3">
        <v>11</v>
      </c>
      <c r="R18" s="3">
        <v>1500</v>
      </c>
      <c r="S18" s="3">
        <v>-2.4825084400000001</v>
      </c>
    </row>
    <row r="19" spans="2:19" x14ac:dyDescent="0.25">
      <c r="B19" s="7">
        <v>12</v>
      </c>
      <c r="C19" s="7">
        <v>200</v>
      </c>
      <c r="D19" s="7">
        <v>200</v>
      </c>
      <c r="K19" s="1">
        <v>6</v>
      </c>
      <c r="L19" s="1">
        <v>500</v>
      </c>
      <c r="M19" s="1">
        <v>100</v>
      </c>
      <c r="N19" s="1">
        <v>-100</v>
      </c>
      <c r="O19" s="1">
        <v>0</v>
      </c>
      <c r="Q19" s="3">
        <v>12</v>
      </c>
      <c r="R19" s="3">
        <v>1700</v>
      </c>
      <c r="S19" s="3">
        <v>-2.7427115500000001</v>
      </c>
    </row>
    <row r="20" spans="2:19" x14ac:dyDescent="0.25">
      <c r="B20" s="7">
        <v>13</v>
      </c>
      <c r="C20" s="7">
        <v>200</v>
      </c>
      <c r="D20" s="7">
        <v>200</v>
      </c>
      <c r="K20" s="1">
        <v>7</v>
      </c>
      <c r="L20" s="1">
        <v>700</v>
      </c>
      <c r="M20" s="1">
        <v>100</v>
      </c>
      <c r="N20" s="1">
        <v>-100</v>
      </c>
      <c r="O20" s="1">
        <v>0</v>
      </c>
      <c r="Q20" s="3">
        <v>13</v>
      </c>
      <c r="R20" s="3">
        <v>1900</v>
      </c>
      <c r="S20" s="3">
        <v>-2.9597764</v>
      </c>
    </row>
    <row r="21" spans="2:19" x14ac:dyDescent="0.25">
      <c r="B21" s="7">
        <v>14</v>
      </c>
      <c r="C21" s="7">
        <v>200</v>
      </c>
      <c r="D21" s="7">
        <v>200</v>
      </c>
      <c r="K21" s="1">
        <v>7</v>
      </c>
      <c r="L21" s="1">
        <v>700</v>
      </c>
      <c r="M21" s="1">
        <v>100</v>
      </c>
      <c r="N21" s="1">
        <v>-100</v>
      </c>
      <c r="O21" s="1">
        <v>0</v>
      </c>
      <c r="Q21" s="3">
        <v>14</v>
      </c>
      <c r="R21" s="3">
        <v>2100</v>
      </c>
      <c r="S21" s="3">
        <v>-3.1289618799999999</v>
      </c>
    </row>
    <row r="22" spans="2:19" x14ac:dyDescent="0.25">
      <c r="B22" s="7">
        <v>15</v>
      </c>
      <c r="C22" s="7">
        <v>200</v>
      </c>
      <c r="D22" s="7">
        <v>200</v>
      </c>
      <c r="K22" s="1">
        <v>8</v>
      </c>
      <c r="L22" s="1">
        <v>900</v>
      </c>
      <c r="M22" s="1">
        <v>100</v>
      </c>
      <c r="N22" s="1">
        <v>-100</v>
      </c>
      <c r="O22" s="1">
        <v>0</v>
      </c>
      <c r="Q22" s="3">
        <v>15</v>
      </c>
      <c r="R22" s="3">
        <v>2300</v>
      </c>
      <c r="S22" s="3">
        <v>-3.2457726299999998</v>
      </c>
    </row>
    <row r="23" spans="2:19" x14ac:dyDescent="0.25">
      <c r="B23" s="7">
        <v>16</v>
      </c>
      <c r="C23" s="7">
        <v>200</v>
      </c>
      <c r="D23" s="7">
        <v>300</v>
      </c>
      <c r="K23" s="1">
        <v>8</v>
      </c>
      <c r="L23" s="1">
        <v>900</v>
      </c>
      <c r="M23" s="1">
        <v>100</v>
      </c>
      <c r="N23" s="1">
        <v>-100</v>
      </c>
      <c r="O23" s="1">
        <v>0</v>
      </c>
      <c r="Q23" s="3">
        <v>16</v>
      </c>
      <c r="R23" s="3">
        <v>2500</v>
      </c>
      <c r="S23" s="3">
        <v>-3.3059589599999999</v>
      </c>
    </row>
    <row r="24" spans="2:19" x14ac:dyDescent="0.25">
      <c r="B24" s="7">
        <v>17</v>
      </c>
      <c r="C24" s="7">
        <v>200</v>
      </c>
      <c r="D24" s="7">
        <v>300</v>
      </c>
      <c r="K24" s="1">
        <v>9</v>
      </c>
      <c r="L24" s="1">
        <v>1100</v>
      </c>
      <c r="M24" s="1">
        <v>100</v>
      </c>
      <c r="N24" s="1">
        <v>-100</v>
      </c>
      <c r="O24" s="1">
        <v>0</v>
      </c>
      <c r="Q24" s="3">
        <v>17</v>
      </c>
      <c r="R24" s="3">
        <v>2700</v>
      </c>
      <c r="S24" s="3">
        <v>-3.3304470799999999</v>
      </c>
    </row>
    <row r="25" spans="2:19" x14ac:dyDescent="0.25">
      <c r="B25" s="7">
        <v>18</v>
      </c>
      <c r="C25" s="7">
        <v>200</v>
      </c>
      <c r="D25" s="7">
        <v>300</v>
      </c>
      <c r="K25" s="1">
        <v>9</v>
      </c>
      <c r="L25" s="1">
        <v>1100</v>
      </c>
      <c r="M25" s="1">
        <v>100</v>
      </c>
      <c r="N25" s="1">
        <v>-100</v>
      </c>
      <c r="O25" s="1">
        <v>0</v>
      </c>
      <c r="Q25" s="3">
        <v>18</v>
      </c>
      <c r="R25" s="3">
        <v>2900</v>
      </c>
      <c r="S25" s="3">
        <v>-3.3427457899999999</v>
      </c>
    </row>
    <row r="26" spans="2:19" x14ac:dyDescent="0.25">
      <c r="B26" s="7">
        <v>19</v>
      </c>
      <c r="C26" s="7">
        <v>200</v>
      </c>
      <c r="D26" s="7">
        <v>300</v>
      </c>
      <c r="K26" s="1">
        <v>10</v>
      </c>
      <c r="L26" s="1">
        <v>1300</v>
      </c>
      <c r="M26" s="1">
        <v>100</v>
      </c>
      <c r="N26" s="1">
        <v>-100</v>
      </c>
      <c r="O26" s="1">
        <v>0</v>
      </c>
      <c r="Q26" s="3">
        <v>19</v>
      </c>
      <c r="R26" s="3">
        <v>3100</v>
      </c>
      <c r="S26" s="3">
        <v>-3.3427458200000002</v>
      </c>
    </row>
    <row r="27" spans="2:19" x14ac:dyDescent="0.25">
      <c r="B27" s="7">
        <v>20</v>
      </c>
      <c r="C27" s="7">
        <v>200</v>
      </c>
      <c r="D27" s="7">
        <v>300</v>
      </c>
      <c r="K27" s="1">
        <v>10</v>
      </c>
      <c r="L27" s="1">
        <v>1300</v>
      </c>
      <c r="M27" s="1">
        <v>100</v>
      </c>
      <c r="N27" s="1">
        <v>-100</v>
      </c>
      <c r="O27" s="1">
        <v>0</v>
      </c>
      <c r="Q27" s="3">
        <v>20</v>
      </c>
      <c r="R27" s="3">
        <v>3300</v>
      </c>
      <c r="S27" s="3">
        <v>-3.3304471699999998</v>
      </c>
    </row>
    <row r="28" spans="2:19" x14ac:dyDescent="0.25">
      <c r="B28" s="7">
        <v>21</v>
      </c>
      <c r="C28" s="7">
        <v>200</v>
      </c>
      <c r="D28" s="7">
        <v>200</v>
      </c>
      <c r="K28" s="1">
        <v>11</v>
      </c>
      <c r="L28" s="1">
        <v>1500</v>
      </c>
      <c r="M28" s="1">
        <v>100</v>
      </c>
      <c r="N28" s="1">
        <v>-100</v>
      </c>
      <c r="O28" s="1">
        <v>0</v>
      </c>
      <c r="Q28" s="3">
        <v>21</v>
      </c>
      <c r="R28" s="3">
        <v>3500</v>
      </c>
      <c r="S28" s="3">
        <v>-3.3059590999999999</v>
      </c>
    </row>
    <row r="29" spans="2:19" x14ac:dyDescent="0.25">
      <c r="B29" s="7">
        <v>22</v>
      </c>
      <c r="C29" s="7">
        <v>200</v>
      </c>
      <c r="D29" s="7">
        <v>200</v>
      </c>
      <c r="K29" s="1">
        <v>11</v>
      </c>
      <c r="L29" s="1">
        <v>1500</v>
      </c>
      <c r="M29" s="1">
        <v>100</v>
      </c>
      <c r="N29" s="1">
        <v>-100</v>
      </c>
      <c r="O29" s="1">
        <v>0</v>
      </c>
      <c r="Q29" s="3">
        <v>22</v>
      </c>
      <c r="R29" s="3">
        <v>3700</v>
      </c>
      <c r="S29" s="3">
        <v>-3.24577282</v>
      </c>
    </row>
    <row r="30" spans="2:19" x14ac:dyDescent="0.25">
      <c r="B30" s="7">
        <v>23</v>
      </c>
      <c r="C30" s="7">
        <v>200</v>
      </c>
      <c r="D30" s="7">
        <v>200</v>
      </c>
      <c r="K30" s="1">
        <v>12</v>
      </c>
      <c r="L30" s="1">
        <v>1700</v>
      </c>
      <c r="M30" s="1">
        <v>100</v>
      </c>
      <c r="N30" s="1">
        <v>-100</v>
      </c>
      <c r="O30" s="1">
        <v>0</v>
      </c>
      <c r="Q30" s="3">
        <v>23</v>
      </c>
      <c r="R30" s="3">
        <v>3900</v>
      </c>
      <c r="S30" s="3">
        <v>-3.1289621300000001</v>
      </c>
    </row>
    <row r="31" spans="2:19" x14ac:dyDescent="0.25">
      <c r="B31" s="7">
        <v>24</v>
      </c>
      <c r="C31" s="7">
        <v>200</v>
      </c>
      <c r="D31" s="7">
        <v>200</v>
      </c>
      <c r="K31" s="1">
        <v>12</v>
      </c>
      <c r="L31" s="1">
        <v>1700</v>
      </c>
      <c r="M31" s="1">
        <v>100</v>
      </c>
      <c r="N31" s="1">
        <v>-100</v>
      </c>
      <c r="O31" s="1">
        <v>0</v>
      </c>
      <c r="Q31" s="3">
        <v>24</v>
      </c>
      <c r="R31" s="3">
        <v>4100</v>
      </c>
      <c r="S31" s="3">
        <v>-2.9597768200000001</v>
      </c>
    </row>
    <row r="32" spans="2:19" x14ac:dyDescent="0.25">
      <c r="B32" s="7">
        <v>25</v>
      </c>
      <c r="C32" s="7">
        <v>200</v>
      </c>
      <c r="D32" s="7">
        <v>200</v>
      </c>
      <c r="K32" s="1">
        <v>13</v>
      </c>
      <c r="L32" s="1">
        <v>1900</v>
      </c>
      <c r="M32" s="1">
        <v>100</v>
      </c>
      <c r="N32" s="1">
        <v>-100</v>
      </c>
      <c r="O32" s="1">
        <v>0</v>
      </c>
      <c r="Q32" s="3">
        <v>25</v>
      </c>
      <c r="R32" s="3">
        <v>4300</v>
      </c>
      <c r="S32" s="3">
        <v>-2.7427116100000002</v>
      </c>
    </row>
    <row r="33" spans="2:35" x14ac:dyDescent="0.25">
      <c r="B33" s="7">
        <v>26</v>
      </c>
      <c r="C33" s="7">
        <v>200</v>
      </c>
      <c r="D33" s="7">
        <v>200</v>
      </c>
      <c r="K33" s="1">
        <v>13</v>
      </c>
      <c r="L33" s="1">
        <v>1900</v>
      </c>
      <c r="M33" s="1">
        <v>100</v>
      </c>
      <c r="N33" s="1">
        <v>-100</v>
      </c>
      <c r="O33" s="1">
        <v>0</v>
      </c>
      <c r="Q33" s="3">
        <v>26</v>
      </c>
      <c r="R33" s="3">
        <v>4500</v>
      </c>
      <c r="S33" s="3">
        <v>-2.48250883</v>
      </c>
      <c r="U33" s="49" t="s">
        <v>29</v>
      </c>
      <c r="V33" s="49"/>
      <c r="W33" s="49"/>
      <c r="X33" s="49"/>
      <c r="Z33" s="49" t="s">
        <v>30</v>
      </c>
      <c r="AA33" s="49"/>
      <c r="AB33" s="49"/>
      <c r="AC33" s="49"/>
      <c r="AD33" s="49"/>
      <c r="AH33" s="47" t="s">
        <v>31</v>
      </c>
      <c r="AI33" s="47"/>
    </row>
    <row r="34" spans="2:35" x14ac:dyDescent="0.25">
      <c r="B34" s="7">
        <v>27</v>
      </c>
      <c r="C34" s="7">
        <v>200</v>
      </c>
      <c r="D34" s="7">
        <v>200</v>
      </c>
      <c r="K34" s="1">
        <v>14</v>
      </c>
      <c r="L34" s="1">
        <v>2100</v>
      </c>
      <c r="M34" s="1">
        <v>100</v>
      </c>
      <c r="N34" s="1">
        <v>-100</v>
      </c>
      <c r="O34" s="1">
        <v>0</v>
      </c>
      <c r="Q34" s="3">
        <v>27</v>
      </c>
      <c r="R34" s="3">
        <v>4700</v>
      </c>
      <c r="S34" s="3">
        <v>-2.1841551699999999</v>
      </c>
      <c r="U34" s="49" t="s">
        <v>32</v>
      </c>
      <c r="V34" s="49"/>
      <c r="W34" s="49"/>
      <c r="X34" s="4">
        <v>7842.8876848495402</v>
      </c>
      <c r="Z34" s="49" t="s">
        <v>33</v>
      </c>
      <c r="AA34" s="49"/>
      <c r="AB34" s="49"/>
      <c r="AC34" s="49"/>
      <c r="AD34" s="4">
        <v>779.53361095921503</v>
      </c>
      <c r="AH34" s="48" t="s">
        <v>34</v>
      </c>
      <c r="AI34" s="48"/>
    </row>
    <row r="35" spans="2:35" x14ac:dyDescent="0.25">
      <c r="B35" s="7">
        <v>28</v>
      </c>
      <c r="C35" s="7">
        <v>200</v>
      </c>
      <c r="D35" s="7">
        <v>200</v>
      </c>
      <c r="K35" s="1">
        <v>14</v>
      </c>
      <c r="L35" s="1">
        <v>2100</v>
      </c>
      <c r="M35" s="1">
        <v>100</v>
      </c>
      <c r="N35" s="1">
        <v>-100</v>
      </c>
      <c r="O35" s="1">
        <v>0</v>
      </c>
      <c r="Q35" s="3">
        <v>28</v>
      </c>
      <c r="R35" s="3">
        <v>4900</v>
      </c>
      <c r="S35" s="3">
        <v>-1.8528828100000001</v>
      </c>
      <c r="U35" s="49" t="s">
        <v>35</v>
      </c>
      <c r="V35" s="49"/>
      <c r="W35" s="49"/>
      <c r="X35" s="4">
        <v>7842.8871422679003</v>
      </c>
      <c r="Z35" s="49" t="s">
        <v>36</v>
      </c>
      <c r="AA35" s="49"/>
      <c r="AB35" s="49"/>
      <c r="AC35" s="49"/>
      <c r="AD35" s="49"/>
      <c r="AH35" s="49" t="s">
        <v>37</v>
      </c>
      <c r="AI35" s="49"/>
    </row>
    <row r="36" spans="2:35" x14ac:dyDescent="0.25">
      <c r="B36" s="7">
        <v>29</v>
      </c>
      <c r="C36" s="7">
        <v>200</v>
      </c>
      <c r="D36" s="7">
        <v>200</v>
      </c>
      <c r="K36" s="1">
        <v>15</v>
      </c>
      <c r="L36" s="1">
        <v>2300</v>
      </c>
      <c r="M36" s="1">
        <v>100</v>
      </c>
      <c r="N36" s="1">
        <v>-100</v>
      </c>
      <c r="O36" s="1">
        <v>0</v>
      </c>
      <c r="Q36" s="3">
        <v>29</v>
      </c>
      <c r="R36" s="3">
        <v>5100</v>
      </c>
      <c r="S36" s="3">
        <v>-1.49417223</v>
      </c>
      <c r="U36" s="49" t="s">
        <v>38</v>
      </c>
      <c r="V36" s="49"/>
      <c r="W36" s="49"/>
      <c r="X36" s="49"/>
      <c r="Z36" s="49" t="s">
        <v>33</v>
      </c>
      <c r="AA36" s="49"/>
      <c r="AB36" s="49"/>
      <c r="AC36" s="49"/>
      <c r="AD36" s="4">
        <v>768.272160323246</v>
      </c>
      <c r="AH36" s="50" t="s">
        <v>39</v>
      </c>
      <c r="AI36" s="50"/>
    </row>
    <row r="37" spans="2:35" x14ac:dyDescent="0.25">
      <c r="B37" s="7">
        <v>30</v>
      </c>
      <c r="C37" s="7">
        <v>200</v>
      </c>
      <c r="D37" s="7">
        <v>200</v>
      </c>
      <c r="K37" s="1">
        <v>15</v>
      </c>
      <c r="L37" s="1">
        <v>2300</v>
      </c>
      <c r="M37" s="1">
        <v>100</v>
      </c>
      <c r="N37" s="1">
        <v>-100</v>
      </c>
      <c r="O37" s="1">
        <v>0</v>
      </c>
      <c r="Q37" s="3">
        <v>30</v>
      </c>
      <c r="R37" s="3">
        <v>5300</v>
      </c>
      <c r="S37" s="3">
        <v>-1.1137465</v>
      </c>
      <c r="U37" s="49" t="s">
        <v>32</v>
      </c>
      <c r="V37" s="49"/>
      <c r="W37" s="49"/>
      <c r="X37" s="4">
        <v>4903.0001696261997</v>
      </c>
      <c r="Z37" s="49" t="s">
        <v>30</v>
      </c>
      <c r="AA37" s="49"/>
      <c r="AB37" s="49"/>
      <c r="AC37" s="49"/>
      <c r="AD37" s="49"/>
    </row>
    <row r="38" spans="2:35" x14ac:dyDescent="0.25">
      <c r="B38" s="7">
        <v>31</v>
      </c>
      <c r="C38" s="7">
        <v>100</v>
      </c>
      <c r="D38" s="7">
        <v>100</v>
      </c>
      <c r="K38" s="1">
        <v>16</v>
      </c>
      <c r="L38" s="1">
        <v>2500</v>
      </c>
      <c r="M38" s="1">
        <v>100</v>
      </c>
      <c r="N38" s="1">
        <v>-100</v>
      </c>
      <c r="O38" s="1">
        <v>0</v>
      </c>
      <c r="Q38" s="3">
        <v>31</v>
      </c>
      <c r="R38" s="3">
        <v>5500</v>
      </c>
      <c r="S38" s="3">
        <v>-0.71757808000000001</v>
      </c>
      <c r="U38" s="49" t="s">
        <v>35</v>
      </c>
      <c r="V38" s="49"/>
      <c r="W38" s="49"/>
      <c r="X38" s="4">
        <v>4902.9998304338596</v>
      </c>
      <c r="Z38" s="49" t="s">
        <v>40</v>
      </c>
      <c r="AA38" s="49"/>
      <c r="AB38" s="49"/>
      <c r="AC38" s="49"/>
      <c r="AD38" s="4">
        <v>744.34724764525595</v>
      </c>
    </row>
    <row r="39" spans="2:35" x14ac:dyDescent="0.25">
      <c r="B39" s="7">
        <v>32</v>
      </c>
      <c r="C39" s="7">
        <v>100</v>
      </c>
      <c r="D39" s="7">
        <v>100</v>
      </c>
      <c r="K39" s="1">
        <v>16</v>
      </c>
      <c r="L39" s="1">
        <v>2500</v>
      </c>
      <c r="M39" s="1">
        <v>150</v>
      </c>
      <c r="N39" s="1">
        <v>-150</v>
      </c>
      <c r="O39" s="1">
        <v>0</v>
      </c>
      <c r="Q39" s="3">
        <v>32</v>
      </c>
      <c r="R39" s="3">
        <v>5600</v>
      </c>
      <c r="S39" s="3">
        <v>-0.49960436000000003</v>
      </c>
      <c r="U39" s="49" t="s">
        <v>41</v>
      </c>
      <c r="V39" s="49"/>
      <c r="W39" s="49"/>
      <c r="X39" s="49"/>
      <c r="Z39" s="49" t="s">
        <v>36</v>
      </c>
      <c r="AA39" s="49"/>
      <c r="AB39" s="49"/>
      <c r="AC39" s="49"/>
      <c r="AD39" s="49"/>
    </row>
    <row r="40" spans="2:35" x14ac:dyDescent="0.25">
      <c r="B40" s="7">
        <v>33</v>
      </c>
      <c r="C40" s="7">
        <v>100</v>
      </c>
      <c r="D40" s="7">
        <v>100</v>
      </c>
      <c r="K40" s="1">
        <v>17</v>
      </c>
      <c r="L40" s="1">
        <v>2700</v>
      </c>
      <c r="M40" s="1">
        <v>150</v>
      </c>
      <c r="N40" s="1">
        <v>-150</v>
      </c>
      <c r="O40" s="1">
        <v>0</v>
      </c>
      <c r="Q40" s="3">
        <v>33</v>
      </c>
      <c r="R40" s="3">
        <v>5700</v>
      </c>
      <c r="S40" s="3">
        <v>-0.25615505999999999</v>
      </c>
      <c r="U40" s="49" t="s">
        <v>32</v>
      </c>
      <c r="V40" s="49"/>
      <c r="W40" s="49"/>
      <c r="X40" s="4">
        <v>12745.887854475701</v>
      </c>
      <c r="Z40" s="49" t="s">
        <v>42</v>
      </c>
      <c r="AA40" s="49"/>
      <c r="AB40" s="49"/>
      <c r="AC40" s="49"/>
      <c r="AD40" s="4">
        <v>534.591063533446</v>
      </c>
    </row>
    <row r="41" spans="2:35" x14ac:dyDescent="0.25">
      <c r="B41" s="7">
        <v>34</v>
      </c>
      <c r="C41" s="7">
        <v>100</v>
      </c>
      <c r="D41" s="7">
        <v>100</v>
      </c>
      <c r="K41" s="1">
        <v>17</v>
      </c>
      <c r="L41" s="1">
        <v>2700</v>
      </c>
      <c r="M41" s="1">
        <v>150</v>
      </c>
      <c r="N41" s="1">
        <v>-150</v>
      </c>
      <c r="O41" s="1">
        <v>0</v>
      </c>
      <c r="Q41" s="3">
        <v>34</v>
      </c>
      <c r="R41" s="3">
        <v>5800</v>
      </c>
      <c r="S41" s="3">
        <v>0</v>
      </c>
      <c r="U41" s="49" t="s">
        <v>35</v>
      </c>
      <c r="V41" s="49"/>
      <c r="W41" s="49"/>
      <c r="X41" s="4">
        <v>12745.886972701701</v>
      </c>
    </row>
    <row r="42" spans="2:35" x14ac:dyDescent="0.25">
      <c r="B42" s="7">
        <v>35</v>
      </c>
      <c r="C42" s="7">
        <v>100</v>
      </c>
      <c r="D42" s="7">
        <v>100</v>
      </c>
      <c r="K42" s="1">
        <v>18</v>
      </c>
      <c r="L42" s="1">
        <v>2900</v>
      </c>
      <c r="M42" s="1">
        <v>150</v>
      </c>
      <c r="N42" s="1">
        <v>-150</v>
      </c>
      <c r="O42" s="1">
        <v>0</v>
      </c>
      <c r="Q42" s="3">
        <v>35</v>
      </c>
      <c r="R42" s="3">
        <v>5900</v>
      </c>
      <c r="S42" s="3">
        <v>0.25819017</v>
      </c>
    </row>
    <row r="43" spans="2:35" x14ac:dyDescent="0.25">
      <c r="K43" s="1">
        <v>18</v>
      </c>
      <c r="L43" s="1">
        <v>2900</v>
      </c>
      <c r="M43" s="1">
        <v>150</v>
      </c>
      <c r="N43" s="1">
        <v>-150</v>
      </c>
      <c r="O43" s="1">
        <v>0</v>
      </c>
      <c r="Q43" s="3">
        <v>36</v>
      </c>
      <c r="R43" s="3">
        <v>6000</v>
      </c>
      <c r="S43" s="3">
        <v>0.51634447999999999</v>
      </c>
    </row>
    <row r="44" spans="2:35" x14ac:dyDescent="0.25">
      <c r="K44" s="1">
        <v>19</v>
      </c>
      <c r="L44" s="1">
        <v>3100</v>
      </c>
      <c r="M44" s="1">
        <v>150</v>
      </c>
      <c r="N44" s="1">
        <v>-150</v>
      </c>
      <c r="O44" s="1">
        <v>0</v>
      </c>
    </row>
    <row r="45" spans="2:35" x14ac:dyDescent="0.25">
      <c r="K45" s="1">
        <v>19</v>
      </c>
      <c r="L45" s="1">
        <v>3100</v>
      </c>
      <c r="M45" s="1">
        <v>150</v>
      </c>
      <c r="N45" s="1">
        <v>-150</v>
      </c>
      <c r="O45" s="1">
        <v>0</v>
      </c>
    </row>
    <row r="46" spans="2:35" x14ac:dyDescent="0.25">
      <c r="K46" s="1">
        <v>20</v>
      </c>
      <c r="L46" s="1">
        <v>3300</v>
      </c>
      <c r="M46" s="1">
        <v>150</v>
      </c>
      <c r="N46" s="1">
        <v>-150</v>
      </c>
      <c r="O46" s="1">
        <v>0</v>
      </c>
    </row>
    <row r="47" spans="2:35" x14ac:dyDescent="0.25">
      <c r="K47" s="1">
        <v>20</v>
      </c>
      <c r="L47" s="1">
        <v>3300</v>
      </c>
      <c r="M47" s="1">
        <v>150</v>
      </c>
      <c r="N47" s="1">
        <v>-150</v>
      </c>
      <c r="O47" s="1">
        <v>0</v>
      </c>
    </row>
    <row r="48" spans="2:35" x14ac:dyDescent="0.25">
      <c r="K48" s="1">
        <v>21</v>
      </c>
      <c r="L48" s="1">
        <v>3500</v>
      </c>
      <c r="M48" s="1">
        <v>150</v>
      </c>
      <c r="N48" s="1">
        <v>-150</v>
      </c>
      <c r="O48" s="1">
        <v>0</v>
      </c>
    </row>
    <row r="49" spans="11:15" x14ac:dyDescent="0.25">
      <c r="K49" s="1">
        <v>21</v>
      </c>
      <c r="L49" s="1">
        <v>3500</v>
      </c>
      <c r="M49" s="1">
        <v>100</v>
      </c>
      <c r="N49" s="1">
        <v>-100</v>
      </c>
      <c r="O49" s="1">
        <v>0</v>
      </c>
    </row>
    <row r="50" spans="11:15" x14ac:dyDescent="0.25">
      <c r="K50" s="1">
        <v>22</v>
      </c>
      <c r="L50" s="1">
        <v>3700</v>
      </c>
      <c r="M50" s="1">
        <v>100</v>
      </c>
      <c r="N50" s="1">
        <v>-100</v>
      </c>
      <c r="O50" s="1">
        <v>0</v>
      </c>
    </row>
    <row r="51" spans="11:15" x14ac:dyDescent="0.25">
      <c r="K51" s="1">
        <v>22</v>
      </c>
      <c r="L51" s="1">
        <v>3700</v>
      </c>
      <c r="M51" s="1">
        <v>100</v>
      </c>
      <c r="N51" s="1">
        <v>-100</v>
      </c>
      <c r="O51" s="1">
        <v>0</v>
      </c>
    </row>
    <row r="52" spans="11:15" x14ac:dyDescent="0.25">
      <c r="K52" s="1">
        <v>23</v>
      </c>
      <c r="L52" s="1">
        <v>3900</v>
      </c>
      <c r="M52" s="1">
        <v>100</v>
      </c>
      <c r="N52" s="1">
        <v>-100</v>
      </c>
      <c r="O52" s="1">
        <v>0</v>
      </c>
    </row>
    <row r="53" spans="11:15" x14ac:dyDescent="0.25">
      <c r="K53" s="1">
        <v>23</v>
      </c>
      <c r="L53" s="1">
        <v>3900</v>
      </c>
      <c r="M53" s="1">
        <v>100</v>
      </c>
      <c r="N53" s="1">
        <v>-100</v>
      </c>
      <c r="O53" s="1">
        <v>0</v>
      </c>
    </row>
    <row r="54" spans="11:15" x14ac:dyDescent="0.25">
      <c r="K54" s="1">
        <v>24</v>
      </c>
      <c r="L54" s="1">
        <v>4100</v>
      </c>
      <c r="M54" s="1">
        <v>100</v>
      </c>
      <c r="N54" s="1">
        <v>-100</v>
      </c>
      <c r="O54" s="1">
        <v>0</v>
      </c>
    </row>
    <row r="55" spans="11:15" x14ac:dyDescent="0.25">
      <c r="K55" s="1">
        <v>24</v>
      </c>
      <c r="L55" s="1">
        <v>4100</v>
      </c>
      <c r="M55" s="1">
        <v>100</v>
      </c>
      <c r="N55" s="1">
        <v>-100</v>
      </c>
      <c r="O55" s="1">
        <v>0</v>
      </c>
    </row>
    <row r="56" spans="11:15" x14ac:dyDescent="0.25">
      <c r="K56" s="1">
        <v>25</v>
      </c>
      <c r="L56" s="1">
        <v>4300</v>
      </c>
      <c r="M56" s="1">
        <v>100</v>
      </c>
      <c r="N56" s="1">
        <v>-100</v>
      </c>
      <c r="O56" s="1">
        <v>0</v>
      </c>
    </row>
    <row r="57" spans="11:15" x14ac:dyDescent="0.25">
      <c r="K57" s="1">
        <v>25</v>
      </c>
      <c r="L57" s="1">
        <v>4300</v>
      </c>
      <c r="M57" s="1">
        <v>100</v>
      </c>
      <c r="N57" s="1">
        <v>-100</v>
      </c>
      <c r="O57" s="1">
        <v>0</v>
      </c>
    </row>
    <row r="58" spans="11:15" x14ac:dyDescent="0.25">
      <c r="K58" s="1">
        <v>26</v>
      </c>
      <c r="L58" s="1">
        <v>4500</v>
      </c>
      <c r="M58" s="1">
        <v>100</v>
      </c>
      <c r="N58" s="1">
        <v>-100</v>
      </c>
      <c r="O58" s="1">
        <v>0</v>
      </c>
    </row>
    <row r="59" spans="11:15" x14ac:dyDescent="0.25">
      <c r="K59" s="1">
        <v>26</v>
      </c>
      <c r="L59" s="1">
        <v>4500</v>
      </c>
      <c r="M59" s="1">
        <v>100</v>
      </c>
      <c r="N59" s="1">
        <v>-100</v>
      </c>
      <c r="O59" s="1">
        <v>0</v>
      </c>
    </row>
    <row r="60" spans="11:15" x14ac:dyDescent="0.25">
      <c r="K60" s="1">
        <v>27</v>
      </c>
      <c r="L60" s="1">
        <v>4700</v>
      </c>
      <c r="M60" s="1">
        <v>100</v>
      </c>
      <c r="N60" s="1">
        <v>-100</v>
      </c>
      <c r="O60" s="1">
        <v>0</v>
      </c>
    </row>
    <row r="61" spans="11:15" x14ac:dyDescent="0.25">
      <c r="K61" s="1">
        <v>27</v>
      </c>
      <c r="L61" s="1">
        <v>4700</v>
      </c>
      <c r="M61" s="1">
        <v>100</v>
      </c>
      <c r="N61" s="1">
        <v>-100</v>
      </c>
      <c r="O61" s="1">
        <v>0</v>
      </c>
    </row>
    <row r="62" spans="11:15" x14ac:dyDescent="0.25">
      <c r="K62" s="1">
        <v>28</v>
      </c>
      <c r="L62" s="1">
        <v>4900</v>
      </c>
      <c r="M62" s="1">
        <v>100</v>
      </c>
      <c r="N62" s="1">
        <v>-100</v>
      </c>
      <c r="O62" s="1">
        <v>0</v>
      </c>
    </row>
    <row r="63" spans="11:15" x14ac:dyDescent="0.25">
      <c r="K63" s="1">
        <v>28</v>
      </c>
      <c r="L63" s="1">
        <v>4900</v>
      </c>
      <c r="M63" s="1">
        <v>100</v>
      </c>
      <c r="N63" s="1">
        <v>-100</v>
      </c>
      <c r="O63" s="1">
        <v>0</v>
      </c>
    </row>
    <row r="64" spans="11:15" x14ac:dyDescent="0.25">
      <c r="K64" s="1">
        <v>29</v>
      </c>
      <c r="L64" s="1">
        <v>5100</v>
      </c>
      <c r="M64" s="1">
        <v>100</v>
      </c>
      <c r="N64" s="1">
        <v>-100</v>
      </c>
      <c r="O64" s="1">
        <v>0</v>
      </c>
    </row>
    <row r="65" spans="11:15" x14ac:dyDescent="0.25">
      <c r="K65" s="1">
        <v>29</v>
      </c>
      <c r="L65" s="1">
        <v>5100</v>
      </c>
      <c r="M65" s="1">
        <v>100</v>
      </c>
      <c r="N65" s="1">
        <v>-100</v>
      </c>
      <c r="O65" s="1">
        <v>0</v>
      </c>
    </row>
    <row r="66" spans="11:15" x14ac:dyDescent="0.25">
      <c r="K66" s="1">
        <v>30</v>
      </c>
      <c r="L66" s="1">
        <v>5300</v>
      </c>
      <c r="M66" s="1">
        <v>100</v>
      </c>
      <c r="N66" s="1">
        <v>-100</v>
      </c>
      <c r="O66" s="1">
        <v>0</v>
      </c>
    </row>
    <row r="67" spans="11:15" x14ac:dyDescent="0.25">
      <c r="K67" s="1">
        <v>30</v>
      </c>
      <c r="L67" s="1">
        <v>5300</v>
      </c>
      <c r="M67" s="1">
        <v>100</v>
      </c>
      <c r="N67" s="1">
        <v>-100</v>
      </c>
      <c r="O67" s="1">
        <v>0</v>
      </c>
    </row>
    <row r="68" spans="11:15" x14ac:dyDescent="0.25">
      <c r="K68" s="1">
        <v>31</v>
      </c>
      <c r="L68" s="1">
        <v>5500</v>
      </c>
      <c r="M68" s="1">
        <v>100</v>
      </c>
      <c r="N68" s="1">
        <v>-100</v>
      </c>
      <c r="O68" s="1">
        <v>0</v>
      </c>
    </row>
    <row r="69" spans="11:15" x14ac:dyDescent="0.25">
      <c r="K69" s="1">
        <v>31</v>
      </c>
      <c r="L69" s="1">
        <v>5500</v>
      </c>
      <c r="M69" s="1">
        <v>50</v>
      </c>
      <c r="N69" s="1">
        <v>-50</v>
      </c>
      <c r="O69" s="1">
        <v>0</v>
      </c>
    </row>
    <row r="70" spans="11:15" x14ac:dyDescent="0.25">
      <c r="K70" s="1">
        <v>32</v>
      </c>
      <c r="L70" s="1">
        <v>5600</v>
      </c>
      <c r="M70" s="1">
        <v>50</v>
      </c>
      <c r="N70" s="1">
        <v>-50</v>
      </c>
      <c r="O70" s="1">
        <v>0</v>
      </c>
    </row>
    <row r="71" spans="11:15" x14ac:dyDescent="0.25">
      <c r="K71" s="1">
        <v>32</v>
      </c>
      <c r="L71" s="1">
        <v>5600</v>
      </c>
      <c r="M71" s="1">
        <v>50</v>
      </c>
      <c r="N71" s="1">
        <v>-50</v>
      </c>
      <c r="O71" s="1">
        <v>0</v>
      </c>
    </row>
    <row r="72" spans="11:15" x14ac:dyDescent="0.25">
      <c r="K72" s="1">
        <v>33</v>
      </c>
      <c r="L72" s="1">
        <v>5700</v>
      </c>
      <c r="M72" s="1">
        <v>50</v>
      </c>
      <c r="N72" s="1">
        <v>-50</v>
      </c>
      <c r="O72" s="1">
        <v>0</v>
      </c>
    </row>
    <row r="73" spans="11:15" x14ac:dyDescent="0.25">
      <c r="K73" s="1">
        <v>33</v>
      </c>
      <c r="L73" s="1">
        <v>5700</v>
      </c>
      <c r="M73" s="1">
        <v>50</v>
      </c>
      <c r="N73" s="1">
        <v>-50</v>
      </c>
      <c r="O73" s="1">
        <v>0</v>
      </c>
    </row>
    <row r="74" spans="11:15" x14ac:dyDescent="0.25">
      <c r="K74" s="1">
        <v>34</v>
      </c>
      <c r="L74" s="1">
        <v>5800</v>
      </c>
      <c r="M74" s="1">
        <v>50</v>
      </c>
      <c r="N74" s="1">
        <v>-50</v>
      </c>
      <c r="O74" s="1">
        <v>0</v>
      </c>
    </row>
    <row r="75" spans="11:15" x14ac:dyDescent="0.25">
      <c r="K75" s="1">
        <v>34</v>
      </c>
      <c r="L75" s="1">
        <v>5800</v>
      </c>
      <c r="M75" s="1">
        <v>50</v>
      </c>
      <c r="N75" s="1">
        <v>-50</v>
      </c>
      <c r="O75" s="1">
        <v>0</v>
      </c>
    </row>
    <row r="76" spans="11:15" x14ac:dyDescent="0.25">
      <c r="K76" s="1">
        <v>35</v>
      </c>
      <c r="L76" s="1">
        <v>5900</v>
      </c>
      <c r="M76" s="1">
        <v>50</v>
      </c>
      <c r="N76" s="1">
        <v>-50</v>
      </c>
      <c r="O76" s="1">
        <v>0</v>
      </c>
    </row>
    <row r="77" spans="11:15" x14ac:dyDescent="0.25">
      <c r="K77" s="1">
        <v>35</v>
      </c>
      <c r="L77" s="1">
        <v>5900</v>
      </c>
      <c r="M77" s="1">
        <v>50</v>
      </c>
      <c r="N77" s="1">
        <v>-50</v>
      </c>
      <c r="O77" s="1">
        <v>0</v>
      </c>
    </row>
    <row r="78" spans="11:15" x14ac:dyDescent="0.25">
      <c r="K78" s="1">
        <v>36</v>
      </c>
      <c r="L78" s="1">
        <v>6000</v>
      </c>
      <c r="M78" s="1">
        <v>50</v>
      </c>
      <c r="N78" s="1">
        <v>-50</v>
      </c>
      <c r="O78" s="1">
        <v>0</v>
      </c>
    </row>
    <row r="79" spans="11:15" x14ac:dyDescent="0.25">
      <c r="K79" s="1">
        <v>36</v>
      </c>
      <c r="L79" s="1">
        <v>6000</v>
      </c>
      <c r="M79" s="1">
        <v>0</v>
      </c>
      <c r="N79" s="1">
        <v>0</v>
      </c>
      <c r="O79" s="1">
        <v>0</v>
      </c>
    </row>
  </sheetData>
  <mergeCells count="26">
    <mergeCell ref="U41:W41"/>
    <mergeCell ref="B6:D6"/>
    <mergeCell ref="B2:C2"/>
    <mergeCell ref="F6:I6"/>
    <mergeCell ref="Q6:S6"/>
    <mergeCell ref="U33:X33"/>
    <mergeCell ref="K6:O6"/>
    <mergeCell ref="Z38:AC38"/>
    <mergeCell ref="Z40:AC40"/>
    <mergeCell ref="Z39:AD39"/>
    <mergeCell ref="Z37:AD37"/>
    <mergeCell ref="U34:W34"/>
    <mergeCell ref="U35:W35"/>
    <mergeCell ref="U37:W37"/>
    <mergeCell ref="U38:W38"/>
    <mergeCell ref="U40:W40"/>
    <mergeCell ref="U36:X36"/>
    <mergeCell ref="U39:X39"/>
    <mergeCell ref="AH33:AI33"/>
    <mergeCell ref="AH34:AI34"/>
    <mergeCell ref="AH35:AI35"/>
    <mergeCell ref="AH36:AI36"/>
    <mergeCell ref="Z33:AD33"/>
    <mergeCell ref="Z35:AD35"/>
    <mergeCell ref="Z36:AC36"/>
    <mergeCell ref="Z34:AC3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crivi">
                <anchor moveWithCells="1">
                  <from>
                    <xdr:col>30</xdr:col>
                    <xdr:colOff>0</xdr:colOff>
                    <xdr:row>31</xdr:row>
                    <xdr:rowOff>180975</xdr:rowOff>
                  </from>
                  <to>
                    <xdr:col>32</xdr:col>
                    <xdr:colOff>0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node">
                <anchor moveWithCells="1">
                  <from>
                    <xdr:col>30</xdr:col>
                    <xdr:colOff>0</xdr:colOff>
                    <xdr:row>34</xdr:row>
                    <xdr:rowOff>123825</xdr:rowOff>
                  </from>
                  <to>
                    <xdr:col>32</xdr:col>
                    <xdr:colOff>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ad">
                <anchor moveWithCells="1">
                  <from>
                    <xdr:col>30</xdr:col>
                    <xdr:colOff>0</xdr:colOff>
                    <xdr:row>37</xdr:row>
                    <xdr:rowOff>66675</xdr:rowOff>
                  </from>
                  <to>
                    <xdr:col>32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5A3C72-8E10-45F1-8116-1E991C18EA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B43F431-E86C-4186-B557-1DC548E3A5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AEE843F-26AB-47B8-884A-4610E512020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content</vt:lpstr>
      <vt:lpstr>shaft</vt:lpstr>
    </vt:vector>
  </TitlesOfParts>
  <Manager/>
  <Company>Trillium Flow Technologies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Massimiliano Borghetti</cp:lastModifiedBy>
  <cp:revision/>
  <dcterms:created xsi:type="dcterms:W3CDTF">2023-11-14T13:19:44Z</dcterms:created>
  <dcterms:modified xsi:type="dcterms:W3CDTF">2024-01-10T09:02:54Z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</Properties>
</file>