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00000000-0000-0000-0000-000000000000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110453\Downloads\"/>
    </mc:Choice>
  </mc:AlternateContent>
  <xr:revisionPtr revIDLastSave="0" documentId="13_ncr:1_{7DF79ACA-2E70-4A31-989D-A7EF44FEF92D}" xr6:coauthVersionLast="47" xr6:coauthVersionMax="47" xr10:uidLastSave="{00000000-0000-0000-0000-000000000000}"/>
  <bookViews>
    <workbookView xWindow="-19320" yWindow="-120" windowWidth="19440" windowHeight="15000" xr2:uid="{00000000-000D-0000-FFFF-FFFF00000000}"/>
  </bookViews>
  <sheets>
    <sheet name="Read me" sheetId="16" r:id="rId1"/>
    <sheet name="Campbell Revision" sheetId="10" r:id="rId2"/>
    <sheet name="Campbell" sheetId="15" r:id="rId3"/>
    <sheet name="Campbell Multi" sheetId="13" r:id="rId4"/>
    <sheet name="Campbell VFD" sheetId="14" r:id="rId5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15" l="1"/>
  <c r="AF137" i="15"/>
  <c r="AE137" i="15"/>
  <c r="AD137" i="15"/>
  <c r="AC137" i="15"/>
  <c r="AB137" i="15"/>
  <c r="AA137" i="15"/>
  <c r="Z137" i="15"/>
  <c r="Y137" i="15"/>
  <c r="X137" i="15"/>
  <c r="W137" i="15"/>
  <c r="V137" i="15"/>
  <c r="U137" i="15"/>
  <c r="T137" i="15"/>
  <c r="S137" i="15"/>
  <c r="R137" i="15"/>
  <c r="Q137" i="15"/>
  <c r="P137" i="15"/>
  <c r="O137" i="15"/>
  <c r="N137" i="15"/>
  <c r="M137" i="15"/>
  <c r="L137" i="15"/>
  <c r="K137" i="15"/>
  <c r="J137" i="15"/>
  <c r="I137" i="15"/>
  <c r="H137" i="15"/>
  <c r="G137" i="15"/>
  <c r="F137" i="15"/>
  <c r="E137" i="15"/>
  <c r="D137" i="15"/>
  <c r="C137" i="15"/>
  <c r="AE129" i="15"/>
  <c r="AB123" i="15"/>
  <c r="Z108" i="15"/>
  <c r="AF104" i="15"/>
  <c r="AE104" i="15"/>
  <c r="AD104" i="15"/>
  <c r="AC104" i="15"/>
  <c r="AB104" i="15"/>
  <c r="AA104" i="15"/>
  <c r="Z104" i="15"/>
  <c r="Y104" i="15"/>
  <c r="X104" i="15"/>
  <c r="W104" i="15"/>
  <c r="V104" i="15"/>
  <c r="U104" i="15"/>
  <c r="T104" i="15"/>
  <c r="S104" i="15"/>
  <c r="R104" i="15"/>
  <c r="Q104" i="15"/>
  <c r="P104" i="15"/>
  <c r="O104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N48" i="15"/>
  <c r="P48" i="15" s="1"/>
  <c r="K48" i="15"/>
  <c r="J48" i="15"/>
  <c r="AF128" i="15" s="1"/>
  <c r="F48" i="15"/>
  <c r="M48" i="15" s="1"/>
  <c r="AG35" i="15" s="1"/>
  <c r="N47" i="15"/>
  <c r="P47" i="15" s="1"/>
  <c r="K47" i="15"/>
  <c r="J47" i="15"/>
  <c r="F47" i="15"/>
  <c r="M47" i="15" s="1"/>
  <c r="N46" i="15"/>
  <c r="P46" i="15" s="1"/>
  <c r="K46" i="15"/>
  <c r="J46" i="15"/>
  <c r="AD122" i="15" s="1"/>
  <c r="F46" i="15"/>
  <c r="M46" i="15" s="1"/>
  <c r="N45" i="15"/>
  <c r="P45" i="15" s="1"/>
  <c r="K45" i="15"/>
  <c r="J45" i="15"/>
  <c r="AC123" i="15" s="1"/>
  <c r="F45" i="15"/>
  <c r="M45" i="15" s="1"/>
  <c r="N44" i="15"/>
  <c r="P44" i="15" s="1"/>
  <c r="K44" i="15"/>
  <c r="J44" i="15"/>
  <c r="F44" i="15"/>
  <c r="M44" i="15" s="1"/>
  <c r="N43" i="15"/>
  <c r="P43" i="15" s="1"/>
  <c r="M43" i="15"/>
  <c r="AG30" i="15" s="1"/>
  <c r="K43" i="15"/>
  <c r="J43" i="15"/>
  <c r="AA105" i="15" s="1"/>
  <c r="F43" i="15"/>
  <c r="N42" i="15"/>
  <c r="K42" i="15"/>
  <c r="J42" i="15"/>
  <c r="Z130" i="15" s="1"/>
  <c r="F42" i="15"/>
  <c r="M42" i="15" s="1"/>
  <c r="N41" i="15"/>
  <c r="P41" i="15" s="1"/>
  <c r="K41" i="15"/>
  <c r="J41" i="15"/>
  <c r="Y111" i="15" s="1"/>
  <c r="F41" i="15"/>
  <c r="M41" i="15" s="1"/>
  <c r="N40" i="15"/>
  <c r="P40" i="15" s="1"/>
  <c r="K40" i="15"/>
  <c r="J40" i="15"/>
  <c r="F40" i="15"/>
  <c r="M40" i="15" s="1"/>
  <c r="B159" i="15" s="1"/>
  <c r="P39" i="15"/>
  <c r="N39" i="15"/>
  <c r="K39" i="15"/>
  <c r="J39" i="15"/>
  <c r="F39" i="15"/>
  <c r="M39" i="15" s="1"/>
  <c r="N38" i="15"/>
  <c r="P38" i="15" s="1"/>
  <c r="M38" i="15"/>
  <c r="AG25" i="15" s="1"/>
  <c r="K38" i="15"/>
  <c r="J38" i="15"/>
  <c r="V113" i="15" s="1"/>
  <c r="F38" i="15"/>
  <c r="N37" i="15"/>
  <c r="K37" i="15"/>
  <c r="J37" i="15"/>
  <c r="U113" i="15" s="1"/>
  <c r="F37" i="15"/>
  <c r="M37" i="15" s="1"/>
  <c r="P36" i="15"/>
  <c r="N36" i="15"/>
  <c r="K36" i="15"/>
  <c r="J36" i="15"/>
  <c r="F36" i="15"/>
  <c r="M36" i="15" s="1"/>
  <c r="N35" i="15"/>
  <c r="P35" i="15" s="1"/>
  <c r="K35" i="15"/>
  <c r="J35" i="15"/>
  <c r="S134" i="15" s="1"/>
  <c r="F35" i="15"/>
  <c r="M35" i="15" s="1"/>
  <c r="AG22" i="15" s="1"/>
  <c r="N34" i="15"/>
  <c r="P34" i="15" s="1"/>
  <c r="K34" i="15"/>
  <c r="J34" i="15"/>
  <c r="R128" i="15" s="1"/>
  <c r="F34" i="15"/>
  <c r="M34" i="15" s="1"/>
  <c r="N33" i="15"/>
  <c r="P33" i="15" s="1"/>
  <c r="K33" i="15"/>
  <c r="J33" i="15"/>
  <c r="F33" i="15"/>
  <c r="M33" i="15" s="1"/>
  <c r="AG20" i="15" s="1"/>
  <c r="N32" i="15"/>
  <c r="P32" i="15" s="1"/>
  <c r="M32" i="15"/>
  <c r="AG19" i="15" s="1"/>
  <c r="K32" i="15"/>
  <c r="J32" i="15"/>
  <c r="P110" i="15" s="1"/>
  <c r="F32" i="15"/>
  <c r="P31" i="15"/>
  <c r="N31" i="15"/>
  <c r="M31" i="15"/>
  <c r="K31" i="15"/>
  <c r="J31" i="15"/>
  <c r="O107" i="15" s="1"/>
  <c r="F31" i="15"/>
  <c r="N30" i="15"/>
  <c r="K30" i="15"/>
  <c r="J30" i="15"/>
  <c r="F30" i="15"/>
  <c r="M30" i="15" s="1"/>
  <c r="N29" i="15"/>
  <c r="P29" i="15" s="1"/>
  <c r="K29" i="15"/>
  <c r="J29" i="15"/>
  <c r="M110" i="15" s="1"/>
  <c r="F29" i="15"/>
  <c r="M29" i="15" s="1"/>
  <c r="N28" i="15"/>
  <c r="P28" i="15" s="1"/>
  <c r="K28" i="15"/>
  <c r="J28" i="15"/>
  <c r="L114" i="15" s="1"/>
  <c r="F28" i="15"/>
  <c r="M28" i="15" s="1"/>
  <c r="N27" i="15"/>
  <c r="K27" i="15"/>
  <c r="J27" i="15"/>
  <c r="K126" i="15" s="1"/>
  <c r="F27" i="15"/>
  <c r="M27" i="15" s="1"/>
  <c r="N26" i="15"/>
  <c r="P26" i="15" s="1"/>
  <c r="K26" i="15"/>
  <c r="J26" i="15"/>
  <c r="F26" i="15"/>
  <c r="M26" i="15" s="1"/>
  <c r="AG13" i="15" s="1"/>
  <c r="N25" i="15"/>
  <c r="P25" i="15" s="1"/>
  <c r="K25" i="15"/>
  <c r="J25" i="15"/>
  <c r="F25" i="15"/>
  <c r="M25" i="15" s="1"/>
  <c r="AG12" i="15" s="1"/>
  <c r="N24" i="15"/>
  <c r="P24" i="15" s="1"/>
  <c r="K24" i="15"/>
  <c r="J24" i="15"/>
  <c r="H107" i="15" s="1"/>
  <c r="F24" i="15"/>
  <c r="M24" i="15" s="1"/>
  <c r="AG11" i="15" s="1"/>
  <c r="N23" i="15"/>
  <c r="P23" i="15" s="1"/>
  <c r="K23" i="15"/>
  <c r="J23" i="15"/>
  <c r="F23" i="15"/>
  <c r="M23" i="15" s="1"/>
  <c r="AG10" i="15" s="1"/>
  <c r="N22" i="15"/>
  <c r="P22" i="15" s="1"/>
  <c r="K22" i="15"/>
  <c r="J22" i="15"/>
  <c r="F22" i="15"/>
  <c r="M22" i="15" s="1"/>
  <c r="AG21" i="15"/>
  <c r="N21" i="15"/>
  <c r="P21" i="15" s="1"/>
  <c r="K21" i="15"/>
  <c r="J21" i="15"/>
  <c r="F21" i="15"/>
  <c r="M21" i="15" s="1"/>
  <c r="N20" i="15"/>
  <c r="P20" i="15" s="1"/>
  <c r="K20" i="15"/>
  <c r="J20" i="15"/>
  <c r="D122" i="15" s="1"/>
  <c r="F20" i="15"/>
  <c r="M20" i="15" s="1"/>
  <c r="N19" i="15"/>
  <c r="P19" i="15" s="1"/>
  <c r="K19" i="15"/>
  <c r="J19" i="15"/>
  <c r="C129" i="15" s="1"/>
  <c r="F19" i="15"/>
  <c r="M19" i="15" s="1"/>
  <c r="AG6" i="15" s="1"/>
  <c r="O16" i="15"/>
  <c r="N16" i="15"/>
  <c r="K16" i="15"/>
  <c r="O15" i="15"/>
  <c r="N15" i="15"/>
  <c r="K15" i="15"/>
  <c r="O14" i="15"/>
  <c r="N14" i="15"/>
  <c r="O13" i="15"/>
  <c r="N13" i="15"/>
  <c r="O12" i="15"/>
  <c r="N12" i="15"/>
  <c r="O11" i="15"/>
  <c r="N11" i="15"/>
  <c r="K8" i="15"/>
  <c r="J8" i="15"/>
  <c r="K7" i="15"/>
  <c r="J7" i="15"/>
  <c r="K6" i="15"/>
  <c r="J6" i="15"/>
  <c r="BK5" i="15"/>
  <c r="BJ5" i="15"/>
  <c r="BI5" i="15"/>
  <c r="BH5" i="15"/>
  <c r="BG5" i="15"/>
  <c r="BF5" i="15"/>
  <c r="BE5" i="15"/>
  <c r="BD5" i="15"/>
  <c r="BC5" i="15"/>
  <c r="BB5" i="15"/>
  <c r="BA5" i="15"/>
  <c r="AZ5" i="15"/>
  <c r="AY5" i="15"/>
  <c r="AX5" i="15"/>
  <c r="AW5" i="15"/>
  <c r="AV5" i="15"/>
  <c r="AU5" i="15"/>
  <c r="AT5" i="15"/>
  <c r="AS5" i="15"/>
  <c r="AR5" i="15"/>
  <c r="AQ5" i="15"/>
  <c r="AP5" i="15"/>
  <c r="AO5" i="15"/>
  <c r="AN5" i="15"/>
  <c r="AM5" i="15"/>
  <c r="AL5" i="15"/>
  <c r="AK5" i="15"/>
  <c r="AJ5" i="15"/>
  <c r="AI5" i="15"/>
  <c r="AH5" i="15"/>
  <c r="K5" i="15"/>
  <c r="J5" i="15"/>
  <c r="K4" i="15"/>
  <c r="J4" i="15"/>
  <c r="K3" i="15"/>
  <c r="J3" i="15"/>
  <c r="AF137" i="14"/>
  <c r="AE137" i="14"/>
  <c r="AD137" i="14"/>
  <c r="AC137" i="14"/>
  <c r="AB137" i="14"/>
  <c r="AA137" i="14"/>
  <c r="Z137" i="14"/>
  <c r="Y137" i="14"/>
  <c r="X137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K137" i="14"/>
  <c r="J137" i="14"/>
  <c r="I137" i="14"/>
  <c r="H137" i="14"/>
  <c r="G137" i="14"/>
  <c r="F137" i="14"/>
  <c r="E137" i="14"/>
  <c r="D137" i="14"/>
  <c r="C137" i="14"/>
  <c r="I134" i="14"/>
  <c r="G134" i="14"/>
  <c r="AA120" i="14"/>
  <c r="AA118" i="14"/>
  <c r="AA117" i="14"/>
  <c r="AA115" i="14"/>
  <c r="AF113" i="14"/>
  <c r="AE113" i="14"/>
  <c r="AA113" i="14"/>
  <c r="Y113" i="14"/>
  <c r="AF104" i="14"/>
  <c r="AE104" i="14"/>
  <c r="AD104" i="14"/>
  <c r="AC104" i="14"/>
  <c r="AB104" i="14"/>
  <c r="AA104" i="14"/>
  <c r="Z104" i="14"/>
  <c r="Y104" i="14"/>
  <c r="X104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K104" i="14"/>
  <c r="J104" i="14"/>
  <c r="I104" i="14"/>
  <c r="H104" i="14"/>
  <c r="G104" i="14"/>
  <c r="F104" i="14"/>
  <c r="E104" i="14"/>
  <c r="D104" i="14"/>
  <c r="C104" i="14"/>
  <c r="BK5" i="14"/>
  <c r="BJ5" i="14"/>
  <c r="BI5" i="14"/>
  <c r="BH5" i="14"/>
  <c r="BG5" i="14"/>
  <c r="BF5" i="14"/>
  <c r="BE5" i="14"/>
  <c r="BD5" i="14"/>
  <c r="BC5" i="14"/>
  <c r="BB5" i="14"/>
  <c r="BA5" i="14"/>
  <c r="AZ5" i="14"/>
  <c r="AY5" i="14"/>
  <c r="AX5" i="14"/>
  <c r="AW5" i="14"/>
  <c r="AV5" i="14"/>
  <c r="AU5" i="14"/>
  <c r="AT5" i="14"/>
  <c r="AS5" i="14"/>
  <c r="AR5" i="14"/>
  <c r="AQ5" i="14"/>
  <c r="AP5" i="14"/>
  <c r="AO5" i="14"/>
  <c r="AN5" i="14"/>
  <c r="AM5" i="14"/>
  <c r="AL5" i="14"/>
  <c r="AK5" i="14"/>
  <c r="AJ5" i="14"/>
  <c r="AI5" i="14"/>
  <c r="AH5" i="14"/>
  <c r="N48" i="14"/>
  <c r="P48" i="14" s="1"/>
  <c r="K48" i="14"/>
  <c r="J48" i="14"/>
  <c r="AF129" i="14" s="1"/>
  <c r="F48" i="14"/>
  <c r="M48" i="14" s="1"/>
  <c r="AG35" i="14" s="1"/>
  <c r="N47" i="14"/>
  <c r="P47" i="14" s="1"/>
  <c r="K47" i="14"/>
  <c r="J47" i="14"/>
  <c r="F47" i="14"/>
  <c r="M47" i="14" s="1"/>
  <c r="N46" i="14"/>
  <c r="P46" i="14" s="1"/>
  <c r="K46" i="14"/>
  <c r="J46" i="14"/>
  <c r="F46" i="14"/>
  <c r="M46" i="14" s="1"/>
  <c r="P45" i="14"/>
  <c r="N45" i="14"/>
  <c r="K45" i="14"/>
  <c r="J45" i="14"/>
  <c r="AC113" i="14" s="1"/>
  <c r="F45" i="14"/>
  <c r="M45" i="14" s="1"/>
  <c r="N44" i="14"/>
  <c r="P44" i="14" s="1"/>
  <c r="K44" i="14"/>
  <c r="J44" i="14"/>
  <c r="AB127" i="14" s="1"/>
  <c r="F44" i="14"/>
  <c r="M44" i="14" s="1"/>
  <c r="N43" i="14"/>
  <c r="P43" i="14" s="1"/>
  <c r="K43" i="14"/>
  <c r="J43" i="14"/>
  <c r="AA116" i="14" s="1"/>
  <c r="F43" i="14"/>
  <c r="M43" i="14" s="1"/>
  <c r="P42" i="14"/>
  <c r="N42" i="14"/>
  <c r="K42" i="14"/>
  <c r="J42" i="14"/>
  <c r="Z122" i="14" s="1"/>
  <c r="F42" i="14"/>
  <c r="M42" i="14" s="1"/>
  <c r="B161" i="14" s="1"/>
  <c r="N41" i="14"/>
  <c r="P41" i="14" s="1"/>
  <c r="K41" i="14"/>
  <c r="J41" i="14"/>
  <c r="Y110" i="14" s="1"/>
  <c r="F41" i="14"/>
  <c r="M41" i="14" s="1"/>
  <c r="N40" i="14"/>
  <c r="P40" i="14" s="1"/>
  <c r="K40" i="14"/>
  <c r="J40" i="14"/>
  <c r="X114" i="14" s="1"/>
  <c r="F40" i="14"/>
  <c r="M40" i="14" s="1"/>
  <c r="N39" i="14"/>
  <c r="P39" i="14" s="1"/>
  <c r="K39" i="14"/>
  <c r="J39" i="14"/>
  <c r="W112" i="14" s="1"/>
  <c r="F39" i="14"/>
  <c r="M39" i="14" s="1"/>
  <c r="N38" i="14"/>
  <c r="P38" i="14" s="1"/>
  <c r="K38" i="14"/>
  <c r="J38" i="14"/>
  <c r="F38" i="14"/>
  <c r="M38" i="14" s="1"/>
  <c r="N37" i="14"/>
  <c r="P37" i="14" s="1"/>
  <c r="K37" i="14"/>
  <c r="J37" i="14"/>
  <c r="U117" i="14" s="1"/>
  <c r="F37" i="14"/>
  <c r="M37" i="14" s="1"/>
  <c r="N36" i="14"/>
  <c r="P36" i="14" s="1"/>
  <c r="K36" i="14"/>
  <c r="J36" i="14"/>
  <c r="F36" i="14"/>
  <c r="M36" i="14" s="1"/>
  <c r="P35" i="14"/>
  <c r="N35" i="14"/>
  <c r="K35" i="14"/>
  <c r="J35" i="14"/>
  <c r="S105" i="14" s="1"/>
  <c r="F35" i="14"/>
  <c r="M35" i="14" s="1"/>
  <c r="N34" i="14"/>
  <c r="P34" i="14" s="1"/>
  <c r="K34" i="14"/>
  <c r="J34" i="14"/>
  <c r="R107" i="14" s="1"/>
  <c r="F34" i="14"/>
  <c r="M34" i="14" s="1"/>
  <c r="N33" i="14"/>
  <c r="P33" i="14" s="1"/>
  <c r="M33" i="14"/>
  <c r="AG20" i="14" s="1"/>
  <c r="K33" i="14"/>
  <c r="J33" i="14"/>
  <c r="Q130" i="14" s="1"/>
  <c r="F33" i="14"/>
  <c r="N32" i="14"/>
  <c r="P32" i="14" s="1"/>
  <c r="M32" i="14"/>
  <c r="AG19" i="14" s="1"/>
  <c r="K32" i="14"/>
  <c r="J32" i="14"/>
  <c r="F32" i="14"/>
  <c r="N31" i="14"/>
  <c r="P31" i="14" s="1"/>
  <c r="K31" i="14"/>
  <c r="J31" i="14"/>
  <c r="F31" i="14"/>
  <c r="M31" i="14" s="1"/>
  <c r="N30" i="14"/>
  <c r="P30" i="14" s="1"/>
  <c r="K30" i="14"/>
  <c r="J30" i="14"/>
  <c r="F30" i="14"/>
  <c r="M30" i="14" s="1"/>
  <c r="N29" i="14"/>
  <c r="P29" i="14" s="1"/>
  <c r="K29" i="14"/>
  <c r="J29" i="14"/>
  <c r="M134" i="14" s="1"/>
  <c r="F29" i="14"/>
  <c r="M29" i="14" s="1"/>
  <c r="N28" i="14"/>
  <c r="P28" i="14" s="1"/>
  <c r="K28" i="14"/>
  <c r="J28" i="14"/>
  <c r="L109" i="14" s="1"/>
  <c r="F28" i="14"/>
  <c r="M28" i="14" s="1"/>
  <c r="N27" i="14"/>
  <c r="P27" i="14" s="1"/>
  <c r="K27" i="14"/>
  <c r="J27" i="14"/>
  <c r="K125" i="14" s="1"/>
  <c r="F27" i="14"/>
  <c r="M27" i="14" s="1"/>
  <c r="P26" i="14"/>
  <c r="N26" i="14"/>
  <c r="K26" i="14"/>
  <c r="J26" i="14"/>
  <c r="F26" i="14"/>
  <c r="M26" i="14" s="1"/>
  <c r="N25" i="14"/>
  <c r="P25" i="14" s="1"/>
  <c r="K25" i="14"/>
  <c r="J25" i="14"/>
  <c r="I133" i="14" s="1"/>
  <c r="F25" i="14"/>
  <c r="M25" i="14" s="1"/>
  <c r="N24" i="14"/>
  <c r="P24" i="14" s="1"/>
  <c r="K24" i="14"/>
  <c r="J24" i="14"/>
  <c r="H122" i="14" s="1"/>
  <c r="F24" i="14"/>
  <c r="M24" i="14" s="1"/>
  <c r="N23" i="14"/>
  <c r="P23" i="14" s="1"/>
  <c r="K23" i="14"/>
  <c r="J23" i="14"/>
  <c r="G127" i="14" s="1"/>
  <c r="F23" i="14"/>
  <c r="M23" i="14" s="1"/>
  <c r="P22" i="14"/>
  <c r="N22" i="14"/>
  <c r="K22" i="14"/>
  <c r="J22" i="14"/>
  <c r="F22" i="14"/>
  <c r="M22" i="14" s="1"/>
  <c r="N21" i="14"/>
  <c r="P21" i="14" s="1"/>
  <c r="K21" i="14"/>
  <c r="J21" i="14"/>
  <c r="E129" i="14" s="1"/>
  <c r="F21" i="14"/>
  <c r="M21" i="14" s="1"/>
  <c r="N20" i="14"/>
  <c r="P20" i="14" s="1"/>
  <c r="K20" i="14"/>
  <c r="J20" i="14"/>
  <c r="D124" i="14" s="1"/>
  <c r="F20" i="14"/>
  <c r="M20" i="14" s="1"/>
  <c r="N19" i="14"/>
  <c r="P19" i="14" s="1"/>
  <c r="K19" i="14"/>
  <c r="J19" i="14"/>
  <c r="C128" i="14" s="1"/>
  <c r="F19" i="14"/>
  <c r="M19" i="14" s="1"/>
  <c r="O16" i="14"/>
  <c r="N16" i="14"/>
  <c r="K16" i="14"/>
  <c r="O15" i="14"/>
  <c r="N15" i="14"/>
  <c r="K15" i="14"/>
  <c r="O14" i="14"/>
  <c r="N14" i="14"/>
  <c r="O13" i="14"/>
  <c r="N13" i="14"/>
  <c r="O12" i="14"/>
  <c r="N12" i="14"/>
  <c r="O11" i="14"/>
  <c r="N11" i="14"/>
  <c r="K8" i="14"/>
  <c r="J8" i="14"/>
  <c r="K7" i="14"/>
  <c r="J7" i="14"/>
  <c r="K6" i="14"/>
  <c r="J6" i="14"/>
  <c r="K5" i="14"/>
  <c r="J5" i="14"/>
  <c r="K4" i="14"/>
  <c r="J4" i="14"/>
  <c r="K3" i="14"/>
  <c r="J3" i="14"/>
  <c r="AF137" i="13"/>
  <c r="AE137" i="13"/>
  <c r="AD137" i="13"/>
  <c r="AC137" i="13"/>
  <c r="AB137" i="13"/>
  <c r="AA137" i="13"/>
  <c r="Z137" i="13"/>
  <c r="Y137" i="13"/>
  <c r="X137" i="13"/>
  <c r="W137" i="13"/>
  <c r="V137" i="13"/>
  <c r="U137" i="13"/>
  <c r="T137" i="13"/>
  <c r="S137" i="13"/>
  <c r="R137" i="13"/>
  <c r="Q137" i="13"/>
  <c r="P137" i="13"/>
  <c r="O137" i="13"/>
  <c r="N137" i="13"/>
  <c r="M137" i="13"/>
  <c r="L137" i="13"/>
  <c r="K137" i="13"/>
  <c r="J137" i="13"/>
  <c r="I137" i="13"/>
  <c r="H137" i="13"/>
  <c r="G137" i="13"/>
  <c r="F137" i="13"/>
  <c r="E137" i="13"/>
  <c r="D137" i="13"/>
  <c r="C137" i="13"/>
  <c r="O130" i="13"/>
  <c r="AF104" i="13"/>
  <c r="AE104" i="13"/>
  <c r="AD104" i="13"/>
  <c r="AC104" i="13"/>
  <c r="AB104" i="13"/>
  <c r="AA104" i="13"/>
  <c r="Z104" i="13"/>
  <c r="Y104" i="13"/>
  <c r="X104" i="13"/>
  <c r="W104" i="13"/>
  <c r="V104" i="13"/>
  <c r="U104" i="13"/>
  <c r="T104" i="13"/>
  <c r="S104" i="13"/>
  <c r="R104" i="13"/>
  <c r="Q104" i="13"/>
  <c r="P104" i="13"/>
  <c r="O104" i="13"/>
  <c r="N104" i="13"/>
  <c r="M104" i="13"/>
  <c r="L104" i="13"/>
  <c r="K104" i="13"/>
  <c r="J104" i="13"/>
  <c r="I104" i="13"/>
  <c r="H104" i="13"/>
  <c r="G104" i="13"/>
  <c r="F104" i="13"/>
  <c r="E104" i="13"/>
  <c r="D104" i="13"/>
  <c r="C104" i="13"/>
  <c r="AG57" i="13"/>
  <c r="N48" i="13"/>
  <c r="P48" i="13" s="1"/>
  <c r="K48" i="13"/>
  <c r="J48" i="13"/>
  <c r="AF116" i="13" s="1"/>
  <c r="F48" i="13"/>
  <c r="M48" i="13" s="1"/>
  <c r="N47" i="13"/>
  <c r="P47" i="13" s="1"/>
  <c r="K47" i="13"/>
  <c r="J47" i="13"/>
  <c r="AE116" i="13" s="1"/>
  <c r="F47" i="13"/>
  <c r="M47" i="13" s="1"/>
  <c r="AG67" i="13" s="1"/>
  <c r="N46" i="13"/>
  <c r="P46" i="13" s="1"/>
  <c r="K46" i="13"/>
  <c r="J46" i="13"/>
  <c r="F46" i="13"/>
  <c r="M46" i="13" s="1"/>
  <c r="P45" i="13"/>
  <c r="N45" i="13"/>
  <c r="K45" i="13"/>
  <c r="J45" i="13"/>
  <c r="F45" i="13"/>
  <c r="M45" i="13" s="1"/>
  <c r="N44" i="13"/>
  <c r="P44" i="13" s="1"/>
  <c r="K44" i="13"/>
  <c r="J44" i="13"/>
  <c r="F44" i="13"/>
  <c r="M44" i="13" s="1"/>
  <c r="N43" i="13"/>
  <c r="P43" i="13" s="1"/>
  <c r="K43" i="13"/>
  <c r="J43" i="13"/>
  <c r="AA112" i="13" s="1"/>
  <c r="F43" i="13"/>
  <c r="M43" i="13" s="1"/>
  <c r="N42" i="13"/>
  <c r="P42" i="13" s="1"/>
  <c r="K42" i="13"/>
  <c r="J42" i="13"/>
  <c r="Z113" i="13" s="1"/>
  <c r="F42" i="13"/>
  <c r="M42" i="13" s="1"/>
  <c r="N41" i="13"/>
  <c r="P41" i="13" s="1"/>
  <c r="K41" i="13"/>
  <c r="J41" i="13"/>
  <c r="Y105" i="13" s="1"/>
  <c r="F41" i="13"/>
  <c r="M41" i="13" s="1"/>
  <c r="N40" i="13"/>
  <c r="P40" i="13" s="1"/>
  <c r="K40" i="13"/>
  <c r="J40" i="13"/>
  <c r="X105" i="13" s="1"/>
  <c r="F40" i="13"/>
  <c r="M40" i="13" s="1"/>
  <c r="N39" i="13"/>
  <c r="P39" i="13" s="1"/>
  <c r="K39" i="13"/>
  <c r="J39" i="13"/>
  <c r="F39" i="13"/>
  <c r="M39" i="13" s="1"/>
  <c r="AG26" i="13" s="1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N38" i="13"/>
  <c r="P38" i="13" s="1"/>
  <c r="K38" i="13"/>
  <c r="J38" i="13"/>
  <c r="V118" i="13" s="1"/>
  <c r="F38" i="13"/>
  <c r="M38" i="13" s="1"/>
  <c r="AG25" i="13" s="1"/>
  <c r="N37" i="13"/>
  <c r="P37" i="13" s="1"/>
  <c r="K37" i="13"/>
  <c r="J37" i="13"/>
  <c r="U118" i="13" s="1"/>
  <c r="F37" i="13"/>
  <c r="M37" i="13" s="1"/>
  <c r="N36" i="13"/>
  <c r="P36" i="13" s="1"/>
  <c r="K36" i="13"/>
  <c r="J36" i="13"/>
  <c r="F36" i="13"/>
  <c r="M36" i="13" s="1"/>
  <c r="N35" i="13"/>
  <c r="P35" i="13" s="1"/>
  <c r="K35" i="13"/>
  <c r="J35" i="13"/>
  <c r="F35" i="13"/>
  <c r="M35" i="13" s="1"/>
  <c r="N34" i="13"/>
  <c r="P34" i="13" s="1"/>
  <c r="K34" i="13"/>
  <c r="J34" i="13"/>
  <c r="R112" i="13" s="1"/>
  <c r="F34" i="13"/>
  <c r="M34" i="13" s="1"/>
  <c r="N33" i="13"/>
  <c r="P33" i="13" s="1"/>
  <c r="K33" i="13"/>
  <c r="J33" i="13"/>
  <c r="Q125" i="13" s="1"/>
  <c r="F33" i="13"/>
  <c r="M33" i="13" s="1"/>
  <c r="N32" i="13"/>
  <c r="P32" i="13" s="1"/>
  <c r="K32" i="13"/>
  <c r="J32" i="13"/>
  <c r="P112" i="13" s="1"/>
  <c r="F32" i="13"/>
  <c r="M32" i="13" s="1"/>
  <c r="N31" i="13"/>
  <c r="P31" i="13" s="1"/>
  <c r="K31" i="13"/>
  <c r="J31" i="13"/>
  <c r="O112" i="13" s="1"/>
  <c r="F31" i="13"/>
  <c r="M31" i="13" s="1"/>
  <c r="N30" i="13"/>
  <c r="P30" i="13" s="1"/>
  <c r="K30" i="13"/>
  <c r="J30" i="13"/>
  <c r="N112" i="13" s="1"/>
  <c r="F30" i="13"/>
  <c r="M30" i="13" s="1"/>
  <c r="AG17" i="13" s="1"/>
  <c r="N29" i="13"/>
  <c r="P29" i="13" s="1"/>
  <c r="K29" i="13"/>
  <c r="J29" i="13"/>
  <c r="F29" i="13"/>
  <c r="M29" i="13" s="1"/>
  <c r="N28" i="13"/>
  <c r="P28" i="13" s="1"/>
  <c r="M28" i="13"/>
  <c r="AG15" i="13" s="1"/>
  <c r="K28" i="13"/>
  <c r="J28" i="13"/>
  <c r="L108" i="13" s="1"/>
  <c r="F28" i="13"/>
  <c r="N27" i="13"/>
  <c r="P27" i="13" s="1"/>
  <c r="K27" i="13"/>
  <c r="J27" i="13"/>
  <c r="F27" i="13"/>
  <c r="M27" i="13" s="1"/>
  <c r="AG14" i="13" s="1"/>
  <c r="N26" i="13"/>
  <c r="P26" i="13" s="1"/>
  <c r="K26" i="13"/>
  <c r="J26" i="13"/>
  <c r="J108" i="13" s="1"/>
  <c r="F26" i="13"/>
  <c r="M26" i="13" s="1"/>
  <c r="N25" i="13"/>
  <c r="P25" i="13" s="1"/>
  <c r="K25" i="13"/>
  <c r="J25" i="13"/>
  <c r="F25" i="13"/>
  <c r="M25" i="13" s="1"/>
  <c r="N24" i="13"/>
  <c r="P24" i="13" s="1"/>
  <c r="K24" i="13"/>
  <c r="J24" i="13"/>
  <c r="F24" i="13"/>
  <c r="M24" i="13" s="1"/>
  <c r="N23" i="13"/>
  <c r="P23" i="13" s="1"/>
  <c r="K23" i="13"/>
  <c r="J23" i="13"/>
  <c r="G134" i="13" s="1"/>
  <c r="F23" i="13"/>
  <c r="M23" i="13" s="1"/>
  <c r="N22" i="13"/>
  <c r="P22" i="13" s="1"/>
  <c r="K22" i="13"/>
  <c r="J22" i="13"/>
  <c r="F134" i="13" s="1"/>
  <c r="F22" i="13"/>
  <c r="M22" i="13" s="1"/>
  <c r="N21" i="13"/>
  <c r="P21" i="13" s="1"/>
  <c r="K21" i="13"/>
  <c r="J21" i="13"/>
  <c r="E134" i="13" s="1"/>
  <c r="F21" i="13"/>
  <c r="M21" i="13" s="1"/>
  <c r="N20" i="13"/>
  <c r="P20" i="13" s="1"/>
  <c r="K20" i="13"/>
  <c r="J20" i="13"/>
  <c r="F20" i="13"/>
  <c r="M20" i="13" s="1"/>
  <c r="N19" i="13"/>
  <c r="P19" i="13" s="1"/>
  <c r="K19" i="13"/>
  <c r="J19" i="13"/>
  <c r="F19" i="13"/>
  <c r="M19" i="13" s="1"/>
  <c r="O16" i="13"/>
  <c r="N16" i="13"/>
  <c r="K16" i="13"/>
  <c r="O15" i="13"/>
  <c r="N15" i="13"/>
  <c r="K15" i="13"/>
  <c r="O14" i="13"/>
  <c r="N14" i="13"/>
  <c r="O13" i="13"/>
  <c r="N13" i="13"/>
  <c r="O12" i="13"/>
  <c r="N12" i="13"/>
  <c r="O11" i="13"/>
  <c r="N11" i="13"/>
  <c r="K8" i="13"/>
  <c r="J8" i="13"/>
  <c r="K7" i="13"/>
  <c r="J7" i="13"/>
  <c r="K6" i="13"/>
  <c r="J6" i="13"/>
  <c r="BK5" i="13"/>
  <c r="BJ5" i="13"/>
  <c r="BI5" i="13"/>
  <c r="BH5" i="13"/>
  <c r="BG5" i="13"/>
  <c r="BF5" i="13"/>
  <c r="BE5" i="13"/>
  <c r="BD5" i="13"/>
  <c r="BC5" i="13"/>
  <c r="BB5" i="13"/>
  <c r="BA5" i="13"/>
  <c r="AZ5" i="13"/>
  <c r="AY5" i="13"/>
  <c r="AX5" i="13"/>
  <c r="AW5" i="13"/>
  <c r="AV5" i="13"/>
  <c r="AU5" i="13"/>
  <c r="AT5" i="13"/>
  <c r="AS5" i="13"/>
  <c r="AR5" i="13"/>
  <c r="AQ5" i="13"/>
  <c r="AP5" i="13"/>
  <c r="AO5" i="13"/>
  <c r="AN5" i="13"/>
  <c r="AM5" i="13"/>
  <c r="AL5" i="13"/>
  <c r="AK5" i="13"/>
  <c r="AJ5" i="13"/>
  <c r="AI5" i="13"/>
  <c r="AH5" i="13"/>
  <c r="K5" i="13"/>
  <c r="J5" i="13"/>
  <c r="K4" i="13"/>
  <c r="J4" i="13"/>
  <c r="K3" i="13"/>
  <c r="J3" i="13"/>
  <c r="BK71" i="10"/>
  <c r="BJ71" i="10"/>
  <c r="BI71" i="10"/>
  <c r="BH71" i="10"/>
  <c r="BG71" i="10"/>
  <c r="BF71" i="10"/>
  <c r="BE71" i="10"/>
  <c r="BD71" i="10"/>
  <c r="BC71" i="10"/>
  <c r="BB71" i="10"/>
  <c r="BA71" i="10"/>
  <c r="AZ71" i="10"/>
  <c r="AY71" i="10"/>
  <c r="AX71" i="10"/>
  <c r="AW71" i="10"/>
  <c r="AV71" i="10"/>
  <c r="AU71" i="10"/>
  <c r="AT71" i="10"/>
  <c r="AS71" i="10"/>
  <c r="AR71" i="10"/>
  <c r="AQ71" i="10"/>
  <c r="AP71" i="10"/>
  <c r="AO71" i="10"/>
  <c r="AN71" i="10"/>
  <c r="AM71" i="10"/>
  <c r="AL71" i="10"/>
  <c r="AK71" i="10"/>
  <c r="AJ71" i="10"/>
  <c r="AI71" i="10"/>
  <c r="AH71" i="10"/>
  <c r="BK38" i="10"/>
  <c r="BJ38" i="10"/>
  <c r="BI38" i="10"/>
  <c r="BH38" i="10"/>
  <c r="BG38" i="10"/>
  <c r="BF38" i="10"/>
  <c r="BE38" i="10"/>
  <c r="BD38" i="10"/>
  <c r="BC38" i="10"/>
  <c r="BB38" i="10"/>
  <c r="BA38" i="10"/>
  <c r="AZ38" i="10"/>
  <c r="AY38" i="10"/>
  <c r="AX38" i="10"/>
  <c r="AW38" i="10"/>
  <c r="AV38" i="10"/>
  <c r="AU38" i="10"/>
  <c r="AT38" i="10"/>
  <c r="AS38" i="10"/>
  <c r="AR38" i="10"/>
  <c r="AQ38" i="10"/>
  <c r="AP38" i="10"/>
  <c r="AO38" i="10"/>
  <c r="AN38" i="10"/>
  <c r="AM38" i="10"/>
  <c r="AL38" i="10"/>
  <c r="AK38" i="10"/>
  <c r="AJ38" i="10"/>
  <c r="AI38" i="10"/>
  <c r="AH38" i="10"/>
  <c r="BK5" i="10"/>
  <c r="BJ5" i="10"/>
  <c r="BI5" i="10"/>
  <c r="BH5" i="10"/>
  <c r="BG5" i="10"/>
  <c r="BF5" i="10"/>
  <c r="BE5" i="10"/>
  <c r="BD5" i="10"/>
  <c r="BC5" i="10"/>
  <c r="BB5" i="10"/>
  <c r="BA5" i="10"/>
  <c r="AZ5" i="10"/>
  <c r="AY5" i="10"/>
  <c r="AX5" i="10"/>
  <c r="AW5" i="10"/>
  <c r="AV5" i="10"/>
  <c r="AU5" i="10"/>
  <c r="AT5" i="10"/>
  <c r="AS5" i="10"/>
  <c r="AR5" i="10"/>
  <c r="AQ5" i="10"/>
  <c r="AP5" i="10"/>
  <c r="AO5" i="10"/>
  <c r="AN5" i="10"/>
  <c r="AM5" i="10"/>
  <c r="AL5" i="10"/>
  <c r="AK5" i="10"/>
  <c r="AJ5" i="10"/>
  <c r="AI5" i="10"/>
  <c r="AH5" i="10"/>
  <c r="AF137" i="10"/>
  <c r="AE137" i="10"/>
  <c r="AD137" i="10"/>
  <c r="AC137" i="10"/>
  <c r="AB137" i="10"/>
  <c r="AF104" i="10"/>
  <c r="AE104" i="10"/>
  <c r="AD104" i="10"/>
  <c r="AC104" i="10"/>
  <c r="AB104" i="10"/>
  <c r="AA137" i="10"/>
  <c r="Z137" i="10"/>
  <c r="Y137" i="10"/>
  <c r="X137" i="10"/>
  <c r="W137" i="10"/>
  <c r="AA104" i="10"/>
  <c r="Z104" i="10"/>
  <c r="Y104" i="10"/>
  <c r="X104" i="10"/>
  <c r="W104" i="10"/>
  <c r="V137" i="10"/>
  <c r="U137" i="10"/>
  <c r="T137" i="10"/>
  <c r="S137" i="10"/>
  <c r="R137" i="10"/>
  <c r="V104" i="10"/>
  <c r="U104" i="10"/>
  <c r="T104" i="10"/>
  <c r="S104" i="10"/>
  <c r="R104" i="10"/>
  <c r="Q137" i="10"/>
  <c r="P137" i="10"/>
  <c r="O137" i="10"/>
  <c r="N137" i="10"/>
  <c r="M137" i="10"/>
  <c r="L137" i="10"/>
  <c r="K137" i="10"/>
  <c r="J137" i="10"/>
  <c r="I137" i="10"/>
  <c r="H137" i="10"/>
  <c r="G137" i="10"/>
  <c r="F137" i="10"/>
  <c r="E137" i="10"/>
  <c r="D137" i="10"/>
  <c r="C137" i="10"/>
  <c r="Q104" i="10"/>
  <c r="P104" i="10"/>
  <c r="O104" i="10"/>
  <c r="N104" i="10"/>
  <c r="M104" i="10"/>
  <c r="N29" i="10"/>
  <c r="P29" i="10" s="1"/>
  <c r="N30" i="10"/>
  <c r="P30" i="10" s="1"/>
  <c r="N31" i="10"/>
  <c r="P31" i="10" s="1"/>
  <c r="N32" i="10"/>
  <c r="P32" i="10" s="1"/>
  <c r="N33" i="10"/>
  <c r="P33" i="10" s="1"/>
  <c r="N34" i="10"/>
  <c r="P34" i="10" s="1"/>
  <c r="N35" i="10"/>
  <c r="P35" i="10" s="1"/>
  <c r="N36" i="10"/>
  <c r="P36" i="10" s="1"/>
  <c r="N37" i="10"/>
  <c r="P37" i="10" s="1"/>
  <c r="N38" i="10"/>
  <c r="P38" i="10" s="1"/>
  <c r="N39" i="10"/>
  <c r="P39" i="10" s="1"/>
  <c r="N40" i="10"/>
  <c r="P40" i="10" s="1"/>
  <c r="N41" i="10"/>
  <c r="N42" i="10"/>
  <c r="P42" i="10" s="1"/>
  <c r="N43" i="10"/>
  <c r="P43" i="10" s="1"/>
  <c r="N44" i="10"/>
  <c r="P44" i="10" s="1"/>
  <c r="N45" i="10"/>
  <c r="P45" i="10" s="1"/>
  <c r="N46" i="10"/>
  <c r="P46" i="10" s="1"/>
  <c r="N47" i="10"/>
  <c r="P47" i="10" s="1"/>
  <c r="N48" i="10"/>
  <c r="P48" i="10" s="1"/>
  <c r="J29" i="10"/>
  <c r="M105" i="10" s="1"/>
  <c r="K29" i="10"/>
  <c r="J30" i="10"/>
  <c r="N105" i="10" s="1"/>
  <c r="K30" i="10"/>
  <c r="J31" i="10"/>
  <c r="O105" i="10" s="1"/>
  <c r="K31" i="10"/>
  <c r="J32" i="10"/>
  <c r="P105" i="10" s="1"/>
  <c r="K32" i="10"/>
  <c r="J33" i="10"/>
  <c r="Q105" i="10" s="1"/>
  <c r="K33" i="10"/>
  <c r="J34" i="10"/>
  <c r="R112" i="10" s="1"/>
  <c r="K34" i="10"/>
  <c r="J35" i="10"/>
  <c r="K35" i="10"/>
  <c r="J36" i="10"/>
  <c r="T113" i="10" s="1"/>
  <c r="K36" i="10"/>
  <c r="J37" i="10"/>
  <c r="K37" i="10"/>
  <c r="J38" i="10"/>
  <c r="K38" i="10"/>
  <c r="J39" i="10"/>
  <c r="W118" i="10" s="1"/>
  <c r="K39" i="10"/>
  <c r="J40" i="10"/>
  <c r="X131" i="10" s="1"/>
  <c r="K40" i="10"/>
  <c r="J41" i="10"/>
  <c r="Y118" i="10" s="1"/>
  <c r="K41" i="10"/>
  <c r="J42" i="10"/>
  <c r="Z118" i="10" s="1"/>
  <c r="K42" i="10"/>
  <c r="J43" i="10"/>
  <c r="AA124" i="10" s="1"/>
  <c r="K43" i="10"/>
  <c r="J44" i="10"/>
  <c r="AB110" i="10" s="1"/>
  <c r="K44" i="10"/>
  <c r="J45" i="10"/>
  <c r="AC129" i="10" s="1"/>
  <c r="K45" i="10"/>
  <c r="J46" i="10"/>
  <c r="AD121" i="10" s="1"/>
  <c r="K46" i="10"/>
  <c r="J47" i="10"/>
  <c r="AE113" i="10" s="1"/>
  <c r="K47" i="10"/>
  <c r="J48" i="10"/>
  <c r="AF122" i="10" s="1"/>
  <c r="K48" i="10"/>
  <c r="F29" i="10"/>
  <c r="M29" i="10" s="1"/>
  <c r="AG82" i="10" s="1"/>
  <c r="F30" i="10"/>
  <c r="M30" i="10" s="1"/>
  <c r="AG50" i="10" s="1"/>
  <c r="F31" i="10"/>
  <c r="M31" i="10" s="1"/>
  <c r="AG84" i="10" s="1"/>
  <c r="F32" i="10"/>
  <c r="M32" i="10" s="1"/>
  <c r="AG85" i="10" s="1"/>
  <c r="F33" i="10"/>
  <c r="M33" i="10" s="1"/>
  <c r="AG53" i="10" s="1"/>
  <c r="F34" i="10"/>
  <c r="M34" i="10" s="1"/>
  <c r="AG21" i="10" s="1"/>
  <c r="F35" i="10"/>
  <c r="M35" i="10" s="1"/>
  <c r="AG88" i="10" s="1"/>
  <c r="F36" i="10"/>
  <c r="M36" i="10" s="1"/>
  <c r="B122" i="10" s="1"/>
  <c r="F37" i="10"/>
  <c r="M37" i="10" s="1"/>
  <c r="AG57" i="10" s="1"/>
  <c r="F38" i="10"/>
  <c r="M38" i="10" s="1"/>
  <c r="AG91" i="10" s="1"/>
  <c r="F39" i="10"/>
  <c r="M39" i="10" s="1"/>
  <c r="AG26" i="10" s="1"/>
  <c r="F40" i="10"/>
  <c r="M40" i="10" s="1"/>
  <c r="AG60" i="10" s="1"/>
  <c r="F41" i="10"/>
  <c r="M41" i="10" s="1"/>
  <c r="AG94" i="10" s="1"/>
  <c r="F42" i="10"/>
  <c r="M42" i="10" s="1"/>
  <c r="AG95" i="10" s="1"/>
  <c r="F43" i="10"/>
  <c r="M43" i="10" s="1"/>
  <c r="AG30" i="10" s="1"/>
  <c r="F44" i="10"/>
  <c r="M44" i="10" s="1"/>
  <c r="AG64" i="10" s="1"/>
  <c r="F45" i="10"/>
  <c r="M45" i="10" s="1"/>
  <c r="AG32" i="10" s="1"/>
  <c r="F46" i="10"/>
  <c r="M46" i="10" s="1"/>
  <c r="AG33" i="10" s="1"/>
  <c r="F47" i="10"/>
  <c r="M47" i="10" s="1"/>
  <c r="AG34" i="10" s="1"/>
  <c r="F48" i="10"/>
  <c r="M48" i="10" s="1"/>
  <c r="B134" i="10" s="1"/>
  <c r="N20" i="10"/>
  <c r="P20" i="10" s="1"/>
  <c r="N21" i="10"/>
  <c r="P21" i="10" s="1"/>
  <c r="N22" i="10"/>
  <c r="N23" i="10"/>
  <c r="P23" i="10" s="1"/>
  <c r="N24" i="10"/>
  <c r="P24" i="10" s="1"/>
  <c r="N25" i="10"/>
  <c r="N26" i="10"/>
  <c r="N27" i="10"/>
  <c r="N28" i="10"/>
  <c r="N19" i="10"/>
  <c r="J20" i="10"/>
  <c r="K20" i="10"/>
  <c r="J21" i="10"/>
  <c r="K21" i="10"/>
  <c r="J22" i="10"/>
  <c r="K22" i="10"/>
  <c r="J23" i="10"/>
  <c r="K23" i="10"/>
  <c r="J24" i="10"/>
  <c r="H110" i="10" s="1"/>
  <c r="K24" i="10"/>
  <c r="J25" i="10"/>
  <c r="K25" i="10"/>
  <c r="J26" i="10"/>
  <c r="J113" i="10" s="1"/>
  <c r="K26" i="10"/>
  <c r="J27" i="10"/>
  <c r="K27" i="10"/>
  <c r="J28" i="10"/>
  <c r="L133" i="10" s="1"/>
  <c r="K28" i="10"/>
  <c r="K19" i="10"/>
  <c r="J19" i="10"/>
  <c r="L104" i="10"/>
  <c r="K104" i="10"/>
  <c r="J104" i="10"/>
  <c r="I104" i="10"/>
  <c r="H104" i="10"/>
  <c r="G104" i="10"/>
  <c r="F104" i="10"/>
  <c r="E104" i="10"/>
  <c r="D104" i="10"/>
  <c r="C104" i="10"/>
  <c r="K8" i="10"/>
  <c r="K7" i="10"/>
  <c r="K6" i="10"/>
  <c r="J8" i="10"/>
  <c r="J7" i="10"/>
  <c r="J6" i="10"/>
  <c r="K5" i="10"/>
  <c r="J5" i="10"/>
  <c r="K4" i="10"/>
  <c r="J4" i="10"/>
  <c r="K3" i="10"/>
  <c r="J3" i="10"/>
  <c r="N11" i="10"/>
  <c r="O16" i="10"/>
  <c r="N16" i="10"/>
  <c r="O15" i="10"/>
  <c r="N15" i="10"/>
  <c r="O14" i="10"/>
  <c r="N14" i="10"/>
  <c r="O13" i="10"/>
  <c r="N13" i="10"/>
  <c r="O12" i="10"/>
  <c r="N12" i="10"/>
  <c r="O11" i="10"/>
  <c r="F20" i="10"/>
  <c r="M20" i="10" s="1"/>
  <c r="AG7" i="10" s="1"/>
  <c r="F21" i="10"/>
  <c r="M21" i="10" s="1"/>
  <c r="B107" i="10" s="1"/>
  <c r="F22" i="10"/>
  <c r="M22" i="10" s="1"/>
  <c r="B108" i="10" s="1"/>
  <c r="F23" i="10"/>
  <c r="M23" i="10" s="1"/>
  <c r="B142" i="10" s="1"/>
  <c r="F24" i="10"/>
  <c r="M24" i="10" s="1"/>
  <c r="B143" i="10" s="1"/>
  <c r="F25" i="10"/>
  <c r="M25" i="10" s="1"/>
  <c r="AG45" i="10" s="1"/>
  <c r="F26" i="10"/>
  <c r="M26" i="10" s="1"/>
  <c r="F27" i="10"/>
  <c r="M27" i="10" s="1"/>
  <c r="AG80" i="10" s="1"/>
  <c r="F28" i="10"/>
  <c r="M28" i="10" s="1"/>
  <c r="B147" i="10" s="1"/>
  <c r="F19" i="10"/>
  <c r="M19" i="10" s="1"/>
  <c r="AG39" i="10" s="1"/>
  <c r="K16" i="10"/>
  <c r="K15" i="10"/>
  <c r="AE160" i="15" l="1"/>
  <c r="BJ28" i="15" s="1"/>
  <c r="Q140" i="15"/>
  <c r="AV8" i="15" s="1"/>
  <c r="AF108" i="15"/>
  <c r="L109" i="15"/>
  <c r="R109" i="15"/>
  <c r="R110" i="15"/>
  <c r="L112" i="15"/>
  <c r="AE113" i="15"/>
  <c r="R114" i="15"/>
  <c r="R122" i="15"/>
  <c r="Z123" i="15"/>
  <c r="AA123" i="15"/>
  <c r="O125" i="15"/>
  <c r="R125" i="15"/>
  <c r="AB149" i="15"/>
  <c r="BG17" i="15" s="1"/>
  <c r="AE127" i="15"/>
  <c r="AD108" i="15"/>
  <c r="AD123" i="15"/>
  <c r="AE123" i="15"/>
  <c r="K109" i="15"/>
  <c r="Q110" i="15"/>
  <c r="K125" i="15"/>
  <c r="S110" i="15"/>
  <c r="Q125" i="15"/>
  <c r="K111" i="15"/>
  <c r="AD146" i="15"/>
  <c r="BI14" i="15" s="1"/>
  <c r="K112" i="15"/>
  <c r="AD125" i="15"/>
  <c r="P27" i="15"/>
  <c r="X139" i="15"/>
  <c r="BC7" i="15" s="1"/>
  <c r="AE125" i="15"/>
  <c r="AD112" i="15"/>
  <c r="K127" i="15"/>
  <c r="L152" i="15"/>
  <c r="AQ20" i="15" s="1"/>
  <c r="L127" i="15"/>
  <c r="M127" i="15"/>
  <c r="R140" i="15"/>
  <c r="AW8" i="15" s="1"/>
  <c r="Y113" i="15"/>
  <c r="AD127" i="15"/>
  <c r="AD113" i="15"/>
  <c r="X132" i="15"/>
  <c r="O115" i="15"/>
  <c r="Y132" i="15"/>
  <c r="AD130" i="15"/>
  <c r="AB105" i="15"/>
  <c r="Q115" i="15"/>
  <c r="AB132" i="15"/>
  <c r="AD105" i="15"/>
  <c r="R115" i="15"/>
  <c r="AF132" i="15"/>
  <c r="AE105" i="15"/>
  <c r="AD115" i="15"/>
  <c r="P134" i="15"/>
  <c r="K106" i="15"/>
  <c r="AE115" i="15"/>
  <c r="Q134" i="15"/>
  <c r="R106" i="15"/>
  <c r="AD116" i="15"/>
  <c r="R134" i="15"/>
  <c r="O140" i="15"/>
  <c r="AT8" i="15" s="1"/>
  <c r="K107" i="15"/>
  <c r="AF116" i="15"/>
  <c r="AE149" i="15"/>
  <c r="BJ17" i="15" s="1"/>
  <c r="AA152" i="15"/>
  <c r="BF20" i="15" s="1"/>
  <c r="M107" i="15"/>
  <c r="AD118" i="15"/>
  <c r="X146" i="15"/>
  <c r="BC14" i="15" s="1"/>
  <c r="R119" i="15"/>
  <c r="Y146" i="15"/>
  <c r="BD14" i="15" s="1"/>
  <c r="AD107" i="15"/>
  <c r="AD120" i="15"/>
  <c r="AD152" i="15"/>
  <c r="BI20" i="15" s="1"/>
  <c r="AE156" i="15"/>
  <c r="BJ24" i="15" s="1"/>
  <c r="AE107" i="15"/>
  <c r="AE121" i="15"/>
  <c r="P37" i="15"/>
  <c r="Y108" i="15"/>
  <c r="L122" i="15"/>
  <c r="B149" i="15"/>
  <c r="B116" i="15"/>
  <c r="AG17" i="15"/>
  <c r="B131" i="15"/>
  <c r="B164" i="15"/>
  <c r="N150" i="15"/>
  <c r="N117" i="15"/>
  <c r="N152" i="15"/>
  <c r="N119" i="15"/>
  <c r="N153" i="15"/>
  <c r="N120" i="15"/>
  <c r="N155" i="15"/>
  <c r="N156" i="15"/>
  <c r="N123" i="15"/>
  <c r="N157" i="15"/>
  <c r="N158" i="15"/>
  <c r="N125" i="15"/>
  <c r="N159" i="15"/>
  <c r="N126" i="15"/>
  <c r="N160" i="15"/>
  <c r="N127" i="15"/>
  <c r="N161" i="15"/>
  <c r="N162" i="15"/>
  <c r="N167" i="15"/>
  <c r="N165" i="15"/>
  <c r="N163" i="15"/>
  <c r="N149" i="15"/>
  <c r="N142" i="15"/>
  <c r="N107" i="15"/>
  <c r="N146" i="15"/>
  <c r="N124" i="15"/>
  <c r="N139" i="15"/>
  <c r="N143" i="15"/>
  <c r="N133" i="15"/>
  <c r="N166" i="15"/>
  <c r="N164" i="15"/>
  <c r="N144" i="15"/>
  <c r="N141" i="15"/>
  <c r="N118" i="15"/>
  <c r="N110" i="15"/>
  <c r="N134" i="15"/>
  <c r="N132" i="15"/>
  <c r="N130" i="15"/>
  <c r="N113" i="15"/>
  <c r="N108" i="15"/>
  <c r="N105" i="15"/>
  <c r="N121" i="15"/>
  <c r="N128" i="15"/>
  <c r="N116" i="15"/>
  <c r="N111" i="15"/>
  <c r="N145" i="15"/>
  <c r="N151" i="15"/>
  <c r="N148" i="15"/>
  <c r="N154" i="15"/>
  <c r="N114" i="15"/>
  <c r="N106" i="15"/>
  <c r="N131" i="15"/>
  <c r="N109" i="15"/>
  <c r="N129" i="15"/>
  <c r="N147" i="15"/>
  <c r="N112" i="15"/>
  <c r="N122" i="15"/>
  <c r="N138" i="15"/>
  <c r="N115" i="15"/>
  <c r="N140" i="15"/>
  <c r="B165" i="15"/>
  <c r="AG33" i="15"/>
  <c r="B132" i="15"/>
  <c r="B150" i="15"/>
  <c r="B117" i="15"/>
  <c r="AG18" i="15"/>
  <c r="B122" i="15"/>
  <c r="B155" i="15"/>
  <c r="AG23" i="15"/>
  <c r="B123" i="15"/>
  <c r="B156" i="15"/>
  <c r="AG24" i="15"/>
  <c r="B128" i="15"/>
  <c r="B161" i="15"/>
  <c r="AG29" i="15"/>
  <c r="AE161" i="15"/>
  <c r="P42" i="15"/>
  <c r="AG32" i="15"/>
  <c r="B158" i="15"/>
  <c r="B125" i="15"/>
  <c r="AG26" i="15"/>
  <c r="B130" i="15"/>
  <c r="B163" i="15"/>
  <c r="AG31" i="15"/>
  <c r="P30" i="15"/>
  <c r="T155" i="15"/>
  <c r="T156" i="15"/>
  <c r="T123" i="15"/>
  <c r="T158" i="15"/>
  <c r="T125" i="15"/>
  <c r="T159" i="15"/>
  <c r="T126" i="15"/>
  <c r="T161" i="15"/>
  <c r="T162" i="15"/>
  <c r="T129" i="15"/>
  <c r="T163" i="15"/>
  <c r="T164" i="15"/>
  <c r="T131" i="15"/>
  <c r="T165" i="15"/>
  <c r="T132" i="15"/>
  <c r="T166" i="15"/>
  <c r="T133" i="15"/>
  <c r="T167" i="15"/>
  <c r="T146" i="15"/>
  <c r="T139" i="15"/>
  <c r="T153" i="15"/>
  <c r="T150" i="15"/>
  <c r="T120" i="15"/>
  <c r="T116" i="15"/>
  <c r="T112" i="15"/>
  <c r="T108" i="15"/>
  <c r="T143" i="15"/>
  <c r="T147" i="15"/>
  <c r="T140" i="15"/>
  <c r="T127" i="15"/>
  <c r="T130" i="15"/>
  <c r="T105" i="15"/>
  <c r="T160" i="15"/>
  <c r="T149" i="15"/>
  <c r="T152" i="15"/>
  <c r="T121" i="15"/>
  <c r="T128" i="15"/>
  <c r="T111" i="15"/>
  <c r="T142" i="15"/>
  <c r="T151" i="15"/>
  <c r="T145" i="15"/>
  <c r="T148" i="15"/>
  <c r="T119" i="15"/>
  <c r="T114" i="15"/>
  <c r="T109" i="15"/>
  <c r="T106" i="15"/>
  <c r="T154" i="15"/>
  <c r="T144" i="15"/>
  <c r="T124" i="15"/>
  <c r="T117" i="15"/>
  <c r="T141" i="15"/>
  <c r="T122" i="15"/>
  <c r="T157" i="15"/>
  <c r="T138" i="15"/>
  <c r="T107" i="15"/>
  <c r="T115" i="15"/>
  <c r="T134" i="15"/>
  <c r="T110" i="15"/>
  <c r="B148" i="15"/>
  <c r="B115" i="15"/>
  <c r="B160" i="15"/>
  <c r="B127" i="15"/>
  <c r="AG28" i="15"/>
  <c r="P140" i="15"/>
  <c r="B141" i="15"/>
  <c r="B108" i="15"/>
  <c r="G143" i="15"/>
  <c r="G110" i="15"/>
  <c r="G145" i="15"/>
  <c r="G112" i="15"/>
  <c r="G146" i="15"/>
  <c r="G113" i="15"/>
  <c r="G148" i="15"/>
  <c r="G149" i="15"/>
  <c r="G116" i="15"/>
  <c r="G151" i="15"/>
  <c r="G118" i="15"/>
  <c r="G152" i="15"/>
  <c r="G119" i="15"/>
  <c r="G153" i="15"/>
  <c r="G120" i="15"/>
  <c r="G154" i="15"/>
  <c r="G163" i="15"/>
  <c r="G158" i="15"/>
  <c r="G141" i="15"/>
  <c r="G165" i="15"/>
  <c r="G138" i="15"/>
  <c r="G167" i="15"/>
  <c r="G115" i="15"/>
  <c r="G156" i="15"/>
  <c r="G111" i="15"/>
  <c r="G142" i="15"/>
  <c r="G161" i="15"/>
  <c r="G150" i="15"/>
  <c r="G166" i="15"/>
  <c r="G164" i="15"/>
  <c r="G157" i="15"/>
  <c r="G109" i="15"/>
  <c r="G144" i="15"/>
  <c r="G134" i="15"/>
  <c r="G127" i="15"/>
  <c r="G107" i="15"/>
  <c r="G125" i="15"/>
  <c r="G160" i="15"/>
  <c r="G140" i="15"/>
  <c r="G132" i="15"/>
  <c r="G123" i="15"/>
  <c r="G159" i="15"/>
  <c r="G130" i="15"/>
  <c r="G155" i="15"/>
  <c r="G128" i="15"/>
  <c r="G121" i="15"/>
  <c r="G108" i="15"/>
  <c r="G139" i="15"/>
  <c r="G105" i="15"/>
  <c r="G126" i="15"/>
  <c r="G124" i="15"/>
  <c r="G133" i="15"/>
  <c r="G114" i="15"/>
  <c r="G162" i="15"/>
  <c r="G106" i="15"/>
  <c r="G131" i="15"/>
  <c r="G147" i="15"/>
  <c r="G122" i="15"/>
  <c r="G117" i="15"/>
  <c r="G129" i="15"/>
  <c r="H144" i="15"/>
  <c r="H111" i="15"/>
  <c r="H146" i="15"/>
  <c r="H113" i="15"/>
  <c r="H147" i="15"/>
  <c r="H114" i="15"/>
  <c r="H149" i="15"/>
  <c r="H150" i="15"/>
  <c r="H117" i="15"/>
  <c r="H152" i="15"/>
  <c r="H119" i="15"/>
  <c r="H153" i="15"/>
  <c r="H120" i="15"/>
  <c r="H154" i="15"/>
  <c r="H121" i="15"/>
  <c r="H155" i="15"/>
  <c r="H164" i="15"/>
  <c r="H158" i="15"/>
  <c r="H141" i="15"/>
  <c r="H110" i="15"/>
  <c r="H145" i="15"/>
  <c r="H165" i="15"/>
  <c r="H138" i="15"/>
  <c r="H106" i="15"/>
  <c r="H167" i="15"/>
  <c r="H163" i="15"/>
  <c r="H156" i="15"/>
  <c r="H142" i="15"/>
  <c r="H161" i="15"/>
  <c r="H132" i="15"/>
  <c r="H128" i="15"/>
  <c r="H124" i="15"/>
  <c r="H166" i="15"/>
  <c r="H151" i="15"/>
  <c r="H134" i="15"/>
  <c r="H130" i="15"/>
  <c r="H126" i="15"/>
  <c r="H122" i="15"/>
  <c r="H115" i="15"/>
  <c r="H143" i="15"/>
  <c r="H125" i="15"/>
  <c r="H160" i="15"/>
  <c r="H140" i="15"/>
  <c r="H118" i="15"/>
  <c r="H123" i="15"/>
  <c r="H159" i="15"/>
  <c r="H108" i="15"/>
  <c r="H139" i="15"/>
  <c r="H116" i="15"/>
  <c r="H105" i="15"/>
  <c r="H148" i="15"/>
  <c r="H133" i="15"/>
  <c r="H162" i="15"/>
  <c r="H131" i="15"/>
  <c r="H157" i="15"/>
  <c r="H109" i="15"/>
  <c r="H129" i="15"/>
  <c r="I145" i="15"/>
  <c r="I112" i="15"/>
  <c r="I147" i="15"/>
  <c r="I114" i="15"/>
  <c r="I148" i="15"/>
  <c r="I115" i="15"/>
  <c r="I150" i="15"/>
  <c r="I151" i="15"/>
  <c r="I118" i="15"/>
  <c r="I153" i="15"/>
  <c r="I120" i="15"/>
  <c r="I154" i="15"/>
  <c r="I121" i="15"/>
  <c r="I155" i="15"/>
  <c r="I122" i="15"/>
  <c r="I156" i="15"/>
  <c r="I165" i="15"/>
  <c r="I131" i="15"/>
  <c r="I127" i="15"/>
  <c r="I123" i="15"/>
  <c r="I149" i="15"/>
  <c r="I138" i="15"/>
  <c r="I167" i="15"/>
  <c r="I163" i="15"/>
  <c r="I142" i="15"/>
  <c r="I161" i="15"/>
  <c r="I132" i="15"/>
  <c r="I128" i="15"/>
  <c r="I124" i="15"/>
  <c r="I107" i="15"/>
  <c r="I146" i="15"/>
  <c r="I159" i="15"/>
  <c r="I166" i="15"/>
  <c r="I144" i="15"/>
  <c r="I160" i="15"/>
  <c r="I143" i="15"/>
  <c r="I125" i="15"/>
  <c r="I140" i="15"/>
  <c r="I110" i="15"/>
  <c r="I134" i="15"/>
  <c r="I152" i="15"/>
  <c r="I164" i="15"/>
  <c r="I130" i="15"/>
  <c r="I113" i="15"/>
  <c r="I108" i="15"/>
  <c r="I139" i="15"/>
  <c r="I116" i="15"/>
  <c r="I105" i="15"/>
  <c r="I111" i="15"/>
  <c r="I126" i="15"/>
  <c r="I119" i="15"/>
  <c r="I158" i="15"/>
  <c r="I133" i="15"/>
  <c r="I162" i="15"/>
  <c r="I106" i="15"/>
  <c r="I157" i="15"/>
  <c r="I109" i="15"/>
  <c r="I129" i="15"/>
  <c r="I117" i="15"/>
  <c r="I141" i="15"/>
  <c r="J146" i="15"/>
  <c r="J113" i="15"/>
  <c r="J148" i="15"/>
  <c r="J115" i="15"/>
  <c r="J149" i="15"/>
  <c r="J116" i="15"/>
  <c r="J151" i="15"/>
  <c r="J152" i="15"/>
  <c r="J119" i="15"/>
  <c r="J153" i="15"/>
  <c r="J154" i="15"/>
  <c r="J121" i="15"/>
  <c r="J155" i="15"/>
  <c r="J122" i="15"/>
  <c r="J156" i="15"/>
  <c r="J123" i="15"/>
  <c r="J157" i="15"/>
  <c r="J158" i="15"/>
  <c r="J166" i="15"/>
  <c r="J167" i="15"/>
  <c r="J131" i="15"/>
  <c r="J127" i="15"/>
  <c r="J145" i="15"/>
  <c r="J165" i="15"/>
  <c r="J138" i="15"/>
  <c r="J163" i="15"/>
  <c r="J142" i="15"/>
  <c r="J111" i="15"/>
  <c r="J161" i="15"/>
  <c r="J132" i="15"/>
  <c r="J128" i="15"/>
  <c r="J124" i="15"/>
  <c r="J107" i="15"/>
  <c r="J159" i="15"/>
  <c r="J150" i="15"/>
  <c r="J139" i="15"/>
  <c r="J140" i="15"/>
  <c r="J162" i="15"/>
  <c r="J160" i="15"/>
  <c r="J143" i="15"/>
  <c r="J125" i="15"/>
  <c r="J110" i="15"/>
  <c r="J134" i="15"/>
  <c r="J118" i="15"/>
  <c r="J164" i="15"/>
  <c r="J130" i="15"/>
  <c r="J108" i="15"/>
  <c r="J105" i="15"/>
  <c r="J126" i="15"/>
  <c r="J133" i="15"/>
  <c r="J114" i="15"/>
  <c r="J106" i="15"/>
  <c r="J109" i="15"/>
  <c r="J129" i="15"/>
  <c r="J117" i="15"/>
  <c r="J147" i="15"/>
  <c r="J144" i="15"/>
  <c r="J141" i="15"/>
  <c r="J120" i="15"/>
  <c r="J112" i="15"/>
  <c r="B147" i="15"/>
  <c r="B114" i="15"/>
  <c r="E141" i="15"/>
  <c r="E108" i="15"/>
  <c r="E143" i="15"/>
  <c r="E110" i="15"/>
  <c r="E144" i="15"/>
  <c r="E111" i="15"/>
  <c r="E146" i="15"/>
  <c r="E147" i="15"/>
  <c r="E114" i="15"/>
  <c r="E149" i="15"/>
  <c r="E116" i="15"/>
  <c r="E150" i="15"/>
  <c r="E117" i="15"/>
  <c r="E151" i="15"/>
  <c r="E118" i="15"/>
  <c r="E161" i="15"/>
  <c r="E158" i="15"/>
  <c r="E145" i="15"/>
  <c r="E131" i="15"/>
  <c r="E127" i="15"/>
  <c r="E123" i="15"/>
  <c r="E119" i="15"/>
  <c r="E165" i="15"/>
  <c r="E167" i="15"/>
  <c r="E163" i="15"/>
  <c r="E153" i="15"/>
  <c r="E138" i="15"/>
  <c r="E156" i="15"/>
  <c r="E142" i="15"/>
  <c r="E166" i="15"/>
  <c r="E162" i="15"/>
  <c r="E140" i="15"/>
  <c r="E115" i="15"/>
  <c r="E107" i="15"/>
  <c r="E125" i="15"/>
  <c r="E132" i="15"/>
  <c r="E160" i="15"/>
  <c r="E152" i="15"/>
  <c r="E134" i="15"/>
  <c r="E164" i="15"/>
  <c r="E159" i="15"/>
  <c r="E113" i="15"/>
  <c r="E130" i="15"/>
  <c r="E155" i="15"/>
  <c r="E128" i="15"/>
  <c r="E121" i="15"/>
  <c r="E105" i="15"/>
  <c r="E139" i="15"/>
  <c r="E148" i="15"/>
  <c r="E154" i="15"/>
  <c r="E126" i="15"/>
  <c r="E124" i="15"/>
  <c r="E133" i="15"/>
  <c r="E106" i="15"/>
  <c r="E157" i="15"/>
  <c r="E109" i="15"/>
  <c r="F142" i="15"/>
  <c r="F109" i="15"/>
  <c r="F144" i="15"/>
  <c r="F111" i="15"/>
  <c r="F145" i="15"/>
  <c r="F112" i="15"/>
  <c r="F147" i="15"/>
  <c r="F148" i="15"/>
  <c r="F115" i="15"/>
  <c r="F150" i="15"/>
  <c r="F117" i="15"/>
  <c r="F151" i="15"/>
  <c r="F118" i="15"/>
  <c r="F152" i="15"/>
  <c r="F119" i="15"/>
  <c r="F162" i="15"/>
  <c r="F167" i="15"/>
  <c r="F105" i="15"/>
  <c r="F158" i="15"/>
  <c r="F141" i="15"/>
  <c r="F149" i="15"/>
  <c r="F165" i="15"/>
  <c r="F163" i="15"/>
  <c r="F153" i="15"/>
  <c r="F138" i="15"/>
  <c r="F106" i="15"/>
  <c r="F156" i="15"/>
  <c r="F161" i="15"/>
  <c r="F146" i="15"/>
  <c r="F132" i="15"/>
  <c r="F159" i="15"/>
  <c r="F166" i="15"/>
  <c r="F164" i="15"/>
  <c r="F157" i="15"/>
  <c r="F127" i="15"/>
  <c r="F107" i="15"/>
  <c r="F143" i="15"/>
  <c r="F125" i="15"/>
  <c r="F160" i="15"/>
  <c r="F140" i="15"/>
  <c r="F110" i="15"/>
  <c r="F134" i="15"/>
  <c r="F123" i="15"/>
  <c r="F113" i="15"/>
  <c r="F130" i="15"/>
  <c r="F155" i="15"/>
  <c r="F128" i="15"/>
  <c r="F121" i="15"/>
  <c r="F116" i="15"/>
  <c r="F108" i="15"/>
  <c r="F139" i="15"/>
  <c r="F154" i="15"/>
  <c r="F126" i="15"/>
  <c r="F124" i="15"/>
  <c r="F133" i="15"/>
  <c r="F114" i="15"/>
  <c r="F131" i="15"/>
  <c r="F122" i="15"/>
  <c r="B146" i="15"/>
  <c r="B113" i="15"/>
  <c r="K143" i="15"/>
  <c r="B138" i="15"/>
  <c r="B105" i="15"/>
  <c r="B106" i="15"/>
  <c r="B139" i="15"/>
  <c r="B142" i="15"/>
  <c r="B109" i="15"/>
  <c r="B143" i="15"/>
  <c r="B110" i="15"/>
  <c r="B144" i="15"/>
  <c r="B111" i="15"/>
  <c r="B145" i="15"/>
  <c r="B154" i="15"/>
  <c r="B121" i="15"/>
  <c r="U156" i="15"/>
  <c r="U157" i="15"/>
  <c r="U124" i="15"/>
  <c r="U159" i="15"/>
  <c r="U126" i="15"/>
  <c r="U160" i="15"/>
  <c r="U127" i="15"/>
  <c r="U162" i="15"/>
  <c r="U163" i="15"/>
  <c r="U130" i="15"/>
  <c r="U164" i="15"/>
  <c r="U165" i="15"/>
  <c r="U132" i="15"/>
  <c r="U166" i="15"/>
  <c r="U133" i="15"/>
  <c r="U167" i="15"/>
  <c r="U134" i="15"/>
  <c r="U146" i="15"/>
  <c r="U139" i="15"/>
  <c r="U128" i="15"/>
  <c r="U153" i="15"/>
  <c r="U150" i="15"/>
  <c r="U161" i="15"/>
  <c r="U143" i="15"/>
  <c r="U147" i="15"/>
  <c r="U129" i="15"/>
  <c r="U140" i="15"/>
  <c r="U151" i="15"/>
  <c r="U155" i="15"/>
  <c r="U149" i="15"/>
  <c r="U105" i="15"/>
  <c r="U108" i="15"/>
  <c r="U152" i="15"/>
  <c r="U123" i="15"/>
  <c r="U121" i="15"/>
  <c r="U116" i="15"/>
  <c r="U111" i="15"/>
  <c r="U142" i="15"/>
  <c r="U145" i="15"/>
  <c r="U148" i="15"/>
  <c r="U119" i="15"/>
  <c r="U114" i="15"/>
  <c r="U109" i="15"/>
  <c r="U106" i="15"/>
  <c r="U154" i="15"/>
  <c r="U144" i="15"/>
  <c r="U117" i="15"/>
  <c r="U158" i="15"/>
  <c r="U141" i="15"/>
  <c r="U131" i="15"/>
  <c r="U122" i="15"/>
  <c r="U112" i="15"/>
  <c r="U138" i="15"/>
  <c r="U107" i="15"/>
  <c r="U120" i="15"/>
  <c r="U115" i="15"/>
  <c r="U110" i="15"/>
  <c r="U125" i="15"/>
  <c r="L143" i="15"/>
  <c r="B140" i="15"/>
  <c r="B107" i="15"/>
  <c r="S149" i="15"/>
  <c r="AC164" i="15"/>
  <c r="AC165" i="15"/>
  <c r="AC132" i="15"/>
  <c r="AC166" i="15"/>
  <c r="AC167" i="15"/>
  <c r="AC134" i="15"/>
  <c r="AC138" i="15"/>
  <c r="AC139" i="15"/>
  <c r="AC141" i="15"/>
  <c r="AC108" i="15"/>
  <c r="AC142" i="15"/>
  <c r="AC109" i="15"/>
  <c r="AC143" i="15"/>
  <c r="AC110" i="15"/>
  <c r="AC161" i="15"/>
  <c r="AC147" i="15"/>
  <c r="AC159" i="15"/>
  <c r="AC151" i="15"/>
  <c r="AC140" i="15"/>
  <c r="AC154" i="15"/>
  <c r="AC144" i="15"/>
  <c r="AC157" i="15"/>
  <c r="AC148" i="15"/>
  <c r="AC153" i="15"/>
  <c r="AC111" i="15"/>
  <c r="AC121" i="15"/>
  <c r="AC145" i="15"/>
  <c r="AC128" i="15"/>
  <c r="AC155" i="15"/>
  <c r="AC126" i="15"/>
  <c r="AC119" i="15"/>
  <c r="AC114" i="15"/>
  <c r="AC106" i="15"/>
  <c r="AC124" i="15"/>
  <c r="AC133" i="15"/>
  <c r="AC122" i="15"/>
  <c r="AC117" i="15"/>
  <c r="AC158" i="15"/>
  <c r="AC131" i="15"/>
  <c r="AC112" i="15"/>
  <c r="AC163" i="15"/>
  <c r="AC162" i="15"/>
  <c r="AC129" i="15"/>
  <c r="AC115" i="15"/>
  <c r="AC120" i="15"/>
  <c r="AC107" i="15"/>
  <c r="AC150" i="15"/>
  <c r="AC127" i="15"/>
  <c r="AC118" i="15"/>
  <c r="AC125" i="15"/>
  <c r="AC113" i="15"/>
  <c r="AC105" i="15"/>
  <c r="AA143" i="15"/>
  <c r="AB143" i="15"/>
  <c r="AC116" i="15"/>
  <c r="H127" i="15"/>
  <c r="AB146" i="15"/>
  <c r="B153" i="15"/>
  <c r="B120" i="15"/>
  <c r="V157" i="15"/>
  <c r="V158" i="15"/>
  <c r="V125" i="15"/>
  <c r="V160" i="15"/>
  <c r="V127" i="15"/>
  <c r="V161" i="15"/>
  <c r="V128" i="15"/>
  <c r="V163" i="15"/>
  <c r="V164" i="15"/>
  <c r="V131" i="15"/>
  <c r="V165" i="15"/>
  <c r="V166" i="15"/>
  <c r="V133" i="15"/>
  <c r="V167" i="15"/>
  <c r="V134" i="15"/>
  <c r="V139" i="15"/>
  <c r="V153" i="15"/>
  <c r="V150" i="15"/>
  <c r="V143" i="15"/>
  <c r="V156" i="15"/>
  <c r="V147" i="15"/>
  <c r="V129" i="15"/>
  <c r="V140" i="15"/>
  <c r="V159" i="15"/>
  <c r="V151" i="15"/>
  <c r="V154" i="15"/>
  <c r="V144" i="15"/>
  <c r="V162" i="15"/>
  <c r="V152" i="15"/>
  <c r="V145" i="15"/>
  <c r="V149" i="15"/>
  <c r="V142" i="15"/>
  <c r="V132" i="15"/>
  <c r="V130" i="15"/>
  <c r="V146" i="15"/>
  <c r="V108" i="15"/>
  <c r="V123" i="15"/>
  <c r="V121" i="15"/>
  <c r="V116" i="15"/>
  <c r="V111" i="15"/>
  <c r="V155" i="15"/>
  <c r="V148" i="15"/>
  <c r="V126" i="15"/>
  <c r="V119" i="15"/>
  <c r="V114" i="15"/>
  <c r="V109" i="15"/>
  <c r="V106" i="15"/>
  <c r="V117" i="15"/>
  <c r="V141" i="15"/>
  <c r="V124" i="15"/>
  <c r="V122" i="15"/>
  <c r="V112" i="15"/>
  <c r="V138" i="15"/>
  <c r="V107" i="15"/>
  <c r="V120" i="15"/>
  <c r="V115" i="15"/>
  <c r="V110" i="15"/>
  <c r="AC146" i="15"/>
  <c r="Y149" i="15"/>
  <c r="B157" i="15"/>
  <c r="B124" i="15"/>
  <c r="T118" i="15"/>
  <c r="AB163" i="15"/>
  <c r="AB164" i="15"/>
  <c r="AB131" i="15"/>
  <c r="AB165" i="15"/>
  <c r="AB166" i="15"/>
  <c r="AB133" i="15"/>
  <c r="AB167" i="15"/>
  <c r="AB134" i="15"/>
  <c r="AB138" i="15"/>
  <c r="AB140" i="15"/>
  <c r="AB107" i="15"/>
  <c r="AB141" i="15"/>
  <c r="AB108" i="15"/>
  <c r="AB142" i="15"/>
  <c r="AB109" i="15"/>
  <c r="AB161" i="15"/>
  <c r="AB147" i="15"/>
  <c r="AB129" i="15"/>
  <c r="AB125" i="15"/>
  <c r="AB121" i="15"/>
  <c r="AB117" i="15"/>
  <c r="AB113" i="15"/>
  <c r="AB159" i="15"/>
  <c r="AB151" i="15"/>
  <c r="AB154" i="15"/>
  <c r="AB144" i="15"/>
  <c r="AB157" i="15"/>
  <c r="AB148" i="15"/>
  <c r="AB162" i="15"/>
  <c r="AB153" i="15"/>
  <c r="AB160" i="15"/>
  <c r="AB156" i="15"/>
  <c r="AB116" i="15"/>
  <c r="AB111" i="15"/>
  <c r="AB145" i="15"/>
  <c r="AB128" i="15"/>
  <c r="AB155" i="15"/>
  <c r="AB126" i="15"/>
  <c r="AB119" i="15"/>
  <c r="AB114" i="15"/>
  <c r="AB139" i="15"/>
  <c r="AB106" i="15"/>
  <c r="AB124" i="15"/>
  <c r="AB122" i="15"/>
  <c r="AB158" i="15"/>
  <c r="AB112" i="15"/>
  <c r="AB115" i="15"/>
  <c r="AB110" i="15"/>
  <c r="AB120" i="15"/>
  <c r="AB150" i="15"/>
  <c r="AB127" i="15"/>
  <c r="AB118" i="15"/>
  <c r="B134" i="15"/>
  <c r="B167" i="15"/>
  <c r="U118" i="15"/>
  <c r="AC149" i="15"/>
  <c r="W158" i="15"/>
  <c r="W159" i="15"/>
  <c r="W126" i="15"/>
  <c r="W161" i="15"/>
  <c r="W128" i="15"/>
  <c r="W162" i="15"/>
  <c r="W129" i="15"/>
  <c r="W164" i="15"/>
  <c r="W165" i="15"/>
  <c r="W132" i="15"/>
  <c r="W166" i="15"/>
  <c r="W167" i="15"/>
  <c r="W134" i="15"/>
  <c r="W153" i="15"/>
  <c r="W150" i="15"/>
  <c r="W143" i="15"/>
  <c r="W156" i="15"/>
  <c r="W147" i="15"/>
  <c r="W140" i="15"/>
  <c r="W125" i="15"/>
  <c r="W121" i="15"/>
  <c r="W117" i="15"/>
  <c r="W113" i="15"/>
  <c r="W109" i="15"/>
  <c r="W151" i="15"/>
  <c r="W154" i="15"/>
  <c r="W144" i="15"/>
  <c r="W157" i="15"/>
  <c r="W152" i="15"/>
  <c r="W145" i="15"/>
  <c r="W142" i="15"/>
  <c r="W123" i="15"/>
  <c r="W119" i="15"/>
  <c r="W115" i="15"/>
  <c r="W111" i="15"/>
  <c r="W146" i="15"/>
  <c r="W108" i="15"/>
  <c r="W160" i="15"/>
  <c r="W149" i="15"/>
  <c r="W116" i="15"/>
  <c r="W155" i="15"/>
  <c r="W148" i="15"/>
  <c r="W139" i="15"/>
  <c r="W114" i="15"/>
  <c r="W106" i="15"/>
  <c r="W133" i="15"/>
  <c r="W163" i="15"/>
  <c r="W141" i="15"/>
  <c r="W124" i="15"/>
  <c r="W131" i="15"/>
  <c r="W122" i="15"/>
  <c r="W112" i="15"/>
  <c r="W138" i="15"/>
  <c r="W107" i="15"/>
  <c r="W120" i="15"/>
  <c r="W110" i="15"/>
  <c r="W127" i="15"/>
  <c r="V118" i="15"/>
  <c r="AD149" i="15"/>
  <c r="W118" i="15"/>
  <c r="AG9" i="15"/>
  <c r="B152" i="15"/>
  <c r="B119" i="15"/>
  <c r="D129" i="15"/>
  <c r="AB152" i="15"/>
  <c r="Q152" i="15"/>
  <c r="Q153" i="15"/>
  <c r="Q120" i="15"/>
  <c r="Q155" i="15"/>
  <c r="Q122" i="15"/>
  <c r="Q156" i="15"/>
  <c r="Q123" i="15"/>
  <c r="Q158" i="15"/>
  <c r="Q159" i="15"/>
  <c r="Q126" i="15"/>
  <c r="Q160" i="15"/>
  <c r="Q161" i="15"/>
  <c r="Q128" i="15"/>
  <c r="Q162" i="15"/>
  <c r="Q129" i="15"/>
  <c r="Q163" i="15"/>
  <c r="Q130" i="15"/>
  <c r="Q164" i="15"/>
  <c r="Q165" i="15"/>
  <c r="Q142" i="15"/>
  <c r="Q167" i="15"/>
  <c r="Q132" i="15"/>
  <c r="Q146" i="15"/>
  <c r="Q139" i="15"/>
  <c r="Q124" i="15"/>
  <c r="Q150" i="15"/>
  <c r="Q143" i="15"/>
  <c r="Q133" i="15"/>
  <c r="Q166" i="15"/>
  <c r="Q147" i="15"/>
  <c r="Q148" i="15"/>
  <c r="Q145" i="15"/>
  <c r="Q118" i="15"/>
  <c r="Q113" i="15"/>
  <c r="Q108" i="15"/>
  <c r="Q105" i="15"/>
  <c r="Q149" i="15"/>
  <c r="Q121" i="15"/>
  <c r="Q116" i="15"/>
  <c r="Q111" i="15"/>
  <c r="Q151" i="15"/>
  <c r="Q119" i="15"/>
  <c r="Q106" i="15"/>
  <c r="Q154" i="15"/>
  <c r="Q114" i="15"/>
  <c r="Q109" i="15"/>
  <c r="Q131" i="15"/>
  <c r="Q144" i="15"/>
  <c r="Q141" i="15"/>
  <c r="Q117" i="15"/>
  <c r="Q112" i="15"/>
  <c r="Q157" i="15"/>
  <c r="Q138" i="15"/>
  <c r="Q107" i="15"/>
  <c r="Q127" i="15"/>
  <c r="E129" i="15"/>
  <c r="AC152" i="15"/>
  <c r="C139" i="15"/>
  <c r="C106" i="15"/>
  <c r="C141" i="15"/>
  <c r="C108" i="15"/>
  <c r="C142" i="15"/>
  <c r="C109" i="15"/>
  <c r="C144" i="15"/>
  <c r="C145" i="15"/>
  <c r="C112" i="15"/>
  <c r="C147" i="15"/>
  <c r="C114" i="15"/>
  <c r="C148" i="15"/>
  <c r="C115" i="15"/>
  <c r="C149" i="15"/>
  <c r="C116" i="15"/>
  <c r="C159" i="15"/>
  <c r="C167" i="15"/>
  <c r="C160" i="15"/>
  <c r="C152" i="15"/>
  <c r="C155" i="15"/>
  <c r="C158" i="15"/>
  <c r="C131" i="15"/>
  <c r="C127" i="15"/>
  <c r="C123" i="15"/>
  <c r="C119" i="15"/>
  <c r="C165" i="15"/>
  <c r="C163" i="15"/>
  <c r="C153" i="15"/>
  <c r="C138" i="15"/>
  <c r="C156" i="15"/>
  <c r="C146" i="15"/>
  <c r="C154" i="15"/>
  <c r="C166" i="15"/>
  <c r="C113" i="15"/>
  <c r="C140" i="15"/>
  <c r="C107" i="15"/>
  <c r="C143" i="15"/>
  <c r="C125" i="15"/>
  <c r="C110" i="15"/>
  <c r="C132" i="15"/>
  <c r="C118" i="15"/>
  <c r="C134" i="15"/>
  <c r="C164" i="15"/>
  <c r="C130" i="15"/>
  <c r="C128" i="15"/>
  <c r="C121" i="15"/>
  <c r="C105" i="15"/>
  <c r="C151" i="15"/>
  <c r="C111" i="15"/>
  <c r="C126" i="15"/>
  <c r="C124" i="15"/>
  <c r="C162" i="15"/>
  <c r="C150" i="15"/>
  <c r="C133" i="15"/>
  <c r="C117" i="15"/>
  <c r="C120" i="15"/>
  <c r="F129" i="15"/>
  <c r="AG16" i="15"/>
  <c r="B112" i="15"/>
  <c r="D120" i="15"/>
  <c r="AC156" i="15"/>
  <c r="AA162" i="15"/>
  <c r="AA163" i="15"/>
  <c r="AA130" i="15"/>
  <c r="AA164" i="15"/>
  <c r="AA165" i="15"/>
  <c r="AA132" i="15"/>
  <c r="AA166" i="15"/>
  <c r="AA133" i="15"/>
  <c r="AA167" i="15"/>
  <c r="AA139" i="15"/>
  <c r="AA106" i="15"/>
  <c r="AA140" i="15"/>
  <c r="AA107" i="15"/>
  <c r="AA141" i="15"/>
  <c r="AA108" i="15"/>
  <c r="AA156" i="15"/>
  <c r="AA161" i="15"/>
  <c r="AA147" i="15"/>
  <c r="AA159" i="15"/>
  <c r="AA151" i="15"/>
  <c r="AA154" i="15"/>
  <c r="AA144" i="15"/>
  <c r="AA157" i="15"/>
  <c r="AA148" i="15"/>
  <c r="AA160" i="15"/>
  <c r="AA149" i="15"/>
  <c r="AA138" i="15"/>
  <c r="AA142" i="15"/>
  <c r="AA146" i="15"/>
  <c r="AA116" i="15"/>
  <c r="AA121" i="15"/>
  <c r="AA111" i="15"/>
  <c r="AA145" i="15"/>
  <c r="AA128" i="15"/>
  <c r="AA155" i="15"/>
  <c r="AA126" i="15"/>
  <c r="AA119" i="15"/>
  <c r="AA114" i="15"/>
  <c r="AA109" i="15"/>
  <c r="AA124" i="15"/>
  <c r="AA117" i="15"/>
  <c r="AA131" i="15"/>
  <c r="AA122" i="15"/>
  <c r="AA158" i="15"/>
  <c r="AA112" i="15"/>
  <c r="AA129" i="15"/>
  <c r="AA115" i="15"/>
  <c r="AA110" i="15"/>
  <c r="AA120" i="15"/>
  <c r="AA150" i="15"/>
  <c r="AA127" i="15"/>
  <c r="AA153" i="15"/>
  <c r="AA118" i="15"/>
  <c r="AA134" i="15"/>
  <c r="AA125" i="15"/>
  <c r="AA113" i="15"/>
  <c r="D112" i="15"/>
  <c r="W130" i="15"/>
  <c r="AD156" i="15"/>
  <c r="B166" i="15"/>
  <c r="AG34" i="15"/>
  <c r="B133" i="15"/>
  <c r="E120" i="15"/>
  <c r="AG8" i="15"/>
  <c r="AE139" i="15"/>
  <c r="E112" i="15"/>
  <c r="F120" i="15"/>
  <c r="AG15" i="15"/>
  <c r="P152" i="15"/>
  <c r="P119" i="15"/>
  <c r="P154" i="15"/>
  <c r="P121" i="15"/>
  <c r="P155" i="15"/>
  <c r="P122" i="15"/>
  <c r="P157" i="15"/>
  <c r="P158" i="15"/>
  <c r="P125" i="15"/>
  <c r="P159" i="15"/>
  <c r="P160" i="15"/>
  <c r="P127" i="15"/>
  <c r="P161" i="15"/>
  <c r="P128" i="15"/>
  <c r="P162" i="15"/>
  <c r="P129" i="15"/>
  <c r="P163" i="15"/>
  <c r="P164" i="15"/>
  <c r="P167" i="15"/>
  <c r="P149" i="15"/>
  <c r="P142" i="15"/>
  <c r="P115" i="15"/>
  <c r="P111" i="15"/>
  <c r="P153" i="15"/>
  <c r="P146" i="15"/>
  <c r="P139" i="15"/>
  <c r="P156" i="15"/>
  <c r="P120" i="15"/>
  <c r="P150" i="15"/>
  <c r="P116" i="15"/>
  <c r="P112" i="15"/>
  <c r="P108" i="15"/>
  <c r="P143" i="15"/>
  <c r="P133" i="15"/>
  <c r="P166" i="15"/>
  <c r="P131" i="15"/>
  <c r="P132" i="15"/>
  <c r="P165" i="15"/>
  <c r="P130" i="15"/>
  <c r="P118" i="15"/>
  <c r="P113" i="15"/>
  <c r="P123" i="15"/>
  <c r="P105" i="15"/>
  <c r="P145" i="15"/>
  <c r="P148" i="15"/>
  <c r="P126" i="15"/>
  <c r="P151" i="15"/>
  <c r="P106" i="15"/>
  <c r="P114" i="15"/>
  <c r="P109" i="15"/>
  <c r="P124" i="15"/>
  <c r="P147" i="15"/>
  <c r="P144" i="15"/>
  <c r="P141" i="15"/>
  <c r="P117" i="15"/>
  <c r="P138" i="15"/>
  <c r="P107" i="15"/>
  <c r="B129" i="15"/>
  <c r="B162" i="15"/>
  <c r="H112" i="15"/>
  <c r="AB130" i="15"/>
  <c r="C157" i="15"/>
  <c r="AC130" i="15"/>
  <c r="AC160" i="15"/>
  <c r="C122" i="15"/>
  <c r="B118" i="15"/>
  <c r="B151" i="15"/>
  <c r="AG7" i="15"/>
  <c r="AG14" i="15"/>
  <c r="O151" i="15"/>
  <c r="O118" i="15"/>
  <c r="O153" i="15"/>
  <c r="O120" i="15"/>
  <c r="O154" i="15"/>
  <c r="O121" i="15"/>
  <c r="O156" i="15"/>
  <c r="O157" i="15"/>
  <c r="O124" i="15"/>
  <c r="O158" i="15"/>
  <c r="O159" i="15"/>
  <c r="O126" i="15"/>
  <c r="O160" i="15"/>
  <c r="O127" i="15"/>
  <c r="O161" i="15"/>
  <c r="O128" i="15"/>
  <c r="O162" i="15"/>
  <c r="O163" i="15"/>
  <c r="O149" i="15"/>
  <c r="O119" i="15"/>
  <c r="O167" i="15"/>
  <c r="O142" i="15"/>
  <c r="O146" i="15"/>
  <c r="O139" i="15"/>
  <c r="O150" i="15"/>
  <c r="O116" i="15"/>
  <c r="O112" i="15"/>
  <c r="O108" i="15"/>
  <c r="O143" i="15"/>
  <c r="O166" i="15"/>
  <c r="O114" i="15"/>
  <c r="O110" i="15"/>
  <c r="O152" i="15"/>
  <c r="O131" i="15"/>
  <c r="O134" i="15"/>
  <c r="O132" i="15"/>
  <c r="O165" i="15"/>
  <c r="O130" i="15"/>
  <c r="O113" i="15"/>
  <c r="O164" i="15"/>
  <c r="O123" i="15"/>
  <c r="O105" i="15"/>
  <c r="O155" i="15"/>
  <c r="O111" i="15"/>
  <c r="O145" i="15"/>
  <c r="O148" i="15"/>
  <c r="O133" i="15"/>
  <c r="O106" i="15"/>
  <c r="O109" i="15"/>
  <c r="O129" i="15"/>
  <c r="O147" i="15"/>
  <c r="O144" i="15"/>
  <c r="O141" i="15"/>
  <c r="O117" i="15"/>
  <c r="O122" i="15"/>
  <c r="O138" i="15"/>
  <c r="V105" i="15"/>
  <c r="D140" i="15"/>
  <c r="D107" i="15"/>
  <c r="D142" i="15"/>
  <c r="D109" i="15"/>
  <c r="D143" i="15"/>
  <c r="D110" i="15"/>
  <c r="D145" i="15"/>
  <c r="D146" i="15"/>
  <c r="D113" i="15"/>
  <c r="D148" i="15"/>
  <c r="D115" i="15"/>
  <c r="D149" i="15"/>
  <c r="D116" i="15"/>
  <c r="D150" i="15"/>
  <c r="D117" i="15"/>
  <c r="D160" i="15"/>
  <c r="D155" i="15"/>
  <c r="D114" i="15"/>
  <c r="D141" i="15"/>
  <c r="D158" i="15"/>
  <c r="D165" i="15"/>
  <c r="D167" i="15"/>
  <c r="D163" i="15"/>
  <c r="D153" i="15"/>
  <c r="D138" i="15"/>
  <c r="D106" i="15"/>
  <c r="D111" i="15"/>
  <c r="D156" i="15"/>
  <c r="D161" i="15"/>
  <c r="D159" i="15"/>
  <c r="D147" i="15"/>
  <c r="D151" i="15"/>
  <c r="D166" i="15"/>
  <c r="D162" i="15"/>
  <c r="D127" i="15"/>
  <c r="D125" i="15"/>
  <c r="D132" i="15"/>
  <c r="D118" i="15"/>
  <c r="D152" i="15"/>
  <c r="D134" i="15"/>
  <c r="D164" i="15"/>
  <c r="D123" i="15"/>
  <c r="D130" i="15"/>
  <c r="D128" i="15"/>
  <c r="D121" i="15"/>
  <c r="D108" i="15"/>
  <c r="D105" i="15"/>
  <c r="D139" i="15"/>
  <c r="D119" i="15"/>
  <c r="D154" i="15"/>
  <c r="D126" i="15"/>
  <c r="D124" i="15"/>
  <c r="D133" i="15"/>
  <c r="D144" i="15"/>
  <c r="D131" i="15"/>
  <c r="D157" i="15"/>
  <c r="Z161" i="15"/>
  <c r="Z162" i="15"/>
  <c r="Z129" i="15"/>
  <c r="Z163" i="15"/>
  <c r="Z164" i="15"/>
  <c r="Z131" i="15"/>
  <c r="Z165" i="15"/>
  <c r="Z132" i="15"/>
  <c r="Z167" i="15"/>
  <c r="Z138" i="15"/>
  <c r="Z105" i="15"/>
  <c r="Z139" i="15"/>
  <c r="Z106" i="15"/>
  <c r="Z140" i="15"/>
  <c r="Z107" i="15"/>
  <c r="Z143" i="15"/>
  <c r="Z156" i="15"/>
  <c r="Z147" i="15"/>
  <c r="Z125" i="15"/>
  <c r="Z121" i="15"/>
  <c r="Z117" i="15"/>
  <c r="Z113" i="15"/>
  <c r="Z109" i="15"/>
  <c r="Z159" i="15"/>
  <c r="Z151" i="15"/>
  <c r="Z154" i="15"/>
  <c r="Z144" i="15"/>
  <c r="Z166" i="15"/>
  <c r="Z134" i="15"/>
  <c r="Z157" i="15"/>
  <c r="Z148" i="15"/>
  <c r="Z155" i="15"/>
  <c r="Z160" i="15"/>
  <c r="Z149" i="15"/>
  <c r="Z158" i="15"/>
  <c r="Z146" i="15"/>
  <c r="Z152" i="15"/>
  <c r="Z116" i="15"/>
  <c r="Z111" i="15"/>
  <c r="Z142" i="15"/>
  <c r="Z145" i="15"/>
  <c r="Z128" i="15"/>
  <c r="Z126" i="15"/>
  <c r="Z119" i="15"/>
  <c r="Z114" i="15"/>
  <c r="Z141" i="15"/>
  <c r="Z133" i="15"/>
  <c r="Z124" i="15"/>
  <c r="Z122" i="15"/>
  <c r="Z112" i="15"/>
  <c r="Z115" i="15"/>
  <c r="Z110" i="15"/>
  <c r="Z120" i="15"/>
  <c r="Z150" i="15"/>
  <c r="Z127" i="15"/>
  <c r="Z153" i="15"/>
  <c r="Z118" i="15"/>
  <c r="W105" i="15"/>
  <c r="T113" i="15"/>
  <c r="E122" i="15"/>
  <c r="C161" i="15"/>
  <c r="S115" i="15"/>
  <c r="X118" i="15"/>
  <c r="AF143" i="15"/>
  <c r="X153" i="15"/>
  <c r="Y118" i="15"/>
  <c r="S120" i="15"/>
  <c r="S127" i="15"/>
  <c r="X134" i="15"/>
  <c r="AF149" i="15"/>
  <c r="Y153" i="15"/>
  <c r="AF161" i="15"/>
  <c r="S107" i="15"/>
  <c r="AF123" i="15"/>
  <c r="M112" i="15"/>
  <c r="Y127" i="15"/>
  <c r="K141" i="15"/>
  <c r="K144" i="15"/>
  <c r="L147" i="15"/>
  <c r="X110" i="15"/>
  <c r="X115" i="15"/>
  <c r="M117" i="15"/>
  <c r="K129" i="15"/>
  <c r="L141" i="15"/>
  <c r="L144" i="15"/>
  <c r="M147" i="15"/>
  <c r="AD153" i="15"/>
  <c r="Y110" i="15"/>
  <c r="Y115" i="15"/>
  <c r="L129" i="15"/>
  <c r="K131" i="15"/>
  <c r="AE153" i="15"/>
  <c r="S112" i="15"/>
  <c r="M129" i="15"/>
  <c r="L131" i="15"/>
  <c r="AF153" i="15"/>
  <c r="X157" i="15"/>
  <c r="X107" i="15"/>
  <c r="M109" i="15"/>
  <c r="M131" i="15"/>
  <c r="Y157" i="15"/>
  <c r="L162" i="15"/>
  <c r="M106" i="15"/>
  <c r="M114" i="15"/>
  <c r="R117" i="15"/>
  <c r="R141" i="15"/>
  <c r="R144" i="15"/>
  <c r="AE147" i="15"/>
  <c r="AF150" i="15"/>
  <c r="M162" i="15"/>
  <c r="AF110" i="15"/>
  <c r="S117" i="15"/>
  <c r="K133" i="15"/>
  <c r="AD138" i="15"/>
  <c r="S144" i="15"/>
  <c r="AF147" i="15"/>
  <c r="R158" i="15"/>
  <c r="Y162" i="15"/>
  <c r="Y112" i="15"/>
  <c r="K119" i="15"/>
  <c r="AF120" i="15"/>
  <c r="X122" i="15"/>
  <c r="AF127" i="15"/>
  <c r="L133" i="15"/>
  <c r="AF107" i="15"/>
  <c r="L119" i="15"/>
  <c r="Y122" i="15"/>
  <c r="AD129" i="15"/>
  <c r="M133" i="15"/>
  <c r="K151" i="15"/>
  <c r="X158" i="15"/>
  <c r="AD162" i="15"/>
  <c r="AF115" i="15"/>
  <c r="X131" i="15"/>
  <c r="M145" i="15"/>
  <c r="S109" i="15"/>
  <c r="M111" i="15"/>
  <c r="S114" i="15"/>
  <c r="Y117" i="15"/>
  <c r="L126" i="15"/>
  <c r="X141" i="15"/>
  <c r="S119" i="15"/>
  <c r="Y141" i="15"/>
  <c r="AD163" i="15"/>
  <c r="R126" i="15"/>
  <c r="AD131" i="15"/>
  <c r="S148" i="15"/>
  <c r="R151" i="15"/>
  <c r="AF158" i="15"/>
  <c r="AE163" i="15"/>
  <c r="AD117" i="15"/>
  <c r="S126" i="15"/>
  <c r="AE131" i="15"/>
  <c r="AE133" i="15"/>
  <c r="R142" i="15"/>
  <c r="S145" i="15"/>
  <c r="S151" i="15"/>
  <c r="K147" i="15"/>
  <c r="K114" i="15"/>
  <c r="K149" i="15"/>
  <c r="K116" i="15"/>
  <c r="K150" i="15"/>
  <c r="K117" i="15"/>
  <c r="K152" i="15"/>
  <c r="K153" i="15"/>
  <c r="K120" i="15"/>
  <c r="K154" i="15"/>
  <c r="K155" i="15"/>
  <c r="K122" i="15"/>
  <c r="K156" i="15"/>
  <c r="K123" i="15"/>
  <c r="K157" i="15"/>
  <c r="K124" i="15"/>
  <c r="K158" i="15"/>
  <c r="K159" i="15"/>
  <c r="K164" i="15"/>
  <c r="K167" i="15"/>
  <c r="K145" i="15"/>
  <c r="K165" i="15"/>
  <c r="K138" i="15"/>
  <c r="K163" i="15"/>
  <c r="K115" i="15"/>
  <c r="K142" i="15"/>
  <c r="K161" i="15"/>
  <c r="K132" i="15"/>
  <c r="K128" i="15"/>
  <c r="K146" i="15"/>
  <c r="K139" i="15"/>
  <c r="K166" i="15"/>
  <c r="K162" i="15"/>
  <c r="K148" i="15"/>
  <c r="AD165" i="15"/>
  <c r="AD166" i="15"/>
  <c r="AD133" i="15"/>
  <c r="AD167" i="15"/>
  <c r="AD139" i="15"/>
  <c r="AD140" i="15"/>
  <c r="AD142" i="15"/>
  <c r="AD109" i="15"/>
  <c r="AD143" i="15"/>
  <c r="AD110" i="15"/>
  <c r="AD144" i="15"/>
  <c r="AD111" i="15"/>
  <c r="AD161" i="15"/>
  <c r="AD147" i="15"/>
  <c r="AD159" i="15"/>
  <c r="AD151" i="15"/>
  <c r="AD154" i="15"/>
  <c r="AD157" i="15"/>
  <c r="AD148" i="15"/>
  <c r="AD134" i="15"/>
  <c r="AD164" i="15"/>
  <c r="AD141" i="15"/>
  <c r="AD160" i="15"/>
  <c r="AD158" i="15"/>
  <c r="AD150" i="15"/>
  <c r="AD132" i="15"/>
  <c r="Y109" i="15"/>
  <c r="R111" i="15"/>
  <c r="L116" i="15"/>
  <c r="AE117" i="15"/>
  <c r="K121" i="15"/>
  <c r="AD124" i="15"/>
  <c r="L128" i="15"/>
  <c r="AF131" i="15"/>
  <c r="S142" i="15"/>
  <c r="K105" i="15"/>
  <c r="X106" i="15"/>
  <c r="S111" i="15"/>
  <c r="X114" i="15"/>
  <c r="X119" i="15"/>
  <c r="M121" i="15"/>
  <c r="AF124" i="15"/>
  <c r="X126" i="15"/>
  <c r="X159" i="15"/>
  <c r="X160" i="15"/>
  <c r="X127" i="15"/>
  <c r="X162" i="15"/>
  <c r="X129" i="15"/>
  <c r="X163" i="15"/>
  <c r="X130" i="15"/>
  <c r="X165" i="15"/>
  <c r="X166" i="15"/>
  <c r="X133" i="15"/>
  <c r="X167" i="15"/>
  <c r="X138" i="15"/>
  <c r="X105" i="15"/>
  <c r="X128" i="15"/>
  <c r="X150" i="15"/>
  <c r="X124" i="15"/>
  <c r="X120" i="15"/>
  <c r="X116" i="15"/>
  <c r="X112" i="15"/>
  <c r="X108" i="15"/>
  <c r="X143" i="15"/>
  <c r="X156" i="15"/>
  <c r="X161" i="15"/>
  <c r="X147" i="15"/>
  <c r="X140" i="15"/>
  <c r="X125" i="15"/>
  <c r="X121" i="15"/>
  <c r="X117" i="15"/>
  <c r="X113" i="15"/>
  <c r="X109" i="15"/>
  <c r="X151" i="15"/>
  <c r="X154" i="15"/>
  <c r="X144" i="15"/>
  <c r="L105" i="15"/>
  <c r="K108" i="15"/>
  <c r="K113" i="15"/>
  <c r="Y114" i="15"/>
  <c r="Y119" i="15"/>
  <c r="Y126" i="15"/>
  <c r="X145" i="15"/>
  <c r="R153" i="15"/>
  <c r="R154" i="15"/>
  <c r="R121" i="15"/>
  <c r="R156" i="15"/>
  <c r="R123" i="15"/>
  <c r="R157" i="15"/>
  <c r="R124" i="15"/>
  <c r="R159" i="15"/>
  <c r="R160" i="15"/>
  <c r="R127" i="15"/>
  <c r="R161" i="15"/>
  <c r="R162" i="15"/>
  <c r="R129" i="15"/>
  <c r="R163" i="15"/>
  <c r="R130" i="15"/>
  <c r="R164" i="15"/>
  <c r="R131" i="15"/>
  <c r="R165" i="15"/>
  <c r="R166" i="15"/>
  <c r="R167" i="15"/>
  <c r="R132" i="15"/>
  <c r="R107" i="15"/>
  <c r="R146" i="15"/>
  <c r="R139" i="15"/>
  <c r="R150" i="15"/>
  <c r="R120" i="15"/>
  <c r="R116" i="15"/>
  <c r="R112" i="15"/>
  <c r="R108" i="15"/>
  <c r="R143" i="15"/>
  <c r="R133" i="15"/>
  <c r="R147" i="15"/>
  <c r="R148" i="15"/>
  <c r="R152" i="15"/>
  <c r="R145" i="15"/>
  <c r="R155" i="15"/>
  <c r="R138" i="15"/>
  <c r="L108" i="15"/>
  <c r="L113" i="15"/>
  <c r="S116" i="15"/>
  <c r="K130" i="15"/>
  <c r="X142" i="15"/>
  <c r="Y145" i="15"/>
  <c r="X148" i="15"/>
  <c r="X155" i="15"/>
  <c r="B126" i="15"/>
  <c r="AD106" i="15"/>
  <c r="M108" i="15"/>
  <c r="M113" i="15"/>
  <c r="S121" i="15"/>
  <c r="L130" i="15"/>
  <c r="Y142" i="15"/>
  <c r="Y148" i="15"/>
  <c r="M164" i="15"/>
  <c r="AG27" i="15"/>
  <c r="L148" i="15"/>
  <c r="L115" i="15"/>
  <c r="L150" i="15"/>
  <c r="L117" i="15"/>
  <c r="L151" i="15"/>
  <c r="L118" i="15"/>
  <c r="L153" i="15"/>
  <c r="L154" i="15"/>
  <c r="L121" i="15"/>
  <c r="L155" i="15"/>
  <c r="L156" i="15"/>
  <c r="L123" i="15"/>
  <c r="L157" i="15"/>
  <c r="L124" i="15"/>
  <c r="L158" i="15"/>
  <c r="L125" i="15"/>
  <c r="L159" i="15"/>
  <c r="L160" i="15"/>
  <c r="L165" i="15"/>
  <c r="L145" i="15"/>
  <c r="L138" i="15"/>
  <c r="L106" i="15"/>
  <c r="L163" i="15"/>
  <c r="L149" i="15"/>
  <c r="L167" i="15"/>
  <c r="L142" i="15"/>
  <c r="L111" i="15"/>
  <c r="L161" i="15"/>
  <c r="L107" i="15"/>
  <c r="L146" i="15"/>
  <c r="L139" i="15"/>
  <c r="L120" i="15"/>
  <c r="L166" i="15"/>
  <c r="L164" i="15"/>
  <c r="AE166" i="15"/>
  <c r="AE167" i="15"/>
  <c r="AE134" i="15"/>
  <c r="AE138" i="15"/>
  <c r="AE140" i="15"/>
  <c r="AE141" i="15"/>
  <c r="AE108" i="15"/>
  <c r="AE143" i="15"/>
  <c r="AE110" i="15"/>
  <c r="AE144" i="15"/>
  <c r="AE111" i="15"/>
  <c r="AE145" i="15"/>
  <c r="AE112" i="15"/>
  <c r="AE159" i="15"/>
  <c r="AE151" i="15"/>
  <c r="AE154" i="15"/>
  <c r="AE109" i="15"/>
  <c r="AE157" i="15"/>
  <c r="AE148" i="15"/>
  <c r="AE130" i="15"/>
  <c r="AE126" i="15"/>
  <c r="AE122" i="15"/>
  <c r="AE118" i="15"/>
  <c r="AE114" i="15"/>
  <c r="AE164" i="15"/>
  <c r="AE162" i="15"/>
  <c r="AE152" i="15"/>
  <c r="AE155" i="15"/>
  <c r="AE158" i="15"/>
  <c r="AE142" i="15"/>
  <c r="AE146" i="15"/>
  <c r="AE150" i="15"/>
  <c r="AE132" i="15"/>
  <c r="AE128" i="15"/>
  <c r="AE124" i="15"/>
  <c r="AE120" i="15"/>
  <c r="AE116" i="15"/>
  <c r="AE106" i="15"/>
  <c r="X111" i="15"/>
  <c r="M130" i="15"/>
  <c r="S152" i="15"/>
  <c r="AF106" i="15"/>
  <c r="K118" i="15"/>
  <c r="S123" i="15"/>
  <c r="L132" i="15"/>
  <c r="K134" i="15"/>
  <c r="R149" i="15"/>
  <c r="X164" i="15"/>
  <c r="Y160" i="15"/>
  <c r="Y161" i="15"/>
  <c r="Y128" i="15"/>
  <c r="Y163" i="15"/>
  <c r="Y130" i="15"/>
  <c r="Y164" i="15"/>
  <c r="Y131" i="15"/>
  <c r="Y166" i="15"/>
  <c r="Y167" i="15"/>
  <c r="Y134" i="15"/>
  <c r="Y138" i="15"/>
  <c r="Y105" i="15"/>
  <c r="Y139" i="15"/>
  <c r="Y106" i="15"/>
  <c r="Y150" i="15"/>
  <c r="Y124" i="15"/>
  <c r="Y120" i="15"/>
  <c r="Y143" i="15"/>
  <c r="Y156" i="15"/>
  <c r="Y147" i="15"/>
  <c r="Y133" i="15"/>
  <c r="Y140" i="15"/>
  <c r="Y129" i="15"/>
  <c r="Y125" i="15"/>
  <c r="Y121" i="15"/>
  <c r="Y159" i="15"/>
  <c r="Y151" i="15"/>
  <c r="Y154" i="15"/>
  <c r="Y144" i="15"/>
  <c r="Y155" i="15"/>
  <c r="Y107" i="15"/>
  <c r="Y158" i="15"/>
  <c r="R105" i="15"/>
  <c r="S108" i="15"/>
  <c r="K110" i="15"/>
  <c r="AD114" i="15"/>
  <c r="Y116" i="15"/>
  <c r="AD119" i="15"/>
  <c r="AD126" i="15"/>
  <c r="L134" i="15"/>
  <c r="AD155" i="15"/>
  <c r="K160" i="15"/>
  <c r="S154" i="15"/>
  <c r="S155" i="15"/>
  <c r="S122" i="15"/>
  <c r="S157" i="15"/>
  <c r="S124" i="15"/>
  <c r="S158" i="15"/>
  <c r="S125" i="15"/>
  <c r="S160" i="15"/>
  <c r="S161" i="15"/>
  <c r="S128" i="15"/>
  <c r="S162" i="15"/>
  <c r="S163" i="15"/>
  <c r="S130" i="15"/>
  <c r="S164" i="15"/>
  <c r="S131" i="15"/>
  <c r="S165" i="15"/>
  <c r="S132" i="15"/>
  <c r="S166" i="15"/>
  <c r="S167" i="15"/>
  <c r="S146" i="15"/>
  <c r="S139" i="15"/>
  <c r="S153" i="15"/>
  <c r="S156" i="15"/>
  <c r="S150" i="15"/>
  <c r="S143" i="15"/>
  <c r="S133" i="15"/>
  <c r="S129" i="15"/>
  <c r="S159" i="15"/>
  <c r="S147" i="15"/>
  <c r="S140" i="15"/>
  <c r="S141" i="15"/>
  <c r="S138" i="15"/>
  <c r="S106" i="15"/>
  <c r="S105" i="15"/>
  <c r="L110" i="15"/>
  <c r="AE119" i="15"/>
  <c r="AD128" i="15"/>
  <c r="M134" i="15"/>
  <c r="K140" i="15"/>
  <c r="AD145" i="15"/>
  <c r="X152" i="15"/>
  <c r="AF155" i="15"/>
  <c r="R113" i="15"/>
  <c r="R118" i="15"/>
  <c r="AF119" i="15"/>
  <c r="X123" i="15"/>
  <c r="L140" i="15"/>
  <c r="Y152" i="15"/>
  <c r="Y165" i="15"/>
  <c r="M149" i="15"/>
  <c r="M116" i="15"/>
  <c r="M151" i="15"/>
  <c r="M118" i="15"/>
  <c r="M152" i="15"/>
  <c r="M119" i="15"/>
  <c r="M154" i="15"/>
  <c r="M155" i="15"/>
  <c r="M122" i="15"/>
  <c r="M156" i="15"/>
  <c r="M157" i="15"/>
  <c r="M124" i="15"/>
  <c r="M158" i="15"/>
  <c r="M125" i="15"/>
  <c r="M159" i="15"/>
  <c r="M126" i="15"/>
  <c r="M160" i="15"/>
  <c r="M161" i="15"/>
  <c r="M166" i="15"/>
  <c r="M138" i="15"/>
  <c r="M123" i="15"/>
  <c r="M165" i="15"/>
  <c r="M163" i="15"/>
  <c r="M167" i="15"/>
  <c r="M142" i="15"/>
  <c r="M132" i="15"/>
  <c r="M128" i="15"/>
  <c r="M153" i="15"/>
  <c r="M146" i="15"/>
  <c r="M139" i="15"/>
  <c r="M120" i="15"/>
  <c r="M150" i="15"/>
  <c r="M143" i="15"/>
  <c r="M144" i="15"/>
  <c r="M148" i="15"/>
  <c r="M105" i="15"/>
  <c r="M141" i="15"/>
  <c r="AF167" i="15"/>
  <c r="AF138" i="15"/>
  <c r="AF105" i="15"/>
  <c r="AF139" i="15"/>
  <c r="AF141" i="15"/>
  <c r="AF142" i="15"/>
  <c r="AF109" i="15"/>
  <c r="AF144" i="15"/>
  <c r="AF111" i="15"/>
  <c r="AF145" i="15"/>
  <c r="AF112" i="15"/>
  <c r="AF146" i="15"/>
  <c r="AF113" i="15"/>
  <c r="AF133" i="15"/>
  <c r="AF129" i="15"/>
  <c r="AF125" i="15"/>
  <c r="AF121" i="15"/>
  <c r="AF117" i="15"/>
  <c r="AF159" i="15"/>
  <c r="AF151" i="15"/>
  <c r="AF154" i="15"/>
  <c r="AF140" i="15"/>
  <c r="AF157" i="15"/>
  <c r="AF148" i="15"/>
  <c r="AF134" i="15"/>
  <c r="AF130" i="15"/>
  <c r="AF126" i="15"/>
  <c r="AF122" i="15"/>
  <c r="AF118" i="15"/>
  <c r="AF114" i="15"/>
  <c r="AF166" i="15"/>
  <c r="AF164" i="15"/>
  <c r="AF162" i="15"/>
  <c r="AF152" i="15"/>
  <c r="AF160" i="15"/>
  <c r="AF165" i="15"/>
  <c r="AF163" i="15"/>
  <c r="AF156" i="15"/>
  <c r="S113" i="15"/>
  <c r="M115" i="15"/>
  <c r="S118" i="15"/>
  <c r="AD121" i="15"/>
  <c r="Y123" i="15"/>
  <c r="M140" i="15"/>
  <c r="X149" i="15"/>
  <c r="AE165" i="15"/>
  <c r="B162" i="14"/>
  <c r="AG30" i="14"/>
  <c r="R114" i="14"/>
  <c r="AF115" i="14"/>
  <c r="P149" i="14"/>
  <c r="D117" i="14"/>
  <c r="P117" i="14"/>
  <c r="Q117" i="14"/>
  <c r="R117" i="14"/>
  <c r="S117" i="14"/>
  <c r="AF117" i="14"/>
  <c r="AE157" i="14"/>
  <c r="BJ25" i="14" s="1"/>
  <c r="AF118" i="14"/>
  <c r="AF120" i="14"/>
  <c r="D121" i="14"/>
  <c r="Q105" i="14"/>
  <c r="D122" i="14"/>
  <c r="AF122" i="14"/>
  <c r="H121" i="14"/>
  <c r="AA108" i="14"/>
  <c r="AA123" i="14"/>
  <c r="H109" i="14"/>
  <c r="AF123" i="14"/>
  <c r="I109" i="14"/>
  <c r="AA125" i="14"/>
  <c r="Q109" i="14"/>
  <c r="AF125" i="14"/>
  <c r="R110" i="14"/>
  <c r="D126" i="14"/>
  <c r="AA110" i="14"/>
  <c r="C127" i="14"/>
  <c r="AA127" i="14"/>
  <c r="X112" i="14"/>
  <c r="AE128" i="14"/>
  <c r="AA112" i="14"/>
  <c r="AF128" i="14"/>
  <c r="AE112" i="14"/>
  <c r="AF130" i="14"/>
  <c r="B141" i="14"/>
  <c r="B108" i="14"/>
  <c r="AG9" i="14"/>
  <c r="B142" i="14"/>
  <c r="B109" i="14"/>
  <c r="AG10" i="14"/>
  <c r="F141" i="14"/>
  <c r="F108" i="14"/>
  <c r="F142" i="14"/>
  <c r="F109" i="14"/>
  <c r="F143" i="14"/>
  <c r="F110" i="14"/>
  <c r="F144" i="14"/>
  <c r="F111" i="14"/>
  <c r="F145" i="14"/>
  <c r="F112" i="14"/>
  <c r="F146" i="14"/>
  <c r="F113" i="14"/>
  <c r="F147" i="14"/>
  <c r="F114" i="14"/>
  <c r="F148" i="14"/>
  <c r="F115" i="14"/>
  <c r="F149" i="14"/>
  <c r="F116" i="14"/>
  <c r="F150" i="14"/>
  <c r="F117" i="14"/>
  <c r="F151" i="14"/>
  <c r="F118" i="14"/>
  <c r="F152" i="14"/>
  <c r="F153" i="14"/>
  <c r="F154" i="14"/>
  <c r="F155" i="14"/>
  <c r="F156" i="14"/>
  <c r="F157" i="14"/>
  <c r="F158" i="14"/>
  <c r="F125" i="14"/>
  <c r="F159" i="14"/>
  <c r="F160" i="14"/>
  <c r="F161" i="14"/>
  <c r="F128" i="14"/>
  <c r="F162" i="14"/>
  <c r="F163" i="14"/>
  <c r="F165" i="14"/>
  <c r="F166" i="14"/>
  <c r="F167" i="14"/>
  <c r="F132" i="14"/>
  <c r="F120" i="14"/>
  <c r="F107" i="14"/>
  <c r="F130" i="14"/>
  <c r="F139" i="14"/>
  <c r="F123" i="14"/>
  <c r="F105" i="14"/>
  <c r="F126" i="14"/>
  <c r="F121" i="14"/>
  <c r="F133" i="14"/>
  <c r="F164" i="14"/>
  <c r="F138" i="14"/>
  <c r="F131" i="14"/>
  <c r="F119" i="14"/>
  <c r="F124" i="14"/>
  <c r="F129" i="14"/>
  <c r="F106" i="14"/>
  <c r="F140" i="14"/>
  <c r="F127" i="14"/>
  <c r="F122" i="14"/>
  <c r="B159" i="14"/>
  <c r="AG27" i="14"/>
  <c r="B166" i="14"/>
  <c r="B133" i="14"/>
  <c r="AG34" i="14"/>
  <c r="AG14" i="14"/>
  <c r="B138" i="14"/>
  <c r="B105" i="14"/>
  <c r="AG6" i="14"/>
  <c r="B146" i="14"/>
  <c r="B113" i="14"/>
  <c r="B150" i="14"/>
  <c r="B117" i="14"/>
  <c r="AG18" i="14"/>
  <c r="B143" i="14"/>
  <c r="B110" i="14"/>
  <c r="AG11" i="14"/>
  <c r="B155" i="14"/>
  <c r="AG23" i="14"/>
  <c r="B122" i="14"/>
  <c r="B163" i="14"/>
  <c r="B130" i="14"/>
  <c r="AG31" i="14"/>
  <c r="B127" i="14"/>
  <c r="B160" i="14"/>
  <c r="AG28" i="14"/>
  <c r="B140" i="14"/>
  <c r="B107" i="14"/>
  <c r="B153" i="14"/>
  <c r="B120" i="14"/>
  <c r="AG21" i="14"/>
  <c r="B149" i="14"/>
  <c r="B116" i="14"/>
  <c r="AG17" i="14"/>
  <c r="B156" i="14"/>
  <c r="AG24" i="14"/>
  <c r="B123" i="14"/>
  <c r="J145" i="14"/>
  <c r="J112" i="14"/>
  <c r="J146" i="14"/>
  <c r="J113" i="14"/>
  <c r="J147" i="14"/>
  <c r="J114" i="14"/>
  <c r="J148" i="14"/>
  <c r="J115" i="14"/>
  <c r="J149" i="14"/>
  <c r="J116" i="14"/>
  <c r="J150" i="14"/>
  <c r="J117" i="14"/>
  <c r="J151" i="14"/>
  <c r="J118" i="14"/>
  <c r="J152" i="14"/>
  <c r="J119" i="14"/>
  <c r="J153" i="14"/>
  <c r="J120" i="14"/>
  <c r="J154" i="14"/>
  <c r="J121" i="14"/>
  <c r="J155" i="14"/>
  <c r="J122" i="14"/>
  <c r="J156" i="14"/>
  <c r="J157" i="14"/>
  <c r="J158" i="14"/>
  <c r="J159" i="14"/>
  <c r="J160" i="14"/>
  <c r="J161" i="14"/>
  <c r="J162" i="14"/>
  <c r="J129" i="14"/>
  <c r="J163" i="14"/>
  <c r="J164" i="14"/>
  <c r="J165" i="14"/>
  <c r="J132" i="14"/>
  <c r="J166" i="14"/>
  <c r="J167" i="14"/>
  <c r="J107" i="14"/>
  <c r="J139" i="14"/>
  <c r="J130" i="14"/>
  <c r="J142" i="14"/>
  <c r="J123" i="14"/>
  <c r="J105" i="14"/>
  <c r="J110" i="14"/>
  <c r="J128" i="14"/>
  <c r="J133" i="14"/>
  <c r="J126" i="14"/>
  <c r="J141" i="14"/>
  <c r="J138" i="14"/>
  <c r="J131" i="14"/>
  <c r="J144" i="14"/>
  <c r="J124" i="14"/>
  <c r="J140" i="14"/>
  <c r="J127" i="14"/>
  <c r="J143" i="14"/>
  <c r="J134" i="14"/>
  <c r="J108" i="14"/>
  <c r="J125" i="14"/>
  <c r="J111" i="14"/>
  <c r="J106" i="14"/>
  <c r="AG8" i="14"/>
  <c r="B157" i="14"/>
  <c r="AG25" i="14"/>
  <c r="B124" i="14"/>
  <c r="N149" i="14"/>
  <c r="N116" i="14"/>
  <c r="N150" i="14"/>
  <c r="N117" i="14"/>
  <c r="N151" i="14"/>
  <c r="N118" i="14"/>
  <c r="N152" i="14"/>
  <c r="N119" i="14"/>
  <c r="N153" i="14"/>
  <c r="N120" i="14"/>
  <c r="N154" i="14"/>
  <c r="N121" i="14"/>
  <c r="N155" i="14"/>
  <c r="N122" i="14"/>
  <c r="N156" i="14"/>
  <c r="N123" i="14"/>
  <c r="N157" i="14"/>
  <c r="N124" i="14"/>
  <c r="N158" i="14"/>
  <c r="N125" i="14"/>
  <c r="N159" i="14"/>
  <c r="N126" i="14"/>
  <c r="N160" i="14"/>
  <c r="N161" i="14"/>
  <c r="N162" i="14"/>
  <c r="N163" i="14"/>
  <c r="N164" i="14"/>
  <c r="N165" i="14"/>
  <c r="N166" i="14"/>
  <c r="N133" i="14"/>
  <c r="N167" i="14"/>
  <c r="N143" i="14"/>
  <c r="N130" i="14"/>
  <c r="N142" i="14"/>
  <c r="N105" i="14"/>
  <c r="N110" i="14"/>
  <c r="N128" i="14"/>
  <c r="N115" i="14"/>
  <c r="N145" i="14"/>
  <c r="N108" i="14"/>
  <c r="N148" i="14"/>
  <c r="N113" i="14"/>
  <c r="N141" i="14"/>
  <c r="N138" i="14"/>
  <c r="N144" i="14"/>
  <c r="N131" i="14"/>
  <c r="N106" i="14"/>
  <c r="N111" i="14"/>
  <c r="N129" i="14"/>
  <c r="N147" i="14"/>
  <c r="N140" i="14"/>
  <c r="N127" i="14"/>
  <c r="N109" i="14"/>
  <c r="N134" i="14"/>
  <c r="N132" i="14"/>
  <c r="N112" i="14"/>
  <c r="N107" i="14"/>
  <c r="N146" i="14"/>
  <c r="N114" i="14"/>
  <c r="V157" i="14"/>
  <c r="V124" i="14"/>
  <c r="V158" i="14"/>
  <c r="V125" i="14"/>
  <c r="V159" i="14"/>
  <c r="V126" i="14"/>
  <c r="V160" i="14"/>
  <c r="V127" i="14"/>
  <c r="V161" i="14"/>
  <c r="V128" i="14"/>
  <c r="V162" i="14"/>
  <c r="V129" i="14"/>
  <c r="V163" i="14"/>
  <c r="V130" i="14"/>
  <c r="V164" i="14"/>
  <c r="V131" i="14"/>
  <c r="V165" i="14"/>
  <c r="V132" i="14"/>
  <c r="V166" i="14"/>
  <c r="V133" i="14"/>
  <c r="V167" i="14"/>
  <c r="V134" i="14"/>
  <c r="V138" i="14"/>
  <c r="V140" i="14"/>
  <c r="V141" i="14"/>
  <c r="V142" i="14"/>
  <c r="V109" i="14"/>
  <c r="V143" i="14"/>
  <c r="V145" i="14"/>
  <c r="V146" i="14"/>
  <c r="V149" i="14"/>
  <c r="V151" i="14"/>
  <c r="V152" i="14"/>
  <c r="V113" i="14"/>
  <c r="V108" i="14"/>
  <c r="V148" i="14"/>
  <c r="V118" i="14"/>
  <c r="V123" i="14"/>
  <c r="V111" i="14"/>
  <c r="V106" i="14"/>
  <c r="V156" i="14"/>
  <c r="V144" i="14"/>
  <c r="V116" i="14"/>
  <c r="V121" i="14"/>
  <c r="V147" i="14"/>
  <c r="V155" i="14"/>
  <c r="V114" i="14"/>
  <c r="V119" i="14"/>
  <c r="V150" i="14"/>
  <c r="V154" i="14"/>
  <c r="V112" i="14"/>
  <c r="V107" i="14"/>
  <c r="V117" i="14"/>
  <c r="V153" i="14"/>
  <c r="V120" i="14"/>
  <c r="V115" i="14"/>
  <c r="V110" i="14"/>
  <c r="V122" i="14"/>
  <c r="V105" i="14"/>
  <c r="V139" i="14"/>
  <c r="B126" i="14"/>
  <c r="B139" i="14"/>
  <c r="B106" i="14"/>
  <c r="AG7" i="14"/>
  <c r="B158" i="14"/>
  <c r="B125" i="14"/>
  <c r="AG26" i="14"/>
  <c r="B147" i="14"/>
  <c r="B114" i="14"/>
  <c r="AG15" i="14"/>
  <c r="W145" i="14"/>
  <c r="AU17" i="14"/>
  <c r="AG32" i="14"/>
  <c r="B164" i="14"/>
  <c r="B131" i="14"/>
  <c r="B145" i="14"/>
  <c r="B112" i="14"/>
  <c r="AG13" i="14"/>
  <c r="B132" i="14"/>
  <c r="AG33" i="14"/>
  <c r="B165" i="14"/>
  <c r="L147" i="14"/>
  <c r="L114" i="14"/>
  <c r="L148" i="14"/>
  <c r="L115" i="14"/>
  <c r="L149" i="14"/>
  <c r="L116" i="14"/>
  <c r="L150" i="14"/>
  <c r="L117" i="14"/>
  <c r="L151" i="14"/>
  <c r="L118" i="14"/>
  <c r="L152" i="14"/>
  <c r="L119" i="14"/>
  <c r="L153" i="14"/>
  <c r="L120" i="14"/>
  <c r="L154" i="14"/>
  <c r="L121" i="14"/>
  <c r="L155" i="14"/>
  <c r="L122" i="14"/>
  <c r="L156" i="14"/>
  <c r="L123" i="14"/>
  <c r="L157" i="14"/>
  <c r="L124" i="14"/>
  <c r="L158" i="14"/>
  <c r="L159" i="14"/>
  <c r="L160" i="14"/>
  <c r="L161" i="14"/>
  <c r="L162" i="14"/>
  <c r="L163" i="14"/>
  <c r="L164" i="14"/>
  <c r="L131" i="14"/>
  <c r="L165" i="14"/>
  <c r="L166" i="14"/>
  <c r="L167" i="14"/>
  <c r="L134" i="14"/>
  <c r="L141" i="14"/>
  <c r="L139" i="14"/>
  <c r="L142" i="14"/>
  <c r="L130" i="14"/>
  <c r="L105" i="14"/>
  <c r="L110" i="14"/>
  <c r="L128" i="14"/>
  <c r="L145" i="14"/>
  <c r="L126" i="14"/>
  <c r="L133" i="14"/>
  <c r="L108" i="14"/>
  <c r="L113" i="14"/>
  <c r="L138" i="14"/>
  <c r="L144" i="14"/>
  <c r="L111" i="14"/>
  <c r="L129" i="14"/>
  <c r="L140" i="14"/>
  <c r="L127" i="14"/>
  <c r="L146" i="14"/>
  <c r="L132" i="14"/>
  <c r="L125" i="14"/>
  <c r="L112" i="14"/>
  <c r="L107" i="14"/>
  <c r="L106" i="14"/>
  <c r="L143" i="14"/>
  <c r="B154" i="14"/>
  <c r="B121" i="14"/>
  <c r="AG22" i="14"/>
  <c r="B144" i="14"/>
  <c r="B111" i="14"/>
  <c r="AG12" i="14"/>
  <c r="B148" i="14"/>
  <c r="B115" i="14"/>
  <c r="AG16" i="14"/>
  <c r="I144" i="14"/>
  <c r="I111" i="14"/>
  <c r="I145" i="14"/>
  <c r="I112" i="14"/>
  <c r="I146" i="14"/>
  <c r="I113" i="14"/>
  <c r="I147" i="14"/>
  <c r="I114" i="14"/>
  <c r="I148" i="14"/>
  <c r="I115" i="14"/>
  <c r="I149" i="14"/>
  <c r="I116" i="14"/>
  <c r="I150" i="14"/>
  <c r="I117" i="14"/>
  <c r="I151" i="14"/>
  <c r="I118" i="14"/>
  <c r="I152" i="14"/>
  <c r="I119" i="14"/>
  <c r="I153" i="14"/>
  <c r="I120" i="14"/>
  <c r="I154" i="14"/>
  <c r="I121" i="14"/>
  <c r="I155" i="14"/>
  <c r="I156" i="14"/>
  <c r="I157" i="14"/>
  <c r="I158" i="14"/>
  <c r="I159" i="14"/>
  <c r="I160" i="14"/>
  <c r="I161" i="14"/>
  <c r="I128" i="14"/>
  <c r="I162" i="14"/>
  <c r="I163" i="14"/>
  <c r="I164" i="14"/>
  <c r="I131" i="14"/>
  <c r="I165" i="14"/>
  <c r="I166" i="14"/>
  <c r="I167" i="14"/>
  <c r="I125" i="14"/>
  <c r="I107" i="14"/>
  <c r="I139" i="14"/>
  <c r="I130" i="14"/>
  <c r="I142" i="14"/>
  <c r="I123" i="14"/>
  <c r="I105" i="14"/>
  <c r="I110" i="14"/>
  <c r="I108" i="14"/>
  <c r="I141" i="14"/>
  <c r="I138" i="14"/>
  <c r="I129" i="14"/>
  <c r="I127" i="14"/>
  <c r="I132" i="14"/>
  <c r="I124" i="14"/>
  <c r="I106" i="14"/>
  <c r="I143" i="14"/>
  <c r="I122" i="14"/>
  <c r="I140" i="14"/>
  <c r="I126" i="14"/>
  <c r="S154" i="14"/>
  <c r="S121" i="14"/>
  <c r="S155" i="14"/>
  <c r="S122" i="14"/>
  <c r="S156" i="14"/>
  <c r="S123" i="14"/>
  <c r="S157" i="14"/>
  <c r="S124" i="14"/>
  <c r="S158" i="14"/>
  <c r="S125" i="14"/>
  <c r="S159" i="14"/>
  <c r="S126" i="14"/>
  <c r="S160" i="14"/>
  <c r="S127" i="14"/>
  <c r="S161" i="14"/>
  <c r="S128" i="14"/>
  <c r="S162" i="14"/>
  <c r="S129" i="14"/>
  <c r="S163" i="14"/>
  <c r="S130" i="14"/>
  <c r="S164" i="14"/>
  <c r="S131" i="14"/>
  <c r="S165" i="14"/>
  <c r="S166" i="14"/>
  <c r="S167" i="14"/>
  <c r="S138" i="14"/>
  <c r="S139" i="14"/>
  <c r="S106" i="14"/>
  <c r="S140" i="14"/>
  <c r="S142" i="14"/>
  <c r="S143" i="14"/>
  <c r="S148" i="14"/>
  <c r="S120" i="14"/>
  <c r="S145" i="14"/>
  <c r="S108" i="14"/>
  <c r="S152" i="14"/>
  <c r="S113" i="14"/>
  <c r="S133" i="14"/>
  <c r="S118" i="14"/>
  <c r="S141" i="14"/>
  <c r="S144" i="14"/>
  <c r="S111" i="14"/>
  <c r="S151" i="14"/>
  <c r="S116" i="14"/>
  <c r="S147" i="14"/>
  <c r="S114" i="14"/>
  <c r="S150" i="14"/>
  <c r="S134" i="14"/>
  <c r="S132" i="14"/>
  <c r="S146" i="14"/>
  <c r="S153" i="14"/>
  <c r="S112" i="14"/>
  <c r="S107" i="14"/>
  <c r="S119" i="14"/>
  <c r="S149" i="14"/>
  <c r="S115" i="14"/>
  <c r="S110" i="14"/>
  <c r="S109" i="14"/>
  <c r="F134" i="14"/>
  <c r="J109" i="14"/>
  <c r="N139" i="14"/>
  <c r="T155" i="14"/>
  <c r="T122" i="14"/>
  <c r="T156" i="14"/>
  <c r="T123" i="14"/>
  <c r="T157" i="14"/>
  <c r="T124" i="14"/>
  <c r="T158" i="14"/>
  <c r="T125" i="14"/>
  <c r="T159" i="14"/>
  <c r="T126" i="14"/>
  <c r="T160" i="14"/>
  <c r="T127" i="14"/>
  <c r="T161" i="14"/>
  <c r="T128" i="14"/>
  <c r="T162" i="14"/>
  <c r="T129" i="14"/>
  <c r="T163" i="14"/>
  <c r="T130" i="14"/>
  <c r="T164" i="14"/>
  <c r="T131" i="14"/>
  <c r="T165" i="14"/>
  <c r="T132" i="14"/>
  <c r="T166" i="14"/>
  <c r="T167" i="14"/>
  <c r="T138" i="14"/>
  <c r="T139" i="14"/>
  <c r="T140" i="14"/>
  <c r="T107" i="14"/>
  <c r="T141" i="14"/>
  <c r="T143" i="14"/>
  <c r="T144" i="14"/>
  <c r="T149" i="14"/>
  <c r="T145" i="14"/>
  <c r="T108" i="14"/>
  <c r="T152" i="14"/>
  <c r="T113" i="14"/>
  <c r="T148" i="14"/>
  <c r="T133" i="14"/>
  <c r="T118" i="14"/>
  <c r="T111" i="14"/>
  <c r="T106" i="14"/>
  <c r="T151" i="14"/>
  <c r="T116" i="14"/>
  <c r="T121" i="14"/>
  <c r="T147" i="14"/>
  <c r="T109" i="14"/>
  <c r="T119" i="14"/>
  <c r="T150" i="14"/>
  <c r="T134" i="14"/>
  <c r="T154" i="14"/>
  <c r="T146" i="14"/>
  <c r="AD165" i="14"/>
  <c r="AD132" i="14"/>
  <c r="AD166" i="14"/>
  <c r="AD133" i="14"/>
  <c r="AD167" i="14"/>
  <c r="AD134" i="14"/>
  <c r="AD138" i="14"/>
  <c r="AD105" i="14"/>
  <c r="AD139" i="14"/>
  <c r="AD106" i="14"/>
  <c r="AD140" i="14"/>
  <c r="AD107" i="14"/>
  <c r="AD141" i="14"/>
  <c r="AD108" i="14"/>
  <c r="AD142" i="14"/>
  <c r="AD109" i="14"/>
  <c r="AD143" i="14"/>
  <c r="AD110" i="14"/>
  <c r="AD144" i="14"/>
  <c r="AD145" i="14"/>
  <c r="AD146" i="14"/>
  <c r="AD147" i="14"/>
  <c r="AD148" i="14"/>
  <c r="AD149" i="14"/>
  <c r="AD150" i="14"/>
  <c r="AD117" i="14"/>
  <c r="AD151" i="14"/>
  <c r="AD152" i="14"/>
  <c r="AD153" i="14"/>
  <c r="AD154" i="14"/>
  <c r="AD155" i="14"/>
  <c r="AD157" i="14"/>
  <c r="AD159" i="14"/>
  <c r="AD111" i="14"/>
  <c r="AD121" i="14"/>
  <c r="AD116" i="14"/>
  <c r="AD161" i="14"/>
  <c r="AD156" i="14"/>
  <c r="AD126" i="14"/>
  <c r="AD119" i="14"/>
  <c r="AD114" i="14"/>
  <c r="AD160" i="14"/>
  <c r="AD131" i="14"/>
  <c r="AD124" i="14"/>
  <c r="AD112" i="14"/>
  <c r="AD122" i="14"/>
  <c r="AD164" i="14"/>
  <c r="AD120" i="14"/>
  <c r="AD115" i="14"/>
  <c r="AD158" i="14"/>
  <c r="AD125" i="14"/>
  <c r="AD163" i="14"/>
  <c r="AD130" i="14"/>
  <c r="K109" i="14"/>
  <c r="H134" i="14"/>
  <c r="T105" i="14"/>
  <c r="M109" i="14"/>
  <c r="T117" i="14"/>
  <c r="E122" i="14"/>
  <c r="D127" i="14"/>
  <c r="M148" i="14"/>
  <c r="M115" i="14"/>
  <c r="M149" i="14"/>
  <c r="M116" i="14"/>
  <c r="M150" i="14"/>
  <c r="M117" i="14"/>
  <c r="M151" i="14"/>
  <c r="M118" i="14"/>
  <c r="M152" i="14"/>
  <c r="M119" i="14"/>
  <c r="M153" i="14"/>
  <c r="M120" i="14"/>
  <c r="M154" i="14"/>
  <c r="M121" i="14"/>
  <c r="M155" i="14"/>
  <c r="M122" i="14"/>
  <c r="M156" i="14"/>
  <c r="M123" i="14"/>
  <c r="M157" i="14"/>
  <c r="M124" i="14"/>
  <c r="M158" i="14"/>
  <c r="M125" i="14"/>
  <c r="M159" i="14"/>
  <c r="M160" i="14"/>
  <c r="M161" i="14"/>
  <c r="M162" i="14"/>
  <c r="M163" i="14"/>
  <c r="M164" i="14"/>
  <c r="M165" i="14"/>
  <c r="M132" i="14"/>
  <c r="M166" i="14"/>
  <c r="M167" i="14"/>
  <c r="M142" i="14"/>
  <c r="M139" i="14"/>
  <c r="M130" i="14"/>
  <c r="M105" i="14"/>
  <c r="M110" i="14"/>
  <c r="M128" i="14"/>
  <c r="M145" i="14"/>
  <c r="M126" i="14"/>
  <c r="M133" i="14"/>
  <c r="M108" i="14"/>
  <c r="M113" i="14"/>
  <c r="M141" i="14"/>
  <c r="M138" i="14"/>
  <c r="M144" i="14"/>
  <c r="M131" i="14"/>
  <c r="M106" i="14"/>
  <c r="M147" i="14"/>
  <c r="M140" i="14"/>
  <c r="M127" i="14"/>
  <c r="M143" i="14"/>
  <c r="U105" i="14"/>
  <c r="P109" i="14"/>
  <c r="AB113" i="14"/>
  <c r="X117" i="14"/>
  <c r="G142" i="14"/>
  <c r="G109" i="14"/>
  <c r="G143" i="14"/>
  <c r="G110" i="14"/>
  <c r="G144" i="14"/>
  <c r="G111" i="14"/>
  <c r="G145" i="14"/>
  <c r="G112" i="14"/>
  <c r="G146" i="14"/>
  <c r="G113" i="14"/>
  <c r="G147" i="14"/>
  <c r="G114" i="14"/>
  <c r="G148" i="14"/>
  <c r="G115" i="14"/>
  <c r="G149" i="14"/>
  <c r="G116" i="14"/>
  <c r="G150" i="14"/>
  <c r="G117" i="14"/>
  <c r="G151" i="14"/>
  <c r="G118" i="14"/>
  <c r="G152" i="14"/>
  <c r="G119" i="14"/>
  <c r="G153" i="14"/>
  <c r="G154" i="14"/>
  <c r="G155" i="14"/>
  <c r="G156" i="14"/>
  <c r="G157" i="14"/>
  <c r="G158" i="14"/>
  <c r="G159" i="14"/>
  <c r="G126" i="14"/>
  <c r="G160" i="14"/>
  <c r="G161" i="14"/>
  <c r="G162" i="14"/>
  <c r="G129" i="14"/>
  <c r="G163" i="14"/>
  <c r="G164" i="14"/>
  <c r="G166" i="14"/>
  <c r="G167" i="14"/>
  <c r="G132" i="14"/>
  <c r="G120" i="14"/>
  <c r="G125" i="14"/>
  <c r="G107" i="14"/>
  <c r="G130" i="14"/>
  <c r="G139" i="14"/>
  <c r="G123" i="14"/>
  <c r="G105" i="14"/>
  <c r="G128" i="14"/>
  <c r="G165" i="14"/>
  <c r="G121" i="14"/>
  <c r="G133" i="14"/>
  <c r="G108" i="14"/>
  <c r="G141" i="14"/>
  <c r="G138" i="14"/>
  <c r="G131" i="14"/>
  <c r="G124" i="14"/>
  <c r="G106" i="14"/>
  <c r="G140" i="14"/>
  <c r="G122" i="14"/>
  <c r="U156" i="14"/>
  <c r="U123" i="14"/>
  <c r="U157" i="14"/>
  <c r="U124" i="14"/>
  <c r="U158" i="14"/>
  <c r="U125" i="14"/>
  <c r="U159" i="14"/>
  <c r="U126" i="14"/>
  <c r="U160" i="14"/>
  <c r="U127" i="14"/>
  <c r="U161" i="14"/>
  <c r="U128" i="14"/>
  <c r="U162" i="14"/>
  <c r="U129" i="14"/>
  <c r="U163" i="14"/>
  <c r="U130" i="14"/>
  <c r="U164" i="14"/>
  <c r="U131" i="14"/>
  <c r="U165" i="14"/>
  <c r="U132" i="14"/>
  <c r="U166" i="14"/>
  <c r="U133" i="14"/>
  <c r="U167" i="14"/>
  <c r="U139" i="14"/>
  <c r="U140" i="14"/>
  <c r="U141" i="14"/>
  <c r="U108" i="14"/>
  <c r="U142" i="14"/>
  <c r="U144" i="14"/>
  <c r="U145" i="14"/>
  <c r="U150" i="14"/>
  <c r="U152" i="14"/>
  <c r="U113" i="14"/>
  <c r="U148" i="14"/>
  <c r="U118" i="14"/>
  <c r="U138" i="14"/>
  <c r="U111" i="14"/>
  <c r="U106" i="14"/>
  <c r="U151" i="14"/>
  <c r="U116" i="14"/>
  <c r="U121" i="14"/>
  <c r="U147" i="14"/>
  <c r="U109" i="14"/>
  <c r="U155" i="14"/>
  <c r="U114" i="14"/>
  <c r="U143" i="14"/>
  <c r="U134" i="14"/>
  <c r="U154" i="14"/>
  <c r="U146" i="14"/>
  <c r="U112" i="14"/>
  <c r="U107" i="14"/>
  <c r="U122" i="14"/>
  <c r="U149" i="14"/>
  <c r="AC164" i="14"/>
  <c r="AC131" i="14"/>
  <c r="AC165" i="14"/>
  <c r="AC132" i="14"/>
  <c r="AC166" i="14"/>
  <c r="AC133" i="14"/>
  <c r="AC167" i="14"/>
  <c r="AC134" i="14"/>
  <c r="AC138" i="14"/>
  <c r="AC105" i="14"/>
  <c r="AC139" i="14"/>
  <c r="AC106" i="14"/>
  <c r="AC140" i="14"/>
  <c r="AC107" i="14"/>
  <c r="AC141" i="14"/>
  <c r="AC108" i="14"/>
  <c r="AC142" i="14"/>
  <c r="AC109" i="14"/>
  <c r="AC143" i="14"/>
  <c r="AC144" i="14"/>
  <c r="AC145" i="14"/>
  <c r="AC146" i="14"/>
  <c r="AC147" i="14"/>
  <c r="AC148" i="14"/>
  <c r="AC149" i="14"/>
  <c r="AC116" i="14"/>
  <c r="AC150" i="14"/>
  <c r="AC151" i="14"/>
  <c r="AC152" i="14"/>
  <c r="AC153" i="14"/>
  <c r="AC154" i="14"/>
  <c r="AC156" i="14"/>
  <c r="AC158" i="14"/>
  <c r="AC128" i="14"/>
  <c r="AC111" i="14"/>
  <c r="AC121" i="14"/>
  <c r="AC161" i="14"/>
  <c r="AC126" i="14"/>
  <c r="AC119" i="14"/>
  <c r="AC114" i="14"/>
  <c r="AC160" i="14"/>
  <c r="AC155" i="14"/>
  <c r="AC124" i="14"/>
  <c r="AC129" i="14"/>
  <c r="AC117" i="14"/>
  <c r="AC112" i="14"/>
  <c r="AC159" i="14"/>
  <c r="AC122" i="14"/>
  <c r="AC127" i="14"/>
  <c r="AC110" i="14"/>
  <c r="AC120" i="14"/>
  <c r="AC115" i="14"/>
  <c r="AC163" i="14"/>
  <c r="AC162" i="14"/>
  <c r="W105" i="14"/>
  <c r="AD113" i="14"/>
  <c r="Y117" i="14"/>
  <c r="K127" i="14"/>
  <c r="P142" i="14"/>
  <c r="X105" i="14"/>
  <c r="X109" i="14"/>
  <c r="T142" i="14"/>
  <c r="E106" i="14"/>
  <c r="Y122" i="14"/>
  <c r="M114" i="14"/>
  <c r="Z118" i="14"/>
  <c r="AD127" i="14"/>
  <c r="AB163" i="14"/>
  <c r="AB130" i="14"/>
  <c r="AB164" i="14"/>
  <c r="AB131" i="14"/>
  <c r="AB165" i="14"/>
  <c r="AB132" i="14"/>
  <c r="AB166" i="14"/>
  <c r="AB133" i="14"/>
  <c r="AB167" i="14"/>
  <c r="AB134" i="14"/>
  <c r="AB138" i="14"/>
  <c r="AB105" i="14"/>
  <c r="AB139" i="14"/>
  <c r="AB106" i="14"/>
  <c r="AB140" i="14"/>
  <c r="AB107" i="14"/>
  <c r="AB141" i="14"/>
  <c r="AB108" i="14"/>
  <c r="AB142" i="14"/>
  <c r="AB143" i="14"/>
  <c r="AB144" i="14"/>
  <c r="AB145" i="14"/>
  <c r="AB146" i="14"/>
  <c r="AB147" i="14"/>
  <c r="AB148" i="14"/>
  <c r="AB115" i="14"/>
  <c r="AB149" i="14"/>
  <c r="AB151" i="14"/>
  <c r="AB152" i="14"/>
  <c r="AB153" i="14"/>
  <c r="AB155" i="14"/>
  <c r="AB157" i="14"/>
  <c r="AB128" i="14"/>
  <c r="AB116" i="14"/>
  <c r="AB111" i="14"/>
  <c r="AB156" i="14"/>
  <c r="AB121" i="14"/>
  <c r="AB161" i="14"/>
  <c r="AB126" i="14"/>
  <c r="AB109" i="14"/>
  <c r="AB119" i="14"/>
  <c r="AB114" i="14"/>
  <c r="AB160" i="14"/>
  <c r="AB124" i="14"/>
  <c r="AB150" i="14"/>
  <c r="AB129" i="14"/>
  <c r="AB117" i="14"/>
  <c r="AB112" i="14"/>
  <c r="AB159" i="14"/>
  <c r="AB154" i="14"/>
  <c r="AB110" i="14"/>
  <c r="AB158" i="14"/>
  <c r="AB125" i="14"/>
  <c r="T110" i="14"/>
  <c r="AB122" i="14"/>
  <c r="H143" i="14"/>
  <c r="H110" i="14"/>
  <c r="H144" i="14"/>
  <c r="H111" i="14"/>
  <c r="H145" i="14"/>
  <c r="H112" i="14"/>
  <c r="H146" i="14"/>
  <c r="H113" i="14"/>
  <c r="H147" i="14"/>
  <c r="H114" i="14"/>
  <c r="H148" i="14"/>
  <c r="H115" i="14"/>
  <c r="H149" i="14"/>
  <c r="H116" i="14"/>
  <c r="H150" i="14"/>
  <c r="H117" i="14"/>
  <c r="H151" i="14"/>
  <c r="H118" i="14"/>
  <c r="H152" i="14"/>
  <c r="H119" i="14"/>
  <c r="H153" i="14"/>
  <c r="H120" i="14"/>
  <c r="H154" i="14"/>
  <c r="H155" i="14"/>
  <c r="H156" i="14"/>
  <c r="H157" i="14"/>
  <c r="H158" i="14"/>
  <c r="H159" i="14"/>
  <c r="H160" i="14"/>
  <c r="H127" i="14"/>
  <c r="H161" i="14"/>
  <c r="H162" i="14"/>
  <c r="H163" i="14"/>
  <c r="H130" i="14"/>
  <c r="H164" i="14"/>
  <c r="H165" i="14"/>
  <c r="H167" i="14"/>
  <c r="H132" i="14"/>
  <c r="H125" i="14"/>
  <c r="H107" i="14"/>
  <c r="H139" i="14"/>
  <c r="H166" i="14"/>
  <c r="H142" i="14"/>
  <c r="H123" i="14"/>
  <c r="H105" i="14"/>
  <c r="H128" i="14"/>
  <c r="H133" i="14"/>
  <c r="H126" i="14"/>
  <c r="H108" i="14"/>
  <c r="H141" i="14"/>
  <c r="H138" i="14"/>
  <c r="H131" i="14"/>
  <c r="H106" i="14"/>
  <c r="H129" i="14"/>
  <c r="H140" i="14"/>
  <c r="U110" i="14"/>
  <c r="Q114" i="14"/>
  <c r="AB118" i="14"/>
  <c r="AD128" i="14"/>
  <c r="M146" i="14"/>
  <c r="AC118" i="14"/>
  <c r="P106" i="14"/>
  <c r="X110" i="14"/>
  <c r="T114" i="14"/>
  <c r="AD118" i="14"/>
  <c r="AB123" i="14"/>
  <c r="R146" i="14"/>
  <c r="O150" i="14"/>
  <c r="O117" i="14"/>
  <c r="O151" i="14"/>
  <c r="O118" i="14"/>
  <c r="O152" i="14"/>
  <c r="O119" i="14"/>
  <c r="O153" i="14"/>
  <c r="O120" i="14"/>
  <c r="O154" i="14"/>
  <c r="O121" i="14"/>
  <c r="O155" i="14"/>
  <c r="O122" i="14"/>
  <c r="O156" i="14"/>
  <c r="O123" i="14"/>
  <c r="O157" i="14"/>
  <c r="O124" i="14"/>
  <c r="O158" i="14"/>
  <c r="O125" i="14"/>
  <c r="O159" i="14"/>
  <c r="O126" i="14"/>
  <c r="O160" i="14"/>
  <c r="O127" i="14"/>
  <c r="O161" i="14"/>
  <c r="O162" i="14"/>
  <c r="O163" i="14"/>
  <c r="O164" i="14"/>
  <c r="O165" i="14"/>
  <c r="O166" i="14"/>
  <c r="O133" i="14"/>
  <c r="O167" i="14"/>
  <c r="O134" i="14"/>
  <c r="O138" i="14"/>
  <c r="O139" i="14"/>
  <c r="O144" i="14"/>
  <c r="O149" i="14"/>
  <c r="O142" i="14"/>
  <c r="O105" i="14"/>
  <c r="O110" i="14"/>
  <c r="O128" i="14"/>
  <c r="O115" i="14"/>
  <c r="O145" i="14"/>
  <c r="O108" i="14"/>
  <c r="O148" i="14"/>
  <c r="O113" i="14"/>
  <c r="O141" i="14"/>
  <c r="O106" i="14"/>
  <c r="O111" i="14"/>
  <c r="O116" i="14"/>
  <c r="O147" i="14"/>
  <c r="O140" i="14"/>
  <c r="O109" i="14"/>
  <c r="O114" i="14"/>
  <c r="O143" i="14"/>
  <c r="O146" i="14"/>
  <c r="O132" i="14"/>
  <c r="Z161" i="14"/>
  <c r="Z128" i="14"/>
  <c r="Z162" i="14"/>
  <c r="Z129" i="14"/>
  <c r="Z163" i="14"/>
  <c r="Z130" i="14"/>
  <c r="Z164" i="14"/>
  <c r="Z131" i="14"/>
  <c r="Z165" i="14"/>
  <c r="Z132" i="14"/>
  <c r="Z166" i="14"/>
  <c r="Z133" i="14"/>
  <c r="Z167" i="14"/>
  <c r="Z134" i="14"/>
  <c r="Z138" i="14"/>
  <c r="Z105" i="14"/>
  <c r="Z139" i="14"/>
  <c r="Z106" i="14"/>
  <c r="Z140" i="14"/>
  <c r="Z141" i="14"/>
  <c r="Z142" i="14"/>
  <c r="Z143" i="14"/>
  <c r="Z144" i="14"/>
  <c r="Z145" i="14"/>
  <c r="Z146" i="14"/>
  <c r="Z113" i="14"/>
  <c r="Z147" i="14"/>
  <c r="Z149" i="14"/>
  <c r="Z150" i="14"/>
  <c r="Z153" i="14"/>
  <c r="Z155" i="14"/>
  <c r="Z152" i="14"/>
  <c r="Z123" i="14"/>
  <c r="Z148" i="14"/>
  <c r="Z156" i="14"/>
  <c r="Z116" i="14"/>
  <c r="Z111" i="14"/>
  <c r="Z121" i="14"/>
  <c r="Z151" i="14"/>
  <c r="Z126" i="14"/>
  <c r="Z114" i="14"/>
  <c r="Z109" i="14"/>
  <c r="Z119" i="14"/>
  <c r="Z160" i="14"/>
  <c r="Z154" i="14"/>
  <c r="Z117" i="14"/>
  <c r="Z112" i="14"/>
  <c r="Z159" i="14"/>
  <c r="Z127" i="14"/>
  <c r="K107" i="14"/>
  <c r="AC123" i="14"/>
  <c r="B129" i="14"/>
  <c r="Z110" i="14"/>
  <c r="B119" i="14"/>
  <c r="AD123" i="14"/>
  <c r="R149" i="14"/>
  <c r="W158" i="14"/>
  <c r="W125" i="14"/>
  <c r="W159" i="14"/>
  <c r="W126" i="14"/>
  <c r="W160" i="14"/>
  <c r="W127" i="14"/>
  <c r="W161" i="14"/>
  <c r="W128" i="14"/>
  <c r="W162" i="14"/>
  <c r="W129" i="14"/>
  <c r="W163" i="14"/>
  <c r="W130" i="14"/>
  <c r="W164" i="14"/>
  <c r="W131" i="14"/>
  <c r="W165" i="14"/>
  <c r="W132" i="14"/>
  <c r="W166" i="14"/>
  <c r="W133" i="14"/>
  <c r="W167" i="14"/>
  <c r="W134" i="14"/>
  <c r="W138" i="14"/>
  <c r="W139" i="14"/>
  <c r="W141" i="14"/>
  <c r="W142" i="14"/>
  <c r="W143" i="14"/>
  <c r="W110" i="14"/>
  <c r="W144" i="14"/>
  <c r="W146" i="14"/>
  <c r="W147" i="14"/>
  <c r="W150" i="14"/>
  <c r="W152" i="14"/>
  <c r="W113" i="14"/>
  <c r="W108" i="14"/>
  <c r="W157" i="14"/>
  <c r="W148" i="14"/>
  <c r="W118" i="14"/>
  <c r="W123" i="14"/>
  <c r="W111" i="14"/>
  <c r="W106" i="14"/>
  <c r="W156" i="14"/>
  <c r="W116" i="14"/>
  <c r="W151" i="14"/>
  <c r="W121" i="14"/>
  <c r="W155" i="14"/>
  <c r="W114" i="14"/>
  <c r="W109" i="14"/>
  <c r="W119" i="14"/>
  <c r="W124" i="14"/>
  <c r="W140" i="14"/>
  <c r="W154" i="14"/>
  <c r="W117" i="14"/>
  <c r="W122" i="14"/>
  <c r="W153" i="14"/>
  <c r="W149" i="14"/>
  <c r="Y160" i="14"/>
  <c r="Y127" i="14"/>
  <c r="Y161" i="14"/>
  <c r="Y128" i="14"/>
  <c r="Y162" i="14"/>
  <c r="Y129" i="14"/>
  <c r="Y163" i="14"/>
  <c r="Y130" i="14"/>
  <c r="Y164" i="14"/>
  <c r="Y131" i="14"/>
  <c r="Y165" i="14"/>
  <c r="Y132" i="14"/>
  <c r="Y166" i="14"/>
  <c r="Y133" i="14"/>
  <c r="Y167" i="14"/>
  <c r="Y134" i="14"/>
  <c r="Y138" i="14"/>
  <c r="Y105" i="14"/>
  <c r="Y139" i="14"/>
  <c r="Y140" i="14"/>
  <c r="Y141" i="14"/>
  <c r="Y142" i="14"/>
  <c r="Y143" i="14"/>
  <c r="Y144" i="14"/>
  <c r="Y145" i="14"/>
  <c r="Y112" i="14"/>
  <c r="Y146" i="14"/>
  <c r="Y148" i="14"/>
  <c r="Y149" i="14"/>
  <c r="Y152" i="14"/>
  <c r="Y154" i="14"/>
  <c r="Y157" i="14"/>
  <c r="Y118" i="14"/>
  <c r="Y123" i="14"/>
  <c r="Y106" i="14"/>
  <c r="Y156" i="14"/>
  <c r="Y116" i="14"/>
  <c r="Y111" i="14"/>
  <c r="Y121" i="14"/>
  <c r="Y151" i="14"/>
  <c r="Y126" i="14"/>
  <c r="Y147" i="14"/>
  <c r="Y155" i="14"/>
  <c r="Y114" i="14"/>
  <c r="Y109" i="14"/>
  <c r="Y124" i="14"/>
  <c r="Y150" i="14"/>
  <c r="Y107" i="14"/>
  <c r="Y159" i="14"/>
  <c r="Y158" i="14"/>
  <c r="Y125" i="14"/>
  <c r="M107" i="14"/>
  <c r="T115" i="14"/>
  <c r="D119" i="14"/>
  <c r="M129" i="14"/>
  <c r="X159" i="14"/>
  <c r="X126" i="14"/>
  <c r="X160" i="14"/>
  <c r="X127" i="14"/>
  <c r="X161" i="14"/>
  <c r="X128" i="14"/>
  <c r="X162" i="14"/>
  <c r="X129" i="14"/>
  <c r="X163" i="14"/>
  <c r="X130" i="14"/>
  <c r="X164" i="14"/>
  <c r="X131" i="14"/>
  <c r="X165" i="14"/>
  <c r="X132" i="14"/>
  <c r="X166" i="14"/>
  <c r="X133" i="14"/>
  <c r="X167" i="14"/>
  <c r="X134" i="14"/>
  <c r="X138" i="14"/>
  <c r="X139" i="14"/>
  <c r="X140" i="14"/>
  <c r="X142" i="14"/>
  <c r="X143" i="14"/>
  <c r="X144" i="14"/>
  <c r="X111" i="14"/>
  <c r="X145" i="14"/>
  <c r="X147" i="14"/>
  <c r="X148" i="14"/>
  <c r="X151" i="14"/>
  <c r="X153" i="14"/>
  <c r="X113" i="14"/>
  <c r="X108" i="14"/>
  <c r="X157" i="14"/>
  <c r="X152" i="14"/>
  <c r="X118" i="14"/>
  <c r="X123" i="14"/>
  <c r="X106" i="14"/>
  <c r="X156" i="14"/>
  <c r="X141" i="14"/>
  <c r="X116" i="14"/>
  <c r="X121" i="14"/>
  <c r="X155" i="14"/>
  <c r="X119" i="14"/>
  <c r="X124" i="14"/>
  <c r="X150" i="14"/>
  <c r="X154" i="14"/>
  <c r="X146" i="14"/>
  <c r="X122" i="14"/>
  <c r="X158" i="14"/>
  <c r="X120" i="14"/>
  <c r="U115" i="14"/>
  <c r="R119" i="14"/>
  <c r="O129" i="14"/>
  <c r="X149" i="14"/>
  <c r="C138" i="14"/>
  <c r="C105" i="14"/>
  <c r="C139" i="14"/>
  <c r="C106" i="14"/>
  <c r="C140" i="14"/>
  <c r="C107" i="14"/>
  <c r="C141" i="14"/>
  <c r="C108" i="14"/>
  <c r="C142" i="14"/>
  <c r="C109" i="14"/>
  <c r="C143" i="14"/>
  <c r="C110" i="14"/>
  <c r="C144" i="14"/>
  <c r="C111" i="14"/>
  <c r="C145" i="14"/>
  <c r="C112" i="14"/>
  <c r="C146" i="14"/>
  <c r="C113" i="14"/>
  <c r="C147" i="14"/>
  <c r="C114" i="14"/>
  <c r="C148" i="14"/>
  <c r="C115" i="14"/>
  <c r="C149" i="14"/>
  <c r="C150" i="14"/>
  <c r="C151" i="14"/>
  <c r="C152" i="14"/>
  <c r="C153" i="14"/>
  <c r="C154" i="14"/>
  <c r="C155" i="14"/>
  <c r="C122" i="14"/>
  <c r="C156" i="14"/>
  <c r="C157" i="14"/>
  <c r="C158" i="14"/>
  <c r="C159" i="14"/>
  <c r="C160" i="14"/>
  <c r="C162" i="14"/>
  <c r="C164" i="14"/>
  <c r="C134" i="14"/>
  <c r="C167" i="14"/>
  <c r="C132" i="14"/>
  <c r="C125" i="14"/>
  <c r="C120" i="14"/>
  <c r="C161" i="14"/>
  <c r="C166" i="14"/>
  <c r="C130" i="14"/>
  <c r="C123" i="14"/>
  <c r="C118" i="14"/>
  <c r="C165" i="14"/>
  <c r="C126" i="14"/>
  <c r="C121" i="14"/>
  <c r="C133" i="14"/>
  <c r="C131" i="14"/>
  <c r="C124" i="14"/>
  <c r="C119" i="14"/>
  <c r="C163" i="14"/>
  <c r="C129" i="14"/>
  <c r="O107" i="14"/>
  <c r="K111" i="14"/>
  <c r="AD129" i="14"/>
  <c r="AA152" i="14"/>
  <c r="P151" i="14"/>
  <c r="P118" i="14"/>
  <c r="P152" i="14"/>
  <c r="P119" i="14"/>
  <c r="P153" i="14"/>
  <c r="P120" i="14"/>
  <c r="P154" i="14"/>
  <c r="P121" i="14"/>
  <c r="P155" i="14"/>
  <c r="P122" i="14"/>
  <c r="P156" i="14"/>
  <c r="P123" i="14"/>
  <c r="P157" i="14"/>
  <c r="P124" i="14"/>
  <c r="P158" i="14"/>
  <c r="P125" i="14"/>
  <c r="P159" i="14"/>
  <c r="P126" i="14"/>
  <c r="P160" i="14"/>
  <c r="P127" i="14"/>
  <c r="P161" i="14"/>
  <c r="P128" i="14"/>
  <c r="P162" i="14"/>
  <c r="P163" i="14"/>
  <c r="P164" i="14"/>
  <c r="P165" i="14"/>
  <c r="P166" i="14"/>
  <c r="P167" i="14"/>
  <c r="P134" i="14"/>
  <c r="P139" i="14"/>
  <c r="P140" i="14"/>
  <c r="P145" i="14"/>
  <c r="P105" i="14"/>
  <c r="P110" i="14"/>
  <c r="P115" i="14"/>
  <c r="P108" i="14"/>
  <c r="P148" i="14"/>
  <c r="P113" i="14"/>
  <c r="P141" i="14"/>
  <c r="P133" i="14"/>
  <c r="P138" i="14"/>
  <c r="P131" i="14"/>
  <c r="P144" i="14"/>
  <c r="P111" i="14"/>
  <c r="P116" i="14"/>
  <c r="P129" i="14"/>
  <c r="P147" i="14"/>
  <c r="P114" i="14"/>
  <c r="P143" i="14"/>
  <c r="P150" i="14"/>
  <c r="P146" i="14"/>
  <c r="P132" i="14"/>
  <c r="P107" i="14"/>
  <c r="M111" i="14"/>
  <c r="W115" i="14"/>
  <c r="U119" i="14"/>
  <c r="H124" i="14"/>
  <c r="O130" i="14"/>
  <c r="T153" i="14"/>
  <c r="Q107" i="14"/>
  <c r="Q111" i="14"/>
  <c r="X115" i="14"/>
  <c r="Y119" i="14"/>
  <c r="P130" i="14"/>
  <c r="U153" i="14"/>
  <c r="Y115" i="14"/>
  <c r="T120" i="14"/>
  <c r="K124" i="14"/>
  <c r="Y153" i="14"/>
  <c r="M112" i="14"/>
  <c r="Z115" i="14"/>
  <c r="U120" i="14"/>
  <c r="Z124" i="14"/>
  <c r="AC130" i="14"/>
  <c r="Z157" i="14"/>
  <c r="B151" i="14"/>
  <c r="B118" i="14"/>
  <c r="D139" i="14"/>
  <c r="D106" i="14"/>
  <c r="D140" i="14"/>
  <c r="D107" i="14"/>
  <c r="D141" i="14"/>
  <c r="D108" i="14"/>
  <c r="D142" i="14"/>
  <c r="D109" i="14"/>
  <c r="D143" i="14"/>
  <c r="D110" i="14"/>
  <c r="D144" i="14"/>
  <c r="D111" i="14"/>
  <c r="D145" i="14"/>
  <c r="D112" i="14"/>
  <c r="D146" i="14"/>
  <c r="D113" i="14"/>
  <c r="D147" i="14"/>
  <c r="D114" i="14"/>
  <c r="D148" i="14"/>
  <c r="D115" i="14"/>
  <c r="D149" i="14"/>
  <c r="D116" i="14"/>
  <c r="D150" i="14"/>
  <c r="D151" i="14"/>
  <c r="D152" i="14"/>
  <c r="D153" i="14"/>
  <c r="D154" i="14"/>
  <c r="D155" i="14"/>
  <c r="D156" i="14"/>
  <c r="D123" i="14"/>
  <c r="D157" i="14"/>
  <c r="D158" i="14"/>
  <c r="D159" i="14"/>
  <c r="D160" i="14"/>
  <c r="D161" i="14"/>
  <c r="D163" i="14"/>
  <c r="D165" i="14"/>
  <c r="D162" i="14"/>
  <c r="D134" i="14"/>
  <c r="D167" i="14"/>
  <c r="D132" i="14"/>
  <c r="D125" i="14"/>
  <c r="D120" i="14"/>
  <c r="D166" i="14"/>
  <c r="D130" i="14"/>
  <c r="D118" i="14"/>
  <c r="D128" i="14"/>
  <c r="D105" i="14"/>
  <c r="D133" i="14"/>
  <c r="D164" i="14"/>
  <c r="D138" i="14"/>
  <c r="D131" i="14"/>
  <c r="D129" i="14"/>
  <c r="W107" i="14"/>
  <c r="AC157" i="14"/>
  <c r="Q152" i="14"/>
  <c r="Q119" i="14"/>
  <c r="Q153" i="14"/>
  <c r="Q120" i="14"/>
  <c r="Q154" i="14"/>
  <c r="Q121" i="14"/>
  <c r="Q155" i="14"/>
  <c r="Q122" i="14"/>
  <c r="Q156" i="14"/>
  <c r="Q123" i="14"/>
  <c r="Q157" i="14"/>
  <c r="Q124" i="14"/>
  <c r="Q158" i="14"/>
  <c r="Q125" i="14"/>
  <c r="Q159" i="14"/>
  <c r="Q126" i="14"/>
  <c r="Q160" i="14"/>
  <c r="Q127" i="14"/>
  <c r="Q161" i="14"/>
  <c r="Q128" i="14"/>
  <c r="Q162" i="14"/>
  <c r="Q129" i="14"/>
  <c r="Q163" i="14"/>
  <c r="Q164" i="14"/>
  <c r="Q165" i="14"/>
  <c r="Q166" i="14"/>
  <c r="Q167" i="14"/>
  <c r="Q134" i="14"/>
  <c r="Q138" i="14"/>
  <c r="Q140" i="14"/>
  <c r="Q141" i="14"/>
  <c r="Q146" i="14"/>
  <c r="Q110" i="14"/>
  <c r="Q115" i="14"/>
  <c r="Q145" i="14"/>
  <c r="Q108" i="14"/>
  <c r="Q148" i="14"/>
  <c r="Q113" i="14"/>
  <c r="Q133" i="14"/>
  <c r="Q118" i="14"/>
  <c r="Q131" i="14"/>
  <c r="Q144" i="14"/>
  <c r="Q106" i="14"/>
  <c r="Q151" i="14"/>
  <c r="Q116" i="14"/>
  <c r="Q147" i="14"/>
  <c r="Q143" i="14"/>
  <c r="Q150" i="14"/>
  <c r="Q149" i="14"/>
  <c r="Q142" i="14"/>
  <c r="Q139" i="14"/>
  <c r="X107" i="14"/>
  <c r="O112" i="14"/>
  <c r="AE115" i="14"/>
  <c r="W120" i="14"/>
  <c r="O131" i="14"/>
  <c r="B134" i="14"/>
  <c r="B167" i="14"/>
  <c r="Z107" i="14"/>
  <c r="P112" i="14"/>
  <c r="Y120" i="14"/>
  <c r="Z158" i="14"/>
  <c r="K146" i="14"/>
  <c r="K113" i="14"/>
  <c r="K147" i="14"/>
  <c r="K114" i="14"/>
  <c r="K148" i="14"/>
  <c r="K115" i="14"/>
  <c r="K149" i="14"/>
  <c r="K116" i="14"/>
  <c r="K150" i="14"/>
  <c r="K117" i="14"/>
  <c r="K151" i="14"/>
  <c r="K118" i="14"/>
  <c r="K152" i="14"/>
  <c r="K119" i="14"/>
  <c r="K153" i="14"/>
  <c r="K120" i="14"/>
  <c r="K154" i="14"/>
  <c r="K121" i="14"/>
  <c r="K155" i="14"/>
  <c r="K122" i="14"/>
  <c r="K156" i="14"/>
  <c r="K123" i="14"/>
  <c r="K157" i="14"/>
  <c r="K158" i="14"/>
  <c r="K159" i="14"/>
  <c r="K160" i="14"/>
  <c r="K161" i="14"/>
  <c r="K162" i="14"/>
  <c r="K163" i="14"/>
  <c r="K130" i="14"/>
  <c r="K164" i="14"/>
  <c r="K165" i="14"/>
  <c r="K166" i="14"/>
  <c r="K133" i="14"/>
  <c r="K167" i="14"/>
  <c r="K140" i="14"/>
  <c r="K112" i="14"/>
  <c r="K139" i="14"/>
  <c r="K142" i="14"/>
  <c r="K105" i="14"/>
  <c r="K110" i="14"/>
  <c r="K128" i="14"/>
  <c r="K145" i="14"/>
  <c r="K126" i="14"/>
  <c r="K108" i="14"/>
  <c r="K141" i="14"/>
  <c r="K138" i="14"/>
  <c r="K131" i="14"/>
  <c r="K144" i="14"/>
  <c r="K106" i="14"/>
  <c r="K129" i="14"/>
  <c r="K143" i="14"/>
  <c r="K134" i="14"/>
  <c r="Q112" i="14"/>
  <c r="C116" i="14"/>
  <c r="Z120" i="14"/>
  <c r="X125" i="14"/>
  <c r="K132" i="14"/>
  <c r="AB162" i="14"/>
  <c r="R153" i="14"/>
  <c r="R120" i="14"/>
  <c r="R154" i="14"/>
  <c r="R121" i="14"/>
  <c r="R155" i="14"/>
  <c r="R122" i="14"/>
  <c r="R156" i="14"/>
  <c r="R123" i="14"/>
  <c r="R157" i="14"/>
  <c r="R124" i="14"/>
  <c r="R158" i="14"/>
  <c r="R125" i="14"/>
  <c r="R159" i="14"/>
  <c r="R126" i="14"/>
  <c r="R160" i="14"/>
  <c r="R127" i="14"/>
  <c r="R161" i="14"/>
  <c r="R128" i="14"/>
  <c r="R162" i="14"/>
  <c r="R129" i="14"/>
  <c r="R163" i="14"/>
  <c r="R130" i="14"/>
  <c r="R164" i="14"/>
  <c r="R165" i="14"/>
  <c r="R166" i="14"/>
  <c r="R167" i="14"/>
  <c r="R138" i="14"/>
  <c r="R105" i="14"/>
  <c r="R139" i="14"/>
  <c r="R141" i="14"/>
  <c r="R142" i="14"/>
  <c r="R147" i="14"/>
  <c r="R115" i="14"/>
  <c r="R145" i="14"/>
  <c r="R108" i="14"/>
  <c r="R152" i="14"/>
  <c r="R148" i="14"/>
  <c r="R113" i="14"/>
  <c r="R133" i="14"/>
  <c r="R118" i="14"/>
  <c r="R131" i="14"/>
  <c r="R144" i="14"/>
  <c r="R106" i="14"/>
  <c r="R111" i="14"/>
  <c r="R151" i="14"/>
  <c r="R109" i="14"/>
  <c r="R140" i="14"/>
  <c r="R143" i="14"/>
  <c r="R150" i="14"/>
  <c r="R134" i="14"/>
  <c r="R132" i="14"/>
  <c r="Y108" i="14"/>
  <c r="R112" i="14"/>
  <c r="R116" i="14"/>
  <c r="Z125" i="14"/>
  <c r="AD162" i="14"/>
  <c r="B152" i="14"/>
  <c r="E140" i="14"/>
  <c r="E107" i="14"/>
  <c r="E141" i="14"/>
  <c r="E108" i="14"/>
  <c r="E142" i="14"/>
  <c r="E109" i="14"/>
  <c r="E143" i="14"/>
  <c r="E110" i="14"/>
  <c r="E144" i="14"/>
  <c r="E111" i="14"/>
  <c r="E145" i="14"/>
  <c r="E112" i="14"/>
  <c r="E146" i="14"/>
  <c r="E113" i="14"/>
  <c r="E147" i="14"/>
  <c r="E114" i="14"/>
  <c r="E148" i="14"/>
  <c r="E115" i="14"/>
  <c r="E149" i="14"/>
  <c r="E116" i="14"/>
  <c r="E150" i="14"/>
  <c r="E117" i="14"/>
  <c r="E151" i="14"/>
  <c r="E152" i="14"/>
  <c r="E153" i="14"/>
  <c r="E154" i="14"/>
  <c r="E155" i="14"/>
  <c r="E156" i="14"/>
  <c r="E157" i="14"/>
  <c r="E124" i="14"/>
  <c r="E158" i="14"/>
  <c r="E159" i="14"/>
  <c r="E160" i="14"/>
  <c r="E127" i="14"/>
  <c r="E161" i="14"/>
  <c r="E162" i="14"/>
  <c r="E164" i="14"/>
  <c r="E165" i="14"/>
  <c r="E166" i="14"/>
  <c r="E134" i="14"/>
  <c r="E167" i="14"/>
  <c r="E132" i="14"/>
  <c r="E125" i="14"/>
  <c r="E120" i="14"/>
  <c r="E130" i="14"/>
  <c r="E139" i="14"/>
  <c r="E118" i="14"/>
  <c r="E123" i="14"/>
  <c r="E128" i="14"/>
  <c r="E105" i="14"/>
  <c r="E126" i="14"/>
  <c r="E121" i="14"/>
  <c r="E133" i="14"/>
  <c r="E138" i="14"/>
  <c r="E131" i="14"/>
  <c r="E119" i="14"/>
  <c r="AE166" i="14"/>
  <c r="AE133" i="14"/>
  <c r="AE167" i="14"/>
  <c r="AE134" i="14"/>
  <c r="AE138" i="14"/>
  <c r="AE105" i="14"/>
  <c r="AE139" i="14"/>
  <c r="AE106" i="14"/>
  <c r="AE140" i="14"/>
  <c r="AE107" i="14"/>
  <c r="AE141" i="14"/>
  <c r="AE108" i="14"/>
  <c r="AE142" i="14"/>
  <c r="AE109" i="14"/>
  <c r="AE143" i="14"/>
  <c r="AE110" i="14"/>
  <c r="AE144" i="14"/>
  <c r="AE111" i="14"/>
  <c r="AE145" i="14"/>
  <c r="AE146" i="14"/>
  <c r="AE147" i="14"/>
  <c r="AE148" i="14"/>
  <c r="AE149" i="14"/>
  <c r="AE150" i="14"/>
  <c r="AE151" i="14"/>
  <c r="AE118" i="14"/>
  <c r="AE152" i="14"/>
  <c r="AE153" i="14"/>
  <c r="AE154" i="14"/>
  <c r="AE155" i="14"/>
  <c r="AE156" i="14"/>
  <c r="AE158" i="14"/>
  <c r="AE160" i="14"/>
  <c r="AE121" i="14"/>
  <c r="AE116" i="14"/>
  <c r="AE161" i="14"/>
  <c r="AE126" i="14"/>
  <c r="AE119" i="14"/>
  <c r="AE114" i="14"/>
  <c r="AE131" i="14"/>
  <c r="AE124" i="14"/>
  <c r="AE165" i="14"/>
  <c r="AE129" i="14"/>
  <c r="AE122" i="14"/>
  <c r="AE117" i="14"/>
  <c r="AE159" i="14"/>
  <c r="AE164" i="14"/>
  <c r="AE127" i="14"/>
  <c r="AE125" i="14"/>
  <c r="AE163" i="14"/>
  <c r="AE132" i="14"/>
  <c r="AE130" i="14"/>
  <c r="AE123" i="14"/>
  <c r="Z108" i="14"/>
  <c r="AB120" i="14"/>
  <c r="AE162" i="14"/>
  <c r="T112" i="14"/>
  <c r="C117" i="14"/>
  <c r="AE120" i="14"/>
  <c r="AC125" i="14"/>
  <c r="Q132" i="14"/>
  <c r="E163" i="14"/>
  <c r="AA157" i="14"/>
  <c r="AF162" i="14"/>
  <c r="AA149" i="14"/>
  <c r="AA153" i="14"/>
  <c r="AA158" i="14"/>
  <c r="AF132" i="14"/>
  <c r="AF158" i="14"/>
  <c r="AF163" i="14"/>
  <c r="AA122" i="14"/>
  <c r="AA159" i="14"/>
  <c r="AF127" i="14"/>
  <c r="AF164" i="14"/>
  <c r="B128" i="14"/>
  <c r="AA124" i="14"/>
  <c r="AA160" i="14"/>
  <c r="AA119" i="14"/>
  <c r="AA155" i="14"/>
  <c r="AF167" i="14"/>
  <c r="AF134" i="14"/>
  <c r="AF138" i="14"/>
  <c r="AF105" i="14"/>
  <c r="AF139" i="14"/>
  <c r="AF106" i="14"/>
  <c r="AF140" i="14"/>
  <c r="AF107" i="14"/>
  <c r="AF141" i="14"/>
  <c r="AF108" i="14"/>
  <c r="AF142" i="14"/>
  <c r="AF109" i="14"/>
  <c r="AF143" i="14"/>
  <c r="AF110" i="14"/>
  <c r="AF144" i="14"/>
  <c r="AF111" i="14"/>
  <c r="AF145" i="14"/>
  <c r="AF112" i="14"/>
  <c r="AF146" i="14"/>
  <c r="AF147" i="14"/>
  <c r="AF148" i="14"/>
  <c r="AF149" i="14"/>
  <c r="AF150" i="14"/>
  <c r="AF151" i="14"/>
  <c r="AF152" i="14"/>
  <c r="AF119" i="14"/>
  <c r="AF153" i="14"/>
  <c r="AF154" i="14"/>
  <c r="AF155" i="14"/>
  <c r="AF156" i="14"/>
  <c r="AF157" i="14"/>
  <c r="AF159" i="14"/>
  <c r="AF161" i="14"/>
  <c r="AA109" i="14"/>
  <c r="AF165" i="14"/>
  <c r="AF160" i="14"/>
  <c r="AF124" i="14"/>
  <c r="AF131" i="14"/>
  <c r="AF114" i="14"/>
  <c r="AA126" i="14"/>
  <c r="AA161" i="14"/>
  <c r="AA121" i="14"/>
  <c r="AF166" i="14"/>
  <c r="AG29" i="14"/>
  <c r="AA111" i="14"/>
  <c r="AF133" i="14"/>
  <c r="AA162" i="14"/>
  <c r="AA129" i="14"/>
  <c r="AA163" i="14"/>
  <c r="AA130" i="14"/>
  <c r="AA164" i="14"/>
  <c r="AA131" i="14"/>
  <c r="AA165" i="14"/>
  <c r="AA132" i="14"/>
  <c r="AA166" i="14"/>
  <c r="AA133" i="14"/>
  <c r="AA167" i="14"/>
  <c r="AA134" i="14"/>
  <c r="AA138" i="14"/>
  <c r="AA105" i="14"/>
  <c r="AA139" i="14"/>
  <c r="AA106" i="14"/>
  <c r="AA140" i="14"/>
  <c r="AA107" i="14"/>
  <c r="AA141" i="14"/>
  <c r="AA142" i="14"/>
  <c r="AA143" i="14"/>
  <c r="AA144" i="14"/>
  <c r="AA145" i="14"/>
  <c r="AA146" i="14"/>
  <c r="AA147" i="14"/>
  <c r="AA114" i="14"/>
  <c r="AA148" i="14"/>
  <c r="AA150" i="14"/>
  <c r="AA151" i="14"/>
  <c r="AA154" i="14"/>
  <c r="AA156" i="14"/>
  <c r="AA128" i="14"/>
  <c r="AF126" i="14"/>
  <c r="AF116" i="14"/>
  <c r="AF121" i="14"/>
  <c r="AG53" i="13"/>
  <c r="AG20" i="13"/>
  <c r="AG61" i="13"/>
  <c r="AG28" i="13"/>
  <c r="AG29" i="13"/>
  <c r="AG62" i="13"/>
  <c r="AG43" i="13"/>
  <c r="AG10" i="13"/>
  <c r="AG44" i="13"/>
  <c r="AG11" i="13"/>
  <c r="AG19" i="13"/>
  <c r="AG52" i="13"/>
  <c r="P130" i="13"/>
  <c r="AG34" i="13"/>
  <c r="AA105" i="13"/>
  <c r="AA106" i="13"/>
  <c r="AA107" i="13"/>
  <c r="O108" i="13"/>
  <c r="P108" i="13"/>
  <c r="AA108" i="13"/>
  <c r="AA109" i="13"/>
  <c r="B126" i="13"/>
  <c r="B159" i="13"/>
  <c r="AG60" i="13"/>
  <c r="AG27" i="13"/>
  <c r="B139" i="13"/>
  <c r="B106" i="13"/>
  <c r="AG7" i="13"/>
  <c r="AG40" i="13"/>
  <c r="AB163" i="13"/>
  <c r="AB130" i="13"/>
  <c r="AB164" i="13"/>
  <c r="AB131" i="13"/>
  <c r="AB165" i="13"/>
  <c r="AB132" i="13"/>
  <c r="AB166" i="13"/>
  <c r="AB133" i="13"/>
  <c r="AB167" i="13"/>
  <c r="AB141" i="13"/>
  <c r="AB149" i="13"/>
  <c r="AB155" i="13"/>
  <c r="AB152" i="13"/>
  <c r="AB146" i="13"/>
  <c r="AB142" i="13"/>
  <c r="AB129" i="13"/>
  <c r="AB138" i="13"/>
  <c r="AB154" i="13"/>
  <c r="AB123" i="13"/>
  <c r="AB117" i="13"/>
  <c r="AB159" i="13"/>
  <c r="AB162" i="13"/>
  <c r="AB156" i="13"/>
  <c r="AB150" i="13"/>
  <c r="AB124" i="13"/>
  <c r="AB143" i="13"/>
  <c r="AB139" i="13"/>
  <c r="AB158" i="13"/>
  <c r="AB153" i="13"/>
  <c r="AB144" i="13"/>
  <c r="AB151" i="13"/>
  <c r="AB148" i="13"/>
  <c r="AB110" i="13"/>
  <c r="AB116" i="13"/>
  <c r="AB128" i="13"/>
  <c r="AB121" i="13"/>
  <c r="AB126" i="13"/>
  <c r="AB119" i="13"/>
  <c r="AB114" i="13"/>
  <c r="AB107" i="13"/>
  <c r="AB111" i="13"/>
  <c r="AB161" i="13"/>
  <c r="AB160" i="13"/>
  <c r="AB147" i="13"/>
  <c r="AB140" i="13"/>
  <c r="AB108" i="13"/>
  <c r="AB112" i="13"/>
  <c r="AB122" i="13"/>
  <c r="AB134" i="13"/>
  <c r="AB127" i="13"/>
  <c r="AB120" i="13"/>
  <c r="AB115" i="13"/>
  <c r="AB125" i="13"/>
  <c r="AB118" i="13"/>
  <c r="AB105" i="13"/>
  <c r="AB157" i="13"/>
  <c r="AB109" i="13"/>
  <c r="AB113" i="13"/>
  <c r="AB106" i="13"/>
  <c r="AB145" i="13"/>
  <c r="B150" i="13"/>
  <c r="AG51" i="13"/>
  <c r="B163" i="13"/>
  <c r="B130" i="13"/>
  <c r="AG31" i="13"/>
  <c r="AG64" i="13"/>
  <c r="B167" i="13"/>
  <c r="B134" i="13"/>
  <c r="AG101" i="13"/>
  <c r="AG68" i="13"/>
  <c r="AG35" i="13"/>
  <c r="S154" i="13"/>
  <c r="S121" i="13"/>
  <c r="S155" i="13"/>
  <c r="S122" i="13"/>
  <c r="S156" i="13"/>
  <c r="S123" i="13"/>
  <c r="S157" i="13"/>
  <c r="S124" i="13"/>
  <c r="S158" i="13"/>
  <c r="S159" i="13"/>
  <c r="S160" i="13"/>
  <c r="S161" i="13"/>
  <c r="S162" i="13"/>
  <c r="S163" i="13"/>
  <c r="S164" i="13"/>
  <c r="S165" i="13"/>
  <c r="S166" i="13"/>
  <c r="S167" i="13"/>
  <c r="S140" i="13"/>
  <c r="S114" i="13"/>
  <c r="S145" i="13"/>
  <c r="S141" i="13"/>
  <c r="S128" i="13"/>
  <c r="S108" i="13"/>
  <c r="S115" i="13"/>
  <c r="S129" i="13"/>
  <c r="S149" i="13"/>
  <c r="S146" i="13"/>
  <c r="S142" i="13"/>
  <c r="S116" i="13"/>
  <c r="S152" i="13"/>
  <c r="S150" i="13"/>
  <c r="S143" i="13"/>
  <c r="S153" i="13"/>
  <c r="S133" i="13"/>
  <c r="S113" i="13"/>
  <c r="S110" i="13"/>
  <c r="S106" i="13"/>
  <c r="S126" i="13"/>
  <c r="S148" i="13"/>
  <c r="S138" i="13"/>
  <c r="S144" i="13"/>
  <c r="S131" i="13"/>
  <c r="S119" i="13"/>
  <c r="S111" i="13"/>
  <c r="S107" i="13"/>
  <c r="S147" i="13"/>
  <c r="S117" i="13"/>
  <c r="S151" i="13"/>
  <c r="S127" i="13"/>
  <c r="S112" i="13"/>
  <c r="S134" i="13"/>
  <c r="S125" i="13"/>
  <c r="S132" i="13"/>
  <c r="S130" i="13"/>
  <c r="S139" i="13"/>
  <c r="S105" i="13"/>
  <c r="S120" i="13"/>
  <c r="S109" i="13"/>
  <c r="S118" i="13"/>
  <c r="B154" i="13"/>
  <c r="B121" i="13"/>
  <c r="AG22" i="13"/>
  <c r="AG55" i="13"/>
  <c r="B131" i="13"/>
  <c r="B164" i="13"/>
  <c r="AG32" i="13"/>
  <c r="AG65" i="13"/>
  <c r="AC164" i="13"/>
  <c r="AC131" i="13"/>
  <c r="AC165" i="13"/>
  <c r="AC132" i="13"/>
  <c r="AC166" i="13"/>
  <c r="AC133" i="13"/>
  <c r="AC167" i="13"/>
  <c r="AC134" i="13"/>
  <c r="AC142" i="13"/>
  <c r="AC150" i="13"/>
  <c r="AC156" i="13"/>
  <c r="AC116" i="13"/>
  <c r="AC152" i="13"/>
  <c r="AC146" i="13"/>
  <c r="AC138" i="13"/>
  <c r="AC110" i="13"/>
  <c r="AC154" i="13"/>
  <c r="AC123" i="13"/>
  <c r="AC117" i="13"/>
  <c r="AC159" i="13"/>
  <c r="AC130" i="13"/>
  <c r="AC162" i="13"/>
  <c r="AC124" i="13"/>
  <c r="AC143" i="13"/>
  <c r="AC139" i="13"/>
  <c r="AC118" i="13"/>
  <c r="AC147" i="13"/>
  <c r="AC148" i="13"/>
  <c r="AC155" i="13"/>
  <c r="AC160" i="13"/>
  <c r="AC149" i="13"/>
  <c r="AC128" i="13"/>
  <c r="AC121" i="13"/>
  <c r="AC126" i="13"/>
  <c r="AC119" i="13"/>
  <c r="AC114" i="13"/>
  <c r="AC107" i="13"/>
  <c r="AC153" i="13"/>
  <c r="AC144" i="13"/>
  <c r="AC141" i="13"/>
  <c r="AC163" i="13"/>
  <c r="AC111" i="13"/>
  <c r="AC161" i="13"/>
  <c r="AC140" i="13"/>
  <c r="AC108" i="13"/>
  <c r="AC129" i="13"/>
  <c r="AC112" i="13"/>
  <c r="AC122" i="13"/>
  <c r="AC158" i="13"/>
  <c r="AC151" i="13"/>
  <c r="AC127" i="13"/>
  <c r="AC120" i="13"/>
  <c r="AC115" i="13"/>
  <c r="AC125" i="13"/>
  <c r="AC105" i="13"/>
  <c r="AC157" i="13"/>
  <c r="AC109" i="13"/>
  <c r="AC113" i="13"/>
  <c r="AC106" i="13"/>
  <c r="AC145" i="13"/>
  <c r="B120" i="13"/>
  <c r="B153" i="13"/>
  <c r="AG21" i="13"/>
  <c r="AG54" i="13"/>
  <c r="T155" i="13"/>
  <c r="T122" i="13"/>
  <c r="T156" i="13"/>
  <c r="T123" i="13"/>
  <c r="T157" i="13"/>
  <c r="T124" i="13"/>
  <c r="T158" i="13"/>
  <c r="T125" i="13"/>
  <c r="T159" i="13"/>
  <c r="T160" i="13"/>
  <c r="T161" i="13"/>
  <c r="T162" i="13"/>
  <c r="T163" i="13"/>
  <c r="T164" i="13"/>
  <c r="T165" i="13"/>
  <c r="T166" i="13"/>
  <c r="T167" i="13"/>
  <c r="T141" i="13"/>
  <c r="T134" i="13"/>
  <c r="T145" i="13"/>
  <c r="T121" i="13"/>
  <c r="T115" i="13"/>
  <c r="T129" i="13"/>
  <c r="T149" i="13"/>
  <c r="T146" i="13"/>
  <c r="T142" i="13"/>
  <c r="T116" i="13"/>
  <c r="T152" i="13"/>
  <c r="T138" i="13"/>
  <c r="T113" i="13"/>
  <c r="T154" i="13"/>
  <c r="T110" i="13"/>
  <c r="T128" i="13"/>
  <c r="T106" i="13"/>
  <c r="T126" i="13"/>
  <c r="T153" i="13"/>
  <c r="T148" i="13"/>
  <c r="T144" i="13"/>
  <c r="T133" i="13"/>
  <c r="T131" i="13"/>
  <c r="T119" i="13"/>
  <c r="T114" i="13"/>
  <c r="T111" i="13"/>
  <c r="T107" i="13"/>
  <c r="T147" i="13"/>
  <c r="T117" i="13"/>
  <c r="T143" i="13"/>
  <c r="T151" i="13"/>
  <c r="T140" i="13"/>
  <c r="T108" i="13"/>
  <c r="T127" i="13"/>
  <c r="T112" i="13"/>
  <c r="T150" i="13"/>
  <c r="T132" i="13"/>
  <c r="T130" i="13"/>
  <c r="T139" i="13"/>
  <c r="T105" i="13"/>
  <c r="T120" i="13"/>
  <c r="T109" i="13"/>
  <c r="T118" i="13"/>
  <c r="B155" i="13"/>
  <c r="AG23" i="13"/>
  <c r="B122" i="13"/>
  <c r="AG56" i="13"/>
  <c r="B156" i="13"/>
  <c r="B123" i="13"/>
  <c r="AG24" i="13"/>
  <c r="AG18" i="13"/>
  <c r="B148" i="13"/>
  <c r="B115" i="13"/>
  <c r="AG49" i="13"/>
  <c r="AG16" i="13"/>
  <c r="B132" i="13"/>
  <c r="B165" i="13"/>
  <c r="AG33" i="13"/>
  <c r="AG66" i="13"/>
  <c r="B144" i="13"/>
  <c r="AG12" i="13"/>
  <c r="B111" i="13"/>
  <c r="AG45" i="13"/>
  <c r="B141" i="13"/>
  <c r="B108" i="13"/>
  <c r="AG42" i="13"/>
  <c r="AG9" i="13"/>
  <c r="B157" i="13"/>
  <c r="AG58" i="13"/>
  <c r="B124" i="13"/>
  <c r="B145" i="13"/>
  <c r="B112" i="13"/>
  <c r="AG13" i="13"/>
  <c r="AG46" i="13"/>
  <c r="J145" i="13"/>
  <c r="J112" i="13"/>
  <c r="J146" i="13"/>
  <c r="J113" i="13"/>
  <c r="J147" i="13"/>
  <c r="J114" i="13"/>
  <c r="J148" i="13"/>
  <c r="J115" i="13"/>
  <c r="J149" i="13"/>
  <c r="J151" i="13"/>
  <c r="J153" i="13"/>
  <c r="J154" i="13"/>
  <c r="J155" i="13"/>
  <c r="J156" i="13"/>
  <c r="J157" i="13"/>
  <c r="J158" i="13"/>
  <c r="J159" i="13"/>
  <c r="J160" i="13"/>
  <c r="J162" i="13"/>
  <c r="J163" i="13"/>
  <c r="J164" i="13"/>
  <c r="J165" i="13"/>
  <c r="J166" i="13"/>
  <c r="J167" i="13"/>
  <c r="J144" i="13"/>
  <c r="J140" i="13"/>
  <c r="J120" i="13"/>
  <c r="J133" i="13"/>
  <c r="J127" i="13"/>
  <c r="J121" i="13"/>
  <c r="J134" i="13"/>
  <c r="J107" i="13"/>
  <c r="J141" i="13"/>
  <c r="J152" i="13"/>
  <c r="J161" i="13"/>
  <c r="J150" i="13"/>
  <c r="J143" i="13"/>
  <c r="J139" i="13"/>
  <c r="J142" i="13"/>
  <c r="J132" i="13"/>
  <c r="J125" i="13"/>
  <c r="J130" i="13"/>
  <c r="J118" i="13"/>
  <c r="J123" i="13"/>
  <c r="J109" i="13"/>
  <c r="J128" i="13"/>
  <c r="J116" i="13"/>
  <c r="J105" i="13"/>
  <c r="J110" i="13"/>
  <c r="J106" i="13"/>
  <c r="J138" i="13"/>
  <c r="J126" i="13"/>
  <c r="J119" i="13"/>
  <c r="J131" i="13"/>
  <c r="J124" i="13"/>
  <c r="J129" i="13"/>
  <c r="J117" i="13"/>
  <c r="J122" i="13"/>
  <c r="J111" i="13"/>
  <c r="B140" i="13"/>
  <c r="B107" i="13"/>
  <c r="AG8" i="13"/>
  <c r="AG41" i="13"/>
  <c r="B138" i="13"/>
  <c r="B105" i="13"/>
  <c r="AG6" i="13"/>
  <c r="AG39" i="13"/>
  <c r="C138" i="13"/>
  <c r="C139" i="13"/>
  <c r="C106" i="13"/>
  <c r="C140" i="13"/>
  <c r="C107" i="13"/>
  <c r="C141" i="13"/>
  <c r="C108" i="13"/>
  <c r="C142" i="13"/>
  <c r="C147" i="13"/>
  <c r="C148" i="13"/>
  <c r="C151" i="13"/>
  <c r="C153" i="13"/>
  <c r="C156" i="13"/>
  <c r="C158" i="13"/>
  <c r="C159" i="13"/>
  <c r="C162" i="13"/>
  <c r="C118" i="13"/>
  <c r="C163" i="13"/>
  <c r="C160" i="13"/>
  <c r="C112" i="13"/>
  <c r="C125" i="13"/>
  <c r="C167" i="13"/>
  <c r="C157" i="13"/>
  <c r="C144" i="13"/>
  <c r="C119" i="13"/>
  <c r="C132" i="13"/>
  <c r="C126" i="13"/>
  <c r="C120" i="13"/>
  <c r="C166" i="13"/>
  <c r="C154" i="13"/>
  <c r="C145" i="13"/>
  <c r="C165" i="13"/>
  <c r="C146" i="13"/>
  <c r="C161" i="13"/>
  <c r="C150" i="13"/>
  <c r="C134" i="13"/>
  <c r="C115" i="13"/>
  <c r="C164" i="13"/>
  <c r="C155" i="13"/>
  <c r="C149" i="13"/>
  <c r="C109" i="13"/>
  <c r="C130" i="13"/>
  <c r="C123" i="13"/>
  <c r="C113" i="13"/>
  <c r="C128" i="13"/>
  <c r="C105" i="13"/>
  <c r="C121" i="13"/>
  <c r="C116" i="13"/>
  <c r="C152" i="13"/>
  <c r="C133" i="13"/>
  <c r="C110" i="13"/>
  <c r="C114" i="13"/>
  <c r="C143" i="13"/>
  <c r="C131" i="13"/>
  <c r="C124" i="13"/>
  <c r="C111" i="13"/>
  <c r="C127" i="13"/>
  <c r="C122" i="13"/>
  <c r="B117" i="13"/>
  <c r="B162" i="13"/>
  <c r="AG63" i="13"/>
  <c r="AG30" i="13"/>
  <c r="C117" i="13"/>
  <c r="B166" i="13"/>
  <c r="B133" i="13"/>
  <c r="B129" i="13"/>
  <c r="C129" i="13"/>
  <c r="E117" i="13"/>
  <c r="Q130" i="13"/>
  <c r="P109" i="13"/>
  <c r="R130" i="13"/>
  <c r="K146" i="13"/>
  <c r="K113" i="13"/>
  <c r="K147" i="13"/>
  <c r="K114" i="13"/>
  <c r="K148" i="13"/>
  <c r="K115" i="13"/>
  <c r="K149" i="13"/>
  <c r="K116" i="13"/>
  <c r="K150" i="13"/>
  <c r="K152" i="13"/>
  <c r="K153" i="13"/>
  <c r="K154" i="13"/>
  <c r="K155" i="13"/>
  <c r="K156" i="13"/>
  <c r="K157" i="13"/>
  <c r="K158" i="13"/>
  <c r="K159" i="13"/>
  <c r="K160" i="13"/>
  <c r="K161" i="13"/>
  <c r="K162" i="13"/>
  <c r="K163" i="13"/>
  <c r="K164" i="13"/>
  <c r="K165" i="13"/>
  <c r="K166" i="13"/>
  <c r="K167" i="13"/>
  <c r="K126" i="13"/>
  <c r="K151" i="13"/>
  <c r="K144" i="13"/>
  <c r="K140" i="13"/>
  <c r="K120" i="13"/>
  <c r="K133" i="13"/>
  <c r="K106" i="13"/>
  <c r="K127" i="13"/>
  <c r="K121" i="13"/>
  <c r="K134" i="13"/>
  <c r="K145" i="13"/>
  <c r="K141" i="13"/>
  <c r="K128" i="13"/>
  <c r="K112" i="13"/>
  <c r="K132" i="13"/>
  <c r="K125" i="13"/>
  <c r="K130" i="13"/>
  <c r="K118" i="13"/>
  <c r="K139" i="13"/>
  <c r="K123" i="13"/>
  <c r="K109" i="13"/>
  <c r="K105" i="13"/>
  <c r="K110" i="13"/>
  <c r="K138" i="13"/>
  <c r="K119" i="13"/>
  <c r="K131" i="13"/>
  <c r="K124" i="13"/>
  <c r="K129" i="13"/>
  <c r="K117" i="13"/>
  <c r="K122" i="13"/>
  <c r="K107" i="13"/>
  <c r="K143" i="13"/>
  <c r="K111" i="13"/>
  <c r="K108" i="13"/>
  <c r="AD165" i="13"/>
  <c r="AD132" i="13"/>
  <c r="AD166" i="13"/>
  <c r="AD133" i="13"/>
  <c r="AD167" i="13"/>
  <c r="AD134" i="13"/>
  <c r="AD143" i="13"/>
  <c r="AD146" i="13"/>
  <c r="AD151" i="13"/>
  <c r="AD157" i="13"/>
  <c r="AD152" i="13"/>
  <c r="AD129" i="13"/>
  <c r="AD142" i="13"/>
  <c r="AD154" i="13"/>
  <c r="AD123" i="13"/>
  <c r="AD117" i="13"/>
  <c r="AD159" i="13"/>
  <c r="AD130" i="13"/>
  <c r="AD162" i="13"/>
  <c r="AD124" i="13"/>
  <c r="AD156" i="13"/>
  <c r="AD150" i="13"/>
  <c r="AD139" i="13"/>
  <c r="AD118" i="13"/>
  <c r="AD147" i="13"/>
  <c r="AD131" i="13"/>
  <c r="AD161" i="13"/>
  <c r="AD155" i="13"/>
  <c r="AD164" i="13"/>
  <c r="AD145" i="13"/>
  <c r="AD149" i="13"/>
  <c r="AD128" i="13"/>
  <c r="AD116" i="13"/>
  <c r="AD121" i="13"/>
  <c r="AD126" i="13"/>
  <c r="AD119" i="13"/>
  <c r="AD114" i="13"/>
  <c r="AD107" i="13"/>
  <c r="AD153" i="13"/>
  <c r="AD144" i="13"/>
  <c r="AD141" i="13"/>
  <c r="AD163" i="13"/>
  <c r="AD148" i="13"/>
  <c r="AD111" i="13"/>
  <c r="AD138" i="13"/>
  <c r="AD160" i="13"/>
  <c r="AD140" i="13"/>
  <c r="AD108" i="13"/>
  <c r="AD112" i="13"/>
  <c r="AD122" i="13"/>
  <c r="AD158" i="13"/>
  <c r="AD127" i="13"/>
  <c r="AD120" i="13"/>
  <c r="AD115" i="13"/>
  <c r="AD125" i="13"/>
  <c r="AD105" i="13"/>
  <c r="AD109" i="13"/>
  <c r="AD113" i="13"/>
  <c r="O132" i="13"/>
  <c r="D139" i="13"/>
  <c r="D140" i="13"/>
  <c r="D107" i="13"/>
  <c r="D141" i="13"/>
  <c r="D108" i="13"/>
  <c r="D142" i="13"/>
  <c r="D109" i="13"/>
  <c r="D143" i="13"/>
  <c r="D148" i="13"/>
  <c r="D149" i="13"/>
  <c r="D151" i="13"/>
  <c r="D152" i="13"/>
  <c r="D154" i="13"/>
  <c r="D157" i="13"/>
  <c r="D159" i="13"/>
  <c r="D160" i="13"/>
  <c r="D163" i="13"/>
  <c r="D131" i="13"/>
  <c r="D125" i="13"/>
  <c r="D167" i="13"/>
  <c r="D144" i="13"/>
  <c r="D119" i="13"/>
  <c r="D132" i="13"/>
  <c r="D126" i="13"/>
  <c r="D120" i="13"/>
  <c r="D133" i="13"/>
  <c r="D166" i="13"/>
  <c r="D162" i="13"/>
  <c r="D165" i="13"/>
  <c r="D161" i="13"/>
  <c r="D164" i="13"/>
  <c r="D158" i="13"/>
  <c r="D155" i="13"/>
  <c r="D145" i="13"/>
  <c r="D112" i="13"/>
  <c r="D130" i="13"/>
  <c r="D118" i="13"/>
  <c r="D153" i="13"/>
  <c r="D123" i="13"/>
  <c r="D113" i="13"/>
  <c r="D128" i="13"/>
  <c r="D105" i="13"/>
  <c r="D121" i="13"/>
  <c r="D116" i="13"/>
  <c r="D110" i="13"/>
  <c r="D106" i="13"/>
  <c r="D114" i="13"/>
  <c r="D138" i="13"/>
  <c r="D147" i="13"/>
  <c r="D124" i="13"/>
  <c r="D129" i="13"/>
  <c r="D117" i="13"/>
  <c r="P132" i="13"/>
  <c r="B146" i="13"/>
  <c r="B113" i="13"/>
  <c r="U156" i="13"/>
  <c r="U123" i="13"/>
  <c r="U157" i="13"/>
  <c r="U124" i="13"/>
  <c r="U158" i="13"/>
  <c r="U125" i="13"/>
  <c r="U159" i="13"/>
  <c r="U126" i="13"/>
  <c r="U160" i="13"/>
  <c r="U161" i="13"/>
  <c r="U162" i="13"/>
  <c r="U163" i="13"/>
  <c r="U164" i="13"/>
  <c r="U165" i="13"/>
  <c r="U166" i="13"/>
  <c r="U167" i="13"/>
  <c r="U142" i="13"/>
  <c r="U145" i="13"/>
  <c r="U128" i="13"/>
  <c r="U141" i="13"/>
  <c r="U108" i="13"/>
  <c r="U115" i="13"/>
  <c r="U129" i="13"/>
  <c r="U149" i="13"/>
  <c r="U122" i="13"/>
  <c r="U146" i="13"/>
  <c r="U116" i="13"/>
  <c r="U152" i="13"/>
  <c r="U138" i="13"/>
  <c r="U130" i="13"/>
  <c r="U110" i="13"/>
  <c r="U154" i="13"/>
  <c r="U147" i="13"/>
  <c r="U144" i="13"/>
  <c r="U153" i="13"/>
  <c r="U155" i="13"/>
  <c r="U113" i="13"/>
  <c r="U106" i="13"/>
  <c r="U148" i="13"/>
  <c r="U133" i="13"/>
  <c r="U131" i="13"/>
  <c r="U121" i="13"/>
  <c r="U119" i="13"/>
  <c r="U114" i="13"/>
  <c r="U111" i="13"/>
  <c r="U107" i="13"/>
  <c r="U117" i="13"/>
  <c r="U143" i="13"/>
  <c r="U151" i="13"/>
  <c r="U140" i="13"/>
  <c r="U127" i="13"/>
  <c r="U112" i="13"/>
  <c r="U150" i="13"/>
  <c r="U134" i="13"/>
  <c r="U132" i="13"/>
  <c r="U120" i="13"/>
  <c r="AG50" i="13"/>
  <c r="U109" i="13"/>
  <c r="Q132" i="13"/>
  <c r="AE166" i="13"/>
  <c r="AE133" i="13"/>
  <c r="AE167" i="13"/>
  <c r="AE134" i="13"/>
  <c r="AE138" i="13"/>
  <c r="AE144" i="13"/>
  <c r="AE147" i="13"/>
  <c r="AE152" i="13"/>
  <c r="AE158" i="13"/>
  <c r="AE146" i="13"/>
  <c r="AE142" i="13"/>
  <c r="AE154" i="13"/>
  <c r="AE117" i="13"/>
  <c r="AE159" i="13"/>
  <c r="AE130" i="13"/>
  <c r="AE162" i="13"/>
  <c r="AE111" i="13"/>
  <c r="AE124" i="13"/>
  <c r="AE156" i="13"/>
  <c r="AE150" i="13"/>
  <c r="AE143" i="13"/>
  <c r="AE139" i="13"/>
  <c r="AE118" i="13"/>
  <c r="AE131" i="13"/>
  <c r="AE112" i="13"/>
  <c r="AE161" i="13"/>
  <c r="AE165" i="13"/>
  <c r="AE153" i="13"/>
  <c r="AE164" i="13"/>
  <c r="AE160" i="13"/>
  <c r="AE157" i="13"/>
  <c r="AE121" i="13"/>
  <c r="AE126" i="13"/>
  <c r="AE119" i="13"/>
  <c r="AE114" i="13"/>
  <c r="AE107" i="13"/>
  <c r="AE141" i="13"/>
  <c r="AE163" i="13"/>
  <c r="AE148" i="13"/>
  <c r="AE140" i="13"/>
  <c r="AE108" i="13"/>
  <c r="AE129" i="13"/>
  <c r="AE122" i="13"/>
  <c r="AE127" i="13"/>
  <c r="AE151" i="13"/>
  <c r="AE120" i="13"/>
  <c r="AE115" i="13"/>
  <c r="AE125" i="13"/>
  <c r="AE132" i="13"/>
  <c r="AE105" i="13"/>
  <c r="AE109" i="13"/>
  <c r="AE113" i="13"/>
  <c r="AE106" i="13"/>
  <c r="Z109" i="13"/>
  <c r="X118" i="13"/>
  <c r="R132" i="13"/>
  <c r="L147" i="13"/>
  <c r="L114" i="13"/>
  <c r="L148" i="13"/>
  <c r="L115" i="13"/>
  <c r="L149" i="13"/>
  <c r="L116" i="13"/>
  <c r="L150" i="13"/>
  <c r="L117" i="13"/>
  <c r="L151" i="13"/>
  <c r="L153" i="13"/>
  <c r="L154" i="13"/>
  <c r="L155" i="13"/>
  <c r="L156" i="13"/>
  <c r="L157" i="13"/>
  <c r="L158" i="13"/>
  <c r="L159" i="13"/>
  <c r="L160" i="13"/>
  <c r="L161" i="13"/>
  <c r="L162" i="13"/>
  <c r="L163" i="13"/>
  <c r="L164" i="13"/>
  <c r="L165" i="13"/>
  <c r="L166" i="13"/>
  <c r="L167" i="13"/>
  <c r="L144" i="13"/>
  <c r="L140" i="13"/>
  <c r="L133" i="13"/>
  <c r="L113" i="13"/>
  <c r="L127" i="13"/>
  <c r="L121" i="13"/>
  <c r="L134" i="13"/>
  <c r="L145" i="13"/>
  <c r="L141" i="13"/>
  <c r="L128" i="13"/>
  <c r="L152" i="13"/>
  <c r="L112" i="13"/>
  <c r="L132" i="13"/>
  <c r="L125" i="13"/>
  <c r="L130" i="13"/>
  <c r="L118" i="13"/>
  <c r="L139" i="13"/>
  <c r="L123" i="13"/>
  <c r="L109" i="13"/>
  <c r="L105" i="13"/>
  <c r="L110" i="13"/>
  <c r="L138" i="13"/>
  <c r="L106" i="13"/>
  <c r="L126" i="13"/>
  <c r="L119" i="13"/>
  <c r="L131" i="13"/>
  <c r="L124" i="13"/>
  <c r="L129" i="13"/>
  <c r="L122" i="13"/>
  <c r="L107" i="13"/>
  <c r="L143" i="13"/>
  <c r="L111" i="13"/>
  <c r="L146" i="13"/>
  <c r="L120" i="13"/>
  <c r="D134" i="13"/>
  <c r="AF167" i="13"/>
  <c r="AF134" i="13"/>
  <c r="AF138" i="13"/>
  <c r="AF105" i="13"/>
  <c r="AF139" i="13"/>
  <c r="AF145" i="13"/>
  <c r="AF148" i="13"/>
  <c r="AF153" i="13"/>
  <c r="AF156" i="13"/>
  <c r="AF159" i="13"/>
  <c r="AF154" i="13"/>
  <c r="AF123" i="13"/>
  <c r="AF117" i="13"/>
  <c r="AF130" i="13"/>
  <c r="AF162" i="13"/>
  <c r="AF111" i="13"/>
  <c r="AF124" i="13"/>
  <c r="AF150" i="13"/>
  <c r="AF166" i="13"/>
  <c r="AF143" i="13"/>
  <c r="AF118" i="13"/>
  <c r="AF131" i="13"/>
  <c r="AF147" i="13"/>
  <c r="AF112" i="13"/>
  <c r="AF125" i="13"/>
  <c r="AF161" i="13"/>
  <c r="AF165" i="13"/>
  <c r="AF158" i="13"/>
  <c r="AF144" i="13"/>
  <c r="AF140" i="13"/>
  <c r="AF151" i="13"/>
  <c r="AF164" i="13"/>
  <c r="AF160" i="13"/>
  <c r="AF126" i="13"/>
  <c r="AF119" i="13"/>
  <c r="AF133" i="13"/>
  <c r="AF114" i="13"/>
  <c r="AF107" i="13"/>
  <c r="AF141" i="13"/>
  <c r="AF163" i="13"/>
  <c r="AF108" i="13"/>
  <c r="AF152" i="13"/>
  <c r="AF129" i="13"/>
  <c r="AF122" i="13"/>
  <c r="AF127" i="13"/>
  <c r="AF120" i="13"/>
  <c r="AF115" i="13"/>
  <c r="AF132" i="13"/>
  <c r="AF109" i="13"/>
  <c r="AF157" i="13"/>
  <c r="AF113" i="13"/>
  <c r="AF146" i="13"/>
  <c r="AF142" i="13"/>
  <c r="AD110" i="13"/>
  <c r="N120" i="13"/>
  <c r="E140" i="13"/>
  <c r="E141" i="13"/>
  <c r="E108" i="13"/>
  <c r="E142" i="13"/>
  <c r="E109" i="13"/>
  <c r="E143" i="13"/>
  <c r="E110" i="13"/>
  <c r="E144" i="13"/>
  <c r="E149" i="13"/>
  <c r="E150" i="13"/>
  <c r="E152" i="13"/>
  <c r="E153" i="13"/>
  <c r="E154" i="13"/>
  <c r="E155" i="13"/>
  <c r="E158" i="13"/>
  <c r="E160" i="13"/>
  <c r="E161" i="13"/>
  <c r="E164" i="13"/>
  <c r="E139" i="13"/>
  <c r="E163" i="13"/>
  <c r="E167" i="13"/>
  <c r="E119" i="13"/>
  <c r="E157" i="13"/>
  <c r="E151" i="13"/>
  <c r="E132" i="13"/>
  <c r="E113" i="13"/>
  <c r="E126" i="13"/>
  <c r="E148" i="13"/>
  <c r="E120" i="13"/>
  <c r="E133" i="13"/>
  <c r="E166" i="13"/>
  <c r="E162" i="13"/>
  <c r="E114" i="13"/>
  <c r="E106" i="13"/>
  <c r="E145" i="13"/>
  <c r="E159" i="13"/>
  <c r="E165" i="13"/>
  <c r="E112" i="13"/>
  <c r="E125" i="13"/>
  <c r="E130" i="13"/>
  <c r="E118" i="13"/>
  <c r="E123" i="13"/>
  <c r="E128" i="13"/>
  <c r="E105" i="13"/>
  <c r="E121" i="13"/>
  <c r="E116" i="13"/>
  <c r="E138" i="13"/>
  <c r="E147" i="13"/>
  <c r="E131" i="13"/>
  <c r="E124" i="13"/>
  <c r="E111" i="13"/>
  <c r="E129" i="13"/>
  <c r="E156" i="13"/>
  <c r="E146" i="13"/>
  <c r="E122" i="13"/>
  <c r="B147" i="13"/>
  <c r="B114" i="13"/>
  <c r="AE110" i="13"/>
  <c r="Q139" i="13"/>
  <c r="V157" i="13"/>
  <c r="V124" i="13"/>
  <c r="V158" i="13"/>
  <c r="V125" i="13"/>
  <c r="V159" i="13"/>
  <c r="V126" i="13"/>
  <c r="V160" i="13"/>
  <c r="V127" i="13"/>
  <c r="V161" i="13"/>
  <c r="V162" i="13"/>
  <c r="V163" i="13"/>
  <c r="V164" i="13"/>
  <c r="V165" i="13"/>
  <c r="V166" i="13"/>
  <c r="V167" i="13"/>
  <c r="V143" i="13"/>
  <c r="V141" i="13"/>
  <c r="V121" i="13"/>
  <c r="V115" i="13"/>
  <c r="V129" i="13"/>
  <c r="V149" i="13"/>
  <c r="V122" i="13"/>
  <c r="V109" i="13"/>
  <c r="V146" i="13"/>
  <c r="V116" i="13"/>
  <c r="V152" i="13"/>
  <c r="V142" i="13"/>
  <c r="V138" i="13"/>
  <c r="V130" i="13"/>
  <c r="V110" i="13"/>
  <c r="V154" i="13"/>
  <c r="V123" i="13"/>
  <c r="V156" i="13"/>
  <c r="V150" i="13"/>
  <c r="V153" i="13"/>
  <c r="V151" i="13"/>
  <c r="V148" i="13"/>
  <c r="V155" i="13"/>
  <c r="V113" i="13"/>
  <c r="V145" i="13"/>
  <c r="V128" i="13"/>
  <c r="V106" i="13"/>
  <c r="V133" i="13"/>
  <c r="V131" i="13"/>
  <c r="V144" i="13"/>
  <c r="V119" i="13"/>
  <c r="V114" i="13"/>
  <c r="V111" i="13"/>
  <c r="V107" i="13"/>
  <c r="V117" i="13"/>
  <c r="V147" i="13"/>
  <c r="V140" i="13"/>
  <c r="V108" i="13"/>
  <c r="V112" i="13"/>
  <c r="V134" i="13"/>
  <c r="V132" i="13"/>
  <c r="V120" i="13"/>
  <c r="V139" i="13"/>
  <c r="AF110" i="13"/>
  <c r="M148" i="13"/>
  <c r="M115" i="13"/>
  <c r="M149" i="13"/>
  <c r="M116" i="13"/>
  <c r="M150" i="13"/>
  <c r="M117" i="13"/>
  <c r="M151" i="13"/>
  <c r="M118" i="13"/>
  <c r="M152" i="13"/>
  <c r="M153" i="13"/>
  <c r="M154" i="13"/>
  <c r="M155" i="13"/>
  <c r="M156" i="13"/>
  <c r="M157" i="13"/>
  <c r="M158" i="13"/>
  <c r="M159" i="13"/>
  <c r="M160" i="13"/>
  <c r="M161" i="13"/>
  <c r="M162" i="13"/>
  <c r="M163" i="13"/>
  <c r="M164" i="13"/>
  <c r="M165" i="13"/>
  <c r="M166" i="13"/>
  <c r="M167" i="13"/>
  <c r="M144" i="13"/>
  <c r="M140" i="13"/>
  <c r="M120" i="13"/>
  <c r="M106" i="13"/>
  <c r="M127" i="13"/>
  <c r="M121" i="13"/>
  <c r="M134" i="13"/>
  <c r="M145" i="13"/>
  <c r="M141" i="13"/>
  <c r="M128" i="13"/>
  <c r="M122" i="13"/>
  <c r="M108" i="13"/>
  <c r="M143" i="13"/>
  <c r="M132" i="13"/>
  <c r="M125" i="13"/>
  <c r="M130" i="13"/>
  <c r="M139" i="13"/>
  <c r="M123" i="13"/>
  <c r="M109" i="13"/>
  <c r="M105" i="13"/>
  <c r="M113" i="13"/>
  <c r="M110" i="13"/>
  <c r="M138" i="13"/>
  <c r="M133" i="13"/>
  <c r="M126" i="13"/>
  <c r="M119" i="13"/>
  <c r="M131" i="13"/>
  <c r="M124" i="13"/>
  <c r="M114" i="13"/>
  <c r="M129" i="13"/>
  <c r="M147" i="13"/>
  <c r="M107" i="13"/>
  <c r="M111" i="13"/>
  <c r="M146" i="13"/>
  <c r="AG47" i="13"/>
  <c r="AF121" i="13"/>
  <c r="U105" i="13"/>
  <c r="D111" i="13"/>
  <c r="U139" i="13"/>
  <c r="AG48" i="13"/>
  <c r="V105" i="13"/>
  <c r="M112" i="13"/>
  <c r="K142" i="13"/>
  <c r="F141" i="13"/>
  <c r="F142" i="13"/>
  <c r="F109" i="13"/>
  <c r="F143" i="13"/>
  <c r="F110" i="13"/>
  <c r="F144" i="13"/>
  <c r="F111" i="13"/>
  <c r="F145" i="13"/>
  <c r="F150" i="13"/>
  <c r="F151" i="13"/>
  <c r="F153" i="13"/>
  <c r="F154" i="13"/>
  <c r="F155" i="13"/>
  <c r="F156" i="13"/>
  <c r="F159" i="13"/>
  <c r="F161" i="13"/>
  <c r="F162" i="13"/>
  <c r="F165" i="13"/>
  <c r="F163" i="13"/>
  <c r="F125" i="13"/>
  <c r="F160" i="13"/>
  <c r="F167" i="13"/>
  <c r="F119" i="13"/>
  <c r="F157" i="13"/>
  <c r="F132" i="13"/>
  <c r="F113" i="13"/>
  <c r="F126" i="13"/>
  <c r="F148" i="13"/>
  <c r="F140" i="13"/>
  <c r="F120" i="13"/>
  <c r="F133" i="13"/>
  <c r="F166" i="13"/>
  <c r="F114" i="13"/>
  <c r="F106" i="13"/>
  <c r="F127" i="13"/>
  <c r="F146" i="13"/>
  <c r="F164" i="13"/>
  <c r="F158" i="13"/>
  <c r="F108" i="13"/>
  <c r="F112" i="13"/>
  <c r="F149" i="13"/>
  <c r="F139" i="13"/>
  <c r="F130" i="13"/>
  <c r="F118" i="13"/>
  <c r="F123" i="13"/>
  <c r="F128" i="13"/>
  <c r="F105" i="13"/>
  <c r="F121" i="13"/>
  <c r="F116" i="13"/>
  <c r="F152" i="13"/>
  <c r="F138" i="13"/>
  <c r="F147" i="13"/>
  <c r="F131" i="13"/>
  <c r="F124" i="13"/>
  <c r="F129" i="13"/>
  <c r="F117" i="13"/>
  <c r="F122" i="13"/>
  <c r="B149" i="13"/>
  <c r="B116" i="13"/>
  <c r="W158" i="13"/>
  <c r="W125" i="13"/>
  <c r="W159" i="13"/>
  <c r="W126" i="13"/>
  <c r="W160" i="13"/>
  <c r="W127" i="13"/>
  <c r="W161" i="13"/>
  <c r="W128" i="13"/>
  <c r="W162" i="13"/>
  <c r="W163" i="13"/>
  <c r="W164" i="13"/>
  <c r="W165" i="13"/>
  <c r="W166" i="13"/>
  <c r="W167" i="13"/>
  <c r="W144" i="13"/>
  <c r="W157" i="13"/>
  <c r="W129" i="13"/>
  <c r="W149" i="13"/>
  <c r="W122" i="13"/>
  <c r="W109" i="13"/>
  <c r="W146" i="13"/>
  <c r="W152" i="13"/>
  <c r="W142" i="13"/>
  <c r="W138" i="13"/>
  <c r="W130" i="13"/>
  <c r="W154" i="13"/>
  <c r="W123" i="13"/>
  <c r="W156" i="13"/>
  <c r="W150" i="13"/>
  <c r="W143" i="13"/>
  <c r="W139" i="13"/>
  <c r="W153" i="13"/>
  <c r="W155" i="13"/>
  <c r="W145" i="13"/>
  <c r="W116" i="13"/>
  <c r="W110" i="13"/>
  <c r="W106" i="13"/>
  <c r="W148" i="13"/>
  <c r="W133" i="13"/>
  <c r="W131" i="13"/>
  <c r="W121" i="13"/>
  <c r="W141" i="13"/>
  <c r="W119" i="13"/>
  <c r="W124" i="13"/>
  <c r="W114" i="13"/>
  <c r="W111" i="13"/>
  <c r="W107" i="13"/>
  <c r="W117" i="13"/>
  <c r="W147" i="13"/>
  <c r="W140" i="13"/>
  <c r="W151" i="13"/>
  <c r="W108" i="13"/>
  <c r="W112" i="13"/>
  <c r="W134" i="13"/>
  <c r="W132" i="13"/>
  <c r="W115" i="13"/>
  <c r="W120" i="13"/>
  <c r="W118" i="13"/>
  <c r="W105" i="13"/>
  <c r="D122" i="13"/>
  <c r="L142" i="13"/>
  <c r="N149" i="13"/>
  <c r="N116" i="13"/>
  <c r="N150" i="13"/>
  <c r="N117" i="13"/>
  <c r="N151" i="13"/>
  <c r="N118" i="13"/>
  <c r="N152" i="13"/>
  <c r="N119" i="13"/>
  <c r="N153" i="13"/>
  <c r="N154" i="13"/>
  <c r="N155" i="13"/>
  <c r="N156" i="13"/>
  <c r="N157" i="13"/>
  <c r="N158" i="13"/>
  <c r="N159" i="13"/>
  <c r="N160" i="13"/>
  <c r="N161" i="13"/>
  <c r="N162" i="13"/>
  <c r="N163" i="13"/>
  <c r="N164" i="13"/>
  <c r="N165" i="13"/>
  <c r="N166" i="13"/>
  <c r="N167" i="13"/>
  <c r="N134" i="13"/>
  <c r="N133" i="13"/>
  <c r="N127" i="13"/>
  <c r="N148" i="13"/>
  <c r="N121" i="13"/>
  <c r="N114" i="13"/>
  <c r="N145" i="13"/>
  <c r="N141" i="13"/>
  <c r="N128" i="13"/>
  <c r="N122" i="13"/>
  <c r="N108" i="13"/>
  <c r="N115" i="13"/>
  <c r="N146" i="13"/>
  <c r="N142" i="13"/>
  <c r="N138" i="13"/>
  <c r="N132" i="13"/>
  <c r="N130" i="13"/>
  <c r="N139" i="13"/>
  <c r="N123" i="13"/>
  <c r="N109" i="13"/>
  <c r="N105" i="13"/>
  <c r="N113" i="13"/>
  <c r="N110" i="13"/>
  <c r="N106" i="13"/>
  <c r="N126" i="13"/>
  <c r="N144" i="13"/>
  <c r="N131" i="13"/>
  <c r="N124" i="13"/>
  <c r="N129" i="13"/>
  <c r="N147" i="13"/>
  <c r="N107" i="13"/>
  <c r="N111" i="13"/>
  <c r="N143" i="13"/>
  <c r="N140" i="13"/>
  <c r="P123" i="13"/>
  <c r="M142" i="13"/>
  <c r="B158" i="13"/>
  <c r="B125" i="13"/>
  <c r="Z105" i="13"/>
  <c r="Q123" i="13"/>
  <c r="Q142" i="13"/>
  <c r="X159" i="13"/>
  <c r="X126" i="13"/>
  <c r="X160" i="13"/>
  <c r="X127" i="13"/>
  <c r="X161" i="13"/>
  <c r="X128" i="13"/>
  <c r="X162" i="13"/>
  <c r="X129" i="13"/>
  <c r="X163" i="13"/>
  <c r="X164" i="13"/>
  <c r="X165" i="13"/>
  <c r="X166" i="13"/>
  <c r="X167" i="13"/>
  <c r="X145" i="13"/>
  <c r="X115" i="13"/>
  <c r="X157" i="13"/>
  <c r="X149" i="13"/>
  <c r="X122" i="13"/>
  <c r="X146" i="13"/>
  <c r="X116" i="13"/>
  <c r="X152" i="13"/>
  <c r="X142" i="13"/>
  <c r="X138" i="13"/>
  <c r="X130" i="13"/>
  <c r="X154" i="13"/>
  <c r="X123" i="13"/>
  <c r="X117" i="13"/>
  <c r="X156" i="13"/>
  <c r="X150" i="13"/>
  <c r="X143" i="13"/>
  <c r="X139" i="13"/>
  <c r="X147" i="13"/>
  <c r="X158" i="13"/>
  <c r="X153" i="13"/>
  <c r="X144" i="13"/>
  <c r="X140" i="13"/>
  <c r="X151" i="13"/>
  <c r="X148" i="13"/>
  <c r="X110" i="13"/>
  <c r="X106" i="13"/>
  <c r="X133" i="13"/>
  <c r="X131" i="13"/>
  <c r="X121" i="13"/>
  <c r="X141" i="13"/>
  <c r="X119" i="13"/>
  <c r="X124" i="13"/>
  <c r="X114" i="13"/>
  <c r="X111" i="13"/>
  <c r="X107" i="13"/>
  <c r="X108" i="13"/>
  <c r="X112" i="13"/>
  <c r="X134" i="13"/>
  <c r="X132" i="13"/>
  <c r="X120" i="13"/>
  <c r="X125" i="13"/>
  <c r="X109" i="13"/>
  <c r="AE123" i="13"/>
  <c r="O150" i="13"/>
  <c r="O117" i="13"/>
  <c r="O151" i="13"/>
  <c r="O118" i="13"/>
  <c r="O152" i="13"/>
  <c r="O119" i="13"/>
  <c r="O153" i="13"/>
  <c r="O120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48" i="13"/>
  <c r="O121" i="13"/>
  <c r="O114" i="13"/>
  <c r="O107" i="13"/>
  <c r="O134" i="13"/>
  <c r="O145" i="13"/>
  <c r="O141" i="13"/>
  <c r="O128" i="13"/>
  <c r="O122" i="13"/>
  <c r="O115" i="13"/>
  <c r="O146" i="13"/>
  <c r="O142" i="13"/>
  <c r="O138" i="13"/>
  <c r="O143" i="13"/>
  <c r="O139" i="13"/>
  <c r="O147" i="13"/>
  <c r="O123" i="13"/>
  <c r="O109" i="13"/>
  <c r="O149" i="13"/>
  <c r="O105" i="13"/>
  <c r="O116" i="13"/>
  <c r="O113" i="13"/>
  <c r="O110" i="13"/>
  <c r="O106" i="13"/>
  <c r="O126" i="13"/>
  <c r="O144" i="13"/>
  <c r="O133" i="13"/>
  <c r="O131" i="13"/>
  <c r="O124" i="13"/>
  <c r="O129" i="13"/>
  <c r="O111" i="13"/>
  <c r="O140" i="13"/>
  <c r="O127" i="13"/>
  <c r="G142" i="13"/>
  <c r="G143" i="13"/>
  <c r="G110" i="13"/>
  <c r="G144" i="13"/>
  <c r="G111" i="13"/>
  <c r="G145" i="13"/>
  <c r="G112" i="13"/>
  <c r="G146" i="13"/>
  <c r="G151" i="13"/>
  <c r="G152" i="13"/>
  <c r="G154" i="13"/>
  <c r="G155" i="13"/>
  <c r="G156" i="13"/>
  <c r="G157" i="13"/>
  <c r="G160" i="13"/>
  <c r="G162" i="13"/>
  <c r="G163" i="13"/>
  <c r="G164" i="13"/>
  <c r="G166" i="13"/>
  <c r="G167" i="13"/>
  <c r="G132" i="13"/>
  <c r="G126" i="13"/>
  <c r="G105" i="13"/>
  <c r="G148" i="13"/>
  <c r="G140" i="13"/>
  <c r="G120" i="13"/>
  <c r="G133" i="13"/>
  <c r="G114" i="13"/>
  <c r="G127" i="13"/>
  <c r="G141" i="13"/>
  <c r="G149" i="13"/>
  <c r="G161" i="13"/>
  <c r="G138" i="13"/>
  <c r="G158" i="13"/>
  <c r="G150" i="13"/>
  <c r="G147" i="13"/>
  <c r="G165" i="13"/>
  <c r="G125" i="13"/>
  <c r="G139" i="13"/>
  <c r="G130" i="13"/>
  <c r="G118" i="13"/>
  <c r="G123" i="13"/>
  <c r="G109" i="13"/>
  <c r="G128" i="13"/>
  <c r="G153" i="13"/>
  <c r="G121" i="13"/>
  <c r="G116" i="13"/>
  <c r="G113" i="13"/>
  <c r="G159" i="13"/>
  <c r="G106" i="13"/>
  <c r="G119" i="13"/>
  <c r="G131" i="13"/>
  <c r="G124" i="13"/>
  <c r="G107" i="13"/>
  <c r="G129" i="13"/>
  <c r="G117" i="13"/>
  <c r="G122" i="13"/>
  <c r="AG59" i="13"/>
  <c r="W113" i="13"/>
  <c r="N125" i="13"/>
  <c r="AE145" i="13"/>
  <c r="P151" i="13"/>
  <c r="P118" i="13"/>
  <c r="P152" i="13"/>
  <c r="P119" i="13"/>
  <c r="P153" i="13"/>
  <c r="P120" i="13"/>
  <c r="P154" i="13"/>
  <c r="P121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27" i="13"/>
  <c r="P148" i="13"/>
  <c r="P134" i="13"/>
  <c r="P145" i="13"/>
  <c r="P141" i="13"/>
  <c r="P128" i="13"/>
  <c r="P122" i="13"/>
  <c r="P115" i="13"/>
  <c r="P129" i="13"/>
  <c r="P149" i="13"/>
  <c r="P146" i="13"/>
  <c r="P142" i="13"/>
  <c r="P138" i="13"/>
  <c r="P150" i="13"/>
  <c r="P143" i="13"/>
  <c r="P139" i="13"/>
  <c r="P105" i="13"/>
  <c r="P116" i="13"/>
  <c r="P113" i="13"/>
  <c r="P110" i="13"/>
  <c r="P106" i="13"/>
  <c r="P126" i="13"/>
  <c r="P144" i="13"/>
  <c r="P133" i="13"/>
  <c r="P131" i="13"/>
  <c r="P124" i="13"/>
  <c r="P114" i="13"/>
  <c r="P147" i="13"/>
  <c r="P107" i="13"/>
  <c r="P111" i="13"/>
  <c r="P117" i="13"/>
  <c r="P140" i="13"/>
  <c r="Y160" i="13"/>
  <c r="Y127" i="13"/>
  <c r="Y161" i="13"/>
  <c r="Y128" i="13"/>
  <c r="Y162" i="13"/>
  <c r="Y129" i="13"/>
  <c r="Y163" i="13"/>
  <c r="Y130" i="13"/>
  <c r="Y164" i="13"/>
  <c r="Y165" i="13"/>
  <c r="Y166" i="13"/>
  <c r="Y167" i="13"/>
  <c r="Y138" i="13"/>
  <c r="Y146" i="13"/>
  <c r="Y157" i="13"/>
  <c r="Y149" i="13"/>
  <c r="Y122" i="13"/>
  <c r="Y109" i="13"/>
  <c r="Y116" i="13"/>
  <c r="Y152" i="13"/>
  <c r="Y142" i="13"/>
  <c r="Y154" i="13"/>
  <c r="Y123" i="13"/>
  <c r="Y117" i="13"/>
  <c r="Y159" i="13"/>
  <c r="Y143" i="13"/>
  <c r="Y139" i="13"/>
  <c r="Y147" i="13"/>
  <c r="Y158" i="13"/>
  <c r="Y153" i="13"/>
  <c r="Y144" i="13"/>
  <c r="Y151" i="13"/>
  <c r="Y148" i="13"/>
  <c r="Y155" i="13"/>
  <c r="Y134" i="13"/>
  <c r="Y145" i="13"/>
  <c r="Y110" i="13"/>
  <c r="Y106" i="13"/>
  <c r="Y133" i="13"/>
  <c r="Y131" i="13"/>
  <c r="Y121" i="13"/>
  <c r="Y126" i="13"/>
  <c r="Y141" i="13"/>
  <c r="Y119" i="13"/>
  <c r="Y124" i="13"/>
  <c r="Y114" i="13"/>
  <c r="Y111" i="13"/>
  <c r="Y107" i="13"/>
  <c r="Y140" i="13"/>
  <c r="Y108" i="13"/>
  <c r="Y112" i="13"/>
  <c r="Y132" i="13"/>
  <c r="Y120" i="13"/>
  <c r="Y115" i="13"/>
  <c r="Y150" i="13"/>
  <c r="Y125" i="13"/>
  <c r="Y118" i="13"/>
  <c r="Y156" i="13"/>
  <c r="X113" i="13"/>
  <c r="O125" i="13"/>
  <c r="D146" i="13"/>
  <c r="B142" i="13"/>
  <c r="B109" i="13"/>
  <c r="AD106" i="13"/>
  <c r="Y113" i="13"/>
  <c r="P125" i="13"/>
  <c r="AE149" i="13"/>
  <c r="B151" i="13"/>
  <c r="B118" i="13"/>
  <c r="B160" i="13"/>
  <c r="AF106" i="13"/>
  <c r="AF149" i="13"/>
  <c r="H143" i="13"/>
  <c r="H144" i="13"/>
  <c r="H111" i="13"/>
  <c r="H145" i="13"/>
  <c r="H112" i="13"/>
  <c r="H146" i="13"/>
  <c r="H113" i="13"/>
  <c r="H147" i="13"/>
  <c r="H152" i="13"/>
  <c r="H153" i="13"/>
  <c r="H154" i="13"/>
  <c r="H155" i="13"/>
  <c r="H156" i="13"/>
  <c r="H157" i="13"/>
  <c r="H158" i="13"/>
  <c r="H161" i="13"/>
  <c r="H163" i="13"/>
  <c r="H164" i="13"/>
  <c r="H165" i="13"/>
  <c r="H167" i="13"/>
  <c r="H160" i="13"/>
  <c r="H119" i="13"/>
  <c r="H151" i="13"/>
  <c r="H126" i="13"/>
  <c r="H148" i="13"/>
  <c r="H140" i="13"/>
  <c r="H120" i="13"/>
  <c r="H133" i="13"/>
  <c r="H166" i="13"/>
  <c r="H127" i="13"/>
  <c r="H162" i="13"/>
  <c r="H121" i="13"/>
  <c r="H159" i="13"/>
  <c r="H141" i="13"/>
  <c r="H149" i="13"/>
  <c r="H150" i="13"/>
  <c r="H142" i="13"/>
  <c r="H132" i="13"/>
  <c r="H125" i="13"/>
  <c r="H139" i="13"/>
  <c r="H130" i="13"/>
  <c r="H118" i="13"/>
  <c r="H123" i="13"/>
  <c r="H109" i="13"/>
  <c r="H128" i="13"/>
  <c r="H116" i="13"/>
  <c r="H105" i="13"/>
  <c r="H110" i="13"/>
  <c r="H106" i="13"/>
  <c r="H138" i="13"/>
  <c r="H114" i="13"/>
  <c r="H131" i="13"/>
  <c r="H124" i="13"/>
  <c r="H107" i="13"/>
  <c r="H129" i="13"/>
  <c r="H117" i="13"/>
  <c r="H122" i="13"/>
  <c r="H134" i="13"/>
  <c r="H115" i="13"/>
  <c r="Z161" i="13"/>
  <c r="Z128" i="13"/>
  <c r="Z162" i="13"/>
  <c r="Z129" i="13"/>
  <c r="Z163" i="13"/>
  <c r="Z130" i="13"/>
  <c r="Z164" i="13"/>
  <c r="Z131" i="13"/>
  <c r="Z165" i="13"/>
  <c r="Z166" i="13"/>
  <c r="Z167" i="13"/>
  <c r="Z139" i="13"/>
  <c r="Z147" i="13"/>
  <c r="Z149" i="13"/>
  <c r="Z116" i="13"/>
  <c r="Z152" i="13"/>
  <c r="Z146" i="13"/>
  <c r="Z142" i="13"/>
  <c r="Z138" i="13"/>
  <c r="Z110" i="13"/>
  <c r="Z154" i="13"/>
  <c r="Z123" i="13"/>
  <c r="Z117" i="13"/>
  <c r="Z159" i="13"/>
  <c r="Z111" i="13"/>
  <c r="Z156" i="13"/>
  <c r="Z150" i="13"/>
  <c r="Z151" i="13"/>
  <c r="Z148" i="13"/>
  <c r="Z155" i="13"/>
  <c r="Z145" i="13"/>
  <c r="Z106" i="13"/>
  <c r="Z133" i="13"/>
  <c r="Z121" i="13"/>
  <c r="Z126" i="13"/>
  <c r="Z141" i="13"/>
  <c r="Z119" i="13"/>
  <c r="Z153" i="13"/>
  <c r="Z144" i="13"/>
  <c r="Z124" i="13"/>
  <c r="Z114" i="13"/>
  <c r="Z107" i="13"/>
  <c r="Z160" i="13"/>
  <c r="Z143" i="13"/>
  <c r="Z140" i="13"/>
  <c r="Z108" i="13"/>
  <c r="Z112" i="13"/>
  <c r="Z122" i="13"/>
  <c r="Z158" i="13"/>
  <c r="Z132" i="13"/>
  <c r="Z134" i="13"/>
  <c r="Z127" i="13"/>
  <c r="Z120" i="13"/>
  <c r="Z115" i="13"/>
  <c r="Z125" i="13"/>
  <c r="Z118" i="13"/>
  <c r="Z157" i="13"/>
  <c r="E107" i="13"/>
  <c r="B127" i="13"/>
  <c r="D150" i="13"/>
  <c r="Q152" i="13"/>
  <c r="Q119" i="13"/>
  <c r="Q153" i="13"/>
  <c r="Q120" i="13"/>
  <c r="Q154" i="13"/>
  <c r="Q121" i="13"/>
  <c r="Q155" i="13"/>
  <c r="Q122" i="13"/>
  <c r="Q156" i="13"/>
  <c r="Q157" i="13"/>
  <c r="Q158" i="13"/>
  <c r="Q159" i="13"/>
  <c r="Q160" i="13"/>
  <c r="Q161" i="13"/>
  <c r="Q162" i="13"/>
  <c r="Q163" i="13"/>
  <c r="Q164" i="13"/>
  <c r="Q165" i="13"/>
  <c r="Q166" i="13"/>
  <c r="Q167" i="13"/>
  <c r="Q138" i="13"/>
  <c r="Q151" i="13"/>
  <c r="Q148" i="13"/>
  <c r="Q114" i="13"/>
  <c r="Q107" i="13"/>
  <c r="Q134" i="13"/>
  <c r="Q145" i="13"/>
  <c r="Q141" i="13"/>
  <c r="Q128" i="13"/>
  <c r="Q115" i="13"/>
  <c r="Q129" i="13"/>
  <c r="Q149" i="13"/>
  <c r="Q109" i="13"/>
  <c r="Q147" i="13"/>
  <c r="Q118" i="13"/>
  <c r="Q105" i="13"/>
  <c r="Q116" i="13"/>
  <c r="Q113" i="13"/>
  <c r="Q110" i="13"/>
  <c r="Q106" i="13"/>
  <c r="Q126" i="13"/>
  <c r="Q144" i="13"/>
  <c r="Q133" i="13"/>
  <c r="Q131" i="13"/>
  <c r="Q124" i="13"/>
  <c r="Q111" i="13"/>
  <c r="Q117" i="13"/>
  <c r="Q143" i="13"/>
  <c r="Q140" i="13"/>
  <c r="Q108" i="13"/>
  <c r="Q146" i="13"/>
  <c r="Q127" i="13"/>
  <c r="Q112" i="13"/>
  <c r="F107" i="13"/>
  <c r="D115" i="13"/>
  <c r="Q150" i="13"/>
  <c r="B110" i="13"/>
  <c r="B143" i="13"/>
  <c r="B152" i="13"/>
  <c r="B119" i="13"/>
  <c r="B161" i="13"/>
  <c r="B128" i="13"/>
  <c r="E115" i="13"/>
  <c r="D127" i="13"/>
  <c r="X155" i="13"/>
  <c r="R153" i="13"/>
  <c r="R120" i="13"/>
  <c r="R154" i="13"/>
  <c r="R121" i="13"/>
  <c r="R155" i="13"/>
  <c r="R122" i="13"/>
  <c r="R156" i="13"/>
  <c r="R123" i="13"/>
  <c r="R157" i="13"/>
  <c r="R158" i="13"/>
  <c r="R159" i="13"/>
  <c r="R160" i="13"/>
  <c r="R161" i="13"/>
  <c r="R162" i="13"/>
  <c r="R163" i="13"/>
  <c r="R164" i="13"/>
  <c r="R165" i="13"/>
  <c r="R166" i="13"/>
  <c r="R167" i="13"/>
  <c r="R139" i="13"/>
  <c r="R134" i="13"/>
  <c r="R145" i="13"/>
  <c r="R141" i="13"/>
  <c r="R128" i="13"/>
  <c r="R108" i="13"/>
  <c r="R129" i="13"/>
  <c r="R149" i="13"/>
  <c r="R109" i="13"/>
  <c r="R146" i="13"/>
  <c r="R142" i="13"/>
  <c r="R147" i="13"/>
  <c r="R144" i="13"/>
  <c r="R140" i="13"/>
  <c r="R118" i="13"/>
  <c r="R105" i="13"/>
  <c r="R116" i="13"/>
  <c r="R113" i="13"/>
  <c r="R110" i="13"/>
  <c r="R106" i="13"/>
  <c r="R126" i="13"/>
  <c r="R148" i="13"/>
  <c r="R138" i="13"/>
  <c r="R133" i="13"/>
  <c r="R131" i="13"/>
  <c r="R124" i="13"/>
  <c r="R152" i="13"/>
  <c r="R119" i="13"/>
  <c r="R114" i="13"/>
  <c r="R111" i="13"/>
  <c r="R107" i="13"/>
  <c r="R117" i="13"/>
  <c r="R143" i="13"/>
  <c r="R151" i="13"/>
  <c r="R127" i="13"/>
  <c r="R115" i="13"/>
  <c r="R150" i="13"/>
  <c r="R125" i="13"/>
  <c r="AA160" i="13"/>
  <c r="G108" i="13"/>
  <c r="F115" i="13"/>
  <c r="E127" i="13"/>
  <c r="AE155" i="13"/>
  <c r="I144" i="13"/>
  <c r="I111" i="13"/>
  <c r="I145" i="13"/>
  <c r="I112" i="13"/>
  <c r="I146" i="13"/>
  <c r="I113" i="13"/>
  <c r="I147" i="13"/>
  <c r="I114" i="13"/>
  <c r="I148" i="13"/>
  <c r="I153" i="13"/>
  <c r="I154" i="13"/>
  <c r="I155" i="13"/>
  <c r="I156" i="13"/>
  <c r="I157" i="13"/>
  <c r="I158" i="13"/>
  <c r="I159" i="13"/>
  <c r="I162" i="13"/>
  <c r="I163" i="13"/>
  <c r="I164" i="13"/>
  <c r="I165" i="13"/>
  <c r="I166" i="13"/>
  <c r="I167" i="13"/>
  <c r="I132" i="13"/>
  <c r="I151" i="13"/>
  <c r="I126" i="13"/>
  <c r="I105" i="13"/>
  <c r="I140" i="13"/>
  <c r="I120" i="13"/>
  <c r="I133" i="13"/>
  <c r="I127" i="13"/>
  <c r="I121" i="13"/>
  <c r="I134" i="13"/>
  <c r="I107" i="13"/>
  <c r="I149" i="13"/>
  <c r="I152" i="13"/>
  <c r="I150" i="13"/>
  <c r="I131" i="13"/>
  <c r="I142" i="13"/>
  <c r="I125" i="13"/>
  <c r="I139" i="13"/>
  <c r="I130" i="13"/>
  <c r="I118" i="13"/>
  <c r="I123" i="13"/>
  <c r="I109" i="13"/>
  <c r="I128" i="13"/>
  <c r="I116" i="13"/>
  <c r="I161" i="13"/>
  <c r="I141" i="13"/>
  <c r="I160" i="13"/>
  <c r="I110" i="13"/>
  <c r="I106" i="13"/>
  <c r="I138" i="13"/>
  <c r="I119" i="13"/>
  <c r="I124" i="13"/>
  <c r="I129" i="13"/>
  <c r="I117" i="13"/>
  <c r="I122" i="13"/>
  <c r="I143" i="13"/>
  <c r="H108" i="13"/>
  <c r="G115" i="13"/>
  <c r="AE128" i="13"/>
  <c r="AF155" i="13"/>
  <c r="I108" i="13"/>
  <c r="I115" i="13"/>
  <c r="AF128" i="13"/>
  <c r="D156" i="13"/>
  <c r="AA113" i="13"/>
  <c r="AA139" i="13"/>
  <c r="AA157" i="13"/>
  <c r="AA118" i="13"/>
  <c r="AA125" i="13"/>
  <c r="AA115" i="13"/>
  <c r="AA120" i="13"/>
  <c r="AA127" i="13"/>
  <c r="AA134" i="13"/>
  <c r="AA158" i="13"/>
  <c r="AA162" i="13"/>
  <c r="AA129" i="13"/>
  <c r="AA163" i="13"/>
  <c r="AA130" i="13"/>
  <c r="AA164" i="13"/>
  <c r="AA131" i="13"/>
  <c r="AA165" i="13"/>
  <c r="AA132" i="13"/>
  <c r="AA166" i="13"/>
  <c r="AA167" i="13"/>
  <c r="AA140" i="13"/>
  <c r="AA148" i="13"/>
  <c r="AA149" i="13"/>
  <c r="AA122" i="13"/>
  <c r="AA116" i="13"/>
  <c r="AA152" i="13"/>
  <c r="AA146" i="13"/>
  <c r="AA142" i="13"/>
  <c r="AA138" i="13"/>
  <c r="AA110" i="13"/>
  <c r="AA154" i="13"/>
  <c r="AA123" i="13"/>
  <c r="AA117" i="13"/>
  <c r="AA159" i="13"/>
  <c r="AA111" i="13"/>
  <c r="AA156" i="13"/>
  <c r="AA150" i="13"/>
  <c r="AA124" i="13"/>
  <c r="AA143" i="13"/>
  <c r="AA147" i="13"/>
  <c r="AA161" i="13"/>
  <c r="AA151" i="13"/>
  <c r="AA155" i="13"/>
  <c r="AA145" i="13"/>
  <c r="AA141" i="13"/>
  <c r="AA114" i="13"/>
  <c r="AA144" i="13"/>
  <c r="AA153" i="13"/>
  <c r="AA119" i="13"/>
  <c r="AA126" i="13"/>
  <c r="AA121" i="13"/>
  <c r="AA128" i="13"/>
  <c r="AA133" i="13"/>
  <c r="AG62" i="10"/>
  <c r="AG35" i="10"/>
  <c r="AG29" i="10"/>
  <c r="AG27" i="10"/>
  <c r="F151" i="10"/>
  <c r="AK85" i="10" s="1"/>
  <c r="V151" i="10"/>
  <c r="BA19" i="10" s="1"/>
  <c r="AG19" i="10"/>
  <c r="AG52" i="10"/>
  <c r="AG96" i="10"/>
  <c r="AG6" i="10"/>
  <c r="AG68" i="10"/>
  <c r="AG14" i="10"/>
  <c r="AG63" i="10"/>
  <c r="B145" i="10"/>
  <c r="AG46" i="10"/>
  <c r="AG79" i="10"/>
  <c r="AG49" i="10"/>
  <c r="AG83" i="10"/>
  <c r="AG66" i="10"/>
  <c r="AG99" i="10"/>
  <c r="AG24" i="10"/>
  <c r="AG16" i="10"/>
  <c r="B121" i="10"/>
  <c r="AG55" i="10"/>
  <c r="AG13" i="10"/>
  <c r="AG31" i="10"/>
  <c r="AG23" i="10"/>
  <c r="AG48" i="10"/>
  <c r="AG61" i="10"/>
  <c r="AG93" i="10"/>
  <c r="AG101" i="10"/>
  <c r="B120" i="10"/>
  <c r="AG54" i="10"/>
  <c r="AG87" i="10"/>
  <c r="AG12" i="10"/>
  <c r="AG22" i="10"/>
  <c r="AG59" i="10"/>
  <c r="AG81" i="10"/>
  <c r="AG92" i="10"/>
  <c r="AG100" i="10"/>
  <c r="B144" i="10"/>
  <c r="AG78" i="10"/>
  <c r="B105" i="10"/>
  <c r="AG72" i="10"/>
  <c r="B119" i="10"/>
  <c r="AG86" i="10"/>
  <c r="S167" i="10"/>
  <c r="AX101" i="10" s="1"/>
  <c r="AG11" i="10"/>
  <c r="AG44" i="10"/>
  <c r="B139" i="10"/>
  <c r="AG40" i="10"/>
  <c r="B146" i="10"/>
  <c r="AG47" i="10"/>
  <c r="AG8" i="10"/>
  <c r="AG28" i="10"/>
  <c r="AG20" i="10"/>
  <c r="AG56" i="10"/>
  <c r="AG41" i="10"/>
  <c r="AG77" i="10"/>
  <c r="AG89" i="10"/>
  <c r="AG74" i="10"/>
  <c r="AG18" i="10"/>
  <c r="AG67" i="10"/>
  <c r="AG73" i="10"/>
  <c r="B124" i="10"/>
  <c r="AG58" i="10"/>
  <c r="B123" i="10"/>
  <c r="AG90" i="10"/>
  <c r="AG15" i="10"/>
  <c r="AG25" i="10"/>
  <c r="AG17" i="10"/>
  <c r="AG51" i="10"/>
  <c r="AG97" i="10"/>
  <c r="AG10" i="10"/>
  <c r="AG43" i="10"/>
  <c r="AG76" i="10"/>
  <c r="AG75" i="10"/>
  <c r="AG42" i="10"/>
  <c r="AG9" i="10"/>
  <c r="Y124" i="10"/>
  <c r="U164" i="10"/>
  <c r="AZ32" i="10" s="1"/>
  <c r="AG65" i="10"/>
  <c r="AG98" i="10"/>
  <c r="AB132" i="10"/>
  <c r="AD131" i="10"/>
  <c r="AB129" i="10"/>
  <c r="AD125" i="10"/>
  <c r="AD132" i="10"/>
  <c r="AC125" i="10"/>
  <c r="AB133" i="10"/>
  <c r="AB125" i="10"/>
  <c r="AF132" i="10"/>
  <c r="AD122" i="10"/>
  <c r="AC122" i="10"/>
  <c r="AC132" i="10"/>
  <c r="AB122" i="10"/>
  <c r="AC121" i="10"/>
  <c r="Z124" i="10"/>
  <c r="S122" i="10"/>
  <c r="S129" i="10"/>
  <c r="W154" i="10"/>
  <c r="AE132" i="10"/>
  <c r="X130" i="10"/>
  <c r="X124" i="10"/>
  <c r="W124" i="10"/>
  <c r="X118" i="10"/>
  <c r="V130" i="10"/>
  <c r="S130" i="10"/>
  <c r="X117" i="10"/>
  <c r="R130" i="10"/>
  <c r="Y111" i="10"/>
  <c r="AE122" i="10"/>
  <c r="AF121" i="10"/>
  <c r="U120" i="10"/>
  <c r="AE121" i="10"/>
  <c r="AB121" i="10"/>
  <c r="AB145" i="10"/>
  <c r="AE114" i="10"/>
  <c r="AD163" i="10"/>
  <c r="S119" i="10"/>
  <c r="S113" i="10"/>
  <c r="AD114" i="10"/>
  <c r="T120" i="10"/>
  <c r="AB147" i="10"/>
  <c r="R113" i="10"/>
  <c r="AC114" i="10"/>
  <c r="V112" i="10"/>
  <c r="AB114" i="10"/>
  <c r="AF113" i="10"/>
  <c r="T112" i="10"/>
  <c r="R120" i="10"/>
  <c r="U112" i="10"/>
  <c r="S112" i="10"/>
  <c r="AD113" i="10"/>
  <c r="AB134" i="10"/>
  <c r="AB113" i="10"/>
  <c r="R129" i="10"/>
  <c r="R163" i="10"/>
  <c r="AF133" i="10"/>
  <c r="AF112" i="10"/>
  <c r="R122" i="10"/>
  <c r="AE163" i="10"/>
  <c r="S120" i="10"/>
  <c r="AB146" i="10"/>
  <c r="S154" i="10"/>
  <c r="AE133" i="10"/>
  <c r="AE112" i="10"/>
  <c r="S160" i="10"/>
  <c r="AD133" i="10"/>
  <c r="AD112" i="10"/>
  <c r="AC133" i="10"/>
  <c r="AC112" i="10"/>
  <c r="R139" i="10"/>
  <c r="T164" i="10"/>
  <c r="S164" i="10"/>
  <c r="AB144" i="10"/>
  <c r="AB128" i="10"/>
  <c r="AD119" i="10"/>
  <c r="AD108" i="10"/>
  <c r="AC109" i="10"/>
  <c r="AF119" i="10"/>
  <c r="AC119" i="10"/>
  <c r="AC108" i="10"/>
  <c r="AB109" i="10"/>
  <c r="AC128" i="10"/>
  <c r="AF127" i="10"/>
  <c r="AE127" i="10"/>
  <c r="AB119" i="10"/>
  <c r="AB108" i="10"/>
  <c r="AE109" i="10"/>
  <c r="AF108" i="10"/>
  <c r="AD127" i="10"/>
  <c r="AF107" i="10"/>
  <c r="AF109" i="10"/>
  <c r="AF118" i="10"/>
  <c r="AC127" i="10"/>
  <c r="AE118" i="10"/>
  <c r="AE107" i="10"/>
  <c r="AD109" i="10"/>
  <c r="AE128" i="10"/>
  <c r="AD107" i="10"/>
  <c r="AE119" i="10"/>
  <c r="AC116" i="10"/>
  <c r="AD105" i="10"/>
  <c r="AF126" i="10"/>
  <c r="AB116" i="10"/>
  <c r="AC107" i="10"/>
  <c r="AE108" i="10"/>
  <c r="AB127" i="10"/>
  <c r="AE105" i="10"/>
  <c r="AE126" i="10"/>
  <c r="AF115" i="10"/>
  <c r="AB107" i="10"/>
  <c r="AF131" i="10"/>
  <c r="AD120" i="10"/>
  <c r="AF105" i="10"/>
  <c r="AD126" i="10"/>
  <c r="AE115" i="10"/>
  <c r="AE106" i="10"/>
  <c r="AE120" i="10"/>
  <c r="AF134" i="10"/>
  <c r="AC126" i="10"/>
  <c r="AD115" i="10"/>
  <c r="AD106" i="10"/>
  <c r="AE131" i="10"/>
  <c r="AC120" i="10"/>
  <c r="AD128" i="10"/>
  <c r="AC106" i="10"/>
  <c r="AB120" i="10"/>
  <c r="AE134" i="10"/>
  <c r="AD134" i="10"/>
  <c r="AF125" i="10"/>
  <c r="AB115" i="10"/>
  <c r="AB106" i="10"/>
  <c r="AF120" i="10"/>
  <c r="AF128" i="10"/>
  <c r="AB126" i="10"/>
  <c r="AC115" i="10"/>
  <c r="AC134" i="10"/>
  <c r="AE125" i="10"/>
  <c r="AF114" i="10"/>
  <c r="AB167" i="10"/>
  <c r="R164" i="10"/>
  <c r="V163" i="10"/>
  <c r="U163" i="10"/>
  <c r="T163" i="10"/>
  <c r="S163" i="10"/>
  <c r="T154" i="10"/>
  <c r="U130" i="10"/>
  <c r="T130" i="10"/>
  <c r="X111" i="10"/>
  <c r="W131" i="10"/>
  <c r="Z130" i="10"/>
  <c r="Y130" i="10"/>
  <c r="M143" i="10"/>
  <c r="M138" i="10"/>
  <c r="M121" i="10"/>
  <c r="M117" i="10"/>
  <c r="M111" i="10"/>
  <c r="M110" i="10"/>
  <c r="S110" i="10"/>
  <c r="U125" i="10"/>
  <c r="T117" i="10"/>
  <c r="S109" i="10"/>
  <c r="S142" i="10"/>
  <c r="V119" i="10"/>
  <c r="V126" i="10"/>
  <c r="T110" i="10"/>
  <c r="R118" i="10"/>
  <c r="T133" i="10"/>
  <c r="T125" i="10"/>
  <c r="S117" i="10"/>
  <c r="V107" i="10"/>
  <c r="R142" i="10"/>
  <c r="U119" i="10"/>
  <c r="R111" i="10"/>
  <c r="T118" i="10"/>
  <c r="T126" i="10"/>
  <c r="T142" i="10"/>
  <c r="S133" i="10"/>
  <c r="S125" i="10"/>
  <c r="R117" i="10"/>
  <c r="U107" i="10"/>
  <c r="V141" i="10"/>
  <c r="T129" i="10"/>
  <c r="T111" i="10"/>
  <c r="S151" i="10"/>
  <c r="S150" i="10"/>
  <c r="R133" i="10"/>
  <c r="R125" i="10"/>
  <c r="V116" i="10"/>
  <c r="T107" i="10"/>
  <c r="U141" i="10"/>
  <c r="V129" i="10"/>
  <c r="R153" i="10"/>
  <c r="V118" i="10"/>
  <c r="T151" i="10"/>
  <c r="R105" i="10"/>
  <c r="V132" i="10"/>
  <c r="V124" i="10"/>
  <c r="U116" i="10"/>
  <c r="S107" i="10"/>
  <c r="T141" i="10"/>
  <c r="U105" i="10"/>
  <c r="U132" i="10"/>
  <c r="U124" i="10"/>
  <c r="T116" i="10"/>
  <c r="R107" i="10"/>
  <c r="S141" i="10"/>
  <c r="U129" i="10"/>
  <c r="R119" i="10"/>
  <c r="U126" i="10"/>
  <c r="S126" i="10"/>
  <c r="V117" i="10"/>
  <c r="T132" i="10"/>
  <c r="T124" i="10"/>
  <c r="S116" i="10"/>
  <c r="V106" i="10"/>
  <c r="S118" i="10"/>
  <c r="S132" i="10"/>
  <c r="S124" i="10"/>
  <c r="R116" i="10"/>
  <c r="U106" i="10"/>
  <c r="T119" i="10"/>
  <c r="U118" i="10"/>
  <c r="R151" i="10"/>
  <c r="R110" i="10"/>
  <c r="V125" i="10"/>
  <c r="R132" i="10"/>
  <c r="R124" i="10"/>
  <c r="U115" i="10"/>
  <c r="T106" i="10"/>
  <c r="U111" i="10"/>
  <c r="S111" i="10"/>
  <c r="U151" i="10"/>
  <c r="V131" i="10"/>
  <c r="V123" i="10"/>
  <c r="S114" i="10"/>
  <c r="S106" i="10"/>
  <c r="U128" i="10"/>
  <c r="U131" i="10"/>
  <c r="U123" i="10"/>
  <c r="R114" i="10"/>
  <c r="R106" i="10"/>
  <c r="R127" i="10"/>
  <c r="V110" i="10"/>
  <c r="U142" i="10"/>
  <c r="S105" i="10"/>
  <c r="T131" i="10"/>
  <c r="T123" i="10"/>
  <c r="V113" i="10"/>
  <c r="R138" i="10"/>
  <c r="U110" i="10"/>
  <c r="U109" i="10"/>
  <c r="S131" i="10"/>
  <c r="S123" i="10"/>
  <c r="U113" i="10"/>
  <c r="T167" i="10"/>
  <c r="V111" i="10"/>
  <c r="R126" i="10"/>
  <c r="U117" i="10"/>
  <c r="R131" i="10"/>
  <c r="R123" i="10"/>
  <c r="Q111" i="10"/>
  <c r="Q110" i="10"/>
  <c r="Q120" i="10"/>
  <c r="P110" i="10"/>
  <c r="P117" i="10"/>
  <c r="P116" i="10"/>
  <c r="P120" i="10"/>
  <c r="O111" i="10"/>
  <c r="O146" i="10"/>
  <c r="N110" i="10"/>
  <c r="N109" i="10"/>
  <c r="N117" i="10"/>
  <c r="N138" i="10"/>
  <c r="N121" i="10"/>
  <c r="N143" i="10"/>
  <c r="N129" i="10"/>
  <c r="N120" i="10"/>
  <c r="N111" i="10"/>
  <c r="N130" i="10"/>
  <c r="M130" i="10"/>
  <c r="M109" i="10"/>
  <c r="Q129" i="10"/>
  <c r="P129" i="10"/>
  <c r="O129" i="10"/>
  <c r="M129" i="10"/>
  <c r="Q128" i="10"/>
  <c r="P128" i="10"/>
  <c r="N128" i="10"/>
  <c r="M128" i="10"/>
  <c r="Q127" i="10"/>
  <c r="Q121" i="10"/>
  <c r="P121" i="10"/>
  <c r="O121" i="10"/>
  <c r="H113" i="10"/>
  <c r="H114" i="10"/>
  <c r="AA111" i="10"/>
  <c r="Y153" i="10"/>
  <c r="AA130" i="10"/>
  <c r="Z111" i="10"/>
  <c r="W153" i="10"/>
  <c r="AA167" i="10"/>
  <c r="AA123" i="10"/>
  <c r="Y117" i="10"/>
  <c r="W111" i="10"/>
  <c r="X167" i="10"/>
  <c r="Y152" i="10"/>
  <c r="AA110" i="10"/>
  <c r="W167" i="10"/>
  <c r="X152" i="10"/>
  <c r="AA129" i="10"/>
  <c r="Y123" i="10"/>
  <c r="W117" i="10"/>
  <c r="Z110" i="10"/>
  <c r="AA165" i="10"/>
  <c r="W152" i="10"/>
  <c r="Z129" i="10"/>
  <c r="X123" i="10"/>
  <c r="AA116" i="10"/>
  <c r="Y110" i="10"/>
  <c r="Z165" i="10"/>
  <c r="AA151" i="10"/>
  <c r="AA152" i="10"/>
  <c r="W105" i="10"/>
  <c r="Y129" i="10"/>
  <c r="W123" i="10"/>
  <c r="Z116" i="10"/>
  <c r="X110" i="10"/>
  <c r="Y165" i="10"/>
  <c r="Z151" i="10"/>
  <c r="AA117" i="10"/>
  <c r="X105" i="10"/>
  <c r="X129" i="10"/>
  <c r="AA122" i="10"/>
  <c r="Y116" i="10"/>
  <c r="W110" i="10"/>
  <c r="X165" i="10"/>
  <c r="Y151" i="10"/>
  <c r="Y105" i="10"/>
  <c r="W129" i="10"/>
  <c r="Z122" i="10"/>
  <c r="X116" i="10"/>
  <c r="AA109" i="10"/>
  <c r="W165" i="10"/>
  <c r="X151" i="10"/>
  <c r="Z105" i="10"/>
  <c r="W116" i="10"/>
  <c r="Z109" i="10"/>
  <c r="AA164" i="10"/>
  <c r="W151" i="10"/>
  <c r="AA115" i="10"/>
  <c r="Y109" i="10"/>
  <c r="Z164" i="10"/>
  <c r="AA149" i="10"/>
  <c r="Z149" i="10"/>
  <c r="W130" i="10"/>
  <c r="X128" i="10"/>
  <c r="AA121" i="10"/>
  <c r="Y115" i="10"/>
  <c r="W109" i="10"/>
  <c r="Y149" i="10"/>
  <c r="Y164" i="10"/>
  <c r="Z134" i="10"/>
  <c r="X164" i="10"/>
  <c r="Y134" i="10"/>
  <c r="W128" i="10"/>
  <c r="Z121" i="10"/>
  <c r="X115" i="10"/>
  <c r="AA108" i="10"/>
  <c r="W164" i="10"/>
  <c r="W149" i="10"/>
  <c r="AC113" i="10"/>
  <c r="AF106" i="10"/>
  <c r="AA148" i="10"/>
  <c r="Z127" i="10"/>
  <c r="AA143" i="10"/>
  <c r="Y120" i="10"/>
  <c r="W114" i="10"/>
  <c r="Z107" i="10"/>
  <c r="X159" i="10"/>
  <c r="AC131" i="10"/>
  <c r="AF124" i="10"/>
  <c r="AD118" i="10"/>
  <c r="AB112" i="10"/>
  <c r="AF166" i="10"/>
  <c r="X122" i="10"/>
  <c r="W115" i="10"/>
  <c r="W134" i="10"/>
  <c r="Y127" i="10"/>
  <c r="Z133" i="10"/>
  <c r="W127" i="10"/>
  <c r="AA107" i="10"/>
  <c r="AA126" i="10"/>
  <c r="W133" i="10"/>
  <c r="Z126" i="10"/>
  <c r="X120" i="10"/>
  <c r="AA113" i="10"/>
  <c r="Y107" i="10"/>
  <c r="AA158" i="10"/>
  <c r="AB131" i="10"/>
  <c r="AE124" i="10"/>
  <c r="AC118" i="10"/>
  <c r="AF111" i="10"/>
  <c r="AD166" i="10"/>
  <c r="Z108" i="10"/>
  <c r="W121" i="10"/>
  <c r="X114" i="10"/>
  <c r="X133" i="10"/>
  <c r="AA132" i="10"/>
  <c r="Y126" i="10"/>
  <c r="W120" i="10"/>
  <c r="Z113" i="10"/>
  <c r="X107" i="10"/>
  <c r="Z158" i="10"/>
  <c r="AF130" i="10"/>
  <c r="AD124" i="10"/>
  <c r="AB118" i="10"/>
  <c r="AE111" i="10"/>
  <c r="AC166" i="10"/>
  <c r="X109" i="10"/>
  <c r="Y108" i="10"/>
  <c r="Y162" i="10"/>
  <c r="Z132" i="10"/>
  <c r="X126" i="10"/>
  <c r="AA119" i="10"/>
  <c r="Y113" i="10"/>
  <c r="W107" i="10"/>
  <c r="Y158" i="10"/>
  <c r="AE130" i="10"/>
  <c r="AC124" i="10"/>
  <c r="AF117" i="10"/>
  <c r="AD111" i="10"/>
  <c r="AF164" i="10"/>
  <c r="Z123" i="10"/>
  <c r="W122" i="10"/>
  <c r="X134" i="10"/>
  <c r="AA114" i="10"/>
  <c r="X127" i="10"/>
  <c r="Y132" i="10"/>
  <c r="W126" i="10"/>
  <c r="Z119" i="10"/>
  <c r="X113" i="10"/>
  <c r="AA106" i="10"/>
  <c r="X158" i="10"/>
  <c r="AD130" i="10"/>
  <c r="AB124" i="10"/>
  <c r="AE117" i="10"/>
  <c r="AC111" i="10"/>
  <c r="AE164" i="10"/>
  <c r="W163" i="10"/>
  <c r="Z114" i="10"/>
  <c r="Z120" i="10"/>
  <c r="X132" i="10"/>
  <c r="AA125" i="10"/>
  <c r="Y119" i="10"/>
  <c r="W113" i="10"/>
  <c r="Z106" i="10"/>
  <c r="W158" i="10"/>
  <c r="AC130" i="10"/>
  <c r="AF123" i="10"/>
  <c r="AD117" i="10"/>
  <c r="AB111" i="10"/>
  <c r="AD164" i="10"/>
  <c r="Z117" i="10"/>
  <c r="Y122" i="10"/>
  <c r="W132" i="10"/>
  <c r="Z125" i="10"/>
  <c r="X119" i="10"/>
  <c r="AA112" i="10"/>
  <c r="Y106" i="10"/>
  <c r="X155" i="10"/>
  <c r="AB130" i="10"/>
  <c r="AE123" i="10"/>
  <c r="AC117" i="10"/>
  <c r="AF110" i="10"/>
  <c r="AC164" i="10"/>
  <c r="Z152" i="10"/>
  <c r="AA105" i="10"/>
  <c r="AA134" i="10"/>
  <c r="Z148" i="10"/>
  <c r="X108" i="10"/>
  <c r="Y114" i="10"/>
  <c r="AA131" i="10"/>
  <c r="Y125" i="10"/>
  <c r="W119" i="10"/>
  <c r="Z112" i="10"/>
  <c r="X106" i="10"/>
  <c r="W155" i="10"/>
  <c r="AF129" i="10"/>
  <c r="AD123" i="10"/>
  <c r="AB117" i="10"/>
  <c r="AE110" i="10"/>
  <c r="AB164" i="10"/>
  <c r="Z128" i="10"/>
  <c r="AA127" i="10"/>
  <c r="Y148" i="10"/>
  <c r="Z131" i="10"/>
  <c r="X125" i="10"/>
  <c r="AA118" i="10"/>
  <c r="Y112" i="10"/>
  <c r="W106" i="10"/>
  <c r="Y154" i="10"/>
  <c r="AE129" i="10"/>
  <c r="AC123" i="10"/>
  <c r="AF116" i="10"/>
  <c r="AD110" i="10"/>
  <c r="AF163" i="10"/>
  <c r="Z115" i="10"/>
  <c r="AA162" i="10"/>
  <c r="Z162" i="10"/>
  <c r="AA120" i="10"/>
  <c r="Y131" i="10"/>
  <c r="W125" i="10"/>
  <c r="X112" i="10"/>
  <c r="X154" i="10"/>
  <c r="AB105" i="10"/>
  <c r="AD129" i="10"/>
  <c r="AB123" i="10"/>
  <c r="AE116" i="10"/>
  <c r="AC110" i="10"/>
  <c r="AA128" i="10"/>
  <c r="Y128" i="10"/>
  <c r="Y121" i="10"/>
  <c r="X121" i="10"/>
  <c r="AA133" i="10"/>
  <c r="W108" i="10"/>
  <c r="Y133" i="10"/>
  <c r="X162" i="10"/>
  <c r="W141" i="10"/>
  <c r="W112" i="10"/>
  <c r="AC105" i="10"/>
  <c r="AD116" i="10"/>
  <c r="AB166" i="10"/>
  <c r="AF165" i="10"/>
  <c r="AE165" i="10"/>
  <c r="AD165" i="10"/>
  <c r="AC165" i="10"/>
  <c r="AB165" i="10"/>
  <c r="AA166" i="10"/>
  <c r="Z166" i="10"/>
  <c r="U166" i="10"/>
  <c r="Y166" i="10"/>
  <c r="S166" i="10"/>
  <c r="X166" i="10"/>
  <c r="R166" i="10"/>
  <c r="W166" i="10"/>
  <c r="AF162" i="10"/>
  <c r="S158" i="10"/>
  <c r="AE162" i="10"/>
  <c r="AD162" i="10"/>
  <c r="AC162" i="10"/>
  <c r="AB162" i="10"/>
  <c r="AF161" i="10"/>
  <c r="V162" i="10"/>
  <c r="AE161" i="10"/>
  <c r="R158" i="10"/>
  <c r="AD161" i="10"/>
  <c r="AC161" i="10"/>
  <c r="AB161" i="10"/>
  <c r="AF160" i="10"/>
  <c r="B132" i="10"/>
  <c r="B165" i="10"/>
  <c r="Z167" i="10"/>
  <c r="R167" i="10"/>
  <c r="Y167" i="10"/>
  <c r="AE166" i="10"/>
  <c r="AC163" i="10"/>
  <c r="AA163" i="10"/>
  <c r="AB163" i="10"/>
  <c r="Z163" i="10"/>
  <c r="Y163" i="10"/>
  <c r="X163" i="10"/>
  <c r="AF167" i="10"/>
  <c r="AE167" i="10"/>
  <c r="V167" i="10"/>
  <c r="AD167" i="10"/>
  <c r="U167" i="10"/>
  <c r="AC167" i="10"/>
  <c r="R154" i="10"/>
  <c r="AA154" i="10"/>
  <c r="S153" i="10"/>
  <c r="Z154" i="10"/>
  <c r="X153" i="10"/>
  <c r="AA157" i="10"/>
  <c r="Z157" i="10"/>
  <c r="Y157" i="10"/>
  <c r="X157" i="10"/>
  <c r="W157" i="10"/>
  <c r="Z156" i="10"/>
  <c r="Y156" i="10"/>
  <c r="X156" i="10"/>
  <c r="W156" i="10"/>
  <c r="Z155" i="10"/>
  <c r="V154" i="10"/>
  <c r="U154" i="10"/>
  <c r="Y155" i="10"/>
  <c r="W159" i="10"/>
  <c r="U162" i="10"/>
  <c r="W162" i="10"/>
  <c r="AE160" i="10"/>
  <c r="T162" i="10"/>
  <c r="AA161" i="10"/>
  <c r="AD160" i="10"/>
  <c r="Z161" i="10"/>
  <c r="AC160" i="10"/>
  <c r="R162" i="10"/>
  <c r="Y161" i="10"/>
  <c r="AB160" i="10"/>
  <c r="V161" i="10"/>
  <c r="X161" i="10"/>
  <c r="AF159" i="10"/>
  <c r="S162" i="10"/>
  <c r="U161" i="10"/>
  <c r="W161" i="10"/>
  <c r="AE159" i="10"/>
  <c r="T161" i="10"/>
  <c r="AA160" i="10"/>
  <c r="AD159" i="10"/>
  <c r="S161" i="10"/>
  <c r="Z160" i="10"/>
  <c r="AC159" i="10"/>
  <c r="R161" i="10"/>
  <c r="Y160" i="10"/>
  <c r="AB159" i="10"/>
  <c r="V160" i="10"/>
  <c r="X160" i="10"/>
  <c r="AF158" i="10"/>
  <c r="U160" i="10"/>
  <c r="W160" i="10"/>
  <c r="AE158" i="10"/>
  <c r="T160" i="10"/>
  <c r="AA159" i="10"/>
  <c r="AD158" i="10"/>
  <c r="Z159" i="10"/>
  <c r="AC158" i="10"/>
  <c r="U159" i="10"/>
  <c r="Y159" i="10"/>
  <c r="AB158" i="10"/>
  <c r="J157" i="10"/>
  <c r="V157" i="10"/>
  <c r="U157" i="10"/>
  <c r="T157" i="10"/>
  <c r="S157" i="10"/>
  <c r="R157" i="10"/>
  <c r="AF157" i="10"/>
  <c r="AE157" i="10"/>
  <c r="AD157" i="10"/>
  <c r="AC157" i="10"/>
  <c r="AB157" i="10"/>
  <c r="AA156" i="10"/>
  <c r="U156" i="10"/>
  <c r="T156" i="10"/>
  <c r="S156" i="10"/>
  <c r="R156" i="10"/>
  <c r="V156" i="10"/>
  <c r="AF156" i="10"/>
  <c r="AE156" i="10"/>
  <c r="AD156" i="10"/>
  <c r="AC156" i="10"/>
  <c r="AB156" i="10"/>
  <c r="AA155" i="10"/>
  <c r="R155" i="10"/>
  <c r="U155" i="10"/>
  <c r="T155" i="10"/>
  <c r="S155" i="10"/>
  <c r="AF155" i="10"/>
  <c r="AE155" i="10"/>
  <c r="AD155" i="10"/>
  <c r="V155" i="10"/>
  <c r="AC155" i="10"/>
  <c r="AB155" i="10"/>
  <c r="AF154" i="10"/>
  <c r="AE154" i="10"/>
  <c r="AD154" i="10"/>
  <c r="AC154" i="10"/>
  <c r="AB154" i="10"/>
  <c r="AF153" i="10"/>
  <c r="AE153" i="10"/>
  <c r="AD153" i="10"/>
  <c r="AA153" i="10"/>
  <c r="AC153" i="10"/>
  <c r="Z153" i="10"/>
  <c r="AB153" i="10"/>
  <c r="X149" i="10"/>
  <c r="X148" i="10"/>
  <c r="W148" i="10"/>
  <c r="P145" i="10"/>
  <c r="O145" i="10"/>
  <c r="AA147" i="10"/>
  <c r="Z147" i="10"/>
  <c r="Y147" i="10"/>
  <c r="X147" i="10"/>
  <c r="W147" i="10"/>
  <c r="AA146" i="10"/>
  <c r="Z146" i="10"/>
  <c r="Y146" i="10"/>
  <c r="X146" i="10"/>
  <c r="W146" i="10"/>
  <c r="X144" i="10"/>
  <c r="W144" i="10"/>
  <c r="Y144" i="10"/>
  <c r="V144" i="10"/>
  <c r="U144" i="10"/>
  <c r="T144" i="10"/>
  <c r="S144" i="10"/>
  <c r="R144" i="10"/>
  <c r="Z144" i="10"/>
  <c r="M146" i="10"/>
  <c r="AA144" i="10"/>
  <c r="M144" i="10"/>
  <c r="AF152" i="10"/>
  <c r="AE152" i="10"/>
  <c r="AD152" i="10"/>
  <c r="AC152" i="10"/>
  <c r="AB152" i="10"/>
  <c r="AF151" i="10"/>
  <c r="AE151" i="10"/>
  <c r="AD151" i="10"/>
  <c r="AC151" i="10"/>
  <c r="AB151" i="10"/>
  <c r="U150" i="10"/>
  <c r="T150" i="10"/>
  <c r="R150" i="10"/>
  <c r="AA150" i="10"/>
  <c r="Z150" i="10"/>
  <c r="Y150" i="10"/>
  <c r="W150" i="10"/>
  <c r="V150" i="10"/>
  <c r="AF150" i="10"/>
  <c r="AE150" i="10"/>
  <c r="X150" i="10"/>
  <c r="AD150" i="10"/>
  <c r="AC150" i="10"/>
  <c r="AB150" i="10"/>
  <c r="V149" i="10"/>
  <c r="AF149" i="10"/>
  <c r="U149" i="10"/>
  <c r="AE149" i="10"/>
  <c r="T149" i="10"/>
  <c r="AD149" i="10"/>
  <c r="S149" i="10"/>
  <c r="AC149" i="10"/>
  <c r="R149" i="10"/>
  <c r="AB149" i="10"/>
  <c r="V148" i="10"/>
  <c r="U148" i="10"/>
  <c r="T148" i="10"/>
  <c r="S148" i="10"/>
  <c r="R148" i="10"/>
  <c r="AF148" i="10"/>
  <c r="AE148" i="10"/>
  <c r="AD148" i="10"/>
  <c r="AC148" i="10"/>
  <c r="AB148" i="10"/>
  <c r="V147" i="10"/>
  <c r="U147" i="10"/>
  <c r="AF147" i="10"/>
  <c r="AE147" i="10"/>
  <c r="AD147" i="10"/>
  <c r="AC147" i="10"/>
  <c r="AF146" i="10"/>
  <c r="AE146" i="10"/>
  <c r="AD146" i="10"/>
  <c r="AC146" i="10"/>
  <c r="AA145" i="10"/>
  <c r="Z145" i="10"/>
  <c r="Y145" i="10"/>
  <c r="X145" i="10"/>
  <c r="W145" i="10"/>
  <c r="R145" i="10"/>
  <c r="S145" i="10"/>
  <c r="T145" i="10"/>
  <c r="M145" i="10"/>
  <c r="AF145" i="10"/>
  <c r="AE145" i="10"/>
  <c r="AD145" i="10"/>
  <c r="AC145" i="10"/>
  <c r="Q145" i="10"/>
  <c r="N144" i="10"/>
  <c r="Q144" i="10"/>
  <c r="P144" i="10"/>
  <c r="AF144" i="10"/>
  <c r="O144" i="10"/>
  <c r="AE144" i="10"/>
  <c r="AD144" i="10"/>
  <c r="AC144" i="10"/>
  <c r="AF143" i="10"/>
  <c r="V143" i="10"/>
  <c r="AE143" i="10"/>
  <c r="U143" i="10"/>
  <c r="AF142" i="10"/>
  <c r="T143" i="10"/>
  <c r="AE142" i="10"/>
  <c r="S143" i="10"/>
  <c r="AD142" i="10"/>
  <c r="R143" i="10"/>
  <c r="AC142" i="10"/>
  <c r="V142" i="10"/>
  <c r="AB142" i="10"/>
  <c r="S138" i="10"/>
  <c r="T138" i="10"/>
  <c r="U138" i="10"/>
  <c r="AA140" i="10"/>
  <c r="V138" i="10"/>
  <c r="Z140" i="10"/>
  <c r="W138" i="10"/>
  <c r="Y140" i="10"/>
  <c r="X138" i="10"/>
  <c r="X140" i="10"/>
  <c r="Y138" i="10"/>
  <c r="W140" i="10"/>
  <c r="Z138" i="10"/>
  <c r="AA139" i="10"/>
  <c r="AA138" i="10"/>
  <c r="Z139" i="10"/>
  <c r="Y139" i="10"/>
  <c r="X139" i="10"/>
  <c r="W139" i="10"/>
  <c r="AB138" i="10"/>
  <c r="AC138" i="10"/>
  <c r="AD138" i="10"/>
  <c r="AE138" i="10"/>
  <c r="AF138" i="10"/>
  <c r="AF140" i="10"/>
  <c r="AE140" i="10"/>
  <c r="AD140" i="10"/>
  <c r="AC140" i="10"/>
  <c r="AB140" i="10"/>
  <c r="AF139" i="10"/>
  <c r="AE139" i="10"/>
  <c r="AD139" i="10"/>
  <c r="AC139" i="10"/>
  <c r="AB139" i="10"/>
  <c r="AD143" i="10"/>
  <c r="AC143" i="10"/>
  <c r="AB143" i="10"/>
  <c r="AF141" i="10"/>
  <c r="Z143" i="10"/>
  <c r="AE141" i="10"/>
  <c r="R141" i="10"/>
  <c r="Y143" i="10"/>
  <c r="AD141" i="10"/>
  <c r="Q143" i="10"/>
  <c r="X143" i="10"/>
  <c r="AC141" i="10"/>
  <c r="P143" i="10"/>
  <c r="W143" i="10"/>
  <c r="AB141" i="10"/>
  <c r="O143" i="10"/>
  <c r="AA142" i="10"/>
  <c r="Z142" i="10"/>
  <c r="Y142" i="10"/>
  <c r="X142" i="10"/>
  <c r="W142" i="10"/>
  <c r="AA141" i="10"/>
  <c r="Z141" i="10"/>
  <c r="Y141" i="10"/>
  <c r="X141" i="10"/>
  <c r="V166" i="10"/>
  <c r="V122" i="10"/>
  <c r="V153" i="10"/>
  <c r="T147" i="10"/>
  <c r="T105" i="10"/>
  <c r="U122" i="10"/>
  <c r="V109" i="10"/>
  <c r="T166" i="10"/>
  <c r="R160" i="10"/>
  <c r="U153" i="10"/>
  <c r="S147" i="10"/>
  <c r="V140" i="10"/>
  <c r="T122" i="10"/>
  <c r="V159" i="10"/>
  <c r="T153" i="10"/>
  <c r="R147" i="10"/>
  <c r="U140" i="10"/>
  <c r="V105" i="10"/>
  <c r="V146" i="10"/>
  <c r="T140" i="10"/>
  <c r="T159" i="10"/>
  <c r="S140" i="10"/>
  <c r="U165" i="10"/>
  <c r="R140" i="10"/>
  <c r="T128" i="10"/>
  <c r="U134" i="10"/>
  <c r="S128" i="10"/>
  <c r="V121" i="10"/>
  <c r="T115" i="10"/>
  <c r="R109" i="10"/>
  <c r="S159" i="10"/>
  <c r="V152" i="10"/>
  <c r="T146" i="10"/>
  <c r="T134" i="10"/>
  <c r="R128" i="10"/>
  <c r="U121" i="10"/>
  <c r="S115" i="10"/>
  <c r="V108" i="10"/>
  <c r="T165" i="10"/>
  <c r="R159" i="10"/>
  <c r="U152" i="10"/>
  <c r="S146" i="10"/>
  <c r="V139" i="10"/>
  <c r="U139" i="10"/>
  <c r="V128" i="10"/>
  <c r="V115" i="10"/>
  <c r="T109" i="10"/>
  <c r="V134" i="10"/>
  <c r="U146" i="10"/>
  <c r="V127" i="10"/>
  <c r="T121" i="10"/>
  <c r="U108" i="10"/>
  <c r="S165" i="10"/>
  <c r="V158" i="10"/>
  <c r="R146" i="10"/>
  <c r="R134" i="10"/>
  <c r="U127" i="10"/>
  <c r="S121" i="10"/>
  <c r="V114" i="10"/>
  <c r="T108" i="10"/>
  <c r="R165" i="10"/>
  <c r="U158" i="10"/>
  <c r="S152" i="10"/>
  <c r="V145" i="10"/>
  <c r="T139" i="10"/>
  <c r="V165" i="10"/>
  <c r="S134" i="10"/>
  <c r="R115" i="10"/>
  <c r="T152" i="10"/>
  <c r="V133" i="10"/>
  <c r="T127" i="10"/>
  <c r="R121" i="10"/>
  <c r="U114" i="10"/>
  <c r="S108" i="10"/>
  <c r="V164" i="10"/>
  <c r="T158" i="10"/>
  <c r="R152" i="10"/>
  <c r="U145" i="10"/>
  <c r="S139" i="10"/>
  <c r="U133" i="10"/>
  <c r="S127" i="10"/>
  <c r="V120" i="10"/>
  <c r="T114" i="10"/>
  <c r="R108" i="10"/>
  <c r="O138" i="10"/>
  <c r="O110" i="10"/>
  <c r="P138" i="10"/>
  <c r="O127" i="10"/>
  <c r="O108" i="10"/>
  <c r="P159" i="10"/>
  <c r="M134" i="10"/>
  <c r="O115" i="10"/>
  <c r="Q154" i="10"/>
  <c r="O120" i="10"/>
  <c r="Q109" i="10"/>
  <c r="Q126" i="10"/>
  <c r="P134" i="10"/>
  <c r="Q115" i="10"/>
  <c r="P155" i="10"/>
  <c r="M124" i="10"/>
  <c r="O107" i="10"/>
  <c r="Q133" i="10"/>
  <c r="Q123" i="10"/>
  <c r="N115" i="10"/>
  <c r="P149" i="10"/>
  <c r="O117" i="10"/>
  <c r="Q108" i="10"/>
  <c r="M141" i="10"/>
  <c r="P133" i="10"/>
  <c r="P123" i="10"/>
  <c r="M115" i="10"/>
  <c r="O149" i="10"/>
  <c r="O109" i="10"/>
  <c r="P127" i="10"/>
  <c r="P108" i="10"/>
  <c r="N116" i="10"/>
  <c r="P126" i="10"/>
  <c r="Q107" i="10"/>
  <c r="P124" i="10"/>
  <c r="Q114" i="10"/>
  <c r="Q148" i="10"/>
  <c r="O128" i="10"/>
  <c r="P150" i="10"/>
  <c r="N134" i="10"/>
  <c r="N133" i="10"/>
  <c r="N123" i="10"/>
  <c r="P114" i="10"/>
  <c r="P148" i="10"/>
  <c r="Q117" i="10"/>
  <c r="M127" i="10"/>
  <c r="M108" i="10"/>
  <c r="O126" i="10"/>
  <c r="M160" i="10"/>
  <c r="M133" i="10"/>
  <c r="M123" i="10"/>
  <c r="O114" i="10"/>
  <c r="O148" i="10"/>
  <c r="P109" i="10"/>
  <c r="Q116" i="10"/>
  <c r="Q159" i="10"/>
  <c r="O123" i="10"/>
  <c r="Q132" i="10"/>
  <c r="Q122" i="10"/>
  <c r="N114" i="10"/>
  <c r="Q147" i="10"/>
  <c r="O116" i="10"/>
  <c r="P156" i="10"/>
  <c r="O133" i="10"/>
  <c r="P132" i="10"/>
  <c r="P122" i="10"/>
  <c r="M114" i="10"/>
  <c r="P147" i="10"/>
  <c r="N127" i="10"/>
  <c r="N108" i="10"/>
  <c r="O134" i="10"/>
  <c r="P115" i="10"/>
  <c r="M131" i="10"/>
  <c r="Q113" i="10"/>
  <c r="O147" i="10"/>
  <c r="Q138" i="10"/>
  <c r="O160" i="10"/>
  <c r="Q134" i="10"/>
  <c r="M116" i="10"/>
  <c r="P130" i="10"/>
  <c r="N122" i="10"/>
  <c r="P113" i="10"/>
  <c r="Q146" i="10"/>
  <c r="P107" i="10"/>
  <c r="O122" i="10"/>
  <c r="O130" i="10"/>
  <c r="M122" i="10"/>
  <c r="O113" i="10"/>
  <c r="P146" i="10"/>
  <c r="B133" i="10"/>
  <c r="B166" i="10"/>
  <c r="N142" i="10"/>
  <c r="N141" i="10"/>
  <c r="O159" i="10"/>
  <c r="M142" i="10"/>
  <c r="N140" i="10"/>
  <c r="Q158" i="10"/>
  <c r="N139" i="10"/>
  <c r="P158" i="10"/>
  <c r="M140" i="10"/>
  <c r="O158" i="10"/>
  <c r="M139" i="10"/>
  <c r="Q157" i="10"/>
  <c r="P157" i="10"/>
  <c r="N167" i="10"/>
  <c r="Q167" i="10"/>
  <c r="O157" i="10"/>
  <c r="N166" i="10"/>
  <c r="P167" i="10"/>
  <c r="Q156" i="10"/>
  <c r="M166" i="10"/>
  <c r="N164" i="10"/>
  <c r="Q166" i="10"/>
  <c r="O156" i="10"/>
  <c r="M165" i="10"/>
  <c r="N163" i="10"/>
  <c r="P166" i="10"/>
  <c r="Q155" i="10"/>
  <c r="O167" i="10"/>
  <c r="N160" i="10"/>
  <c r="N158" i="10"/>
  <c r="M120" i="10"/>
  <c r="N107" i="10"/>
  <c r="M158" i="10"/>
  <c r="N156" i="10"/>
  <c r="O164" i="10"/>
  <c r="P153" i="10"/>
  <c r="Q142" i="10"/>
  <c r="N165" i="10"/>
  <c r="M162" i="10"/>
  <c r="N126" i="10"/>
  <c r="Q119" i="10"/>
  <c r="M107" i="10"/>
  <c r="M157" i="10"/>
  <c r="N155" i="10"/>
  <c r="Q163" i="10"/>
  <c r="O153" i="10"/>
  <c r="P142" i="10"/>
  <c r="I157" i="10"/>
  <c r="Q165" i="10"/>
  <c r="Q153" i="10"/>
  <c r="O132" i="10"/>
  <c r="M126" i="10"/>
  <c r="P119" i="10"/>
  <c r="N113" i="10"/>
  <c r="Q106" i="10"/>
  <c r="M156" i="10"/>
  <c r="N154" i="10"/>
  <c r="P163" i="10"/>
  <c r="Q152" i="10"/>
  <c r="O142" i="10"/>
  <c r="K160" i="10"/>
  <c r="P154" i="10"/>
  <c r="N132" i="10"/>
  <c r="Q125" i="10"/>
  <c r="O119" i="10"/>
  <c r="M113" i="10"/>
  <c r="P106" i="10"/>
  <c r="M155" i="10"/>
  <c r="N153" i="10"/>
  <c r="O163" i="10"/>
  <c r="P152" i="10"/>
  <c r="Q141" i="10"/>
  <c r="M163" i="10"/>
  <c r="N159" i="10"/>
  <c r="P164" i="10"/>
  <c r="E163" i="10"/>
  <c r="M132" i="10"/>
  <c r="P125" i="10"/>
  <c r="N119" i="10"/>
  <c r="Q112" i="10"/>
  <c r="O106" i="10"/>
  <c r="M154" i="10"/>
  <c r="N152" i="10"/>
  <c r="Q162" i="10"/>
  <c r="O152" i="10"/>
  <c r="P141" i="10"/>
  <c r="O155" i="10"/>
  <c r="O165" i="10"/>
  <c r="N157" i="10"/>
  <c r="D148" i="10"/>
  <c r="P41" i="10"/>
  <c r="Q131" i="10"/>
  <c r="O125" i="10"/>
  <c r="M119" i="10"/>
  <c r="P112" i="10"/>
  <c r="N106" i="10"/>
  <c r="M153" i="10"/>
  <c r="N151" i="10"/>
  <c r="P162" i="10"/>
  <c r="Q151" i="10"/>
  <c r="O141" i="10"/>
  <c r="P131" i="10"/>
  <c r="N125" i="10"/>
  <c r="Q118" i="10"/>
  <c r="O112" i="10"/>
  <c r="M106" i="10"/>
  <c r="M152" i="10"/>
  <c r="N150" i="10"/>
  <c r="O162" i="10"/>
  <c r="P151" i="10"/>
  <c r="Q140" i="10"/>
  <c r="N162" i="10"/>
  <c r="O154" i="10"/>
  <c r="O131" i="10"/>
  <c r="M125" i="10"/>
  <c r="P118" i="10"/>
  <c r="N112" i="10"/>
  <c r="M151" i="10"/>
  <c r="N149" i="10"/>
  <c r="Q161" i="10"/>
  <c r="O151" i="10"/>
  <c r="P140" i="10"/>
  <c r="M164" i="10"/>
  <c r="M159" i="10"/>
  <c r="B141" i="10"/>
  <c r="N131" i="10"/>
  <c r="Q124" i="10"/>
  <c r="O118" i="10"/>
  <c r="M112" i="10"/>
  <c r="M150" i="10"/>
  <c r="N148" i="10"/>
  <c r="P161" i="10"/>
  <c r="Q150" i="10"/>
  <c r="O140" i="10"/>
  <c r="P165" i="10"/>
  <c r="Q164" i="10"/>
  <c r="B140" i="10"/>
  <c r="N118" i="10"/>
  <c r="M149" i="10"/>
  <c r="N147" i="10"/>
  <c r="O161" i="10"/>
  <c r="Q139" i="10"/>
  <c r="M161" i="10"/>
  <c r="G154" i="10"/>
  <c r="B167" i="10"/>
  <c r="Q130" i="10"/>
  <c r="O124" i="10"/>
  <c r="M118" i="10"/>
  <c r="P111" i="10"/>
  <c r="M148" i="10"/>
  <c r="N146" i="10"/>
  <c r="Q160" i="10"/>
  <c r="O150" i="10"/>
  <c r="P139" i="10"/>
  <c r="M167" i="10"/>
  <c r="O166" i="10"/>
  <c r="N161" i="10"/>
  <c r="H157" i="10"/>
  <c r="N124" i="10"/>
  <c r="M147" i="10"/>
  <c r="N145" i="10"/>
  <c r="P160" i="10"/>
  <c r="Q149" i="10"/>
  <c r="O139" i="10"/>
  <c r="E114" i="10"/>
  <c r="D107" i="10"/>
  <c r="D121" i="10"/>
  <c r="E166" i="10"/>
  <c r="E133" i="10"/>
  <c r="E120" i="10"/>
  <c r="D166" i="10"/>
  <c r="K117" i="10"/>
  <c r="J117" i="10"/>
  <c r="K133" i="10"/>
  <c r="H133" i="10"/>
  <c r="I130" i="10"/>
  <c r="L166" i="10"/>
  <c r="J133" i="10"/>
  <c r="L163" i="10"/>
  <c r="L117" i="10"/>
  <c r="K163" i="10"/>
  <c r="J130" i="10"/>
  <c r="H130" i="10"/>
  <c r="H127" i="10"/>
  <c r="L120" i="10"/>
  <c r="J147" i="10"/>
  <c r="J163" i="10"/>
  <c r="J160" i="10"/>
  <c r="I160" i="10"/>
  <c r="H160" i="10"/>
  <c r="H144" i="10"/>
  <c r="E148" i="10"/>
  <c r="D120" i="10"/>
  <c r="F133" i="10"/>
  <c r="G114" i="10"/>
  <c r="D133" i="10"/>
  <c r="D163" i="10"/>
  <c r="F114" i="10"/>
  <c r="E117" i="10"/>
  <c r="D117" i="10"/>
  <c r="G130" i="10"/>
  <c r="I147" i="10"/>
  <c r="E160" i="10"/>
  <c r="D160" i="10"/>
  <c r="E130" i="10"/>
  <c r="E159" i="10"/>
  <c r="D159" i="10"/>
  <c r="G157" i="10"/>
  <c r="F157" i="10"/>
  <c r="D157" i="10"/>
  <c r="B113" i="10"/>
  <c r="D127" i="10"/>
  <c r="E144" i="10"/>
  <c r="D156" i="10"/>
  <c r="D114" i="10"/>
  <c r="F147" i="10"/>
  <c r="E129" i="10"/>
  <c r="D129" i="10"/>
  <c r="E157" i="10"/>
  <c r="E156" i="10"/>
  <c r="L160" i="10"/>
  <c r="B112" i="10"/>
  <c r="G110" i="10"/>
  <c r="F126" i="10"/>
  <c r="D144" i="10"/>
  <c r="F154" i="10"/>
  <c r="F130" i="10"/>
  <c r="G111" i="10"/>
  <c r="E111" i="10"/>
  <c r="B111" i="10"/>
  <c r="F110" i="10"/>
  <c r="E126" i="10"/>
  <c r="E143" i="10"/>
  <c r="E154" i="10"/>
  <c r="F120" i="10"/>
  <c r="E146" i="10"/>
  <c r="E110" i="10"/>
  <c r="D126" i="10"/>
  <c r="D143" i="10"/>
  <c r="D154" i="10"/>
  <c r="H147" i="10"/>
  <c r="E147" i="10"/>
  <c r="F111" i="10"/>
  <c r="B106" i="10"/>
  <c r="D111" i="10"/>
  <c r="B110" i="10"/>
  <c r="B109" i="10"/>
  <c r="D110" i="10"/>
  <c r="F124" i="10"/>
  <c r="F141" i="10"/>
  <c r="E153" i="10"/>
  <c r="F113" i="10"/>
  <c r="C148" i="10"/>
  <c r="E108" i="10"/>
  <c r="E124" i="10"/>
  <c r="E141" i="10"/>
  <c r="D153" i="10"/>
  <c r="D146" i="10"/>
  <c r="F144" i="10"/>
  <c r="D108" i="10"/>
  <c r="D124" i="10"/>
  <c r="D141" i="10"/>
  <c r="E151" i="10"/>
  <c r="L107" i="10"/>
  <c r="F123" i="10"/>
  <c r="E140" i="10"/>
  <c r="D151" i="10"/>
  <c r="D130" i="10"/>
  <c r="E138" i="10"/>
  <c r="B114" i="10"/>
  <c r="J107" i="10"/>
  <c r="E123" i="10"/>
  <c r="D140" i="10"/>
  <c r="L150" i="10"/>
  <c r="G113" i="10"/>
  <c r="E113" i="10"/>
  <c r="D113" i="10"/>
  <c r="F127" i="10"/>
  <c r="H154" i="10"/>
  <c r="F107" i="10"/>
  <c r="D123" i="10"/>
  <c r="E167" i="10"/>
  <c r="E150" i="10"/>
  <c r="D147" i="10"/>
  <c r="G127" i="10"/>
  <c r="G144" i="10"/>
  <c r="E127" i="10"/>
  <c r="E107" i="10"/>
  <c r="E121" i="10"/>
  <c r="D167" i="10"/>
  <c r="D150" i="10"/>
  <c r="C111" i="10"/>
  <c r="K107" i="10"/>
  <c r="I133" i="10"/>
  <c r="C124" i="10"/>
  <c r="K120" i="10"/>
  <c r="I117" i="10"/>
  <c r="G147" i="10"/>
  <c r="C141" i="10"/>
  <c r="K166" i="10"/>
  <c r="I163" i="10"/>
  <c r="G160" i="10"/>
  <c r="C154" i="10"/>
  <c r="K150" i="10"/>
  <c r="C167" i="10"/>
  <c r="L110" i="10"/>
  <c r="L123" i="10"/>
  <c r="J120" i="10"/>
  <c r="H117" i="10"/>
  <c r="L140" i="10"/>
  <c r="J166" i="10"/>
  <c r="H163" i="10"/>
  <c r="F160" i="10"/>
  <c r="L153" i="10"/>
  <c r="J150" i="10"/>
  <c r="C114" i="10"/>
  <c r="K110" i="10"/>
  <c r="I107" i="10"/>
  <c r="G133" i="10"/>
  <c r="C127" i="10"/>
  <c r="K123" i="10"/>
  <c r="I120" i="10"/>
  <c r="G117" i="10"/>
  <c r="C144" i="10"/>
  <c r="K140" i="10"/>
  <c r="I166" i="10"/>
  <c r="G163" i="10"/>
  <c r="C157" i="10"/>
  <c r="K153" i="10"/>
  <c r="I150" i="10"/>
  <c r="L113" i="10"/>
  <c r="J110" i="10"/>
  <c r="H107" i="10"/>
  <c r="L126" i="10"/>
  <c r="J123" i="10"/>
  <c r="H120" i="10"/>
  <c r="F117" i="10"/>
  <c r="L143" i="10"/>
  <c r="J140" i="10"/>
  <c r="H166" i="10"/>
  <c r="F163" i="10"/>
  <c r="L156" i="10"/>
  <c r="J153" i="10"/>
  <c r="H150" i="10"/>
  <c r="K113" i="10"/>
  <c r="I110" i="10"/>
  <c r="G107" i="10"/>
  <c r="C130" i="10"/>
  <c r="K126" i="10"/>
  <c r="I123" i="10"/>
  <c r="G120" i="10"/>
  <c r="C147" i="10"/>
  <c r="K143" i="10"/>
  <c r="I140" i="10"/>
  <c r="G166" i="10"/>
  <c r="C160" i="10"/>
  <c r="K156" i="10"/>
  <c r="I153" i="10"/>
  <c r="G150" i="10"/>
  <c r="L129" i="10"/>
  <c r="J126" i="10"/>
  <c r="H123" i="10"/>
  <c r="L146" i="10"/>
  <c r="J143" i="10"/>
  <c r="H140" i="10"/>
  <c r="F166" i="10"/>
  <c r="L159" i="10"/>
  <c r="J156" i="10"/>
  <c r="H153" i="10"/>
  <c r="F150" i="10"/>
  <c r="C133" i="10"/>
  <c r="K129" i="10"/>
  <c r="I126" i="10"/>
  <c r="G123" i="10"/>
  <c r="C117" i="10"/>
  <c r="K146" i="10"/>
  <c r="I143" i="10"/>
  <c r="G140" i="10"/>
  <c r="C163" i="10"/>
  <c r="K159" i="10"/>
  <c r="I156" i="10"/>
  <c r="G153" i="10"/>
  <c r="L132" i="10"/>
  <c r="J129" i="10"/>
  <c r="H126" i="10"/>
  <c r="L116" i="10"/>
  <c r="J146" i="10"/>
  <c r="H143" i="10"/>
  <c r="F140" i="10"/>
  <c r="L162" i="10"/>
  <c r="J159" i="10"/>
  <c r="H156" i="10"/>
  <c r="F153" i="10"/>
  <c r="C121" i="10"/>
  <c r="K132" i="10"/>
  <c r="I129" i="10"/>
  <c r="G126" i="10"/>
  <c r="C120" i="10"/>
  <c r="K116" i="10"/>
  <c r="I146" i="10"/>
  <c r="G143" i="10"/>
  <c r="C166" i="10"/>
  <c r="K162" i="10"/>
  <c r="I159" i="10"/>
  <c r="G156" i="10"/>
  <c r="C150" i="10"/>
  <c r="J132" i="10"/>
  <c r="L119" i="10"/>
  <c r="J116" i="10"/>
  <c r="H146" i="10"/>
  <c r="F143" i="10"/>
  <c r="L165" i="10"/>
  <c r="J162" i="10"/>
  <c r="H159" i="10"/>
  <c r="F156" i="10"/>
  <c r="L149" i="10"/>
  <c r="K106" i="10"/>
  <c r="C123" i="10"/>
  <c r="K119" i="10"/>
  <c r="I116" i="10"/>
  <c r="G146" i="10"/>
  <c r="C140" i="10"/>
  <c r="K165" i="10"/>
  <c r="I162" i="10"/>
  <c r="G159" i="10"/>
  <c r="C153" i="10"/>
  <c r="K149" i="10"/>
  <c r="J149" i="10"/>
  <c r="I149" i="10"/>
  <c r="L106" i="10"/>
  <c r="H149" i="10"/>
  <c r="C107" i="10"/>
  <c r="L109" i="10"/>
  <c r="J165" i="10"/>
  <c r="I119" i="10"/>
  <c r="K112" i="10"/>
  <c r="I109" i="10"/>
  <c r="G106" i="10"/>
  <c r="E132" i="10"/>
  <c r="C129" i="10"/>
  <c r="K125" i="10"/>
  <c r="I122" i="10"/>
  <c r="G119" i="10"/>
  <c r="E116" i="10"/>
  <c r="C146" i="10"/>
  <c r="K142" i="10"/>
  <c r="I139" i="10"/>
  <c r="G165" i="10"/>
  <c r="E162" i="10"/>
  <c r="C159" i="10"/>
  <c r="K155" i="10"/>
  <c r="I152" i="10"/>
  <c r="G149" i="10"/>
  <c r="H152" i="10"/>
  <c r="C156" i="10"/>
  <c r="F116" i="10"/>
  <c r="E106" i="10"/>
  <c r="C132" i="10"/>
  <c r="K128" i="10"/>
  <c r="I125" i="10"/>
  <c r="G122" i="10"/>
  <c r="E119" i="10"/>
  <c r="C116" i="10"/>
  <c r="K145" i="10"/>
  <c r="I142" i="10"/>
  <c r="G139" i="10"/>
  <c r="E165" i="10"/>
  <c r="C162" i="10"/>
  <c r="K158" i="10"/>
  <c r="I155" i="10"/>
  <c r="G152" i="10"/>
  <c r="E149" i="10"/>
  <c r="J106" i="10"/>
  <c r="H162" i="10"/>
  <c r="G132" i="10"/>
  <c r="C143" i="10"/>
  <c r="J109" i="10"/>
  <c r="F162" i="10"/>
  <c r="J112" i="10"/>
  <c r="F119" i="10"/>
  <c r="F149" i="10"/>
  <c r="H138" i="10"/>
  <c r="H112" i="10"/>
  <c r="F109" i="10"/>
  <c r="D106" i="10"/>
  <c r="L131" i="10"/>
  <c r="J128" i="10"/>
  <c r="H125" i="10"/>
  <c r="F122" i="10"/>
  <c r="D119" i="10"/>
  <c r="L115" i="10"/>
  <c r="J145" i="10"/>
  <c r="H142" i="10"/>
  <c r="F139" i="10"/>
  <c r="D165" i="10"/>
  <c r="L161" i="10"/>
  <c r="J158" i="10"/>
  <c r="H155" i="10"/>
  <c r="F152" i="10"/>
  <c r="D149" i="10"/>
  <c r="C151" i="10"/>
  <c r="H116" i="10"/>
  <c r="J152" i="10"/>
  <c r="H109" i="10"/>
  <c r="H122" i="10"/>
  <c r="J155" i="10"/>
  <c r="I112" i="10"/>
  <c r="G112" i="10"/>
  <c r="E109" i="10"/>
  <c r="C106" i="10"/>
  <c r="K131" i="10"/>
  <c r="I128" i="10"/>
  <c r="G125" i="10"/>
  <c r="E122" i="10"/>
  <c r="C119" i="10"/>
  <c r="K115" i="10"/>
  <c r="I145" i="10"/>
  <c r="G142" i="10"/>
  <c r="E139" i="10"/>
  <c r="C165" i="10"/>
  <c r="K161" i="10"/>
  <c r="I158" i="10"/>
  <c r="G155" i="10"/>
  <c r="E152" i="10"/>
  <c r="C149" i="10"/>
  <c r="H129" i="10"/>
  <c r="J122" i="10"/>
  <c r="L158" i="10"/>
  <c r="G109" i="10"/>
  <c r="F112" i="10"/>
  <c r="D109" i="10"/>
  <c r="L134" i="10"/>
  <c r="J131" i="10"/>
  <c r="H128" i="10"/>
  <c r="F125" i="10"/>
  <c r="D122" i="10"/>
  <c r="L118" i="10"/>
  <c r="J115" i="10"/>
  <c r="H145" i="10"/>
  <c r="F142" i="10"/>
  <c r="D139" i="10"/>
  <c r="L164" i="10"/>
  <c r="J161" i="10"/>
  <c r="H158" i="10"/>
  <c r="F155" i="10"/>
  <c r="D152" i="10"/>
  <c r="L148" i="10"/>
  <c r="L139" i="10"/>
  <c r="C126" i="10"/>
  <c r="F132" i="10"/>
  <c r="H139" i="10"/>
  <c r="C109" i="10"/>
  <c r="K134" i="10"/>
  <c r="I131" i="10"/>
  <c r="G128" i="10"/>
  <c r="E125" i="10"/>
  <c r="C122" i="10"/>
  <c r="K118" i="10"/>
  <c r="I115" i="10"/>
  <c r="G145" i="10"/>
  <c r="E142" i="10"/>
  <c r="C139" i="10"/>
  <c r="K164" i="10"/>
  <c r="I161" i="10"/>
  <c r="G158" i="10"/>
  <c r="E155" i="10"/>
  <c r="C152" i="10"/>
  <c r="K148" i="10"/>
  <c r="L122" i="10"/>
  <c r="L152" i="10"/>
  <c r="K109" i="10"/>
  <c r="D132" i="10"/>
  <c r="F165" i="10"/>
  <c r="D112" i="10"/>
  <c r="L108" i="10"/>
  <c r="J134" i="10"/>
  <c r="F128" i="10"/>
  <c r="D125" i="10"/>
  <c r="L121" i="10"/>
  <c r="J118" i="10"/>
  <c r="H115" i="10"/>
  <c r="F145" i="10"/>
  <c r="D142" i="10"/>
  <c r="L167" i="10"/>
  <c r="J164" i="10"/>
  <c r="H161" i="10"/>
  <c r="F158" i="10"/>
  <c r="D155" i="10"/>
  <c r="L151" i="10"/>
  <c r="J148" i="10"/>
  <c r="I113" i="10"/>
  <c r="C110" i="10"/>
  <c r="I165" i="10"/>
  <c r="H119" i="10"/>
  <c r="F106" i="10"/>
  <c r="D162" i="10"/>
  <c r="E112" i="10"/>
  <c r="H131" i="10"/>
  <c r="C112" i="10"/>
  <c r="K108" i="10"/>
  <c r="I134" i="10"/>
  <c r="G131" i="10"/>
  <c r="E128" i="10"/>
  <c r="C125" i="10"/>
  <c r="K121" i="10"/>
  <c r="I118" i="10"/>
  <c r="G115" i="10"/>
  <c r="E145" i="10"/>
  <c r="C142" i="10"/>
  <c r="K167" i="10"/>
  <c r="I164" i="10"/>
  <c r="G161" i="10"/>
  <c r="E158" i="10"/>
  <c r="C155" i="10"/>
  <c r="K151" i="10"/>
  <c r="I148" i="10"/>
  <c r="I132" i="10"/>
  <c r="F129" i="10"/>
  <c r="K122" i="10"/>
  <c r="G162" i="10"/>
  <c r="L142" i="10"/>
  <c r="D116" i="10"/>
  <c r="F131" i="10"/>
  <c r="L124" i="10"/>
  <c r="D145" i="10"/>
  <c r="L141" i="10"/>
  <c r="J167" i="10"/>
  <c r="H164" i="10"/>
  <c r="F161" i="10"/>
  <c r="D158" i="10"/>
  <c r="L154" i="10"/>
  <c r="J151" i="10"/>
  <c r="H148" i="10"/>
  <c r="H132" i="10"/>
  <c r="I106" i="10"/>
  <c r="L125" i="10"/>
  <c r="J139" i="10"/>
  <c r="J142" i="10"/>
  <c r="H134" i="10"/>
  <c r="D128" i="10"/>
  <c r="K111" i="10"/>
  <c r="I108" i="10"/>
  <c r="G134" i="10"/>
  <c r="E131" i="10"/>
  <c r="C128" i="10"/>
  <c r="K124" i="10"/>
  <c r="I121" i="10"/>
  <c r="G118" i="10"/>
  <c r="E115" i="10"/>
  <c r="C145" i="10"/>
  <c r="K141" i="10"/>
  <c r="I167" i="10"/>
  <c r="G164" i="10"/>
  <c r="E161" i="10"/>
  <c r="C158" i="10"/>
  <c r="K154" i="10"/>
  <c r="I151" i="10"/>
  <c r="G148" i="10"/>
  <c r="G129" i="10"/>
  <c r="K152" i="10"/>
  <c r="L145" i="10"/>
  <c r="L111" i="10"/>
  <c r="F115" i="10"/>
  <c r="L114" i="10"/>
  <c r="J111" i="10"/>
  <c r="H108" i="10"/>
  <c r="F134" i="10"/>
  <c r="D131" i="10"/>
  <c r="L127" i="10"/>
  <c r="J124" i="10"/>
  <c r="H121" i="10"/>
  <c r="F118" i="10"/>
  <c r="D115" i="10"/>
  <c r="L144" i="10"/>
  <c r="J141" i="10"/>
  <c r="H167" i="10"/>
  <c r="F164" i="10"/>
  <c r="D161" i="10"/>
  <c r="L157" i="10"/>
  <c r="J154" i="10"/>
  <c r="H151" i="10"/>
  <c r="F148" i="10"/>
  <c r="F146" i="10"/>
  <c r="K139" i="10"/>
  <c r="H106" i="10"/>
  <c r="H165" i="10"/>
  <c r="L128" i="10"/>
  <c r="H118" i="10"/>
  <c r="E105" i="10"/>
  <c r="K114" i="10"/>
  <c r="I111" i="10"/>
  <c r="G108" i="10"/>
  <c r="E134" i="10"/>
  <c r="C131" i="10"/>
  <c r="K127" i="10"/>
  <c r="I124" i="10"/>
  <c r="G121" i="10"/>
  <c r="E118" i="10"/>
  <c r="C115" i="10"/>
  <c r="K144" i="10"/>
  <c r="I141" i="10"/>
  <c r="G167" i="10"/>
  <c r="E164" i="10"/>
  <c r="C161" i="10"/>
  <c r="K157" i="10"/>
  <c r="I154" i="10"/>
  <c r="G151" i="10"/>
  <c r="C108" i="10"/>
  <c r="J119" i="10"/>
  <c r="F159" i="10"/>
  <c r="C113" i="10"/>
  <c r="G116" i="10"/>
  <c r="L112" i="10"/>
  <c r="L155" i="10"/>
  <c r="J125" i="10"/>
  <c r="J108" i="10"/>
  <c r="J121" i="10"/>
  <c r="F105" i="10"/>
  <c r="J114" i="10"/>
  <c r="H111" i="10"/>
  <c r="F108" i="10"/>
  <c r="D134" i="10"/>
  <c r="L130" i="10"/>
  <c r="J127" i="10"/>
  <c r="H124" i="10"/>
  <c r="F121" i="10"/>
  <c r="D118" i="10"/>
  <c r="L147" i="10"/>
  <c r="J144" i="10"/>
  <c r="H141" i="10"/>
  <c r="F167" i="10"/>
  <c r="D164" i="10"/>
  <c r="I114" i="10"/>
  <c r="C134" i="10"/>
  <c r="K130" i="10"/>
  <c r="I127" i="10"/>
  <c r="G124" i="10"/>
  <c r="C118" i="10"/>
  <c r="K147" i="10"/>
  <c r="I144" i="10"/>
  <c r="G141" i="10"/>
  <c r="C164" i="10"/>
  <c r="B129" i="10"/>
  <c r="B162" i="10"/>
  <c r="B117" i="10"/>
  <c r="B150" i="10"/>
  <c r="B125" i="10"/>
  <c r="B158" i="10"/>
  <c r="B131" i="10"/>
  <c r="B164" i="10"/>
  <c r="B160" i="10"/>
  <c r="B127" i="10"/>
  <c r="B159" i="10"/>
  <c r="B126" i="10"/>
  <c r="B148" i="10"/>
  <c r="B115" i="10"/>
  <c r="B149" i="10"/>
  <c r="B116" i="10"/>
  <c r="B130" i="10"/>
  <c r="B163" i="10"/>
  <c r="B161" i="10"/>
  <c r="B128" i="10"/>
  <c r="B118" i="10"/>
  <c r="B151" i="10"/>
  <c r="B138" i="10"/>
  <c r="I138" i="10"/>
  <c r="J138" i="10"/>
  <c r="K138" i="10"/>
  <c r="P28" i="10"/>
  <c r="P27" i="10"/>
  <c r="P26" i="10"/>
  <c r="G138" i="10"/>
  <c r="AL72" i="10" s="1"/>
  <c r="P22" i="10"/>
  <c r="P25" i="10"/>
  <c r="G105" i="10"/>
  <c r="B157" i="10"/>
  <c r="L138" i="10"/>
  <c r="C138" i="10"/>
  <c r="H105" i="10"/>
  <c r="B156" i="10"/>
  <c r="D138" i="10"/>
  <c r="I105" i="10"/>
  <c r="B155" i="10"/>
  <c r="J105" i="10"/>
  <c r="B154" i="10"/>
  <c r="B153" i="10"/>
  <c r="P19" i="10"/>
  <c r="B152" i="10"/>
  <c r="C105" i="10"/>
  <c r="D105" i="10"/>
  <c r="F138" i="10"/>
  <c r="L105" i="10"/>
  <c r="K105" i="10"/>
  <c r="AT30" i="15" l="1"/>
  <c r="BF30" i="15"/>
  <c r="BD17" i="15"/>
  <c r="AX17" i="15"/>
  <c r="AS17" i="15"/>
  <c r="BK6" i="15"/>
  <c r="BD29" i="15"/>
  <c r="BJ25" i="15"/>
  <c r="AQ13" i="15"/>
  <c r="AU14" i="15"/>
  <c r="BH24" i="15"/>
  <c r="BB26" i="15"/>
  <c r="BG25" i="15"/>
  <c r="BH14" i="15"/>
  <c r="BA12" i="15"/>
  <c r="AZ17" i="15"/>
  <c r="AK33" i="15"/>
  <c r="AJ19" i="15"/>
  <c r="AO32" i="15"/>
  <c r="AO23" i="15"/>
  <c r="AN20" i="15"/>
  <c r="AM19" i="15"/>
  <c r="AL32" i="15"/>
  <c r="AY10" i="15"/>
  <c r="AS31" i="15"/>
  <c r="BK30" i="15"/>
  <c r="BK35" i="15"/>
  <c r="AX24" i="15"/>
  <c r="BD28" i="15"/>
  <c r="AQ33" i="15"/>
  <c r="BD13" i="15"/>
  <c r="AW29" i="15"/>
  <c r="AP34" i="15"/>
  <c r="AX19" i="15"/>
  <c r="AH29" i="15"/>
  <c r="AI33" i="15"/>
  <c r="AT29" i="15"/>
  <c r="AU6" i="15"/>
  <c r="AU21" i="15"/>
  <c r="AH34" i="15"/>
  <c r="AH7" i="15"/>
  <c r="AV11" i="15"/>
  <c r="BH17" i="15"/>
  <c r="BG12" i="15"/>
  <c r="BA22" i="15"/>
  <c r="AZ23" i="15"/>
  <c r="AK17" i="15"/>
  <c r="AN19" i="15"/>
  <c r="AM34" i="15"/>
  <c r="AM12" i="15"/>
  <c r="AL34" i="15"/>
  <c r="AU8" i="15"/>
  <c r="AY27" i="15"/>
  <c r="AS33" i="15"/>
  <c r="BK32" i="15"/>
  <c r="AR9" i="15"/>
  <c r="AR20" i="15"/>
  <c r="AX21" i="15"/>
  <c r="BD26" i="15"/>
  <c r="BC32" i="15"/>
  <c r="BJ22" i="15"/>
  <c r="AQ28" i="15"/>
  <c r="BC10" i="15"/>
  <c r="AP7" i="15"/>
  <c r="AX13" i="15"/>
  <c r="BJ21" i="15"/>
  <c r="BE34" i="15"/>
  <c r="AI26" i="15"/>
  <c r="AT16" i="15"/>
  <c r="AH22" i="15"/>
  <c r="BH20" i="15"/>
  <c r="AV18" i="15"/>
  <c r="BB10" i="15"/>
  <c r="BG22" i="15"/>
  <c r="BA19" i="15"/>
  <c r="BH23" i="15"/>
  <c r="AZ19" i="15"/>
  <c r="AK22" i="15"/>
  <c r="AK9" i="15"/>
  <c r="AJ23" i="15"/>
  <c r="AJ18" i="15"/>
  <c r="AO22" i="15"/>
  <c r="AN18" i="15"/>
  <c r="AL18" i="15"/>
  <c r="AS35" i="15"/>
  <c r="BK34" i="15"/>
  <c r="AX7" i="15"/>
  <c r="AW17" i="15"/>
  <c r="BJ19" i="15"/>
  <c r="AQ27" i="15"/>
  <c r="AW28" i="15"/>
  <c r="AP14" i="15"/>
  <c r="AW10" i="15"/>
  <c r="BE12" i="15"/>
  <c r="AI9" i="15"/>
  <c r="AT13" i="15"/>
  <c r="AT28" i="15"/>
  <c r="AU9" i="15"/>
  <c r="BF14" i="15"/>
  <c r="AH14" i="15"/>
  <c r="BB13" i="15"/>
  <c r="BG19" i="15"/>
  <c r="BA27" i="15"/>
  <c r="AQ11" i="15"/>
  <c r="AZ8" i="15"/>
  <c r="AK7" i="15"/>
  <c r="AK26" i="15"/>
  <c r="AO21" i="15"/>
  <c r="AN8" i="15"/>
  <c r="AL29" i="15"/>
  <c r="AY26" i="15"/>
  <c r="AS30" i="15"/>
  <c r="AK21" i="15"/>
  <c r="AX18" i="15"/>
  <c r="AR16" i="15"/>
  <c r="AR19" i="15"/>
  <c r="AX14" i="15"/>
  <c r="BD23" i="15"/>
  <c r="BJ27" i="15"/>
  <c r="AW27" i="15"/>
  <c r="BE22" i="15"/>
  <c r="AI22" i="15"/>
  <c r="AU12" i="15"/>
  <c r="AU10" i="15"/>
  <c r="BF10" i="15"/>
  <c r="AH24" i="15"/>
  <c r="AV7" i="15"/>
  <c r="BB20" i="15"/>
  <c r="BG27" i="15"/>
  <c r="BA8" i="15"/>
  <c r="BH13" i="15"/>
  <c r="AJ17" i="15"/>
  <c r="AN16" i="15"/>
  <c r="AL10" i="15"/>
  <c r="AY20" i="15"/>
  <c r="AS22" i="15"/>
  <c r="AS29" i="15"/>
  <c r="AR22" i="15"/>
  <c r="AR12" i="15"/>
  <c r="AX35" i="15"/>
  <c r="BD12" i="15"/>
  <c r="AQ26" i="15"/>
  <c r="BC18" i="15"/>
  <c r="BE19" i="15"/>
  <c r="AI23" i="15"/>
  <c r="AT23" i="15"/>
  <c r="AT27" i="15"/>
  <c r="AU15" i="15"/>
  <c r="AU17" i="15"/>
  <c r="BI24" i="15"/>
  <c r="BF6" i="15"/>
  <c r="AH6" i="15"/>
  <c r="AV14" i="15"/>
  <c r="BB25" i="15"/>
  <c r="AZ15" i="15"/>
  <c r="AK35" i="15"/>
  <c r="AJ27" i="15"/>
  <c r="AO11" i="15"/>
  <c r="AO20" i="15"/>
  <c r="AN11" i="15"/>
  <c r="AM29" i="15"/>
  <c r="AL15" i="15"/>
  <c r="AY17" i="15"/>
  <c r="AY24" i="15"/>
  <c r="AS16" i="15"/>
  <c r="BG30" i="15"/>
  <c r="BK20" i="15"/>
  <c r="AR11" i="15"/>
  <c r="AX34" i="15"/>
  <c r="BD22" i="15"/>
  <c r="BJ13" i="15"/>
  <c r="AW25" i="15"/>
  <c r="BI18" i="15"/>
  <c r="AP29" i="15"/>
  <c r="BE21" i="15"/>
  <c r="BE27" i="15"/>
  <c r="AI7" i="15"/>
  <c r="AI28" i="15"/>
  <c r="AT26" i="15"/>
  <c r="AU35" i="15"/>
  <c r="BF17" i="15"/>
  <c r="AH21" i="15"/>
  <c r="BI17" i="15"/>
  <c r="BB12" i="15"/>
  <c r="BA6" i="15"/>
  <c r="BA15" i="15"/>
  <c r="AZ11" i="15"/>
  <c r="AK30" i="15"/>
  <c r="AJ32" i="15"/>
  <c r="AJ15" i="15"/>
  <c r="AO28" i="15"/>
  <c r="AO19" i="15"/>
  <c r="AN28" i="15"/>
  <c r="AN15" i="15"/>
  <c r="AM10" i="15"/>
  <c r="AL24" i="15"/>
  <c r="AY28" i="15"/>
  <c r="AY23" i="15"/>
  <c r="AS19" i="15"/>
  <c r="AS28" i="15"/>
  <c r="AP17" i="15"/>
  <c r="BF31" i="15"/>
  <c r="AS15" i="15"/>
  <c r="BK28" i="15"/>
  <c r="AI31" i="15"/>
  <c r="AY29" i="15"/>
  <c r="AR17" i="15"/>
  <c r="AR18" i="15"/>
  <c r="BD33" i="15"/>
  <c r="BD19" i="15"/>
  <c r="AQ25" i="15"/>
  <c r="AW6" i="15"/>
  <c r="BI26" i="15"/>
  <c r="AP10" i="15"/>
  <c r="BI21" i="15"/>
  <c r="AU32" i="15"/>
  <c r="BF28" i="15"/>
  <c r="AH31" i="15"/>
  <c r="AV6" i="15"/>
  <c r="AV35" i="15"/>
  <c r="BB22" i="15"/>
  <c r="BA24" i="15"/>
  <c r="BH21" i="15"/>
  <c r="AZ29" i="15"/>
  <c r="AJ14" i="15"/>
  <c r="AO30" i="15"/>
  <c r="AN12" i="15"/>
  <c r="AM24" i="15"/>
  <c r="AS13" i="15"/>
  <c r="AV15" i="15"/>
  <c r="BD20" i="15"/>
  <c r="AX33" i="15"/>
  <c r="BD27" i="15"/>
  <c r="BJ12" i="15"/>
  <c r="AW23" i="15"/>
  <c r="AW24" i="15"/>
  <c r="BC6" i="15"/>
  <c r="BI28" i="15"/>
  <c r="BJ31" i="15"/>
  <c r="BD30" i="15"/>
  <c r="AR15" i="15"/>
  <c r="BE18" i="15"/>
  <c r="AI18" i="15"/>
  <c r="AT32" i="15"/>
  <c r="AT25" i="15"/>
  <c r="AU31" i="15"/>
  <c r="BF16" i="15"/>
  <c r="AH33" i="15"/>
  <c r="AV25" i="15"/>
  <c r="AV10" i="15"/>
  <c r="BB19" i="15"/>
  <c r="BA11" i="15"/>
  <c r="BG11" i="15"/>
  <c r="BH16" i="15"/>
  <c r="AZ18" i="15"/>
  <c r="AK23" i="15"/>
  <c r="AK20" i="15"/>
  <c r="AJ20" i="15"/>
  <c r="AO8" i="15"/>
  <c r="AO17" i="15"/>
  <c r="AN34" i="15"/>
  <c r="AN13" i="15"/>
  <c r="AM31" i="15"/>
  <c r="AL30" i="15"/>
  <c r="AL35" i="15"/>
  <c r="AS27" i="15"/>
  <c r="AR7" i="15"/>
  <c r="AQ8" i="15"/>
  <c r="AX20" i="15"/>
  <c r="AQ24" i="15"/>
  <c r="AW13" i="15"/>
  <c r="BC35" i="15"/>
  <c r="BI9" i="15"/>
  <c r="AP31" i="15"/>
  <c r="BK26" i="15"/>
  <c r="AW26" i="15"/>
  <c r="AQ12" i="15"/>
  <c r="AT24" i="15"/>
  <c r="BF25" i="15"/>
  <c r="AV33" i="15"/>
  <c r="BG18" i="15"/>
  <c r="BA18" i="15"/>
  <c r="BH25" i="15"/>
  <c r="AZ6" i="15"/>
  <c r="AZ21" i="15"/>
  <c r="AJ28" i="15"/>
  <c r="AJ12" i="15"/>
  <c r="AO7" i="15"/>
  <c r="AN27" i="15"/>
  <c r="AM35" i="15"/>
  <c r="AL6" i="15"/>
  <c r="BK16" i="15"/>
  <c r="AR14" i="15"/>
  <c r="AX32" i="15"/>
  <c r="BJ11" i="15"/>
  <c r="AQ23" i="15"/>
  <c r="AW20" i="15"/>
  <c r="AW22" i="15"/>
  <c r="BI32" i="15"/>
  <c r="AP6" i="15"/>
  <c r="AW19" i="15"/>
  <c r="BK15" i="15"/>
  <c r="AQ9" i="15"/>
  <c r="AI17" i="15"/>
  <c r="AU19" i="15"/>
  <c r="AU30" i="15"/>
  <c r="BF12" i="15"/>
  <c r="AV32" i="15"/>
  <c r="BG15" i="15"/>
  <c r="BA9" i="15"/>
  <c r="BA21" i="15"/>
  <c r="BF11" i="15"/>
  <c r="BH12" i="15"/>
  <c r="AK19" i="15"/>
  <c r="AO18" i="15"/>
  <c r="AO16" i="15"/>
  <c r="AN14" i="15"/>
  <c r="AL33" i="15"/>
  <c r="AY8" i="15"/>
  <c r="AS26" i="15"/>
  <c r="BK25" i="15"/>
  <c r="AR21" i="15"/>
  <c r="AW16" i="15"/>
  <c r="AW21" i="15"/>
  <c r="BC34" i="15"/>
  <c r="AP33" i="15"/>
  <c r="AX16" i="15"/>
  <c r="AX12" i="15"/>
  <c r="AT33" i="15"/>
  <c r="AT22" i="15"/>
  <c r="BF22" i="15"/>
  <c r="AV9" i="15"/>
  <c r="BG29" i="15"/>
  <c r="BA7" i="15"/>
  <c r="BH22" i="15"/>
  <c r="AZ7" i="15"/>
  <c r="AJ11" i="15"/>
  <c r="AO27" i="15"/>
  <c r="AM25" i="15"/>
  <c r="AM6" i="15"/>
  <c r="AL9" i="15"/>
  <c r="AY15" i="15"/>
  <c r="AS25" i="15"/>
  <c r="BK8" i="15"/>
  <c r="AX31" i="15"/>
  <c r="BD8" i="15"/>
  <c r="BJ9" i="15"/>
  <c r="AQ22" i="15"/>
  <c r="AW15" i="15"/>
  <c r="BC13" i="15"/>
  <c r="BC33" i="15"/>
  <c r="BI16" i="15"/>
  <c r="AP13" i="15"/>
  <c r="BI6" i="15"/>
  <c r="BE15" i="15"/>
  <c r="AI16" i="15"/>
  <c r="AU16" i="15"/>
  <c r="AU29" i="15"/>
  <c r="BF21" i="15"/>
  <c r="BF19" i="15"/>
  <c r="AV12" i="15"/>
  <c r="AV31" i="15"/>
  <c r="BB6" i="15"/>
  <c r="BH8" i="15"/>
  <c r="AZ14" i="15"/>
  <c r="AK18" i="15"/>
  <c r="AO14" i="15"/>
  <c r="AM33" i="15"/>
  <c r="AL26" i="15"/>
  <c r="AY11" i="15"/>
  <c r="BK22" i="15"/>
  <c r="AX30" i="15"/>
  <c r="BJ8" i="15"/>
  <c r="AQ21" i="15"/>
  <c r="BI25" i="15"/>
  <c r="AP35" i="15"/>
  <c r="BE24" i="15"/>
  <c r="AI32" i="15"/>
  <c r="AT21" i="15"/>
  <c r="AU13" i="15"/>
  <c r="BF27" i="15"/>
  <c r="AH18" i="15"/>
  <c r="AH26" i="15"/>
  <c r="BG10" i="15"/>
  <c r="BA35" i="15"/>
  <c r="BH19" i="15"/>
  <c r="AZ9" i="15"/>
  <c r="AJ9" i="15"/>
  <c r="AN9" i="15"/>
  <c r="AM30" i="15"/>
  <c r="AM13" i="15"/>
  <c r="AL31" i="15"/>
  <c r="AS24" i="15"/>
  <c r="BH32" i="15"/>
  <c r="BK19" i="15"/>
  <c r="AR10" i="15"/>
  <c r="BK23" i="15"/>
  <c r="BD15" i="15"/>
  <c r="BJ6" i="15"/>
  <c r="AW11" i="15"/>
  <c r="BC31" i="15"/>
  <c r="BI22" i="15"/>
  <c r="AP32" i="15"/>
  <c r="BI31" i="15"/>
  <c r="BE11" i="15"/>
  <c r="AI14" i="15"/>
  <c r="AU28" i="15"/>
  <c r="BF18" i="15"/>
  <c r="BF15" i="15"/>
  <c r="AH30" i="15"/>
  <c r="AH23" i="15"/>
  <c r="AV30" i="15"/>
  <c r="BB8" i="15"/>
  <c r="BG26" i="15"/>
  <c r="BH27" i="15"/>
  <c r="AZ26" i="15"/>
  <c r="AZ35" i="15"/>
  <c r="AK8" i="15"/>
  <c r="AK16" i="15"/>
  <c r="AJ8" i="15"/>
  <c r="AL7" i="15"/>
  <c r="AL22" i="15"/>
  <c r="AS23" i="15"/>
  <c r="BA20" i="15"/>
  <c r="BK27" i="15"/>
  <c r="AR35" i="15"/>
  <c r="BC20" i="15"/>
  <c r="AX29" i="15"/>
  <c r="BD24" i="15"/>
  <c r="AQ19" i="15"/>
  <c r="BI19" i="15"/>
  <c r="AP27" i="15"/>
  <c r="BD9" i="15"/>
  <c r="AQ15" i="15"/>
  <c r="AI20" i="15"/>
  <c r="AI13" i="15"/>
  <c r="AT20" i="15"/>
  <c r="AT19" i="15"/>
  <c r="AU27" i="15"/>
  <c r="BF29" i="15"/>
  <c r="AH20" i="15"/>
  <c r="BB15" i="15"/>
  <c r="BG9" i="15"/>
  <c r="BA34" i="15"/>
  <c r="BH15" i="15"/>
  <c r="AK28" i="15"/>
  <c r="AK15" i="15"/>
  <c r="AJ30" i="15"/>
  <c r="AN29" i="15"/>
  <c r="AM16" i="15"/>
  <c r="AM9" i="15"/>
  <c r="AJ7" i="15"/>
  <c r="AP30" i="15"/>
  <c r="AR31" i="15"/>
  <c r="BI13" i="15"/>
  <c r="AX28" i="15"/>
  <c r="BD11" i="15"/>
  <c r="BJ35" i="15"/>
  <c r="BC30" i="15"/>
  <c r="BI27" i="15"/>
  <c r="AP26" i="15"/>
  <c r="AR30" i="15"/>
  <c r="AP12" i="15"/>
  <c r="BE9" i="15"/>
  <c r="BE8" i="15"/>
  <c r="BF24" i="15"/>
  <c r="AH28" i="15"/>
  <c r="AV22" i="15"/>
  <c r="AV29" i="15"/>
  <c r="BB24" i="15"/>
  <c r="BA33" i="15"/>
  <c r="BH18" i="15"/>
  <c r="BH29" i="15"/>
  <c r="AZ12" i="15"/>
  <c r="AZ34" i="15"/>
  <c r="AJ34" i="15"/>
  <c r="AO29" i="15"/>
  <c r="AN10" i="15"/>
  <c r="AM26" i="15"/>
  <c r="AL21" i="15"/>
  <c r="AS21" i="15"/>
  <c r="BC16" i="15"/>
  <c r="AR33" i="15"/>
  <c r="AP8" i="15"/>
  <c r="BJ34" i="15"/>
  <c r="AQ18" i="15"/>
  <c r="BI15" i="15"/>
  <c r="BC9" i="15"/>
  <c r="BK18" i="15"/>
  <c r="AP9" i="15"/>
  <c r="AI11" i="15"/>
  <c r="AU26" i="15"/>
  <c r="AH35" i="15"/>
  <c r="AV28" i="15"/>
  <c r="BB9" i="15"/>
  <c r="BB11" i="15"/>
  <c r="BG8" i="15"/>
  <c r="BA16" i="15"/>
  <c r="AZ22" i="15"/>
  <c r="AK11" i="15"/>
  <c r="AK13" i="15"/>
  <c r="AJ10" i="15"/>
  <c r="AN25" i="15"/>
  <c r="AN31" i="15"/>
  <c r="AM32" i="15"/>
  <c r="AY6" i="15"/>
  <c r="AY18" i="15"/>
  <c r="AY30" i="15"/>
  <c r="AX26" i="15"/>
  <c r="BJ18" i="15"/>
  <c r="AQ32" i="15"/>
  <c r="BC28" i="15"/>
  <c r="BI29" i="15"/>
  <c r="AP25" i="15"/>
  <c r="BJ15" i="15"/>
  <c r="BE7" i="15"/>
  <c r="AT34" i="15"/>
  <c r="AU25" i="15"/>
  <c r="BF9" i="15"/>
  <c r="AH19" i="15"/>
  <c r="AH27" i="15"/>
  <c r="BB31" i="15"/>
  <c r="BB18" i="15"/>
  <c r="BG7" i="15"/>
  <c r="BG6" i="15"/>
  <c r="BA23" i="15"/>
  <c r="BA32" i="15"/>
  <c r="BH11" i="15"/>
  <c r="AZ33" i="15"/>
  <c r="AJ24" i="15"/>
  <c r="AO10" i="15"/>
  <c r="AN35" i="15"/>
  <c r="AM7" i="15"/>
  <c r="AM23" i="15"/>
  <c r="AL23" i="15"/>
  <c r="AL20" i="15"/>
  <c r="AY25" i="15"/>
  <c r="AY21" i="15"/>
  <c r="AS20" i="15"/>
  <c r="BK21" i="15"/>
  <c r="AU24" i="15"/>
  <c r="AY13" i="15"/>
  <c r="AR23" i="15"/>
  <c r="AP16" i="15"/>
  <c r="BE16" i="15"/>
  <c r="BF13" i="15"/>
  <c r="BG16" i="15"/>
  <c r="BG14" i="15"/>
  <c r="AN21" i="15"/>
  <c r="AI35" i="15"/>
  <c r="AR6" i="15"/>
  <c r="BD18" i="15"/>
  <c r="BJ14" i="15"/>
  <c r="AQ34" i="15"/>
  <c r="AQ16" i="15"/>
  <c r="AW18" i="15"/>
  <c r="BC12" i="15"/>
  <c r="BC27" i="15"/>
  <c r="AW12" i="15"/>
  <c r="AI10" i="15"/>
  <c r="AT11" i="15"/>
  <c r="AU33" i="15"/>
  <c r="AV19" i="15"/>
  <c r="AV27" i="15"/>
  <c r="BB21" i="15"/>
  <c r="BA31" i="15"/>
  <c r="AZ32" i="15"/>
  <c r="AK12" i="15"/>
  <c r="AJ6" i="15"/>
  <c r="AO9" i="15"/>
  <c r="AO31" i="15"/>
  <c r="AN30" i="15"/>
  <c r="AN6" i="15"/>
  <c r="AY7" i="15"/>
  <c r="AM14" i="15"/>
  <c r="BJ33" i="15"/>
  <c r="AR34" i="15"/>
  <c r="AX25" i="15"/>
  <c r="BJ10" i="15"/>
  <c r="AW7" i="15"/>
  <c r="BC22" i="15"/>
  <c r="BI12" i="15"/>
  <c r="AP24" i="15"/>
  <c r="AW9" i="15"/>
  <c r="BE6" i="15"/>
  <c r="AI30" i="15"/>
  <c r="AU23" i="15"/>
  <c r="BF26" i="15"/>
  <c r="BF8" i="15"/>
  <c r="AH17" i="15"/>
  <c r="AV26" i="15"/>
  <c r="BG35" i="15"/>
  <c r="BH10" i="15"/>
  <c r="AK25" i="15"/>
  <c r="AJ21" i="15"/>
  <c r="AO12" i="15"/>
  <c r="AO6" i="15"/>
  <c r="AN17" i="15"/>
  <c r="AM27" i="15"/>
  <c r="AM22" i="15"/>
  <c r="AL27" i="15"/>
  <c r="AL19" i="15"/>
  <c r="AY9" i="15"/>
  <c r="AY14" i="15"/>
  <c r="AS9" i="15"/>
  <c r="AS18" i="15"/>
  <c r="BC17" i="15"/>
  <c r="AR29" i="15"/>
  <c r="BD7" i="15"/>
  <c r="BJ26" i="15"/>
  <c r="AQ7" i="15"/>
  <c r="AR32" i="15"/>
  <c r="AW14" i="15"/>
  <c r="BC19" i="15"/>
  <c r="BE13" i="15"/>
  <c r="BE35" i="15"/>
  <c r="AI34" i="15"/>
  <c r="AI8" i="15"/>
  <c r="BB35" i="15"/>
  <c r="BA29" i="15"/>
  <c r="BH30" i="15"/>
  <c r="AZ31" i="15"/>
  <c r="AK32" i="15"/>
  <c r="AK10" i="15"/>
  <c r="AJ31" i="15"/>
  <c r="AO15" i="15"/>
  <c r="AO33" i="15"/>
  <c r="AN26" i="15"/>
  <c r="AY35" i="15"/>
  <c r="AS12" i="15"/>
  <c r="AW31" i="15"/>
  <c r="BI33" i="15"/>
  <c r="AI25" i="15"/>
  <c r="AQ6" i="15"/>
  <c r="AH8" i="15"/>
  <c r="BE25" i="15"/>
  <c r="AR8" i="15"/>
  <c r="BK14" i="15"/>
  <c r="AR28" i="15"/>
  <c r="AX23" i="15"/>
  <c r="BJ23" i="15"/>
  <c r="AQ14" i="15"/>
  <c r="BD16" i="15"/>
  <c r="BI11" i="15"/>
  <c r="AP23" i="15"/>
  <c r="BK29" i="15"/>
  <c r="BE10" i="15"/>
  <c r="AI19" i="15"/>
  <c r="AU34" i="15"/>
  <c r="AU22" i="15"/>
  <c r="BF7" i="15"/>
  <c r="AH16" i="15"/>
  <c r="AV24" i="15"/>
  <c r="BB7" i="15"/>
  <c r="BB34" i="15"/>
  <c r="BG23" i="15"/>
  <c r="BG34" i="15"/>
  <c r="BH31" i="15"/>
  <c r="BH9" i="15"/>
  <c r="AZ16" i="15"/>
  <c r="AZ30" i="15"/>
  <c r="AK34" i="15"/>
  <c r="AJ35" i="15"/>
  <c r="AO13" i="15"/>
  <c r="AM21" i="15"/>
  <c r="AL17" i="15"/>
  <c r="AS32" i="15"/>
  <c r="BD31" i="15"/>
  <c r="BC24" i="15"/>
  <c r="BE23" i="15"/>
  <c r="AI21" i="15"/>
  <c r="AT31" i="15"/>
  <c r="BC23" i="15"/>
  <c r="AV34" i="15"/>
  <c r="AL25" i="15"/>
  <c r="AI12" i="15"/>
  <c r="AX22" i="15"/>
  <c r="BD6" i="15"/>
  <c r="BJ20" i="15"/>
  <c r="BD10" i="15"/>
  <c r="AP22" i="15"/>
  <c r="AR13" i="15"/>
  <c r="BD21" i="15"/>
  <c r="BE33" i="15"/>
  <c r="AI15" i="15"/>
  <c r="AT18" i="15"/>
  <c r="BF35" i="15"/>
  <c r="AH32" i="15"/>
  <c r="AV17" i="15"/>
  <c r="BB16" i="15"/>
  <c r="BG33" i="15"/>
  <c r="BA28" i="15"/>
  <c r="BH7" i="15"/>
  <c r="AZ13" i="15"/>
  <c r="AP11" i="15"/>
  <c r="AK27" i="15"/>
  <c r="AJ25" i="15"/>
  <c r="AJ33" i="15"/>
  <c r="AM8" i="15"/>
  <c r="AL8" i="15"/>
  <c r="AL16" i="15"/>
  <c r="AY12" i="15"/>
  <c r="AY34" i="15"/>
  <c r="AS34" i="15"/>
  <c r="AW30" i="15"/>
  <c r="BK13" i="15"/>
  <c r="AR27" i="15"/>
  <c r="AX6" i="15"/>
  <c r="AP28" i="15"/>
  <c r="BJ30" i="15"/>
  <c r="AQ29" i="15"/>
  <c r="AW35" i="15"/>
  <c r="BI10" i="15"/>
  <c r="AQ30" i="15"/>
  <c r="BK17" i="15"/>
  <c r="AI27" i="15"/>
  <c r="AT6" i="15"/>
  <c r="AT7" i="15"/>
  <c r="BH28" i="15"/>
  <c r="AU11" i="15"/>
  <c r="AU20" i="15"/>
  <c r="AH15" i="15"/>
  <c r="AV23" i="15"/>
  <c r="BB23" i="15"/>
  <c r="BB33" i="15"/>
  <c r="BG13" i="15"/>
  <c r="BA14" i="15"/>
  <c r="BH6" i="15"/>
  <c r="AZ10" i="15"/>
  <c r="AZ28" i="15"/>
  <c r="AN33" i="15"/>
  <c r="AM28" i="15"/>
  <c r="AM20" i="15"/>
  <c r="AL28" i="15"/>
  <c r="AY22" i="15"/>
  <c r="AJ29" i="15"/>
  <c r="AX9" i="15"/>
  <c r="BI23" i="15"/>
  <c r="BD35" i="15"/>
  <c r="BJ32" i="15"/>
  <c r="AW34" i="15"/>
  <c r="BI8" i="15"/>
  <c r="AP21" i="15"/>
  <c r="BD25" i="15"/>
  <c r="BE20" i="15"/>
  <c r="BE32" i="15"/>
  <c r="AI29" i="15"/>
  <c r="AT14" i="15"/>
  <c r="BF34" i="15"/>
  <c r="BB32" i="15"/>
  <c r="BG32" i="15"/>
  <c r="BA26" i="15"/>
  <c r="BH26" i="15"/>
  <c r="AK14" i="15"/>
  <c r="AO35" i="15"/>
  <c r="AN24" i="15"/>
  <c r="AL14" i="15"/>
  <c r="AY33" i="15"/>
  <c r="AS8" i="15"/>
  <c r="AS11" i="15"/>
  <c r="AP15" i="15"/>
  <c r="BK12" i="15"/>
  <c r="AR26" i="15"/>
  <c r="AX8" i="15"/>
  <c r="BD34" i="15"/>
  <c r="AQ10" i="15"/>
  <c r="AW33" i="15"/>
  <c r="BI7" i="15"/>
  <c r="AP20" i="15"/>
  <c r="BI30" i="15"/>
  <c r="BE14" i="15"/>
  <c r="BE31" i="15"/>
  <c r="AI24" i="15"/>
  <c r="AT10" i="15"/>
  <c r="AH25" i="15"/>
  <c r="AH13" i="15"/>
  <c r="AV21" i="15"/>
  <c r="BB17" i="15"/>
  <c r="BG31" i="15"/>
  <c r="BA25" i="15"/>
  <c r="BH35" i="15"/>
  <c r="AZ27" i="15"/>
  <c r="AK29" i="15"/>
  <c r="AO34" i="15"/>
  <c r="AM11" i="15"/>
  <c r="AM18" i="15"/>
  <c r="AS7" i="15"/>
  <c r="BK33" i="15"/>
  <c r="BK11" i="15"/>
  <c r="AS10" i="15"/>
  <c r="AX11" i="15"/>
  <c r="AY19" i="15"/>
  <c r="AX15" i="15"/>
  <c r="AQ35" i="15"/>
  <c r="BC8" i="15"/>
  <c r="BI35" i="15"/>
  <c r="BC26" i="15"/>
  <c r="BE26" i="15"/>
  <c r="AT9" i="15"/>
  <c r="AT35" i="15"/>
  <c r="BF33" i="15"/>
  <c r="AH12" i="15"/>
  <c r="AV20" i="15"/>
  <c r="BB28" i="15"/>
  <c r="BB30" i="15"/>
  <c r="BG24" i="15"/>
  <c r="BA10" i="15"/>
  <c r="BH34" i="15"/>
  <c r="AK24" i="15"/>
  <c r="AO26" i="15"/>
  <c r="AN7" i="15"/>
  <c r="AN23" i="15"/>
  <c r="AM17" i="15"/>
  <c r="AL13" i="15"/>
  <c r="AY32" i="15"/>
  <c r="AS6" i="15"/>
  <c r="BK7" i="15"/>
  <c r="BJ16" i="15"/>
  <c r="BC11" i="15"/>
  <c r="AU7" i="15"/>
  <c r="AH9" i="15"/>
  <c r="BB27" i="15"/>
  <c r="BA30" i="15"/>
  <c r="AK31" i="15"/>
  <c r="AN32" i="15"/>
  <c r="BK24" i="15"/>
  <c r="BK10" i="15"/>
  <c r="AR25" i="15"/>
  <c r="AX27" i="15"/>
  <c r="BD32" i="15"/>
  <c r="AQ17" i="15"/>
  <c r="AW32" i="15"/>
  <c r="BC15" i="15"/>
  <c r="AX10" i="15"/>
  <c r="AP18" i="15"/>
  <c r="AP19" i="15"/>
  <c r="BE17" i="15"/>
  <c r="BE30" i="15"/>
  <c r="AT12" i="15"/>
  <c r="AU18" i="15"/>
  <c r="BJ7" i="15"/>
  <c r="BF32" i="15"/>
  <c r="AV13" i="15"/>
  <c r="BG20" i="15"/>
  <c r="BG28" i="15"/>
  <c r="BA17" i="15"/>
  <c r="AZ25" i="15"/>
  <c r="AJ22" i="15"/>
  <c r="AJ13" i="15"/>
  <c r="AO25" i="15"/>
  <c r="AY31" i="15"/>
  <c r="BJ29" i="15"/>
  <c r="AS14" i="15"/>
  <c r="AO24" i="15"/>
  <c r="BK31" i="15"/>
  <c r="BK9" i="15"/>
  <c r="AR24" i="15"/>
  <c r="AQ31" i="15"/>
  <c r="BC29" i="15"/>
  <c r="BI34" i="15"/>
  <c r="BC25" i="15"/>
  <c r="BC21" i="15"/>
  <c r="BE28" i="15"/>
  <c r="BE29" i="15"/>
  <c r="AI6" i="15"/>
  <c r="AT15" i="15"/>
  <c r="AT17" i="15"/>
  <c r="BF23" i="15"/>
  <c r="AH11" i="15"/>
  <c r="AH10" i="15"/>
  <c r="AV16" i="15"/>
  <c r="BB14" i="15"/>
  <c r="BB29" i="15"/>
  <c r="BG21" i="15"/>
  <c r="BA13" i="15"/>
  <c r="BH33" i="15"/>
  <c r="AZ20" i="15"/>
  <c r="AZ24" i="15"/>
  <c r="AK6" i="15"/>
  <c r="AJ16" i="15"/>
  <c r="AJ26" i="15"/>
  <c r="AN22" i="15"/>
  <c r="AM15" i="15"/>
  <c r="AL12" i="15"/>
  <c r="AL11" i="15"/>
  <c r="AY16" i="15"/>
  <c r="BK29" i="14"/>
  <c r="AV6" i="14"/>
  <c r="AZ6" i="14"/>
  <c r="AW13" i="14"/>
  <c r="BG28" i="14"/>
  <c r="AV35" i="14"/>
  <c r="BA20" i="14"/>
  <c r="AJ32" i="14"/>
  <c r="AN24" i="14"/>
  <c r="AH21" i="14"/>
  <c r="AJ9" i="14"/>
  <c r="AU7" i="14"/>
  <c r="AY17" i="14"/>
  <c r="BF6" i="14"/>
  <c r="BK21" i="14"/>
  <c r="BJ33" i="14"/>
  <c r="AP27" i="14"/>
  <c r="AV31" i="14"/>
  <c r="AH19" i="14"/>
  <c r="BC14" i="14"/>
  <c r="BC34" i="14"/>
  <c r="AT23" i="14"/>
  <c r="AY12" i="14"/>
  <c r="AN22" i="14"/>
  <c r="AQ33" i="14"/>
  <c r="BA13" i="14"/>
  <c r="AS29" i="14"/>
  <c r="AO28" i="14"/>
  <c r="BJ8" i="14"/>
  <c r="AJ28" i="14"/>
  <c r="AJ8" i="14"/>
  <c r="AP26" i="14"/>
  <c r="AI13" i="14"/>
  <c r="AU35" i="14"/>
  <c r="AH18" i="14"/>
  <c r="BC22" i="14"/>
  <c r="BD30" i="14"/>
  <c r="BB12" i="14"/>
  <c r="BE8" i="14"/>
  <c r="BG33" i="14"/>
  <c r="AZ12" i="14"/>
  <c r="AL21" i="14"/>
  <c r="AR23" i="14"/>
  <c r="BI8" i="14"/>
  <c r="AY11" i="14"/>
  <c r="AX7" i="14"/>
  <c r="BA7" i="14"/>
  <c r="BA11" i="14"/>
  <c r="AS28" i="14"/>
  <c r="AO27" i="14"/>
  <c r="AK16" i="14"/>
  <c r="AW7" i="14"/>
  <c r="BF35" i="14"/>
  <c r="BK20" i="14"/>
  <c r="BF27" i="14"/>
  <c r="AJ27" i="14"/>
  <c r="AW6" i="14"/>
  <c r="AP25" i="14"/>
  <c r="AV30" i="14"/>
  <c r="AI34" i="14"/>
  <c r="AY21" i="14"/>
  <c r="AU34" i="14"/>
  <c r="AH31" i="14"/>
  <c r="AH17" i="14"/>
  <c r="BC18" i="14"/>
  <c r="BC33" i="14"/>
  <c r="BD24" i="14"/>
  <c r="AT13" i="14"/>
  <c r="AT22" i="14"/>
  <c r="AM17" i="14"/>
  <c r="BG24" i="14"/>
  <c r="BH35" i="14"/>
  <c r="AZ10" i="14"/>
  <c r="AR12" i="14"/>
  <c r="BI28" i="14"/>
  <c r="AY9" i="14"/>
  <c r="AX6" i="14"/>
  <c r="AN21" i="14"/>
  <c r="AQ32" i="14"/>
  <c r="AO26" i="14"/>
  <c r="BK32" i="14"/>
  <c r="BK19" i="14"/>
  <c r="BJ7" i="14"/>
  <c r="AJ26" i="14"/>
  <c r="AW35" i="14"/>
  <c r="AI12" i="14"/>
  <c r="AU33" i="14"/>
  <c r="BD29" i="14"/>
  <c r="BB11" i="14"/>
  <c r="BE7" i="14"/>
  <c r="BG32" i="14"/>
  <c r="AL6" i="14"/>
  <c r="AL20" i="14"/>
  <c r="AR6" i="14"/>
  <c r="AR22" i="14"/>
  <c r="BI7" i="14"/>
  <c r="AX35" i="14"/>
  <c r="AQ31" i="14"/>
  <c r="BA10" i="14"/>
  <c r="AS27" i="14"/>
  <c r="AO25" i="14"/>
  <c r="AK15" i="14"/>
  <c r="BB18" i="14"/>
  <c r="BF34" i="14"/>
  <c r="BK18" i="14"/>
  <c r="BK31" i="14"/>
  <c r="AW34" i="14"/>
  <c r="AP24" i="14"/>
  <c r="AV7" i="14"/>
  <c r="AV29" i="14"/>
  <c r="AU32" i="14"/>
  <c r="AH16" i="14"/>
  <c r="BC32" i="14"/>
  <c r="BB10" i="14"/>
  <c r="BE27" i="14"/>
  <c r="AT21" i="14"/>
  <c r="AM10" i="14"/>
  <c r="AM16" i="14"/>
  <c r="BH29" i="14"/>
  <c r="BH34" i="14"/>
  <c r="AZ9" i="14"/>
  <c r="AL9" i="14"/>
  <c r="AR9" i="14"/>
  <c r="AY8" i="14"/>
  <c r="AX34" i="14"/>
  <c r="AN20" i="14"/>
  <c r="AQ11" i="14"/>
  <c r="AQ30" i="14"/>
  <c r="BA9" i="14"/>
  <c r="AO24" i="14"/>
  <c r="AK7" i="14"/>
  <c r="BC8" i="14"/>
  <c r="BJ32" i="14"/>
  <c r="BB26" i="14"/>
  <c r="AZ25" i="14"/>
  <c r="AH23" i="14"/>
  <c r="AQ16" i="14"/>
  <c r="AU13" i="14"/>
  <c r="AZ24" i="14"/>
  <c r="AS32" i="14"/>
  <c r="BH7" i="14"/>
  <c r="AQ15" i="14"/>
  <c r="AQ34" i="14"/>
  <c r="BK17" i="14"/>
  <c r="BK26" i="14"/>
  <c r="BJ6" i="14"/>
  <c r="AJ25" i="14"/>
  <c r="BI30" i="14"/>
  <c r="AW33" i="14"/>
  <c r="AP11" i="14"/>
  <c r="AV10" i="14"/>
  <c r="AI11" i="14"/>
  <c r="AU31" i="14"/>
  <c r="BC23" i="14"/>
  <c r="BD28" i="14"/>
  <c r="BB9" i="14"/>
  <c r="BE6" i="14"/>
  <c r="AM34" i="14"/>
  <c r="BG31" i="14"/>
  <c r="AZ8" i="14"/>
  <c r="AL19" i="14"/>
  <c r="AR21" i="14"/>
  <c r="BI6" i="14"/>
  <c r="AY7" i="14"/>
  <c r="AX17" i="14"/>
  <c r="AX33" i="14"/>
  <c r="AN6" i="14"/>
  <c r="AQ29" i="14"/>
  <c r="BA8" i="14"/>
  <c r="AS8" i="14"/>
  <c r="AS26" i="14"/>
  <c r="AO11" i="14"/>
  <c r="AK14" i="14"/>
  <c r="BF33" i="14"/>
  <c r="BK16" i="14"/>
  <c r="BJ29" i="14"/>
  <c r="AJ24" i="14"/>
  <c r="AW32" i="14"/>
  <c r="AP23" i="14"/>
  <c r="AV17" i="14"/>
  <c r="AV28" i="14"/>
  <c r="AI35" i="14"/>
  <c r="AU30" i="14"/>
  <c r="AH15" i="14"/>
  <c r="BC31" i="14"/>
  <c r="BD25" i="14"/>
  <c r="BB17" i="14"/>
  <c r="BB7" i="14"/>
  <c r="AT20" i="14"/>
  <c r="AM7" i="14"/>
  <c r="AM15" i="14"/>
  <c r="BG25" i="14"/>
  <c r="BH33" i="14"/>
  <c r="AZ7" i="14"/>
  <c r="BI24" i="14"/>
  <c r="AY6" i="14"/>
  <c r="AN9" i="14"/>
  <c r="AN19" i="14"/>
  <c r="AQ28" i="14"/>
  <c r="BA6" i="14"/>
  <c r="AS15" i="14"/>
  <c r="AO23" i="14"/>
  <c r="AZ16" i="14"/>
  <c r="AX8" i="14"/>
  <c r="BK15" i="14"/>
  <c r="BF26" i="14"/>
  <c r="BJ35" i="14"/>
  <c r="AJ23" i="14"/>
  <c r="AV18" i="14"/>
  <c r="AI10" i="14"/>
  <c r="BD22" i="14"/>
  <c r="BB21" i="14"/>
  <c r="BB6" i="14"/>
  <c r="BE22" i="14"/>
  <c r="BE35" i="14"/>
  <c r="AT10" i="14"/>
  <c r="BG23" i="14"/>
  <c r="AZ35" i="14"/>
  <c r="AL18" i="14"/>
  <c r="AR20" i="14"/>
  <c r="BI29" i="14"/>
  <c r="BI35" i="14"/>
  <c r="AY35" i="14"/>
  <c r="AX32" i="14"/>
  <c r="AQ27" i="14"/>
  <c r="BA21" i="14"/>
  <c r="AS25" i="14"/>
  <c r="AO8" i="14"/>
  <c r="AK13" i="14"/>
  <c r="BF32" i="14"/>
  <c r="BK14" i="14"/>
  <c r="BF21" i="14"/>
  <c r="AJ22" i="14"/>
  <c r="AW31" i="14"/>
  <c r="AP12" i="14"/>
  <c r="AP22" i="14"/>
  <c r="AV11" i="14"/>
  <c r="AV27" i="14"/>
  <c r="AI30" i="14"/>
  <c r="AU29" i="14"/>
  <c r="AH14" i="14"/>
  <c r="BC9" i="14"/>
  <c r="BC30" i="14"/>
  <c r="BD20" i="14"/>
  <c r="BE28" i="14"/>
  <c r="AT17" i="14"/>
  <c r="AT19" i="14"/>
  <c r="AM14" i="14"/>
  <c r="BG21" i="14"/>
  <c r="BH26" i="14"/>
  <c r="BH32" i="14"/>
  <c r="AL33" i="14"/>
  <c r="AY34" i="14"/>
  <c r="AN18" i="14"/>
  <c r="AQ26" i="14"/>
  <c r="BA35" i="14"/>
  <c r="AO22" i="14"/>
  <c r="AY20" i="14"/>
  <c r="AN23" i="14"/>
  <c r="BF17" i="14"/>
  <c r="BJ28" i="14"/>
  <c r="BJ34" i="14"/>
  <c r="AJ21" i="14"/>
  <c r="AV15" i="14"/>
  <c r="AI33" i="14"/>
  <c r="AI9" i="14"/>
  <c r="AH33" i="14"/>
  <c r="BC24" i="14"/>
  <c r="BD17" i="14"/>
  <c r="BB35" i="14"/>
  <c r="BE34" i="14"/>
  <c r="AT12" i="14"/>
  <c r="BG20" i="14"/>
  <c r="BH24" i="14"/>
  <c r="AZ17" i="14"/>
  <c r="AZ34" i="14"/>
  <c r="AL17" i="14"/>
  <c r="AR13" i="14"/>
  <c r="AR19" i="14"/>
  <c r="BI34" i="14"/>
  <c r="AX21" i="14"/>
  <c r="AX31" i="14"/>
  <c r="AS24" i="14"/>
  <c r="AO12" i="14"/>
  <c r="AK35" i="14"/>
  <c r="AK12" i="14"/>
  <c r="BA26" i="14"/>
  <c r="BF23" i="14"/>
  <c r="AI16" i="14"/>
  <c r="AL27" i="14"/>
  <c r="AQ7" i="14"/>
  <c r="AW21" i="14"/>
  <c r="BD15" i="14"/>
  <c r="AQ9" i="14"/>
  <c r="BF20" i="14"/>
  <c r="AJ30" i="14"/>
  <c r="AT24" i="14"/>
  <c r="AQ35" i="14"/>
  <c r="AM18" i="14"/>
  <c r="BF31" i="14"/>
  <c r="BK13" i="14"/>
  <c r="BK30" i="14"/>
  <c r="BJ26" i="14"/>
  <c r="AJ20" i="14"/>
  <c r="AW30" i="14"/>
  <c r="AP6" i="14"/>
  <c r="AP21" i="14"/>
  <c r="AV26" i="14"/>
  <c r="AI31" i="14"/>
  <c r="AU14" i="14"/>
  <c r="AU28" i="14"/>
  <c r="AH13" i="14"/>
  <c r="BC29" i="14"/>
  <c r="BD16" i="14"/>
  <c r="BB22" i="14"/>
  <c r="AT7" i="14"/>
  <c r="AT18" i="14"/>
  <c r="AM35" i="14"/>
  <c r="AM13" i="14"/>
  <c r="BG19" i="14"/>
  <c r="BH22" i="14"/>
  <c r="AY33" i="14"/>
  <c r="AX14" i="14"/>
  <c r="AN17" i="14"/>
  <c r="AQ14" i="14"/>
  <c r="AQ25" i="14"/>
  <c r="BA34" i="14"/>
  <c r="AO21" i="14"/>
  <c r="AK34" i="14"/>
  <c r="BI26" i="14"/>
  <c r="AY24" i="14"/>
  <c r="BF25" i="14"/>
  <c r="BJ24" i="14"/>
  <c r="AJ19" i="14"/>
  <c r="AP9" i="14"/>
  <c r="AV19" i="14"/>
  <c r="AI29" i="14"/>
  <c r="AI8" i="14"/>
  <c r="AU18" i="14"/>
  <c r="BD14" i="14"/>
  <c r="BB8" i="14"/>
  <c r="BB34" i="14"/>
  <c r="BE33" i="14"/>
  <c r="AT6" i="14"/>
  <c r="AM33" i="14"/>
  <c r="BG17" i="14"/>
  <c r="AY10" i="14"/>
  <c r="BH21" i="14"/>
  <c r="AZ33" i="14"/>
  <c r="AL16" i="14"/>
  <c r="AR18" i="14"/>
  <c r="BI27" i="14"/>
  <c r="BI33" i="14"/>
  <c r="AX30" i="14"/>
  <c r="AN10" i="14"/>
  <c r="BA22" i="14"/>
  <c r="AS12" i="14"/>
  <c r="AS23" i="14"/>
  <c r="AO6" i="14"/>
  <c r="AK33" i="14"/>
  <c r="AK11" i="14"/>
  <c r="BH9" i="14"/>
  <c r="AN27" i="14"/>
  <c r="AK19" i="14"/>
  <c r="AP31" i="14"/>
  <c r="BA25" i="14"/>
  <c r="AL25" i="14"/>
  <c r="AK18" i="14"/>
  <c r="AP29" i="14"/>
  <c r="AT9" i="14"/>
  <c r="AY23" i="14"/>
  <c r="BD31" i="14"/>
  <c r="BH23" i="14"/>
  <c r="BI9" i="14"/>
  <c r="BB14" i="14"/>
  <c r="BF30" i="14"/>
  <c r="BK12" i="14"/>
  <c r="AJ31" i="14"/>
  <c r="BJ23" i="14"/>
  <c r="AJ6" i="14"/>
  <c r="AW18" i="14"/>
  <c r="AW29" i="14"/>
  <c r="AP20" i="14"/>
  <c r="AV25" i="14"/>
  <c r="AI28" i="14"/>
  <c r="AU11" i="14"/>
  <c r="AU27" i="14"/>
  <c r="AH12" i="14"/>
  <c r="BC28" i="14"/>
  <c r="AW14" i="14"/>
  <c r="AM32" i="14"/>
  <c r="AM12" i="14"/>
  <c r="BH20" i="14"/>
  <c r="AL7" i="14"/>
  <c r="BI25" i="14"/>
  <c r="AY14" i="14"/>
  <c r="AY32" i="14"/>
  <c r="AN16" i="14"/>
  <c r="AQ8" i="14"/>
  <c r="AQ24" i="14"/>
  <c r="BA18" i="14"/>
  <c r="BA33" i="14"/>
  <c r="AS6" i="14"/>
  <c r="AO9" i="14"/>
  <c r="AO20" i="14"/>
  <c r="AK31" i="14"/>
  <c r="BH27" i="14"/>
  <c r="AY16" i="14"/>
  <c r="BC7" i="14"/>
  <c r="AS34" i="14"/>
  <c r="AZ21" i="14"/>
  <c r="BF28" i="14"/>
  <c r="AU8" i="14"/>
  <c r="BK22" i="14"/>
  <c r="AP28" i="14"/>
  <c r="AH20" i="14"/>
  <c r="BE10" i="14"/>
  <c r="BG34" i="14"/>
  <c r="AL23" i="14"/>
  <c r="AR24" i="14"/>
  <c r="AS7" i="14"/>
  <c r="AT16" i="14"/>
  <c r="BJ22" i="14"/>
  <c r="AJ18" i="14"/>
  <c r="AW11" i="14"/>
  <c r="AV12" i="14"/>
  <c r="AI27" i="14"/>
  <c r="AI7" i="14"/>
  <c r="AH34" i="14"/>
  <c r="BC20" i="14"/>
  <c r="BD13" i="14"/>
  <c r="BB33" i="14"/>
  <c r="BE19" i="14"/>
  <c r="BE32" i="14"/>
  <c r="AT35" i="14"/>
  <c r="BG16" i="14"/>
  <c r="BH19" i="14"/>
  <c r="AZ14" i="14"/>
  <c r="AZ32" i="14"/>
  <c r="AL15" i="14"/>
  <c r="AR17" i="14"/>
  <c r="BI23" i="14"/>
  <c r="AY22" i="14"/>
  <c r="AX18" i="14"/>
  <c r="AX29" i="14"/>
  <c r="AN7" i="14"/>
  <c r="AS9" i="14"/>
  <c r="AS22" i="14"/>
  <c r="AK30" i="14"/>
  <c r="AK10" i="14"/>
  <c r="AT26" i="14"/>
  <c r="BK27" i="14"/>
  <c r="AR26" i="14"/>
  <c r="AW15" i="14"/>
  <c r="BE12" i="14"/>
  <c r="BI32" i="14"/>
  <c r="BC26" i="14"/>
  <c r="AL24" i="14"/>
  <c r="AK32" i="14"/>
  <c r="BJ9" i="14"/>
  <c r="BB15" i="14"/>
  <c r="AZ18" i="14"/>
  <c r="BA14" i="14"/>
  <c r="BH6" i="14"/>
  <c r="BF24" i="14"/>
  <c r="BK11" i="14"/>
  <c r="BJ21" i="14"/>
  <c r="AW8" i="14"/>
  <c r="AW28" i="14"/>
  <c r="AP13" i="14"/>
  <c r="AP19" i="14"/>
  <c r="AV24" i="14"/>
  <c r="AI26" i="14"/>
  <c r="AU15" i="14"/>
  <c r="AU26" i="14"/>
  <c r="AH29" i="14"/>
  <c r="AH11" i="14"/>
  <c r="BC25" i="14"/>
  <c r="BC27" i="14"/>
  <c r="BD12" i="14"/>
  <c r="AM31" i="14"/>
  <c r="AM11" i="14"/>
  <c r="BG15" i="14"/>
  <c r="AU10" i="14"/>
  <c r="BH18" i="14"/>
  <c r="AZ22" i="14"/>
  <c r="AR7" i="14"/>
  <c r="BI22" i="14"/>
  <c r="AY31" i="14"/>
  <c r="AN15" i="14"/>
  <c r="AQ23" i="14"/>
  <c r="BA32" i="14"/>
  <c r="AO19" i="14"/>
  <c r="AT15" i="14"/>
  <c r="AO13" i="14"/>
  <c r="AN26" i="14"/>
  <c r="BK25" i="14"/>
  <c r="BE13" i="14"/>
  <c r="AI15" i="14"/>
  <c r="BA19" i="14"/>
  <c r="AM19" i="14"/>
  <c r="AS14" i="14"/>
  <c r="AW9" i="14"/>
  <c r="AO29" i="14"/>
  <c r="BE9" i="14"/>
  <c r="BF22" i="14"/>
  <c r="BJ20" i="14"/>
  <c r="AJ17" i="14"/>
  <c r="AI25" i="14"/>
  <c r="BD11" i="14"/>
  <c r="BB32" i="14"/>
  <c r="BE31" i="14"/>
  <c r="AT34" i="14"/>
  <c r="AM30" i="14"/>
  <c r="BG14" i="14"/>
  <c r="AZ31" i="14"/>
  <c r="AL14" i="14"/>
  <c r="AR10" i="14"/>
  <c r="AR16" i="14"/>
  <c r="BI21" i="14"/>
  <c r="AY18" i="14"/>
  <c r="AX15" i="14"/>
  <c r="AX28" i="14"/>
  <c r="AQ12" i="14"/>
  <c r="BA23" i="14"/>
  <c r="AS16" i="14"/>
  <c r="AS21" i="14"/>
  <c r="AK29" i="14"/>
  <c r="AK9" i="14"/>
  <c r="AW22" i="14"/>
  <c r="AQ10" i="14"/>
  <c r="AO32" i="14"/>
  <c r="BJ27" i="14"/>
  <c r="AM20" i="14"/>
  <c r="AV34" i="14"/>
  <c r="AX11" i="14"/>
  <c r="AY13" i="14"/>
  <c r="AN11" i="14"/>
  <c r="AL22" i="14"/>
  <c r="BF19" i="14"/>
  <c r="BK34" i="14"/>
  <c r="BK10" i="14"/>
  <c r="AW19" i="14"/>
  <c r="AW27" i="14"/>
  <c r="AP18" i="14"/>
  <c r="AV23" i="14"/>
  <c r="AU25" i="14"/>
  <c r="AH10" i="14"/>
  <c r="BD10" i="14"/>
  <c r="BB23" i="14"/>
  <c r="AT33" i="14"/>
  <c r="AM29" i="14"/>
  <c r="BG13" i="14"/>
  <c r="BH17" i="14"/>
  <c r="AZ11" i="14"/>
  <c r="AR35" i="14"/>
  <c r="BI20" i="14"/>
  <c r="AY30" i="14"/>
  <c r="AN35" i="14"/>
  <c r="AN14" i="14"/>
  <c r="AQ6" i="14"/>
  <c r="AQ22" i="14"/>
  <c r="BA15" i="14"/>
  <c r="BA31" i="14"/>
  <c r="AO18" i="14"/>
  <c r="AK28" i="14"/>
  <c r="BF18" i="14"/>
  <c r="BJ19" i="14"/>
  <c r="AJ16" i="14"/>
  <c r="AI24" i="14"/>
  <c r="BC21" i="14"/>
  <c r="BD9" i="14"/>
  <c r="BB31" i="14"/>
  <c r="BE24" i="14"/>
  <c r="BE30" i="14"/>
  <c r="AT32" i="14"/>
  <c r="BG12" i="14"/>
  <c r="BH16" i="14"/>
  <c r="AZ30" i="14"/>
  <c r="AL13" i="14"/>
  <c r="AR34" i="14"/>
  <c r="BI19" i="14"/>
  <c r="AX19" i="14"/>
  <c r="AX27" i="14"/>
  <c r="AN34" i="14"/>
  <c r="BB13" i="14"/>
  <c r="AS13" i="14"/>
  <c r="AS20" i="14"/>
  <c r="AK27" i="14"/>
  <c r="AP32" i="14"/>
  <c r="AQ17" i="14"/>
  <c r="AX22" i="14"/>
  <c r="BC6" i="14"/>
  <c r="AJ10" i="14"/>
  <c r="AH22" i="14"/>
  <c r="BF7" i="14"/>
  <c r="AO30" i="14"/>
  <c r="AV32" i="14"/>
  <c r="BG29" i="14"/>
  <c r="BF16" i="14"/>
  <c r="BF29" i="14"/>
  <c r="BK9" i="14"/>
  <c r="BJ30" i="14"/>
  <c r="BJ18" i="14"/>
  <c r="AW26" i="14"/>
  <c r="AP10" i="14"/>
  <c r="AP17" i="14"/>
  <c r="AV16" i="14"/>
  <c r="AV22" i="14"/>
  <c r="AI23" i="14"/>
  <c r="BE25" i="14"/>
  <c r="AU12" i="14"/>
  <c r="AU24" i="14"/>
  <c r="AH35" i="14"/>
  <c r="AH9" i="14"/>
  <c r="BC19" i="14"/>
  <c r="BD8" i="14"/>
  <c r="BB19" i="14"/>
  <c r="BE16" i="14"/>
  <c r="AT31" i="14"/>
  <c r="AM28" i="14"/>
  <c r="BG26" i="14"/>
  <c r="BG11" i="14"/>
  <c r="BH15" i="14"/>
  <c r="AZ23" i="14"/>
  <c r="AL35" i="14"/>
  <c r="AY15" i="14"/>
  <c r="AY29" i="14"/>
  <c r="AN33" i="14"/>
  <c r="AN13" i="14"/>
  <c r="AQ21" i="14"/>
  <c r="BA30" i="14"/>
  <c r="AO17" i="14"/>
  <c r="BK35" i="14"/>
  <c r="AX13" i="14"/>
  <c r="AT25" i="14"/>
  <c r="AR11" i="14"/>
  <c r="AN25" i="14"/>
  <c r="BB20" i="14"/>
  <c r="AW10" i="14"/>
  <c r="BA17" i="14"/>
  <c r="AZ13" i="14"/>
  <c r="BJ17" i="14"/>
  <c r="AJ15" i="14"/>
  <c r="AW12" i="14"/>
  <c r="AP7" i="14"/>
  <c r="AI22" i="14"/>
  <c r="BC16" i="14"/>
  <c r="BD7" i="14"/>
  <c r="BB30" i="14"/>
  <c r="BE29" i="14"/>
  <c r="AT30" i="14"/>
  <c r="AR14" i="14"/>
  <c r="AM27" i="14"/>
  <c r="BG10" i="14"/>
  <c r="BH30" i="14"/>
  <c r="BH14" i="14"/>
  <c r="AZ29" i="14"/>
  <c r="AL34" i="14"/>
  <c r="AL12" i="14"/>
  <c r="AR33" i="14"/>
  <c r="BI18" i="14"/>
  <c r="AX12" i="14"/>
  <c r="AX26" i="14"/>
  <c r="BA12" i="14"/>
  <c r="AS19" i="14"/>
  <c r="AO10" i="14"/>
  <c r="AK26" i="14"/>
  <c r="AH24" i="14"/>
  <c r="BJ11" i="14"/>
  <c r="AI6" i="14"/>
  <c r="BE14" i="14"/>
  <c r="BI11" i="14"/>
  <c r="AP30" i="14"/>
  <c r="BD32" i="14"/>
  <c r="BG35" i="14"/>
  <c r="BI10" i="14"/>
  <c r="BC35" i="14"/>
  <c r="AR8" i="14"/>
  <c r="AL8" i="14"/>
  <c r="BH28" i="14"/>
  <c r="BF15" i="14"/>
  <c r="BK8" i="14"/>
  <c r="BJ16" i="14"/>
  <c r="AJ7" i="14"/>
  <c r="AW25" i="14"/>
  <c r="AP16" i="14"/>
  <c r="AV13" i="14"/>
  <c r="AV21" i="14"/>
  <c r="AI21" i="14"/>
  <c r="AU6" i="14"/>
  <c r="AU23" i="14"/>
  <c r="AH32" i="14"/>
  <c r="AH8" i="14"/>
  <c r="BC15" i="14"/>
  <c r="BD26" i="14"/>
  <c r="BB24" i="14"/>
  <c r="BE20" i="14"/>
  <c r="AT29" i="14"/>
  <c r="AM26" i="14"/>
  <c r="BG22" i="14"/>
  <c r="BH31" i="14"/>
  <c r="BH13" i="14"/>
  <c r="AZ15" i="14"/>
  <c r="AL32" i="14"/>
  <c r="AR32" i="14"/>
  <c r="BI17" i="14"/>
  <c r="AY28" i="14"/>
  <c r="AX9" i="14"/>
  <c r="AN32" i="14"/>
  <c r="AN12" i="14"/>
  <c r="AQ20" i="14"/>
  <c r="BA24" i="14"/>
  <c r="BA29" i="14"/>
  <c r="AO16" i="14"/>
  <c r="AK25" i="14"/>
  <c r="AM21" i="14"/>
  <c r="AO33" i="14"/>
  <c r="AW17" i="14"/>
  <c r="AO31" i="14"/>
  <c r="AM9" i="14"/>
  <c r="AR25" i="14"/>
  <c r="AV33" i="14"/>
  <c r="AS31" i="14"/>
  <c r="AJ29" i="14"/>
  <c r="BF14" i="14"/>
  <c r="BJ15" i="14"/>
  <c r="AJ14" i="14"/>
  <c r="AP8" i="14"/>
  <c r="AI20" i="14"/>
  <c r="AH30" i="14"/>
  <c r="BC13" i="14"/>
  <c r="BD27" i="14"/>
  <c r="BD6" i="14"/>
  <c r="BB29" i="14"/>
  <c r="BE23" i="14"/>
  <c r="AT14" i="14"/>
  <c r="AM25" i="14"/>
  <c r="BG27" i="14"/>
  <c r="BG9" i="14"/>
  <c r="BH12" i="14"/>
  <c r="AZ28" i="14"/>
  <c r="AL31" i="14"/>
  <c r="AL11" i="14"/>
  <c r="AR31" i="14"/>
  <c r="BI16" i="14"/>
  <c r="AY19" i="14"/>
  <c r="AX25" i="14"/>
  <c r="AN31" i="14"/>
  <c r="AQ13" i="14"/>
  <c r="AS18" i="14"/>
  <c r="AO7" i="14"/>
  <c r="AK24" i="14"/>
  <c r="BB25" i="14"/>
  <c r="BD33" i="14"/>
  <c r="BF8" i="14"/>
  <c r="AI32" i="14"/>
  <c r="AM6" i="14"/>
  <c r="AX16" i="14"/>
  <c r="BG30" i="14"/>
  <c r="AN8" i="14"/>
  <c r="BF13" i="14"/>
  <c r="BK7" i="14"/>
  <c r="BJ14" i="14"/>
  <c r="AW24" i="14"/>
  <c r="AP35" i="14"/>
  <c r="AP15" i="14"/>
  <c r="AV20" i="14"/>
  <c r="AI19" i="14"/>
  <c r="AU9" i="14"/>
  <c r="AU22" i="14"/>
  <c r="AH28" i="14"/>
  <c r="AH7" i="14"/>
  <c r="BE21" i="14"/>
  <c r="AT11" i="14"/>
  <c r="AT28" i="14"/>
  <c r="AM24" i="14"/>
  <c r="BH11" i="14"/>
  <c r="AR30" i="14"/>
  <c r="BI15" i="14"/>
  <c r="AY27" i="14"/>
  <c r="AN30" i="14"/>
  <c r="AQ19" i="14"/>
  <c r="BA28" i="14"/>
  <c r="AS10" i="14"/>
  <c r="AO15" i="14"/>
  <c r="AK23" i="14"/>
  <c r="BF9" i="14"/>
  <c r="AJ34" i="14"/>
  <c r="BK23" i="14"/>
  <c r="AI14" i="14"/>
  <c r="AS30" i="14"/>
  <c r="BF12" i="14"/>
  <c r="BK28" i="14"/>
  <c r="BJ13" i="14"/>
  <c r="AJ13" i="14"/>
  <c r="AV14" i="14"/>
  <c r="BH25" i="14"/>
  <c r="AI18" i="14"/>
  <c r="AH27" i="14"/>
  <c r="BC12" i="14"/>
  <c r="BD18" i="14"/>
  <c r="BD35" i="14"/>
  <c r="BB28" i="14"/>
  <c r="BE18" i="14"/>
  <c r="AM23" i="14"/>
  <c r="BG8" i="14"/>
  <c r="AZ19" i="14"/>
  <c r="AZ27" i="14"/>
  <c r="AL30" i="14"/>
  <c r="AL10" i="14"/>
  <c r="AR29" i="14"/>
  <c r="BI14" i="14"/>
  <c r="AX24" i="14"/>
  <c r="AS17" i="14"/>
  <c r="AO35" i="14"/>
  <c r="AK8" i="14"/>
  <c r="AK22" i="14"/>
  <c r="AY25" i="14"/>
  <c r="BD23" i="14"/>
  <c r="AJ33" i="14"/>
  <c r="BH8" i="14"/>
  <c r="BK24" i="14"/>
  <c r="BD19" i="14"/>
  <c r="AZ20" i="14"/>
  <c r="BF11" i="14"/>
  <c r="BK33" i="14"/>
  <c r="BK6" i="14"/>
  <c r="BJ31" i="14"/>
  <c r="AW16" i="14"/>
  <c r="AW23" i="14"/>
  <c r="AP34" i="14"/>
  <c r="AP14" i="14"/>
  <c r="AV9" i="14"/>
  <c r="BD21" i="14"/>
  <c r="AU16" i="14"/>
  <c r="AU21" i="14"/>
  <c r="AH26" i="14"/>
  <c r="AH6" i="14"/>
  <c r="BC11" i="14"/>
  <c r="BE17" i="14"/>
  <c r="AT27" i="14"/>
  <c r="AM8" i="14"/>
  <c r="AM22" i="14"/>
  <c r="BH10" i="14"/>
  <c r="AL29" i="14"/>
  <c r="AR28" i="14"/>
  <c r="BI31" i="14"/>
  <c r="BI13" i="14"/>
  <c r="AY26" i="14"/>
  <c r="AX20" i="14"/>
  <c r="AN29" i="14"/>
  <c r="AQ18" i="14"/>
  <c r="BA27" i="14"/>
  <c r="AS11" i="14"/>
  <c r="AO34" i="14"/>
  <c r="AO14" i="14"/>
  <c r="AK21" i="14"/>
  <c r="AU20" i="14"/>
  <c r="AJ11" i="14"/>
  <c r="BG6" i="14"/>
  <c r="AU19" i="14"/>
  <c r="AL26" i="14"/>
  <c r="AS33" i="14"/>
  <c r="BJ10" i="14"/>
  <c r="AK6" i="14"/>
  <c r="BE11" i="14"/>
  <c r="AX10" i="14"/>
  <c r="AR15" i="14"/>
  <c r="AK17" i="14"/>
  <c r="BF10" i="14"/>
  <c r="BJ12" i="14"/>
  <c r="AJ35" i="14"/>
  <c r="AJ12" i="14"/>
  <c r="AW20" i="14"/>
  <c r="AP33" i="14"/>
  <c r="BE26" i="14"/>
  <c r="AV8" i="14"/>
  <c r="AI17" i="14"/>
  <c r="AH25" i="14"/>
  <c r="BC17" i="14"/>
  <c r="BC10" i="14"/>
  <c r="BD34" i="14"/>
  <c r="BB16" i="14"/>
  <c r="BB27" i="14"/>
  <c r="BE15" i="14"/>
  <c r="AT8" i="14"/>
  <c r="BG18" i="14"/>
  <c r="BG7" i="14"/>
  <c r="AZ26" i="14"/>
  <c r="AL28" i="14"/>
  <c r="AR27" i="14"/>
  <c r="BI12" i="14"/>
  <c r="AX23" i="14"/>
  <c r="AN28" i="14"/>
  <c r="BA16" i="14"/>
  <c r="AS35" i="14"/>
  <c r="AK20" i="14"/>
  <c r="BF63" i="13"/>
  <c r="BF30" i="13"/>
  <c r="AV62" i="13"/>
  <c r="AV29" i="13"/>
  <c r="AK50" i="13"/>
  <c r="AK17" i="13"/>
  <c r="AJ46" i="13"/>
  <c r="AJ13" i="13"/>
  <c r="AO47" i="13"/>
  <c r="AO14" i="13"/>
  <c r="AW26" i="13"/>
  <c r="AW59" i="13"/>
  <c r="BE66" i="13"/>
  <c r="BE33" i="13"/>
  <c r="AK46" i="13"/>
  <c r="AK13" i="13"/>
  <c r="AN55" i="13"/>
  <c r="AN22" i="13"/>
  <c r="AW25" i="13"/>
  <c r="AW58" i="13"/>
  <c r="AV27" i="13"/>
  <c r="AV60" i="13"/>
  <c r="AM50" i="13"/>
  <c r="AM17" i="13"/>
  <c r="BD101" i="13"/>
  <c r="BD35" i="13"/>
  <c r="BD68" i="13"/>
  <c r="AU43" i="13"/>
  <c r="AU10" i="13"/>
  <c r="AU19" i="13"/>
  <c r="AU52" i="13"/>
  <c r="AL42" i="13"/>
  <c r="AL9" i="13"/>
  <c r="AT67" i="13"/>
  <c r="AT34" i="13"/>
  <c r="AR55" i="13"/>
  <c r="AR22" i="13"/>
  <c r="AJ41" i="13"/>
  <c r="AJ8" i="13"/>
  <c r="AQ63" i="13"/>
  <c r="AQ30" i="13"/>
  <c r="BJ43" i="13"/>
  <c r="BJ10" i="13"/>
  <c r="AI66" i="13"/>
  <c r="AI33" i="13"/>
  <c r="AP62" i="13"/>
  <c r="AP29" i="13"/>
  <c r="AO42" i="13"/>
  <c r="AO9" i="13"/>
  <c r="BH34" i="13"/>
  <c r="BH67" i="13"/>
  <c r="BF15" i="13"/>
  <c r="BF48" i="13"/>
  <c r="AN54" i="13"/>
  <c r="AN21" i="13"/>
  <c r="AV26" i="13"/>
  <c r="AV59" i="13"/>
  <c r="BE45" i="13"/>
  <c r="BE12" i="13"/>
  <c r="BE65" i="13"/>
  <c r="BE32" i="13"/>
  <c r="AM42" i="13"/>
  <c r="AM9" i="13"/>
  <c r="AM45" i="13"/>
  <c r="AM12" i="13"/>
  <c r="BD9" i="13"/>
  <c r="BD42" i="13"/>
  <c r="BD34" i="13"/>
  <c r="BD67" i="13"/>
  <c r="AU47" i="13"/>
  <c r="AU14" i="13"/>
  <c r="BJ13" i="13"/>
  <c r="BJ46" i="13"/>
  <c r="AT66" i="13"/>
  <c r="AT33" i="13"/>
  <c r="BC101" i="13"/>
  <c r="BC35" i="13"/>
  <c r="BC68" i="13"/>
  <c r="AS59" i="13"/>
  <c r="AS26" i="13"/>
  <c r="BB32" i="13"/>
  <c r="BB65" i="13"/>
  <c r="AK59" i="13"/>
  <c r="AK26" i="13"/>
  <c r="AK45" i="13"/>
  <c r="AK12" i="13"/>
  <c r="AR54" i="13"/>
  <c r="AR21" i="13"/>
  <c r="BA49" i="13"/>
  <c r="BA16" i="13"/>
  <c r="BA60" i="13"/>
  <c r="BA27" i="13"/>
  <c r="AJ30" i="13"/>
  <c r="AJ63" i="13"/>
  <c r="BK48" i="13"/>
  <c r="BK15" i="13"/>
  <c r="AQ62" i="13"/>
  <c r="AQ29" i="13"/>
  <c r="BJ14" i="13"/>
  <c r="BJ47" i="13"/>
  <c r="AZ26" i="13"/>
  <c r="AZ59" i="13"/>
  <c r="AI63" i="13"/>
  <c r="AI30" i="13"/>
  <c r="BI7" i="13"/>
  <c r="BI40" i="13"/>
  <c r="AP28" i="13"/>
  <c r="AP61" i="13"/>
  <c r="AY57" i="13"/>
  <c r="AY24" i="13"/>
  <c r="AX45" i="13"/>
  <c r="AX12" i="13"/>
  <c r="AX60" i="13"/>
  <c r="AX27" i="13"/>
  <c r="AU18" i="13"/>
  <c r="AU51" i="13"/>
  <c r="BC25" i="13"/>
  <c r="BC58" i="13"/>
  <c r="AK51" i="13"/>
  <c r="AK18" i="13"/>
  <c r="AQ65" i="13"/>
  <c r="AQ32" i="13"/>
  <c r="AW39" i="13"/>
  <c r="AW6" i="13"/>
  <c r="AM46" i="13"/>
  <c r="AM13" i="13"/>
  <c r="AW49" i="13"/>
  <c r="AW16" i="13"/>
  <c r="BC46" i="13"/>
  <c r="BC13" i="13"/>
  <c r="AS60" i="13"/>
  <c r="AS27" i="13"/>
  <c r="BB66" i="13"/>
  <c r="BB33" i="13"/>
  <c r="BA56" i="13"/>
  <c r="BA23" i="13"/>
  <c r="AO46" i="13"/>
  <c r="AO13" i="13"/>
  <c r="AY54" i="13"/>
  <c r="AY21" i="13"/>
  <c r="AX28" i="13"/>
  <c r="AX61" i="13"/>
  <c r="BF44" i="13"/>
  <c r="BF11" i="13"/>
  <c r="AN49" i="13"/>
  <c r="AN16" i="13"/>
  <c r="AW57" i="13"/>
  <c r="AW24" i="13"/>
  <c r="AV45" i="13"/>
  <c r="AV12" i="13"/>
  <c r="AV25" i="13"/>
  <c r="AV58" i="13"/>
  <c r="BE54" i="13"/>
  <c r="BE21" i="13"/>
  <c r="AM60" i="13"/>
  <c r="AM27" i="13"/>
  <c r="AM44" i="13"/>
  <c r="AM11" i="13"/>
  <c r="BD66" i="13"/>
  <c r="BD33" i="13"/>
  <c r="AU50" i="13"/>
  <c r="AU17" i="13"/>
  <c r="AT65" i="13"/>
  <c r="AT32" i="13"/>
  <c r="BC9" i="13"/>
  <c r="BC42" i="13"/>
  <c r="BC34" i="13"/>
  <c r="BC67" i="13"/>
  <c r="AS25" i="13"/>
  <c r="AS58" i="13"/>
  <c r="BB9" i="13"/>
  <c r="BB42" i="13"/>
  <c r="BB31" i="13"/>
  <c r="BB64" i="13"/>
  <c r="AK65" i="13"/>
  <c r="AK32" i="13"/>
  <c r="AR40" i="13"/>
  <c r="AR7" i="13"/>
  <c r="AR20" i="13"/>
  <c r="AR53" i="13"/>
  <c r="BA19" i="13"/>
  <c r="BA52" i="13"/>
  <c r="AJ34" i="13"/>
  <c r="AJ67" i="13"/>
  <c r="AQ28" i="13"/>
  <c r="AQ61" i="13"/>
  <c r="BJ59" i="13"/>
  <c r="BJ26" i="13"/>
  <c r="AZ56" i="13"/>
  <c r="AZ23" i="13"/>
  <c r="AI67" i="13"/>
  <c r="AI34" i="13"/>
  <c r="BI18" i="13"/>
  <c r="BI51" i="13"/>
  <c r="AP39" i="13"/>
  <c r="AP6" i="13"/>
  <c r="AP60" i="13"/>
  <c r="AP27" i="13"/>
  <c r="BH66" i="13"/>
  <c r="BH33" i="13"/>
  <c r="AX39" i="13"/>
  <c r="AX6" i="13"/>
  <c r="AX26" i="13"/>
  <c r="AX59" i="13"/>
  <c r="BG22" i="13"/>
  <c r="BG55" i="13"/>
  <c r="AT41" i="13"/>
  <c r="AT8" i="13"/>
  <c r="AN7" i="13"/>
  <c r="AN40" i="13"/>
  <c r="AV57" i="13"/>
  <c r="AV24" i="13"/>
  <c r="BE31" i="13"/>
  <c r="BE64" i="13"/>
  <c r="BK50" i="13"/>
  <c r="BK17" i="13"/>
  <c r="BD65" i="13"/>
  <c r="BD32" i="13"/>
  <c r="AT31" i="13"/>
  <c r="AT64" i="13"/>
  <c r="BC66" i="13"/>
  <c r="BC33" i="13"/>
  <c r="AS57" i="13"/>
  <c r="AS24" i="13"/>
  <c r="BB63" i="13"/>
  <c r="BB30" i="13"/>
  <c r="AK47" i="13"/>
  <c r="AK14" i="13"/>
  <c r="AK44" i="13"/>
  <c r="AK11" i="13"/>
  <c r="BA54" i="13"/>
  <c r="BA21" i="13"/>
  <c r="BA26" i="13"/>
  <c r="BA59" i="13"/>
  <c r="BK43" i="13"/>
  <c r="BK10" i="13"/>
  <c r="AQ60" i="13"/>
  <c r="AQ27" i="13"/>
  <c r="BJ8" i="13"/>
  <c r="BJ41" i="13"/>
  <c r="BJ53" i="13"/>
  <c r="BJ20" i="13"/>
  <c r="AZ54" i="13"/>
  <c r="AZ21" i="13"/>
  <c r="AZ25" i="13"/>
  <c r="AZ58" i="13"/>
  <c r="BI24" i="13"/>
  <c r="BI57" i="13"/>
  <c r="AP59" i="13"/>
  <c r="AP26" i="13"/>
  <c r="AY56" i="13"/>
  <c r="AY23" i="13"/>
  <c r="AX49" i="13"/>
  <c r="AX16" i="13"/>
  <c r="BG6" i="13"/>
  <c r="BG39" i="13"/>
  <c r="AU39" i="13"/>
  <c r="AU6" i="13"/>
  <c r="BF18" i="13"/>
  <c r="BF51" i="13"/>
  <c r="AN48" i="13"/>
  <c r="AN15" i="13"/>
  <c r="AW56" i="13"/>
  <c r="AW23" i="13"/>
  <c r="BE42" i="13"/>
  <c r="BE9" i="13"/>
  <c r="AM30" i="13"/>
  <c r="AM63" i="13"/>
  <c r="AT63" i="13"/>
  <c r="AT30" i="13"/>
  <c r="BC32" i="13"/>
  <c r="BC65" i="13"/>
  <c r="AS56" i="13"/>
  <c r="AS23" i="13"/>
  <c r="AR19" i="13"/>
  <c r="AR52" i="13"/>
  <c r="BA18" i="13"/>
  <c r="BA51" i="13"/>
  <c r="BK14" i="13"/>
  <c r="BK47" i="13"/>
  <c r="BK11" i="13"/>
  <c r="BK44" i="13"/>
  <c r="AQ59" i="13"/>
  <c r="AQ26" i="13"/>
  <c r="BJ49" i="13"/>
  <c r="BJ16" i="13"/>
  <c r="BJ15" i="13"/>
  <c r="BJ48" i="13"/>
  <c r="AZ45" i="13"/>
  <c r="AZ12" i="13"/>
  <c r="AP25" i="13"/>
  <c r="AP58" i="13"/>
  <c r="AH12" i="13"/>
  <c r="AH45" i="13"/>
  <c r="BH32" i="13"/>
  <c r="BH65" i="13"/>
  <c r="AX25" i="13"/>
  <c r="AX58" i="13"/>
  <c r="AT49" i="13"/>
  <c r="AT16" i="13"/>
  <c r="BF62" i="13"/>
  <c r="BF29" i="13"/>
  <c r="BF57" i="13"/>
  <c r="BF24" i="13"/>
  <c r="AN43" i="13"/>
  <c r="AN10" i="13"/>
  <c r="AV56" i="13"/>
  <c r="AV23" i="13"/>
  <c r="BE63" i="13"/>
  <c r="BE30" i="13"/>
  <c r="BD31" i="13"/>
  <c r="BD64" i="13"/>
  <c r="AL41" i="13"/>
  <c r="AL8" i="13"/>
  <c r="AT45" i="13"/>
  <c r="AT12" i="13"/>
  <c r="AT29" i="13"/>
  <c r="AT62" i="13"/>
  <c r="BC31" i="13"/>
  <c r="BC64" i="13"/>
  <c r="AS55" i="13"/>
  <c r="AS22" i="13"/>
  <c r="BB62" i="13"/>
  <c r="BB29" i="13"/>
  <c r="AK43" i="13"/>
  <c r="AK10" i="13"/>
  <c r="BA57" i="13"/>
  <c r="BA24" i="13"/>
  <c r="BA25" i="13"/>
  <c r="BA58" i="13"/>
  <c r="AJ49" i="13"/>
  <c r="AJ16" i="13"/>
  <c r="BK34" i="13"/>
  <c r="BK67" i="13"/>
  <c r="AQ39" i="13"/>
  <c r="AQ6" i="13"/>
  <c r="AQ58" i="13"/>
  <c r="AQ25" i="13"/>
  <c r="BJ31" i="13"/>
  <c r="BJ64" i="13"/>
  <c r="BJ12" i="13"/>
  <c r="BJ45" i="13"/>
  <c r="AZ15" i="13"/>
  <c r="AZ48" i="13"/>
  <c r="AZ57" i="13"/>
  <c r="AZ24" i="13"/>
  <c r="BI59" i="13"/>
  <c r="BI26" i="13"/>
  <c r="BI63" i="13"/>
  <c r="BI30" i="13"/>
  <c r="AP57" i="13"/>
  <c r="AP24" i="13"/>
  <c r="AH58" i="13"/>
  <c r="AH25" i="13"/>
  <c r="AY55" i="13"/>
  <c r="AY22" i="13"/>
  <c r="BG43" i="13"/>
  <c r="BG10" i="13"/>
  <c r="BI15" i="13"/>
  <c r="BI48" i="13"/>
  <c r="BF25" i="13"/>
  <c r="BF58" i="13"/>
  <c r="AN47" i="13"/>
  <c r="AN14" i="13"/>
  <c r="AW55" i="13"/>
  <c r="AW22" i="13"/>
  <c r="AM34" i="13"/>
  <c r="AM67" i="13"/>
  <c r="AL49" i="13"/>
  <c r="AL16" i="13"/>
  <c r="AT61" i="13"/>
  <c r="AT28" i="13"/>
  <c r="AS7" i="13"/>
  <c r="AS40" i="13"/>
  <c r="AS54" i="13"/>
  <c r="AS21" i="13"/>
  <c r="BB49" i="13"/>
  <c r="BB16" i="13"/>
  <c r="AK42" i="13"/>
  <c r="AK9" i="13"/>
  <c r="AR44" i="13"/>
  <c r="AR11" i="13"/>
  <c r="AR51" i="13"/>
  <c r="AR18" i="13"/>
  <c r="AV40" i="13"/>
  <c r="AV7" i="13"/>
  <c r="BK58" i="13"/>
  <c r="BK25" i="13"/>
  <c r="BK51" i="13"/>
  <c r="BK18" i="13"/>
  <c r="AQ57" i="13"/>
  <c r="AQ24" i="13"/>
  <c r="BJ9" i="13"/>
  <c r="BJ42" i="13"/>
  <c r="BJ6" i="13"/>
  <c r="BJ39" i="13"/>
  <c r="AZ55" i="13"/>
  <c r="AZ22" i="13"/>
  <c r="AP56" i="13"/>
  <c r="AP23" i="13"/>
  <c r="AH101" i="13"/>
  <c r="AH68" i="13"/>
  <c r="AH35" i="13"/>
  <c r="BH17" i="13"/>
  <c r="BH50" i="13"/>
  <c r="AX57" i="13"/>
  <c r="AX24" i="13"/>
  <c r="BG14" i="13"/>
  <c r="BG47" i="13"/>
  <c r="BF60" i="13"/>
  <c r="BF27" i="13"/>
  <c r="BF7" i="13"/>
  <c r="BF40" i="13"/>
  <c r="AN51" i="13"/>
  <c r="AN18" i="13"/>
  <c r="AV55" i="13"/>
  <c r="AV22" i="13"/>
  <c r="BE62" i="13"/>
  <c r="BE29" i="13"/>
  <c r="BD63" i="13"/>
  <c r="BD30" i="13"/>
  <c r="AU42" i="13"/>
  <c r="AU9" i="13"/>
  <c r="AT60" i="13"/>
  <c r="AT27" i="13"/>
  <c r="BC63" i="13"/>
  <c r="BC30" i="13"/>
  <c r="BB61" i="13"/>
  <c r="BB28" i="13"/>
  <c r="AK34" i="13"/>
  <c r="AK67" i="13"/>
  <c r="AP43" i="13"/>
  <c r="AP10" i="13"/>
  <c r="BA22" i="13"/>
  <c r="BA55" i="13"/>
  <c r="AQ56" i="13"/>
  <c r="AQ23" i="13"/>
  <c r="BI60" i="13"/>
  <c r="BI27" i="13"/>
  <c r="AP40" i="13"/>
  <c r="AP7" i="13"/>
  <c r="AP22" i="13"/>
  <c r="AP55" i="13"/>
  <c r="AH11" i="13"/>
  <c r="AH44" i="13"/>
  <c r="AO8" i="13"/>
  <c r="AO41" i="13"/>
  <c r="AY6" i="13"/>
  <c r="AY39" i="13"/>
  <c r="BH61" i="13"/>
  <c r="BH28" i="13"/>
  <c r="BG8" i="13"/>
  <c r="BG41" i="13"/>
  <c r="BG53" i="13"/>
  <c r="BG20" i="13"/>
  <c r="BH54" i="13"/>
  <c r="BH21" i="13"/>
  <c r="AN20" i="13"/>
  <c r="AN53" i="13"/>
  <c r="AN46" i="13"/>
  <c r="AN13" i="13"/>
  <c r="AW8" i="13"/>
  <c r="AW41" i="13"/>
  <c r="AW54" i="13"/>
  <c r="AW21" i="13"/>
  <c r="BD13" i="13"/>
  <c r="BD46" i="13"/>
  <c r="AU46" i="13"/>
  <c r="AU13" i="13"/>
  <c r="AT59" i="13"/>
  <c r="AT26" i="13"/>
  <c r="BC49" i="13"/>
  <c r="BC16" i="13"/>
  <c r="AS20" i="13"/>
  <c r="AS53" i="13"/>
  <c r="AR50" i="13"/>
  <c r="AR17" i="13"/>
  <c r="AQ55" i="13"/>
  <c r="AQ22" i="13"/>
  <c r="BJ101" i="13"/>
  <c r="BJ68" i="13"/>
  <c r="BJ35" i="13"/>
  <c r="AI45" i="13"/>
  <c r="AI12" i="13"/>
  <c r="AP54" i="13"/>
  <c r="AP21" i="13"/>
  <c r="AO45" i="13"/>
  <c r="AO12" i="13"/>
  <c r="AY20" i="13"/>
  <c r="AY53" i="13"/>
  <c r="BH56" i="13"/>
  <c r="BH23" i="13"/>
  <c r="AX56" i="13"/>
  <c r="AX23" i="13"/>
  <c r="BG15" i="13"/>
  <c r="BG48" i="13"/>
  <c r="BG56" i="13"/>
  <c r="BG23" i="13"/>
  <c r="AP63" i="13"/>
  <c r="AP30" i="13"/>
  <c r="AI57" i="13"/>
  <c r="AI24" i="13"/>
  <c r="AN50" i="13"/>
  <c r="AN17" i="13"/>
  <c r="AW45" i="13"/>
  <c r="AW12" i="13"/>
  <c r="BC56" i="13"/>
  <c r="BC23" i="13"/>
  <c r="AV54" i="13"/>
  <c r="AV21" i="13"/>
  <c r="BE13" i="13"/>
  <c r="BE46" i="13"/>
  <c r="AM8" i="13"/>
  <c r="AM41" i="13"/>
  <c r="BJ17" i="13"/>
  <c r="BJ50" i="13"/>
  <c r="BD62" i="13"/>
  <c r="BD29" i="13"/>
  <c r="AT25" i="13"/>
  <c r="AT58" i="13"/>
  <c r="BC19" i="13"/>
  <c r="BC52" i="13"/>
  <c r="BC62" i="13"/>
  <c r="BC29" i="13"/>
  <c r="AS39" i="13"/>
  <c r="AS6" i="13"/>
  <c r="BB27" i="13"/>
  <c r="BB60" i="13"/>
  <c r="AJ19" i="13"/>
  <c r="AJ52" i="13"/>
  <c r="BK63" i="13"/>
  <c r="BK30" i="13"/>
  <c r="AQ54" i="13"/>
  <c r="AQ21" i="13"/>
  <c r="AZ39" i="13"/>
  <c r="AZ6" i="13"/>
  <c r="AI101" i="13"/>
  <c r="AI68" i="13"/>
  <c r="AI35" i="13"/>
  <c r="BI8" i="13"/>
  <c r="BI41" i="13"/>
  <c r="AP53" i="13"/>
  <c r="AP20" i="13"/>
  <c r="AH28" i="13"/>
  <c r="AH61" i="13"/>
  <c r="AO35" i="13"/>
  <c r="AO101" i="13"/>
  <c r="AO68" i="13"/>
  <c r="BH13" i="13"/>
  <c r="BH46" i="13"/>
  <c r="BH16" i="13"/>
  <c r="BH49" i="13"/>
  <c r="AX21" i="13"/>
  <c r="AX54" i="13"/>
  <c r="BG61" i="13"/>
  <c r="BG28" i="13"/>
  <c r="BG50" i="13"/>
  <c r="BG17" i="13"/>
  <c r="BF22" i="13"/>
  <c r="BF55" i="13"/>
  <c r="AN45" i="13"/>
  <c r="AN12" i="13"/>
  <c r="AW15" i="13"/>
  <c r="AW48" i="13"/>
  <c r="AV48" i="13"/>
  <c r="AV15" i="13"/>
  <c r="BE56" i="13"/>
  <c r="BE23" i="13"/>
  <c r="AM49" i="13"/>
  <c r="AM16" i="13"/>
  <c r="BD56" i="13"/>
  <c r="BD23" i="13"/>
  <c r="AU16" i="13"/>
  <c r="AU49" i="13"/>
  <c r="AL101" i="13"/>
  <c r="AL68" i="13"/>
  <c r="AL35" i="13"/>
  <c r="AT57" i="13"/>
  <c r="AT24" i="13"/>
  <c r="BC8" i="13"/>
  <c r="BC41" i="13"/>
  <c r="AS43" i="13"/>
  <c r="AS10" i="13"/>
  <c r="AS19" i="13"/>
  <c r="AS52" i="13"/>
  <c r="BB46" i="13"/>
  <c r="BB13" i="13"/>
  <c r="AK8" i="13"/>
  <c r="AK41" i="13"/>
  <c r="AR42" i="13"/>
  <c r="AR9" i="13"/>
  <c r="AR49" i="13"/>
  <c r="AR16" i="13"/>
  <c r="BA6" i="13"/>
  <c r="BA39" i="13"/>
  <c r="AJ58" i="13"/>
  <c r="AJ25" i="13"/>
  <c r="AQ40" i="13"/>
  <c r="AQ7" i="13"/>
  <c r="AQ19" i="13"/>
  <c r="AQ52" i="13"/>
  <c r="BJ34" i="13"/>
  <c r="BJ67" i="13"/>
  <c r="AZ20" i="13"/>
  <c r="AZ53" i="13"/>
  <c r="BI28" i="13"/>
  <c r="BI61" i="13"/>
  <c r="BI22" i="13"/>
  <c r="BI55" i="13"/>
  <c r="AP51" i="13"/>
  <c r="AP18" i="13"/>
  <c r="AH31" i="13"/>
  <c r="AH64" i="13"/>
  <c r="AO34" i="13"/>
  <c r="AO67" i="13"/>
  <c r="AY43" i="13"/>
  <c r="AY10" i="13"/>
  <c r="BH15" i="13"/>
  <c r="BH48" i="13"/>
  <c r="AX44" i="13"/>
  <c r="AX11" i="13"/>
  <c r="AX55" i="13"/>
  <c r="AX22" i="13"/>
  <c r="BG62" i="13"/>
  <c r="BG29" i="13"/>
  <c r="BG42" i="13"/>
  <c r="BG9" i="13"/>
  <c r="AO20" i="13"/>
  <c r="AO53" i="13"/>
  <c r="BJ23" i="13"/>
  <c r="BJ56" i="13"/>
  <c r="AW43" i="13"/>
  <c r="AW10" i="13"/>
  <c r="AV53" i="13"/>
  <c r="AV20" i="13"/>
  <c r="BE16" i="13"/>
  <c r="BE49" i="13"/>
  <c r="BD16" i="13"/>
  <c r="BD49" i="13"/>
  <c r="BD61" i="13"/>
  <c r="BD28" i="13"/>
  <c r="AL34" i="13"/>
  <c r="AL67" i="13"/>
  <c r="AT56" i="13"/>
  <c r="AT23" i="13"/>
  <c r="BC45" i="13"/>
  <c r="BC12" i="13"/>
  <c r="BC61" i="13"/>
  <c r="BC28" i="13"/>
  <c r="AS47" i="13"/>
  <c r="AS14" i="13"/>
  <c r="BB56" i="13"/>
  <c r="BB23" i="13"/>
  <c r="BB26" i="13"/>
  <c r="BB59" i="13"/>
  <c r="AK49" i="13"/>
  <c r="AK16" i="13"/>
  <c r="AZ7" i="13"/>
  <c r="AZ40" i="13"/>
  <c r="AR46" i="13"/>
  <c r="AR13" i="13"/>
  <c r="BA43" i="13"/>
  <c r="BA10" i="13"/>
  <c r="AJ47" i="13"/>
  <c r="AJ14" i="13"/>
  <c r="BI6" i="13"/>
  <c r="BI39" i="13"/>
  <c r="BI43" i="13"/>
  <c r="BI10" i="13"/>
  <c r="AH53" i="13"/>
  <c r="AH20" i="13"/>
  <c r="AO66" i="13"/>
  <c r="AO33" i="13"/>
  <c r="AY47" i="13"/>
  <c r="AY14" i="13"/>
  <c r="AX18" i="13"/>
  <c r="AX51" i="13"/>
  <c r="BG101" i="13"/>
  <c r="BG35" i="13"/>
  <c r="BG68" i="13"/>
  <c r="BF6" i="13"/>
  <c r="BF39" i="13"/>
  <c r="AW47" i="13"/>
  <c r="AW14" i="13"/>
  <c r="AV50" i="13"/>
  <c r="AV17" i="13"/>
  <c r="AI51" i="13"/>
  <c r="AI18" i="13"/>
  <c r="BE19" i="13"/>
  <c r="BE52" i="13"/>
  <c r="AM19" i="13"/>
  <c r="AM52" i="13"/>
  <c r="BD19" i="13"/>
  <c r="BD52" i="13"/>
  <c r="AU41" i="13"/>
  <c r="AU8" i="13"/>
  <c r="AU68" i="13"/>
  <c r="AU35" i="13"/>
  <c r="AU101" i="13"/>
  <c r="AL65" i="13"/>
  <c r="AL32" i="13"/>
  <c r="AT50" i="13"/>
  <c r="AT17" i="13"/>
  <c r="AT55" i="13"/>
  <c r="AT22" i="13"/>
  <c r="BC54" i="13"/>
  <c r="BC21" i="13"/>
  <c r="AS18" i="13"/>
  <c r="AS51" i="13"/>
  <c r="BB54" i="13"/>
  <c r="BB21" i="13"/>
  <c r="BA40" i="13"/>
  <c r="BA7" i="13"/>
  <c r="BA53" i="13"/>
  <c r="BA20" i="13"/>
  <c r="AJ57" i="13"/>
  <c r="AJ24" i="13"/>
  <c r="AJ101" i="13"/>
  <c r="AJ68" i="13"/>
  <c r="AJ35" i="13"/>
  <c r="AQ51" i="13"/>
  <c r="AQ18" i="13"/>
  <c r="BJ25" i="13"/>
  <c r="BJ58" i="13"/>
  <c r="AZ47" i="13"/>
  <c r="AZ14" i="13"/>
  <c r="AI48" i="13"/>
  <c r="AI15" i="13"/>
  <c r="AI31" i="13"/>
  <c r="AI64" i="13"/>
  <c r="AP50" i="13"/>
  <c r="AP17" i="13"/>
  <c r="AH63" i="13"/>
  <c r="AH30" i="13"/>
  <c r="AO65" i="13"/>
  <c r="AO32" i="13"/>
  <c r="AY40" i="13"/>
  <c r="AY7" i="13"/>
  <c r="AY50" i="13"/>
  <c r="AY17" i="13"/>
  <c r="BH7" i="13"/>
  <c r="BH40" i="13"/>
  <c r="AX20" i="13"/>
  <c r="AX53" i="13"/>
  <c r="BF43" i="13"/>
  <c r="BF10" i="13"/>
  <c r="BK23" i="13"/>
  <c r="BK56" i="13"/>
  <c r="BE18" i="13"/>
  <c r="BE51" i="13"/>
  <c r="BD45" i="13"/>
  <c r="BD12" i="13"/>
  <c r="AU67" i="13"/>
  <c r="AU34" i="13"/>
  <c r="AL60" i="13"/>
  <c r="AL27" i="13"/>
  <c r="AL31" i="13"/>
  <c r="AL64" i="13"/>
  <c r="BC26" i="13"/>
  <c r="BC59" i="13"/>
  <c r="BC60" i="13"/>
  <c r="BC27" i="13"/>
  <c r="BB7" i="13"/>
  <c r="BB40" i="13"/>
  <c r="AJ31" i="13"/>
  <c r="AJ64" i="13"/>
  <c r="BK22" i="13"/>
  <c r="BK55" i="13"/>
  <c r="BJ28" i="13"/>
  <c r="BJ61" i="13"/>
  <c r="AI6" i="13"/>
  <c r="AI39" i="13"/>
  <c r="AI28" i="13"/>
  <c r="AI61" i="13"/>
  <c r="BI49" i="13"/>
  <c r="BI16" i="13"/>
  <c r="BI53" i="13"/>
  <c r="BI20" i="13"/>
  <c r="AH60" i="13"/>
  <c r="AH27" i="13"/>
  <c r="AO64" i="13"/>
  <c r="AO31" i="13"/>
  <c r="BH58" i="13"/>
  <c r="BH25" i="13"/>
  <c r="BH44" i="13"/>
  <c r="BH11" i="13"/>
  <c r="BG34" i="13"/>
  <c r="BG67" i="13"/>
  <c r="AZ60" i="13"/>
  <c r="AZ27" i="13"/>
  <c r="BF14" i="13"/>
  <c r="BF47" i="13"/>
  <c r="AW17" i="13"/>
  <c r="AW50" i="13"/>
  <c r="BE57" i="13"/>
  <c r="BE24" i="13"/>
  <c r="AM28" i="13"/>
  <c r="AM61" i="13"/>
  <c r="BD54" i="13"/>
  <c r="BD21" i="13"/>
  <c r="AU33" i="13"/>
  <c r="AU66" i="13"/>
  <c r="AL30" i="13"/>
  <c r="AL63" i="13"/>
  <c r="AT54" i="13"/>
  <c r="AT21" i="13"/>
  <c r="BC15" i="13"/>
  <c r="BC48" i="13"/>
  <c r="AV43" i="13"/>
  <c r="AV10" i="13"/>
  <c r="AS50" i="13"/>
  <c r="AS17" i="13"/>
  <c r="BB44" i="13"/>
  <c r="BB11" i="13"/>
  <c r="BA47" i="13"/>
  <c r="BA14" i="13"/>
  <c r="AJ40" i="13"/>
  <c r="AJ7" i="13"/>
  <c r="BK53" i="13"/>
  <c r="BK20" i="13"/>
  <c r="BK60" i="13"/>
  <c r="BK27" i="13"/>
  <c r="AQ50" i="13"/>
  <c r="AQ17" i="13"/>
  <c r="BJ65" i="13"/>
  <c r="BJ32" i="13"/>
  <c r="AZ50" i="13"/>
  <c r="AZ17" i="13"/>
  <c r="AI60" i="13"/>
  <c r="AI27" i="13"/>
  <c r="BI31" i="13"/>
  <c r="BI64" i="13"/>
  <c r="BI25" i="13"/>
  <c r="BI58" i="13"/>
  <c r="AP42" i="13"/>
  <c r="AP9" i="13"/>
  <c r="AP49" i="13"/>
  <c r="AP16" i="13"/>
  <c r="AH59" i="13"/>
  <c r="AH26" i="13"/>
  <c r="AO39" i="13"/>
  <c r="AO6" i="13"/>
  <c r="AO30" i="13"/>
  <c r="AO63" i="13"/>
  <c r="AX43" i="13"/>
  <c r="AX10" i="13"/>
  <c r="AI29" i="13"/>
  <c r="AI62" i="13"/>
  <c r="BF53" i="13"/>
  <c r="BF20" i="13"/>
  <c r="BF61" i="13"/>
  <c r="BF28" i="13"/>
  <c r="BE25" i="13"/>
  <c r="BE58" i="13"/>
  <c r="AM68" i="13"/>
  <c r="AM35" i="13"/>
  <c r="AM101" i="13"/>
  <c r="AI47" i="13"/>
  <c r="AI14" i="13"/>
  <c r="BD26" i="13"/>
  <c r="BD59" i="13"/>
  <c r="AU65" i="13"/>
  <c r="AU32" i="13"/>
  <c r="AL61" i="13"/>
  <c r="AL28" i="13"/>
  <c r="AT48" i="13"/>
  <c r="AT15" i="13"/>
  <c r="BC7" i="13"/>
  <c r="BC40" i="13"/>
  <c r="AQ43" i="13"/>
  <c r="AQ10" i="13"/>
  <c r="BB18" i="13"/>
  <c r="BB51" i="13"/>
  <c r="AK58" i="13"/>
  <c r="AK25" i="13"/>
  <c r="AJ32" i="13"/>
  <c r="AJ65" i="13"/>
  <c r="BK24" i="13"/>
  <c r="BK57" i="13"/>
  <c r="BJ54" i="13"/>
  <c r="BJ21" i="13"/>
  <c r="AI58" i="13"/>
  <c r="AI25" i="13"/>
  <c r="BI9" i="13"/>
  <c r="BI42" i="13"/>
  <c r="BI52" i="13"/>
  <c r="BI19" i="13"/>
  <c r="AP46" i="13"/>
  <c r="AP13" i="13"/>
  <c r="AH24" i="13"/>
  <c r="AH57" i="13"/>
  <c r="AO61" i="13"/>
  <c r="AO28" i="13"/>
  <c r="AY18" i="13"/>
  <c r="AY51" i="13"/>
  <c r="BH63" i="13"/>
  <c r="BH30" i="13"/>
  <c r="AX47" i="13"/>
  <c r="AX14" i="13"/>
  <c r="BG66" i="13"/>
  <c r="BG33" i="13"/>
  <c r="AN8" i="13"/>
  <c r="AN41" i="13"/>
  <c r="BE60" i="13"/>
  <c r="BE27" i="13"/>
  <c r="AU48" i="13"/>
  <c r="AU15" i="13"/>
  <c r="AU31" i="13"/>
  <c r="AU64" i="13"/>
  <c r="AL58" i="13"/>
  <c r="AL25" i="13"/>
  <c r="AT40" i="13"/>
  <c r="AT7" i="13"/>
  <c r="AT20" i="13"/>
  <c r="AT53" i="13"/>
  <c r="BC44" i="13"/>
  <c r="BC11" i="13"/>
  <c r="AS42" i="13"/>
  <c r="AS9" i="13"/>
  <c r="BB24" i="13"/>
  <c r="BB57" i="13"/>
  <c r="AJ29" i="13"/>
  <c r="AJ62" i="13"/>
  <c r="BK31" i="13"/>
  <c r="BK64" i="13"/>
  <c r="BK54" i="13"/>
  <c r="BK21" i="13"/>
  <c r="AQ53" i="13"/>
  <c r="AQ20" i="13"/>
  <c r="AQ49" i="13"/>
  <c r="AQ16" i="13"/>
  <c r="BJ66" i="13"/>
  <c r="BJ33" i="13"/>
  <c r="AI55" i="13"/>
  <c r="AI22" i="13"/>
  <c r="BI12" i="13"/>
  <c r="BI45" i="13"/>
  <c r="BI14" i="13"/>
  <c r="BI47" i="13"/>
  <c r="AP48" i="13"/>
  <c r="AP15" i="13"/>
  <c r="AH54" i="13"/>
  <c r="AH21" i="13"/>
  <c r="AO60" i="13"/>
  <c r="AO27" i="13"/>
  <c r="AY46" i="13"/>
  <c r="AY13" i="13"/>
  <c r="AX50" i="13"/>
  <c r="AX17" i="13"/>
  <c r="AH67" i="13"/>
  <c r="AH34" i="13"/>
  <c r="AW18" i="13"/>
  <c r="AW51" i="13"/>
  <c r="AL57" i="13"/>
  <c r="AL24" i="13"/>
  <c r="AS46" i="13"/>
  <c r="AS13" i="13"/>
  <c r="AK101" i="13"/>
  <c r="AK35" i="13"/>
  <c r="AK68" i="13"/>
  <c r="AR47" i="13"/>
  <c r="AR14" i="13"/>
  <c r="AR41" i="13"/>
  <c r="AR8" i="13"/>
  <c r="BA50" i="13"/>
  <c r="BA17" i="13"/>
  <c r="AJ48" i="13"/>
  <c r="AJ15" i="13"/>
  <c r="AJ28" i="13"/>
  <c r="AJ61" i="13"/>
  <c r="BK42" i="13"/>
  <c r="BK9" i="13"/>
  <c r="BK49" i="13"/>
  <c r="BK16" i="13"/>
  <c r="BJ62" i="13"/>
  <c r="BJ29" i="13"/>
  <c r="AZ18" i="13"/>
  <c r="AZ51" i="13"/>
  <c r="AI53" i="13"/>
  <c r="AI20" i="13"/>
  <c r="BI54" i="13"/>
  <c r="BI21" i="13"/>
  <c r="BI44" i="13"/>
  <c r="BI11" i="13"/>
  <c r="AH52" i="13"/>
  <c r="AH19" i="13"/>
  <c r="AO59" i="13"/>
  <c r="AO26" i="13"/>
  <c r="BH60" i="13"/>
  <c r="BH27" i="13"/>
  <c r="BG32" i="13"/>
  <c r="BG65" i="13"/>
  <c r="AM43" i="13"/>
  <c r="AM10" i="13"/>
  <c r="AU20" i="13"/>
  <c r="AU53" i="13"/>
  <c r="AS29" i="13"/>
  <c r="AS62" i="13"/>
  <c r="AX63" i="13"/>
  <c r="AX30" i="13"/>
  <c r="AN56" i="13"/>
  <c r="AN23" i="13"/>
  <c r="AL50" i="13"/>
  <c r="AL17" i="13"/>
  <c r="AY25" i="13"/>
  <c r="AY58" i="13"/>
  <c r="AM66" i="13"/>
  <c r="AM33" i="13"/>
  <c r="AV46" i="13"/>
  <c r="AV13" i="13"/>
  <c r="AM65" i="13"/>
  <c r="AM32" i="13"/>
  <c r="BF50" i="13"/>
  <c r="BF17" i="13"/>
  <c r="AW42" i="13"/>
  <c r="AW9" i="13"/>
  <c r="AM31" i="13"/>
  <c r="AM64" i="13"/>
  <c r="BD57" i="13"/>
  <c r="BD24" i="13"/>
  <c r="BD44" i="13"/>
  <c r="BD11" i="13"/>
  <c r="AU62" i="13"/>
  <c r="AU29" i="13"/>
  <c r="AL56" i="13"/>
  <c r="AL23" i="13"/>
  <c r="AT6" i="13"/>
  <c r="AT39" i="13"/>
  <c r="AT52" i="13"/>
  <c r="AT19" i="13"/>
  <c r="BC57" i="13"/>
  <c r="BC24" i="13"/>
  <c r="BB55" i="13"/>
  <c r="BB22" i="13"/>
  <c r="AK61" i="13"/>
  <c r="AK28" i="13"/>
  <c r="AR45" i="13"/>
  <c r="AR12" i="13"/>
  <c r="BA8" i="13"/>
  <c r="BA41" i="13"/>
  <c r="AJ6" i="13"/>
  <c r="AJ39" i="13"/>
  <c r="AJ59" i="13"/>
  <c r="AJ26" i="13"/>
  <c r="BK13" i="13"/>
  <c r="BK46" i="13"/>
  <c r="AQ42" i="13"/>
  <c r="AQ9" i="13"/>
  <c r="AQ48" i="13"/>
  <c r="AQ15" i="13"/>
  <c r="AZ42" i="13"/>
  <c r="AZ9" i="13"/>
  <c r="AI19" i="13"/>
  <c r="AI52" i="13"/>
  <c r="AP47" i="13"/>
  <c r="AP14" i="13"/>
  <c r="AH49" i="13"/>
  <c r="AH16" i="13"/>
  <c r="AO25" i="13"/>
  <c r="AO58" i="13"/>
  <c r="AY42" i="13"/>
  <c r="AY9" i="13"/>
  <c r="BF56" i="13"/>
  <c r="BF23" i="13"/>
  <c r="BD14" i="13"/>
  <c r="BD47" i="13"/>
  <c r="AS45" i="13"/>
  <c r="AS12" i="13"/>
  <c r="AR57" i="13"/>
  <c r="AR24" i="13"/>
  <c r="BJ52" i="13"/>
  <c r="BJ19" i="13"/>
  <c r="AH22" i="13"/>
  <c r="AH55" i="13"/>
  <c r="AY45" i="13"/>
  <c r="AY12" i="13"/>
  <c r="BH101" i="13"/>
  <c r="BH35" i="13"/>
  <c r="BH68" i="13"/>
  <c r="BF26" i="13"/>
  <c r="BF59" i="13"/>
  <c r="AM51" i="13"/>
  <c r="AM18" i="13"/>
  <c r="AS61" i="13"/>
  <c r="AS28" i="13"/>
  <c r="BD15" i="13"/>
  <c r="BD48" i="13"/>
  <c r="AN44" i="13"/>
  <c r="AN11" i="13"/>
  <c r="AM39" i="13"/>
  <c r="AM6" i="13"/>
  <c r="BD7" i="13"/>
  <c r="BD40" i="13"/>
  <c r="AU63" i="13"/>
  <c r="AU30" i="13"/>
  <c r="AL54" i="13"/>
  <c r="AL21" i="13"/>
  <c r="AT44" i="13"/>
  <c r="AT11" i="13"/>
  <c r="BF16" i="13"/>
  <c r="BF49" i="13"/>
  <c r="AN52" i="13"/>
  <c r="AN19" i="13"/>
  <c r="AW46" i="13"/>
  <c r="AW13" i="13"/>
  <c r="BE22" i="13"/>
  <c r="BE55" i="13"/>
  <c r="AM29" i="13"/>
  <c r="AM62" i="13"/>
  <c r="BD60" i="13"/>
  <c r="BD27" i="13"/>
  <c r="AU28" i="13"/>
  <c r="AU61" i="13"/>
  <c r="AL22" i="13"/>
  <c r="AL55" i="13"/>
  <c r="AT43" i="13"/>
  <c r="AT10" i="13"/>
  <c r="AK48" i="13"/>
  <c r="AK15" i="13"/>
  <c r="AR35" i="13"/>
  <c r="AR101" i="13"/>
  <c r="AR68" i="13"/>
  <c r="BA15" i="13"/>
  <c r="BA48" i="13"/>
  <c r="AJ56" i="13"/>
  <c r="AJ23" i="13"/>
  <c r="BK7" i="13"/>
  <c r="BK40" i="13"/>
  <c r="AQ46" i="13"/>
  <c r="AQ13" i="13"/>
  <c r="AI50" i="13"/>
  <c r="AI17" i="13"/>
  <c r="BI101" i="13"/>
  <c r="BI35" i="13"/>
  <c r="BI68" i="13"/>
  <c r="AH48" i="13"/>
  <c r="AH15" i="13"/>
  <c r="AO57" i="13"/>
  <c r="AO24" i="13"/>
  <c r="AY8" i="13"/>
  <c r="AY41" i="13"/>
  <c r="AY101" i="13"/>
  <c r="AY35" i="13"/>
  <c r="AY68" i="13"/>
  <c r="BH52" i="13"/>
  <c r="BH19" i="13"/>
  <c r="AX7" i="13"/>
  <c r="AX40" i="13"/>
  <c r="BG31" i="13"/>
  <c r="BG64" i="13"/>
  <c r="AN57" i="13"/>
  <c r="AN24" i="13"/>
  <c r="BE34" i="13"/>
  <c r="BE67" i="13"/>
  <c r="AL29" i="13"/>
  <c r="AL62" i="13"/>
  <c r="BB35" i="13"/>
  <c r="BB101" i="13"/>
  <c r="BB68" i="13"/>
  <c r="BK62" i="13"/>
  <c r="BK29" i="13"/>
  <c r="BG63" i="13"/>
  <c r="BG30" i="13"/>
  <c r="AV28" i="13"/>
  <c r="AV61" i="13"/>
  <c r="AT35" i="13"/>
  <c r="AT101" i="13"/>
  <c r="AT68" i="13"/>
  <c r="AR56" i="13"/>
  <c r="AR23" i="13"/>
  <c r="AV42" i="13"/>
  <c r="AV9" i="13"/>
  <c r="BC18" i="13"/>
  <c r="BC51" i="13"/>
  <c r="BF8" i="13"/>
  <c r="BF41" i="13"/>
  <c r="AW19" i="13"/>
  <c r="AW52" i="13"/>
  <c r="AV51" i="13"/>
  <c r="AV18" i="13"/>
  <c r="AM59" i="13"/>
  <c r="AM26" i="13"/>
  <c r="AU60" i="13"/>
  <c r="AU27" i="13"/>
  <c r="AL53" i="13"/>
  <c r="AL20" i="13"/>
  <c r="AT47" i="13"/>
  <c r="AT14" i="13"/>
  <c r="AT18" i="13"/>
  <c r="AT51" i="13"/>
  <c r="AR43" i="13"/>
  <c r="AR10" i="13"/>
  <c r="AS49" i="13"/>
  <c r="AS16" i="13"/>
  <c r="BB39" i="13"/>
  <c r="BB6" i="13"/>
  <c r="AK39" i="13"/>
  <c r="AK6" i="13"/>
  <c r="AK31" i="13"/>
  <c r="AK64" i="13"/>
  <c r="AR48" i="13"/>
  <c r="AR15" i="13"/>
  <c r="AR34" i="13"/>
  <c r="AR67" i="13"/>
  <c r="AJ22" i="13"/>
  <c r="AJ55" i="13"/>
  <c r="AZ41" i="13"/>
  <c r="AZ8" i="13"/>
  <c r="AZ46" i="13"/>
  <c r="AZ13" i="13"/>
  <c r="AI49" i="13"/>
  <c r="AI16" i="13"/>
  <c r="AH50" i="13"/>
  <c r="AH17" i="13"/>
  <c r="AH43" i="13"/>
  <c r="AH10" i="13"/>
  <c r="AO56" i="13"/>
  <c r="AO23" i="13"/>
  <c r="AY19" i="13"/>
  <c r="AY52" i="13"/>
  <c r="AY34" i="13"/>
  <c r="AY67" i="13"/>
  <c r="BH59" i="13"/>
  <c r="BH26" i="13"/>
  <c r="BH22" i="13"/>
  <c r="BH55" i="13"/>
  <c r="BG16" i="13"/>
  <c r="BG49" i="13"/>
  <c r="BG60" i="13"/>
  <c r="BG27" i="13"/>
  <c r="BF101" i="13"/>
  <c r="BF35" i="13"/>
  <c r="BF68" i="13"/>
  <c r="AN35" i="13"/>
  <c r="AN101" i="13"/>
  <c r="AN68" i="13"/>
  <c r="AW44" i="13"/>
  <c r="AW11" i="13"/>
  <c r="AW40" i="13"/>
  <c r="AW7" i="13"/>
  <c r="AV16" i="13"/>
  <c r="AV49" i="13"/>
  <c r="BE6" i="13"/>
  <c r="BE39" i="13"/>
  <c r="AM25" i="13"/>
  <c r="AM58" i="13"/>
  <c r="BD18" i="13"/>
  <c r="BD51" i="13"/>
  <c r="AU45" i="13"/>
  <c r="AU12" i="13"/>
  <c r="AU26" i="13"/>
  <c r="AU59" i="13"/>
  <c r="AL19" i="13"/>
  <c r="AL52" i="13"/>
  <c r="BC22" i="13"/>
  <c r="BC55" i="13"/>
  <c r="BB43" i="13"/>
  <c r="BB10" i="13"/>
  <c r="AK53" i="13"/>
  <c r="AK20" i="13"/>
  <c r="AK66" i="13"/>
  <c r="AK33" i="13"/>
  <c r="AR66" i="13"/>
  <c r="AR33" i="13"/>
  <c r="BA42" i="13"/>
  <c r="BA9" i="13"/>
  <c r="AJ54" i="13"/>
  <c r="AJ21" i="13"/>
  <c r="BK6" i="13"/>
  <c r="BK39" i="13"/>
  <c r="BJ7" i="13"/>
  <c r="BJ40" i="13"/>
  <c r="AZ19" i="13"/>
  <c r="AZ52" i="13"/>
  <c r="AZ43" i="13"/>
  <c r="AZ10" i="13"/>
  <c r="AI11" i="13"/>
  <c r="AI44" i="13"/>
  <c r="BI34" i="13"/>
  <c r="BI67" i="13"/>
  <c r="AH23" i="13"/>
  <c r="AH56" i="13"/>
  <c r="AO22" i="13"/>
  <c r="AO55" i="13"/>
  <c r="AY44" i="13"/>
  <c r="AY11" i="13"/>
  <c r="AY66" i="13"/>
  <c r="AY33" i="13"/>
  <c r="AX42" i="13"/>
  <c r="AX9" i="13"/>
  <c r="BG52" i="13"/>
  <c r="BG19" i="13"/>
  <c r="AY49" i="13"/>
  <c r="AY16" i="13"/>
  <c r="BF34" i="13"/>
  <c r="BF67" i="13"/>
  <c r="AN34" i="13"/>
  <c r="AN67" i="13"/>
  <c r="AW35" i="13"/>
  <c r="AW101" i="13"/>
  <c r="AW68" i="13"/>
  <c r="AV19" i="13"/>
  <c r="AV52" i="13"/>
  <c r="BE43" i="13"/>
  <c r="BE10" i="13"/>
  <c r="AM57" i="13"/>
  <c r="AM24" i="13"/>
  <c r="BD22" i="13"/>
  <c r="BD55" i="13"/>
  <c r="AU25" i="13"/>
  <c r="AU58" i="13"/>
  <c r="AL47" i="13"/>
  <c r="AL14" i="13"/>
  <c r="AS41" i="13"/>
  <c r="AS8" i="13"/>
  <c r="BB53" i="13"/>
  <c r="BB20" i="13"/>
  <c r="AK30" i="13"/>
  <c r="AK63" i="13"/>
  <c r="AR65" i="13"/>
  <c r="AR32" i="13"/>
  <c r="BA44" i="13"/>
  <c r="BA11" i="13"/>
  <c r="AJ53" i="13"/>
  <c r="AJ20" i="13"/>
  <c r="BJ11" i="13"/>
  <c r="BJ44" i="13"/>
  <c r="AZ44" i="13"/>
  <c r="AZ11" i="13"/>
  <c r="AZ101" i="13"/>
  <c r="AZ35" i="13"/>
  <c r="AZ68" i="13"/>
  <c r="AP41" i="13"/>
  <c r="AP8" i="13"/>
  <c r="AH32" i="13"/>
  <c r="AH65" i="13"/>
  <c r="AH42" i="13"/>
  <c r="AH9" i="13"/>
  <c r="AO54" i="13"/>
  <c r="AO21" i="13"/>
  <c r="AY65" i="13"/>
  <c r="AY32" i="13"/>
  <c r="BH6" i="13"/>
  <c r="BH39" i="13"/>
  <c r="AX46" i="13"/>
  <c r="AX13" i="13"/>
  <c r="BG12" i="13"/>
  <c r="BG45" i="13"/>
  <c r="BB34" i="13"/>
  <c r="BB67" i="13"/>
  <c r="BD43" i="13"/>
  <c r="BD10" i="13"/>
  <c r="AS44" i="13"/>
  <c r="AS11" i="13"/>
  <c r="BB14" i="13"/>
  <c r="BB47" i="13"/>
  <c r="AK29" i="13"/>
  <c r="AK62" i="13"/>
  <c r="AR64" i="13"/>
  <c r="AR31" i="13"/>
  <c r="BA68" i="13"/>
  <c r="BA35" i="13"/>
  <c r="BA101" i="13"/>
  <c r="AJ51" i="13"/>
  <c r="AJ18" i="13"/>
  <c r="BK28" i="13"/>
  <c r="BK61" i="13"/>
  <c r="BK101" i="13"/>
  <c r="BK68" i="13"/>
  <c r="BK35" i="13"/>
  <c r="BJ18" i="13"/>
  <c r="BJ51" i="13"/>
  <c r="AZ67" i="13"/>
  <c r="AZ34" i="13"/>
  <c r="AI54" i="13"/>
  <c r="AI21" i="13"/>
  <c r="AI10" i="13"/>
  <c r="AI43" i="13"/>
  <c r="BI66" i="13"/>
  <c r="BI33" i="13"/>
  <c r="AP45" i="13"/>
  <c r="AP12" i="13"/>
  <c r="AO52" i="13"/>
  <c r="AO19" i="13"/>
  <c r="AY48" i="13"/>
  <c r="AY15" i="13"/>
  <c r="AY31" i="13"/>
  <c r="AY64" i="13"/>
  <c r="BH14" i="13"/>
  <c r="BH47" i="13"/>
  <c r="BG54" i="13"/>
  <c r="BG21" i="13"/>
  <c r="AQ64" i="13"/>
  <c r="AQ31" i="13"/>
  <c r="AL40" i="13"/>
  <c r="AL7" i="13"/>
  <c r="BF66" i="13"/>
  <c r="BF33" i="13"/>
  <c r="AN65" i="13"/>
  <c r="AN32" i="13"/>
  <c r="AW66" i="13"/>
  <c r="AW33" i="13"/>
  <c r="AV68" i="13"/>
  <c r="AV101" i="13"/>
  <c r="AV35" i="13"/>
  <c r="BE53" i="13"/>
  <c r="BE20" i="13"/>
  <c r="AM22" i="13"/>
  <c r="AM55" i="13"/>
  <c r="BD53" i="13"/>
  <c r="BD20" i="13"/>
  <c r="AU56" i="13"/>
  <c r="AU23" i="13"/>
  <c r="AL46" i="13"/>
  <c r="AL13" i="13"/>
  <c r="AT42" i="13"/>
  <c r="AT9" i="13"/>
  <c r="BC10" i="13"/>
  <c r="BC43" i="13"/>
  <c r="AS35" i="13"/>
  <c r="AS101" i="13"/>
  <c r="AS68" i="13"/>
  <c r="AK60" i="13"/>
  <c r="AK27" i="13"/>
  <c r="AR63" i="13"/>
  <c r="AR30" i="13"/>
  <c r="BA34" i="13"/>
  <c r="BA67" i="13"/>
  <c r="AJ50" i="13"/>
  <c r="AJ17" i="13"/>
  <c r="BK32" i="13"/>
  <c r="BK65" i="13"/>
  <c r="BJ57" i="13"/>
  <c r="BJ24" i="13"/>
  <c r="AZ66" i="13"/>
  <c r="AZ33" i="13"/>
  <c r="AP19" i="13"/>
  <c r="AP52" i="13"/>
  <c r="AH8" i="13"/>
  <c r="AH41" i="13"/>
  <c r="AO50" i="13"/>
  <c r="AO17" i="13"/>
  <c r="AY63" i="13"/>
  <c r="AY30" i="13"/>
  <c r="BH53" i="13"/>
  <c r="BH20" i="13"/>
  <c r="AX41" i="13"/>
  <c r="AX8" i="13"/>
  <c r="BG13" i="13"/>
  <c r="BG46" i="13"/>
  <c r="BG59" i="13"/>
  <c r="BG26" i="13"/>
  <c r="AJ9" i="13"/>
  <c r="AJ42" i="13"/>
  <c r="BF54" i="13"/>
  <c r="BF21" i="13"/>
  <c r="AN64" i="13"/>
  <c r="AN31" i="13"/>
  <c r="AW65" i="13"/>
  <c r="AW32" i="13"/>
  <c r="AV47" i="13"/>
  <c r="AV14" i="13"/>
  <c r="AV34" i="13"/>
  <c r="AV67" i="13"/>
  <c r="AM54" i="13"/>
  <c r="AM21" i="13"/>
  <c r="AL66" i="13"/>
  <c r="AL33" i="13"/>
  <c r="AT46" i="13"/>
  <c r="AT13" i="13"/>
  <c r="BC53" i="13"/>
  <c r="BC20" i="13"/>
  <c r="AS34" i="13"/>
  <c r="AS67" i="13"/>
  <c r="BB19" i="13"/>
  <c r="BB52" i="13"/>
  <c r="AK57" i="13"/>
  <c r="AK24" i="13"/>
  <c r="AR62" i="13"/>
  <c r="AR29" i="13"/>
  <c r="BA45" i="13"/>
  <c r="BA12" i="13"/>
  <c r="BA33" i="13"/>
  <c r="BA66" i="13"/>
  <c r="AJ45" i="13"/>
  <c r="AJ12" i="13"/>
  <c r="BK52" i="13"/>
  <c r="BK19" i="13"/>
  <c r="AQ41" i="13"/>
  <c r="AQ8" i="13"/>
  <c r="AZ32" i="13"/>
  <c r="AZ65" i="13"/>
  <c r="AI9" i="13"/>
  <c r="AI42" i="13"/>
  <c r="BI17" i="13"/>
  <c r="BI50" i="13"/>
  <c r="AH51" i="13"/>
  <c r="AH18" i="13"/>
  <c r="AY62" i="13"/>
  <c r="AY29" i="13"/>
  <c r="BH8" i="13"/>
  <c r="BH41" i="13"/>
  <c r="AX35" i="13"/>
  <c r="AX101" i="13"/>
  <c r="AX68" i="13"/>
  <c r="BG7" i="13"/>
  <c r="BG40" i="13"/>
  <c r="AW64" i="13"/>
  <c r="AW31" i="13"/>
  <c r="AV66" i="13"/>
  <c r="AV33" i="13"/>
  <c r="BE50" i="13"/>
  <c r="BE17" i="13"/>
  <c r="AM20" i="13"/>
  <c r="AM53" i="13"/>
  <c r="AU55" i="13"/>
  <c r="AU22" i="13"/>
  <c r="AL48" i="13"/>
  <c r="AL15" i="13"/>
  <c r="AL45" i="13"/>
  <c r="AL12" i="13"/>
  <c r="AS48" i="13"/>
  <c r="AS15" i="13"/>
  <c r="AS66" i="13"/>
  <c r="AS33" i="13"/>
  <c r="BB8" i="13"/>
  <c r="BB41" i="13"/>
  <c r="BB50" i="13"/>
  <c r="BB17" i="13"/>
  <c r="AK23" i="13"/>
  <c r="AK56" i="13"/>
  <c r="AR28" i="13"/>
  <c r="AR61" i="13"/>
  <c r="BA65" i="13"/>
  <c r="BA32" i="13"/>
  <c r="BK8" i="13"/>
  <c r="BK41" i="13"/>
  <c r="AQ47" i="13"/>
  <c r="AQ14" i="13"/>
  <c r="AQ45" i="13"/>
  <c r="AQ12" i="13"/>
  <c r="AZ64" i="13"/>
  <c r="AZ31" i="13"/>
  <c r="BI13" i="13"/>
  <c r="BI46" i="13"/>
  <c r="AP44" i="13"/>
  <c r="AP11" i="13"/>
  <c r="AP35" i="13"/>
  <c r="AP101" i="13"/>
  <c r="AP68" i="13"/>
  <c r="AH29" i="13"/>
  <c r="AH62" i="13"/>
  <c r="AH7" i="13"/>
  <c r="AH40" i="13"/>
  <c r="AO43" i="13"/>
  <c r="AO10" i="13"/>
  <c r="AO49" i="13"/>
  <c r="AO16" i="13"/>
  <c r="AY61" i="13"/>
  <c r="AY28" i="13"/>
  <c r="BH62" i="13"/>
  <c r="BH29" i="13"/>
  <c r="BH57" i="13"/>
  <c r="BH24" i="13"/>
  <c r="AX19" i="13"/>
  <c r="AX52" i="13"/>
  <c r="AX34" i="13"/>
  <c r="AX67" i="13"/>
  <c r="BG44" i="13"/>
  <c r="BG11" i="13"/>
  <c r="BJ22" i="13"/>
  <c r="BJ55" i="13"/>
  <c r="AU57" i="13"/>
  <c r="AU24" i="13"/>
  <c r="AN42" i="13"/>
  <c r="AN9" i="13"/>
  <c r="AW63" i="13"/>
  <c r="AW30" i="13"/>
  <c r="BE8" i="13"/>
  <c r="BE41" i="13"/>
  <c r="BD8" i="13"/>
  <c r="BD41" i="13"/>
  <c r="BC14" i="13"/>
  <c r="BC47" i="13"/>
  <c r="AS65" i="13"/>
  <c r="AS32" i="13"/>
  <c r="BB15" i="13"/>
  <c r="BB48" i="13"/>
  <c r="AK22" i="13"/>
  <c r="AK55" i="13"/>
  <c r="AR60" i="13"/>
  <c r="AR27" i="13"/>
  <c r="BA64" i="13"/>
  <c r="BA31" i="13"/>
  <c r="AJ44" i="13"/>
  <c r="AJ11" i="13"/>
  <c r="BK12" i="13"/>
  <c r="BK45" i="13"/>
  <c r="AQ35" i="13"/>
  <c r="AQ101" i="13"/>
  <c r="AQ68" i="13"/>
  <c r="BJ30" i="13"/>
  <c r="BJ63" i="13"/>
  <c r="AZ63" i="13"/>
  <c r="AZ30" i="13"/>
  <c r="AI46" i="13"/>
  <c r="AI13" i="13"/>
  <c r="AI41" i="13"/>
  <c r="AI8" i="13"/>
  <c r="BI32" i="13"/>
  <c r="BI65" i="13"/>
  <c r="AP34" i="13"/>
  <c r="AP67" i="13"/>
  <c r="AH47" i="13"/>
  <c r="AH14" i="13"/>
  <c r="AH6" i="13"/>
  <c r="AH39" i="13"/>
  <c r="AO40" i="13"/>
  <c r="AO7" i="13"/>
  <c r="AY27" i="13"/>
  <c r="AY60" i="13"/>
  <c r="BH18" i="13"/>
  <c r="BH51" i="13"/>
  <c r="AX66" i="13"/>
  <c r="AX33" i="13"/>
  <c r="AW60" i="13"/>
  <c r="AW27" i="13"/>
  <c r="BA46" i="13"/>
  <c r="BA13" i="13"/>
  <c r="AI32" i="13"/>
  <c r="AI65" i="13"/>
  <c r="AP64" i="13"/>
  <c r="AP31" i="13"/>
  <c r="AO62" i="13"/>
  <c r="AO29" i="13"/>
  <c r="BH12" i="13"/>
  <c r="BH45" i="13"/>
  <c r="BF52" i="13"/>
  <c r="BF19" i="13"/>
  <c r="BD6" i="13"/>
  <c r="BD39" i="13"/>
  <c r="BA61" i="13"/>
  <c r="BA28" i="13"/>
  <c r="AX62" i="13"/>
  <c r="AX29" i="13"/>
  <c r="AN39" i="13"/>
  <c r="AN6" i="13"/>
  <c r="AN66" i="13"/>
  <c r="AN33" i="13"/>
  <c r="AW34" i="13"/>
  <c r="AW67" i="13"/>
  <c r="AV39" i="13"/>
  <c r="AV6" i="13"/>
  <c r="BE26" i="13"/>
  <c r="BE59" i="13"/>
  <c r="BE14" i="13"/>
  <c r="BE47" i="13"/>
  <c r="AM23" i="13"/>
  <c r="AM56" i="13"/>
  <c r="BC6" i="13"/>
  <c r="BC39" i="13"/>
  <c r="BF45" i="13"/>
  <c r="BF12" i="13"/>
  <c r="BF32" i="13"/>
  <c r="BF65" i="13"/>
  <c r="AN61" i="13"/>
  <c r="AN28" i="13"/>
  <c r="AN30" i="13"/>
  <c r="AN63" i="13"/>
  <c r="AN60" i="13"/>
  <c r="AN27" i="13"/>
  <c r="AW20" i="13"/>
  <c r="AW53" i="13"/>
  <c r="AV41" i="13"/>
  <c r="AV8" i="13"/>
  <c r="AV65" i="13"/>
  <c r="AV32" i="13"/>
  <c r="BE15" i="13"/>
  <c r="BE48" i="13"/>
  <c r="AM40" i="13"/>
  <c r="AM7" i="13"/>
  <c r="AM48" i="13"/>
  <c r="AM15" i="13"/>
  <c r="AL51" i="13"/>
  <c r="AL18" i="13"/>
  <c r="BF42" i="13"/>
  <c r="BF9" i="13"/>
  <c r="BF64" i="13"/>
  <c r="BF31" i="13"/>
  <c r="AN29" i="13"/>
  <c r="AN62" i="13"/>
  <c r="AN59" i="13"/>
  <c r="AN26" i="13"/>
  <c r="AW62" i="13"/>
  <c r="AW29" i="13"/>
  <c r="AV44" i="13"/>
  <c r="AV11" i="13"/>
  <c r="AV31" i="13"/>
  <c r="AV64" i="13"/>
  <c r="BE44" i="13"/>
  <c r="BE11" i="13"/>
  <c r="BE7" i="13"/>
  <c r="BE40" i="13"/>
  <c r="BD50" i="13"/>
  <c r="BD17" i="13"/>
  <c r="AU40" i="13"/>
  <c r="AU7" i="13"/>
  <c r="AU21" i="13"/>
  <c r="AU54" i="13"/>
  <c r="AL59" i="13"/>
  <c r="AL26" i="13"/>
  <c r="AL44" i="13"/>
  <c r="AL11" i="13"/>
  <c r="AS64" i="13"/>
  <c r="AS31" i="13"/>
  <c r="BB25" i="13"/>
  <c r="BB58" i="13"/>
  <c r="AK54" i="13"/>
  <c r="AK21" i="13"/>
  <c r="AR6" i="13"/>
  <c r="AR39" i="13"/>
  <c r="AR59" i="13"/>
  <c r="AR26" i="13"/>
  <c r="BA63" i="13"/>
  <c r="BA30" i="13"/>
  <c r="AJ66" i="13"/>
  <c r="AJ33" i="13"/>
  <c r="BK59" i="13"/>
  <c r="BK26" i="13"/>
  <c r="AQ44" i="13"/>
  <c r="AQ11" i="13"/>
  <c r="AQ34" i="13"/>
  <c r="AQ67" i="13"/>
  <c r="AZ62" i="13"/>
  <c r="AZ29" i="13"/>
  <c r="AI56" i="13"/>
  <c r="AI23" i="13"/>
  <c r="AI7" i="13"/>
  <c r="AI40" i="13"/>
  <c r="BI23" i="13"/>
  <c r="BI56" i="13"/>
  <c r="AP66" i="13"/>
  <c r="AP33" i="13"/>
  <c r="AH66" i="13"/>
  <c r="AH33" i="13"/>
  <c r="AO44" i="13"/>
  <c r="AO11" i="13"/>
  <c r="AO48" i="13"/>
  <c r="AO15" i="13"/>
  <c r="BH31" i="13"/>
  <c r="BH64" i="13"/>
  <c r="BH43" i="13"/>
  <c r="BH10" i="13"/>
  <c r="AX48" i="13"/>
  <c r="AX15" i="13"/>
  <c r="AX65" i="13"/>
  <c r="AX32" i="13"/>
  <c r="BG25" i="13"/>
  <c r="BG58" i="13"/>
  <c r="BG18" i="13"/>
  <c r="BG51" i="13"/>
  <c r="AZ49" i="13"/>
  <c r="AZ16" i="13"/>
  <c r="BF13" i="13"/>
  <c r="BF46" i="13"/>
  <c r="AN25" i="13"/>
  <c r="AN58" i="13"/>
  <c r="AW28" i="13"/>
  <c r="AW61" i="13"/>
  <c r="AV63" i="13"/>
  <c r="AV30" i="13"/>
  <c r="BE61" i="13"/>
  <c r="BE28" i="13"/>
  <c r="BE101" i="13"/>
  <c r="BE35" i="13"/>
  <c r="BE68" i="13"/>
  <c r="AM47" i="13"/>
  <c r="AM14" i="13"/>
  <c r="BD25" i="13"/>
  <c r="BD58" i="13"/>
  <c r="AU44" i="13"/>
  <c r="AU11" i="13"/>
  <c r="AL39" i="13"/>
  <c r="AL6" i="13"/>
  <c r="AL43" i="13"/>
  <c r="AL10" i="13"/>
  <c r="BC50" i="13"/>
  <c r="BC17" i="13"/>
  <c r="AS63" i="13"/>
  <c r="AS30" i="13"/>
  <c r="BB45" i="13"/>
  <c r="BB12" i="13"/>
  <c r="AK40" i="13"/>
  <c r="AK7" i="13"/>
  <c r="AK52" i="13"/>
  <c r="AK19" i="13"/>
  <c r="AR25" i="13"/>
  <c r="AR58" i="13"/>
  <c r="BA62" i="13"/>
  <c r="BA29" i="13"/>
  <c r="AJ60" i="13"/>
  <c r="AJ27" i="13"/>
  <c r="AJ10" i="13"/>
  <c r="AJ43" i="13"/>
  <c r="BK33" i="13"/>
  <c r="BK66" i="13"/>
  <c r="AQ66" i="13"/>
  <c r="AQ33" i="13"/>
  <c r="BJ60" i="13"/>
  <c r="BJ27" i="13"/>
  <c r="AZ61" i="13"/>
  <c r="AZ28" i="13"/>
  <c r="AI59" i="13"/>
  <c r="AI26" i="13"/>
  <c r="BI62" i="13"/>
  <c r="BI29" i="13"/>
  <c r="AP65" i="13"/>
  <c r="AP32" i="13"/>
  <c r="AH46" i="13"/>
  <c r="AH13" i="13"/>
  <c r="AO51" i="13"/>
  <c r="AO18" i="13"/>
  <c r="AY26" i="13"/>
  <c r="AY59" i="13"/>
  <c r="BH42" i="13"/>
  <c r="BH9" i="13"/>
  <c r="AX31" i="13"/>
  <c r="AX64" i="13"/>
  <c r="BG57" i="13"/>
  <c r="BG24" i="13"/>
  <c r="AK52" i="10"/>
  <c r="BA85" i="10"/>
  <c r="AK19" i="10"/>
  <c r="BA52" i="10"/>
  <c r="AN39" i="10"/>
  <c r="AN72" i="10"/>
  <c r="AP53" i="10"/>
  <c r="AP86" i="10"/>
  <c r="AP20" i="10"/>
  <c r="AI89" i="10"/>
  <c r="AI56" i="10"/>
  <c r="AI23" i="10"/>
  <c r="AI83" i="10"/>
  <c r="AI17" i="10"/>
  <c r="AI50" i="10"/>
  <c r="AH96" i="10"/>
  <c r="AH30" i="10"/>
  <c r="AH63" i="10"/>
  <c r="AM77" i="10"/>
  <c r="AM44" i="10"/>
  <c r="AM11" i="10"/>
  <c r="AH61" i="10"/>
  <c r="AH94" i="10"/>
  <c r="AH28" i="10"/>
  <c r="AI81" i="10"/>
  <c r="AI15" i="10"/>
  <c r="AI48" i="10"/>
  <c r="AI94" i="10"/>
  <c r="AI61" i="10"/>
  <c r="AI28" i="10"/>
  <c r="AJ97" i="10"/>
  <c r="AJ31" i="10"/>
  <c r="AJ64" i="10"/>
  <c r="AP48" i="10"/>
  <c r="AP81" i="10"/>
  <c r="AP15" i="10"/>
  <c r="AK101" i="10"/>
  <c r="AK68" i="10"/>
  <c r="AK35" i="10"/>
  <c r="AL52" i="10"/>
  <c r="AL19" i="10"/>
  <c r="AL85" i="10"/>
  <c r="AK47" i="10"/>
  <c r="AK80" i="10"/>
  <c r="AK14" i="10"/>
  <c r="AO101" i="10"/>
  <c r="AO68" i="10"/>
  <c r="AO35" i="10"/>
  <c r="AK92" i="10"/>
  <c r="AK59" i="10"/>
  <c r="AK26" i="10"/>
  <c r="AM46" i="10"/>
  <c r="AM79" i="10"/>
  <c r="AM13" i="10"/>
  <c r="AL56" i="10"/>
  <c r="AL89" i="10"/>
  <c r="AL23" i="10"/>
  <c r="AK53" i="10"/>
  <c r="AK86" i="10"/>
  <c r="AK20" i="10"/>
  <c r="AJ99" i="10"/>
  <c r="AJ33" i="10"/>
  <c r="AJ66" i="10"/>
  <c r="AP56" i="10"/>
  <c r="AP89" i="10"/>
  <c r="AP23" i="10"/>
  <c r="AP83" i="10"/>
  <c r="AP50" i="10"/>
  <c r="AP17" i="10"/>
  <c r="AK77" i="10"/>
  <c r="AK44" i="10"/>
  <c r="AK11" i="10"/>
  <c r="AP96" i="10"/>
  <c r="AP30" i="10"/>
  <c r="AP63" i="10"/>
  <c r="AO47" i="10"/>
  <c r="AO80" i="10"/>
  <c r="AO14" i="10"/>
  <c r="AH64" i="10"/>
  <c r="AH97" i="10"/>
  <c r="AH31" i="10"/>
  <c r="AL100" i="10"/>
  <c r="AL67" i="10"/>
  <c r="AL34" i="10"/>
  <c r="AO41" i="10"/>
  <c r="AO74" i="10"/>
  <c r="AO8" i="10"/>
  <c r="AO84" i="10"/>
  <c r="AO51" i="10"/>
  <c r="AO18" i="10"/>
  <c r="AI51" i="10"/>
  <c r="AI84" i="10"/>
  <c r="AI18" i="10"/>
  <c r="AJ51" i="10"/>
  <c r="AJ84" i="10"/>
  <c r="AJ18" i="10"/>
  <c r="AI52" i="10"/>
  <c r="AI85" i="10"/>
  <c r="AI19" i="10"/>
  <c r="AK78" i="10"/>
  <c r="AK45" i="10"/>
  <c r="AK12" i="10"/>
  <c r="AJ54" i="10"/>
  <c r="AJ21" i="10"/>
  <c r="AJ87" i="10"/>
  <c r="AJ58" i="10"/>
  <c r="AJ91" i="10"/>
  <c r="AJ25" i="10"/>
  <c r="AJ94" i="10"/>
  <c r="AJ28" i="10"/>
  <c r="AJ61" i="10"/>
  <c r="AO97" i="10"/>
  <c r="AO31" i="10"/>
  <c r="AO64" i="10"/>
  <c r="AI100" i="10"/>
  <c r="AI67" i="10"/>
  <c r="AI34" i="10"/>
  <c r="AP40" i="10"/>
  <c r="AP73" i="10"/>
  <c r="AP7" i="10"/>
  <c r="AN101" i="10"/>
  <c r="AN35" i="10"/>
  <c r="AN68" i="10"/>
  <c r="AL96" i="10"/>
  <c r="AL30" i="10"/>
  <c r="AL63" i="10"/>
  <c r="AO79" i="10"/>
  <c r="AO46" i="10"/>
  <c r="AO13" i="10"/>
  <c r="AN86" i="10"/>
  <c r="AN20" i="10"/>
  <c r="AN53" i="10"/>
  <c r="AO44" i="10"/>
  <c r="AO11" i="10"/>
  <c r="AO77" i="10"/>
  <c r="AO61" i="10"/>
  <c r="AO94" i="10"/>
  <c r="AO28" i="10"/>
  <c r="AH72" i="10"/>
  <c r="AH39" i="10"/>
  <c r="AH6" i="10"/>
  <c r="AN55" i="10"/>
  <c r="AN88" i="10"/>
  <c r="AN22" i="10"/>
  <c r="AK49" i="10"/>
  <c r="AK82" i="10"/>
  <c r="AK16" i="10"/>
  <c r="AL49" i="10"/>
  <c r="AL82" i="10"/>
  <c r="AL16" i="10"/>
  <c r="AH46" i="10"/>
  <c r="AH13" i="10"/>
  <c r="AH79" i="10"/>
  <c r="AP101" i="10"/>
  <c r="AP68" i="10"/>
  <c r="AP35" i="10"/>
  <c r="AM95" i="10"/>
  <c r="AM29" i="10"/>
  <c r="AM62" i="10"/>
  <c r="AH40" i="10"/>
  <c r="AH73" i="10"/>
  <c r="AH7" i="10"/>
  <c r="AI86" i="10"/>
  <c r="AI53" i="10"/>
  <c r="AI20" i="10"/>
  <c r="AN92" i="10"/>
  <c r="AN59" i="10"/>
  <c r="AN26" i="10"/>
  <c r="AO89" i="10"/>
  <c r="AO23" i="10"/>
  <c r="AO56" i="10"/>
  <c r="AM56" i="10"/>
  <c r="AM89" i="10"/>
  <c r="AM23" i="10"/>
  <c r="AM39" i="10"/>
  <c r="AM72" i="10"/>
  <c r="AM63" i="10"/>
  <c r="AM96" i="10"/>
  <c r="AM30" i="10"/>
  <c r="AL40" i="10"/>
  <c r="AL7" i="10"/>
  <c r="AL73" i="10"/>
  <c r="AH60" i="10"/>
  <c r="AH93" i="10"/>
  <c r="AH27" i="10"/>
  <c r="AO66" i="10"/>
  <c r="AO33" i="10"/>
  <c r="AO99" i="10"/>
  <c r="AH87" i="10"/>
  <c r="AH54" i="10"/>
  <c r="AH21" i="10"/>
  <c r="AM47" i="10"/>
  <c r="AM14" i="10"/>
  <c r="AM80" i="10"/>
  <c r="AH100" i="10"/>
  <c r="AH67" i="10"/>
  <c r="AH34" i="10"/>
  <c r="AL41" i="10"/>
  <c r="AL74" i="10"/>
  <c r="AL8" i="10"/>
  <c r="AK84" i="10"/>
  <c r="AK51" i="10"/>
  <c r="AK18" i="10"/>
  <c r="AN74" i="10"/>
  <c r="AN8" i="10"/>
  <c r="AN41" i="10"/>
  <c r="AN84" i="10"/>
  <c r="AN51" i="10"/>
  <c r="AN18" i="10"/>
  <c r="AL15" i="10"/>
  <c r="AL81" i="10"/>
  <c r="AL48" i="10"/>
  <c r="AI68" i="10"/>
  <c r="AI101" i="10"/>
  <c r="AI35" i="10"/>
  <c r="AJ68" i="10"/>
  <c r="AJ35" i="10"/>
  <c r="AJ101" i="10"/>
  <c r="AJ74" i="10"/>
  <c r="AJ41" i="10"/>
  <c r="AJ8" i="10"/>
  <c r="AI80" i="10"/>
  <c r="AI47" i="10"/>
  <c r="AI14" i="10"/>
  <c r="AJ48" i="10"/>
  <c r="AJ81" i="10"/>
  <c r="AJ15" i="10"/>
  <c r="AJ88" i="10"/>
  <c r="AJ55" i="10"/>
  <c r="AJ22" i="10"/>
  <c r="AK88" i="10"/>
  <c r="AK22" i="10"/>
  <c r="AK55" i="10"/>
  <c r="AI91" i="10"/>
  <c r="AI25" i="10"/>
  <c r="AI58" i="10"/>
  <c r="AN48" i="10"/>
  <c r="AN81" i="10"/>
  <c r="AN15" i="10"/>
  <c r="AO81" i="10"/>
  <c r="AO15" i="10"/>
  <c r="AO48" i="10"/>
  <c r="AI82" i="10"/>
  <c r="AI49" i="10"/>
  <c r="AI16" i="10"/>
  <c r="AM68" i="10"/>
  <c r="AM101" i="10"/>
  <c r="AM35" i="10"/>
  <c r="AL95" i="10"/>
  <c r="AL62" i="10"/>
  <c r="AL29" i="10"/>
  <c r="AN62" i="10"/>
  <c r="AN95" i="10"/>
  <c r="AN29" i="10"/>
  <c r="AJ86" i="10"/>
  <c r="AJ20" i="10"/>
  <c r="AJ53" i="10"/>
  <c r="AO83" i="10"/>
  <c r="AO50" i="10"/>
  <c r="AO17" i="10"/>
  <c r="AN93" i="10"/>
  <c r="AN60" i="10"/>
  <c r="AN27" i="10"/>
  <c r="AM100" i="10"/>
  <c r="AM67" i="10"/>
  <c r="AM34" i="10"/>
  <c r="AP100" i="10"/>
  <c r="AP67" i="10"/>
  <c r="AP34" i="10"/>
  <c r="AJ90" i="10"/>
  <c r="AJ24" i="10"/>
  <c r="AJ57" i="10"/>
  <c r="AP91" i="10"/>
  <c r="AP58" i="10"/>
  <c r="AP25" i="10"/>
  <c r="AM82" i="10"/>
  <c r="AM49" i="10"/>
  <c r="AM16" i="10"/>
  <c r="AN99" i="10"/>
  <c r="AN33" i="10"/>
  <c r="AN66" i="10"/>
  <c r="AK89" i="10"/>
  <c r="AK23" i="10"/>
  <c r="AK56" i="10"/>
  <c r="AP95" i="10"/>
  <c r="AP29" i="10"/>
  <c r="AP62" i="10"/>
  <c r="AO92" i="10"/>
  <c r="AO59" i="10"/>
  <c r="AO26" i="10"/>
  <c r="AK50" i="10"/>
  <c r="AK83" i="10"/>
  <c r="AK17" i="10"/>
  <c r="AJ96" i="10"/>
  <c r="AJ63" i="10"/>
  <c r="AJ30" i="10"/>
  <c r="AL60" i="10"/>
  <c r="AL93" i="10"/>
  <c r="AL27" i="10"/>
  <c r="AL77" i="10"/>
  <c r="AL44" i="10"/>
  <c r="AL11" i="10"/>
  <c r="AK87" i="10"/>
  <c r="AK54" i="10"/>
  <c r="AK21" i="10"/>
  <c r="AN44" i="10"/>
  <c r="AN77" i="10"/>
  <c r="AN11" i="10"/>
  <c r="AM87" i="10"/>
  <c r="AM21" i="10"/>
  <c r="AM54" i="10"/>
  <c r="AP77" i="10"/>
  <c r="AP44" i="10"/>
  <c r="AP11" i="10"/>
  <c r="AP87" i="10"/>
  <c r="AP54" i="10"/>
  <c r="AP21" i="10"/>
  <c r="AK61" i="10"/>
  <c r="AK94" i="10"/>
  <c r="AK28" i="10"/>
  <c r="AH101" i="10"/>
  <c r="AH68" i="10"/>
  <c r="AH35" i="10"/>
  <c r="AI74" i="10"/>
  <c r="AI8" i="10"/>
  <c r="AI41" i="10"/>
  <c r="AI87" i="10"/>
  <c r="AI21" i="10"/>
  <c r="AI54" i="10"/>
  <c r="AM81" i="10"/>
  <c r="AM15" i="10"/>
  <c r="AM48" i="10"/>
  <c r="AJ44" i="10"/>
  <c r="AJ77" i="10"/>
  <c r="AJ11" i="10"/>
  <c r="AI45" i="10"/>
  <c r="AI78" i="10"/>
  <c r="AI12" i="10"/>
  <c r="AK58" i="10"/>
  <c r="AK91" i="10"/>
  <c r="AK25" i="10"/>
  <c r="AN45" i="10"/>
  <c r="AN12" i="10"/>
  <c r="AN78" i="10"/>
  <c r="AI63" i="10"/>
  <c r="AI30" i="10"/>
  <c r="AI96" i="10"/>
  <c r="AH77" i="10"/>
  <c r="AH11" i="10"/>
  <c r="AH44" i="10"/>
  <c r="AP60" i="10"/>
  <c r="AP93" i="10"/>
  <c r="AP27" i="10"/>
  <c r="AH78" i="10"/>
  <c r="AH45" i="10"/>
  <c r="AH12" i="10"/>
  <c r="AJ80" i="10"/>
  <c r="AJ14" i="10"/>
  <c r="AJ47" i="10"/>
  <c r="AO12" i="10"/>
  <c r="AO78" i="10"/>
  <c r="AO45" i="10"/>
  <c r="AM85" i="10"/>
  <c r="AM52" i="10"/>
  <c r="AM19" i="10"/>
  <c r="AN85" i="10"/>
  <c r="AN52" i="10"/>
  <c r="AN19" i="10"/>
  <c r="AI46" i="10"/>
  <c r="AI13" i="10"/>
  <c r="AI79" i="10"/>
  <c r="AP6" i="10"/>
  <c r="AP72" i="10"/>
  <c r="AH95" i="10"/>
  <c r="AH29" i="10"/>
  <c r="AH62" i="10"/>
  <c r="AO88" i="10"/>
  <c r="AO55" i="10"/>
  <c r="AO22" i="10"/>
  <c r="AP88" i="10"/>
  <c r="AP22" i="10"/>
  <c r="AP55" i="10"/>
  <c r="AO85" i="10"/>
  <c r="AO19" i="10"/>
  <c r="AO52" i="10"/>
  <c r="AN82" i="10"/>
  <c r="AN16" i="10"/>
  <c r="AN49" i="10"/>
  <c r="AJ79" i="10"/>
  <c r="AJ46" i="10"/>
  <c r="AJ13" i="10"/>
  <c r="AP82" i="10"/>
  <c r="AP49" i="10"/>
  <c r="AP16" i="10"/>
  <c r="AL46" i="10"/>
  <c r="AL79" i="10"/>
  <c r="AL13" i="10"/>
  <c r="AM59" i="10"/>
  <c r="AM26" i="10"/>
  <c r="AM92" i="10"/>
  <c r="AH66" i="10"/>
  <c r="AH99" i="10"/>
  <c r="AH33" i="10"/>
  <c r="AJ50" i="10"/>
  <c r="AJ83" i="10"/>
  <c r="AJ17" i="10"/>
  <c r="AP46" i="10"/>
  <c r="AP79" i="10"/>
  <c r="AP13" i="10"/>
  <c r="AL66" i="10"/>
  <c r="AL33" i="10"/>
  <c r="AL99" i="10"/>
  <c r="AN63" i="10"/>
  <c r="AN96" i="10"/>
  <c r="AN30" i="10"/>
  <c r="AN80" i="10"/>
  <c r="AN47" i="10"/>
  <c r="AN14" i="10"/>
  <c r="AM90" i="10"/>
  <c r="AM57" i="10"/>
  <c r="AM24" i="10"/>
  <c r="AP80" i="10"/>
  <c r="AP47" i="10"/>
  <c r="AP14" i="10"/>
  <c r="AO57" i="10"/>
  <c r="AO90" i="10"/>
  <c r="AO24" i="10"/>
  <c r="AH81" i="10"/>
  <c r="AH48" i="10"/>
  <c r="AH15" i="10"/>
  <c r="AM51" i="10"/>
  <c r="AM84" i="10"/>
  <c r="AM18" i="10"/>
  <c r="AH91" i="10"/>
  <c r="AH58" i="10"/>
  <c r="AH25" i="10"/>
  <c r="AM64" i="10"/>
  <c r="AM97" i="10"/>
  <c r="AM31" i="10"/>
  <c r="AP84" i="10"/>
  <c r="AP18" i="10"/>
  <c r="AP51" i="10"/>
  <c r="AI55" i="10"/>
  <c r="AI22" i="10"/>
  <c r="AI88" i="10"/>
  <c r="AK48" i="10"/>
  <c r="AK81" i="10"/>
  <c r="AK15" i="10"/>
  <c r="AL91" i="10"/>
  <c r="AL58" i="10"/>
  <c r="AL25" i="10"/>
  <c r="AJ82" i="10"/>
  <c r="AJ16" i="10"/>
  <c r="AJ49" i="10"/>
  <c r="AJ67" i="10"/>
  <c r="AJ100" i="10"/>
  <c r="AJ34" i="10"/>
  <c r="AL88" i="10"/>
  <c r="AL22" i="10"/>
  <c r="AL55" i="10"/>
  <c r="AN58" i="10"/>
  <c r="AN91" i="10"/>
  <c r="AN25" i="10"/>
  <c r="AX68" i="10"/>
  <c r="AX35" i="10"/>
  <c r="AP78" i="10"/>
  <c r="AP12" i="10"/>
  <c r="AP45" i="10"/>
  <c r="AK6" i="10"/>
  <c r="AK72" i="10"/>
  <c r="AO39" i="10"/>
  <c r="AO72" i="10"/>
  <c r="AH92" i="10"/>
  <c r="AH26" i="10"/>
  <c r="AH59" i="10"/>
  <c r="AP52" i="10"/>
  <c r="AP85" i="10"/>
  <c r="AP19" i="10"/>
  <c r="AH53" i="10"/>
  <c r="AH86" i="10"/>
  <c r="AH20" i="10"/>
  <c r="AM73" i="10"/>
  <c r="AM40" i="10"/>
  <c r="AM7" i="10"/>
  <c r="AO62" i="10"/>
  <c r="AO95" i="10"/>
  <c r="AO29" i="10"/>
  <c r="AJ73" i="10"/>
  <c r="AJ40" i="10"/>
  <c r="AJ7" i="10"/>
  <c r="AO53" i="10"/>
  <c r="AO86" i="10"/>
  <c r="AO20" i="10"/>
  <c r="AI99" i="10"/>
  <c r="AI66" i="10"/>
  <c r="AI33" i="10"/>
  <c r="AL86" i="10"/>
  <c r="AL53" i="10"/>
  <c r="AL20" i="10"/>
  <c r="AH90" i="10"/>
  <c r="AH57" i="10"/>
  <c r="AH24" i="10"/>
  <c r="AN73" i="10"/>
  <c r="AN40" i="10"/>
  <c r="AN7" i="10"/>
  <c r="AM83" i="10"/>
  <c r="AM17" i="10"/>
  <c r="AM50" i="10"/>
  <c r="AP66" i="10"/>
  <c r="AP33" i="10"/>
  <c r="AP99" i="10"/>
  <c r="AK57" i="10"/>
  <c r="AK90" i="10"/>
  <c r="AK24" i="10"/>
  <c r="AO93" i="10"/>
  <c r="AO27" i="10"/>
  <c r="AO60" i="10"/>
  <c r="AL84" i="10"/>
  <c r="AL18" i="10"/>
  <c r="AL51" i="10"/>
  <c r="AO54" i="10"/>
  <c r="AO87" i="10"/>
  <c r="AO21" i="10"/>
  <c r="AL64" i="10"/>
  <c r="AL97" i="10"/>
  <c r="AL31" i="10"/>
  <c r="AO100" i="10"/>
  <c r="AO67" i="10"/>
  <c r="AO34" i="10"/>
  <c r="AH88" i="10"/>
  <c r="AH22" i="10"/>
  <c r="AH55" i="10"/>
  <c r="AM55" i="10"/>
  <c r="AM88" i="10"/>
  <c r="AM22" i="10"/>
  <c r="AJ85" i="10"/>
  <c r="AJ52" i="10"/>
  <c r="AJ19" i="10"/>
  <c r="AI77" i="10"/>
  <c r="AI11" i="10"/>
  <c r="AI44" i="10"/>
  <c r="AI60" i="10"/>
  <c r="AI93" i="10"/>
  <c r="AI27" i="10"/>
  <c r="AM45" i="10"/>
  <c r="AM78" i="10"/>
  <c r="AM12" i="10"/>
  <c r="AK93" i="10"/>
  <c r="AK27" i="10"/>
  <c r="AK60" i="10"/>
  <c r="AM99" i="10"/>
  <c r="AM33" i="10"/>
  <c r="AM66" i="10"/>
  <c r="AI59" i="10"/>
  <c r="AI92" i="10"/>
  <c r="AI26" i="10"/>
  <c r="AK79" i="10"/>
  <c r="AK13" i="10"/>
  <c r="AK46" i="10"/>
  <c r="AK73" i="10"/>
  <c r="AK40" i="10"/>
  <c r="AK7" i="10"/>
  <c r="AK96" i="10"/>
  <c r="AK30" i="10"/>
  <c r="AK63" i="10"/>
  <c r="AM86" i="10"/>
  <c r="AM53" i="10"/>
  <c r="AM20" i="10"/>
  <c r="AH41" i="10"/>
  <c r="AH74" i="10"/>
  <c r="AH8" i="10"/>
  <c r="AH84" i="10"/>
  <c r="AH18" i="10"/>
  <c r="AH51" i="10"/>
  <c r="AL87" i="10"/>
  <c r="AL54" i="10"/>
  <c r="AL21" i="10"/>
  <c r="AK67" i="10"/>
  <c r="AK100" i="10"/>
  <c r="AK34" i="10"/>
  <c r="AL78" i="10"/>
  <c r="AL12" i="10"/>
  <c r="AL45" i="10"/>
  <c r="AJ93" i="10"/>
  <c r="AJ60" i="10"/>
  <c r="AJ27" i="10"/>
  <c r="AM91" i="10"/>
  <c r="AM25" i="10"/>
  <c r="AM58" i="10"/>
  <c r="AO91" i="10"/>
  <c r="AO58" i="10"/>
  <c r="AO25" i="10"/>
  <c r="AL101" i="10"/>
  <c r="AL35" i="10"/>
  <c r="AL68" i="10"/>
  <c r="AI95" i="10"/>
  <c r="AI29" i="10"/>
  <c r="AI62" i="10"/>
  <c r="AJ62" i="10"/>
  <c r="AJ29" i="10"/>
  <c r="AJ95" i="10"/>
  <c r="AH56" i="10"/>
  <c r="AH23" i="10"/>
  <c r="AH89" i="10"/>
  <c r="AO49" i="10"/>
  <c r="AO82" i="10"/>
  <c r="AO16" i="10"/>
  <c r="AJ89" i="10"/>
  <c r="AJ56" i="10"/>
  <c r="AJ23" i="10"/>
  <c r="AN89" i="10"/>
  <c r="AN56" i="10"/>
  <c r="AN23" i="10"/>
  <c r="AM93" i="10"/>
  <c r="AM27" i="10"/>
  <c r="AM60" i="10"/>
  <c r="AN54" i="10"/>
  <c r="AN87" i="10"/>
  <c r="AN21" i="10"/>
  <c r="AN67" i="10"/>
  <c r="AN100" i="10"/>
  <c r="AN34" i="10"/>
  <c r="AL94" i="10"/>
  <c r="AL61" i="10"/>
  <c r="AL28" i="10"/>
  <c r="AI90" i="10"/>
  <c r="AI57" i="10"/>
  <c r="AI24" i="10"/>
  <c r="AM94" i="10"/>
  <c r="AM61" i="10"/>
  <c r="AM28" i="10"/>
  <c r="AI6" i="10"/>
  <c r="AI72" i="10"/>
  <c r="AO73" i="10"/>
  <c r="AO7" i="10"/>
  <c r="AO40" i="10"/>
  <c r="AK95" i="10"/>
  <c r="AK62" i="10"/>
  <c r="AK29" i="10"/>
  <c r="AJ59" i="10"/>
  <c r="AJ92" i="10"/>
  <c r="AJ26" i="10"/>
  <c r="AK66" i="10"/>
  <c r="AK99" i="10"/>
  <c r="AK33" i="10"/>
  <c r="AL92" i="10"/>
  <c r="AL26" i="10"/>
  <c r="AL59" i="10"/>
  <c r="AI40" i="10"/>
  <c r="AI7" i="10"/>
  <c r="AI73" i="10"/>
  <c r="AH83" i="10"/>
  <c r="AH50" i="10"/>
  <c r="AH17" i="10"/>
  <c r="AN79" i="10"/>
  <c r="AN46" i="10"/>
  <c r="AN13" i="10"/>
  <c r="AH52" i="10"/>
  <c r="AH85" i="10"/>
  <c r="AH19" i="10"/>
  <c r="AP92" i="10"/>
  <c r="AP26" i="10"/>
  <c r="AP59" i="10"/>
  <c r="AL83" i="10"/>
  <c r="AL50" i="10"/>
  <c r="AL17" i="10"/>
  <c r="AH80" i="10"/>
  <c r="AH47" i="10"/>
  <c r="AH14" i="10"/>
  <c r="AN50" i="10"/>
  <c r="AN83" i="10"/>
  <c r="AN17" i="10"/>
  <c r="AL47" i="10"/>
  <c r="AL80" i="10"/>
  <c r="AL14" i="10"/>
  <c r="AO96" i="10"/>
  <c r="AO63" i="10"/>
  <c r="AO30" i="10"/>
  <c r="AL57" i="10"/>
  <c r="AL90" i="10"/>
  <c r="AL24" i="10"/>
  <c r="AK41" i="10"/>
  <c r="AK74" i="10"/>
  <c r="AK8" i="10"/>
  <c r="AN90" i="10"/>
  <c r="AN24" i="10"/>
  <c r="AN57" i="10"/>
  <c r="AM74" i="10"/>
  <c r="AM41" i="10"/>
  <c r="AM8" i="10"/>
  <c r="AP90" i="10"/>
  <c r="AP57" i="10"/>
  <c r="AP24" i="10"/>
  <c r="AK97" i="10"/>
  <c r="AK31" i="10"/>
  <c r="AK64" i="10"/>
  <c r="AP41" i="10"/>
  <c r="AP74" i="10"/>
  <c r="AP8" i="10"/>
  <c r="AN97" i="10"/>
  <c r="AN31" i="10"/>
  <c r="AN64" i="10"/>
  <c r="AJ6" i="10"/>
  <c r="AJ72" i="10"/>
  <c r="AH82" i="10"/>
  <c r="AH49" i="10"/>
  <c r="AH16" i="10"/>
  <c r="AJ78" i="10"/>
  <c r="AJ45" i="10"/>
  <c r="AJ12" i="10"/>
  <c r="AI31" i="10"/>
  <c r="AI97" i="10"/>
  <c r="AI64" i="10"/>
  <c r="AN94" i="10"/>
  <c r="AN28" i="10"/>
  <c r="AN61" i="10"/>
  <c r="AP64" i="10"/>
  <c r="AP97" i="10"/>
  <c r="AP31" i="10"/>
  <c r="AP61" i="10"/>
  <c r="AP94" i="10"/>
  <c r="AP28" i="10"/>
  <c r="AH10" i="10"/>
  <c r="AH76" i="10"/>
  <c r="AH43" i="10"/>
  <c r="AJ43" i="10"/>
  <c r="AJ10" i="10"/>
  <c r="AJ76" i="10"/>
  <c r="AN10" i="10"/>
  <c r="AN76" i="10"/>
  <c r="AN43" i="10"/>
  <c r="AI10" i="10"/>
  <c r="AI43" i="10"/>
  <c r="AI76" i="10"/>
  <c r="AO10" i="10"/>
  <c r="AO76" i="10"/>
  <c r="AO43" i="10"/>
  <c r="AL76" i="10"/>
  <c r="AL43" i="10"/>
  <c r="AL10" i="10"/>
  <c r="AP10" i="10"/>
  <c r="AP76" i="10"/>
  <c r="AP43" i="10"/>
  <c r="AM10" i="10"/>
  <c r="AM76" i="10"/>
  <c r="AM43" i="10"/>
  <c r="AK76" i="10"/>
  <c r="AK43" i="10"/>
  <c r="AK10" i="10"/>
  <c r="AN75" i="10"/>
  <c r="AN9" i="10"/>
  <c r="AN42" i="10"/>
  <c r="AO9" i="10"/>
  <c r="AO75" i="10"/>
  <c r="AO42" i="10"/>
  <c r="AP42" i="10"/>
  <c r="AP75" i="10"/>
  <c r="AP9" i="10"/>
  <c r="AH42" i="10"/>
  <c r="AH9" i="10"/>
  <c r="AH75" i="10"/>
  <c r="AK75" i="10"/>
  <c r="AK9" i="10"/>
  <c r="AK42" i="10"/>
  <c r="AI42" i="10"/>
  <c r="AI75" i="10"/>
  <c r="AI9" i="10"/>
  <c r="AL75" i="10"/>
  <c r="AL9" i="10"/>
  <c r="AL42" i="10"/>
  <c r="AM42" i="10"/>
  <c r="AM75" i="10"/>
  <c r="AM9" i="10"/>
  <c r="AJ9" i="10"/>
  <c r="AJ42" i="10"/>
  <c r="AJ75" i="10"/>
  <c r="AQ10" i="10"/>
  <c r="AQ76" i="10"/>
  <c r="AQ43" i="10"/>
  <c r="AR17" i="10"/>
  <c r="AR83" i="10"/>
  <c r="AR50" i="10"/>
  <c r="AR25" i="10"/>
  <c r="AR91" i="10"/>
  <c r="AR58" i="10"/>
  <c r="AR7" i="10"/>
  <c r="AR73" i="10"/>
  <c r="AR40" i="10"/>
  <c r="AU27" i="10"/>
  <c r="AU93" i="10"/>
  <c r="AU60" i="10"/>
  <c r="BD10" i="10"/>
  <c r="BD76" i="10"/>
  <c r="BD43" i="10"/>
  <c r="BH39" i="10"/>
  <c r="BH72" i="10"/>
  <c r="BH6" i="10"/>
  <c r="BA11" i="10"/>
  <c r="BA77" i="10"/>
  <c r="BA44" i="10"/>
  <c r="AZ15" i="10"/>
  <c r="AZ81" i="10"/>
  <c r="AZ48" i="10"/>
  <c r="BF18" i="10"/>
  <c r="BF84" i="10"/>
  <c r="BF51" i="10"/>
  <c r="BC15" i="10"/>
  <c r="BC81" i="10"/>
  <c r="BC48" i="10"/>
  <c r="BG90" i="10"/>
  <c r="BG57" i="10"/>
  <c r="BG24" i="10"/>
  <c r="AZ28" i="10"/>
  <c r="AZ94" i="10"/>
  <c r="AZ61" i="10"/>
  <c r="BD23" i="10"/>
  <c r="BD89" i="10"/>
  <c r="BD56" i="10"/>
  <c r="AW68" i="10"/>
  <c r="AW101" i="10"/>
  <c r="AW35" i="10"/>
  <c r="BI34" i="10"/>
  <c r="BI100" i="10"/>
  <c r="BI67" i="10"/>
  <c r="AS11" i="10"/>
  <c r="AS77" i="10"/>
  <c r="AS44" i="10"/>
  <c r="BK51" i="10"/>
  <c r="BK18" i="10"/>
  <c r="BK84" i="10"/>
  <c r="AZ56" i="10"/>
  <c r="AZ89" i="10"/>
  <c r="AZ23" i="10"/>
  <c r="BJ34" i="10"/>
  <c r="BJ100" i="10"/>
  <c r="BJ67" i="10"/>
  <c r="BB35" i="10"/>
  <c r="BB68" i="10"/>
  <c r="BB101" i="10"/>
  <c r="AR53" i="10"/>
  <c r="AR86" i="10"/>
  <c r="AR20" i="10"/>
  <c r="AQ23" i="10"/>
  <c r="AQ89" i="10"/>
  <c r="AQ56" i="10"/>
  <c r="AS27" i="10"/>
  <c r="AS93" i="10"/>
  <c r="AS60" i="10"/>
  <c r="AT26" i="10"/>
  <c r="AT92" i="10"/>
  <c r="AT59" i="10"/>
  <c r="AV16" i="10"/>
  <c r="AV82" i="10"/>
  <c r="AV49" i="10"/>
  <c r="BG39" i="10"/>
  <c r="BG72" i="10"/>
  <c r="BG6" i="10"/>
  <c r="BK44" i="10"/>
  <c r="BK11" i="10"/>
  <c r="BK77" i="10"/>
  <c r="BA15" i="10"/>
  <c r="BA81" i="10"/>
  <c r="BA48" i="10"/>
  <c r="AW18" i="10"/>
  <c r="AW84" i="10"/>
  <c r="AW51" i="10"/>
  <c r="BD15" i="10"/>
  <c r="BD81" i="10"/>
  <c r="BD48" i="10"/>
  <c r="BH24" i="10"/>
  <c r="BH90" i="10"/>
  <c r="BH57" i="10"/>
  <c r="BK26" i="10"/>
  <c r="BK59" i="10"/>
  <c r="BK92" i="10"/>
  <c r="AZ88" i="10"/>
  <c r="AZ55" i="10"/>
  <c r="AZ22" i="10"/>
  <c r="BB17" i="10"/>
  <c r="BB83" i="10"/>
  <c r="BB50" i="10"/>
  <c r="BD20" i="10"/>
  <c r="BD86" i="10"/>
  <c r="BD53" i="10"/>
  <c r="BB22" i="10"/>
  <c r="BB88" i="10"/>
  <c r="BB55" i="10"/>
  <c r="BC42" i="10"/>
  <c r="BC9" i="10"/>
  <c r="BC75" i="10"/>
  <c r="AQ26" i="10"/>
  <c r="AQ92" i="10"/>
  <c r="AQ59" i="10"/>
  <c r="BJ41" i="10"/>
  <c r="BJ74" i="10"/>
  <c r="BJ8" i="10"/>
  <c r="AV35" i="10"/>
  <c r="AV68" i="10"/>
  <c r="AV101" i="10"/>
  <c r="BA18" i="10"/>
  <c r="BA84" i="10"/>
  <c r="BA51" i="10"/>
  <c r="AU19" i="10"/>
  <c r="AU85" i="10"/>
  <c r="AU52" i="10"/>
  <c r="AV55" i="10"/>
  <c r="AV88" i="10"/>
  <c r="AV22" i="10"/>
  <c r="BF14" i="10"/>
  <c r="BF80" i="10"/>
  <c r="BF47" i="10"/>
  <c r="BG34" i="10"/>
  <c r="BG100" i="10"/>
  <c r="BG67" i="10"/>
  <c r="AR64" i="10"/>
  <c r="AR97" i="10"/>
  <c r="AR31" i="10"/>
  <c r="AV9" i="10"/>
  <c r="AV75" i="10"/>
  <c r="AV42" i="10"/>
  <c r="AU26" i="10"/>
  <c r="AU92" i="10"/>
  <c r="AU59" i="10"/>
  <c r="AU6" i="10"/>
  <c r="AU39" i="10"/>
  <c r="AU72" i="10"/>
  <c r="AW14" i="10"/>
  <c r="AW80" i="10"/>
  <c r="AW47" i="10"/>
  <c r="AZ33" i="10"/>
  <c r="AZ99" i="10"/>
  <c r="AZ66" i="10"/>
  <c r="AT11" i="10"/>
  <c r="AT77" i="10"/>
  <c r="AT44" i="10"/>
  <c r="BC40" i="10"/>
  <c r="BC73" i="10"/>
  <c r="BC7" i="10"/>
  <c r="BI45" i="10"/>
  <c r="BI12" i="10"/>
  <c r="BI78" i="10"/>
  <c r="BH49" i="10"/>
  <c r="BH16" i="10"/>
  <c r="BH82" i="10"/>
  <c r="AZ18" i="10"/>
  <c r="AZ84" i="10"/>
  <c r="AZ51" i="10"/>
  <c r="BF15" i="10"/>
  <c r="BF81" i="10"/>
  <c r="BF48" i="10"/>
  <c r="BJ24" i="10"/>
  <c r="BJ90" i="10"/>
  <c r="BJ57" i="10"/>
  <c r="BA28" i="10"/>
  <c r="BA94" i="10"/>
  <c r="BA61" i="10"/>
  <c r="BB42" i="10"/>
  <c r="BB9" i="10"/>
  <c r="BB75" i="10"/>
  <c r="BC33" i="10"/>
  <c r="BC99" i="10"/>
  <c r="BC66" i="10"/>
  <c r="AY10" i="10"/>
  <c r="AY76" i="10"/>
  <c r="AY43" i="10"/>
  <c r="AX31" i="10"/>
  <c r="AX97" i="10"/>
  <c r="AX64" i="10"/>
  <c r="BI74" i="10"/>
  <c r="BI41" i="10"/>
  <c r="BI8" i="10"/>
  <c r="AQ29" i="10"/>
  <c r="AQ95" i="10"/>
  <c r="AQ62" i="10"/>
  <c r="BD42" i="10"/>
  <c r="BD75" i="10"/>
  <c r="BD9" i="10"/>
  <c r="AX19" i="10"/>
  <c r="AX85" i="10"/>
  <c r="AX52" i="10"/>
  <c r="AZ26" i="10"/>
  <c r="AZ92" i="10"/>
  <c r="AZ59" i="10"/>
  <c r="AW31" i="10"/>
  <c r="AW97" i="10"/>
  <c r="AW64" i="10"/>
  <c r="BI15" i="10"/>
  <c r="BI81" i="10"/>
  <c r="BI48" i="10"/>
  <c r="AW56" i="10"/>
  <c r="AW23" i="10"/>
  <c r="AW89" i="10"/>
  <c r="BD101" i="10"/>
  <c r="BD68" i="10"/>
  <c r="BD35" i="10"/>
  <c r="AQ35" i="10"/>
  <c r="AQ101" i="10"/>
  <c r="AQ68" i="10"/>
  <c r="AQ25" i="10"/>
  <c r="AQ91" i="10"/>
  <c r="AQ58" i="10"/>
  <c r="AU99" i="10"/>
  <c r="AU66" i="10"/>
  <c r="AU33" i="10"/>
  <c r="AU20" i="10"/>
  <c r="AU86" i="10"/>
  <c r="AU53" i="10"/>
  <c r="AR96" i="10"/>
  <c r="AR63" i="10"/>
  <c r="AR30" i="10"/>
  <c r="AS40" i="10"/>
  <c r="AS7" i="10"/>
  <c r="AS73" i="10"/>
  <c r="BA59" i="10"/>
  <c r="BA26" i="10"/>
  <c r="BA92" i="10"/>
  <c r="AX8" i="10"/>
  <c r="AX74" i="10"/>
  <c r="AX41" i="10"/>
  <c r="BG42" i="10"/>
  <c r="BG75" i="10"/>
  <c r="BG9" i="10"/>
  <c r="BD7" i="10"/>
  <c r="BD40" i="10"/>
  <c r="BD73" i="10"/>
  <c r="BJ12" i="10"/>
  <c r="BJ78" i="10"/>
  <c r="BJ45" i="10"/>
  <c r="BI49" i="10"/>
  <c r="BI16" i="10"/>
  <c r="BI82" i="10"/>
  <c r="BG19" i="10"/>
  <c r="BG85" i="10"/>
  <c r="BG52" i="10"/>
  <c r="AT13" i="10"/>
  <c r="AT79" i="10"/>
  <c r="AT46" i="10"/>
  <c r="BK24" i="10"/>
  <c r="BK90" i="10"/>
  <c r="BK57" i="10"/>
  <c r="BG93" i="10"/>
  <c r="BG60" i="10"/>
  <c r="BG27" i="10"/>
  <c r="BB57" i="10"/>
  <c r="BB24" i="10"/>
  <c r="BB90" i="10"/>
  <c r="BK28" i="10"/>
  <c r="BK94" i="10"/>
  <c r="BK61" i="10"/>
  <c r="BC30" i="10"/>
  <c r="BC96" i="10"/>
  <c r="BC63" i="10"/>
  <c r="BD49" i="10"/>
  <c r="BD16" i="10"/>
  <c r="BD82" i="10"/>
  <c r="AY31" i="10"/>
  <c r="AY97" i="10"/>
  <c r="AY64" i="10"/>
  <c r="AT25" i="10"/>
  <c r="AT91" i="10"/>
  <c r="AT58" i="10"/>
  <c r="BK74" i="10"/>
  <c r="BK41" i="10"/>
  <c r="BK8" i="10"/>
  <c r="BC89" i="10"/>
  <c r="BC56" i="10"/>
  <c r="BC23" i="10"/>
  <c r="AT8" i="10"/>
  <c r="AT41" i="10"/>
  <c r="AT74" i="10"/>
  <c r="AT6" i="10"/>
  <c r="AT72" i="10"/>
  <c r="AT39" i="10"/>
  <c r="AX99" i="10"/>
  <c r="AX66" i="10"/>
  <c r="AX33" i="10"/>
  <c r="AY27" i="10"/>
  <c r="AY93" i="10"/>
  <c r="AY60" i="10"/>
  <c r="BB11" i="10"/>
  <c r="BB77" i="10"/>
  <c r="BB44" i="10"/>
  <c r="AT12" i="10"/>
  <c r="AT78" i="10"/>
  <c r="AT45" i="10"/>
  <c r="BJ49" i="10"/>
  <c r="BJ16" i="10"/>
  <c r="BJ82" i="10"/>
  <c r="BH52" i="10"/>
  <c r="BH19" i="10"/>
  <c r="BH85" i="10"/>
  <c r="AU13" i="10"/>
  <c r="AU79" i="10"/>
  <c r="AU46" i="10"/>
  <c r="BA57" i="10"/>
  <c r="BA24" i="10"/>
  <c r="BA90" i="10"/>
  <c r="BD28" i="10"/>
  <c r="BD94" i="10"/>
  <c r="BD61" i="10"/>
  <c r="BC57" i="10"/>
  <c r="BC90" i="10"/>
  <c r="BC24" i="10"/>
  <c r="BG29" i="10"/>
  <c r="BG95" i="10"/>
  <c r="BG62" i="10"/>
  <c r="BF59" i="10"/>
  <c r="BF92" i="10"/>
  <c r="BF26" i="10"/>
  <c r="AX9" i="10"/>
  <c r="AX75" i="10"/>
  <c r="AX42" i="10"/>
  <c r="AZ31" i="10"/>
  <c r="AZ97" i="10"/>
  <c r="AZ64" i="10"/>
  <c r="AV66" i="10"/>
  <c r="AV33" i="10"/>
  <c r="AV99" i="10"/>
  <c r="BB14" i="10"/>
  <c r="BB80" i="10"/>
  <c r="BB47" i="10"/>
  <c r="AR6" i="10"/>
  <c r="AR39" i="10"/>
  <c r="AR72" i="10"/>
  <c r="AX27" i="10"/>
  <c r="AX93" i="10"/>
  <c r="AX60" i="10"/>
  <c r="AU10" i="10"/>
  <c r="AU76" i="10"/>
  <c r="AU43" i="10"/>
  <c r="BH15" i="10"/>
  <c r="BH81" i="10"/>
  <c r="BH48" i="10"/>
  <c r="AV7" i="10"/>
  <c r="AV73" i="10"/>
  <c r="AV40" i="10"/>
  <c r="AU58" i="10"/>
  <c r="AU25" i="10"/>
  <c r="AU91" i="10"/>
  <c r="BJ59" i="10"/>
  <c r="BJ92" i="10"/>
  <c r="BJ26" i="10"/>
  <c r="AQ6" i="10"/>
  <c r="AQ72" i="10"/>
  <c r="BB40" i="10"/>
  <c r="BB7" i="10"/>
  <c r="BB73" i="10"/>
  <c r="BC101" i="10"/>
  <c r="BC68" i="10"/>
  <c r="BC35" i="10"/>
  <c r="AV18" i="10"/>
  <c r="AV84" i="10"/>
  <c r="AV51" i="10"/>
  <c r="AT9" i="10"/>
  <c r="AT75" i="10"/>
  <c r="AT42" i="10"/>
  <c r="AS54" i="10"/>
  <c r="AS87" i="10"/>
  <c r="AS21" i="10"/>
  <c r="AV10" i="10"/>
  <c r="AV76" i="10"/>
  <c r="AV43" i="10"/>
  <c r="AS8" i="10"/>
  <c r="AS74" i="10"/>
  <c r="AS41" i="10"/>
  <c r="AY41" i="10"/>
  <c r="AY8" i="10"/>
  <c r="AY74" i="10"/>
  <c r="AU11" i="10"/>
  <c r="AU77" i="10"/>
  <c r="AU44" i="10"/>
  <c r="BF39" i="10"/>
  <c r="BF72" i="10"/>
  <c r="BF6" i="10"/>
  <c r="BK12" i="10"/>
  <c r="BK78" i="10"/>
  <c r="BK45" i="10"/>
  <c r="BK49" i="10"/>
  <c r="BK82" i="10"/>
  <c r="BK16" i="10"/>
  <c r="BI19" i="10"/>
  <c r="BI85" i="10"/>
  <c r="BI52" i="10"/>
  <c r="BB16" i="10"/>
  <c r="BB82" i="10"/>
  <c r="BB49" i="10"/>
  <c r="AW90" i="10"/>
  <c r="AW57" i="10"/>
  <c r="AW24" i="10"/>
  <c r="AW29" i="10"/>
  <c r="AW95" i="10"/>
  <c r="AW62" i="10"/>
  <c r="BD57" i="10"/>
  <c r="BD24" i="10"/>
  <c r="BD90" i="10"/>
  <c r="BH29" i="10"/>
  <c r="BH95" i="10"/>
  <c r="BH62" i="10"/>
  <c r="BF35" i="10"/>
  <c r="BF101" i="10"/>
  <c r="BF68" i="10"/>
  <c r="AT47" i="10"/>
  <c r="AT14" i="10"/>
  <c r="AT80" i="10"/>
  <c r="BA31" i="10"/>
  <c r="BA97" i="10"/>
  <c r="BA64" i="10"/>
  <c r="AQ67" i="10"/>
  <c r="AQ34" i="10"/>
  <c r="AQ100" i="10"/>
  <c r="AU16" i="10"/>
  <c r="AU82" i="10"/>
  <c r="AU49" i="10"/>
  <c r="BK23" i="10"/>
  <c r="BK89" i="10"/>
  <c r="BK56" i="10"/>
  <c r="AS30" i="10"/>
  <c r="AS96" i="10"/>
  <c r="AS63" i="10"/>
  <c r="AX20" i="10"/>
  <c r="AX86" i="10"/>
  <c r="AX53" i="10"/>
  <c r="BH33" i="10"/>
  <c r="BH99" i="10"/>
  <c r="BH66" i="10"/>
  <c r="AT54" i="10"/>
  <c r="AT21" i="10"/>
  <c r="AT87" i="10"/>
  <c r="BB18" i="10"/>
  <c r="BB84" i="10"/>
  <c r="BB51" i="10"/>
  <c r="BJ39" i="10"/>
  <c r="BJ72" i="10"/>
  <c r="BJ6" i="10"/>
  <c r="AT64" i="10"/>
  <c r="AT97" i="10"/>
  <c r="AT31" i="10"/>
  <c r="AQ7" i="10"/>
  <c r="AQ73" i="10"/>
  <c r="AQ40" i="10"/>
  <c r="AT7" i="10"/>
  <c r="AT73" i="10"/>
  <c r="AT40" i="10"/>
  <c r="AU29" i="10"/>
  <c r="AU95" i="10"/>
  <c r="AU62" i="10"/>
  <c r="AV19" i="10"/>
  <c r="AV85" i="10"/>
  <c r="AV52" i="10"/>
  <c r="AR23" i="10"/>
  <c r="AR89" i="10"/>
  <c r="AR56" i="10"/>
  <c r="AU54" i="10"/>
  <c r="AU87" i="10"/>
  <c r="AU21" i="10"/>
  <c r="AR10" i="10"/>
  <c r="AR76" i="10"/>
  <c r="AR43" i="10"/>
  <c r="AU57" i="10"/>
  <c r="AU24" i="10"/>
  <c r="AU90" i="10"/>
  <c r="BA14" i="10"/>
  <c r="BA80" i="10"/>
  <c r="BA47" i="10"/>
  <c r="BH42" i="10"/>
  <c r="BH9" i="10"/>
  <c r="BH75" i="10"/>
  <c r="BF73" i="10"/>
  <c r="BF40" i="10"/>
  <c r="BF7" i="10"/>
  <c r="AU12" i="10"/>
  <c r="AU78" i="10"/>
  <c r="AU45" i="10"/>
  <c r="AW16" i="10"/>
  <c r="AW82" i="10"/>
  <c r="AW49" i="10"/>
  <c r="BJ52" i="10"/>
  <c r="BJ19" i="10"/>
  <c r="BJ85" i="10"/>
  <c r="BC16" i="10"/>
  <c r="BC49" i="10"/>
  <c r="BC82" i="10"/>
  <c r="AX24" i="10"/>
  <c r="AX57" i="10"/>
  <c r="AX90" i="10"/>
  <c r="BH27" i="10"/>
  <c r="BH60" i="10"/>
  <c r="BH93" i="10"/>
  <c r="BI29" i="10"/>
  <c r="BI95" i="10"/>
  <c r="BI62" i="10"/>
  <c r="BB21" i="10"/>
  <c r="BB87" i="10"/>
  <c r="BB54" i="10"/>
  <c r="AS34" i="10"/>
  <c r="AS67" i="10"/>
  <c r="AS100" i="10"/>
  <c r="BA13" i="10"/>
  <c r="BA79" i="10"/>
  <c r="BA46" i="10"/>
  <c r="BJ51" i="10"/>
  <c r="BJ18" i="10"/>
  <c r="BJ84" i="10"/>
  <c r="AV41" i="10"/>
  <c r="AV8" i="10"/>
  <c r="AV74" i="10"/>
  <c r="BJ94" i="10"/>
  <c r="BJ61" i="10"/>
  <c r="BJ28" i="10"/>
  <c r="BF44" i="10"/>
  <c r="BF11" i="10"/>
  <c r="BF77" i="10"/>
  <c r="AW99" i="10"/>
  <c r="AW66" i="10"/>
  <c r="AW33" i="10"/>
  <c r="BJ15" i="10"/>
  <c r="BJ81" i="10"/>
  <c r="BJ48" i="10"/>
  <c r="AR8" i="10"/>
  <c r="AR74" i="10"/>
  <c r="AR41" i="10"/>
  <c r="BH12" i="10"/>
  <c r="BH78" i="10"/>
  <c r="BH45" i="10"/>
  <c r="BD19" i="10"/>
  <c r="BD85" i="10"/>
  <c r="BD52" i="10"/>
  <c r="AQ16" i="10"/>
  <c r="AQ82" i="10"/>
  <c r="AQ49" i="10"/>
  <c r="AV17" i="10"/>
  <c r="AV83" i="10"/>
  <c r="AV50" i="10"/>
  <c r="AS16" i="10"/>
  <c r="AS82" i="10"/>
  <c r="AS49" i="10"/>
  <c r="AU30" i="10"/>
  <c r="AU96" i="10"/>
  <c r="AU63" i="10"/>
  <c r="AT27" i="10"/>
  <c r="AT93" i="10"/>
  <c r="AT60" i="10"/>
  <c r="BC11" i="10"/>
  <c r="BC77" i="10"/>
  <c r="BC44" i="10"/>
  <c r="AV12" i="10"/>
  <c r="AV78" i="10"/>
  <c r="AV45" i="10"/>
  <c r="AX16" i="10"/>
  <c r="AX49" i="10"/>
  <c r="AX82" i="10"/>
  <c r="BK19" i="10"/>
  <c r="BK85" i="10"/>
  <c r="BK52" i="10"/>
  <c r="BC17" i="10"/>
  <c r="BC83" i="10"/>
  <c r="BC50" i="10"/>
  <c r="AY57" i="10"/>
  <c r="AY90" i="10"/>
  <c r="AY24" i="10"/>
  <c r="BB58" i="10"/>
  <c r="BB91" i="10"/>
  <c r="BB25" i="10"/>
  <c r="AW26" i="10"/>
  <c r="AW92" i="10"/>
  <c r="AW59" i="10"/>
  <c r="BD59" i="10"/>
  <c r="BD26" i="10"/>
  <c r="BD92" i="10"/>
  <c r="AW10" i="10"/>
  <c r="AW76" i="10"/>
  <c r="AW43" i="10"/>
  <c r="BG35" i="10"/>
  <c r="BG101" i="10"/>
  <c r="BG68" i="10"/>
  <c r="AX11" i="10"/>
  <c r="AX77" i="10"/>
  <c r="AX44" i="10"/>
  <c r="AT48" i="10"/>
  <c r="AT15" i="10"/>
  <c r="AT81" i="10"/>
  <c r="BI59" i="10"/>
  <c r="BI26" i="10"/>
  <c r="BI92" i="10"/>
  <c r="AR29" i="10"/>
  <c r="AR95" i="10"/>
  <c r="AR62" i="10"/>
  <c r="AY11" i="10"/>
  <c r="AY77" i="10"/>
  <c r="AY44" i="10"/>
  <c r="BB33" i="10"/>
  <c r="BB99" i="10"/>
  <c r="BB66" i="10"/>
  <c r="BK39" i="10"/>
  <c r="BK72" i="10"/>
  <c r="BK6" i="10"/>
  <c r="BB10" i="10"/>
  <c r="BB43" i="10"/>
  <c r="BB76" i="10"/>
  <c r="BF82" i="10"/>
  <c r="BF49" i="10"/>
  <c r="BF16" i="10"/>
  <c r="AU18" i="10"/>
  <c r="AU84" i="10"/>
  <c r="AU51" i="10"/>
  <c r="AZ43" i="10"/>
  <c r="AZ10" i="10"/>
  <c r="AZ76" i="10"/>
  <c r="AU48" i="10"/>
  <c r="AU81" i="10"/>
  <c r="AU15" i="10"/>
  <c r="AQ12" i="10"/>
  <c r="AQ78" i="10"/>
  <c r="AQ45" i="10"/>
  <c r="AU28" i="10"/>
  <c r="AU94" i="10"/>
  <c r="AU61" i="10"/>
  <c r="AR18" i="10"/>
  <c r="AR84" i="10"/>
  <c r="AR51" i="10"/>
  <c r="AS19" i="10"/>
  <c r="AS85" i="10"/>
  <c r="AS52" i="10"/>
  <c r="AS24" i="10"/>
  <c r="AS90" i="10"/>
  <c r="AS57" i="10"/>
  <c r="AS9" i="10"/>
  <c r="AS75" i="10"/>
  <c r="AS42" i="10"/>
  <c r="AV48" i="10"/>
  <c r="AV15" i="10"/>
  <c r="AV81" i="10"/>
  <c r="AZ14" i="10"/>
  <c r="AZ80" i="10"/>
  <c r="AZ47" i="10"/>
  <c r="AZ41" i="10"/>
  <c r="AZ8" i="10"/>
  <c r="AZ74" i="10"/>
  <c r="AV11" i="10"/>
  <c r="AV77" i="10"/>
  <c r="AV44" i="10"/>
  <c r="BB8" i="10"/>
  <c r="BB41" i="10"/>
  <c r="BB74" i="10"/>
  <c r="AS12" i="10"/>
  <c r="AS78" i="10"/>
  <c r="AS45" i="10"/>
  <c r="AY16" i="10"/>
  <c r="AY82" i="10"/>
  <c r="AY49" i="10"/>
  <c r="BG20" i="10"/>
  <c r="BG86" i="10"/>
  <c r="BG53" i="10"/>
  <c r="BG21" i="10"/>
  <c r="BG87" i="10"/>
  <c r="BG54" i="10"/>
  <c r="AZ57" i="10"/>
  <c r="AZ24" i="10"/>
  <c r="AZ90" i="10"/>
  <c r="AX29" i="10"/>
  <c r="AX95" i="10"/>
  <c r="AX62" i="10"/>
  <c r="BC58" i="10"/>
  <c r="BC25" i="10"/>
  <c r="BC91" i="10"/>
  <c r="BJ29" i="10"/>
  <c r="BJ95" i="10"/>
  <c r="BJ62" i="10"/>
  <c r="AT55" i="10"/>
  <c r="AT22" i="10"/>
  <c r="AT88" i="10"/>
  <c r="AV6" i="10"/>
  <c r="AV39" i="10"/>
  <c r="AV72" i="10"/>
  <c r="BJ14" i="10"/>
  <c r="BJ80" i="10"/>
  <c r="BJ47" i="10"/>
  <c r="AX18" i="10"/>
  <c r="AX84" i="10"/>
  <c r="AX51" i="10"/>
  <c r="AR11" i="10"/>
  <c r="AR77" i="10"/>
  <c r="AR44" i="10"/>
  <c r="AQ27" i="10"/>
  <c r="AQ93" i="10"/>
  <c r="AQ60" i="10"/>
  <c r="BD14" i="10"/>
  <c r="BD80" i="10"/>
  <c r="BD47" i="10"/>
  <c r="BF42" i="10"/>
  <c r="BF9" i="10"/>
  <c r="BF75" i="10"/>
  <c r="AV31" i="10"/>
  <c r="AV97" i="10"/>
  <c r="AV64" i="10"/>
  <c r="BD51" i="10"/>
  <c r="BD18" i="10"/>
  <c r="BD84" i="10"/>
  <c r="AQ47" i="10"/>
  <c r="AQ14" i="10"/>
  <c r="AQ80" i="10"/>
  <c r="AW8" i="10"/>
  <c r="AW74" i="10"/>
  <c r="AW41" i="10"/>
  <c r="AS6" i="10"/>
  <c r="AS39" i="10"/>
  <c r="AS72" i="10"/>
  <c r="AS66" i="10"/>
  <c r="AS33" i="10"/>
  <c r="AS99" i="10"/>
  <c r="AS79" i="10"/>
  <c r="AS46" i="10"/>
  <c r="AS13" i="10"/>
  <c r="AR54" i="10"/>
  <c r="AR21" i="10"/>
  <c r="AR87" i="10"/>
  <c r="AR26" i="10"/>
  <c r="AR92" i="10"/>
  <c r="AR59" i="10"/>
  <c r="AS10" i="10"/>
  <c r="AS76" i="10"/>
  <c r="AS43" i="10"/>
  <c r="AT17" i="10"/>
  <c r="AT83" i="10"/>
  <c r="AT50" i="10"/>
  <c r="AW48" i="10"/>
  <c r="AW81" i="10"/>
  <c r="AW15" i="10"/>
  <c r="BI42" i="10"/>
  <c r="BI9" i="10"/>
  <c r="BI75" i="10"/>
  <c r="BD72" i="10"/>
  <c r="BD6" i="10"/>
  <c r="BD39" i="10"/>
  <c r="AV13" i="10"/>
  <c r="AV79" i="10"/>
  <c r="AV46" i="10"/>
  <c r="AZ16" i="10"/>
  <c r="AZ82" i="10"/>
  <c r="AZ49" i="10"/>
  <c r="BH20" i="10"/>
  <c r="BH86" i="10"/>
  <c r="BH53" i="10"/>
  <c r="BF24" i="10"/>
  <c r="BF57" i="10"/>
  <c r="BF90" i="10"/>
  <c r="BI60" i="10"/>
  <c r="BI93" i="10"/>
  <c r="BI27" i="10"/>
  <c r="BD58" i="10"/>
  <c r="BD25" i="10"/>
  <c r="BD91" i="10"/>
  <c r="BA30" i="10"/>
  <c r="BA96" i="10"/>
  <c r="BA63" i="10"/>
  <c r="BB26" i="10"/>
  <c r="BB59" i="10"/>
  <c r="BB92" i="10"/>
  <c r="BD21" i="10"/>
  <c r="BD87" i="10"/>
  <c r="BD54" i="10"/>
  <c r="BG45" i="10"/>
  <c r="BG12" i="10"/>
  <c r="BG78" i="10"/>
  <c r="BG15" i="10"/>
  <c r="BG81" i="10"/>
  <c r="BG48" i="10"/>
  <c r="BA20" i="10"/>
  <c r="BA86" i="10"/>
  <c r="BA53" i="10"/>
  <c r="BJ43" i="10"/>
  <c r="BJ76" i="10"/>
  <c r="BJ10" i="10"/>
  <c r="AS68" i="10"/>
  <c r="AS35" i="10"/>
  <c r="AS101" i="10"/>
  <c r="BK43" i="10"/>
  <c r="BK10" i="10"/>
  <c r="BK76" i="10"/>
  <c r="AT30" i="10"/>
  <c r="AT96" i="10"/>
  <c r="AT63" i="10"/>
  <c r="AZ11" i="10"/>
  <c r="AZ77" i="10"/>
  <c r="AZ44" i="10"/>
  <c r="BK15" i="10"/>
  <c r="BK81" i="10"/>
  <c r="BK48" i="10"/>
  <c r="BF43" i="10"/>
  <c r="BF10" i="10"/>
  <c r="BF76" i="10"/>
  <c r="BG16" i="10"/>
  <c r="BG49" i="10"/>
  <c r="BG82" i="10"/>
  <c r="AV59" i="10"/>
  <c r="AV26" i="10"/>
  <c r="AV92" i="10"/>
  <c r="AQ17" i="10"/>
  <c r="AQ83" i="10"/>
  <c r="AQ50" i="10"/>
  <c r="AR48" i="10"/>
  <c r="AR81" i="10"/>
  <c r="AR15" i="10"/>
  <c r="AX73" i="10"/>
  <c r="AX40" i="10"/>
  <c r="AX7" i="10"/>
  <c r="AY21" i="10"/>
  <c r="AY87" i="10"/>
  <c r="AY54" i="10"/>
  <c r="BD11" i="10"/>
  <c r="BD77" i="10"/>
  <c r="BD44" i="10"/>
  <c r="BC41" i="10"/>
  <c r="BC74" i="10"/>
  <c r="BC8" i="10"/>
  <c r="BH13" i="10"/>
  <c r="BH79" i="10"/>
  <c r="BH46" i="10"/>
  <c r="BA16" i="10"/>
  <c r="BA82" i="10"/>
  <c r="BA49" i="10"/>
  <c r="BI20" i="10"/>
  <c r="BI86" i="10"/>
  <c r="BI53" i="10"/>
  <c r="BH21" i="10"/>
  <c r="BH87" i="10"/>
  <c r="BH54" i="10"/>
  <c r="BG58" i="10"/>
  <c r="BG25" i="10"/>
  <c r="BG91" i="10"/>
  <c r="BF28" i="10"/>
  <c r="BF94" i="10"/>
  <c r="BF61" i="10"/>
  <c r="BK29" i="10"/>
  <c r="BK95" i="10"/>
  <c r="BK62" i="10"/>
  <c r="BD17" i="10"/>
  <c r="BD83" i="10"/>
  <c r="BD50" i="10"/>
  <c r="BD33" i="10"/>
  <c r="BD99" i="10"/>
  <c r="BD66" i="10"/>
  <c r="AZ19" i="10"/>
  <c r="AZ85" i="10"/>
  <c r="AZ52" i="10"/>
  <c r="AY9" i="10"/>
  <c r="AY75" i="10"/>
  <c r="AY42" i="10"/>
  <c r="AQ85" i="10"/>
  <c r="AQ52" i="10"/>
  <c r="AQ19" i="10"/>
  <c r="BJ11" i="10"/>
  <c r="BJ44" i="10"/>
  <c r="BJ77" i="10"/>
  <c r="AY18" i="10"/>
  <c r="AY84" i="10"/>
  <c r="AY51" i="10"/>
  <c r="AZ13" i="10"/>
  <c r="AZ79" i="10"/>
  <c r="AZ46" i="10"/>
  <c r="BA27" i="10"/>
  <c r="BA60" i="10"/>
  <c r="BA93" i="10"/>
  <c r="AW42" i="10"/>
  <c r="AW9" i="10"/>
  <c r="AW75" i="10"/>
  <c r="BC72" i="10"/>
  <c r="BC6" i="10"/>
  <c r="BC39" i="10"/>
  <c r="BI13" i="10"/>
  <c r="BI79" i="10"/>
  <c r="BI46" i="10"/>
  <c r="BG50" i="10"/>
  <c r="BG17" i="10"/>
  <c r="BG83" i="10"/>
  <c r="BJ20" i="10"/>
  <c r="BJ86" i="10"/>
  <c r="BJ53" i="10"/>
  <c r="BF21" i="10"/>
  <c r="BF87" i="10"/>
  <c r="BF54" i="10"/>
  <c r="BH58" i="10"/>
  <c r="BH25" i="10"/>
  <c r="BH91" i="10"/>
  <c r="AY29" i="10"/>
  <c r="AY95" i="10"/>
  <c r="AY62" i="10"/>
  <c r="BF58" i="10"/>
  <c r="BF91" i="10"/>
  <c r="BF25" i="10"/>
  <c r="BG30" i="10"/>
  <c r="BG96" i="10"/>
  <c r="BG63" i="10"/>
  <c r="BB56" i="10"/>
  <c r="BB89" i="10"/>
  <c r="BB23" i="10"/>
  <c r="AU47" i="10"/>
  <c r="AU80" i="10"/>
  <c r="AU14" i="10"/>
  <c r="AW20" i="10"/>
  <c r="AW86" i="10"/>
  <c r="AW53" i="10"/>
  <c r="BJ42" i="10"/>
  <c r="BJ75" i="10"/>
  <c r="BJ9" i="10"/>
  <c r="BJ13" i="10"/>
  <c r="BJ46" i="10"/>
  <c r="BJ79" i="10"/>
  <c r="AW17" i="10"/>
  <c r="AW83" i="10"/>
  <c r="AW50" i="10"/>
  <c r="BK20" i="10"/>
  <c r="BK86" i="10"/>
  <c r="BK53" i="10"/>
  <c r="BI58" i="10"/>
  <c r="BI25" i="10"/>
  <c r="BI91" i="10"/>
  <c r="BJ27" i="10"/>
  <c r="BJ60" i="10"/>
  <c r="BJ93" i="10"/>
  <c r="BC21" i="10"/>
  <c r="BC87" i="10"/>
  <c r="BC54" i="10"/>
  <c r="BH30" i="10"/>
  <c r="BH96" i="10"/>
  <c r="BH63" i="10"/>
  <c r="AW7" i="10"/>
  <c r="AW40" i="10"/>
  <c r="AW73" i="10"/>
  <c r="BF29" i="10"/>
  <c r="BF62" i="10"/>
  <c r="BF95" i="10"/>
  <c r="BF27" i="10"/>
  <c r="BF60" i="10"/>
  <c r="BF93" i="10"/>
  <c r="BB30" i="10"/>
  <c r="BB96" i="10"/>
  <c r="BB63" i="10"/>
  <c r="BC20" i="10"/>
  <c r="BC86" i="10"/>
  <c r="BC53" i="10"/>
  <c r="AS18" i="10"/>
  <c r="AS84" i="10"/>
  <c r="AS51" i="10"/>
  <c r="AS26" i="10"/>
  <c r="AS92" i="10"/>
  <c r="AS59" i="10"/>
  <c r="BD41" i="10"/>
  <c r="BD8" i="10"/>
  <c r="BD74" i="10"/>
  <c r="BI21" i="10"/>
  <c r="BI87" i="10"/>
  <c r="BI54" i="10"/>
  <c r="AQ28" i="10"/>
  <c r="AQ94" i="10"/>
  <c r="AQ61" i="10"/>
  <c r="AS29" i="10"/>
  <c r="AS95" i="10"/>
  <c r="AS62" i="10"/>
  <c r="AS28" i="10"/>
  <c r="AS94" i="10"/>
  <c r="AS61" i="10"/>
  <c r="AV27" i="10"/>
  <c r="AV93" i="10"/>
  <c r="AV60" i="10"/>
  <c r="AR9" i="10"/>
  <c r="AR75" i="10"/>
  <c r="AR42" i="10"/>
  <c r="AY26" i="10"/>
  <c r="AY92" i="10"/>
  <c r="AY59" i="10"/>
  <c r="AZ40" i="10"/>
  <c r="AZ73" i="10"/>
  <c r="AZ7" i="10"/>
  <c r="BA74" i="10"/>
  <c r="BA41" i="10"/>
  <c r="BA8" i="10"/>
  <c r="BB6" i="10"/>
  <c r="BB39" i="10"/>
  <c r="BB72" i="10"/>
  <c r="BK13" i="10"/>
  <c r="BK79" i="10"/>
  <c r="BK46" i="10"/>
  <c r="BH50" i="10"/>
  <c r="BH17" i="10"/>
  <c r="BH83" i="10"/>
  <c r="AR12" i="10"/>
  <c r="AR78" i="10"/>
  <c r="AR45" i="10"/>
  <c r="BJ21" i="10"/>
  <c r="BJ87" i="10"/>
  <c r="BJ54" i="10"/>
  <c r="BJ91" i="10"/>
  <c r="BJ58" i="10"/>
  <c r="BJ25" i="10"/>
  <c r="BB29" i="10"/>
  <c r="BB95" i="10"/>
  <c r="BB62" i="10"/>
  <c r="BI30" i="10"/>
  <c r="BI96" i="10"/>
  <c r="BI63" i="10"/>
  <c r="BD30" i="10"/>
  <c r="BD96" i="10"/>
  <c r="BD63" i="10"/>
  <c r="BF23" i="10"/>
  <c r="BF89" i="10"/>
  <c r="BF56" i="10"/>
  <c r="BC28" i="10"/>
  <c r="BC94" i="10"/>
  <c r="BC61" i="10"/>
  <c r="AU55" i="10"/>
  <c r="AU22" i="10"/>
  <c r="AU88" i="10"/>
  <c r="AT67" i="10"/>
  <c r="AT100" i="10"/>
  <c r="AT34" i="10"/>
  <c r="AT10" i="10"/>
  <c r="AT76" i="10"/>
  <c r="AT43" i="10"/>
  <c r="AT35" i="10"/>
  <c r="AT101" i="10"/>
  <c r="AT68" i="10"/>
  <c r="BA40" i="10"/>
  <c r="BA7" i="10"/>
  <c r="BA73" i="10"/>
  <c r="AX48" i="10"/>
  <c r="AX15" i="10"/>
  <c r="AX81" i="10"/>
  <c r="BK42" i="10"/>
  <c r="BK75" i="10"/>
  <c r="BK9" i="10"/>
  <c r="AR79" i="10"/>
  <c r="AR46" i="10"/>
  <c r="AR13" i="10"/>
  <c r="AX17" i="10"/>
  <c r="AX83" i="10"/>
  <c r="AX50" i="10"/>
  <c r="BF12" i="10"/>
  <c r="BF78" i="10"/>
  <c r="BF45" i="10"/>
  <c r="BK21" i="10"/>
  <c r="BK87" i="10"/>
  <c r="BK54" i="10"/>
  <c r="BK25" i="10"/>
  <c r="BK91" i="10"/>
  <c r="BK58" i="10"/>
  <c r="AZ29" i="10"/>
  <c r="AZ95" i="10"/>
  <c r="AZ62" i="10"/>
  <c r="AX21" i="10"/>
  <c r="AX87" i="10"/>
  <c r="AX54" i="10"/>
  <c r="BJ30" i="10"/>
  <c r="BJ96" i="10"/>
  <c r="BJ63" i="10"/>
  <c r="BI31" i="10"/>
  <c r="BI97" i="10"/>
  <c r="BI64" i="10"/>
  <c r="BG33" i="10"/>
  <c r="BG99" i="10"/>
  <c r="BG66" i="10"/>
  <c r="BC14" i="10"/>
  <c r="BC80" i="10"/>
  <c r="BC47" i="10"/>
  <c r="BF31" i="10"/>
  <c r="BF97" i="10"/>
  <c r="BF64" i="10"/>
  <c r="BI39" i="10"/>
  <c r="BI72" i="10"/>
  <c r="BI6" i="10"/>
  <c r="AQ66" i="10"/>
  <c r="AQ99" i="10"/>
  <c r="AQ33" i="10"/>
  <c r="AR27" i="10"/>
  <c r="AR93" i="10"/>
  <c r="AR60" i="10"/>
  <c r="AR35" i="10"/>
  <c r="AR101" i="10"/>
  <c r="AR68" i="10"/>
  <c r="AV20" i="10"/>
  <c r="AV86" i="10"/>
  <c r="AV53" i="10"/>
  <c r="AV56" i="10"/>
  <c r="AV89" i="10"/>
  <c r="AV23" i="10"/>
  <c r="AX14" i="10"/>
  <c r="AX80" i="10"/>
  <c r="AX47" i="10"/>
  <c r="AZ21" i="10"/>
  <c r="AZ87" i="10"/>
  <c r="AZ54" i="10"/>
  <c r="BG11" i="10"/>
  <c r="BG77" i="10"/>
  <c r="BG44" i="10"/>
  <c r="BA72" i="10"/>
  <c r="BA6" i="10"/>
  <c r="BA39" i="10"/>
  <c r="AY13" i="10"/>
  <c r="AY79" i="10"/>
  <c r="AY46" i="10"/>
  <c r="BI83" i="10"/>
  <c r="BI50" i="10"/>
  <c r="BI17" i="10"/>
  <c r="AR47" i="10"/>
  <c r="AR80" i="10"/>
  <c r="AR14" i="10"/>
  <c r="BG22" i="10"/>
  <c r="BG88" i="10"/>
  <c r="BG55" i="10"/>
  <c r="AW25" i="10"/>
  <c r="AW91" i="10"/>
  <c r="AW58" i="10"/>
  <c r="AX30" i="10"/>
  <c r="AX96" i="10"/>
  <c r="AX63" i="10"/>
  <c r="BF22" i="10"/>
  <c r="BF88" i="10"/>
  <c r="BF55" i="10"/>
  <c r="AX59" i="10"/>
  <c r="AX26" i="10"/>
  <c r="AX92" i="10"/>
  <c r="BK14" i="10"/>
  <c r="BK80" i="10"/>
  <c r="BK47" i="10"/>
  <c r="AY28" i="10"/>
  <c r="AY94" i="10"/>
  <c r="AY61" i="10"/>
  <c r="AZ30" i="10"/>
  <c r="AZ96" i="10"/>
  <c r="AZ63" i="10"/>
  <c r="AQ53" i="10"/>
  <c r="AQ86" i="10"/>
  <c r="AQ20" i="10"/>
  <c r="AQ54" i="10"/>
  <c r="AQ21" i="10"/>
  <c r="AQ87" i="10"/>
  <c r="AU7" i="10"/>
  <c r="AU73" i="10"/>
  <c r="AU40" i="10"/>
  <c r="AU8" i="10"/>
  <c r="AU74" i="10"/>
  <c r="AU41" i="10"/>
  <c r="AU97" i="10"/>
  <c r="AU64" i="10"/>
  <c r="AU31" i="10"/>
  <c r="AU67" i="10"/>
  <c r="AU34" i="10"/>
  <c r="AU100" i="10"/>
  <c r="AT16" i="10"/>
  <c r="AT82" i="10"/>
  <c r="AT49" i="10"/>
  <c r="AU17" i="10"/>
  <c r="AU83" i="10"/>
  <c r="AU50" i="10"/>
  <c r="AZ20" i="10"/>
  <c r="AZ86" i="10"/>
  <c r="AZ53" i="10"/>
  <c r="AW28" i="10"/>
  <c r="AW94" i="10"/>
  <c r="AW61" i="10"/>
  <c r="BH11" i="10"/>
  <c r="BH77" i="10"/>
  <c r="BH44" i="10"/>
  <c r="BF41" i="10"/>
  <c r="BF8" i="10"/>
  <c r="BF74" i="10"/>
  <c r="AX13" i="10"/>
  <c r="AX79" i="10"/>
  <c r="AX46" i="10"/>
  <c r="AY17" i="10"/>
  <c r="AY83" i="10"/>
  <c r="AY50" i="10"/>
  <c r="BH22" i="10"/>
  <c r="BH88" i="10"/>
  <c r="BH55" i="10"/>
  <c r="AX25" i="10"/>
  <c r="AX91" i="10"/>
  <c r="AX58" i="10"/>
  <c r="BK60" i="10"/>
  <c r="BK27" i="10"/>
  <c r="BK93" i="10"/>
  <c r="AW55" i="10"/>
  <c r="AW88" i="10"/>
  <c r="AW22" i="10"/>
  <c r="BK63" i="10"/>
  <c r="BK30" i="10"/>
  <c r="BK96" i="10"/>
  <c r="BC22" i="10"/>
  <c r="BC88" i="10"/>
  <c r="BC55" i="10"/>
  <c r="BH34" i="10"/>
  <c r="BH100" i="10"/>
  <c r="BH67" i="10"/>
  <c r="BF20" i="10"/>
  <c r="BF86" i="10"/>
  <c r="BF53" i="10"/>
  <c r="AY19" i="10"/>
  <c r="AY85" i="10"/>
  <c r="AY52" i="10"/>
  <c r="AX10" i="10"/>
  <c r="AX76" i="10"/>
  <c r="AX43" i="10"/>
  <c r="BG13" i="10"/>
  <c r="BG79" i="10"/>
  <c r="BG46" i="10"/>
  <c r="AY30" i="10"/>
  <c r="AY96" i="10"/>
  <c r="AY63" i="10"/>
  <c r="BB27" i="10"/>
  <c r="BB93" i="10"/>
  <c r="BB60" i="10"/>
  <c r="BA22" i="10"/>
  <c r="BA88" i="10"/>
  <c r="BA55" i="10"/>
  <c r="AT18" i="10"/>
  <c r="AT84" i="10"/>
  <c r="AT51" i="10"/>
  <c r="AT19" i="10"/>
  <c r="AT85" i="10"/>
  <c r="AT52" i="10"/>
  <c r="AS25" i="10"/>
  <c r="AS91" i="10"/>
  <c r="AS58" i="10"/>
  <c r="AS55" i="10"/>
  <c r="AS88" i="10"/>
  <c r="AS22" i="10"/>
  <c r="AS64" i="10"/>
  <c r="AS97" i="10"/>
  <c r="AS31" i="10"/>
  <c r="AW27" i="10"/>
  <c r="AW93" i="10"/>
  <c r="AW60" i="10"/>
  <c r="AY100" i="10"/>
  <c r="AY67" i="10"/>
  <c r="AY34" i="10"/>
  <c r="BI11" i="10"/>
  <c r="BI77" i="10"/>
  <c r="BI44" i="10"/>
  <c r="AZ72" i="10"/>
  <c r="AZ6" i="10"/>
  <c r="AZ39" i="10"/>
  <c r="AW13" i="10"/>
  <c r="AW79" i="10"/>
  <c r="AW46" i="10"/>
  <c r="BJ17" i="10"/>
  <c r="BJ50" i="10"/>
  <c r="BJ83" i="10"/>
  <c r="AW12" i="10"/>
  <c r="AW78" i="10"/>
  <c r="AW45" i="10"/>
  <c r="BI22" i="10"/>
  <c r="BI88" i="10"/>
  <c r="BI55" i="10"/>
  <c r="AY58" i="10"/>
  <c r="AY25" i="10"/>
  <c r="AY91" i="10"/>
  <c r="BC29" i="10"/>
  <c r="BC95" i="10"/>
  <c r="BC62" i="10"/>
  <c r="BH35" i="10"/>
  <c r="BH101" i="10"/>
  <c r="BH68" i="10"/>
  <c r="BB34" i="10"/>
  <c r="BB100" i="10"/>
  <c r="BB67" i="10"/>
  <c r="BB31" i="10"/>
  <c r="BB97" i="10"/>
  <c r="BB64" i="10"/>
  <c r="BF17" i="10"/>
  <c r="BF83" i="10"/>
  <c r="BF50" i="10"/>
  <c r="BF19" i="10"/>
  <c r="BF85" i="10"/>
  <c r="BF52" i="10"/>
  <c r="AX28" i="10"/>
  <c r="AX94" i="10"/>
  <c r="AX61" i="10"/>
  <c r="BD22" i="10"/>
  <c r="BD88" i="10"/>
  <c r="BD55" i="10"/>
  <c r="AS56" i="10"/>
  <c r="AS23" i="10"/>
  <c r="AS89" i="10"/>
  <c r="AQ48" i="10"/>
  <c r="AQ15" i="10"/>
  <c r="AQ81" i="10"/>
  <c r="AV28" i="10"/>
  <c r="AV94" i="10"/>
  <c r="AV61" i="10"/>
  <c r="AV29" i="10"/>
  <c r="AV95" i="10"/>
  <c r="AV62" i="10"/>
  <c r="AT66" i="10"/>
  <c r="AT33" i="10"/>
  <c r="AT99" i="10"/>
  <c r="AR57" i="10"/>
  <c r="AR24" i="10"/>
  <c r="AR90" i="10"/>
  <c r="AR66" i="10"/>
  <c r="AR33" i="10"/>
  <c r="AR99" i="10"/>
  <c r="AV80" i="10"/>
  <c r="AV47" i="10"/>
  <c r="AV14" i="10"/>
  <c r="AY33" i="10"/>
  <c r="AY99" i="10"/>
  <c r="AY66" i="10"/>
  <c r="BG73" i="10"/>
  <c r="BG40" i="10"/>
  <c r="BG7" i="10"/>
  <c r="AY72" i="10"/>
  <c r="AY6" i="10"/>
  <c r="AY39" i="10"/>
  <c r="BB13" i="10"/>
  <c r="BB79" i="10"/>
  <c r="BB46" i="10"/>
  <c r="AZ17" i="10"/>
  <c r="AZ83" i="10"/>
  <c r="AZ50" i="10"/>
  <c r="AX12" i="10"/>
  <c r="AX78" i="10"/>
  <c r="AX45" i="10"/>
  <c r="BJ22" i="10"/>
  <c r="BJ88" i="10"/>
  <c r="BJ55" i="10"/>
  <c r="AZ91" i="10"/>
  <c r="AZ58" i="10"/>
  <c r="AZ25" i="10"/>
  <c r="BA29" i="10"/>
  <c r="BA95" i="10"/>
  <c r="BA62" i="10"/>
  <c r="AZ68" i="10"/>
  <c r="AZ35" i="10"/>
  <c r="AZ101" i="10"/>
  <c r="AW67" i="10"/>
  <c r="AW100" i="10"/>
  <c r="AW34" i="10"/>
  <c r="BK34" i="10"/>
  <c r="BK100" i="10"/>
  <c r="BK67" i="10"/>
  <c r="AW87" i="10"/>
  <c r="AW54" i="10"/>
  <c r="AW21" i="10"/>
  <c r="BG31" i="10"/>
  <c r="BG97" i="10"/>
  <c r="BG64" i="10"/>
  <c r="BB61" i="10"/>
  <c r="BB28" i="10"/>
  <c r="BB94" i="10"/>
  <c r="AS17" i="10"/>
  <c r="AS83" i="10"/>
  <c r="AS50" i="10"/>
  <c r="AT89" i="10"/>
  <c r="AT23" i="10"/>
  <c r="AT56" i="10"/>
  <c r="AT24" i="10"/>
  <c r="AT90" i="10"/>
  <c r="AT57" i="10"/>
  <c r="BH73" i="10"/>
  <c r="BH40" i="10"/>
  <c r="BH7" i="10"/>
  <c r="AX39" i="10"/>
  <c r="AX6" i="10"/>
  <c r="AX72" i="10"/>
  <c r="BC13" i="10"/>
  <c r="BC79" i="10"/>
  <c r="BC46" i="10"/>
  <c r="BK50" i="10"/>
  <c r="BK83" i="10"/>
  <c r="BK17" i="10"/>
  <c r="AY12" i="10"/>
  <c r="AY78" i="10"/>
  <c r="AY45" i="10"/>
  <c r="BK22" i="10"/>
  <c r="BK88" i="10"/>
  <c r="BK55" i="10"/>
  <c r="BA58" i="10"/>
  <c r="BA25" i="10"/>
  <c r="BA91" i="10"/>
  <c r="BG28" i="10"/>
  <c r="BG94" i="10"/>
  <c r="BG61" i="10"/>
  <c r="BI35" i="10"/>
  <c r="BI101" i="10"/>
  <c r="BI68" i="10"/>
  <c r="BC34" i="10"/>
  <c r="BC100" i="10"/>
  <c r="BC67" i="10"/>
  <c r="AY68" i="10"/>
  <c r="AY35" i="10"/>
  <c r="AY101" i="10"/>
  <c r="AW19" i="10"/>
  <c r="AW85" i="10"/>
  <c r="AW52" i="10"/>
  <c r="BK33" i="10"/>
  <c r="BK99" i="10"/>
  <c r="BK66" i="10"/>
  <c r="AV25" i="10"/>
  <c r="AV91" i="10"/>
  <c r="AV58" i="10"/>
  <c r="AQ8" i="10"/>
  <c r="AQ74" i="10"/>
  <c r="AQ41" i="10"/>
  <c r="AR16" i="10"/>
  <c r="AR82" i="10"/>
  <c r="AR49" i="10"/>
  <c r="AR19" i="10"/>
  <c r="AR85" i="10"/>
  <c r="AR52" i="10"/>
  <c r="AU9" i="10"/>
  <c r="AU75" i="10"/>
  <c r="AU42" i="10"/>
  <c r="AV67" i="10"/>
  <c r="AV34" i="10"/>
  <c r="AV100" i="10"/>
  <c r="AR28" i="10"/>
  <c r="AR94" i="10"/>
  <c r="AR61" i="10"/>
  <c r="AY20" i="10"/>
  <c r="AY86" i="10"/>
  <c r="AY53" i="10"/>
  <c r="BI7" i="10"/>
  <c r="BI73" i="10"/>
  <c r="BI40" i="10"/>
  <c r="BG10" i="10"/>
  <c r="BG76" i="10"/>
  <c r="BG43" i="10"/>
  <c r="BD13" i="10"/>
  <c r="BD79" i="10"/>
  <c r="BD46" i="10"/>
  <c r="BA50" i="10"/>
  <c r="BA17" i="10"/>
  <c r="BA83" i="10"/>
  <c r="AZ12" i="10"/>
  <c r="AZ78" i="10"/>
  <c r="AZ45" i="10"/>
  <c r="BG23" i="10"/>
  <c r="BG89" i="10"/>
  <c r="BG56" i="10"/>
  <c r="BD29" i="10"/>
  <c r="BD95" i="10"/>
  <c r="BD62" i="10"/>
  <c r="BA68" i="10"/>
  <c r="BA35" i="10"/>
  <c r="BA101" i="10"/>
  <c r="AX67" i="10"/>
  <c r="AX100" i="10"/>
  <c r="AX34" i="10"/>
  <c r="AZ9" i="10"/>
  <c r="AZ75" i="10"/>
  <c r="AZ42" i="10"/>
  <c r="AX22" i="10"/>
  <c r="AX55" i="10"/>
  <c r="AX88" i="10"/>
  <c r="AW6" i="10"/>
  <c r="AW39" i="10"/>
  <c r="AW72" i="10"/>
  <c r="AQ46" i="10"/>
  <c r="AQ13" i="10"/>
  <c r="AQ79" i="10"/>
  <c r="AT86" i="10"/>
  <c r="AT53" i="10"/>
  <c r="AT20" i="10"/>
  <c r="AY81" i="10"/>
  <c r="AY48" i="10"/>
  <c r="AY15" i="10"/>
  <c r="BJ7" i="10"/>
  <c r="BJ73" i="10"/>
  <c r="BJ40" i="10"/>
  <c r="BA10" i="10"/>
  <c r="BA76" i="10"/>
  <c r="BA43" i="10"/>
  <c r="BG51" i="10"/>
  <c r="BG18" i="10"/>
  <c r="BG84" i="10"/>
  <c r="BA12" i="10"/>
  <c r="BA78" i="10"/>
  <c r="BA45" i="10"/>
  <c r="BH23" i="10"/>
  <c r="BH89" i="10"/>
  <c r="BH56" i="10"/>
  <c r="BG59" i="10"/>
  <c r="BG26" i="10"/>
  <c r="BG92" i="10"/>
  <c r="AW30" i="10"/>
  <c r="AW96" i="10"/>
  <c r="AW63" i="10"/>
  <c r="BJ35" i="10"/>
  <c r="BJ101" i="10"/>
  <c r="BJ68" i="10"/>
  <c r="BD34" i="10"/>
  <c r="BD100" i="10"/>
  <c r="BD67" i="10"/>
  <c r="BB19" i="10"/>
  <c r="BB85" i="10"/>
  <c r="BB52" i="10"/>
  <c r="BG14" i="10"/>
  <c r="BG80" i="10"/>
  <c r="BG47" i="10"/>
  <c r="AY56" i="10"/>
  <c r="AY89" i="10"/>
  <c r="AY23" i="10"/>
  <c r="BH31" i="10"/>
  <c r="BH97" i="10"/>
  <c r="BH64" i="10"/>
  <c r="BA9" i="10"/>
  <c r="BA75" i="10"/>
  <c r="BA42" i="10"/>
  <c r="AS48" i="10"/>
  <c r="AS15" i="10"/>
  <c r="AS81" i="10"/>
  <c r="AY55" i="10"/>
  <c r="AY22" i="10"/>
  <c r="AY88" i="10"/>
  <c r="AS47" i="10"/>
  <c r="AS80" i="10"/>
  <c r="AS14" i="10"/>
  <c r="AV30" i="10"/>
  <c r="AV96" i="10"/>
  <c r="AV63" i="10"/>
  <c r="AR34" i="10"/>
  <c r="AR67" i="10"/>
  <c r="AR100" i="10"/>
  <c r="AU56" i="10"/>
  <c r="AU23" i="10"/>
  <c r="AU89" i="10"/>
  <c r="BA21" i="10"/>
  <c r="BA87" i="10"/>
  <c r="BA54" i="10"/>
  <c r="BK7" i="10"/>
  <c r="BK73" i="10"/>
  <c r="BK40" i="10"/>
  <c r="BH76" i="10"/>
  <c r="BH10" i="10"/>
  <c r="BH43" i="10"/>
  <c r="BF13" i="10"/>
  <c r="BF79" i="10"/>
  <c r="BF46" i="10"/>
  <c r="BH18" i="10"/>
  <c r="BH84" i="10"/>
  <c r="BH51" i="10"/>
  <c r="BD12" i="10"/>
  <c r="BD78" i="10"/>
  <c r="BD45" i="10"/>
  <c r="BA56" i="10"/>
  <c r="BA89" i="10"/>
  <c r="BA23" i="10"/>
  <c r="BD60" i="10"/>
  <c r="BD27" i="10"/>
  <c r="BD93" i="10"/>
  <c r="BH61" i="10"/>
  <c r="BH28" i="10"/>
  <c r="BH94" i="10"/>
  <c r="BK35" i="10"/>
  <c r="BK101" i="10"/>
  <c r="BK68" i="10"/>
  <c r="AZ67" i="10"/>
  <c r="AZ34" i="10"/>
  <c r="AZ100" i="10"/>
  <c r="BF30" i="10"/>
  <c r="BF96" i="10"/>
  <c r="BF63" i="10"/>
  <c r="BC19" i="10"/>
  <c r="BC85" i="10"/>
  <c r="BC52" i="10"/>
  <c r="BB15" i="10"/>
  <c r="BB81" i="10"/>
  <c r="BB48" i="10"/>
  <c r="BI24" i="10"/>
  <c r="BI90" i="10"/>
  <c r="BI57" i="10"/>
  <c r="AQ63" i="10"/>
  <c r="AQ30" i="10"/>
  <c r="AQ96" i="10"/>
  <c r="AV57" i="10"/>
  <c r="AV24" i="10"/>
  <c r="AV90" i="10"/>
  <c r="BA33" i="10"/>
  <c r="BA99" i="10"/>
  <c r="BA66" i="10"/>
  <c r="BG41" i="10"/>
  <c r="BG74" i="10"/>
  <c r="BG8" i="10"/>
  <c r="AW11" i="10"/>
  <c r="AW77" i="10"/>
  <c r="AW44" i="10"/>
  <c r="BH14" i="10"/>
  <c r="BH80" i="10"/>
  <c r="BH47" i="10"/>
  <c r="BI18" i="10"/>
  <c r="BI84" i="10"/>
  <c r="BI51" i="10"/>
  <c r="BB12" i="10"/>
  <c r="BB78" i="10"/>
  <c r="BB45" i="10"/>
  <c r="BI23" i="10"/>
  <c r="BI89" i="10"/>
  <c r="BI56" i="10"/>
  <c r="AZ27" i="10"/>
  <c r="AZ93" i="10"/>
  <c r="AZ60" i="10"/>
  <c r="BC31" i="10"/>
  <c r="BC97" i="10"/>
  <c r="BC64" i="10"/>
  <c r="BC92" i="10"/>
  <c r="BC59" i="10"/>
  <c r="BC26" i="10"/>
  <c r="BC27" i="10"/>
  <c r="BC93" i="10"/>
  <c r="BC60" i="10"/>
  <c r="BB20" i="10"/>
  <c r="BB86" i="10"/>
  <c r="BB53" i="10"/>
  <c r="BJ31" i="10"/>
  <c r="BJ97" i="10"/>
  <c r="BJ64" i="10"/>
  <c r="AX56" i="10"/>
  <c r="AX23" i="10"/>
  <c r="AX89" i="10"/>
  <c r="BI33" i="10"/>
  <c r="BI99" i="10"/>
  <c r="BI66" i="10"/>
  <c r="BJ33" i="10"/>
  <c r="BJ99" i="10"/>
  <c r="BJ66" i="10"/>
  <c r="AT29" i="10"/>
  <c r="AT95" i="10"/>
  <c r="AT62" i="10"/>
  <c r="BC10" i="10"/>
  <c r="BC76" i="10"/>
  <c r="BC43" i="10"/>
  <c r="AQ55" i="10"/>
  <c r="AQ88" i="10"/>
  <c r="AQ22" i="10"/>
  <c r="AQ24" i="10"/>
  <c r="AQ90" i="10"/>
  <c r="AQ57" i="10"/>
  <c r="AQ64" i="10"/>
  <c r="AQ97" i="10"/>
  <c r="AQ31" i="10"/>
  <c r="AS53" i="10"/>
  <c r="AS20" i="10"/>
  <c r="AS86" i="10"/>
  <c r="AQ9" i="10"/>
  <c r="AQ75" i="10"/>
  <c r="AQ42" i="10"/>
  <c r="AQ11" i="10"/>
  <c r="AQ77" i="10"/>
  <c r="AQ44" i="10"/>
  <c r="AQ18" i="10"/>
  <c r="AQ84" i="10"/>
  <c r="AQ51" i="10"/>
  <c r="AR22" i="10"/>
  <c r="AR55" i="10"/>
  <c r="AR88" i="10"/>
  <c r="AV54" i="10"/>
  <c r="AV87" i="10"/>
  <c r="AV21" i="10"/>
  <c r="AU68" i="10"/>
  <c r="AU35" i="10"/>
  <c r="AU101" i="10"/>
  <c r="AT28" i="10"/>
  <c r="AT94" i="10"/>
  <c r="AT61" i="10"/>
  <c r="AY40" i="10"/>
  <c r="AY7" i="10"/>
  <c r="AY73" i="10"/>
  <c r="AY14" i="10"/>
  <c r="AY80" i="10"/>
  <c r="AY47" i="10"/>
  <c r="BA100" i="10"/>
  <c r="BA67" i="10"/>
  <c r="BA34" i="10"/>
  <c r="BH41" i="10"/>
  <c r="BH8" i="10"/>
  <c r="BH74" i="10"/>
  <c r="BI10" i="10"/>
  <c r="BI43" i="10"/>
  <c r="BI76" i="10"/>
  <c r="BI14" i="10"/>
  <c r="BI80" i="10"/>
  <c r="BI47" i="10"/>
  <c r="BC18" i="10"/>
  <c r="BC84" i="10"/>
  <c r="BC51" i="10"/>
  <c r="BC12" i="10"/>
  <c r="BC78" i="10"/>
  <c r="BC45" i="10"/>
  <c r="BJ23" i="10"/>
  <c r="BJ89" i="10"/>
  <c r="BJ56" i="10"/>
  <c r="BH59" i="10"/>
  <c r="BH26" i="10"/>
  <c r="BH92" i="10"/>
  <c r="BI28" i="10"/>
  <c r="BI61" i="10"/>
  <c r="BI94" i="10"/>
  <c r="BD31" i="10"/>
  <c r="BD97" i="10"/>
  <c r="BD64" i="10"/>
  <c r="BF34" i="10"/>
  <c r="BF100" i="10"/>
  <c r="BF67" i="10"/>
  <c r="BK31" i="10"/>
  <c r="BK97" i="10"/>
  <c r="BK64" i="10"/>
  <c r="BF33" i="10"/>
  <c r="BF99" i="10"/>
  <c r="BF66" i="10"/>
  <c r="BE31" i="10"/>
  <c r="BE97" i="10"/>
  <c r="BE64" i="10"/>
  <c r="BE9" i="10"/>
  <c r="BE75" i="10"/>
  <c r="BE42" i="10"/>
  <c r="BE80" i="10"/>
  <c r="BE47" i="10"/>
  <c r="BE14" i="10"/>
  <c r="BE18" i="10"/>
  <c r="BE84" i="10"/>
  <c r="BE51" i="10"/>
  <c r="BE92" i="10"/>
  <c r="BE59" i="10"/>
  <c r="BE26" i="10"/>
  <c r="BE10" i="10"/>
  <c r="BE76" i="10"/>
  <c r="BE43" i="10"/>
  <c r="BE35" i="10"/>
  <c r="BE101" i="10"/>
  <c r="BE68" i="10"/>
  <c r="BE81" i="10"/>
  <c r="BE48" i="10"/>
  <c r="BE15" i="10"/>
  <c r="BE23" i="10"/>
  <c r="BE89" i="10"/>
  <c r="BE56" i="10"/>
  <c r="BE79" i="10"/>
  <c r="BE46" i="10"/>
  <c r="BE13" i="10"/>
  <c r="BE7" i="10"/>
  <c r="BE73" i="10"/>
  <c r="BE40" i="10"/>
  <c r="BE24" i="10"/>
  <c r="BE90" i="10"/>
  <c r="BE57" i="10"/>
  <c r="BE6" i="10"/>
  <c r="BE39" i="10"/>
  <c r="BE72" i="10"/>
  <c r="BE61" i="10"/>
  <c r="BE94" i="10"/>
  <c r="BE28" i="10"/>
  <c r="BE21" i="10"/>
  <c r="BE87" i="10"/>
  <c r="BE54" i="10"/>
  <c r="BE19" i="10"/>
  <c r="BE85" i="10"/>
  <c r="BE52" i="10"/>
  <c r="BE91" i="10"/>
  <c r="BE58" i="10"/>
  <c r="BE25" i="10"/>
  <c r="BE93" i="10"/>
  <c r="BE60" i="10"/>
  <c r="BE27" i="10"/>
  <c r="BE30" i="10"/>
  <c r="BE96" i="10"/>
  <c r="BE63" i="10"/>
  <c r="BE20" i="10"/>
  <c r="BE86" i="10"/>
  <c r="BE53" i="10"/>
  <c r="BE62" i="10"/>
  <c r="BE29" i="10"/>
  <c r="BE95" i="10"/>
  <c r="BE11" i="10"/>
  <c r="BE77" i="10"/>
  <c r="BE44" i="10"/>
  <c r="BE22" i="10"/>
  <c r="BE88" i="10"/>
  <c r="BE55" i="10"/>
  <c r="BE8" i="10"/>
  <c r="BE74" i="10"/>
  <c r="BE41" i="10"/>
  <c r="BE34" i="10"/>
  <c r="BE100" i="10"/>
  <c r="BE67" i="10"/>
  <c r="BE12" i="10"/>
  <c r="BE78" i="10"/>
  <c r="BE45" i="10"/>
  <c r="BE17" i="10"/>
  <c r="BE83" i="10"/>
  <c r="BE50" i="10"/>
  <c r="BE33" i="10"/>
  <c r="BE99" i="10"/>
  <c r="BE66" i="10"/>
  <c r="BE16" i="10"/>
  <c r="BE82" i="10"/>
  <c r="BE49" i="10"/>
  <c r="AZ98" i="10"/>
  <c r="AZ65" i="10"/>
  <c r="AP98" i="10"/>
  <c r="AP65" i="10"/>
  <c r="AP32" i="10"/>
  <c r="BH65" i="10"/>
  <c r="BH32" i="10"/>
  <c r="BH98" i="10"/>
  <c r="AS32" i="10"/>
  <c r="AS98" i="10"/>
  <c r="AS65" i="10"/>
  <c r="AU32" i="10"/>
  <c r="AU98" i="10"/>
  <c r="AU65" i="10"/>
  <c r="AO32" i="10"/>
  <c r="AO98" i="10"/>
  <c r="AO65" i="10"/>
  <c r="BB32" i="10"/>
  <c r="BB98" i="10"/>
  <c r="BB65" i="10"/>
  <c r="AV32" i="10"/>
  <c r="AV98" i="10"/>
  <c r="AV65" i="10"/>
  <c r="BK65" i="10"/>
  <c r="BK98" i="10"/>
  <c r="BK32" i="10"/>
  <c r="BI65" i="10"/>
  <c r="BI32" i="10"/>
  <c r="BI98" i="10"/>
  <c r="AK98" i="10"/>
  <c r="AK65" i="10"/>
  <c r="AK32" i="10"/>
  <c r="BG65" i="10"/>
  <c r="BG32" i="10"/>
  <c r="BG98" i="10"/>
  <c r="AW32" i="10"/>
  <c r="AW98" i="10"/>
  <c r="AW65" i="10"/>
  <c r="BF65" i="10"/>
  <c r="BF32" i="10"/>
  <c r="BF98" i="10"/>
  <c r="AT32" i="10"/>
  <c r="AT98" i="10"/>
  <c r="AT65" i="10"/>
  <c r="BC32" i="10"/>
  <c r="BC65" i="10"/>
  <c r="BC98" i="10"/>
  <c r="AM98" i="10"/>
  <c r="AM65" i="10"/>
  <c r="AM32" i="10"/>
  <c r="AL98" i="10"/>
  <c r="AL65" i="10"/>
  <c r="AL32" i="10"/>
  <c r="BD32" i="10"/>
  <c r="BD98" i="10"/>
  <c r="BD65" i="10"/>
  <c r="AX32" i="10"/>
  <c r="AX98" i="10"/>
  <c r="AX65" i="10"/>
  <c r="AJ65" i="10"/>
  <c r="AJ98" i="10"/>
  <c r="AJ32" i="10"/>
  <c r="AY32" i="10"/>
  <c r="AY98" i="10"/>
  <c r="AY65" i="10"/>
  <c r="AQ32" i="10"/>
  <c r="AQ98" i="10"/>
  <c r="AQ65" i="10"/>
  <c r="AI98" i="10"/>
  <c r="AI65" i="10"/>
  <c r="AI32" i="10"/>
  <c r="BA32" i="10"/>
  <c r="BA98" i="10"/>
  <c r="BA65" i="10"/>
  <c r="AR32" i="10"/>
  <c r="AR98" i="10"/>
  <c r="AR65" i="10"/>
  <c r="AH98" i="10"/>
  <c r="AH65" i="10"/>
  <c r="AH32" i="10"/>
  <c r="AN98" i="10"/>
  <c r="AN65" i="10"/>
  <c r="AN32" i="10"/>
  <c r="BJ98" i="10"/>
  <c r="BJ32" i="10"/>
  <c r="BJ65" i="10"/>
  <c r="BE32" i="10"/>
  <c r="BE65" i="10"/>
  <c r="BE98" i="10"/>
  <c r="AJ39" i="10"/>
  <c r="AN6" i="10"/>
  <c r="AP39" i="10"/>
  <c r="AQ39" i="10"/>
  <c r="AM6" i="10"/>
  <c r="AK39" i="10"/>
  <c r="AO6" i="10"/>
  <c r="AI39" i="10"/>
  <c r="AL6" i="10" l="1"/>
  <c r="AL39" i="10"/>
</calcChain>
</file>

<file path=xl/sharedStrings.xml><?xml version="1.0" encoding="utf-8"?>
<sst xmlns="http://schemas.openxmlformats.org/spreadsheetml/2006/main" count="530" uniqueCount="104">
  <si>
    <t>Revision</t>
  </si>
  <si>
    <t>By</t>
  </si>
  <si>
    <t>Approved</t>
  </si>
  <si>
    <t>Date</t>
  </si>
  <si>
    <t>Details of Revision</t>
  </si>
  <si>
    <t>draft</t>
  </si>
  <si>
    <t>L. Francesconi</t>
  </si>
  <si>
    <t>Campbell Diagram</t>
  </si>
  <si>
    <r>
      <t>-10% * n</t>
    </r>
    <r>
      <rPr>
        <vertAlign val="subscript"/>
        <sz val="11"/>
        <color theme="1"/>
        <rFont val="Calibri"/>
        <family val="2"/>
        <scheme val="minor"/>
      </rPr>
      <t>min</t>
    </r>
  </si>
  <si>
    <t>Rotating speed [rpm]</t>
  </si>
  <si>
    <t>Legend</t>
  </si>
  <si>
    <r>
      <t>n</t>
    </r>
    <r>
      <rPr>
        <vertAlign val="subscript"/>
        <sz val="11"/>
        <color theme="1"/>
        <rFont val="Calibri"/>
        <family val="2"/>
        <scheme val="minor"/>
      </rPr>
      <t>min</t>
    </r>
  </si>
  <si>
    <r>
      <t>Separation margin from n</t>
    </r>
    <r>
      <rPr>
        <vertAlign val="subscript"/>
        <sz val="11"/>
        <color theme="0"/>
        <rFont val="Calibri"/>
        <family val="2"/>
        <scheme val="minor"/>
      </rPr>
      <t>min</t>
    </r>
  </si>
  <si>
    <t>input data</t>
  </si>
  <si>
    <r>
      <t>+10% * n</t>
    </r>
    <r>
      <rPr>
        <vertAlign val="subscript"/>
        <sz val="11"/>
        <color theme="1"/>
        <rFont val="Calibri"/>
        <family val="2"/>
        <scheme val="minor"/>
      </rPr>
      <t>min</t>
    </r>
  </si>
  <si>
    <r>
      <t>n</t>
    </r>
    <r>
      <rPr>
        <vertAlign val="subscript"/>
        <sz val="11"/>
        <color theme="1"/>
        <rFont val="Calibri"/>
        <family val="2"/>
        <scheme val="minor"/>
      </rPr>
      <t>max</t>
    </r>
  </si>
  <si>
    <t>descriptor</t>
  </si>
  <si>
    <r>
      <t>-10% * n</t>
    </r>
    <r>
      <rPr>
        <vertAlign val="subscript"/>
        <sz val="11"/>
        <color theme="1"/>
        <rFont val="Calibri"/>
        <family val="2"/>
        <scheme val="minor"/>
      </rPr>
      <t>max</t>
    </r>
  </si>
  <si>
    <t>calculated formula</t>
  </si>
  <si>
    <t>Separation margin</t>
  </si>
  <si>
    <r>
      <t>+10% * n</t>
    </r>
    <r>
      <rPr>
        <vertAlign val="subscript"/>
        <sz val="11"/>
        <color theme="1"/>
        <rFont val="Calibri"/>
        <family val="2"/>
        <scheme val="minor"/>
      </rPr>
      <t>max</t>
    </r>
  </si>
  <si>
    <t>SM_inf</t>
  </si>
  <si>
    <t>SM_sup</t>
  </si>
  <si>
    <t>-10% * f_line</t>
  </si>
  <si>
    <t>Axis [rpm]</t>
  </si>
  <si>
    <t>f_line</t>
  </si>
  <si>
    <r>
      <t>x</t>
    </r>
    <r>
      <rPr>
        <i/>
        <vertAlign val="subscript"/>
        <sz val="11"/>
        <color theme="1"/>
        <rFont val="Calibri"/>
        <family val="2"/>
        <scheme val="minor"/>
      </rPr>
      <t>min</t>
    </r>
  </si>
  <si>
    <t>+10% * f_line</t>
  </si>
  <si>
    <r>
      <t>x</t>
    </r>
    <r>
      <rPr>
        <i/>
        <vertAlign val="subscript"/>
        <sz val="11"/>
        <color theme="1"/>
        <rFont val="Calibri"/>
        <family val="2"/>
        <scheme val="minor"/>
      </rPr>
      <t>max</t>
    </r>
  </si>
  <si>
    <r>
      <t>(&gt; n</t>
    </r>
    <r>
      <rPr>
        <i/>
        <vertAlign val="subscript"/>
        <sz val="10"/>
        <color theme="1"/>
        <rFont val="Calibri"/>
        <family val="2"/>
        <scheme val="minor"/>
      </rPr>
      <t>max</t>
    </r>
    <r>
      <rPr>
        <i/>
        <sz val="10"/>
        <color theme="1"/>
        <rFont val="Calibri"/>
        <family val="2"/>
        <scheme val="minor"/>
      </rPr>
      <t>*SM)</t>
    </r>
  </si>
  <si>
    <t>Line frequency [cpm]</t>
  </si>
  <si>
    <t>-10% * 2X f_line</t>
  </si>
  <si>
    <r>
      <t>y</t>
    </r>
    <r>
      <rPr>
        <i/>
        <vertAlign val="subscript"/>
        <sz val="11"/>
        <color theme="1"/>
        <rFont val="Calibri"/>
        <family val="2"/>
        <scheme val="minor"/>
      </rPr>
      <t>min</t>
    </r>
  </si>
  <si>
    <t>X axis</t>
  </si>
  <si>
    <t>2X f_line</t>
  </si>
  <si>
    <r>
      <t>y</t>
    </r>
    <r>
      <rPr>
        <i/>
        <vertAlign val="subscript"/>
        <sz val="11"/>
        <color theme="1"/>
        <rFont val="Calibri"/>
        <family val="2"/>
        <scheme val="minor"/>
      </rPr>
      <t>max</t>
    </r>
  </si>
  <si>
    <t>(&gt; max(fn))</t>
  </si>
  <si>
    <t>Y axis</t>
  </si>
  <si>
    <t>+10% * 2X f_line</t>
  </si>
  <si>
    <t>Natural frequencies [rpm]</t>
  </si>
  <si>
    <t>Excitations (order)</t>
  </si>
  <si>
    <t>fn_1</t>
  </si>
  <si>
    <t>fn_2</t>
  </si>
  <si>
    <t>fn_3</t>
  </si>
  <si>
    <t>fn_4</t>
  </si>
  <si>
    <t>fn_5</t>
  </si>
  <si>
    <t>fn_6</t>
  </si>
  <si>
    <t>fn_7</t>
  </si>
  <si>
    <t>fn_8</t>
  </si>
  <si>
    <t>fn_9</t>
  </si>
  <si>
    <t>fn_10</t>
  </si>
  <si>
    <t>fn_11</t>
  </si>
  <si>
    <t>fn_12</t>
  </si>
  <si>
    <t>fn_13</t>
  </si>
  <si>
    <t>fn_14</t>
  </si>
  <si>
    <t>fn_15</t>
  </si>
  <si>
    <t>fn_16</t>
  </si>
  <si>
    <t>fn_17</t>
  </si>
  <si>
    <t>fn_18</t>
  </si>
  <si>
    <t>fn_19</t>
  </si>
  <si>
    <r>
      <t>Separation margin from n</t>
    </r>
    <r>
      <rPr>
        <vertAlign val="subscript"/>
        <sz val="11"/>
        <color theme="0"/>
        <rFont val="Calibri"/>
        <family val="2"/>
        <scheme val="minor"/>
      </rPr>
      <t>max</t>
    </r>
  </si>
  <si>
    <t>fn_20</t>
  </si>
  <si>
    <t>fn_21</t>
  </si>
  <si>
    <t>fn_22</t>
  </si>
  <si>
    <t>fn_23</t>
  </si>
  <si>
    <t>fn_24</t>
  </si>
  <si>
    <t>fn_25</t>
  </si>
  <si>
    <t>fn_26</t>
  </si>
  <si>
    <t>fn_27</t>
  </si>
  <si>
    <t>fn_28</t>
  </si>
  <si>
    <t>fn_29</t>
  </si>
  <si>
    <t>fn_30</t>
  </si>
  <si>
    <r>
      <t>Separation margin if speed variable from n</t>
    </r>
    <r>
      <rPr>
        <vertAlign val="subscript"/>
        <sz val="11"/>
        <color theme="0"/>
        <rFont val="Calibri"/>
        <family val="2"/>
        <scheme val="minor"/>
      </rPr>
      <t>min</t>
    </r>
    <r>
      <rPr>
        <b/>
        <i/>
        <sz val="11"/>
        <color theme="0"/>
        <rFont val="Calibri"/>
        <family val="2"/>
        <scheme val="minor"/>
      </rPr>
      <t xml:space="preserve"> to n</t>
    </r>
    <r>
      <rPr>
        <vertAlign val="subscript"/>
        <sz val="11"/>
        <color theme="0"/>
        <rFont val="Calibri"/>
        <family val="2"/>
        <scheme val="minor"/>
      </rPr>
      <t>max</t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</si>
  <si>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fn_1</t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</si>
  <si>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fn_2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</si>
  <si>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fn_3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</si>
  <si>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fn_4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</si>
  <si>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fn_5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</si>
  <si>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fn_6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</si>
  <si>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fn_7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</si>
  <si>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fn_8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</si>
  <si>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fn_9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</si>
  <si>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fn_10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</si>
  <si>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fn_11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</si>
  <si>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fn_12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</si>
  <si>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fn_13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</si>
  <si>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fn_14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</si>
  <si>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fn_15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</si>
  <si>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fn_16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</si>
  <si>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fn_17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</si>
  <si>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fn_18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</si>
  <si>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fn_19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</si>
  <si>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fn_20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</si>
  <si>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fn_21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</si>
  <si>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fn_22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</si>
  <si>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fn_23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</si>
  <si>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fn_24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</si>
  <si>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fn_25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</si>
  <si>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fn_26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</si>
  <si>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fn_27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</si>
  <si>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fn_28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</si>
  <si>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fn_29</t>
    </r>
    <r>
      <rPr>
        <sz val="11"/>
        <color theme="1"/>
        <rFont val="Calibri"/>
        <family val="2"/>
        <scheme val="minor"/>
      </rPr>
      <t/>
    </r>
  </si>
  <si>
    <r>
      <t>ω</t>
    </r>
    <r>
      <rPr>
        <b/>
        <vertAlign val="subscript"/>
        <sz val="7.7"/>
        <color theme="1"/>
        <rFont val="Calibri"/>
        <family val="2"/>
      </rPr>
      <t>cr</t>
    </r>
    <r>
      <rPr>
        <b/>
        <sz val="7.7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fn_30</t>
    </r>
    <r>
      <rPr>
        <sz val="11"/>
        <color theme="1"/>
        <rFont val="Calibri"/>
        <family val="2"/>
        <scheme val="minor"/>
      </rPr>
      <t/>
    </r>
  </si>
  <si>
    <t>Excitations frequencies per order at fn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</si>
</sst>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vertAlign val="subscript"/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vertAlign val="subscript"/>
      <sz val="7.7"/>
      <color theme="1"/>
      <name val="Calibri"/>
      <family val="2"/>
    </font>
    <font>
      <b/>
      <sz val="7.7"/>
      <color theme="1"/>
      <name val="Calibri"/>
      <family val="2"/>
    </font>
    <font>
      <sz val="18"/>
      <color theme="3"/>
      <name val="Calibri Light"/>
      <family val="2"/>
      <scheme val="major"/>
    </font>
    <font>
      <sz val="10"/>
      <color rgb="FF000000"/>
      <name val="Arial"/>
      <family val="2"/>
    </font>
    <font>
      <sz val="10"/>
      <color rgb="FF0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b/>
      <i/>
      <sz val="36"/>
      <color theme="3"/>
      <name val="Calibri Light"/>
      <family val="2"/>
      <scheme val="major"/>
    </font>
    <font>
      <i/>
      <sz val="11"/>
      <color theme="0" tint="-0.499984740745262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24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2" fillId="0" borderId="0" xfId="0" applyFont="1"/>
    <xf numFmtId="0" fontId="7" fillId="0" borderId="0" xfId="0" applyFont="1" applyAlignment="1">
      <alignment horizontal="center"/>
    </xf>
    <xf numFmtId="0" fontId="9" fillId="0" borderId="0" xfId="0" applyFont="1"/>
    <xf numFmtId="0" fontId="0" fillId="0" borderId="0" xfId="0" quotePrefix="1" applyAlignment="1">
      <alignment horizontal="center"/>
    </xf>
    <xf numFmtId="1" fontId="6" fillId="0" borderId="0" xfId="0" applyNumberFormat="1" applyFont="1" applyAlignment="1">
      <alignment horizontal="right"/>
    </xf>
    <xf numFmtId="1" fontId="0" fillId="0" borderId="0" xfId="0" applyNumberFormat="1" applyAlignment="1">
      <alignment horizontal="right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6" fillId="0" borderId="4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wrapText="1"/>
    </xf>
    <xf numFmtId="0" fontId="17" fillId="0" borderId="3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5" fontId="16" fillId="0" borderId="8" xfId="0" applyNumberFormat="1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0" fillId="0" borderId="15" xfId="0" applyBorder="1"/>
    <xf numFmtId="0" fontId="19" fillId="2" borderId="16" xfId="0" applyFont="1" applyFill="1" applyBorder="1" applyAlignment="1">
      <alignment horizontal="left"/>
    </xf>
    <xf numFmtId="0" fontId="3" fillId="2" borderId="17" xfId="0" applyFont="1" applyFill="1" applyBorder="1"/>
    <xf numFmtId="0" fontId="3" fillId="2" borderId="18" xfId="0" applyFont="1" applyFill="1" applyBorder="1"/>
    <xf numFmtId="0" fontId="11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/>
    </xf>
    <xf numFmtId="0" fontId="11" fillId="0" borderId="21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9" fontId="18" fillId="0" borderId="19" xfId="1" applyFont="1" applyBorder="1" applyAlignment="1">
      <alignment horizontal="center"/>
    </xf>
    <xf numFmtId="9" fontId="18" fillId="0" borderId="20" xfId="1" applyFont="1" applyBorder="1" applyAlignment="1">
      <alignment horizontal="center"/>
    </xf>
    <xf numFmtId="9" fontId="18" fillId="0" borderId="21" xfId="1" applyFont="1" applyBorder="1" applyAlignment="1">
      <alignment horizontal="center"/>
    </xf>
    <xf numFmtId="0" fontId="21" fillId="0" borderId="0" xfId="2" applyFont="1"/>
    <xf numFmtId="0" fontId="22" fillId="0" borderId="0" xfId="1" applyNumberFormat="1" applyFont="1" applyAlignment="1">
      <alignment horizontal="center"/>
    </xf>
    <xf numFmtId="0" fontId="17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15" fontId="16" fillId="0" borderId="0" xfId="0" applyNumberFormat="1" applyFont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0" fillId="0" borderId="1" xfId="0" applyBorder="1" applyAlignment="1" applyProtection="1">
      <alignment horizontal="center"/>
      <protection locked="0"/>
    </xf>
    <xf numFmtId="9" fontId="22" fillId="0" borderId="0" xfId="1" applyFont="1" applyAlignment="1" applyProtection="1">
      <alignment horizontal="center"/>
      <protection locked="0"/>
    </xf>
    <xf numFmtId="0" fontId="23" fillId="3" borderId="22" xfId="0" applyFont="1" applyFill="1" applyBorder="1" applyAlignment="1">
      <alignment horizontal="center"/>
    </xf>
    <xf numFmtId="9" fontId="18" fillId="0" borderId="6" xfId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7" fillId="0" borderId="9" xfId="0" applyFont="1" applyBorder="1" applyAlignment="1">
      <alignment horizontal="center" vertical="center" wrapText="1"/>
    </xf>
    <xf numFmtId="0" fontId="17" fillId="0" borderId="10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</cellXfs>
  <cellStyles count="3">
    <cellStyle name="Normale" xfId="0" builtinId="0"/>
    <cellStyle name="Percentuale" xfId="1" builtinId="5"/>
    <cellStyle name="Titolo" xfId="2" builtinId="1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'Campbell Revision'!$I$3</c:f>
              <c:strCache>
                <c:ptCount val="1"/>
                <c:pt idx="0">
                  <c:v>-10% * nmin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'Campbell Revision'!$J$3:$K$3</c:f>
              <c:numCache>
                <c:formatCode>General</c:formatCode>
                <c:ptCount val="2"/>
                <c:pt idx="0">
                  <c:v>1336.5</c:v>
                </c:pt>
                <c:pt idx="1">
                  <c:v>1336.5</c:v>
                </c:pt>
              </c:numCache>
            </c:numRef>
          </c:xVal>
          <c:yVal>
            <c:numRef>
              <c:f>'Campbell Revision'!$J$16:$K$16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F-44D0-A13B-7201EFA9E82D}"/>
            </c:ext>
          </c:extLst>
        </c:ser>
        <c:ser>
          <c:idx val="1"/>
          <c:order val="1"/>
          <c:tx>
            <c:strRef>
              <c:f>'Campbell Revision'!$I$4</c:f>
              <c:strCache>
                <c:ptCount val="1"/>
                <c:pt idx="0">
                  <c:v>nmin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Revision'!$J$4:$K$4</c:f>
              <c:numCache>
                <c:formatCode>General</c:formatCode>
                <c:ptCount val="2"/>
                <c:pt idx="0">
                  <c:v>1485</c:v>
                </c:pt>
                <c:pt idx="1">
                  <c:v>1485</c:v>
                </c:pt>
              </c:numCache>
            </c:numRef>
          </c:xVal>
          <c:yVal>
            <c:numRef>
              <c:f>'Campbell Revision'!$J$16:$K$16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9F-44D0-A13B-7201EFA9E82D}"/>
            </c:ext>
          </c:extLst>
        </c:ser>
        <c:ser>
          <c:idx val="2"/>
          <c:order val="2"/>
          <c:tx>
            <c:strRef>
              <c:f>'Campbell Revision'!$I$5</c:f>
              <c:strCache>
                <c:ptCount val="1"/>
                <c:pt idx="0">
                  <c:v>+10% * nmin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'Campbell Revision'!$J$5:$K$5</c:f>
              <c:numCache>
                <c:formatCode>General</c:formatCode>
                <c:ptCount val="2"/>
                <c:pt idx="0">
                  <c:v>1633.5000000000002</c:v>
                </c:pt>
                <c:pt idx="1">
                  <c:v>1633.5000000000002</c:v>
                </c:pt>
              </c:numCache>
            </c:numRef>
          </c:xVal>
          <c:yVal>
            <c:numRef>
              <c:f>'Campbell Revision'!$J$16:$K$16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F9F-44D0-A13B-7201EFA9E82D}"/>
            </c:ext>
          </c:extLst>
        </c:ser>
        <c:ser>
          <c:idx val="3"/>
          <c:order val="3"/>
          <c:tx>
            <c:strRef>
              <c:f>'Campbell Revision'!$I$6</c:f>
              <c:strCache>
                <c:ptCount val="1"/>
                <c:pt idx="0">
                  <c:v>-10% * nmax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'Campbell Revision'!$J$6:$K$6</c:f>
              <c:numCache>
                <c:formatCode>General</c:formatCode>
                <c:ptCount val="2"/>
                <c:pt idx="0">
                  <c:v>4513.5</c:v>
                </c:pt>
                <c:pt idx="1">
                  <c:v>4513.5</c:v>
                </c:pt>
              </c:numCache>
            </c:numRef>
          </c:xVal>
          <c:yVal>
            <c:numRef>
              <c:f>'Campbell Revision'!$J$16:$K$16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F9F-44D0-A13B-7201EFA9E82D}"/>
            </c:ext>
          </c:extLst>
        </c:ser>
        <c:ser>
          <c:idx val="4"/>
          <c:order val="4"/>
          <c:tx>
            <c:strRef>
              <c:f>'Campbell Revision'!$I$7</c:f>
              <c:strCache>
                <c:ptCount val="1"/>
                <c:pt idx="0">
                  <c:v>nmax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Revision'!$J$7:$K$7</c:f>
              <c:numCache>
                <c:formatCode>General</c:formatCode>
                <c:ptCount val="2"/>
                <c:pt idx="0">
                  <c:v>5015</c:v>
                </c:pt>
                <c:pt idx="1">
                  <c:v>5015</c:v>
                </c:pt>
              </c:numCache>
            </c:numRef>
          </c:xVal>
          <c:yVal>
            <c:numRef>
              <c:f>'Campbell Revision'!$J$16:$K$16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F9F-44D0-A13B-7201EFA9E82D}"/>
            </c:ext>
          </c:extLst>
        </c:ser>
        <c:ser>
          <c:idx val="5"/>
          <c:order val="5"/>
          <c:tx>
            <c:strRef>
              <c:f>'Campbell Revision'!$I$8</c:f>
              <c:strCache>
                <c:ptCount val="1"/>
                <c:pt idx="0">
                  <c:v>+10% * nmax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'Campbell Revision'!$J$8:$K$8</c:f>
              <c:numCache>
                <c:formatCode>General</c:formatCode>
                <c:ptCount val="2"/>
                <c:pt idx="0">
                  <c:v>5516.5</c:v>
                </c:pt>
                <c:pt idx="1">
                  <c:v>5516.5</c:v>
                </c:pt>
              </c:numCache>
            </c:numRef>
          </c:xVal>
          <c:yVal>
            <c:numRef>
              <c:f>'Campbell Revision'!$J$16:$K$16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F9F-44D0-A13B-7201EFA9E82D}"/>
            </c:ext>
          </c:extLst>
        </c:ser>
        <c:ser>
          <c:idx val="6"/>
          <c:order val="6"/>
          <c:tx>
            <c:strRef>
              <c:f>'Campbell Revision'!$I$19</c:f>
              <c:strCache>
                <c:ptCount val="1"/>
                <c:pt idx="0">
                  <c:v>fn_1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0-EF9F-44D0-A13B-7201EFA9E82D}"/>
              </c:ext>
            </c:extLst>
          </c:dPt>
          <c:dLbls>
            <c:dLbl>
              <c:idx val="0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solidFill>
                          <a:schemeClr val="tx1"/>
                        </a:solidFill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A518-4DB4-80C8-3FCA7B424E5E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F9F-44D0-A13B-7201EFA9E8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Revision'!$J$19:$K$19</c:f>
              <c:numCache>
                <c:formatCode>General</c:formatCode>
                <c:ptCount val="2"/>
                <c:pt idx="0">
                  <c:v>3600</c:v>
                </c:pt>
                <c:pt idx="1">
                  <c:v>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F9F-44D0-A13B-7201EFA9E82D}"/>
            </c:ext>
          </c:extLst>
        </c:ser>
        <c:ser>
          <c:idx val="7"/>
          <c:order val="7"/>
          <c:tx>
            <c:strRef>
              <c:f>'Campbell Revision'!$I$20</c:f>
              <c:strCache>
                <c:ptCount val="1"/>
                <c:pt idx="0">
                  <c:v>fn_2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Revision'!$J$20:$K$20</c:f>
              <c:numCache>
                <c:formatCode>General</c:formatCode>
                <c:ptCount val="2"/>
                <c:pt idx="0">
                  <c:v>5000</c:v>
                </c:pt>
                <c:pt idx="1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F9F-44D0-A13B-7201EFA9E82D}"/>
            </c:ext>
          </c:extLst>
        </c:ser>
        <c:ser>
          <c:idx val="8"/>
          <c:order val="8"/>
          <c:tx>
            <c:strRef>
              <c:f>'Campbell Revision'!$I$21</c:f>
              <c:strCache>
                <c:ptCount val="1"/>
                <c:pt idx="0">
                  <c:v>fn_3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Revision'!$J$21:$K$21</c:f>
              <c:numCache>
                <c:formatCode>General</c:formatCode>
                <c:ptCount val="2"/>
                <c:pt idx="0">
                  <c:v>8500</c:v>
                </c:pt>
                <c:pt idx="1">
                  <c:v>8500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F9F-44D0-A13B-7201EFA9E82D}"/>
            </c:ext>
          </c:extLst>
        </c:ser>
        <c:ser>
          <c:idx val="9"/>
          <c:order val="9"/>
          <c:tx>
            <c:strRef>
              <c:f>'Campbell Revision'!$I$22</c:f>
              <c:strCache>
                <c:ptCount val="1"/>
                <c:pt idx="0">
                  <c:v>fn_4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Revision'!$J$22:$K$22</c:f>
              <c:numCache>
                <c:formatCode>General</c:formatCode>
                <c:ptCount val="2"/>
                <c:pt idx="0">
                  <c:v>10500</c:v>
                </c:pt>
                <c:pt idx="1">
                  <c:v>10500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F9F-44D0-A13B-7201EFA9E82D}"/>
            </c:ext>
          </c:extLst>
        </c:ser>
        <c:ser>
          <c:idx val="10"/>
          <c:order val="10"/>
          <c:tx>
            <c:strRef>
              <c:f>'Campbell Revision'!$I$23</c:f>
              <c:strCache>
                <c:ptCount val="1"/>
                <c:pt idx="0">
                  <c:v>fn_5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Revision'!$J$23:$K$23</c:f>
              <c:numCache>
                <c:formatCode>General</c:formatCode>
                <c:ptCount val="2"/>
                <c:pt idx="0">
                  <c:v>12500</c:v>
                </c:pt>
                <c:pt idx="1">
                  <c:v>12500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F9F-44D0-A13B-7201EFA9E82D}"/>
            </c:ext>
          </c:extLst>
        </c:ser>
        <c:ser>
          <c:idx val="11"/>
          <c:order val="11"/>
          <c:tx>
            <c:strRef>
              <c:f>'Campbell Revision'!$I$24</c:f>
              <c:strCache>
                <c:ptCount val="1"/>
                <c:pt idx="0">
                  <c:v>fn_6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Revision'!$J$24:$K$24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F9F-44D0-A13B-7201EFA9E82D}"/>
            </c:ext>
          </c:extLst>
        </c:ser>
        <c:ser>
          <c:idx val="12"/>
          <c:order val="12"/>
          <c:tx>
            <c:strRef>
              <c:f>'Campbell Revision'!$I$25</c:f>
              <c:strCache>
                <c:ptCount val="1"/>
                <c:pt idx="0">
                  <c:v>fn_7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Revision'!$J$25:$K$25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F9F-44D0-A13B-7201EFA9E82D}"/>
            </c:ext>
          </c:extLst>
        </c:ser>
        <c:ser>
          <c:idx val="13"/>
          <c:order val="13"/>
          <c:tx>
            <c:strRef>
              <c:f>'Campbell Revision'!$I$26</c:f>
              <c:strCache>
                <c:ptCount val="1"/>
                <c:pt idx="0">
                  <c:v>fn_8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Revision'!$J$26:$K$26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F9F-44D0-A13B-7201EFA9E82D}"/>
            </c:ext>
          </c:extLst>
        </c:ser>
        <c:ser>
          <c:idx val="14"/>
          <c:order val="14"/>
          <c:tx>
            <c:strRef>
              <c:f>'Campbell Revision'!$I$27</c:f>
              <c:strCache>
                <c:ptCount val="1"/>
                <c:pt idx="0">
                  <c:v>fn_9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Revision'!$J$27:$K$27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F9F-44D0-A13B-7201EFA9E82D}"/>
            </c:ext>
          </c:extLst>
        </c:ser>
        <c:ser>
          <c:idx val="15"/>
          <c:order val="15"/>
          <c:tx>
            <c:strRef>
              <c:f>'Campbell Revision'!$I$28</c:f>
              <c:strCache>
                <c:ptCount val="1"/>
                <c:pt idx="0">
                  <c:v>fn_10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Revision'!$J$28:$K$28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F9F-44D0-A13B-7201EFA9E82D}"/>
            </c:ext>
          </c:extLst>
        </c:ser>
        <c:ser>
          <c:idx val="16"/>
          <c:order val="16"/>
          <c:tx>
            <c:strRef>
              <c:f>'Campbell Revision'!$M$19</c:f>
              <c:strCache>
                <c:ptCount val="1"/>
                <c:pt idx="0">
                  <c:v>1X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Revision'!$O$19:$P$19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F9F-44D0-A13B-7201EFA9E82D}"/>
            </c:ext>
          </c:extLst>
        </c:ser>
        <c:ser>
          <c:idx val="17"/>
          <c:order val="17"/>
          <c:tx>
            <c:strRef>
              <c:f>'Campbell Revision'!$M$20</c:f>
              <c:strCache>
                <c:ptCount val="1"/>
                <c:pt idx="0">
                  <c:v>2X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Revision'!$O$20:$P$20</c:f>
              <c:numCache>
                <c:formatCode>General</c:formatCode>
                <c:ptCount val="2"/>
                <c:pt idx="0">
                  <c:v>0</c:v>
                </c:pt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F9F-44D0-A13B-7201EFA9E82D}"/>
            </c:ext>
          </c:extLst>
        </c:ser>
        <c:ser>
          <c:idx val="18"/>
          <c:order val="18"/>
          <c:tx>
            <c:strRef>
              <c:f>'Campbell Revision'!$M$21</c:f>
              <c:strCache>
                <c:ptCount val="1"/>
                <c:pt idx="0">
                  <c:v>5X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Revision'!$O$21:$P$21</c:f>
              <c:numCache>
                <c:formatCode>General</c:formatCode>
                <c:ptCount val="2"/>
                <c:pt idx="0">
                  <c:v>0</c:v>
                </c:pt>
                <c:pt idx="1">
                  <c:v>30000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F9F-44D0-A13B-7201EFA9E82D}"/>
            </c:ext>
          </c:extLst>
        </c:ser>
        <c:ser>
          <c:idx val="19"/>
          <c:order val="19"/>
          <c:tx>
            <c:strRef>
              <c:f>'Campbell Revision'!$M$22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Revision'!$O$22:$P$22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F9F-44D0-A13B-7201EFA9E82D}"/>
            </c:ext>
          </c:extLst>
        </c:ser>
        <c:ser>
          <c:idx val="20"/>
          <c:order val="20"/>
          <c:tx>
            <c:strRef>
              <c:f>'Campbell Revision'!$M$23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Revision'!$O$23:$P$23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F9F-44D0-A13B-7201EFA9E82D}"/>
            </c:ext>
          </c:extLst>
        </c:ser>
        <c:ser>
          <c:idx val="21"/>
          <c:order val="21"/>
          <c:tx>
            <c:strRef>
              <c:f>'Campbell Revision'!$M$24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Revision'!$O$24:$P$24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F9F-44D0-A13B-7201EFA9E82D}"/>
            </c:ext>
          </c:extLst>
        </c:ser>
        <c:ser>
          <c:idx val="22"/>
          <c:order val="22"/>
          <c:tx>
            <c:strRef>
              <c:f>'Campbell Revision'!$M$25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Revision'!$O$25:$P$25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F9F-44D0-A13B-7201EFA9E82D}"/>
            </c:ext>
          </c:extLst>
        </c:ser>
        <c:ser>
          <c:idx val="23"/>
          <c:order val="23"/>
          <c:tx>
            <c:strRef>
              <c:f>'Campbell Revision'!$M$26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Revision'!$O$26:$P$26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F9F-44D0-A13B-7201EFA9E82D}"/>
            </c:ext>
          </c:extLst>
        </c:ser>
        <c:ser>
          <c:idx val="24"/>
          <c:order val="24"/>
          <c:tx>
            <c:strRef>
              <c:f>'Campbell Revision'!$M$27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Revision'!$O$27:$P$27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F9F-44D0-A13B-7201EFA9E82D}"/>
            </c:ext>
          </c:extLst>
        </c:ser>
        <c:ser>
          <c:idx val="25"/>
          <c:order val="25"/>
          <c:tx>
            <c:strRef>
              <c:f>'Campbell Revision'!$M$28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Revision'!$O$28:$P$28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F9F-44D0-A13B-7201EFA9E82D}"/>
            </c:ext>
          </c:extLst>
        </c:ser>
        <c:ser>
          <c:idx val="26"/>
          <c:order val="26"/>
          <c:tx>
            <c:strRef>
              <c:f>'Campbell Revision'!$M$11</c:f>
              <c:strCache>
                <c:ptCount val="1"/>
                <c:pt idx="0">
                  <c:v>-10% *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Revision'!$N$11:$O$11</c:f>
              <c:numCache>
                <c:formatCode>0</c:formatCode>
                <c:ptCount val="2"/>
                <c:pt idx="0">
                  <c:v>2700</c:v>
                </c:pt>
                <c:pt idx="1">
                  <c:v>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F9F-44D0-A13B-7201EFA9E82D}"/>
            </c:ext>
          </c:extLst>
        </c:ser>
        <c:ser>
          <c:idx val="27"/>
          <c:order val="27"/>
          <c:tx>
            <c:strRef>
              <c:f>'Campbell Revision'!$M$12</c:f>
              <c:strCache>
                <c:ptCount val="1"/>
                <c:pt idx="0">
                  <c:v>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Revision'!$N$12:$O$12</c:f>
              <c:numCache>
                <c:formatCode>0</c:formatCode>
                <c:ptCount val="2"/>
                <c:pt idx="0">
                  <c:v>3000</c:v>
                </c:pt>
                <c:pt idx="1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F9F-44D0-A13B-7201EFA9E82D}"/>
            </c:ext>
          </c:extLst>
        </c:ser>
        <c:ser>
          <c:idx val="28"/>
          <c:order val="28"/>
          <c:tx>
            <c:strRef>
              <c:f>'Campbell Revision'!$M$13</c:f>
              <c:strCache>
                <c:ptCount val="1"/>
                <c:pt idx="0">
                  <c:v>+10% *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Revision'!$N$13:$O$13</c:f>
              <c:numCache>
                <c:formatCode>0</c:formatCode>
                <c:ptCount val="2"/>
                <c:pt idx="0">
                  <c:v>3300.0000000000005</c:v>
                </c:pt>
                <c:pt idx="1">
                  <c:v>3300.0000000000005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F9F-44D0-A13B-7201EFA9E82D}"/>
            </c:ext>
          </c:extLst>
        </c:ser>
        <c:ser>
          <c:idx val="29"/>
          <c:order val="29"/>
          <c:tx>
            <c:strRef>
              <c:f>'Campbell Revision'!$M$14</c:f>
              <c:strCache>
                <c:ptCount val="1"/>
                <c:pt idx="0">
                  <c:v>-10% * 2X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Revision'!$N$14:$O$14</c:f>
              <c:numCache>
                <c:formatCode>0</c:formatCode>
                <c:ptCount val="2"/>
                <c:pt idx="0">
                  <c:v>5400</c:v>
                </c:pt>
                <c:pt idx="1">
                  <c:v>5400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F9F-44D0-A13B-7201EFA9E82D}"/>
            </c:ext>
          </c:extLst>
        </c:ser>
        <c:ser>
          <c:idx val="30"/>
          <c:order val="30"/>
          <c:tx>
            <c:strRef>
              <c:f>'Campbell Revision'!$M$15</c:f>
              <c:strCache>
                <c:ptCount val="1"/>
                <c:pt idx="0">
                  <c:v>2X f_line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Revision'!$N$15:$O$15</c:f>
              <c:numCache>
                <c:formatCode>0</c:formatCode>
                <c:ptCount val="2"/>
                <c:pt idx="0">
                  <c:v>6000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F9F-44D0-A13B-7201EFA9E82D}"/>
            </c:ext>
          </c:extLst>
        </c:ser>
        <c:ser>
          <c:idx val="31"/>
          <c:order val="31"/>
          <c:tx>
            <c:strRef>
              <c:f>'Campbell Revision'!$M$16</c:f>
              <c:strCache>
                <c:ptCount val="1"/>
                <c:pt idx="0">
                  <c:v>+10% * 2X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Revision'!$N$16:$O$16</c:f>
              <c:numCache>
                <c:formatCode>0</c:formatCode>
                <c:ptCount val="2"/>
                <c:pt idx="0">
                  <c:v>6600.0000000000009</c:v>
                </c:pt>
                <c:pt idx="1">
                  <c:v>6600.0000000000009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F9F-44D0-A13B-7201EFA9E82D}"/>
            </c:ext>
          </c:extLst>
        </c:ser>
        <c:ser>
          <c:idx val="32"/>
          <c:order val="32"/>
          <c:tx>
            <c:strRef>
              <c:f>'Campbell Revision'!$C$101</c:f>
              <c:strCache>
                <c:ptCount val="1"/>
                <c:pt idx="0">
                  <c:v>ωcr fn_1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Revision'!$C$138:$C$167</c:f>
              <c:numCache>
                <c:formatCode>General</c:formatCode>
                <c:ptCount val="30"/>
                <c:pt idx="0">
                  <c:v>3600</c:v>
                </c:pt>
                <c:pt idx="1">
                  <c:v>1800</c:v>
                </c:pt>
                <c:pt idx="2">
                  <c:v>720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Revision'!$C$105:$C$134</c:f>
              <c:numCache>
                <c:formatCode>General</c:formatCode>
                <c:ptCount val="30"/>
                <c:pt idx="0">
                  <c:v>3600</c:v>
                </c:pt>
                <c:pt idx="1">
                  <c:v>3600</c:v>
                </c:pt>
                <c:pt idx="2">
                  <c:v>3600</c:v>
                </c:pt>
                <c:pt idx="3">
                  <c:v>3600</c:v>
                </c:pt>
                <c:pt idx="4">
                  <c:v>3600</c:v>
                </c:pt>
                <c:pt idx="5">
                  <c:v>3600</c:v>
                </c:pt>
                <c:pt idx="6">
                  <c:v>3600</c:v>
                </c:pt>
                <c:pt idx="7">
                  <c:v>3600</c:v>
                </c:pt>
                <c:pt idx="8">
                  <c:v>3600</c:v>
                </c:pt>
                <c:pt idx="9">
                  <c:v>3600</c:v>
                </c:pt>
                <c:pt idx="10">
                  <c:v>3600</c:v>
                </c:pt>
                <c:pt idx="11">
                  <c:v>3600</c:v>
                </c:pt>
                <c:pt idx="12">
                  <c:v>3600</c:v>
                </c:pt>
                <c:pt idx="13">
                  <c:v>3600</c:v>
                </c:pt>
                <c:pt idx="14">
                  <c:v>3600</c:v>
                </c:pt>
                <c:pt idx="15">
                  <c:v>3600</c:v>
                </c:pt>
                <c:pt idx="16">
                  <c:v>3600</c:v>
                </c:pt>
                <c:pt idx="17">
                  <c:v>3600</c:v>
                </c:pt>
                <c:pt idx="18">
                  <c:v>3600</c:v>
                </c:pt>
                <c:pt idx="19">
                  <c:v>3600</c:v>
                </c:pt>
                <c:pt idx="20">
                  <c:v>3600</c:v>
                </c:pt>
                <c:pt idx="21">
                  <c:v>3600</c:v>
                </c:pt>
                <c:pt idx="22">
                  <c:v>3600</c:v>
                </c:pt>
                <c:pt idx="23">
                  <c:v>3600</c:v>
                </c:pt>
                <c:pt idx="24">
                  <c:v>3600</c:v>
                </c:pt>
                <c:pt idx="25">
                  <c:v>3600</c:v>
                </c:pt>
                <c:pt idx="26">
                  <c:v>3600</c:v>
                </c:pt>
                <c:pt idx="27">
                  <c:v>3600</c:v>
                </c:pt>
                <c:pt idx="28">
                  <c:v>3600</c:v>
                </c:pt>
                <c:pt idx="29">
                  <c:v>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F9F-44D0-A13B-7201EFA9E82D}"/>
            </c:ext>
          </c:extLst>
        </c:ser>
        <c:ser>
          <c:idx val="33"/>
          <c:order val="33"/>
          <c:tx>
            <c:strRef>
              <c:f>'Campbell Revision'!$D$101</c:f>
              <c:strCache>
                <c:ptCount val="1"/>
                <c:pt idx="0">
                  <c:v>ωcr fn_2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Revision'!$D$138:$D$167</c:f>
              <c:numCache>
                <c:formatCode>General</c:formatCode>
                <c:ptCount val="30"/>
                <c:pt idx="0">
                  <c:v>5000</c:v>
                </c:pt>
                <c:pt idx="1">
                  <c:v>2500</c:v>
                </c:pt>
                <c:pt idx="2">
                  <c:v>1000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Revision'!$D$105:$D$134</c:f>
              <c:numCache>
                <c:formatCode>General</c:formatCode>
                <c:ptCount val="30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F9F-44D0-A13B-7201EFA9E82D}"/>
            </c:ext>
          </c:extLst>
        </c:ser>
        <c:ser>
          <c:idx val="34"/>
          <c:order val="34"/>
          <c:tx>
            <c:strRef>
              <c:f>'Campbell Revision'!$E$101</c:f>
              <c:strCache>
                <c:ptCount val="1"/>
                <c:pt idx="0">
                  <c:v>ωcr fn_3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Revision'!$E$138:$E$167</c:f>
              <c:numCache>
                <c:formatCode>General</c:formatCode>
                <c:ptCount val="30"/>
                <c:pt idx="0">
                  <c:v>#N/A</c:v>
                </c:pt>
                <c:pt idx="1">
                  <c:v>4250</c:v>
                </c:pt>
                <c:pt idx="2">
                  <c:v>1700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Revision'!$E$105:$E$134</c:f>
              <c:numCache>
                <c:formatCode>General</c:formatCode>
                <c:ptCount val="30"/>
                <c:pt idx="0">
                  <c:v>8500</c:v>
                </c:pt>
                <c:pt idx="1">
                  <c:v>8500</c:v>
                </c:pt>
                <c:pt idx="2">
                  <c:v>8500</c:v>
                </c:pt>
                <c:pt idx="3">
                  <c:v>8500</c:v>
                </c:pt>
                <c:pt idx="4">
                  <c:v>8500</c:v>
                </c:pt>
                <c:pt idx="5">
                  <c:v>8500</c:v>
                </c:pt>
                <c:pt idx="6">
                  <c:v>8500</c:v>
                </c:pt>
                <c:pt idx="7">
                  <c:v>8500</c:v>
                </c:pt>
                <c:pt idx="8">
                  <c:v>8500</c:v>
                </c:pt>
                <c:pt idx="9">
                  <c:v>8500</c:v>
                </c:pt>
                <c:pt idx="10">
                  <c:v>8500</c:v>
                </c:pt>
                <c:pt idx="11">
                  <c:v>8500</c:v>
                </c:pt>
                <c:pt idx="12">
                  <c:v>8500</c:v>
                </c:pt>
                <c:pt idx="13">
                  <c:v>8500</c:v>
                </c:pt>
                <c:pt idx="14">
                  <c:v>8500</c:v>
                </c:pt>
                <c:pt idx="15">
                  <c:v>8500</c:v>
                </c:pt>
                <c:pt idx="16">
                  <c:v>8500</c:v>
                </c:pt>
                <c:pt idx="17">
                  <c:v>8500</c:v>
                </c:pt>
                <c:pt idx="18">
                  <c:v>8500</c:v>
                </c:pt>
                <c:pt idx="19">
                  <c:v>8500</c:v>
                </c:pt>
                <c:pt idx="20">
                  <c:v>8500</c:v>
                </c:pt>
                <c:pt idx="21">
                  <c:v>8500</c:v>
                </c:pt>
                <c:pt idx="22">
                  <c:v>8500</c:v>
                </c:pt>
                <c:pt idx="23">
                  <c:v>8500</c:v>
                </c:pt>
                <c:pt idx="24">
                  <c:v>8500</c:v>
                </c:pt>
                <c:pt idx="25">
                  <c:v>8500</c:v>
                </c:pt>
                <c:pt idx="26">
                  <c:v>8500</c:v>
                </c:pt>
                <c:pt idx="27">
                  <c:v>8500</c:v>
                </c:pt>
                <c:pt idx="28">
                  <c:v>8500</c:v>
                </c:pt>
                <c:pt idx="29">
                  <c:v>8500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F9F-44D0-A13B-7201EFA9E82D}"/>
            </c:ext>
          </c:extLst>
        </c:ser>
        <c:ser>
          <c:idx val="35"/>
          <c:order val="35"/>
          <c:tx>
            <c:strRef>
              <c:f>'Campbell Revision'!$F$101</c:f>
              <c:strCache>
                <c:ptCount val="1"/>
                <c:pt idx="0">
                  <c:v>ωcr fn_4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Revision'!$F$138:$F$167</c:f>
              <c:numCache>
                <c:formatCode>General</c:formatCode>
                <c:ptCount val="30"/>
                <c:pt idx="0">
                  <c:v>#N/A</c:v>
                </c:pt>
                <c:pt idx="1">
                  <c:v>5250</c:v>
                </c:pt>
                <c:pt idx="2">
                  <c:v>2100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Revision'!$F$105:$F$134</c:f>
              <c:numCache>
                <c:formatCode>General</c:formatCode>
                <c:ptCount val="30"/>
                <c:pt idx="0">
                  <c:v>10500</c:v>
                </c:pt>
                <c:pt idx="1">
                  <c:v>10500</c:v>
                </c:pt>
                <c:pt idx="2">
                  <c:v>10500</c:v>
                </c:pt>
                <c:pt idx="3">
                  <c:v>10500</c:v>
                </c:pt>
                <c:pt idx="4">
                  <c:v>10500</c:v>
                </c:pt>
                <c:pt idx="5">
                  <c:v>10500</c:v>
                </c:pt>
                <c:pt idx="6">
                  <c:v>10500</c:v>
                </c:pt>
                <c:pt idx="7">
                  <c:v>10500</c:v>
                </c:pt>
                <c:pt idx="8">
                  <c:v>10500</c:v>
                </c:pt>
                <c:pt idx="9">
                  <c:v>10500</c:v>
                </c:pt>
                <c:pt idx="10">
                  <c:v>10500</c:v>
                </c:pt>
                <c:pt idx="11">
                  <c:v>10500</c:v>
                </c:pt>
                <c:pt idx="12">
                  <c:v>10500</c:v>
                </c:pt>
                <c:pt idx="13">
                  <c:v>10500</c:v>
                </c:pt>
                <c:pt idx="14">
                  <c:v>10500</c:v>
                </c:pt>
                <c:pt idx="15">
                  <c:v>10500</c:v>
                </c:pt>
                <c:pt idx="16">
                  <c:v>10500</c:v>
                </c:pt>
                <c:pt idx="17">
                  <c:v>10500</c:v>
                </c:pt>
                <c:pt idx="18">
                  <c:v>10500</c:v>
                </c:pt>
                <c:pt idx="19">
                  <c:v>10500</c:v>
                </c:pt>
                <c:pt idx="20">
                  <c:v>10500</c:v>
                </c:pt>
                <c:pt idx="21">
                  <c:v>10500</c:v>
                </c:pt>
                <c:pt idx="22">
                  <c:v>10500</c:v>
                </c:pt>
                <c:pt idx="23">
                  <c:v>10500</c:v>
                </c:pt>
                <c:pt idx="24">
                  <c:v>10500</c:v>
                </c:pt>
                <c:pt idx="25">
                  <c:v>10500</c:v>
                </c:pt>
                <c:pt idx="26">
                  <c:v>10500</c:v>
                </c:pt>
                <c:pt idx="27">
                  <c:v>10500</c:v>
                </c:pt>
                <c:pt idx="28">
                  <c:v>10500</c:v>
                </c:pt>
                <c:pt idx="29">
                  <c:v>10500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F9F-44D0-A13B-7201EFA9E82D}"/>
            </c:ext>
          </c:extLst>
        </c:ser>
        <c:ser>
          <c:idx val="37"/>
          <c:order val="36"/>
          <c:tx>
            <c:strRef>
              <c:f>'Campbell Revision'!$G$101</c:f>
              <c:strCache>
                <c:ptCount val="1"/>
                <c:pt idx="0">
                  <c:v>ωcr fn_5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Revision'!$G$138:$G$167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2500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Revision'!$G$105:$G$134</c:f>
              <c:numCache>
                <c:formatCode>General</c:formatCode>
                <c:ptCount val="30"/>
                <c:pt idx="0">
                  <c:v>12500</c:v>
                </c:pt>
                <c:pt idx="1">
                  <c:v>12500</c:v>
                </c:pt>
                <c:pt idx="2">
                  <c:v>12500</c:v>
                </c:pt>
                <c:pt idx="3">
                  <c:v>12500</c:v>
                </c:pt>
                <c:pt idx="4">
                  <c:v>12500</c:v>
                </c:pt>
                <c:pt idx="5">
                  <c:v>12500</c:v>
                </c:pt>
                <c:pt idx="6">
                  <c:v>12500</c:v>
                </c:pt>
                <c:pt idx="7">
                  <c:v>12500</c:v>
                </c:pt>
                <c:pt idx="8">
                  <c:v>12500</c:v>
                </c:pt>
                <c:pt idx="9">
                  <c:v>12500</c:v>
                </c:pt>
                <c:pt idx="10">
                  <c:v>12500</c:v>
                </c:pt>
                <c:pt idx="11">
                  <c:v>12500</c:v>
                </c:pt>
                <c:pt idx="12">
                  <c:v>12500</c:v>
                </c:pt>
                <c:pt idx="13">
                  <c:v>12500</c:v>
                </c:pt>
                <c:pt idx="14">
                  <c:v>12500</c:v>
                </c:pt>
                <c:pt idx="15">
                  <c:v>12500</c:v>
                </c:pt>
                <c:pt idx="16">
                  <c:v>12500</c:v>
                </c:pt>
                <c:pt idx="17">
                  <c:v>12500</c:v>
                </c:pt>
                <c:pt idx="18">
                  <c:v>12500</c:v>
                </c:pt>
                <c:pt idx="19">
                  <c:v>12500</c:v>
                </c:pt>
                <c:pt idx="20">
                  <c:v>12500</c:v>
                </c:pt>
                <c:pt idx="21">
                  <c:v>12500</c:v>
                </c:pt>
                <c:pt idx="22">
                  <c:v>12500</c:v>
                </c:pt>
                <c:pt idx="23">
                  <c:v>12500</c:v>
                </c:pt>
                <c:pt idx="24">
                  <c:v>12500</c:v>
                </c:pt>
                <c:pt idx="25">
                  <c:v>12500</c:v>
                </c:pt>
                <c:pt idx="26">
                  <c:v>12500</c:v>
                </c:pt>
                <c:pt idx="27">
                  <c:v>12500</c:v>
                </c:pt>
                <c:pt idx="28">
                  <c:v>12500</c:v>
                </c:pt>
                <c:pt idx="29">
                  <c:v>12500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5E-48D0-9D09-0E4CBBFA8FBD}"/>
            </c:ext>
          </c:extLst>
        </c:ser>
        <c:ser>
          <c:idx val="36"/>
          <c:order val="37"/>
          <c:tx>
            <c:strRef>
              <c:f>'Campbell Revision'!$H$101</c:f>
              <c:strCache>
                <c:ptCount val="1"/>
                <c:pt idx="0">
                  <c:v>ωcr fn_6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Revision'!$H$138:$H$167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Revision'!$H$105:$H$134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5E-48D0-9D09-0E4CBBFA8FBD}"/>
            </c:ext>
          </c:extLst>
        </c:ser>
        <c:ser>
          <c:idx val="38"/>
          <c:order val="38"/>
          <c:tx>
            <c:strRef>
              <c:f>'Campbell Revision'!$I$101</c:f>
              <c:strCache>
                <c:ptCount val="1"/>
                <c:pt idx="0">
                  <c:v>ωcr fn_7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Revision'!$I$138:$I$167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Revision'!$I$105:$I$134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A5E-48D0-9D09-0E4CBBFA8FBD}"/>
            </c:ext>
          </c:extLst>
        </c:ser>
        <c:ser>
          <c:idx val="39"/>
          <c:order val="39"/>
          <c:tx>
            <c:strRef>
              <c:f>'Campbell Revision'!$J$101</c:f>
              <c:strCache>
                <c:ptCount val="1"/>
                <c:pt idx="0">
                  <c:v>ωcr fn_8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Revision'!$J$138:$J$167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Revision'!$J$105:$J$134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A5E-48D0-9D09-0E4CBBFA8FBD}"/>
            </c:ext>
          </c:extLst>
        </c:ser>
        <c:ser>
          <c:idx val="40"/>
          <c:order val="40"/>
          <c:tx>
            <c:strRef>
              <c:f>'Campbell Revision'!$K$101</c:f>
              <c:strCache>
                <c:ptCount val="1"/>
                <c:pt idx="0">
                  <c:v>ωcr fn_9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Revision'!$K$138:$K$167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Revision'!$K$105:$K$134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A5E-48D0-9D09-0E4CBBFA8FBD}"/>
            </c:ext>
          </c:extLst>
        </c:ser>
        <c:ser>
          <c:idx val="41"/>
          <c:order val="41"/>
          <c:tx>
            <c:strRef>
              <c:f>'Campbell Revision'!$L$101</c:f>
              <c:strCache>
                <c:ptCount val="1"/>
                <c:pt idx="0">
                  <c:v>ωcr fn_10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Revision'!$L$138:$L$167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Revision'!$L$105:$L$134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A5E-48D0-9D09-0E4CBBFA8FBD}"/>
            </c:ext>
          </c:extLst>
        </c:ser>
        <c:ser>
          <c:idx val="42"/>
          <c:order val="42"/>
          <c:tx>
            <c:strRef>
              <c:f>'Campbell Revision'!$M$29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Revision'!$O$29:$P$29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A5E-48D0-9D09-0E4CBBFA8FBD}"/>
            </c:ext>
          </c:extLst>
        </c:ser>
        <c:ser>
          <c:idx val="43"/>
          <c:order val="43"/>
          <c:tx>
            <c:strRef>
              <c:f>'Campbell Revision'!$M$30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Revision'!$O$30:$P$30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A5E-48D0-9D09-0E4CBBFA8FBD}"/>
            </c:ext>
          </c:extLst>
        </c:ser>
        <c:ser>
          <c:idx val="44"/>
          <c:order val="44"/>
          <c:tx>
            <c:strRef>
              <c:f>'Campbell Revision'!$M$31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Revision'!$O$31:$P$31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A5E-48D0-9D09-0E4CBBFA8FBD}"/>
            </c:ext>
          </c:extLst>
        </c:ser>
        <c:ser>
          <c:idx val="45"/>
          <c:order val="45"/>
          <c:tx>
            <c:strRef>
              <c:f>'Campbell Revision'!$M$32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Revision'!$O$32:$P$32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A5E-48D0-9D09-0E4CBBFA8FBD}"/>
            </c:ext>
          </c:extLst>
        </c:ser>
        <c:ser>
          <c:idx val="46"/>
          <c:order val="46"/>
          <c:tx>
            <c:strRef>
              <c:f>'Campbell Revision'!$M$33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Revision'!$O$33:$P$33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A5E-48D0-9D09-0E4CBBFA8FBD}"/>
            </c:ext>
          </c:extLst>
        </c:ser>
        <c:ser>
          <c:idx val="47"/>
          <c:order val="47"/>
          <c:tx>
            <c:strRef>
              <c:f>'Campbell Revision'!$M$34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Revision'!$O$34:$P$34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3A5E-48D0-9D09-0E4CBBFA8FBD}"/>
            </c:ext>
          </c:extLst>
        </c:ser>
        <c:ser>
          <c:idx val="48"/>
          <c:order val="48"/>
          <c:tx>
            <c:strRef>
              <c:f>'Campbell Revision'!$M$35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Revision'!$O$35:$P$35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A5E-48D0-9D09-0E4CBBFA8FBD}"/>
            </c:ext>
          </c:extLst>
        </c:ser>
        <c:ser>
          <c:idx val="49"/>
          <c:order val="49"/>
          <c:tx>
            <c:strRef>
              <c:f>'Campbell Revision'!$M$36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Revision'!$O$36:$P$36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3A5E-48D0-9D09-0E4CBBFA8FBD}"/>
            </c:ext>
          </c:extLst>
        </c:ser>
        <c:ser>
          <c:idx val="50"/>
          <c:order val="50"/>
          <c:tx>
            <c:strRef>
              <c:f>'Campbell Revision'!$M$37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Revision'!$O$37:$P$37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A5E-48D0-9D09-0E4CBBFA8FBD}"/>
            </c:ext>
          </c:extLst>
        </c:ser>
        <c:ser>
          <c:idx val="51"/>
          <c:order val="51"/>
          <c:tx>
            <c:strRef>
              <c:f>'Campbell Revision'!$M$38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Revision'!$O$38:$P$38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A5E-48D0-9D09-0E4CBBFA8FBD}"/>
            </c:ext>
          </c:extLst>
        </c:ser>
        <c:ser>
          <c:idx val="52"/>
          <c:order val="52"/>
          <c:tx>
            <c:strRef>
              <c:f>'Campbell Revision'!$M$39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A5E-48D0-9D09-0E4CBBFA8FBD}"/>
            </c:ext>
          </c:extLst>
        </c:ser>
        <c:ser>
          <c:idx val="53"/>
          <c:order val="53"/>
          <c:tx>
            <c:strRef>
              <c:f>'Campbell Revision'!$M$40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Revision'!$O$40:$P$40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3A5E-48D0-9D09-0E4CBBFA8FBD}"/>
            </c:ext>
          </c:extLst>
        </c:ser>
        <c:ser>
          <c:idx val="54"/>
          <c:order val="54"/>
          <c:tx>
            <c:strRef>
              <c:f>'Campbell Revision'!$M$41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Revision'!$O$41:$P$41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A5E-48D0-9D09-0E4CBBFA8FBD}"/>
            </c:ext>
          </c:extLst>
        </c:ser>
        <c:ser>
          <c:idx val="55"/>
          <c:order val="55"/>
          <c:tx>
            <c:strRef>
              <c:f>'Campbell Revision'!$M$42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Revision'!$O$42:$P$42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3A5E-48D0-9D09-0E4CBBFA8FBD}"/>
            </c:ext>
          </c:extLst>
        </c:ser>
        <c:ser>
          <c:idx val="56"/>
          <c:order val="56"/>
          <c:tx>
            <c:strRef>
              <c:f>'Campbell Revision'!$M$43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Revision'!$O$43:$P$43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A5E-48D0-9D09-0E4CBBFA8FBD}"/>
            </c:ext>
          </c:extLst>
        </c:ser>
        <c:ser>
          <c:idx val="57"/>
          <c:order val="57"/>
          <c:tx>
            <c:strRef>
              <c:f>'Campbell Revision'!$M$44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Revision'!$O$44:$P$44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3A5E-48D0-9D09-0E4CBBFA8FBD}"/>
            </c:ext>
          </c:extLst>
        </c:ser>
        <c:ser>
          <c:idx val="58"/>
          <c:order val="58"/>
          <c:tx>
            <c:strRef>
              <c:f>'Campbell Revision'!$M$45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Revision'!$O$45:$P$45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A5E-48D0-9D09-0E4CBBFA8FBD}"/>
            </c:ext>
          </c:extLst>
        </c:ser>
        <c:ser>
          <c:idx val="59"/>
          <c:order val="59"/>
          <c:tx>
            <c:strRef>
              <c:f>'Campbell Revision'!$M$46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Revision'!$O$46:$P$46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3A5E-48D0-9D09-0E4CBBFA8FBD}"/>
            </c:ext>
          </c:extLst>
        </c:ser>
        <c:ser>
          <c:idx val="60"/>
          <c:order val="60"/>
          <c:tx>
            <c:strRef>
              <c:f>'Campbell Revision'!$M$47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Revision'!$O$47:$P$47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A5E-48D0-9D09-0E4CBBFA8FBD}"/>
            </c:ext>
          </c:extLst>
        </c:ser>
        <c:ser>
          <c:idx val="61"/>
          <c:order val="61"/>
          <c:tx>
            <c:strRef>
              <c:f>'Campbell Revision'!$M$48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Revision'!$O$48:$P$48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A5E-48D0-9D09-0E4CBBFA8FBD}"/>
            </c:ext>
          </c:extLst>
        </c:ser>
        <c:ser>
          <c:idx val="62"/>
          <c:order val="62"/>
          <c:tx>
            <c:strRef>
              <c:f>'Campbell Revision'!$I$29</c:f>
              <c:strCache>
                <c:ptCount val="1"/>
                <c:pt idx="0">
                  <c:v>fn_11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Revision'!$J$29:$K$29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A5E-48D0-9D09-0E4CBBFA8FBD}"/>
            </c:ext>
          </c:extLst>
        </c:ser>
        <c:ser>
          <c:idx val="63"/>
          <c:order val="63"/>
          <c:tx>
            <c:strRef>
              <c:f>'Campbell Revision'!$I$30</c:f>
              <c:strCache>
                <c:ptCount val="1"/>
                <c:pt idx="0">
                  <c:v>fn_12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Revision'!$J$30:$K$30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A5E-48D0-9D09-0E4CBBFA8FBD}"/>
            </c:ext>
          </c:extLst>
        </c:ser>
        <c:ser>
          <c:idx val="64"/>
          <c:order val="64"/>
          <c:tx>
            <c:strRef>
              <c:f>'Campbell Revision'!$I$31</c:f>
              <c:strCache>
                <c:ptCount val="1"/>
                <c:pt idx="0">
                  <c:v>fn_13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Revision'!$J$31:$K$31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A5E-48D0-9D09-0E4CBBFA8FBD}"/>
            </c:ext>
          </c:extLst>
        </c:ser>
        <c:ser>
          <c:idx val="65"/>
          <c:order val="65"/>
          <c:tx>
            <c:strRef>
              <c:f>'Campbell Revision'!$I$32</c:f>
              <c:strCache>
                <c:ptCount val="1"/>
                <c:pt idx="0">
                  <c:v>fn_14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Revision'!$J$32:$K$32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A5E-48D0-9D09-0E4CBBFA8FBD}"/>
            </c:ext>
          </c:extLst>
        </c:ser>
        <c:ser>
          <c:idx val="66"/>
          <c:order val="66"/>
          <c:tx>
            <c:strRef>
              <c:f>'Campbell Revision'!$I$33</c:f>
              <c:strCache>
                <c:ptCount val="1"/>
                <c:pt idx="0">
                  <c:v>fn_15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Revision'!$J$33:$K$33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A5E-48D0-9D09-0E4CBBFA8FBD}"/>
            </c:ext>
          </c:extLst>
        </c:ser>
        <c:ser>
          <c:idx val="67"/>
          <c:order val="67"/>
          <c:tx>
            <c:strRef>
              <c:f>'Campbell Revision'!$I$34</c:f>
              <c:strCache>
                <c:ptCount val="1"/>
                <c:pt idx="0">
                  <c:v>fn_16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Revision'!$J$34:$K$34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A5E-48D0-9D09-0E4CBBFA8FBD}"/>
            </c:ext>
          </c:extLst>
        </c:ser>
        <c:ser>
          <c:idx val="68"/>
          <c:order val="68"/>
          <c:tx>
            <c:strRef>
              <c:f>'Campbell Revision'!$I$35</c:f>
              <c:strCache>
                <c:ptCount val="1"/>
                <c:pt idx="0">
                  <c:v>fn_17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Revision'!$J$35:$K$35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A5E-48D0-9D09-0E4CBBFA8FBD}"/>
            </c:ext>
          </c:extLst>
        </c:ser>
        <c:ser>
          <c:idx val="69"/>
          <c:order val="69"/>
          <c:tx>
            <c:strRef>
              <c:f>'Campbell Revision'!$I$36</c:f>
              <c:strCache>
                <c:ptCount val="1"/>
                <c:pt idx="0">
                  <c:v>fn_18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Revision'!$J$36:$K$36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A5E-48D0-9D09-0E4CBBFA8FBD}"/>
            </c:ext>
          </c:extLst>
        </c:ser>
        <c:ser>
          <c:idx val="70"/>
          <c:order val="70"/>
          <c:tx>
            <c:strRef>
              <c:f>'Campbell Revision'!$I$37</c:f>
              <c:strCache>
                <c:ptCount val="1"/>
                <c:pt idx="0">
                  <c:v>fn_19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Revision'!$J$37:$K$37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A5E-48D0-9D09-0E4CBBFA8FBD}"/>
            </c:ext>
          </c:extLst>
        </c:ser>
        <c:ser>
          <c:idx val="71"/>
          <c:order val="71"/>
          <c:tx>
            <c:strRef>
              <c:f>'Campbell Revision'!$I$38</c:f>
              <c:strCache>
                <c:ptCount val="1"/>
                <c:pt idx="0">
                  <c:v>fn_20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Revision'!$J$38:$K$38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A5E-48D0-9D09-0E4CBBFA8FBD}"/>
            </c:ext>
          </c:extLst>
        </c:ser>
        <c:ser>
          <c:idx val="72"/>
          <c:order val="72"/>
          <c:tx>
            <c:strRef>
              <c:f>'Campbell Revision'!$I$39</c:f>
              <c:strCache>
                <c:ptCount val="1"/>
                <c:pt idx="0">
                  <c:v>fn_21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Revision'!$J$39:$K$39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3A5E-48D0-9D09-0E4CBBFA8FBD}"/>
            </c:ext>
          </c:extLst>
        </c:ser>
        <c:ser>
          <c:idx val="73"/>
          <c:order val="73"/>
          <c:tx>
            <c:strRef>
              <c:f>'Campbell Revision'!$I$40</c:f>
              <c:strCache>
                <c:ptCount val="1"/>
                <c:pt idx="0">
                  <c:v>fn_22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Revision'!$J$40:$K$40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A5E-48D0-9D09-0E4CBBFA8FBD}"/>
            </c:ext>
          </c:extLst>
        </c:ser>
        <c:ser>
          <c:idx val="74"/>
          <c:order val="74"/>
          <c:tx>
            <c:strRef>
              <c:f>'Campbell Revision'!$I$41</c:f>
              <c:strCache>
                <c:ptCount val="1"/>
                <c:pt idx="0">
                  <c:v>fn_23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Revision'!$J$41:$K$41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A5E-48D0-9D09-0E4CBBFA8FBD}"/>
            </c:ext>
          </c:extLst>
        </c:ser>
        <c:ser>
          <c:idx val="75"/>
          <c:order val="75"/>
          <c:tx>
            <c:strRef>
              <c:f>'Campbell Revision'!$I$42</c:f>
              <c:strCache>
                <c:ptCount val="1"/>
                <c:pt idx="0">
                  <c:v>fn_24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Revision'!$J$42:$K$42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A5E-48D0-9D09-0E4CBBFA8FBD}"/>
            </c:ext>
          </c:extLst>
        </c:ser>
        <c:ser>
          <c:idx val="76"/>
          <c:order val="76"/>
          <c:tx>
            <c:strRef>
              <c:f>'Campbell Revision'!$I$43</c:f>
              <c:strCache>
                <c:ptCount val="1"/>
                <c:pt idx="0">
                  <c:v>fn_25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Revision'!$J$43:$K$43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3A5E-48D0-9D09-0E4CBBFA8FBD}"/>
            </c:ext>
          </c:extLst>
        </c:ser>
        <c:ser>
          <c:idx val="77"/>
          <c:order val="77"/>
          <c:tx>
            <c:strRef>
              <c:f>'Campbell Revision'!$I$44</c:f>
              <c:strCache>
                <c:ptCount val="1"/>
                <c:pt idx="0">
                  <c:v>fn_26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Revision'!$J$44:$K$44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A5E-48D0-9D09-0E4CBBFA8FBD}"/>
            </c:ext>
          </c:extLst>
        </c:ser>
        <c:ser>
          <c:idx val="78"/>
          <c:order val="78"/>
          <c:tx>
            <c:strRef>
              <c:f>'Campbell Revision'!$I$45</c:f>
              <c:strCache>
                <c:ptCount val="1"/>
                <c:pt idx="0">
                  <c:v>fn_27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Revision'!$J$45:$K$45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A5E-48D0-9D09-0E4CBBFA8FBD}"/>
            </c:ext>
          </c:extLst>
        </c:ser>
        <c:ser>
          <c:idx val="79"/>
          <c:order val="79"/>
          <c:tx>
            <c:strRef>
              <c:f>'Campbell Revision'!$I$46</c:f>
              <c:strCache>
                <c:ptCount val="1"/>
                <c:pt idx="0">
                  <c:v>fn_28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Revision'!$J$46:$K$46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A5E-48D0-9D09-0E4CBBFA8FBD}"/>
            </c:ext>
          </c:extLst>
        </c:ser>
        <c:ser>
          <c:idx val="80"/>
          <c:order val="80"/>
          <c:tx>
            <c:strRef>
              <c:f>'Campbell Revision'!$I$47</c:f>
              <c:strCache>
                <c:ptCount val="1"/>
                <c:pt idx="0">
                  <c:v>fn_29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Revision'!$J$47:$K$47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A5E-48D0-9D09-0E4CBBFA8FBD}"/>
            </c:ext>
          </c:extLst>
        </c:ser>
        <c:ser>
          <c:idx val="81"/>
          <c:order val="81"/>
          <c:tx>
            <c:strRef>
              <c:f>'Campbell Revision'!$I$48</c:f>
              <c:strCache>
                <c:ptCount val="1"/>
                <c:pt idx="0">
                  <c:v>fn_30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518-4DB4-80C8-3FCA7B424E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Revision'!$J$15:$K$15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Revision'!$J$48:$K$48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A5E-48D0-9D09-0E4CBBFA8FBD}"/>
            </c:ext>
          </c:extLst>
        </c:ser>
        <c:ser>
          <c:idx val="82"/>
          <c:order val="82"/>
          <c:tx>
            <c:strRef>
              <c:f>'Campbell Revision'!$M$101</c:f>
              <c:strCache>
                <c:ptCount val="1"/>
                <c:pt idx="0">
                  <c:v>ωcr fn_11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Revision'!$M$138:$M$167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Revision'!$M$105:$M$134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A5E-48D0-9D09-0E4CBBFA8FBD}"/>
            </c:ext>
          </c:extLst>
        </c:ser>
        <c:ser>
          <c:idx val="83"/>
          <c:order val="83"/>
          <c:tx>
            <c:strRef>
              <c:f>'Campbell Revision'!$N$101</c:f>
              <c:strCache>
                <c:ptCount val="1"/>
                <c:pt idx="0">
                  <c:v>ωcr fn_12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Revision'!$N$138:$N$167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Revision'!$N$105:$N$134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A5E-48D0-9D09-0E4CBBFA8FBD}"/>
            </c:ext>
          </c:extLst>
        </c:ser>
        <c:ser>
          <c:idx val="84"/>
          <c:order val="84"/>
          <c:tx>
            <c:strRef>
              <c:f>'Campbell Revision'!$O$101</c:f>
              <c:strCache>
                <c:ptCount val="1"/>
                <c:pt idx="0">
                  <c:v>ωcr fn_13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Revision'!$O$138:$O$167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Revision'!$O$105:$O$134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A5E-48D0-9D09-0E4CBBFA8FBD}"/>
            </c:ext>
          </c:extLst>
        </c:ser>
        <c:ser>
          <c:idx val="85"/>
          <c:order val="85"/>
          <c:tx>
            <c:strRef>
              <c:f>'Campbell Revision'!$P$101</c:f>
              <c:strCache>
                <c:ptCount val="1"/>
                <c:pt idx="0">
                  <c:v>ωcr fn_14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Revision'!$P$138:$P$167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Revision'!$P$105:$P$134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A5E-48D0-9D09-0E4CBBFA8FBD}"/>
            </c:ext>
          </c:extLst>
        </c:ser>
        <c:ser>
          <c:idx val="86"/>
          <c:order val="86"/>
          <c:tx>
            <c:strRef>
              <c:f>'Campbell Revision'!$Q$101</c:f>
              <c:strCache>
                <c:ptCount val="1"/>
                <c:pt idx="0">
                  <c:v>ωcr fn_15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Revision'!$Q$138:$Q$167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Revision'!$Q$105:$Q$134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A5E-48D0-9D09-0E4CBBFA8FBD}"/>
            </c:ext>
          </c:extLst>
        </c:ser>
        <c:ser>
          <c:idx val="87"/>
          <c:order val="87"/>
          <c:tx>
            <c:strRef>
              <c:f>'Campbell Revision'!$R$101</c:f>
              <c:strCache>
                <c:ptCount val="1"/>
                <c:pt idx="0">
                  <c:v>ωcr fn_16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Revision'!$R$138:$R$167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Revision'!$R$105:$R$134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A5E-48D0-9D09-0E4CBBFA8FBD}"/>
            </c:ext>
          </c:extLst>
        </c:ser>
        <c:ser>
          <c:idx val="88"/>
          <c:order val="88"/>
          <c:tx>
            <c:strRef>
              <c:f>'Campbell Revision'!$S$101</c:f>
              <c:strCache>
                <c:ptCount val="1"/>
                <c:pt idx="0">
                  <c:v>ωcr fn_17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Revision'!$S$138:$S$167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Revision'!$S$105:$S$134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A5E-48D0-9D09-0E4CBBFA8FBD}"/>
            </c:ext>
          </c:extLst>
        </c:ser>
        <c:ser>
          <c:idx val="89"/>
          <c:order val="89"/>
          <c:tx>
            <c:strRef>
              <c:f>'Campbell Revision'!$T$101</c:f>
              <c:strCache>
                <c:ptCount val="1"/>
                <c:pt idx="0">
                  <c:v>ωcr fn_18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Revision'!$T$138:$T$167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Revision'!$T$105:$T$134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A5E-48D0-9D09-0E4CBBFA8FBD}"/>
            </c:ext>
          </c:extLst>
        </c:ser>
        <c:ser>
          <c:idx val="90"/>
          <c:order val="90"/>
          <c:tx>
            <c:strRef>
              <c:f>'Campbell Revision'!$U$101</c:f>
              <c:strCache>
                <c:ptCount val="1"/>
                <c:pt idx="0">
                  <c:v>ωcr fn_19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Revision'!$U$138:$U$167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Revision'!$U$105:$U$134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A5E-48D0-9D09-0E4CBBFA8FBD}"/>
            </c:ext>
          </c:extLst>
        </c:ser>
        <c:ser>
          <c:idx val="91"/>
          <c:order val="91"/>
          <c:tx>
            <c:strRef>
              <c:f>'Campbell Revision'!$V$101</c:f>
              <c:strCache>
                <c:ptCount val="1"/>
                <c:pt idx="0">
                  <c:v>ωcr fn_20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Revision'!$V$138:$V$167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Revision'!$V$105:$V$134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A5E-48D0-9D09-0E4CBBFA8FBD}"/>
            </c:ext>
          </c:extLst>
        </c:ser>
        <c:ser>
          <c:idx val="92"/>
          <c:order val="92"/>
          <c:tx>
            <c:strRef>
              <c:f>'Campbell Revision'!$W$101</c:f>
              <c:strCache>
                <c:ptCount val="1"/>
                <c:pt idx="0">
                  <c:v>ωcr fn_21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Revision'!$W$138:$W$167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Revision'!$W$105:$W$134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A5E-48D0-9D09-0E4CBBFA8FBD}"/>
            </c:ext>
          </c:extLst>
        </c:ser>
        <c:ser>
          <c:idx val="93"/>
          <c:order val="93"/>
          <c:tx>
            <c:strRef>
              <c:f>'Campbell Revision'!$X$101</c:f>
              <c:strCache>
                <c:ptCount val="1"/>
                <c:pt idx="0">
                  <c:v>ωcr fn_22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Revision'!$X$138:$X$167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Revision'!$X$105:$X$134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A5E-48D0-9D09-0E4CBBFA8FBD}"/>
            </c:ext>
          </c:extLst>
        </c:ser>
        <c:ser>
          <c:idx val="94"/>
          <c:order val="94"/>
          <c:tx>
            <c:strRef>
              <c:f>'Campbell Revision'!$Y$101</c:f>
              <c:strCache>
                <c:ptCount val="1"/>
                <c:pt idx="0">
                  <c:v>ωcr fn_23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Revision'!$Y$138:$Y$167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Revision'!$Y$105:$Y$134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A5E-48D0-9D09-0E4CBBFA8FBD}"/>
            </c:ext>
          </c:extLst>
        </c:ser>
        <c:ser>
          <c:idx val="95"/>
          <c:order val="95"/>
          <c:tx>
            <c:strRef>
              <c:f>'Campbell Revision'!$Z$101</c:f>
              <c:strCache>
                <c:ptCount val="1"/>
                <c:pt idx="0">
                  <c:v>ωcr fn_24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Revision'!$Z$138:$Z$167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Revision'!$Z$105:$Z$134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A5E-48D0-9D09-0E4CBBFA8FBD}"/>
            </c:ext>
          </c:extLst>
        </c:ser>
        <c:ser>
          <c:idx val="96"/>
          <c:order val="96"/>
          <c:tx>
            <c:strRef>
              <c:f>'Campbell Revision'!$AA$101</c:f>
              <c:strCache>
                <c:ptCount val="1"/>
                <c:pt idx="0">
                  <c:v>ωcr fn_25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Revision'!$AA$138:$AA$167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Revision'!$AA$105:$AA$134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A5E-48D0-9D09-0E4CBBFA8FBD}"/>
            </c:ext>
          </c:extLst>
        </c:ser>
        <c:ser>
          <c:idx val="97"/>
          <c:order val="97"/>
          <c:tx>
            <c:strRef>
              <c:f>'Campbell Revision'!$AB$101</c:f>
              <c:strCache>
                <c:ptCount val="1"/>
                <c:pt idx="0">
                  <c:v>ωcr fn_26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Revision'!$AB$138:$AB$167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Revision'!$AB$105:$AB$134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A5E-48D0-9D09-0E4CBBFA8FBD}"/>
            </c:ext>
          </c:extLst>
        </c:ser>
        <c:ser>
          <c:idx val="98"/>
          <c:order val="98"/>
          <c:tx>
            <c:strRef>
              <c:f>'Campbell Revision'!$AC$101</c:f>
              <c:strCache>
                <c:ptCount val="1"/>
                <c:pt idx="0">
                  <c:v>ωcr fn_27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Revision'!$AC$138:$AC$167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Revision'!$AC$105:$AC$134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A5E-48D0-9D09-0E4CBBFA8FBD}"/>
            </c:ext>
          </c:extLst>
        </c:ser>
        <c:ser>
          <c:idx val="99"/>
          <c:order val="99"/>
          <c:tx>
            <c:strRef>
              <c:f>'Campbell Revision'!$AD$101</c:f>
              <c:strCache>
                <c:ptCount val="1"/>
                <c:pt idx="0">
                  <c:v>ωcr fn_28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Revision'!$AD$138:$AD$167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Revision'!$AD$105:$AD$134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A5E-48D0-9D09-0E4CBBFA8FBD}"/>
            </c:ext>
          </c:extLst>
        </c:ser>
        <c:ser>
          <c:idx val="100"/>
          <c:order val="100"/>
          <c:tx>
            <c:strRef>
              <c:f>'Campbell Revision'!$AE$101</c:f>
              <c:strCache>
                <c:ptCount val="1"/>
                <c:pt idx="0">
                  <c:v>ωcr fn_29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Revision'!$AE$138:$AE$167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Revision'!$AE$105:$AE$134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A5E-48D0-9D09-0E4CBBFA8FBD}"/>
            </c:ext>
          </c:extLst>
        </c:ser>
        <c:ser>
          <c:idx val="101"/>
          <c:order val="101"/>
          <c:tx>
            <c:strRef>
              <c:f>'Campbell Revision'!$AF$101</c:f>
              <c:strCache>
                <c:ptCount val="1"/>
                <c:pt idx="0">
                  <c:v>ωcr fn_30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Revision'!$AF$138:$AF$167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Revision'!$AF$105:$AF$134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A5E-48D0-9D09-0E4CBBFA8F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110959"/>
        <c:axId val="1351277743"/>
      </c:scatterChart>
      <c:valAx>
        <c:axId val="1837110959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n</a:t>
                </a:r>
                <a:r>
                  <a:rPr lang="en-US" sz="1000" b="1" i="0" u="none" strike="noStrike" kern="1200" baseline="-25000">
                    <a:solidFill>
                      <a:sysClr val="windowText" lastClr="000000"/>
                    </a:solidFill>
                  </a:rPr>
                  <a:t>run</a:t>
                </a: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1277743"/>
        <c:crosses val="autoZero"/>
        <c:crossBetween val="midCat"/>
      </c:valAx>
      <c:valAx>
        <c:axId val="1351277743"/>
        <c:scaling>
          <c:orientation val="minMax"/>
          <c:max val="4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f</a:t>
                </a:r>
                <a:r>
                  <a:rPr lang="en-US" sz="1000" b="1" i="0" u="none" strike="noStrike" kern="1200" baseline="-25000">
                    <a:solidFill>
                      <a:sysClr val="windowText" lastClr="000000"/>
                    </a:solidFill>
                  </a:rPr>
                  <a:t>n</a:t>
                </a: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37110959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Campbell!$I$3</c:f>
              <c:strCache>
                <c:ptCount val="1"/>
                <c:pt idx="0">
                  <c:v>-10% * nmin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Campbell!$J$3:$K$3</c:f>
              <c:numCache>
                <c:formatCode>General</c:formatCode>
                <c:ptCount val="2"/>
                <c:pt idx="0">
                  <c:v>1336.5</c:v>
                </c:pt>
                <c:pt idx="1">
                  <c:v>1336.5</c:v>
                </c:pt>
              </c:numCache>
            </c:numRef>
          </c:xVal>
          <c:yVal>
            <c:numRef>
              <c:f>Campbell!$J$16:$K$16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02-449C-832D-CE21BAA5A128}"/>
            </c:ext>
          </c:extLst>
        </c:ser>
        <c:ser>
          <c:idx val="1"/>
          <c:order val="1"/>
          <c:tx>
            <c:strRef>
              <c:f>Campbell!$I$4</c:f>
              <c:strCache>
                <c:ptCount val="1"/>
                <c:pt idx="0">
                  <c:v>nmin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Campbell!$J$4:$K$4</c:f>
              <c:numCache>
                <c:formatCode>General</c:formatCode>
                <c:ptCount val="2"/>
                <c:pt idx="0">
                  <c:v>1485</c:v>
                </c:pt>
                <c:pt idx="1">
                  <c:v>1485</c:v>
                </c:pt>
              </c:numCache>
            </c:numRef>
          </c:xVal>
          <c:yVal>
            <c:numRef>
              <c:f>Campbell!$J$16:$K$16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02-449C-832D-CE21BAA5A128}"/>
            </c:ext>
          </c:extLst>
        </c:ser>
        <c:ser>
          <c:idx val="2"/>
          <c:order val="2"/>
          <c:tx>
            <c:strRef>
              <c:f>Campbell!$I$5</c:f>
              <c:strCache>
                <c:ptCount val="1"/>
                <c:pt idx="0">
                  <c:v>+10% * nmin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Campbell!$J$5:$K$5</c:f>
              <c:numCache>
                <c:formatCode>General</c:formatCode>
                <c:ptCount val="2"/>
                <c:pt idx="0">
                  <c:v>1633.5000000000002</c:v>
                </c:pt>
                <c:pt idx="1">
                  <c:v>1633.5000000000002</c:v>
                </c:pt>
              </c:numCache>
            </c:numRef>
          </c:xVal>
          <c:yVal>
            <c:numRef>
              <c:f>Campbell!$J$16:$K$16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02-449C-832D-CE21BAA5A128}"/>
            </c:ext>
          </c:extLst>
        </c:ser>
        <c:ser>
          <c:idx val="3"/>
          <c:order val="3"/>
          <c:tx>
            <c:strRef>
              <c:f>Campbell!$I$6</c:f>
              <c:strCache>
                <c:ptCount val="1"/>
                <c:pt idx="0">
                  <c:v>-10% * nmax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Campbell!$J$6:$K$6</c:f>
              <c:numCache>
                <c:formatCode>General</c:formatCode>
                <c:ptCount val="2"/>
                <c:pt idx="0">
                  <c:v>1336.5</c:v>
                </c:pt>
                <c:pt idx="1">
                  <c:v>1336.5</c:v>
                </c:pt>
              </c:numCache>
            </c:numRef>
          </c:xVal>
          <c:yVal>
            <c:numRef>
              <c:f>Campbell!$J$16:$K$16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02-449C-832D-CE21BAA5A128}"/>
            </c:ext>
          </c:extLst>
        </c:ser>
        <c:ser>
          <c:idx val="4"/>
          <c:order val="4"/>
          <c:tx>
            <c:strRef>
              <c:f>Campbell!$I$7</c:f>
              <c:strCache>
                <c:ptCount val="1"/>
                <c:pt idx="0">
                  <c:v>nmax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Campbell!$J$7:$K$7</c:f>
              <c:numCache>
                <c:formatCode>General</c:formatCode>
                <c:ptCount val="2"/>
                <c:pt idx="0">
                  <c:v>1485</c:v>
                </c:pt>
                <c:pt idx="1">
                  <c:v>1485</c:v>
                </c:pt>
              </c:numCache>
            </c:numRef>
          </c:xVal>
          <c:yVal>
            <c:numRef>
              <c:f>Campbell!$J$16:$K$16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202-449C-832D-CE21BAA5A128}"/>
            </c:ext>
          </c:extLst>
        </c:ser>
        <c:ser>
          <c:idx val="5"/>
          <c:order val="5"/>
          <c:tx>
            <c:strRef>
              <c:f>Campbell!$I$8</c:f>
              <c:strCache>
                <c:ptCount val="1"/>
                <c:pt idx="0">
                  <c:v>+10% * nmax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Campbell!$J$8:$K$8</c:f>
              <c:numCache>
                <c:formatCode>General</c:formatCode>
                <c:ptCount val="2"/>
                <c:pt idx="0">
                  <c:v>1633.5000000000002</c:v>
                </c:pt>
                <c:pt idx="1">
                  <c:v>1633.5000000000002</c:v>
                </c:pt>
              </c:numCache>
            </c:numRef>
          </c:xVal>
          <c:yVal>
            <c:numRef>
              <c:f>Campbell!$J$16:$K$16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202-449C-832D-CE21BAA5A128}"/>
            </c:ext>
          </c:extLst>
        </c:ser>
        <c:ser>
          <c:idx val="6"/>
          <c:order val="6"/>
          <c:tx>
            <c:strRef>
              <c:f>Campbell!$I$19</c:f>
              <c:strCache>
                <c:ptCount val="1"/>
                <c:pt idx="0">
                  <c:v>fn_1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7202-449C-832D-CE21BAA5A128}"/>
              </c:ext>
            </c:extLst>
          </c:dPt>
          <c:dLbls>
            <c:dLbl>
              <c:idx val="0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solidFill>
                          <a:schemeClr val="tx1"/>
                        </a:solidFill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7202-449C-832D-CE21BAA5A12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Campbell!$J$19:$K$19</c:f>
              <c:numCache>
                <c:formatCode>General</c:formatCode>
                <c:ptCount val="2"/>
                <c:pt idx="0">
                  <c:v>3600</c:v>
                </c:pt>
                <c:pt idx="1">
                  <c:v>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202-449C-832D-CE21BAA5A128}"/>
            </c:ext>
          </c:extLst>
        </c:ser>
        <c:ser>
          <c:idx val="7"/>
          <c:order val="7"/>
          <c:tx>
            <c:strRef>
              <c:f>Campbell!$I$20</c:f>
              <c:strCache>
                <c:ptCount val="1"/>
                <c:pt idx="0">
                  <c:v>fn_2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Campbell!$J$20:$K$20</c:f>
              <c:numCache>
                <c:formatCode>General</c:formatCode>
                <c:ptCount val="2"/>
                <c:pt idx="0">
                  <c:v>5000</c:v>
                </c:pt>
                <c:pt idx="1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202-449C-832D-CE21BAA5A128}"/>
            </c:ext>
          </c:extLst>
        </c:ser>
        <c:ser>
          <c:idx val="8"/>
          <c:order val="8"/>
          <c:tx>
            <c:strRef>
              <c:f>Campbell!$I$21</c:f>
              <c:strCache>
                <c:ptCount val="1"/>
                <c:pt idx="0">
                  <c:v>fn_3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Campbell!$J$21:$K$21</c:f>
              <c:numCache>
                <c:formatCode>General</c:formatCode>
                <c:ptCount val="2"/>
                <c:pt idx="0">
                  <c:v>8500</c:v>
                </c:pt>
                <c:pt idx="1">
                  <c:v>8500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202-449C-832D-CE21BAA5A128}"/>
            </c:ext>
          </c:extLst>
        </c:ser>
        <c:ser>
          <c:idx val="9"/>
          <c:order val="9"/>
          <c:tx>
            <c:strRef>
              <c:f>Campbell!$I$22</c:f>
              <c:strCache>
                <c:ptCount val="1"/>
                <c:pt idx="0">
                  <c:v>fn_4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Campbell!$J$22:$K$22</c:f>
              <c:numCache>
                <c:formatCode>General</c:formatCode>
                <c:ptCount val="2"/>
                <c:pt idx="0">
                  <c:v>10500</c:v>
                </c:pt>
                <c:pt idx="1">
                  <c:v>10500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202-449C-832D-CE21BAA5A128}"/>
            </c:ext>
          </c:extLst>
        </c:ser>
        <c:ser>
          <c:idx val="10"/>
          <c:order val="10"/>
          <c:tx>
            <c:strRef>
              <c:f>Campbell!$I$23</c:f>
              <c:strCache>
                <c:ptCount val="1"/>
                <c:pt idx="0">
                  <c:v>fn_5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Campbell!$J$23:$K$23</c:f>
              <c:numCache>
                <c:formatCode>General</c:formatCode>
                <c:ptCount val="2"/>
                <c:pt idx="0">
                  <c:v>12500</c:v>
                </c:pt>
                <c:pt idx="1">
                  <c:v>12500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202-449C-832D-CE21BAA5A128}"/>
            </c:ext>
          </c:extLst>
        </c:ser>
        <c:ser>
          <c:idx val="11"/>
          <c:order val="11"/>
          <c:tx>
            <c:strRef>
              <c:f>Campbell!$I$24</c:f>
              <c:strCache>
                <c:ptCount val="1"/>
                <c:pt idx="0">
                  <c:v>fn_6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Campbell!$J$24:$K$24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202-449C-832D-CE21BAA5A128}"/>
            </c:ext>
          </c:extLst>
        </c:ser>
        <c:ser>
          <c:idx val="12"/>
          <c:order val="12"/>
          <c:tx>
            <c:strRef>
              <c:f>Campbell!$I$25</c:f>
              <c:strCache>
                <c:ptCount val="1"/>
                <c:pt idx="0">
                  <c:v>fn_7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Campbell!$J$25:$K$25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202-449C-832D-CE21BAA5A128}"/>
            </c:ext>
          </c:extLst>
        </c:ser>
        <c:ser>
          <c:idx val="13"/>
          <c:order val="13"/>
          <c:tx>
            <c:strRef>
              <c:f>Campbell!$I$26</c:f>
              <c:strCache>
                <c:ptCount val="1"/>
                <c:pt idx="0">
                  <c:v>fn_8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Campbell!$J$26:$K$26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202-449C-832D-CE21BAA5A128}"/>
            </c:ext>
          </c:extLst>
        </c:ser>
        <c:ser>
          <c:idx val="14"/>
          <c:order val="14"/>
          <c:tx>
            <c:strRef>
              <c:f>Campbell!$I$27</c:f>
              <c:strCache>
                <c:ptCount val="1"/>
                <c:pt idx="0">
                  <c:v>fn_9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Campbell!$J$27:$K$27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7202-449C-832D-CE21BAA5A128}"/>
            </c:ext>
          </c:extLst>
        </c:ser>
        <c:ser>
          <c:idx val="15"/>
          <c:order val="15"/>
          <c:tx>
            <c:strRef>
              <c:f>Campbell!$I$28</c:f>
              <c:strCache>
                <c:ptCount val="1"/>
                <c:pt idx="0">
                  <c:v>fn_10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Campbell!$J$28:$K$28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7202-449C-832D-CE21BAA5A128}"/>
            </c:ext>
          </c:extLst>
        </c:ser>
        <c:ser>
          <c:idx val="16"/>
          <c:order val="16"/>
          <c:tx>
            <c:strRef>
              <c:f>Campbell!$M$19</c:f>
              <c:strCache>
                <c:ptCount val="1"/>
                <c:pt idx="0">
                  <c:v>1X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Campbell!$O$19:$P$19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7202-449C-832D-CE21BAA5A128}"/>
            </c:ext>
          </c:extLst>
        </c:ser>
        <c:ser>
          <c:idx val="17"/>
          <c:order val="17"/>
          <c:tx>
            <c:strRef>
              <c:f>Campbell!$M$20</c:f>
              <c:strCache>
                <c:ptCount val="1"/>
                <c:pt idx="0">
                  <c:v>2X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Campbell!$O$20:$P$20</c:f>
              <c:numCache>
                <c:formatCode>General</c:formatCode>
                <c:ptCount val="2"/>
                <c:pt idx="0">
                  <c:v>0</c:v>
                </c:pt>
                <c:pt idx="1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7202-449C-832D-CE21BAA5A128}"/>
            </c:ext>
          </c:extLst>
        </c:ser>
        <c:ser>
          <c:idx val="18"/>
          <c:order val="18"/>
          <c:tx>
            <c:strRef>
              <c:f>Campbell!$M$21</c:f>
              <c:strCache>
                <c:ptCount val="1"/>
                <c:pt idx="0">
                  <c:v>5X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Campbell!$O$21:$P$21</c:f>
              <c:numCache>
                <c:formatCode>General</c:formatCode>
                <c:ptCount val="2"/>
                <c:pt idx="0">
                  <c:v>0</c:v>
                </c:pt>
                <c:pt idx="1">
                  <c:v>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7202-449C-832D-CE21BAA5A128}"/>
            </c:ext>
          </c:extLst>
        </c:ser>
        <c:ser>
          <c:idx val="19"/>
          <c:order val="19"/>
          <c:tx>
            <c:strRef>
              <c:f>Campbell!$M$22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Campbell!$O$22:$P$22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7202-449C-832D-CE21BAA5A128}"/>
            </c:ext>
          </c:extLst>
        </c:ser>
        <c:ser>
          <c:idx val="20"/>
          <c:order val="20"/>
          <c:tx>
            <c:strRef>
              <c:f>Campbell!$M$23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Campbell!$O$23:$P$23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7202-449C-832D-CE21BAA5A128}"/>
            </c:ext>
          </c:extLst>
        </c:ser>
        <c:ser>
          <c:idx val="21"/>
          <c:order val="21"/>
          <c:tx>
            <c:strRef>
              <c:f>Campbell!$M$24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Campbell!$O$24:$P$24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7202-449C-832D-CE21BAA5A128}"/>
            </c:ext>
          </c:extLst>
        </c:ser>
        <c:ser>
          <c:idx val="22"/>
          <c:order val="22"/>
          <c:tx>
            <c:strRef>
              <c:f>Campbell!$M$25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Campbell!$O$25:$P$25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7202-449C-832D-CE21BAA5A128}"/>
            </c:ext>
          </c:extLst>
        </c:ser>
        <c:ser>
          <c:idx val="23"/>
          <c:order val="23"/>
          <c:tx>
            <c:strRef>
              <c:f>Campbell!$M$26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Campbell!$O$26:$P$26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7202-449C-832D-CE21BAA5A128}"/>
            </c:ext>
          </c:extLst>
        </c:ser>
        <c:ser>
          <c:idx val="24"/>
          <c:order val="24"/>
          <c:tx>
            <c:strRef>
              <c:f>Campbell!$M$27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Campbell!$O$27:$P$27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7202-449C-832D-CE21BAA5A128}"/>
            </c:ext>
          </c:extLst>
        </c:ser>
        <c:ser>
          <c:idx val="25"/>
          <c:order val="25"/>
          <c:tx>
            <c:strRef>
              <c:f>Campbell!$M$28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Campbell!$O$28:$P$28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7202-449C-832D-CE21BAA5A128}"/>
            </c:ext>
          </c:extLst>
        </c:ser>
        <c:ser>
          <c:idx val="26"/>
          <c:order val="26"/>
          <c:tx>
            <c:strRef>
              <c:f>Campbell!$M$11</c:f>
              <c:strCache>
                <c:ptCount val="1"/>
                <c:pt idx="0">
                  <c:v>-10% *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Campbell!$N$11:$O$11</c:f>
              <c:numCache>
                <c:formatCode>0</c:formatCode>
                <c:ptCount val="2"/>
                <c:pt idx="0">
                  <c:v>2295</c:v>
                </c:pt>
                <c:pt idx="1">
                  <c:v>2295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7202-449C-832D-CE21BAA5A128}"/>
            </c:ext>
          </c:extLst>
        </c:ser>
        <c:ser>
          <c:idx val="27"/>
          <c:order val="27"/>
          <c:tx>
            <c:strRef>
              <c:f>Campbell!$M$12</c:f>
              <c:strCache>
                <c:ptCount val="1"/>
                <c:pt idx="0">
                  <c:v>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Campbell!$N$12:$O$12</c:f>
              <c:numCache>
                <c:formatCode>0</c:formatCode>
                <c:ptCount val="2"/>
                <c:pt idx="0">
                  <c:v>2550</c:v>
                </c:pt>
                <c:pt idx="1">
                  <c:v>2550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7202-449C-832D-CE21BAA5A128}"/>
            </c:ext>
          </c:extLst>
        </c:ser>
        <c:ser>
          <c:idx val="28"/>
          <c:order val="28"/>
          <c:tx>
            <c:strRef>
              <c:f>Campbell!$M$13</c:f>
              <c:strCache>
                <c:ptCount val="1"/>
                <c:pt idx="0">
                  <c:v>+10% *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Campbell!$N$13:$O$13</c:f>
              <c:numCache>
                <c:formatCode>0</c:formatCode>
                <c:ptCount val="2"/>
                <c:pt idx="0">
                  <c:v>2805</c:v>
                </c:pt>
                <c:pt idx="1">
                  <c:v>2805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7202-449C-832D-CE21BAA5A128}"/>
            </c:ext>
          </c:extLst>
        </c:ser>
        <c:ser>
          <c:idx val="29"/>
          <c:order val="29"/>
          <c:tx>
            <c:strRef>
              <c:f>Campbell!$M$14</c:f>
              <c:strCache>
                <c:ptCount val="1"/>
                <c:pt idx="0">
                  <c:v>-10% * 2X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Campbell!$N$14:$O$14</c:f>
              <c:numCache>
                <c:formatCode>0</c:formatCode>
                <c:ptCount val="2"/>
                <c:pt idx="0">
                  <c:v>5400</c:v>
                </c:pt>
                <c:pt idx="1">
                  <c:v>5400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7202-449C-832D-CE21BAA5A128}"/>
            </c:ext>
          </c:extLst>
        </c:ser>
        <c:ser>
          <c:idx val="30"/>
          <c:order val="30"/>
          <c:tx>
            <c:strRef>
              <c:f>Campbell!$M$15</c:f>
              <c:strCache>
                <c:ptCount val="1"/>
                <c:pt idx="0">
                  <c:v>2X f_line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Campbell!$N$15:$O$15</c:f>
              <c:numCache>
                <c:formatCode>0</c:formatCode>
                <c:ptCount val="2"/>
                <c:pt idx="0">
                  <c:v>6000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7202-449C-832D-CE21BAA5A128}"/>
            </c:ext>
          </c:extLst>
        </c:ser>
        <c:ser>
          <c:idx val="31"/>
          <c:order val="31"/>
          <c:tx>
            <c:strRef>
              <c:f>Campbell!$M$16</c:f>
              <c:strCache>
                <c:ptCount val="1"/>
                <c:pt idx="0">
                  <c:v>+10% * 2X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Campbell!$N$16:$O$16</c:f>
              <c:numCache>
                <c:formatCode>0</c:formatCode>
                <c:ptCount val="2"/>
                <c:pt idx="0">
                  <c:v>6600.0000000000009</c:v>
                </c:pt>
                <c:pt idx="1">
                  <c:v>6600.0000000000009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7202-449C-832D-CE21BAA5A128}"/>
            </c:ext>
          </c:extLst>
        </c:ser>
        <c:ser>
          <c:idx val="32"/>
          <c:order val="32"/>
          <c:tx>
            <c:strRef>
              <c:f>Campbell!$C$101</c:f>
              <c:strCache>
                <c:ptCount val="1"/>
                <c:pt idx="0">
                  <c:v>ωcr fn_1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Campbell!$C$138:$C$167</c:f>
              <c:numCache>
                <c:formatCode>General</c:formatCode>
                <c:ptCount val="30"/>
                <c:pt idx="0">
                  <c:v>3600</c:v>
                </c:pt>
                <c:pt idx="1">
                  <c:v>1800</c:v>
                </c:pt>
                <c:pt idx="2">
                  <c:v>720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Campbell!$C$105:$C$134</c:f>
              <c:numCache>
                <c:formatCode>General</c:formatCode>
                <c:ptCount val="30"/>
                <c:pt idx="0">
                  <c:v>3600</c:v>
                </c:pt>
                <c:pt idx="1">
                  <c:v>3600</c:v>
                </c:pt>
                <c:pt idx="2">
                  <c:v>3600</c:v>
                </c:pt>
                <c:pt idx="3">
                  <c:v>3600</c:v>
                </c:pt>
                <c:pt idx="4">
                  <c:v>3600</c:v>
                </c:pt>
                <c:pt idx="5">
                  <c:v>3600</c:v>
                </c:pt>
                <c:pt idx="6">
                  <c:v>3600</c:v>
                </c:pt>
                <c:pt idx="7">
                  <c:v>3600</c:v>
                </c:pt>
                <c:pt idx="8">
                  <c:v>3600</c:v>
                </c:pt>
                <c:pt idx="9">
                  <c:v>3600</c:v>
                </c:pt>
                <c:pt idx="10">
                  <c:v>3600</c:v>
                </c:pt>
                <c:pt idx="11">
                  <c:v>3600</c:v>
                </c:pt>
                <c:pt idx="12">
                  <c:v>3600</c:v>
                </c:pt>
                <c:pt idx="13">
                  <c:v>3600</c:v>
                </c:pt>
                <c:pt idx="14">
                  <c:v>3600</c:v>
                </c:pt>
                <c:pt idx="15">
                  <c:v>3600</c:v>
                </c:pt>
                <c:pt idx="16">
                  <c:v>3600</c:v>
                </c:pt>
                <c:pt idx="17">
                  <c:v>3600</c:v>
                </c:pt>
                <c:pt idx="18">
                  <c:v>3600</c:v>
                </c:pt>
                <c:pt idx="19">
                  <c:v>3600</c:v>
                </c:pt>
                <c:pt idx="20">
                  <c:v>3600</c:v>
                </c:pt>
                <c:pt idx="21">
                  <c:v>3600</c:v>
                </c:pt>
                <c:pt idx="22">
                  <c:v>3600</c:v>
                </c:pt>
                <c:pt idx="23">
                  <c:v>3600</c:v>
                </c:pt>
                <c:pt idx="24">
                  <c:v>3600</c:v>
                </c:pt>
                <c:pt idx="25">
                  <c:v>3600</c:v>
                </c:pt>
                <c:pt idx="26">
                  <c:v>3600</c:v>
                </c:pt>
                <c:pt idx="27">
                  <c:v>3600</c:v>
                </c:pt>
                <c:pt idx="28">
                  <c:v>3600</c:v>
                </c:pt>
                <c:pt idx="29">
                  <c:v>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7202-449C-832D-CE21BAA5A128}"/>
            </c:ext>
          </c:extLst>
        </c:ser>
        <c:ser>
          <c:idx val="33"/>
          <c:order val="33"/>
          <c:tx>
            <c:strRef>
              <c:f>Campbell!$D$101</c:f>
              <c:strCache>
                <c:ptCount val="1"/>
                <c:pt idx="0">
                  <c:v>ωcr fn_2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Campbell!$D$138:$D$167</c:f>
              <c:numCache>
                <c:formatCode>General</c:formatCode>
                <c:ptCount val="30"/>
                <c:pt idx="0">
                  <c:v>5000</c:v>
                </c:pt>
                <c:pt idx="1">
                  <c:v>2500</c:v>
                </c:pt>
                <c:pt idx="2">
                  <c:v>1000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Campbell!$D$105:$D$134</c:f>
              <c:numCache>
                <c:formatCode>General</c:formatCode>
                <c:ptCount val="30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7202-449C-832D-CE21BAA5A128}"/>
            </c:ext>
          </c:extLst>
        </c:ser>
        <c:ser>
          <c:idx val="34"/>
          <c:order val="34"/>
          <c:tx>
            <c:strRef>
              <c:f>Campbell!$E$101</c:f>
              <c:strCache>
                <c:ptCount val="1"/>
                <c:pt idx="0">
                  <c:v>ωcr fn_3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Campbell!$E$138:$E$167</c:f>
              <c:numCache>
                <c:formatCode>General</c:formatCode>
                <c:ptCount val="30"/>
                <c:pt idx="0">
                  <c:v>#N/A</c:v>
                </c:pt>
                <c:pt idx="1">
                  <c:v>4250</c:v>
                </c:pt>
                <c:pt idx="2">
                  <c:v>1700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Campbell!$E$105:$E$134</c:f>
              <c:numCache>
                <c:formatCode>General</c:formatCode>
                <c:ptCount val="30"/>
                <c:pt idx="0">
                  <c:v>8500</c:v>
                </c:pt>
                <c:pt idx="1">
                  <c:v>8500</c:v>
                </c:pt>
                <c:pt idx="2">
                  <c:v>8500</c:v>
                </c:pt>
                <c:pt idx="3">
                  <c:v>8500</c:v>
                </c:pt>
                <c:pt idx="4">
                  <c:v>8500</c:v>
                </c:pt>
                <c:pt idx="5">
                  <c:v>8500</c:v>
                </c:pt>
                <c:pt idx="6">
                  <c:v>8500</c:v>
                </c:pt>
                <c:pt idx="7">
                  <c:v>8500</c:v>
                </c:pt>
                <c:pt idx="8">
                  <c:v>8500</c:v>
                </c:pt>
                <c:pt idx="9">
                  <c:v>8500</c:v>
                </c:pt>
                <c:pt idx="10">
                  <c:v>8500</c:v>
                </c:pt>
                <c:pt idx="11">
                  <c:v>8500</c:v>
                </c:pt>
                <c:pt idx="12">
                  <c:v>8500</c:v>
                </c:pt>
                <c:pt idx="13">
                  <c:v>8500</c:v>
                </c:pt>
                <c:pt idx="14">
                  <c:v>8500</c:v>
                </c:pt>
                <c:pt idx="15">
                  <c:v>8500</c:v>
                </c:pt>
                <c:pt idx="16">
                  <c:v>8500</c:v>
                </c:pt>
                <c:pt idx="17">
                  <c:v>8500</c:v>
                </c:pt>
                <c:pt idx="18">
                  <c:v>8500</c:v>
                </c:pt>
                <c:pt idx="19">
                  <c:v>8500</c:v>
                </c:pt>
                <c:pt idx="20">
                  <c:v>8500</c:v>
                </c:pt>
                <c:pt idx="21">
                  <c:v>8500</c:v>
                </c:pt>
                <c:pt idx="22">
                  <c:v>8500</c:v>
                </c:pt>
                <c:pt idx="23">
                  <c:v>8500</c:v>
                </c:pt>
                <c:pt idx="24">
                  <c:v>8500</c:v>
                </c:pt>
                <c:pt idx="25">
                  <c:v>8500</c:v>
                </c:pt>
                <c:pt idx="26">
                  <c:v>8500</c:v>
                </c:pt>
                <c:pt idx="27">
                  <c:v>8500</c:v>
                </c:pt>
                <c:pt idx="28">
                  <c:v>8500</c:v>
                </c:pt>
                <c:pt idx="29">
                  <c:v>8500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7202-449C-832D-CE21BAA5A128}"/>
            </c:ext>
          </c:extLst>
        </c:ser>
        <c:ser>
          <c:idx val="35"/>
          <c:order val="35"/>
          <c:tx>
            <c:strRef>
              <c:f>Campbell!$F$101</c:f>
              <c:strCache>
                <c:ptCount val="1"/>
                <c:pt idx="0">
                  <c:v>ωcr fn_4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Campbell!$F$138:$F$167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2100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Campbell!$F$105:$F$134</c:f>
              <c:numCache>
                <c:formatCode>General</c:formatCode>
                <c:ptCount val="30"/>
                <c:pt idx="0">
                  <c:v>10500</c:v>
                </c:pt>
                <c:pt idx="1">
                  <c:v>10500</c:v>
                </c:pt>
                <c:pt idx="2">
                  <c:v>10500</c:v>
                </c:pt>
                <c:pt idx="3">
                  <c:v>10500</c:v>
                </c:pt>
                <c:pt idx="4">
                  <c:v>10500</c:v>
                </c:pt>
                <c:pt idx="5">
                  <c:v>10500</c:v>
                </c:pt>
                <c:pt idx="6">
                  <c:v>10500</c:v>
                </c:pt>
                <c:pt idx="7">
                  <c:v>10500</c:v>
                </c:pt>
                <c:pt idx="8">
                  <c:v>10500</c:v>
                </c:pt>
                <c:pt idx="9">
                  <c:v>10500</c:v>
                </c:pt>
                <c:pt idx="10">
                  <c:v>10500</c:v>
                </c:pt>
                <c:pt idx="11">
                  <c:v>10500</c:v>
                </c:pt>
                <c:pt idx="12">
                  <c:v>10500</c:v>
                </c:pt>
                <c:pt idx="13">
                  <c:v>10500</c:v>
                </c:pt>
                <c:pt idx="14">
                  <c:v>10500</c:v>
                </c:pt>
                <c:pt idx="15">
                  <c:v>10500</c:v>
                </c:pt>
                <c:pt idx="16">
                  <c:v>10500</c:v>
                </c:pt>
                <c:pt idx="17">
                  <c:v>10500</c:v>
                </c:pt>
                <c:pt idx="18">
                  <c:v>10500</c:v>
                </c:pt>
                <c:pt idx="19">
                  <c:v>10500</c:v>
                </c:pt>
                <c:pt idx="20">
                  <c:v>10500</c:v>
                </c:pt>
                <c:pt idx="21">
                  <c:v>10500</c:v>
                </c:pt>
                <c:pt idx="22">
                  <c:v>10500</c:v>
                </c:pt>
                <c:pt idx="23">
                  <c:v>10500</c:v>
                </c:pt>
                <c:pt idx="24">
                  <c:v>10500</c:v>
                </c:pt>
                <c:pt idx="25">
                  <c:v>10500</c:v>
                </c:pt>
                <c:pt idx="26">
                  <c:v>10500</c:v>
                </c:pt>
                <c:pt idx="27">
                  <c:v>10500</c:v>
                </c:pt>
                <c:pt idx="28">
                  <c:v>10500</c:v>
                </c:pt>
                <c:pt idx="29">
                  <c:v>10500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7202-449C-832D-CE21BAA5A128}"/>
            </c:ext>
          </c:extLst>
        </c:ser>
        <c:ser>
          <c:idx val="37"/>
          <c:order val="36"/>
          <c:tx>
            <c:strRef>
              <c:f>Campbell!$G$101</c:f>
              <c:strCache>
                <c:ptCount val="1"/>
                <c:pt idx="0">
                  <c:v>ωcr fn_5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Campbell!$G$138:$G$167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2500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Campbell!$G$105:$G$134</c:f>
              <c:numCache>
                <c:formatCode>General</c:formatCode>
                <c:ptCount val="30"/>
                <c:pt idx="0">
                  <c:v>12500</c:v>
                </c:pt>
                <c:pt idx="1">
                  <c:v>12500</c:v>
                </c:pt>
                <c:pt idx="2">
                  <c:v>12500</c:v>
                </c:pt>
                <c:pt idx="3">
                  <c:v>12500</c:v>
                </c:pt>
                <c:pt idx="4">
                  <c:v>12500</c:v>
                </c:pt>
                <c:pt idx="5">
                  <c:v>12500</c:v>
                </c:pt>
                <c:pt idx="6">
                  <c:v>12500</c:v>
                </c:pt>
                <c:pt idx="7">
                  <c:v>12500</c:v>
                </c:pt>
                <c:pt idx="8">
                  <c:v>12500</c:v>
                </c:pt>
                <c:pt idx="9">
                  <c:v>12500</c:v>
                </c:pt>
                <c:pt idx="10">
                  <c:v>12500</c:v>
                </c:pt>
                <c:pt idx="11">
                  <c:v>12500</c:v>
                </c:pt>
                <c:pt idx="12">
                  <c:v>12500</c:v>
                </c:pt>
                <c:pt idx="13">
                  <c:v>12500</c:v>
                </c:pt>
                <c:pt idx="14">
                  <c:v>12500</c:v>
                </c:pt>
                <c:pt idx="15">
                  <c:v>12500</c:v>
                </c:pt>
                <c:pt idx="16">
                  <c:v>12500</c:v>
                </c:pt>
                <c:pt idx="17">
                  <c:v>12500</c:v>
                </c:pt>
                <c:pt idx="18">
                  <c:v>12500</c:v>
                </c:pt>
                <c:pt idx="19">
                  <c:v>12500</c:v>
                </c:pt>
                <c:pt idx="20">
                  <c:v>12500</c:v>
                </c:pt>
                <c:pt idx="21">
                  <c:v>12500</c:v>
                </c:pt>
                <c:pt idx="22">
                  <c:v>12500</c:v>
                </c:pt>
                <c:pt idx="23">
                  <c:v>12500</c:v>
                </c:pt>
                <c:pt idx="24">
                  <c:v>12500</c:v>
                </c:pt>
                <c:pt idx="25">
                  <c:v>12500</c:v>
                </c:pt>
                <c:pt idx="26">
                  <c:v>12500</c:v>
                </c:pt>
                <c:pt idx="27">
                  <c:v>12500</c:v>
                </c:pt>
                <c:pt idx="28">
                  <c:v>12500</c:v>
                </c:pt>
                <c:pt idx="29">
                  <c:v>12500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7202-449C-832D-CE21BAA5A128}"/>
            </c:ext>
          </c:extLst>
        </c:ser>
        <c:ser>
          <c:idx val="36"/>
          <c:order val="37"/>
          <c:tx>
            <c:strRef>
              <c:f>Campbell!$H$101</c:f>
              <c:strCache>
                <c:ptCount val="1"/>
                <c:pt idx="0">
                  <c:v>ωcr fn_6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Campbell!$H$138:$H$167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Campbell!$H$105:$H$134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7202-449C-832D-CE21BAA5A128}"/>
            </c:ext>
          </c:extLst>
        </c:ser>
        <c:ser>
          <c:idx val="38"/>
          <c:order val="38"/>
          <c:tx>
            <c:strRef>
              <c:f>Campbell!$I$101</c:f>
              <c:strCache>
                <c:ptCount val="1"/>
                <c:pt idx="0">
                  <c:v>ωcr fn_7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Campbell!$I$138:$I$167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Campbell!$I$105:$I$134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7202-449C-832D-CE21BAA5A128}"/>
            </c:ext>
          </c:extLst>
        </c:ser>
        <c:ser>
          <c:idx val="39"/>
          <c:order val="39"/>
          <c:tx>
            <c:strRef>
              <c:f>Campbell!$J$101</c:f>
              <c:strCache>
                <c:ptCount val="1"/>
                <c:pt idx="0">
                  <c:v>ωcr fn_8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Campbell!$J$138:$J$167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Campbell!$J$105:$J$134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7202-449C-832D-CE21BAA5A128}"/>
            </c:ext>
          </c:extLst>
        </c:ser>
        <c:ser>
          <c:idx val="40"/>
          <c:order val="40"/>
          <c:tx>
            <c:strRef>
              <c:f>Campbell!$K$101</c:f>
              <c:strCache>
                <c:ptCount val="1"/>
                <c:pt idx="0">
                  <c:v>ωcr fn_9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Campbell!$K$138:$K$167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Campbell!$K$105:$K$134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7202-449C-832D-CE21BAA5A128}"/>
            </c:ext>
          </c:extLst>
        </c:ser>
        <c:ser>
          <c:idx val="41"/>
          <c:order val="41"/>
          <c:tx>
            <c:strRef>
              <c:f>Campbell!$L$101</c:f>
              <c:strCache>
                <c:ptCount val="1"/>
                <c:pt idx="0">
                  <c:v>ωcr fn_10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Campbell!$L$138:$L$167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Campbell!$L$105:$L$134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7202-449C-832D-CE21BAA5A128}"/>
            </c:ext>
          </c:extLst>
        </c:ser>
        <c:ser>
          <c:idx val="42"/>
          <c:order val="42"/>
          <c:tx>
            <c:strRef>
              <c:f>Campbell!$M$29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Campbell!$O$29:$P$29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7202-449C-832D-CE21BAA5A128}"/>
            </c:ext>
          </c:extLst>
        </c:ser>
        <c:ser>
          <c:idx val="43"/>
          <c:order val="43"/>
          <c:tx>
            <c:strRef>
              <c:f>Campbell!$M$30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Campbell!$O$30:$P$30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7202-449C-832D-CE21BAA5A128}"/>
            </c:ext>
          </c:extLst>
        </c:ser>
        <c:ser>
          <c:idx val="44"/>
          <c:order val="44"/>
          <c:tx>
            <c:strRef>
              <c:f>Campbell!$M$31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Campbell!$O$31:$P$31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7202-449C-832D-CE21BAA5A128}"/>
            </c:ext>
          </c:extLst>
        </c:ser>
        <c:ser>
          <c:idx val="45"/>
          <c:order val="45"/>
          <c:tx>
            <c:strRef>
              <c:f>Campbell!$M$32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Campbell!$O$32:$P$32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7202-449C-832D-CE21BAA5A128}"/>
            </c:ext>
          </c:extLst>
        </c:ser>
        <c:ser>
          <c:idx val="46"/>
          <c:order val="46"/>
          <c:tx>
            <c:strRef>
              <c:f>Campbell!$M$33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Campbell!$O$33:$P$33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7202-449C-832D-CE21BAA5A128}"/>
            </c:ext>
          </c:extLst>
        </c:ser>
        <c:ser>
          <c:idx val="47"/>
          <c:order val="47"/>
          <c:tx>
            <c:strRef>
              <c:f>Campbell!$M$34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Campbell!$O$34:$P$34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7202-449C-832D-CE21BAA5A128}"/>
            </c:ext>
          </c:extLst>
        </c:ser>
        <c:ser>
          <c:idx val="48"/>
          <c:order val="48"/>
          <c:tx>
            <c:strRef>
              <c:f>Campbell!$M$35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Campbell!$O$35:$P$35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7202-449C-832D-CE21BAA5A128}"/>
            </c:ext>
          </c:extLst>
        </c:ser>
        <c:ser>
          <c:idx val="49"/>
          <c:order val="49"/>
          <c:tx>
            <c:strRef>
              <c:f>Campbell!$M$36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Campbell!$O$36:$P$36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7202-449C-832D-CE21BAA5A128}"/>
            </c:ext>
          </c:extLst>
        </c:ser>
        <c:ser>
          <c:idx val="50"/>
          <c:order val="50"/>
          <c:tx>
            <c:strRef>
              <c:f>Campbell!$M$37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Campbell!$O$37:$P$37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7202-449C-832D-CE21BAA5A128}"/>
            </c:ext>
          </c:extLst>
        </c:ser>
        <c:ser>
          <c:idx val="51"/>
          <c:order val="51"/>
          <c:tx>
            <c:strRef>
              <c:f>Campbell!$M$38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Campbell!$O$38:$P$38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7202-449C-832D-CE21BAA5A128}"/>
            </c:ext>
          </c:extLst>
        </c:ser>
        <c:ser>
          <c:idx val="52"/>
          <c:order val="52"/>
          <c:tx>
            <c:strRef>
              <c:f>Campbell!$M$39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7202-449C-832D-CE21BAA5A128}"/>
            </c:ext>
          </c:extLst>
        </c:ser>
        <c:ser>
          <c:idx val="53"/>
          <c:order val="53"/>
          <c:tx>
            <c:strRef>
              <c:f>Campbell!$M$40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Campbell!$O$40:$P$40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7202-449C-832D-CE21BAA5A128}"/>
            </c:ext>
          </c:extLst>
        </c:ser>
        <c:ser>
          <c:idx val="54"/>
          <c:order val="54"/>
          <c:tx>
            <c:strRef>
              <c:f>Campbell!$M$41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Campbell!$O$41:$P$41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7202-449C-832D-CE21BAA5A128}"/>
            </c:ext>
          </c:extLst>
        </c:ser>
        <c:ser>
          <c:idx val="55"/>
          <c:order val="55"/>
          <c:tx>
            <c:strRef>
              <c:f>Campbell!$M$42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Campbell!$O$42:$P$42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7202-449C-832D-CE21BAA5A128}"/>
            </c:ext>
          </c:extLst>
        </c:ser>
        <c:ser>
          <c:idx val="56"/>
          <c:order val="56"/>
          <c:tx>
            <c:strRef>
              <c:f>Campbell!$M$43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Campbell!$O$43:$P$43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7202-449C-832D-CE21BAA5A128}"/>
            </c:ext>
          </c:extLst>
        </c:ser>
        <c:ser>
          <c:idx val="57"/>
          <c:order val="57"/>
          <c:tx>
            <c:strRef>
              <c:f>Campbell!$M$44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Campbell!$O$44:$P$44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7202-449C-832D-CE21BAA5A128}"/>
            </c:ext>
          </c:extLst>
        </c:ser>
        <c:ser>
          <c:idx val="58"/>
          <c:order val="58"/>
          <c:tx>
            <c:strRef>
              <c:f>Campbell!$M$45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Campbell!$O$45:$P$45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7202-449C-832D-CE21BAA5A128}"/>
            </c:ext>
          </c:extLst>
        </c:ser>
        <c:ser>
          <c:idx val="59"/>
          <c:order val="59"/>
          <c:tx>
            <c:strRef>
              <c:f>Campbell!$M$46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Campbell!$O$46:$P$46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7202-449C-832D-CE21BAA5A128}"/>
            </c:ext>
          </c:extLst>
        </c:ser>
        <c:ser>
          <c:idx val="60"/>
          <c:order val="60"/>
          <c:tx>
            <c:strRef>
              <c:f>Campbell!$M$47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Campbell!$O$47:$P$47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7202-449C-832D-CE21BAA5A128}"/>
            </c:ext>
          </c:extLst>
        </c:ser>
        <c:ser>
          <c:idx val="61"/>
          <c:order val="61"/>
          <c:tx>
            <c:strRef>
              <c:f>Campbell!$M$48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Campbell!$O$48:$P$48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7202-449C-832D-CE21BAA5A128}"/>
            </c:ext>
          </c:extLst>
        </c:ser>
        <c:ser>
          <c:idx val="62"/>
          <c:order val="62"/>
          <c:tx>
            <c:strRef>
              <c:f>Campbell!$I$29</c:f>
              <c:strCache>
                <c:ptCount val="1"/>
                <c:pt idx="0">
                  <c:v>fn_11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Campbell!$J$29:$K$29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7202-449C-832D-CE21BAA5A128}"/>
            </c:ext>
          </c:extLst>
        </c:ser>
        <c:ser>
          <c:idx val="63"/>
          <c:order val="63"/>
          <c:tx>
            <c:strRef>
              <c:f>Campbell!$I$30</c:f>
              <c:strCache>
                <c:ptCount val="1"/>
                <c:pt idx="0">
                  <c:v>fn_12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Campbell!$J$30:$K$30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7202-449C-832D-CE21BAA5A128}"/>
            </c:ext>
          </c:extLst>
        </c:ser>
        <c:ser>
          <c:idx val="64"/>
          <c:order val="64"/>
          <c:tx>
            <c:strRef>
              <c:f>Campbell!$I$31</c:f>
              <c:strCache>
                <c:ptCount val="1"/>
                <c:pt idx="0">
                  <c:v>fn_13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Campbell!$J$31:$K$31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7202-449C-832D-CE21BAA5A128}"/>
            </c:ext>
          </c:extLst>
        </c:ser>
        <c:ser>
          <c:idx val="65"/>
          <c:order val="65"/>
          <c:tx>
            <c:strRef>
              <c:f>Campbell!$I$32</c:f>
              <c:strCache>
                <c:ptCount val="1"/>
                <c:pt idx="0">
                  <c:v>fn_14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Campbell!$J$32:$K$32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7202-449C-832D-CE21BAA5A128}"/>
            </c:ext>
          </c:extLst>
        </c:ser>
        <c:ser>
          <c:idx val="66"/>
          <c:order val="66"/>
          <c:tx>
            <c:strRef>
              <c:f>Campbell!$I$33</c:f>
              <c:strCache>
                <c:ptCount val="1"/>
                <c:pt idx="0">
                  <c:v>fn_15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Campbell!$J$33:$K$33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7202-449C-832D-CE21BAA5A128}"/>
            </c:ext>
          </c:extLst>
        </c:ser>
        <c:ser>
          <c:idx val="67"/>
          <c:order val="67"/>
          <c:tx>
            <c:strRef>
              <c:f>Campbell!$I$34</c:f>
              <c:strCache>
                <c:ptCount val="1"/>
                <c:pt idx="0">
                  <c:v>fn_16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Campbell!$J$34:$K$34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7202-449C-832D-CE21BAA5A128}"/>
            </c:ext>
          </c:extLst>
        </c:ser>
        <c:ser>
          <c:idx val="68"/>
          <c:order val="68"/>
          <c:tx>
            <c:strRef>
              <c:f>Campbell!$I$35</c:f>
              <c:strCache>
                <c:ptCount val="1"/>
                <c:pt idx="0">
                  <c:v>fn_17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Campbell!$J$35:$K$35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7202-449C-832D-CE21BAA5A128}"/>
            </c:ext>
          </c:extLst>
        </c:ser>
        <c:ser>
          <c:idx val="69"/>
          <c:order val="69"/>
          <c:tx>
            <c:strRef>
              <c:f>Campbell!$I$36</c:f>
              <c:strCache>
                <c:ptCount val="1"/>
                <c:pt idx="0">
                  <c:v>fn_18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Campbell!$J$36:$K$36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7202-449C-832D-CE21BAA5A128}"/>
            </c:ext>
          </c:extLst>
        </c:ser>
        <c:ser>
          <c:idx val="70"/>
          <c:order val="70"/>
          <c:tx>
            <c:strRef>
              <c:f>Campbell!$I$37</c:f>
              <c:strCache>
                <c:ptCount val="1"/>
                <c:pt idx="0">
                  <c:v>fn_19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Campbell!$J$37:$K$37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7202-449C-832D-CE21BAA5A128}"/>
            </c:ext>
          </c:extLst>
        </c:ser>
        <c:ser>
          <c:idx val="71"/>
          <c:order val="71"/>
          <c:tx>
            <c:strRef>
              <c:f>Campbell!$I$38</c:f>
              <c:strCache>
                <c:ptCount val="1"/>
                <c:pt idx="0">
                  <c:v>fn_20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Campbell!$J$38:$K$38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7202-449C-832D-CE21BAA5A128}"/>
            </c:ext>
          </c:extLst>
        </c:ser>
        <c:ser>
          <c:idx val="72"/>
          <c:order val="72"/>
          <c:tx>
            <c:strRef>
              <c:f>Campbell!$I$39</c:f>
              <c:strCache>
                <c:ptCount val="1"/>
                <c:pt idx="0">
                  <c:v>fn_21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Campbell!$J$39:$K$39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7202-449C-832D-CE21BAA5A128}"/>
            </c:ext>
          </c:extLst>
        </c:ser>
        <c:ser>
          <c:idx val="73"/>
          <c:order val="73"/>
          <c:tx>
            <c:strRef>
              <c:f>Campbell!$I$40</c:f>
              <c:strCache>
                <c:ptCount val="1"/>
                <c:pt idx="0">
                  <c:v>fn_22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Campbell!$J$40:$K$40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7202-449C-832D-CE21BAA5A128}"/>
            </c:ext>
          </c:extLst>
        </c:ser>
        <c:ser>
          <c:idx val="74"/>
          <c:order val="74"/>
          <c:tx>
            <c:strRef>
              <c:f>Campbell!$I$41</c:f>
              <c:strCache>
                <c:ptCount val="1"/>
                <c:pt idx="0">
                  <c:v>fn_23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Campbell!$J$41:$K$41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7202-449C-832D-CE21BAA5A128}"/>
            </c:ext>
          </c:extLst>
        </c:ser>
        <c:ser>
          <c:idx val="75"/>
          <c:order val="75"/>
          <c:tx>
            <c:strRef>
              <c:f>Campbell!$I$42</c:f>
              <c:strCache>
                <c:ptCount val="1"/>
                <c:pt idx="0">
                  <c:v>fn_24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Campbell!$J$42:$K$42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7202-449C-832D-CE21BAA5A128}"/>
            </c:ext>
          </c:extLst>
        </c:ser>
        <c:ser>
          <c:idx val="76"/>
          <c:order val="76"/>
          <c:tx>
            <c:strRef>
              <c:f>Campbell!$I$43</c:f>
              <c:strCache>
                <c:ptCount val="1"/>
                <c:pt idx="0">
                  <c:v>fn_25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Campbell!$J$43:$K$43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7202-449C-832D-CE21BAA5A128}"/>
            </c:ext>
          </c:extLst>
        </c:ser>
        <c:ser>
          <c:idx val="77"/>
          <c:order val="77"/>
          <c:tx>
            <c:strRef>
              <c:f>Campbell!$I$44</c:f>
              <c:strCache>
                <c:ptCount val="1"/>
                <c:pt idx="0">
                  <c:v>fn_26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Campbell!$J$44:$K$44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7202-449C-832D-CE21BAA5A128}"/>
            </c:ext>
          </c:extLst>
        </c:ser>
        <c:ser>
          <c:idx val="78"/>
          <c:order val="78"/>
          <c:tx>
            <c:strRef>
              <c:f>Campbell!$I$45</c:f>
              <c:strCache>
                <c:ptCount val="1"/>
                <c:pt idx="0">
                  <c:v>fn_27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Campbell!$J$45:$K$45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7202-449C-832D-CE21BAA5A128}"/>
            </c:ext>
          </c:extLst>
        </c:ser>
        <c:ser>
          <c:idx val="79"/>
          <c:order val="79"/>
          <c:tx>
            <c:strRef>
              <c:f>Campbell!$I$46</c:f>
              <c:strCache>
                <c:ptCount val="1"/>
                <c:pt idx="0">
                  <c:v>fn_28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Campbell!$J$46:$K$46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7202-449C-832D-CE21BAA5A128}"/>
            </c:ext>
          </c:extLst>
        </c:ser>
        <c:ser>
          <c:idx val="80"/>
          <c:order val="80"/>
          <c:tx>
            <c:strRef>
              <c:f>Campbell!$I$47</c:f>
              <c:strCache>
                <c:ptCount val="1"/>
                <c:pt idx="0">
                  <c:v>fn_29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Campbell!$J$47:$K$47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7202-449C-832D-CE21BAA5A128}"/>
            </c:ext>
          </c:extLst>
        </c:ser>
        <c:ser>
          <c:idx val="81"/>
          <c:order val="81"/>
          <c:tx>
            <c:strRef>
              <c:f>Campbell!$I$48</c:f>
              <c:strCache>
                <c:ptCount val="1"/>
                <c:pt idx="0">
                  <c:v>fn_30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7202-449C-832D-CE21BAA5A1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Campbell!$J$15:$K$15</c:f>
              <c:numCache>
                <c:formatCode>General</c:formatCode>
                <c:ptCount val="2"/>
                <c:pt idx="0">
                  <c:v>0</c:v>
                </c:pt>
                <c:pt idx="1">
                  <c:v>5000</c:v>
                </c:pt>
              </c:numCache>
            </c:numRef>
          </c:xVal>
          <c:yVal>
            <c:numRef>
              <c:f>Campbell!$J$48:$K$48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7202-449C-832D-CE21BAA5A128}"/>
            </c:ext>
          </c:extLst>
        </c:ser>
        <c:ser>
          <c:idx val="82"/>
          <c:order val="82"/>
          <c:tx>
            <c:strRef>
              <c:f>Campbell!$M$101</c:f>
              <c:strCache>
                <c:ptCount val="1"/>
                <c:pt idx="0">
                  <c:v>ωcr fn_11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Campbell!$M$138:$M$167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Campbell!$M$105:$M$134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7202-449C-832D-CE21BAA5A128}"/>
            </c:ext>
          </c:extLst>
        </c:ser>
        <c:ser>
          <c:idx val="83"/>
          <c:order val="83"/>
          <c:tx>
            <c:strRef>
              <c:f>Campbell!$N$101</c:f>
              <c:strCache>
                <c:ptCount val="1"/>
                <c:pt idx="0">
                  <c:v>ωcr fn_12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Campbell!$N$138:$N$167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Campbell!$N$105:$N$134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7202-449C-832D-CE21BAA5A128}"/>
            </c:ext>
          </c:extLst>
        </c:ser>
        <c:ser>
          <c:idx val="84"/>
          <c:order val="84"/>
          <c:tx>
            <c:strRef>
              <c:f>Campbell!$O$101</c:f>
              <c:strCache>
                <c:ptCount val="1"/>
                <c:pt idx="0">
                  <c:v>ωcr fn_13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Campbell!$O$138:$O$167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Campbell!$O$105:$O$134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7202-449C-832D-CE21BAA5A128}"/>
            </c:ext>
          </c:extLst>
        </c:ser>
        <c:ser>
          <c:idx val="85"/>
          <c:order val="85"/>
          <c:tx>
            <c:strRef>
              <c:f>Campbell!$P$101</c:f>
              <c:strCache>
                <c:ptCount val="1"/>
                <c:pt idx="0">
                  <c:v>ωcr fn_14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Campbell!$P$138:$P$167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Campbell!$P$105:$P$134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7202-449C-832D-CE21BAA5A128}"/>
            </c:ext>
          </c:extLst>
        </c:ser>
        <c:ser>
          <c:idx val="86"/>
          <c:order val="86"/>
          <c:tx>
            <c:strRef>
              <c:f>Campbell!$Q$101</c:f>
              <c:strCache>
                <c:ptCount val="1"/>
                <c:pt idx="0">
                  <c:v>ωcr fn_15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Campbell!$Q$138:$Q$167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Campbell!$Q$105:$Q$134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7202-449C-832D-CE21BAA5A128}"/>
            </c:ext>
          </c:extLst>
        </c:ser>
        <c:ser>
          <c:idx val="87"/>
          <c:order val="87"/>
          <c:tx>
            <c:strRef>
              <c:f>Campbell!$R$101</c:f>
              <c:strCache>
                <c:ptCount val="1"/>
                <c:pt idx="0">
                  <c:v>ωcr fn_16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Campbell!$R$138:$R$167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Campbell!$R$105:$R$134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7202-449C-832D-CE21BAA5A128}"/>
            </c:ext>
          </c:extLst>
        </c:ser>
        <c:ser>
          <c:idx val="88"/>
          <c:order val="88"/>
          <c:tx>
            <c:strRef>
              <c:f>Campbell!$S$101</c:f>
              <c:strCache>
                <c:ptCount val="1"/>
                <c:pt idx="0">
                  <c:v>ωcr fn_17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Campbell!$S$138:$S$167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Campbell!$S$105:$S$134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7202-449C-832D-CE21BAA5A128}"/>
            </c:ext>
          </c:extLst>
        </c:ser>
        <c:ser>
          <c:idx val="89"/>
          <c:order val="89"/>
          <c:tx>
            <c:strRef>
              <c:f>Campbell!$T$101</c:f>
              <c:strCache>
                <c:ptCount val="1"/>
                <c:pt idx="0">
                  <c:v>ωcr fn_18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Campbell!$T$138:$T$167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Campbell!$T$105:$T$134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7202-449C-832D-CE21BAA5A128}"/>
            </c:ext>
          </c:extLst>
        </c:ser>
        <c:ser>
          <c:idx val="90"/>
          <c:order val="90"/>
          <c:tx>
            <c:strRef>
              <c:f>Campbell!$U$101</c:f>
              <c:strCache>
                <c:ptCount val="1"/>
                <c:pt idx="0">
                  <c:v>ωcr fn_19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Campbell!$U$138:$U$167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Campbell!$U$105:$U$134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7202-449C-832D-CE21BAA5A128}"/>
            </c:ext>
          </c:extLst>
        </c:ser>
        <c:ser>
          <c:idx val="91"/>
          <c:order val="91"/>
          <c:tx>
            <c:strRef>
              <c:f>Campbell!$V$101</c:f>
              <c:strCache>
                <c:ptCount val="1"/>
                <c:pt idx="0">
                  <c:v>ωcr fn_20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Campbell!$V$138:$V$167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Campbell!$V$105:$V$134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7202-449C-832D-CE21BAA5A128}"/>
            </c:ext>
          </c:extLst>
        </c:ser>
        <c:ser>
          <c:idx val="92"/>
          <c:order val="92"/>
          <c:tx>
            <c:strRef>
              <c:f>Campbell!$W$101</c:f>
              <c:strCache>
                <c:ptCount val="1"/>
                <c:pt idx="0">
                  <c:v>ωcr fn_21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Campbell!$W$138:$W$167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Campbell!$W$105:$W$134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7202-449C-832D-CE21BAA5A128}"/>
            </c:ext>
          </c:extLst>
        </c:ser>
        <c:ser>
          <c:idx val="93"/>
          <c:order val="93"/>
          <c:tx>
            <c:strRef>
              <c:f>Campbell!$X$101</c:f>
              <c:strCache>
                <c:ptCount val="1"/>
                <c:pt idx="0">
                  <c:v>ωcr fn_22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Campbell!$X$138:$X$167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Campbell!$X$105:$X$134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7202-449C-832D-CE21BAA5A128}"/>
            </c:ext>
          </c:extLst>
        </c:ser>
        <c:ser>
          <c:idx val="94"/>
          <c:order val="94"/>
          <c:tx>
            <c:strRef>
              <c:f>Campbell!$Y$101</c:f>
              <c:strCache>
                <c:ptCount val="1"/>
                <c:pt idx="0">
                  <c:v>ωcr fn_23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Campbell!$Y$138:$Y$167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Campbell!$Y$105:$Y$134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7202-449C-832D-CE21BAA5A128}"/>
            </c:ext>
          </c:extLst>
        </c:ser>
        <c:ser>
          <c:idx val="95"/>
          <c:order val="95"/>
          <c:tx>
            <c:strRef>
              <c:f>Campbell!$Z$101</c:f>
              <c:strCache>
                <c:ptCount val="1"/>
                <c:pt idx="0">
                  <c:v>ωcr fn_24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Campbell!$Z$138:$Z$167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Campbell!$Z$105:$Z$134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7202-449C-832D-CE21BAA5A128}"/>
            </c:ext>
          </c:extLst>
        </c:ser>
        <c:ser>
          <c:idx val="96"/>
          <c:order val="96"/>
          <c:tx>
            <c:strRef>
              <c:f>Campbell!$AA$101</c:f>
              <c:strCache>
                <c:ptCount val="1"/>
                <c:pt idx="0">
                  <c:v>ωcr fn_25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Campbell!$AA$138:$AA$167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Campbell!$AA$105:$AA$134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7202-449C-832D-CE21BAA5A128}"/>
            </c:ext>
          </c:extLst>
        </c:ser>
        <c:ser>
          <c:idx val="97"/>
          <c:order val="97"/>
          <c:tx>
            <c:strRef>
              <c:f>Campbell!$AB$101</c:f>
              <c:strCache>
                <c:ptCount val="1"/>
                <c:pt idx="0">
                  <c:v>ωcr fn_26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Campbell!$AB$138:$AB$167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Campbell!$AB$105:$AB$134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7202-449C-832D-CE21BAA5A128}"/>
            </c:ext>
          </c:extLst>
        </c:ser>
        <c:ser>
          <c:idx val="98"/>
          <c:order val="98"/>
          <c:tx>
            <c:strRef>
              <c:f>Campbell!$AC$101</c:f>
              <c:strCache>
                <c:ptCount val="1"/>
                <c:pt idx="0">
                  <c:v>ωcr fn_27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Campbell!$AC$138:$AC$167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Campbell!$AC$105:$AC$134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7202-449C-832D-CE21BAA5A128}"/>
            </c:ext>
          </c:extLst>
        </c:ser>
        <c:ser>
          <c:idx val="99"/>
          <c:order val="99"/>
          <c:tx>
            <c:strRef>
              <c:f>Campbell!$AD$101</c:f>
              <c:strCache>
                <c:ptCount val="1"/>
                <c:pt idx="0">
                  <c:v>ωcr fn_28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Campbell!$AD$138:$AD$167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Campbell!$AD$105:$AD$134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7202-449C-832D-CE21BAA5A128}"/>
            </c:ext>
          </c:extLst>
        </c:ser>
        <c:ser>
          <c:idx val="100"/>
          <c:order val="100"/>
          <c:tx>
            <c:strRef>
              <c:f>Campbell!$AE$101</c:f>
              <c:strCache>
                <c:ptCount val="1"/>
                <c:pt idx="0">
                  <c:v>ωcr fn_29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Campbell!$AE$138:$AE$167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Campbell!$AE$105:$AE$134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7202-449C-832D-CE21BAA5A128}"/>
            </c:ext>
          </c:extLst>
        </c:ser>
        <c:ser>
          <c:idx val="101"/>
          <c:order val="101"/>
          <c:tx>
            <c:strRef>
              <c:f>Campbell!$AF$101</c:f>
              <c:strCache>
                <c:ptCount val="1"/>
                <c:pt idx="0">
                  <c:v>ωcr fn_30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Campbell!$AF$138:$AF$167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Campbell!$AF$105:$AF$134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7202-449C-832D-CE21BAA5A1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110959"/>
        <c:axId val="1351277743"/>
      </c:scatterChart>
      <c:valAx>
        <c:axId val="1837110959"/>
        <c:scaling>
          <c:orientation val="minMax"/>
          <c:max val="5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n</a:t>
                </a:r>
                <a:r>
                  <a:rPr lang="en-US" sz="1000" b="1" i="0" u="none" strike="noStrike" kern="1200" baseline="-25000">
                    <a:solidFill>
                      <a:sysClr val="windowText" lastClr="000000"/>
                    </a:solidFill>
                  </a:rPr>
                  <a:t>run</a:t>
                </a: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1277743"/>
        <c:crosses val="autoZero"/>
        <c:crossBetween val="midCat"/>
      </c:valAx>
      <c:valAx>
        <c:axId val="1351277743"/>
        <c:scaling>
          <c:orientation val="minMax"/>
          <c:max val="4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f</a:t>
                </a:r>
                <a:r>
                  <a:rPr lang="en-US" sz="1000" b="1" i="0" u="none" strike="noStrike" kern="1200" baseline="-25000">
                    <a:solidFill>
                      <a:sysClr val="windowText" lastClr="000000"/>
                    </a:solidFill>
                  </a:rPr>
                  <a:t>n</a:t>
                </a: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37110959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'Campbell Multi'!$I$3</c:f>
              <c:strCache>
                <c:ptCount val="1"/>
                <c:pt idx="0">
                  <c:v>-10% * nmin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'Campbell Multi'!$J$3:$K$3</c:f>
              <c:numCache>
                <c:formatCode>General</c:formatCode>
                <c:ptCount val="2"/>
                <c:pt idx="0">
                  <c:v>1336.5</c:v>
                </c:pt>
                <c:pt idx="1">
                  <c:v>1336.5</c:v>
                </c:pt>
              </c:numCache>
            </c:numRef>
          </c:xVal>
          <c:yVal>
            <c:numRef>
              <c:f>'Campbell Multi'!$J$16:$K$16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CA-4DBF-890D-DB3309529F79}"/>
            </c:ext>
          </c:extLst>
        </c:ser>
        <c:ser>
          <c:idx val="1"/>
          <c:order val="1"/>
          <c:tx>
            <c:strRef>
              <c:f>'Campbell Multi'!$I$4</c:f>
              <c:strCache>
                <c:ptCount val="1"/>
                <c:pt idx="0">
                  <c:v>nmin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Multi'!$J$4:$K$4</c:f>
              <c:numCache>
                <c:formatCode>General</c:formatCode>
                <c:ptCount val="2"/>
                <c:pt idx="0">
                  <c:v>1485</c:v>
                </c:pt>
                <c:pt idx="1">
                  <c:v>1485</c:v>
                </c:pt>
              </c:numCache>
            </c:numRef>
          </c:xVal>
          <c:yVal>
            <c:numRef>
              <c:f>'Campbell Multi'!$J$16:$K$16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CA-4DBF-890D-DB3309529F79}"/>
            </c:ext>
          </c:extLst>
        </c:ser>
        <c:ser>
          <c:idx val="2"/>
          <c:order val="2"/>
          <c:tx>
            <c:strRef>
              <c:f>'Campbell Multi'!$I$5</c:f>
              <c:strCache>
                <c:ptCount val="1"/>
                <c:pt idx="0">
                  <c:v>+10% * nmin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'Campbell Multi'!$J$5:$K$5</c:f>
              <c:numCache>
                <c:formatCode>General</c:formatCode>
                <c:ptCount val="2"/>
                <c:pt idx="0">
                  <c:v>1633.5000000000002</c:v>
                </c:pt>
                <c:pt idx="1">
                  <c:v>1633.5000000000002</c:v>
                </c:pt>
              </c:numCache>
            </c:numRef>
          </c:xVal>
          <c:yVal>
            <c:numRef>
              <c:f>'Campbell Multi'!$J$16:$K$16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CA-4DBF-890D-DB3309529F79}"/>
            </c:ext>
          </c:extLst>
        </c:ser>
        <c:ser>
          <c:idx val="3"/>
          <c:order val="3"/>
          <c:tx>
            <c:strRef>
              <c:f>'Campbell Multi'!$I$6</c:f>
              <c:strCache>
                <c:ptCount val="1"/>
                <c:pt idx="0">
                  <c:v>-10% * nmax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'Campbell Multi'!$J$6:$K$6</c:f>
              <c:numCache>
                <c:formatCode>General</c:formatCode>
                <c:ptCount val="2"/>
                <c:pt idx="0">
                  <c:v>4515.3</c:v>
                </c:pt>
                <c:pt idx="1">
                  <c:v>4515.3</c:v>
                </c:pt>
              </c:numCache>
            </c:numRef>
          </c:xVal>
          <c:yVal>
            <c:numRef>
              <c:f>'Campbell Multi'!$J$16:$K$16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CA-4DBF-890D-DB3309529F79}"/>
            </c:ext>
          </c:extLst>
        </c:ser>
        <c:ser>
          <c:idx val="4"/>
          <c:order val="4"/>
          <c:tx>
            <c:strRef>
              <c:f>'Campbell Multi'!$I$7</c:f>
              <c:strCache>
                <c:ptCount val="1"/>
                <c:pt idx="0">
                  <c:v>nmax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Multi'!$J$7:$K$7</c:f>
              <c:numCache>
                <c:formatCode>General</c:formatCode>
                <c:ptCount val="2"/>
                <c:pt idx="0">
                  <c:v>5017</c:v>
                </c:pt>
                <c:pt idx="1">
                  <c:v>5017</c:v>
                </c:pt>
              </c:numCache>
            </c:numRef>
          </c:xVal>
          <c:yVal>
            <c:numRef>
              <c:f>'Campbell Multi'!$J$16:$K$16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CA-4DBF-890D-DB3309529F79}"/>
            </c:ext>
          </c:extLst>
        </c:ser>
        <c:ser>
          <c:idx val="5"/>
          <c:order val="5"/>
          <c:tx>
            <c:strRef>
              <c:f>'Campbell Multi'!$I$8</c:f>
              <c:strCache>
                <c:ptCount val="1"/>
                <c:pt idx="0">
                  <c:v>+10% * nmax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'Campbell Multi'!$J$8:$K$8</c:f>
              <c:numCache>
                <c:formatCode>General</c:formatCode>
                <c:ptCount val="2"/>
                <c:pt idx="0">
                  <c:v>5518.7000000000007</c:v>
                </c:pt>
                <c:pt idx="1">
                  <c:v>5518.7000000000007</c:v>
                </c:pt>
              </c:numCache>
            </c:numRef>
          </c:xVal>
          <c:yVal>
            <c:numRef>
              <c:f>'Campbell Multi'!$J$16:$K$16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CA-4DBF-890D-DB3309529F79}"/>
            </c:ext>
          </c:extLst>
        </c:ser>
        <c:ser>
          <c:idx val="6"/>
          <c:order val="6"/>
          <c:tx>
            <c:strRef>
              <c:f>'Campbell Multi'!$I$19</c:f>
              <c:strCache>
                <c:ptCount val="1"/>
                <c:pt idx="0">
                  <c:v>fn_1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6ECA-4DBF-890D-DB3309529F79}"/>
              </c:ext>
            </c:extLst>
          </c:dPt>
          <c:dLbls>
            <c:dLbl>
              <c:idx val="0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solidFill>
                          <a:schemeClr val="tx1"/>
                        </a:solidFill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6ECA-4DBF-890D-DB3309529F7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Multi'!$J$19:$K$19</c:f>
              <c:numCache>
                <c:formatCode>General</c:formatCode>
                <c:ptCount val="2"/>
                <c:pt idx="0">
                  <c:v>3600</c:v>
                </c:pt>
                <c:pt idx="1">
                  <c:v>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ECA-4DBF-890D-DB3309529F79}"/>
            </c:ext>
          </c:extLst>
        </c:ser>
        <c:ser>
          <c:idx val="7"/>
          <c:order val="7"/>
          <c:tx>
            <c:strRef>
              <c:f>'Campbell Multi'!$I$20</c:f>
              <c:strCache>
                <c:ptCount val="1"/>
                <c:pt idx="0">
                  <c:v>fn_2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Multi'!$J$20:$K$20</c:f>
              <c:numCache>
                <c:formatCode>General</c:formatCode>
                <c:ptCount val="2"/>
                <c:pt idx="0">
                  <c:v>5000</c:v>
                </c:pt>
                <c:pt idx="1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ECA-4DBF-890D-DB3309529F79}"/>
            </c:ext>
          </c:extLst>
        </c:ser>
        <c:ser>
          <c:idx val="8"/>
          <c:order val="8"/>
          <c:tx>
            <c:strRef>
              <c:f>'Campbell Multi'!$I$21</c:f>
              <c:strCache>
                <c:ptCount val="1"/>
                <c:pt idx="0">
                  <c:v>fn_3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Multi'!$J$21:$K$21</c:f>
              <c:numCache>
                <c:formatCode>General</c:formatCode>
                <c:ptCount val="2"/>
                <c:pt idx="0">
                  <c:v>8500</c:v>
                </c:pt>
                <c:pt idx="1">
                  <c:v>8500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ECA-4DBF-890D-DB3309529F79}"/>
            </c:ext>
          </c:extLst>
        </c:ser>
        <c:ser>
          <c:idx val="9"/>
          <c:order val="9"/>
          <c:tx>
            <c:strRef>
              <c:f>'Campbell Multi'!$I$22</c:f>
              <c:strCache>
                <c:ptCount val="1"/>
                <c:pt idx="0">
                  <c:v>fn_4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Multi'!$J$22:$K$22</c:f>
              <c:numCache>
                <c:formatCode>General</c:formatCode>
                <c:ptCount val="2"/>
                <c:pt idx="0">
                  <c:v>10500</c:v>
                </c:pt>
                <c:pt idx="1">
                  <c:v>10500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ECA-4DBF-890D-DB3309529F79}"/>
            </c:ext>
          </c:extLst>
        </c:ser>
        <c:ser>
          <c:idx val="10"/>
          <c:order val="10"/>
          <c:tx>
            <c:strRef>
              <c:f>'Campbell Multi'!$I$23</c:f>
              <c:strCache>
                <c:ptCount val="1"/>
                <c:pt idx="0">
                  <c:v>fn_5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Multi'!$J$23:$K$23</c:f>
              <c:numCache>
                <c:formatCode>General</c:formatCode>
                <c:ptCount val="2"/>
                <c:pt idx="0">
                  <c:v>12500</c:v>
                </c:pt>
                <c:pt idx="1">
                  <c:v>12500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ECA-4DBF-890D-DB3309529F79}"/>
            </c:ext>
          </c:extLst>
        </c:ser>
        <c:ser>
          <c:idx val="11"/>
          <c:order val="11"/>
          <c:tx>
            <c:strRef>
              <c:f>'Campbell Multi'!$I$24</c:f>
              <c:strCache>
                <c:ptCount val="1"/>
                <c:pt idx="0">
                  <c:v>fn_6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Multi'!$J$24:$K$24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ECA-4DBF-890D-DB3309529F79}"/>
            </c:ext>
          </c:extLst>
        </c:ser>
        <c:ser>
          <c:idx val="12"/>
          <c:order val="12"/>
          <c:tx>
            <c:strRef>
              <c:f>'Campbell Multi'!$I$25</c:f>
              <c:strCache>
                <c:ptCount val="1"/>
                <c:pt idx="0">
                  <c:v>fn_7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Multi'!$J$25:$K$25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ECA-4DBF-890D-DB3309529F79}"/>
            </c:ext>
          </c:extLst>
        </c:ser>
        <c:ser>
          <c:idx val="13"/>
          <c:order val="13"/>
          <c:tx>
            <c:strRef>
              <c:f>'Campbell Multi'!$I$26</c:f>
              <c:strCache>
                <c:ptCount val="1"/>
                <c:pt idx="0">
                  <c:v>fn_8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Multi'!$J$26:$K$26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6ECA-4DBF-890D-DB3309529F79}"/>
            </c:ext>
          </c:extLst>
        </c:ser>
        <c:ser>
          <c:idx val="14"/>
          <c:order val="14"/>
          <c:tx>
            <c:strRef>
              <c:f>'Campbell Multi'!$I$27</c:f>
              <c:strCache>
                <c:ptCount val="1"/>
                <c:pt idx="0">
                  <c:v>fn_9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Multi'!$J$27:$K$27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6ECA-4DBF-890D-DB3309529F79}"/>
            </c:ext>
          </c:extLst>
        </c:ser>
        <c:ser>
          <c:idx val="15"/>
          <c:order val="15"/>
          <c:tx>
            <c:strRef>
              <c:f>'Campbell Multi'!$I$28</c:f>
              <c:strCache>
                <c:ptCount val="1"/>
                <c:pt idx="0">
                  <c:v>fn_10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Multi'!$J$28:$K$28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ECA-4DBF-890D-DB3309529F79}"/>
            </c:ext>
          </c:extLst>
        </c:ser>
        <c:ser>
          <c:idx val="16"/>
          <c:order val="16"/>
          <c:tx>
            <c:strRef>
              <c:f>'Campbell Multi'!$M$19</c:f>
              <c:strCache>
                <c:ptCount val="1"/>
                <c:pt idx="0">
                  <c:v>1X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Multi'!$O$19:$P$19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ECA-4DBF-890D-DB3309529F79}"/>
            </c:ext>
          </c:extLst>
        </c:ser>
        <c:ser>
          <c:idx val="17"/>
          <c:order val="17"/>
          <c:tx>
            <c:strRef>
              <c:f>'Campbell Multi'!$M$20</c:f>
              <c:strCache>
                <c:ptCount val="1"/>
                <c:pt idx="0">
                  <c:v>2X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Multi'!$O$20:$P$20</c:f>
              <c:numCache>
                <c:formatCode>General</c:formatCode>
                <c:ptCount val="2"/>
                <c:pt idx="0">
                  <c:v>0</c:v>
                </c:pt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ECA-4DBF-890D-DB3309529F79}"/>
            </c:ext>
          </c:extLst>
        </c:ser>
        <c:ser>
          <c:idx val="18"/>
          <c:order val="18"/>
          <c:tx>
            <c:strRef>
              <c:f>'Campbell Multi'!$M$21</c:f>
              <c:strCache>
                <c:ptCount val="1"/>
                <c:pt idx="0">
                  <c:v>5X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Multi'!$O$21:$P$21</c:f>
              <c:numCache>
                <c:formatCode>General</c:formatCode>
                <c:ptCount val="2"/>
                <c:pt idx="0">
                  <c:v>0</c:v>
                </c:pt>
                <c:pt idx="1">
                  <c:v>30000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ECA-4DBF-890D-DB3309529F79}"/>
            </c:ext>
          </c:extLst>
        </c:ser>
        <c:ser>
          <c:idx val="19"/>
          <c:order val="19"/>
          <c:tx>
            <c:strRef>
              <c:f>'Campbell Multi'!$M$22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Multi'!$O$22:$P$22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6ECA-4DBF-890D-DB3309529F79}"/>
            </c:ext>
          </c:extLst>
        </c:ser>
        <c:ser>
          <c:idx val="20"/>
          <c:order val="20"/>
          <c:tx>
            <c:strRef>
              <c:f>'Campbell Multi'!$M$23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Multi'!$O$23:$P$23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6ECA-4DBF-890D-DB3309529F79}"/>
            </c:ext>
          </c:extLst>
        </c:ser>
        <c:ser>
          <c:idx val="21"/>
          <c:order val="21"/>
          <c:tx>
            <c:strRef>
              <c:f>'Campbell Multi'!$M$24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Multi'!$O$24:$P$24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6ECA-4DBF-890D-DB3309529F79}"/>
            </c:ext>
          </c:extLst>
        </c:ser>
        <c:ser>
          <c:idx val="22"/>
          <c:order val="22"/>
          <c:tx>
            <c:strRef>
              <c:f>'Campbell Multi'!$M$25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Multi'!$O$25:$P$25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ECA-4DBF-890D-DB3309529F79}"/>
            </c:ext>
          </c:extLst>
        </c:ser>
        <c:ser>
          <c:idx val="23"/>
          <c:order val="23"/>
          <c:tx>
            <c:strRef>
              <c:f>'Campbell Multi'!$M$26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Multi'!$O$26:$P$26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6ECA-4DBF-890D-DB3309529F79}"/>
            </c:ext>
          </c:extLst>
        </c:ser>
        <c:ser>
          <c:idx val="24"/>
          <c:order val="24"/>
          <c:tx>
            <c:strRef>
              <c:f>'Campbell Multi'!$M$27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Multi'!$O$27:$P$27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6ECA-4DBF-890D-DB3309529F79}"/>
            </c:ext>
          </c:extLst>
        </c:ser>
        <c:ser>
          <c:idx val="25"/>
          <c:order val="25"/>
          <c:tx>
            <c:strRef>
              <c:f>'Campbell Multi'!$M$28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Multi'!$O$28:$P$28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ECA-4DBF-890D-DB3309529F79}"/>
            </c:ext>
          </c:extLst>
        </c:ser>
        <c:ser>
          <c:idx val="26"/>
          <c:order val="26"/>
          <c:tx>
            <c:strRef>
              <c:f>'Campbell Multi'!$M$11</c:f>
              <c:strCache>
                <c:ptCount val="1"/>
                <c:pt idx="0">
                  <c:v>-10% *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Multi'!$N$11:$O$11</c:f>
              <c:numCache>
                <c:formatCode>0</c:formatCode>
                <c:ptCount val="2"/>
                <c:pt idx="0">
                  <c:v>2700</c:v>
                </c:pt>
                <c:pt idx="1">
                  <c:v>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6ECA-4DBF-890D-DB3309529F79}"/>
            </c:ext>
          </c:extLst>
        </c:ser>
        <c:ser>
          <c:idx val="27"/>
          <c:order val="27"/>
          <c:tx>
            <c:strRef>
              <c:f>'Campbell Multi'!$M$12</c:f>
              <c:strCache>
                <c:ptCount val="1"/>
                <c:pt idx="0">
                  <c:v>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Multi'!$N$12:$O$12</c:f>
              <c:numCache>
                <c:formatCode>0</c:formatCode>
                <c:ptCount val="2"/>
                <c:pt idx="0">
                  <c:v>3000</c:v>
                </c:pt>
                <c:pt idx="1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6ECA-4DBF-890D-DB3309529F79}"/>
            </c:ext>
          </c:extLst>
        </c:ser>
        <c:ser>
          <c:idx val="28"/>
          <c:order val="28"/>
          <c:tx>
            <c:strRef>
              <c:f>'Campbell Multi'!$M$13</c:f>
              <c:strCache>
                <c:ptCount val="1"/>
                <c:pt idx="0">
                  <c:v>+10% *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Multi'!$N$13:$O$13</c:f>
              <c:numCache>
                <c:formatCode>0</c:formatCode>
                <c:ptCount val="2"/>
                <c:pt idx="0">
                  <c:v>3300.0000000000005</c:v>
                </c:pt>
                <c:pt idx="1">
                  <c:v>3300.0000000000005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6ECA-4DBF-890D-DB3309529F79}"/>
            </c:ext>
          </c:extLst>
        </c:ser>
        <c:ser>
          <c:idx val="29"/>
          <c:order val="29"/>
          <c:tx>
            <c:strRef>
              <c:f>'Campbell Multi'!$M$14</c:f>
              <c:strCache>
                <c:ptCount val="1"/>
                <c:pt idx="0">
                  <c:v>-10% * 2X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Multi'!$N$14:$O$14</c:f>
              <c:numCache>
                <c:formatCode>0</c:formatCode>
                <c:ptCount val="2"/>
                <c:pt idx="0">
                  <c:v>5400</c:v>
                </c:pt>
                <c:pt idx="1">
                  <c:v>5400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ECA-4DBF-890D-DB3309529F79}"/>
            </c:ext>
          </c:extLst>
        </c:ser>
        <c:ser>
          <c:idx val="30"/>
          <c:order val="30"/>
          <c:tx>
            <c:strRef>
              <c:f>'Campbell Multi'!$M$15</c:f>
              <c:strCache>
                <c:ptCount val="1"/>
                <c:pt idx="0">
                  <c:v>2X f_line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Multi'!$N$15:$O$15</c:f>
              <c:numCache>
                <c:formatCode>0</c:formatCode>
                <c:ptCount val="2"/>
                <c:pt idx="0">
                  <c:v>6000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6ECA-4DBF-890D-DB3309529F79}"/>
            </c:ext>
          </c:extLst>
        </c:ser>
        <c:ser>
          <c:idx val="31"/>
          <c:order val="31"/>
          <c:tx>
            <c:strRef>
              <c:f>'Campbell Multi'!$M$16</c:f>
              <c:strCache>
                <c:ptCount val="1"/>
                <c:pt idx="0">
                  <c:v>+10% * 2X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Multi'!$N$16:$O$16</c:f>
              <c:numCache>
                <c:formatCode>0</c:formatCode>
                <c:ptCount val="2"/>
                <c:pt idx="0">
                  <c:v>6600.0000000000009</c:v>
                </c:pt>
                <c:pt idx="1">
                  <c:v>6600.0000000000009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6ECA-4DBF-890D-DB3309529F79}"/>
            </c:ext>
          </c:extLst>
        </c:ser>
        <c:ser>
          <c:idx val="32"/>
          <c:order val="32"/>
          <c:tx>
            <c:strRef>
              <c:f>'Campbell Multi'!$C$101</c:f>
              <c:strCache>
                <c:ptCount val="1"/>
                <c:pt idx="0">
                  <c:v>ωcr fn_1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Multi'!$C$138:$C$167</c:f>
              <c:numCache>
                <c:formatCode>General</c:formatCode>
                <c:ptCount val="30"/>
                <c:pt idx="0">
                  <c:v>3600</c:v>
                </c:pt>
                <c:pt idx="1">
                  <c:v>1800</c:v>
                </c:pt>
                <c:pt idx="2">
                  <c:v>720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Multi'!$C$105:$C$134</c:f>
              <c:numCache>
                <c:formatCode>General</c:formatCode>
                <c:ptCount val="30"/>
                <c:pt idx="0">
                  <c:v>3600</c:v>
                </c:pt>
                <c:pt idx="1">
                  <c:v>3600</c:v>
                </c:pt>
                <c:pt idx="2">
                  <c:v>3600</c:v>
                </c:pt>
                <c:pt idx="3">
                  <c:v>3600</c:v>
                </c:pt>
                <c:pt idx="4">
                  <c:v>3600</c:v>
                </c:pt>
                <c:pt idx="5">
                  <c:v>3600</c:v>
                </c:pt>
                <c:pt idx="6">
                  <c:v>3600</c:v>
                </c:pt>
                <c:pt idx="7">
                  <c:v>3600</c:v>
                </c:pt>
                <c:pt idx="8">
                  <c:v>3600</c:v>
                </c:pt>
                <c:pt idx="9">
                  <c:v>3600</c:v>
                </c:pt>
                <c:pt idx="10">
                  <c:v>3600</c:v>
                </c:pt>
                <c:pt idx="11">
                  <c:v>3600</c:v>
                </c:pt>
                <c:pt idx="12">
                  <c:v>3600</c:v>
                </c:pt>
                <c:pt idx="13">
                  <c:v>3600</c:v>
                </c:pt>
                <c:pt idx="14">
                  <c:v>3600</c:v>
                </c:pt>
                <c:pt idx="15">
                  <c:v>3600</c:v>
                </c:pt>
                <c:pt idx="16">
                  <c:v>3600</c:v>
                </c:pt>
                <c:pt idx="17">
                  <c:v>3600</c:v>
                </c:pt>
                <c:pt idx="18">
                  <c:v>3600</c:v>
                </c:pt>
                <c:pt idx="19">
                  <c:v>3600</c:v>
                </c:pt>
                <c:pt idx="20">
                  <c:v>3600</c:v>
                </c:pt>
                <c:pt idx="21">
                  <c:v>3600</c:v>
                </c:pt>
                <c:pt idx="22">
                  <c:v>3600</c:v>
                </c:pt>
                <c:pt idx="23">
                  <c:v>3600</c:v>
                </c:pt>
                <c:pt idx="24">
                  <c:v>3600</c:v>
                </c:pt>
                <c:pt idx="25">
                  <c:v>3600</c:v>
                </c:pt>
                <c:pt idx="26">
                  <c:v>3600</c:v>
                </c:pt>
                <c:pt idx="27">
                  <c:v>3600</c:v>
                </c:pt>
                <c:pt idx="28">
                  <c:v>3600</c:v>
                </c:pt>
                <c:pt idx="29">
                  <c:v>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ECA-4DBF-890D-DB3309529F79}"/>
            </c:ext>
          </c:extLst>
        </c:ser>
        <c:ser>
          <c:idx val="33"/>
          <c:order val="33"/>
          <c:tx>
            <c:strRef>
              <c:f>'Campbell Multi'!$D$101</c:f>
              <c:strCache>
                <c:ptCount val="1"/>
                <c:pt idx="0">
                  <c:v>ωcr fn_2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Multi'!$D$138:$D$167</c:f>
              <c:numCache>
                <c:formatCode>General</c:formatCode>
                <c:ptCount val="30"/>
                <c:pt idx="0">
                  <c:v>5000</c:v>
                </c:pt>
                <c:pt idx="1">
                  <c:v>2500</c:v>
                </c:pt>
                <c:pt idx="2">
                  <c:v>1000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Multi'!$D$105:$D$134</c:f>
              <c:numCache>
                <c:formatCode>General</c:formatCode>
                <c:ptCount val="30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ECA-4DBF-890D-DB3309529F79}"/>
            </c:ext>
          </c:extLst>
        </c:ser>
        <c:ser>
          <c:idx val="34"/>
          <c:order val="34"/>
          <c:tx>
            <c:strRef>
              <c:f>'Campbell Multi'!$E$101</c:f>
              <c:strCache>
                <c:ptCount val="1"/>
                <c:pt idx="0">
                  <c:v>ωcr fn_3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Multi'!$E$138:$E$167</c:f>
              <c:numCache>
                <c:formatCode>General</c:formatCode>
                <c:ptCount val="30"/>
                <c:pt idx="0">
                  <c:v>#N/A</c:v>
                </c:pt>
                <c:pt idx="1">
                  <c:v>4250</c:v>
                </c:pt>
                <c:pt idx="2">
                  <c:v>1700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Multi'!$E$105:$E$134</c:f>
              <c:numCache>
                <c:formatCode>General</c:formatCode>
                <c:ptCount val="30"/>
                <c:pt idx="0">
                  <c:v>8500</c:v>
                </c:pt>
                <c:pt idx="1">
                  <c:v>8500</c:v>
                </c:pt>
                <c:pt idx="2">
                  <c:v>8500</c:v>
                </c:pt>
                <c:pt idx="3">
                  <c:v>8500</c:v>
                </c:pt>
                <c:pt idx="4">
                  <c:v>8500</c:v>
                </c:pt>
                <c:pt idx="5">
                  <c:v>8500</c:v>
                </c:pt>
                <c:pt idx="6">
                  <c:v>8500</c:v>
                </c:pt>
                <c:pt idx="7">
                  <c:v>8500</c:v>
                </c:pt>
                <c:pt idx="8">
                  <c:v>8500</c:v>
                </c:pt>
                <c:pt idx="9">
                  <c:v>8500</c:v>
                </c:pt>
                <c:pt idx="10">
                  <c:v>8500</c:v>
                </c:pt>
                <c:pt idx="11">
                  <c:v>8500</c:v>
                </c:pt>
                <c:pt idx="12">
                  <c:v>8500</c:v>
                </c:pt>
                <c:pt idx="13">
                  <c:v>8500</c:v>
                </c:pt>
                <c:pt idx="14">
                  <c:v>8500</c:v>
                </c:pt>
                <c:pt idx="15">
                  <c:v>8500</c:v>
                </c:pt>
                <c:pt idx="16">
                  <c:v>8500</c:v>
                </c:pt>
                <c:pt idx="17">
                  <c:v>8500</c:v>
                </c:pt>
                <c:pt idx="18">
                  <c:v>8500</c:v>
                </c:pt>
                <c:pt idx="19">
                  <c:v>8500</c:v>
                </c:pt>
                <c:pt idx="20">
                  <c:v>8500</c:v>
                </c:pt>
                <c:pt idx="21">
                  <c:v>8500</c:v>
                </c:pt>
                <c:pt idx="22">
                  <c:v>8500</c:v>
                </c:pt>
                <c:pt idx="23">
                  <c:v>8500</c:v>
                </c:pt>
                <c:pt idx="24">
                  <c:v>8500</c:v>
                </c:pt>
                <c:pt idx="25">
                  <c:v>8500</c:v>
                </c:pt>
                <c:pt idx="26">
                  <c:v>8500</c:v>
                </c:pt>
                <c:pt idx="27">
                  <c:v>8500</c:v>
                </c:pt>
                <c:pt idx="28">
                  <c:v>8500</c:v>
                </c:pt>
                <c:pt idx="29">
                  <c:v>8500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ECA-4DBF-890D-DB3309529F79}"/>
            </c:ext>
          </c:extLst>
        </c:ser>
        <c:ser>
          <c:idx val="35"/>
          <c:order val="35"/>
          <c:tx>
            <c:strRef>
              <c:f>'Campbell Multi'!$F$101</c:f>
              <c:strCache>
                <c:ptCount val="1"/>
                <c:pt idx="0">
                  <c:v>ωcr fn_4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Multi'!$F$138:$F$167</c:f>
              <c:numCache>
                <c:formatCode>General</c:formatCode>
                <c:ptCount val="30"/>
                <c:pt idx="0">
                  <c:v>#N/A</c:v>
                </c:pt>
                <c:pt idx="1">
                  <c:v>5250</c:v>
                </c:pt>
                <c:pt idx="2">
                  <c:v>2100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Multi'!$F$105:$F$134</c:f>
              <c:numCache>
                <c:formatCode>General</c:formatCode>
                <c:ptCount val="30"/>
                <c:pt idx="0">
                  <c:v>10500</c:v>
                </c:pt>
                <c:pt idx="1">
                  <c:v>10500</c:v>
                </c:pt>
                <c:pt idx="2">
                  <c:v>10500</c:v>
                </c:pt>
                <c:pt idx="3">
                  <c:v>10500</c:v>
                </c:pt>
                <c:pt idx="4">
                  <c:v>10500</c:v>
                </c:pt>
                <c:pt idx="5">
                  <c:v>10500</c:v>
                </c:pt>
                <c:pt idx="6">
                  <c:v>10500</c:v>
                </c:pt>
                <c:pt idx="7">
                  <c:v>10500</c:v>
                </c:pt>
                <c:pt idx="8">
                  <c:v>10500</c:v>
                </c:pt>
                <c:pt idx="9">
                  <c:v>10500</c:v>
                </c:pt>
                <c:pt idx="10">
                  <c:v>10500</c:v>
                </c:pt>
                <c:pt idx="11">
                  <c:v>10500</c:v>
                </c:pt>
                <c:pt idx="12">
                  <c:v>10500</c:v>
                </c:pt>
                <c:pt idx="13">
                  <c:v>10500</c:v>
                </c:pt>
                <c:pt idx="14">
                  <c:v>10500</c:v>
                </c:pt>
                <c:pt idx="15">
                  <c:v>10500</c:v>
                </c:pt>
                <c:pt idx="16">
                  <c:v>10500</c:v>
                </c:pt>
                <c:pt idx="17">
                  <c:v>10500</c:v>
                </c:pt>
                <c:pt idx="18">
                  <c:v>10500</c:v>
                </c:pt>
                <c:pt idx="19">
                  <c:v>10500</c:v>
                </c:pt>
                <c:pt idx="20">
                  <c:v>10500</c:v>
                </c:pt>
                <c:pt idx="21">
                  <c:v>10500</c:v>
                </c:pt>
                <c:pt idx="22">
                  <c:v>10500</c:v>
                </c:pt>
                <c:pt idx="23">
                  <c:v>10500</c:v>
                </c:pt>
                <c:pt idx="24">
                  <c:v>10500</c:v>
                </c:pt>
                <c:pt idx="25">
                  <c:v>10500</c:v>
                </c:pt>
                <c:pt idx="26">
                  <c:v>10500</c:v>
                </c:pt>
                <c:pt idx="27">
                  <c:v>10500</c:v>
                </c:pt>
                <c:pt idx="28">
                  <c:v>10500</c:v>
                </c:pt>
                <c:pt idx="29">
                  <c:v>10500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ECA-4DBF-890D-DB3309529F79}"/>
            </c:ext>
          </c:extLst>
        </c:ser>
        <c:ser>
          <c:idx val="37"/>
          <c:order val="36"/>
          <c:tx>
            <c:strRef>
              <c:f>'Campbell Multi'!$G$101</c:f>
              <c:strCache>
                <c:ptCount val="1"/>
                <c:pt idx="0">
                  <c:v>ωcr fn_5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Multi'!$G$138:$G$167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2500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Multi'!$G$105:$G$134</c:f>
              <c:numCache>
                <c:formatCode>General</c:formatCode>
                <c:ptCount val="30"/>
                <c:pt idx="0">
                  <c:v>12500</c:v>
                </c:pt>
                <c:pt idx="1">
                  <c:v>12500</c:v>
                </c:pt>
                <c:pt idx="2">
                  <c:v>12500</c:v>
                </c:pt>
                <c:pt idx="3">
                  <c:v>12500</c:v>
                </c:pt>
                <c:pt idx="4">
                  <c:v>12500</c:v>
                </c:pt>
                <c:pt idx="5">
                  <c:v>12500</c:v>
                </c:pt>
                <c:pt idx="6">
                  <c:v>12500</c:v>
                </c:pt>
                <c:pt idx="7">
                  <c:v>12500</c:v>
                </c:pt>
                <c:pt idx="8">
                  <c:v>12500</c:v>
                </c:pt>
                <c:pt idx="9">
                  <c:v>12500</c:v>
                </c:pt>
                <c:pt idx="10">
                  <c:v>12500</c:v>
                </c:pt>
                <c:pt idx="11">
                  <c:v>12500</c:v>
                </c:pt>
                <c:pt idx="12">
                  <c:v>12500</c:v>
                </c:pt>
                <c:pt idx="13">
                  <c:v>12500</c:v>
                </c:pt>
                <c:pt idx="14">
                  <c:v>12500</c:v>
                </c:pt>
                <c:pt idx="15">
                  <c:v>12500</c:v>
                </c:pt>
                <c:pt idx="16">
                  <c:v>12500</c:v>
                </c:pt>
                <c:pt idx="17">
                  <c:v>12500</c:v>
                </c:pt>
                <c:pt idx="18">
                  <c:v>12500</c:v>
                </c:pt>
                <c:pt idx="19">
                  <c:v>12500</c:v>
                </c:pt>
                <c:pt idx="20">
                  <c:v>12500</c:v>
                </c:pt>
                <c:pt idx="21">
                  <c:v>12500</c:v>
                </c:pt>
                <c:pt idx="22">
                  <c:v>12500</c:v>
                </c:pt>
                <c:pt idx="23">
                  <c:v>12500</c:v>
                </c:pt>
                <c:pt idx="24">
                  <c:v>12500</c:v>
                </c:pt>
                <c:pt idx="25">
                  <c:v>12500</c:v>
                </c:pt>
                <c:pt idx="26">
                  <c:v>12500</c:v>
                </c:pt>
                <c:pt idx="27">
                  <c:v>12500</c:v>
                </c:pt>
                <c:pt idx="28">
                  <c:v>12500</c:v>
                </c:pt>
                <c:pt idx="29">
                  <c:v>12500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ECA-4DBF-890D-DB3309529F79}"/>
            </c:ext>
          </c:extLst>
        </c:ser>
        <c:ser>
          <c:idx val="36"/>
          <c:order val="37"/>
          <c:tx>
            <c:strRef>
              <c:f>'Campbell Multi'!$H$101</c:f>
              <c:strCache>
                <c:ptCount val="1"/>
                <c:pt idx="0">
                  <c:v>ωcr fn_6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Multi'!$H$138:$H$167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Multi'!$H$105:$H$134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ECA-4DBF-890D-DB3309529F79}"/>
            </c:ext>
          </c:extLst>
        </c:ser>
        <c:ser>
          <c:idx val="38"/>
          <c:order val="38"/>
          <c:tx>
            <c:strRef>
              <c:f>'Campbell Multi'!$I$101</c:f>
              <c:strCache>
                <c:ptCount val="1"/>
                <c:pt idx="0">
                  <c:v>ωcr fn_7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Multi'!$I$138:$I$167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Multi'!$I$105:$I$134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ECA-4DBF-890D-DB3309529F79}"/>
            </c:ext>
          </c:extLst>
        </c:ser>
        <c:ser>
          <c:idx val="39"/>
          <c:order val="39"/>
          <c:tx>
            <c:strRef>
              <c:f>'Campbell Multi'!$J$101</c:f>
              <c:strCache>
                <c:ptCount val="1"/>
                <c:pt idx="0">
                  <c:v>ωcr fn_8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Multi'!$J$138:$J$167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Multi'!$J$105:$J$134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ECA-4DBF-890D-DB3309529F79}"/>
            </c:ext>
          </c:extLst>
        </c:ser>
        <c:ser>
          <c:idx val="40"/>
          <c:order val="40"/>
          <c:tx>
            <c:strRef>
              <c:f>'Campbell Multi'!$K$101</c:f>
              <c:strCache>
                <c:ptCount val="1"/>
                <c:pt idx="0">
                  <c:v>ωcr fn_9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Multi'!$K$138:$K$167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Multi'!$K$105:$K$134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ECA-4DBF-890D-DB3309529F79}"/>
            </c:ext>
          </c:extLst>
        </c:ser>
        <c:ser>
          <c:idx val="41"/>
          <c:order val="41"/>
          <c:tx>
            <c:strRef>
              <c:f>'Campbell Multi'!$L$101</c:f>
              <c:strCache>
                <c:ptCount val="1"/>
                <c:pt idx="0">
                  <c:v>ωcr fn_10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Multi'!$L$138:$L$167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Multi'!$L$105:$L$134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ECA-4DBF-890D-DB3309529F79}"/>
            </c:ext>
          </c:extLst>
        </c:ser>
        <c:ser>
          <c:idx val="42"/>
          <c:order val="42"/>
          <c:tx>
            <c:strRef>
              <c:f>'Campbell Multi'!$M$29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Multi'!$O$29:$P$29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ECA-4DBF-890D-DB3309529F79}"/>
            </c:ext>
          </c:extLst>
        </c:ser>
        <c:ser>
          <c:idx val="43"/>
          <c:order val="43"/>
          <c:tx>
            <c:strRef>
              <c:f>'Campbell Multi'!$M$30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Multi'!$O$30:$P$30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ECA-4DBF-890D-DB3309529F79}"/>
            </c:ext>
          </c:extLst>
        </c:ser>
        <c:ser>
          <c:idx val="44"/>
          <c:order val="44"/>
          <c:tx>
            <c:strRef>
              <c:f>'Campbell Multi'!$M$31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Multi'!$O$31:$P$31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ECA-4DBF-890D-DB3309529F79}"/>
            </c:ext>
          </c:extLst>
        </c:ser>
        <c:ser>
          <c:idx val="45"/>
          <c:order val="45"/>
          <c:tx>
            <c:strRef>
              <c:f>'Campbell Multi'!$M$32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Multi'!$O$32:$P$32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ECA-4DBF-890D-DB3309529F79}"/>
            </c:ext>
          </c:extLst>
        </c:ser>
        <c:ser>
          <c:idx val="46"/>
          <c:order val="46"/>
          <c:tx>
            <c:strRef>
              <c:f>'Campbell Multi'!$M$33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Multi'!$O$33:$P$33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ECA-4DBF-890D-DB3309529F79}"/>
            </c:ext>
          </c:extLst>
        </c:ser>
        <c:ser>
          <c:idx val="47"/>
          <c:order val="47"/>
          <c:tx>
            <c:strRef>
              <c:f>'Campbell Multi'!$M$34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Multi'!$O$34:$P$34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6ECA-4DBF-890D-DB3309529F79}"/>
            </c:ext>
          </c:extLst>
        </c:ser>
        <c:ser>
          <c:idx val="48"/>
          <c:order val="48"/>
          <c:tx>
            <c:strRef>
              <c:f>'Campbell Multi'!$M$35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Multi'!$O$35:$P$35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6ECA-4DBF-890D-DB3309529F79}"/>
            </c:ext>
          </c:extLst>
        </c:ser>
        <c:ser>
          <c:idx val="49"/>
          <c:order val="49"/>
          <c:tx>
            <c:strRef>
              <c:f>'Campbell Multi'!$M$36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Multi'!$O$36:$P$36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ECA-4DBF-890D-DB3309529F79}"/>
            </c:ext>
          </c:extLst>
        </c:ser>
        <c:ser>
          <c:idx val="50"/>
          <c:order val="50"/>
          <c:tx>
            <c:strRef>
              <c:f>'Campbell Multi'!$M$37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Multi'!$O$37:$P$37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ECA-4DBF-890D-DB3309529F79}"/>
            </c:ext>
          </c:extLst>
        </c:ser>
        <c:ser>
          <c:idx val="51"/>
          <c:order val="51"/>
          <c:tx>
            <c:strRef>
              <c:f>'Campbell Multi'!$M$38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Multi'!$O$38:$P$38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ECA-4DBF-890D-DB3309529F79}"/>
            </c:ext>
          </c:extLst>
        </c:ser>
        <c:ser>
          <c:idx val="52"/>
          <c:order val="52"/>
          <c:tx>
            <c:strRef>
              <c:f>'Campbell Multi'!$M$39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6ECA-4DBF-890D-DB3309529F79}"/>
            </c:ext>
          </c:extLst>
        </c:ser>
        <c:ser>
          <c:idx val="53"/>
          <c:order val="53"/>
          <c:tx>
            <c:strRef>
              <c:f>'Campbell Multi'!$M$40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Multi'!$O$40:$P$40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6ECA-4DBF-890D-DB3309529F79}"/>
            </c:ext>
          </c:extLst>
        </c:ser>
        <c:ser>
          <c:idx val="54"/>
          <c:order val="54"/>
          <c:tx>
            <c:strRef>
              <c:f>'Campbell Multi'!$M$41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Multi'!$O$41:$P$41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ECA-4DBF-890D-DB3309529F79}"/>
            </c:ext>
          </c:extLst>
        </c:ser>
        <c:ser>
          <c:idx val="55"/>
          <c:order val="55"/>
          <c:tx>
            <c:strRef>
              <c:f>'Campbell Multi'!$M$42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Multi'!$O$42:$P$42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ECA-4DBF-890D-DB3309529F79}"/>
            </c:ext>
          </c:extLst>
        </c:ser>
        <c:ser>
          <c:idx val="56"/>
          <c:order val="56"/>
          <c:tx>
            <c:strRef>
              <c:f>'Campbell Multi'!$M$43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Multi'!$O$43:$P$43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ECA-4DBF-890D-DB3309529F79}"/>
            </c:ext>
          </c:extLst>
        </c:ser>
        <c:ser>
          <c:idx val="57"/>
          <c:order val="57"/>
          <c:tx>
            <c:strRef>
              <c:f>'Campbell Multi'!$M$44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Multi'!$O$44:$P$44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ECA-4DBF-890D-DB3309529F79}"/>
            </c:ext>
          </c:extLst>
        </c:ser>
        <c:ser>
          <c:idx val="58"/>
          <c:order val="58"/>
          <c:tx>
            <c:strRef>
              <c:f>'Campbell Multi'!$M$45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Multi'!$O$45:$P$45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6ECA-4DBF-890D-DB3309529F79}"/>
            </c:ext>
          </c:extLst>
        </c:ser>
        <c:ser>
          <c:idx val="59"/>
          <c:order val="59"/>
          <c:tx>
            <c:strRef>
              <c:f>'Campbell Multi'!$M$46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Multi'!$O$46:$P$46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6ECA-4DBF-890D-DB3309529F79}"/>
            </c:ext>
          </c:extLst>
        </c:ser>
        <c:ser>
          <c:idx val="60"/>
          <c:order val="60"/>
          <c:tx>
            <c:strRef>
              <c:f>'Campbell Multi'!$M$47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Multi'!$O$47:$P$47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6ECA-4DBF-890D-DB3309529F79}"/>
            </c:ext>
          </c:extLst>
        </c:ser>
        <c:ser>
          <c:idx val="61"/>
          <c:order val="61"/>
          <c:tx>
            <c:strRef>
              <c:f>'Campbell Multi'!$M$48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Multi'!$O$48:$P$48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6ECA-4DBF-890D-DB3309529F79}"/>
            </c:ext>
          </c:extLst>
        </c:ser>
        <c:ser>
          <c:idx val="62"/>
          <c:order val="62"/>
          <c:tx>
            <c:strRef>
              <c:f>'Campbell Multi'!$I$29</c:f>
              <c:strCache>
                <c:ptCount val="1"/>
                <c:pt idx="0">
                  <c:v>fn_11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Multi'!$J$29:$K$29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6ECA-4DBF-890D-DB3309529F79}"/>
            </c:ext>
          </c:extLst>
        </c:ser>
        <c:ser>
          <c:idx val="63"/>
          <c:order val="63"/>
          <c:tx>
            <c:strRef>
              <c:f>'Campbell Multi'!$I$30</c:f>
              <c:strCache>
                <c:ptCount val="1"/>
                <c:pt idx="0">
                  <c:v>fn_12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Multi'!$J$30:$K$30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6ECA-4DBF-890D-DB3309529F79}"/>
            </c:ext>
          </c:extLst>
        </c:ser>
        <c:ser>
          <c:idx val="64"/>
          <c:order val="64"/>
          <c:tx>
            <c:strRef>
              <c:f>'Campbell Multi'!$I$31</c:f>
              <c:strCache>
                <c:ptCount val="1"/>
                <c:pt idx="0">
                  <c:v>fn_13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Multi'!$J$31:$K$31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6ECA-4DBF-890D-DB3309529F79}"/>
            </c:ext>
          </c:extLst>
        </c:ser>
        <c:ser>
          <c:idx val="65"/>
          <c:order val="65"/>
          <c:tx>
            <c:strRef>
              <c:f>'Campbell Multi'!$I$32</c:f>
              <c:strCache>
                <c:ptCount val="1"/>
                <c:pt idx="0">
                  <c:v>fn_14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Multi'!$J$32:$K$32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6ECA-4DBF-890D-DB3309529F79}"/>
            </c:ext>
          </c:extLst>
        </c:ser>
        <c:ser>
          <c:idx val="66"/>
          <c:order val="66"/>
          <c:tx>
            <c:strRef>
              <c:f>'Campbell Multi'!$I$33</c:f>
              <c:strCache>
                <c:ptCount val="1"/>
                <c:pt idx="0">
                  <c:v>fn_15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Multi'!$J$33:$K$33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6ECA-4DBF-890D-DB3309529F79}"/>
            </c:ext>
          </c:extLst>
        </c:ser>
        <c:ser>
          <c:idx val="67"/>
          <c:order val="67"/>
          <c:tx>
            <c:strRef>
              <c:f>'Campbell Multi'!$I$34</c:f>
              <c:strCache>
                <c:ptCount val="1"/>
                <c:pt idx="0">
                  <c:v>fn_16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Multi'!$J$34:$K$34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6ECA-4DBF-890D-DB3309529F79}"/>
            </c:ext>
          </c:extLst>
        </c:ser>
        <c:ser>
          <c:idx val="68"/>
          <c:order val="68"/>
          <c:tx>
            <c:strRef>
              <c:f>'Campbell Multi'!$I$35</c:f>
              <c:strCache>
                <c:ptCount val="1"/>
                <c:pt idx="0">
                  <c:v>fn_17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Multi'!$J$35:$K$35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6ECA-4DBF-890D-DB3309529F79}"/>
            </c:ext>
          </c:extLst>
        </c:ser>
        <c:ser>
          <c:idx val="69"/>
          <c:order val="69"/>
          <c:tx>
            <c:strRef>
              <c:f>'Campbell Multi'!$I$36</c:f>
              <c:strCache>
                <c:ptCount val="1"/>
                <c:pt idx="0">
                  <c:v>fn_18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Multi'!$J$36:$K$36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6ECA-4DBF-890D-DB3309529F79}"/>
            </c:ext>
          </c:extLst>
        </c:ser>
        <c:ser>
          <c:idx val="70"/>
          <c:order val="70"/>
          <c:tx>
            <c:strRef>
              <c:f>'Campbell Multi'!$I$37</c:f>
              <c:strCache>
                <c:ptCount val="1"/>
                <c:pt idx="0">
                  <c:v>fn_19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Multi'!$J$37:$K$37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6ECA-4DBF-890D-DB3309529F79}"/>
            </c:ext>
          </c:extLst>
        </c:ser>
        <c:ser>
          <c:idx val="71"/>
          <c:order val="71"/>
          <c:tx>
            <c:strRef>
              <c:f>'Campbell Multi'!$I$38</c:f>
              <c:strCache>
                <c:ptCount val="1"/>
                <c:pt idx="0">
                  <c:v>fn_20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Multi'!$J$38:$K$38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6ECA-4DBF-890D-DB3309529F79}"/>
            </c:ext>
          </c:extLst>
        </c:ser>
        <c:ser>
          <c:idx val="72"/>
          <c:order val="72"/>
          <c:tx>
            <c:strRef>
              <c:f>'Campbell Multi'!$I$39</c:f>
              <c:strCache>
                <c:ptCount val="1"/>
                <c:pt idx="0">
                  <c:v>fn_21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Multi'!$J$39:$K$39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6ECA-4DBF-890D-DB3309529F79}"/>
            </c:ext>
          </c:extLst>
        </c:ser>
        <c:ser>
          <c:idx val="73"/>
          <c:order val="73"/>
          <c:tx>
            <c:strRef>
              <c:f>'Campbell Multi'!$I$40</c:f>
              <c:strCache>
                <c:ptCount val="1"/>
                <c:pt idx="0">
                  <c:v>fn_22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Multi'!$J$40:$K$40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6ECA-4DBF-890D-DB3309529F79}"/>
            </c:ext>
          </c:extLst>
        </c:ser>
        <c:ser>
          <c:idx val="74"/>
          <c:order val="74"/>
          <c:tx>
            <c:strRef>
              <c:f>'Campbell Multi'!$I$41</c:f>
              <c:strCache>
                <c:ptCount val="1"/>
                <c:pt idx="0">
                  <c:v>fn_23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Multi'!$J$41:$K$41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6ECA-4DBF-890D-DB3309529F79}"/>
            </c:ext>
          </c:extLst>
        </c:ser>
        <c:ser>
          <c:idx val="75"/>
          <c:order val="75"/>
          <c:tx>
            <c:strRef>
              <c:f>'Campbell Multi'!$I$42</c:f>
              <c:strCache>
                <c:ptCount val="1"/>
                <c:pt idx="0">
                  <c:v>fn_24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Multi'!$J$42:$K$42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6ECA-4DBF-890D-DB3309529F79}"/>
            </c:ext>
          </c:extLst>
        </c:ser>
        <c:ser>
          <c:idx val="76"/>
          <c:order val="76"/>
          <c:tx>
            <c:strRef>
              <c:f>'Campbell Multi'!$I$43</c:f>
              <c:strCache>
                <c:ptCount val="1"/>
                <c:pt idx="0">
                  <c:v>fn_25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Multi'!$J$43:$K$43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6ECA-4DBF-890D-DB3309529F79}"/>
            </c:ext>
          </c:extLst>
        </c:ser>
        <c:ser>
          <c:idx val="77"/>
          <c:order val="77"/>
          <c:tx>
            <c:strRef>
              <c:f>'Campbell Multi'!$I$44</c:f>
              <c:strCache>
                <c:ptCount val="1"/>
                <c:pt idx="0">
                  <c:v>fn_26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Multi'!$J$44:$K$44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6ECA-4DBF-890D-DB3309529F79}"/>
            </c:ext>
          </c:extLst>
        </c:ser>
        <c:ser>
          <c:idx val="78"/>
          <c:order val="78"/>
          <c:tx>
            <c:strRef>
              <c:f>'Campbell Multi'!$I$45</c:f>
              <c:strCache>
                <c:ptCount val="1"/>
                <c:pt idx="0">
                  <c:v>fn_27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Multi'!$J$45:$K$45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6ECA-4DBF-890D-DB3309529F79}"/>
            </c:ext>
          </c:extLst>
        </c:ser>
        <c:ser>
          <c:idx val="79"/>
          <c:order val="79"/>
          <c:tx>
            <c:strRef>
              <c:f>'Campbell Multi'!$I$46</c:f>
              <c:strCache>
                <c:ptCount val="1"/>
                <c:pt idx="0">
                  <c:v>fn_28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Multi'!$J$46:$K$46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6ECA-4DBF-890D-DB3309529F79}"/>
            </c:ext>
          </c:extLst>
        </c:ser>
        <c:ser>
          <c:idx val="80"/>
          <c:order val="80"/>
          <c:tx>
            <c:strRef>
              <c:f>'Campbell Multi'!$I$47</c:f>
              <c:strCache>
                <c:ptCount val="1"/>
                <c:pt idx="0">
                  <c:v>fn_29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Multi'!$J$47:$K$47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6ECA-4DBF-890D-DB3309529F79}"/>
            </c:ext>
          </c:extLst>
        </c:ser>
        <c:ser>
          <c:idx val="81"/>
          <c:order val="81"/>
          <c:tx>
            <c:strRef>
              <c:f>'Campbell Multi'!$I$48</c:f>
              <c:strCache>
                <c:ptCount val="1"/>
                <c:pt idx="0">
                  <c:v>fn_30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6ECA-4DBF-890D-DB3309529F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Multi'!$J$15:$K$15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Multi'!$J$48:$K$48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6ECA-4DBF-890D-DB3309529F79}"/>
            </c:ext>
          </c:extLst>
        </c:ser>
        <c:ser>
          <c:idx val="82"/>
          <c:order val="82"/>
          <c:tx>
            <c:strRef>
              <c:f>'Campbell Multi'!$M$101</c:f>
              <c:strCache>
                <c:ptCount val="1"/>
                <c:pt idx="0">
                  <c:v>ωcr fn_11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Multi'!$M$138:$M$167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Multi'!$M$105:$M$134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6ECA-4DBF-890D-DB3309529F79}"/>
            </c:ext>
          </c:extLst>
        </c:ser>
        <c:ser>
          <c:idx val="83"/>
          <c:order val="83"/>
          <c:tx>
            <c:strRef>
              <c:f>'Campbell Multi'!$N$101</c:f>
              <c:strCache>
                <c:ptCount val="1"/>
                <c:pt idx="0">
                  <c:v>ωcr fn_12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Multi'!$N$138:$N$167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Multi'!$N$105:$N$134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6ECA-4DBF-890D-DB3309529F79}"/>
            </c:ext>
          </c:extLst>
        </c:ser>
        <c:ser>
          <c:idx val="84"/>
          <c:order val="84"/>
          <c:tx>
            <c:strRef>
              <c:f>'Campbell Multi'!$O$101</c:f>
              <c:strCache>
                <c:ptCount val="1"/>
                <c:pt idx="0">
                  <c:v>ωcr fn_13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Multi'!$O$138:$O$167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Multi'!$O$105:$O$134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6ECA-4DBF-890D-DB3309529F79}"/>
            </c:ext>
          </c:extLst>
        </c:ser>
        <c:ser>
          <c:idx val="85"/>
          <c:order val="85"/>
          <c:tx>
            <c:strRef>
              <c:f>'Campbell Multi'!$P$101</c:f>
              <c:strCache>
                <c:ptCount val="1"/>
                <c:pt idx="0">
                  <c:v>ωcr fn_14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Multi'!$P$138:$P$167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Multi'!$P$105:$P$134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6ECA-4DBF-890D-DB3309529F79}"/>
            </c:ext>
          </c:extLst>
        </c:ser>
        <c:ser>
          <c:idx val="86"/>
          <c:order val="86"/>
          <c:tx>
            <c:strRef>
              <c:f>'Campbell Multi'!$Q$101</c:f>
              <c:strCache>
                <c:ptCount val="1"/>
                <c:pt idx="0">
                  <c:v>ωcr fn_15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Multi'!$Q$138:$Q$167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Multi'!$Q$105:$Q$134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6ECA-4DBF-890D-DB3309529F79}"/>
            </c:ext>
          </c:extLst>
        </c:ser>
        <c:ser>
          <c:idx val="87"/>
          <c:order val="87"/>
          <c:tx>
            <c:strRef>
              <c:f>'Campbell Multi'!$R$101</c:f>
              <c:strCache>
                <c:ptCount val="1"/>
                <c:pt idx="0">
                  <c:v>ωcr fn_16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Multi'!$R$138:$R$167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Multi'!$R$105:$R$134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6ECA-4DBF-890D-DB3309529F79}"/>
            </c:ext>
          </c:extLst>
        </c:ser>
        <c:ser>
          <c:idx val="88"/>
          <c:order val="88"/>
          <c:tx>
            <c:strRef>
              <c:f>'Campbell Multi'!$S$101</c:f>
              <c:strCache>
                <c:ptCount val="1"/>
                <c:pt idx="0">
                  <c:v>ωcr fn_17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Multi'!$S$138:$S$167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Multi'!$S$105:$S$134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6ECA-4DBF-890D-DB3309529F79}"/>
            </c:ext>
          </c:extLst>
        </c:ser>
        <c:ser>
          <c:idx val="89"/>
          <c:order val="89"/>
          <c:tx>
            <c:strRef>
              <c:f>'Campbell Multi'!$T$101</c:f>
              <c:strCache>
                <c:ptCount val="1"/>
                <c:pt idx="0">
                  <c:v>ωcr fn_18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Multi'!$T$138:$T$167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Multi'!$T$105:$T$134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6ECA-4DBF-890D-DB3309529F79}"/>
            </c:ext>
          </c:extLst>
        </c:ser>
        <c:ser>
          <c:idx val="90"/>
          <c:order val="90"/>
          <c:tx>
            <c:strRef>
              <c:f>'Campbell Multi'!$U$101</c:f>
              <c:strCache>
                <c:ptCount val="1"/>
                <c:pt idx="0">
                  <c:v>ωcr fn_19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Multi'!$U$138:$U$167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Multi'!$U$105:$U$134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6ECA-4DBF-890D-DB3309529F79}"/>
            </c:ext>
          </c:extLst>
        </c:ser>
        <c:ser>
          <c:idx val="91"/>
          <c:order val="91"/>
          <c:tx>
            <c:strRef>
              <c:f>'Campbell Multi'!$V$101</c:f>
              <c:strCache>
                <c:ptCount val="1"/>
                <c:pt idx="0">
                  <c:v>ωcr fn_20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Multi'!$V$138:$V$167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Multi'!$V$105:$V$134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6ECA-4DBF-890D-DB3309529F79}"/>
            </c:ext>
          </c:extLst>
        </c:ser>
        <c:ser>
          <c:idx val="92"/>
          <c:order val="92"/>
          <c:tx>
            <c:strRef>
              <c:f>'Campbell Multi'!$W$101</c:f>
              <c:strCache>
                <c:ptCount val="1"/>
                <c:pt idx="0">
                  <c:v>ωcr fn_21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Multi'!$W$138:$W$167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Multi'!$W$105:$W$134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6ECA-4DBF-890D-DB3309529F79}"/>
            </c:ext>
          </c:extLst>
        </c:ser>
        <c:ser>
          <c:idx val="93"/>
          <c:order val="93"/>
          <c:tx>
            <c:strRef>
              <c:f>'Campbell Multi'!$X$101</c:f>
              <c:strCache>
                <c:ptCount val="1"/>
                <c:pt idx="0">
                  <c:v>ωcr fn_22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Multi'!$X$138:$X$167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Multi'!$X$105:$X$134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6ECA-4DBF-890D-DB3309529F79}"/>
            </c:ext>
          </c:extLst>
        </c:ser>
        <c:ser>
          <c:idx val="94"/>
          <c:order val="94"/>
          <c:tx>
            <c:strRef>
              <c:f>'Campbell Multi'!$Y$101</c:f>
              <c:strCache>
                <c:ptCount val="1"/>
                <c:pt idx="0">
                  <c:v>ωcr fn_23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Multi'!$Y$138:$Y$167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Multi'!$Y$105:$Y$134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6ECA-4DBF-890D-DB3309529F79}"/>
            </c:ext>
          </c:extLst>
        </c:ser>
        <c:ser>
          <c:idx val="95"/>
          <c:order val="95"/>
          <c:tx>
            <c:strRef>
              <c:f>'Campbell Multi'!$Z$101</c:f>
              <c:strCache>
                <c:ptCount val="1"/>
                <c:pt idx="0">
                  <c:v>ωcr fn_24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Multi'!$Z$138:$Z$167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Multi'!$Z$105:$Z$134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6ECA-4DBF-890D-DB3309529F79}"/>
            </c:ext>
          </c:extLst>
        </c:ser>
        <c:ser>
          <c:idx val="96"/>
          <c:order val="96"/>
          <c:tx>
            <c:strRef>
              <c:f>'Campbell Multi'!$AA$101</c:f>
              <c:strCache>
                <c:ptCount val="1"/>
                <c:pt idx="0">
                  <c:v>ωcr fn_25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Multi'!$AA$138:$AA$167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Multi'!$AA$105:$AA$134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6ECA-4DBF-890D-DB3309529F79}"/>
            </c:ext>
          </c:extLst>
        </c:ser>
        <c:ser>
          <c:idx val="97"/>
          <c:order val="97"/>
          <c:tx>
            <c:strRef>
              <c:f>'Campbell Multi'!$AB$101</c:f>
              <c:strCache>
                <c:ptCount val="1"/>
                <c:pt idx="0">
                  <c:v>ωcr fn_26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Multi'!$AB$138:$AB$167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Multi'!$AB$105:$AB$134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6ECA-4DBF-890D-DB3309529F79}"/>
            </c:ext>
          </c:extLst>
        </c:ser>
        <c:ser>
          <c:idx val="98"/>
          <c:order val="98"/>
          <c:tx>
            <c:strRef>
              <c:f>'Campbell Multi'!$AC$101</c:f>
              <c:strCache>
                <c:ptCount val="1"/>
                <c:pt idx="0">
                  <c:v>ωcr fn_27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Multi'!$AC$138:$AC$167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Multi'!$AC$105:$AC$134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6ECA-4DBF-890D-DB3309529F79}"/>
            </c:ext>
          </c:extLst>
        </c:ser>
        <c:ser>
          <c:idx val="99"/>
          <c:order val="99"/>
          <c:tx>
            <c:strRef>
              <c:f>'Campbell Multi'!$AD$101</c:f>
              <c:strCache>
                <c:ptCount val="1"/>
                <c:pt idx="0">
                  <c:v>ωcr fn_28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Multi'!$AD$138:$AD$167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Multi'!$AD$105:$AD$134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6ECA-4DBF-890D-DB3309529F79}"/>
            </c:ext>
          </c:extLst>
        </c:ser>
        <c:ser>
          <c:idx val="100"/>
          <c:order val="100"/>
          <c:tx>
            <c:strRef>
              <c:f>'Campbell Multi'!$AE$101</c:f>
              <c:strCache>
                <c:ptCount val="1"/>
                <c:pt idx="0">
                  <c:v>ωcr fn_29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Multi'!$AE$138:$AE$167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Multi'!$AE$105:$AE$134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6ECA-4DBF-890D-DB3309529F79}"/>
            </c:ext>
          </c:extLst>
        </c:ser>
        <c:ser>
          <c:idx val="101"/>
          <c:order val="101"/>
          <c:tx>
            <c:strRef>
              <c:f>'Campbell Multi'!$AF$101</c:f>
              <c:strCache>
                <c:ptCount val="1"/>
                <c:pt idx="0">
                  <c:v>ωcr fn_30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Multi'!$AF$138:$AF$167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Multi'!$AF$105:$AF$134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6ECA-4DBF-890D-DB3309529F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110959"/>
        <c:axId val="1351277743"/>
      </c:scatterChart>
      <c:valAx>
        <c:axId val="1837110959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n</a:t>
                </a:r>
                <a:r>
                  <a:rPr lang="en-US" sz="1000" b="1" i="0" u="none" strike="noStrike" kern="1200" baseline="-25000">
                    <a:solidFill>
                      <a:sysClr val="windowText" lastClr="000000"/>
                    </a:solidFill>
                  </a:rPr>
                  <a:t>run</a:t>
                </a: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1277743"/>
        <c:crosses val="autoZero"/>
        <c:crossBetween val="midCat"/>
      </c:valAx>
      <c:valAx>
        <c:axId val="1351277743"/>
        <c:scaling>
          <c:orientation val="minMax"/>
          <c:max val="4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f</a:t>
                </a:r>
                <a:r>
                  <a:rPr lang="en-US" sz="1000" b="1" i="0" u="none" strike="noStrike" kern="1200" baseline="-25000">
                    <a:solidFill>
                      <a:sysClr val="windowText" lastClr="000000"/>
                    </a:solidFill>
                  </a:rPr>
                  <a:t>n</a:t>
                </a: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37110959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'Campbell VFD'!$I$3</c:f>
              <c:strCache>
                <c:ptCount val="1"/>
                <c:pt idx="0">
                  <c:v>-10% * nmin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'Campbell VFD'!$J$3:$K$3</c:f>
              <c:numCache>
                <c:formatCode>General</c:formatCode>
                <c:ptCount val="2"/>
                <c:pt idx="0">
                  <c:v>1336.5</c:v>
                </c:pt>
                <c:pt idx="1">
                  <c:v>1336.5</c:v>
                </c:pt>
              </c:numCache>
            </c:numRef>
          </c:xVal>
          <c:yVal>
            <c:numRef>
              <c:f>'Campbell VFD'!$J$16:$K$16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80-45F1-912D-3790FAF9DD4F}"/>
            </c:ext>
          </c:extLst>
        </c:ser>
        <c:ser>
          <c:idx val="1"/>
          <c:order val="1"/>
          <c:tx>
            <c:strRef>
              <c:f>'Campbell VFD'!$I$4</c:f>
              <c:strCache>
                <c:ptCount val="1"/>
                <c:pt idx="0">
                  <c:v>nmin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VFD'!$J$4:$K$4</c:f>
              <c:numCache>
                <c:formatCode>General</c:formatCode>
                <c:ptCount val="2"/>
                <c:pt idx="0">
                  <c:v>1485</c:v>
                </c:pt>
                <c:pt idx="1">
                  <c:v>1485</c:v>
                </c:pt>
              </c:numCache>
            </c:numRef>
          </c:xVal>
          <c:yVal>
            <c:numRef>
              <c:f>'Campbell VFD'!$J$16:$K$16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80-45F1-912D-3790FAF9DD4F}"/>
            </c:ext>
          </c:extLst>
        </c:ser>
        <c:ser>
          <c:idx val="4"/>
          <c:order val="4"/>
          <c:tx>
            <c:strRef>
              <c:f>'Campbell VFD'!$I$7</c:f>
              <c:strCache>
                <c:ptCount val="1"/>
                <c:pt idx="0">
                  <c:v>nmax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VFD'!$J$7:$K$7</c:f>
              <c:numCache>
                <c:formatCode>General</c:formatCode>
                <c:ptCount val="2"/>
                <c:pt idx="0">
                  <c:v>5017</c:v>
                </c:pt>
                <c:pt idx="1">
                  <c:v>5017</c:v>
                </c:pt>
              </c:numCache>
            </c:numRef>
          </c:xVal>
          <c:yVal>
            <c:numRef>
              <c:f>'Campbell VFD'!$J$16:$K$16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F80-45F1-912D-3790FAF9DD4F}"/>
            </c:ext>
          </c:extLst>
        </c:ser>
        <c:ser>
          <c:idx val="5"/>
          <c:order val="5"/>
          <c:tx>
            <c:strRef>
              <c:f>'Campbell VFD'!$I$8</c:f>
              <c:strCache>
                <c:ptCount val="1"/>
                <c:pt idx="0">
                  <c:v>+10% * nmax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'Campbell VFD'!$J$8:$K$8</c:f>
              <c:numCache>
                <c:formatCode>General</c:formatCode>
                <c:ptCount val="2"/>
                <c:pt idx="0">
                  <c:v>5518.7000000000007</c:v>
                </c:pt>
                <c:pt idx="1">
                  <c:v>5518.7000000000007</c:v>
                </c:pt>
              </c:numCache>
            </c:numRef>
          </c:xVal>
          <c:yVal>
            <c:numRef>
              <c:f>'Campbell VFD'!$J$16:$K$16</c:f>
              <c:numCache>
                <c:formatCode>General</c:formatCode>
                <c:ptCount val="2"/>
                <c:pt idx="0">
                  <c:v>0</c:v>
                </c:pt>
                <c:pt idx="1">
                  <c:v>42000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F80-45F1-912D-3790FAF9DD4F}"/>
            </c:ext>
          </c:extLst>
        </c:ser>
        <c:ser>
          <c:idx val="6"/>
          <c:order val="6"/>
          <c:tx>
            <c:strRef>
              <c:f>'Campbell VFD'!$I$19</c:f>
              <c:strCache>
                <c:ptCount val="1"/>
                <c:pt idx="0">
                  <c:v>fn_1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9050" cap="rnd">
                <a:solidFill>
                  <a:schemeClr val="accent6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F80-45F1-912D-3790FAF9DD4F}"/>
              </c:ext>
            </c:extLst>
          </c:dPt>
          <c:dLbls>
            <c:dLbl>
              <c:idx val="0"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ln>
                        <a:solidFill>
                          <a:schemeClr val="tx1"/>
                        </a:solidFill>
                      </a:ln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8-3F80-45F1-912D-3790FAF9DD4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noFill/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VFD'!$J$19:$K$19</c:f>
              <c:numCache>
                <c:formatCode>General</c:formatCode>
                <c:ptCount val="2"/>
                <c:pt idx="0">
                  <c:v>3600</c:v>
                </c:pt>
                <c:pt idx="1">
                  <c:v>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F80-45F1-912D-3790FAF9DD4F}"/>
            </c:ext>
          </c:extLst>
        </c:ser>
        <c:ser>
          <c:idx val="7"/>
          <c:order val="7"/>
          <c:tx>
            <c:strRef>
              <c:f>'Campbell VFD'!$I$20</c:f>
              <c:strCache>
                <c:ptCount val="1"/>
                <c:pt idx="0">
                  <c:v>fn_2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VFD'!$J$20:$K$20</c:f>
              <c:numCache>
                <c:formatCode>General</c:formatCode>
                <c:ptCount val="2"/>
                <c:pt idx="0">
                  <c:v>5000</c:v>
                </c:pt>
                <c:pt idx="1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F80-45F1-912D-3790FAF9DD4F}"/>
            </c:ext>
          </c:extLst>
        </c:ser>
        <c:ser>
          <c:idx val="8"/>
          <c:order val="8"/>
          <c:tx>
            <c:strRef>
              <c:f>'Campbell VFD'!$I$21</c:f>
              <c:strCache>
                <c:ptCount val="1"/>
                <c:pt idx="0">
                  <c:v>fn_3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VFD'!$J$21:$K$21</c:f>
              <c:numCache>
                <c:formatCode>General</c:formatCode>
                <c:ptCount val="2"/>
                <c:pt idx="0">
                  <c:v>8500</c:v>
                </c:pt>
                <c:pt idx="1">
                  <c:v>8500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F80-45F1-912D-3790FAF9DD4F}"/>
            </c:ext>
          </c:extLst>
        </c:ser>
        <c:ser>
          <c:idx val="9"/>
          <c:order val="9"/>
          <c:tx>
            <c:strRef>
              <c:f>'Campbell VFD'!$I$22</c:f>
              <c:strCache>
                <c:ptCount val="1"/>
                <c:pt idx="0">
                  <c:v>fn_4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VFD'!$J$22:$K$22</c:f>
              <c:numCache>
                <c:formatCode>General</c:formatCode>
                <c:ptCount val="2"/>
                <c:pt idx="0">
                  <c:v>10500</c:v>
                </c:pt>
                <c:pt idx="1">
                  <c:v>10500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3F80-45F1-912D-3790FAF9DD4F}"/>
            </c:ext>
          </c:extLst>
        </c:ser>
        <c:ser>
          <c:idx val="10"/>
          <c:order val="10"/>
          <c:tx>
            <c:strRef>
              <c:f>'Campbell VFD'!$I$23</c:f>
              <c:strCache>
                <c:ptCount val="1"/>
                <c:pt idx="0">
                  <c:v>fn_5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VFD'!$J$23:$K$23</c:f>
              <c:numCache>
                <c:formatCode>General</c:formatCode>
                <c:ptCount val="2"/>
                <c:pt idx="0">
                  <c:v>12500</c:v>
                </c:pt>
                <c:pt idx="1">
                  <c:v>12500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F80-45F1-912D-3790FAF9DD4F}"/>
            </c:ext>
          </c:extLst>
        </c:ser>
        <c:ser>
          <c:idx val="11"/>
          <c:order val="11"/>
          <c:tx>
            <c:strRef>
              <c:f>'Campbell VFD'!$I$24</c:f>
              <c:strCache>
                <c:ptCount val="1"/>
                <c:pt idx="0">
                  <c:v>fn_6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VFD'!$J$24:$K$24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3F80-45F1-912D-3790FAF9DD4F}"/>
            </c:ext>
          </c:extLst>
        </c:ser>
        <c:ser>
          <c:idx val="12"/>
          <c:order val="12"/>
          <c:tx>
            <c:strRef>
              <c:f>'Campbell VFD'!$I$25</c:f>
              <c:strCache>
                <c:ptCount val="1"/>
                <c:pt idx="0">
                  <c:v>fn_7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VFD'!$J$25:$K$25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F80-45F1-912D-3790FAF9DD4F}"/>
            </c:ext>
          </c:extLst>
        </c:ser>
        <c:ser>
          <c:idx val="13"/>
          <c:order val="13"/>
          <c:tx>
            <c:strRef>
              <c:f>'Campbell VFD'!$I$26</c:f>
              <c:strCache>
                <c:ptCount val="1"/>
                <c:pt idx="0">
                  <c:v>fn_8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VFD'!$J$26:$K$26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3F80-45F1-912D-3790FAF9DD4F}"/>
            </c:ext>
          </c:extLst>
        </c:ser>
        <c:ser>
          <c:idx val="14"/>
          <c:order val="14"/>
          <c:tx>
            <c:strRef>
              <c:f>'Campbell VFD'!$I$27</c:f>
              <c:strCache>
                <c:ptCount val="1"/>
                <c:pt idx="0">
                  <c:v>fn_9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VFD'!$J$27:$K$27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3F80-45F1-912D-3790FAF9DD4F}"/>
            </c:ext>
          </c:extLst>
        </c:ser>
        <c:ser>
          <c:idx val="15"/>
          <c:order val="15"/>
          <c:tx>
            <c:strRef>
              <c:f>'Campbell VFD'!$I$28</c:f>
              <c:strCache>
                <c:ptCount val="1"/>
                <c:pt idx="0">
                  <c:v>fn_10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VFD'!$J$28:$K$28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3F80-45F1-912D-3790FAF9DD4F}"/>
            </c:ext>
          </c:extLst>
        </c:ser>
        <c:ser>
          <c:idx val="16"/>
          <c:order val="16"/>
          <c:tx>
            <c:strRef>
              <c:f>'Campbell VFD'!$M$19</c:f>
              <c:strCache>
                <c:ptCount val="1"/>
                <c:pt idx="0">
                  <c:v>1X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VFD'!$O$19:$P$19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3F80-45F1-912D-3790FAF9DD4F}"/>
            </c:ext>
          </c:extLst>
        </c:ser>
        <c:ser>
          <c:idx val="17"/>
          <c:order val="17"/>
          <c:tx>
            <c:strRef>
              <c:f>'Campbell VFD'!$M$20</c:f>
              <c:strCache>
                <c:ptCount val="1"/>
                <c:pt idx="0">
                  <c:v>2X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VFD'!$O$20:$P$20</c:f>
              <c:numCache>
                <c:formatCode>General</c:formatCode>
                <c:ptCount val="2"/>
                <c:pt idx="0">
                  <c:v>0</c:v>
                </c:pt>
                <c:pt idx="1">
                  <c:v>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3F80-45F1-912D-3790FAF9DD4F}"/>
            </c:ext>
          </c:extLst>
        </c:ser>
        <c:ser>
          <c:idx val="18"/>
          <c:order val="18"/>
          <c:tx>
            <c:strRef>
              <c:f>'Campbell VFD'!$M$21</c:f>
              <c:strCache>
                <c:ptCount val="1"/>
                <c:pt idx="0">
                  <c:v>5X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VFD'!$O$21:$P$21</c:f>
              <c:numCache>
                <c:formatCode>General</c:formatCode>
                <c:ptCount val="2"/>
                <c:pt idx="0">
                  <c:v>0</c:v>
                </c:pt>
                <c:pt idx="1">
                  <c:v>30000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3F80-45F1-912D-3790FAF9DD4F}"/>
            </c:ext>
          </c:extLst>
        </c:ser>
        <c:ser>
          <c:idx val="19"/>
          <c:order val="19"/>
          <c:tx>
            <c:strRef>
              <c:f>'Campbell VFD'!$M$22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VFD'!$O$22:$P$22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3F80-45F1-912D-3790FAF9DD4F}"/>
            </c:ext>
          </c:extLst>
        </c:ser>
        <c:ser>
          <c:idx val="20"/>
          <c:order val="20"/>
          <c:tx>
            <c:strRef>
              <c:f>'Campbell VFD'!$M$23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VFD'!$O$23:$P$23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3F80-45F1-912D-3790FAF9DD4F}"/>
            </c:ext>
          </c:extLst>
        </c:ser>
        <c:ser>
          <c:idx val="21"/>
          <c:order val="21"/>
          <c:tx>
            <c:strRef>
              <c:f>'Campbell VFD'!$M$24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VFD'!$O$24:$P$24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3F80-45F1-912D-3790FAF9DD4F}"/>
            </c:ext>
          </c:extLst>
        </c:ser>
        <c:ser>
          <c:idx val="22"/>
          <c:order val="22"/>
          <c:tx>
            <c:strRef>
              <c:f>'Campbell VFD'!$M$25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VFD'!$O$25:$P$25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3F80-45F1-912D-3790FAF9DD4F}"/>
            </c:ext>
          </c:extLst>
        </c:ser>
        <c:ser>
          <c:idx val="23"/>
          <c:order val="23"/>
          <c:tx>
            <c:strRef>
              <c:f>'Campbell VFD'!$M$26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VFD'!$O$26:$P$26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3F80-45F1-912D-3790FAF9DD4F}"/>
            </c:ext>
          </c:extLst>
        </c:ser>
        <c:ser>
          <c:idx val="24"/>
          <c:order val="24"/>
          <c:tx>
            <c:strRef>
              <c:f>'Campbell VFD'!$M$27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VFD'!$O$27:$P$27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3F80-45F1-912D-3790FAF9DD4F}"/>
            </c:ext>
          </c:extLst>
        </c:ser>
        <c:ser>
          <c:idx val="25"/>
          <c:order val="25"/>
          <c:tx>
            <c:strRef>
              <c:f>'Campbell VFD'!$M$28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VFD'!$O$28:$P$28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3F80-45F1-912D-3790FAF9DD4F}"/>
            </c:ext>
          </c:extLst>
        </c:ser>
        <c:ser>
          <c:idx val="26"/>
          <c:order val="26"/>
          <c:tx>
            <c:strRef>
              <c:f>'Campbell VFD'!$M$11</c:f>
              <c:strCache>
                <c:ptCount val="1"/>
                <c:pt idx="0">
                  <c:v>-10% *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VFD'!$N$11:$O$11</c:f>
              <c:numCache>
                <c:formatCode>0</c:formatCode>
                <c:ptCount val="2"/>
                <c:pt idx="0">
                  <c:v>2700</c:v>
                </c:pt>
                <c:pt idx="1">
                  <c:v>2700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3F80-45F1-912D-3790FAF9DD4F}"/>
            </c:ext>
          </c:extLst>
        </c:ser>
        <c:ser>
          <c:idx val="27"/>
          <c:order val="27"/>
          <c:tx>
            <c:strRef>
              <c:f>'Campbell VFD'!$M$12</c:f>
              <c:strCache>
                <c:ptCount val="1"/>
                <c:pt idx="0">
                  <c:v>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VFD'!$N$12:$O$12</c:f>
              <c:numCache>
                <c:formatCode>0</c:formatCode>
                <c:ptCount val="2"/>
                <c:pt idx="0">
                  <c:v>3000</c:v>
                </c:pt>
                <c:pt idx="1">
                  <c:v>3000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3F80-45F1-912D-3790FAF9DD4F}"/>
            </c:ext>
          </c:extLst>
        </c:ser>
        <c:ser>
          <c:idx val="28"/>
          <c:order val="28"/>
          <c:tx>
            <c:strRef>
              <c:f>'Campbell VFD'!$M$13</c:f>
              <c:strCache>
                <c:ptCount val="1"/>
                <c:pt idx="0">
                  <c:v>+10% *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VFD'!$N$13:$O$13</c:f>
              <c:numCache>
                <c:formatCode>0</c:formatCode>
                <c:ptCount val="2"/>
                <c:pt idx="0">
                  <c:v>3300.0000000000005</c:v>
                </c:pt>
                <c:pt idx="1">
                  <c:v>3300.0000000000005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3F80-45F1-912D-3790FAF9DD4F}"/>
            </c:ext>
          </c:extLst>
        </c:ser>
        <c:ser>
          <c:idx val="29"/>
          <c:order val="29"/>
          <c:tx>
            <c:strRef>
              <c:f>'Campbell VFD'!$M$14</c:f>
              <c:strCache>
                <c:ptCount val="1"/>
                <c:pt idx="0">
                  <c:v>-10% * 2X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VFD'!$N$14:$O$14</c:f>
              <c:numCache>
                <c:formatCode>0</c:formatCode>
                <c:ptCount val="2"/>
                <c:pt idx="0">
                  <c:v>5400</c:v>
                </c:pt>
                <c:pt idx="1">
                  <c:v>5400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3F80-45F1-912D-3790FAF9DD4F}"/>
            </c:ext>
          </c:extLst>
        </c:ser>
        <c:ser>
          <c:idx val="30"/>
          <c:order val="30"/>
          <c:tx>
            <c:strRef>
              <c:f>'Campbell VFD'!$M$15</c:f>
              <c:strCache>
                <c:ptCount val="1"/>
                <c:pt idx="0">
                  <c:v>2X f_line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VFD'!$N$15:$O$15</c:f>
              <c:numCache>
                <c:formatCode>0</c:formatCode>
                <c:ptCount val="2"/>
                <c:pt idx="0">
                  <c:v>6000</c:v>
                </c:pt>
                <c:pt idx="1">
                  <c:v>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3F80-45F1-912D-3790FAF9DD4F}"/>
            </c:ext>
          </c:extLst>
        </c:ser>
        <c:ser>
          <c:idx val="31"/>
          <c:order val="31"/>
          <c:tx>
            <c:strRef>
              <c:f>'Campbell VFD'!$M$16</c:f>
              <c:strCache>
                <c:ptCount val="1"/>
                <c:pt idx="0">
                  <c:v>+10% * 2X f_line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VFD'!$N$16:$O$16</c:f>
              <c:numCache>
                <c:formatCode>0</c:formatCode>
                <c:ptCount val="2"/>
                <c:pt idx="0">
                  <c:v>6600.0000000000009</c:v>
                </c:pt>
                <c:pt idx="1">
                  <c:v>6600.0000000000009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3F80-45F1-912D-3790FAF9DD4F}"/>
            </c:ext>
          </c:extLst>
        </c:ser>
        <c:ser>
          <c:idx val="32"/>
          <c:order val="32"/>
          <c:tx>
            <c:strRef>
              <c:f>'Campbell VFD'!$C$101</c:f>
              <c:strCache>
                <c:ptCount val="1"/>
                <c:pt idx="0">
                  <c:v>ωcr fn_1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VFD'!$C$138:$C$167</c:f>
              <c:numCache>
                <c:formatCode>General</c:formatCode>
                <c:ptCount val="30"/>
                <c:pt idx="0">
                  <c:v>3600</c:v>
                </c:pt>
                <c:pt idx="1">
                  <c:v>1800</c:v>
                </c:pt>
                <c:pt idx="2">
                  <c:v>720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VFD'!$C$105:$C$134</c:f>
              <c:numCache>
                <c:formatCode>General</c:formatCode>
                <c:ptCount val="30"/>
                <c:pt idx="0">
                  <c:v>3600</c:v>
                </c:pt>
                <c:pt idx="1">
                  <c:v>3600</c:v>
                </c:pt>
                <c:pt idx="2">
                  <c:v>3600</c:v>
                </c:pt>
                <c:pt idx="3">
                  <c:v>3600</c:v>
                </c:pt>
                <c:pt idx="4">
                  <c:v>3600</c:v>
                </c:pt>
                <c:pt idx="5">
                  <c:v>3600</c:v>
                </c:pt>
                <c:pt idx="6">
                  <c:v>3600</c:v>
                </c:pt>
                <c:pt idx="7">
                  <c:v>3600</c:v>
                </c:pt>
                <c:pt idx="8">
                  <c:v>3600</c:v>
                </c:pt>
                <c:pt idx="9">
                  <c:v>3600</c:v>
                </c:pt>
                <c:pt idx="10">
                  <c:v>3600</c:v>
                </c:pt>
                <c:pt idx="11">
                  <c:v>3600</c:v>
                </c:pt>
                <c:pt idx="12">
                  <c:v>3600</c:v>
                </c:pt>
                <c:pt idx="13">
                  <c:v>3600</c:v>
                </c:pt>
                <c:pt idx="14">
                  <c:v>3600</c:v>
                </c:pt>
                <c:pt idx="15">
                  <c:v>3600</c:v>
                </c:pt>
                <c:pt idx="16">
                  <c:v>3600</c:v>
                </c:pt>
                <c:pt idx="17">
                  <c:v>3600</c:v>
                </c:pt>
                <c:pt idx="18">
                  <c:v>3600</c:v>
                </c:pt>
                <c:pt idx="19">
                  <c:v>3600</c:v>
                </c:pt>
                <c:pt idx="20">
                  <c:v>3600</c:v>
                </c:pt>
                <c:pt idx="21">
                  <c:v>3600</c:v>
                </c:pt>
                <c:pt idx="22">
                  <c:v>3600</c:v>
                </c:pt>
                <c:pt idx="23">
                  <c:v>3600</c:v>
                </c:pt>
                <c:pt idx="24">
                  <c:v>3600</c:v>
                </c:pt>
                <c:pt idx="25">
                  <c:v>3600</c:v>
                </c:pt>
                <c:pt idx="26">
                  <c:v>3600</c:v>
                </c:pt>
                <c:pt idx="27">
                  <c:v>3600</c:v>
                </c:pt>
                <c:pt idx="28">
                  <c:v>3600</c:v>
                </c:pt>
                <c:pt idx="29">
                  <c:v>3600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3F80-45F1-912D-3790FAF9DD4F}"/>
            </c:ext>
          </c:extLst>
        </c:ser>
        <c:ser>
          <c:idx val="33"/>
          <c:order val="33"/>
          <c:tx>
            <c:strRef>
              <c:f>'Campbell VFD'!$D$101</c:f>
              <c:strCache>
                <c:ptCount val="1"/>
                <c:pt idx="0">
                  <c:v>ωcr fn_2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VFD'!$D$138:$D$167</c:f>
              <c:numCache>
                <c:formatCode>General</c:formatCode>
                <c:ptCount val="30"/>
                <c:pt idx="0">
                  <c:v>5000</c:v>
                </c:pt>
                <c:pt idx="1">
                  <c:v>2500</c:v>
                </c:pt>
                <c:pt idx="2">
                  <c:v>1000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VFD'!$D$105:$D$134</c:f>
              <c:numCache>
                <c:formatCode>General</c:formatCode>
                <c:ptCount val="30"/>
                <c:pt idx="0">
                  <c:v>5000</c:v>
                </c:pt>
                <c:pt idx="1">
                  <c:v>5000</c:v>
                </c:pt>
                <c:pt idx="2">
                  <c:v>5000</c:v>
                </c:pt>
                <c:pt idx="3">
                  <c:v>5000</c:v>
                </c:pt>
                <c:pt idx="4">
                  <c:v>5000</c:v>
                </c:pt>
                <c:pt idx="5">
                  <c:v>5000</c:v>
                </c:pt>
                <c:pt idx="6">
                  <c:v>5000</c:v>
                </c:pt>
                <c:pt idx="7">
                  <c:v>5000</c:v>
                </c:pt>
                <c:pt idx="8">
                  <c:v>5000</c:v>
                </c:pt>
                <c:pt idx="9">
                  <c:v>5000</c:v>
                </c:pt>
                <c:pt idx="10">
                  <c:v>5000</c:v>
                </c:pt>
                <c:pt idx="11">
                  <c:v>5000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3F80-45F1-912D-3790FAF9DD4F}"/>
            </c:ext>
          </c:extLst>
        </c:ser>
        <c:ser>
          <c:idx val="34"/>
          <c:order val="34"/>
          <c:tx>
            <c:strRef>
              <c:f>'Campbell VFD'!$E$101</c:f>
              <c:strCache>
                <c:ptCount val="1"/>
                <c:pt idx="0">
                  <c:v>ωcr fn_3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VFD'!$E$138:$E$167</c:f>
              <c:numCache>
                <c:formatCode>General</c:formatCode>
                <c:ptCount val="30"/>
                <c:pt idx="0">
                  <c:v>#N/A</c:v>
                </c:pt>
                <c:pt idx="1">
                  <c:v>4250</c:v>
                </c:pt>
                <c:pt idx="2">
                  <c:v>1700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VFD'!$E$105:$E$134</c:f>
              <c:numCache>
                <c:formatCode>General</c:formatCode>
                <c:ptCount val="30"/>
                <c:pt idx="0">
                  <c:v>8500</c:v>
                </c:pt>
                <c:pt idx="1">
                  <c:v>8500</c:v>
                </c:pt>
                <c:pt idx="2">
                  <c:v>8500</c:v>
                </c:pt>
                <c:pt idx="3">
                  <c:v>8500</c:v>
                </c:pt>
                <c:pt idx="4">
                  <c:v>8500</c:v>
                </c:pt>
                <c:pt idx="5">
                  <c:v>8500</c:v>
                </c:pt>
                <c:pt idx="6">
                  <c:v>8500</c:v>
                </c:pt>
                <c:pt idx="7">
                  <c:v>8500</c:v>
                </c:pt>
                <c:pt idx="8">
                  <c:v>8500</c:v>
                </c:pt>
                <c:pt idx="9">
                  <c:v>8500</c:v>
                </c:pt>
                <c:pt idx="10">
                  <c:v>8500</c:v>
                </c:pt>
                <c:pt idx="11">
                  <c:v>8500</c:v>
                </c:pt>
                <c:pt idx="12">
                  <c:v>8500</c:v>
                </c:pt>
                <c:pt idx="13">
                  <c:v>8500</c:v>
                </c:pt>
                <c:pt idx="14">
                  <c:v>8500</c:v>
                </c:pt>
                <c:pt idx="15">
                  <c:v>8500</c:v>
                </c:pt>
                <c:pt idx="16">
                  <c:v>8500</c:v>
                </c:pt>
                <c:pt idx="17">
                  <c:v>8500</c:v>
                </c:pt>
                <c:pt idx="18">
                  <c:v>8500</c:v>
                </c:pt>
                <c:pt idx="19">
                  <c:v>8500</c:v>
                </c:pt>
                <c:pt idx="20">
                  <c:v>8500</c:v>
                </c:pt>
                <c:pt idx="21">
                  <c:v>8500</c:v>
                </c:pt>
                <c:pt idx="22">
                  <c:v>8500</c:v>
                </c:pt>
                <c:pt idx="23">
                  <c:v>8500</c:v>
                </c:pt>
                <c:pt idx="24">
                  <c:v>8500</c:v>
                </c:pt>
                <c:pt idx="25">
                  <c:v>8500</c:v>
                </c:pt>
                <c:pt idx="26">
                  <c:v>8500</c:v>
                </c:pt>
                <c:pt idx="27">
                  <c:v>8500</c:v>
                </c:pt>
                <c:pt idx="28">
                  <c:v>8500</c:v>
                </c:pt>
                <c:pt idx="29">
                  <c:v>8500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3F80-45F1-912D-3790FAF9DD4F}"/>
            </c:ext>
          </c:extLst>
        </c:ser>
        <c:ser>
          <c:idx val="35"/>
          <c:order val="35"/>
          <c:tx>
            <c:strRef>
              <c:f>'Campbell VFD'!$F$101</c:f>
              <c:strCache>
                <c:ptCount val="1"/>
                <c:pt idx="0">
                  <c:v>ωcr fn_4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VFD'!$F$138:$F$167</c:f>
              <c:numCache>
                <c:formatCode>General</c:formatCode>
                <c:ptCount val="30"/>
                <c:pt idx="0">
                  <c:v>#N/A</c:v>
                </c:pt>
                <c:pt idx="1">
                  <c:v>5250</c:v>
                </c:pt>
                <c:pt idx="2">
                  <c:v>2100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VFD'!$F$105:$F$134</c:f>
              <c:numCache>
                <c:formatCode>General</c:formatCode>
                <c:ptCount val="30"/>
                <c:pt idx="0">
                  <c:v>10500</c:v>
                </c:pt>
                <c:pt idx="1">
                  <c:v>10500</c:v>
                </c:pt>
                <c:pt idx="2">
                  <c:v>10500</c:v>
                </c:pt>
                <c:pt idx="3">
                  <c:v>10500</c:v>
                </c:pt>
                <c:pt idx="4">
                  <c:v>10500</c:v>
                </c:pt>
                <c:pt idx="5">
                  <c:v>10500</c:v>
                </c:pt>
                <c:pt idx="6">
                  <c:v>10500</c:v>
                </c:pt>
                <c:pt idx="7">
                  <c:v>10500</c:v>
                </c:pt>
                <c:pt idx="8">
                  <c:v>10500</c:v>
                </c:pt>
                <c:pt idx="9">
                  <c:v>10500</c:v>
                </c:pt>
                <c:pt idx="10">
                  <c:v>10500</c:v>
                </c:pt>
                <c:pt idx="11">
                  <c:v>10500</c:v>
                </c:pt>
                <c:pt idx="12">
                  <c:v>10500</c:v>
                </c:pt>
                <c:pt idx="13">
                  <c:v>10500</c:v>
                </c:pt>
                <c:pt idx="14">
                  <c:v>10500</c:v>
                </c:pt>
                <c:pt idx="15">
                  <c:v>10500</c:v>
                </c:pt>
                <c:pt idx="16">
                  <c:v>10500</c:v>
                </c:pt>
                <c:pt idx="17">
                  <c:v>10500</c:v>
                </c:pt>
                <c:pt idx="18">
                  <c:v>10500</c:v>
                </c:pt>
                <c:pt idx="19">
                  <c:v>10500</c:v>
                </c:pt>
                <c:pt idx="20">
                  <c:v>10500</c:v>
                </c:pt>
                <c:pt idx="21">
                  <c:v>10500</c:v>
                </c:pt>
                <c:pt idx="22">
                  <c:v>10500</c:v>
                </c:pt>
                <c:pt idx="23">
                  <c:v>10500</c:v>
                </c:pt>
                <c:pt idx="24">
                  <c:v>10500</c:v>
                </c:pt>
                <c:pt idx="25">
                  <c:v>10500</c:v>
                </c:pt>
                <c:pt idx="26">
                  <c:v>10500</c:v>
                </c:pt>
                <c:pt idx="27">
                  <c:v>10500</c:v>
                </c:pt>
                <c:pt idx="28">
                  <c:v>10500</c:v>
                </c:pt>
                <c:pt idx="29">
                  <c:v>10500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3F80-45F1-912D-3790FAF9DD4F}"/>
            </c:ext>
          </c:extLst>
        </c:ser>
        <c:ser>
          <c:idx val="37"/>
          <c:order val="36"/>
          <c:tx>
            <c:strRef>
              <c:f>'Campbell VFD'!$G$101</c:f>
              <c:strCache>
                <c:ptCount val="1"/>
                <c:pt idx="0">
                  <c:v>ωcr fn_5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VFD'!$G$138:$G$167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2500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VFD'!$G$105:$G$134</c:f>
              <c:numCache>
                <c:formatCode>General</c:formatCode>
                <c:ptCount val="30"/>
                <c:pt idx="0">
                  <c:v>12500</c:v>
                </c:pt>
                <c:pt idx="1">
                  <c:v>12500</c:v>
                </c:pt>
                <c:pt idx="2">
                  <c:v>12500</c:v>
                </c:pt>
                <c:pt idx="3">
                  <c:v>12500</c:v>
                </c:pt>
                <c:pt idx="4">
                  <c:v>12500</c:v>
                </c:pt>
                <c:pt idx="5">
                  <c:v>12500</c:v>
                </c:pt>
                <c:pt idx="6">
                  <c:v>12500</c:v>
                </c:pt>
                <c:pt idx="7">
                  <c:v>12500</c:v>
                </c:pt>
                <c:pt idx="8">
                  <c:v>12500</c:v>
                </c:pt>
                <c:pt idx="9">
                  <c:v>12500</c:v>
                </c:pt>
                <c:pt idx="10">
                  <c:v>12500</c:v>
                </c:pt>
                <c:pt idx="11">
                  <c:v>12500</c:v>
                </c:pt>
                <c:pt idx="12">
                  <c:v>12500</c:v>
                </c:pt>
                <c:pt idx="13">
                  <c:v>12500</c:v>
                </c:pt>
                <c:pt idx="14">
                  <c:v>12500</c:v>
                </c:pt>
                <c:pt idx="15">
                  <c:v>12500</c:v>
                </c:pt>
                <c:pt idx="16">
                  <c:v>12500</c:v>
                </c:pt>
                <c:pt idx="17">
                  <c:v>12500</c:v>
                </c:pt>
                <c:pt idx="18">
                  <c:v>12500</c:v>
                </c:pt>
                <c:pt idx="19">
                  <c:v>12500</c:v>
                </c:pt>
                <c:pt idx="20">
                  <c:v>12500</c:v>
                </c:pt>
                <c:pt idx="21">
                  <c:v>12500</c:v>
                </c:pt>
                <c:pt idx="22">
                  <c:v>12500</c:v>
                </c:pt>
                <c:pt idx="23">
                  <c:v>12500</c:v>
                </c:pt>
                <c:pt idx="24">
                  <c:v>12500</c:v>
                </c:pt>
                <c:pt idx="25">
                  <c:v>12500</c:v>
                </c:pt>
                <c:pt idx="26">
                  <c:v>12500</c:v>
                </c:pt>
                <c:pt idx="27">
                  <c:v>12500</c:v>
                </c:pt>
                <c:pt idx="28">
                  <c:v>12500</c:v>
                </c:pt>
                <c:pt idx="29">
                  <c:v>12500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3F80-45F1-912D-3790FAF9DD4F}"/>
            </c:ext>
          </c:extLst>
        </c:ser>
        <c:ser>
          <c:idx val="36"/>
          <c:order val="37"/>
          <c:tx>
            <c:strRef>
              <c:f>'Campbell VFD'!$H$101</c:f>
              <c:strCache>
                <c:ptCount val="1"/>
                <c:pt idx="0">
                  <c:v>ωcr fn_6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VFD'!$H$138:$H$167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VFD'!$H$105:$H$134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3F80-45F1-912D-3790FAF9DD4F}"/>
            </c:ext>
          </c:extLst>
        </c:ser>
        <c:ser>
          <c:idx val="38"/>
          <c:order val="38"/>
          <c:tx>
            <c:strRef>
              <c:f>'Campbell VFD'!$I$101</c:f>
              <c:strCache>
                <c:ptCount val="1"/>
                <c:pt idx="0">
                  <c:v>ωcr fn_7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VFD'!$I$138:$I$167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VFD'!$I$105:$I$134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3F80-45F1-912D-3790FAF9DD4F}"/>
            </c:ext>
          </c:extLst>
        </c:ser>
        <c:ser>
          <c:idx val="39"/>
          <c:order val="39"/>
          <c:tx>
            <c:strRef>
              <c:f>'Campbell VFD'!$J$101</c:f>
              <c:strCache>
                <c:ptCount val="1"/>
                <c:pt idx="0">
                  <c:v>ωcr fn_8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VFD'!$J$138:$J$167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VFD'!$J$105:$J$134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3F80-45F1-912D-3790FAF9DD4F}"/>
            </c:ext>
          </c:extLst>
        </c:ser>
        <c:ser>
          <c:idx val="40"/>
          <c:order val="40"/>
          <c:tx>
            <c:strRef>
              <c:f>'Campbell VFD'!$K$101</c:f>
              <c:strCache>
                <c:ptCount val="1"/>
                <c:pt idx="0">
                  <c:v>ωcr fn_9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VFD'!$K$138:$K$167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VFD'!$K$105:$K$134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3F80-45F1-912D-3790FAF9DD4F}"/>
            </c:ext>
          </c:extLst>
        </c:ser>
        <c:ser>
          <c:idx val="41"/>
          <c:order val="41"/>
          <c:tx>
            <c:strRef>
              <c:f>'Campbell VFD'!$L$101</c:f>
              <c:strCache>
                <c:ptCount val="1"/>
                <c:pt idx="0">
                  <c:v>ωcr fn_10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VFD'!$L$138:$L$167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VFD'!$L$105:$L$134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3F80-45F1-912D-3790FAF9DD4F}"/>
            </c:ext>
          </c:extLst>
        </c:ser>
        <c:ser>
          <c:idx val="42"/>
          <c:order val="42"/>
          <c:tx>
            <c:strRef>
              <c:f>'Campbell VFD'!$M$29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VFD'!$O$29:$P$29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3F80-45F1-912D-3790FAF9DD4F}"/>
            </c:ext>
          </c:extLst>
        </c:ser>
        <c:ser>
          <c:idx val="43"/>
          <c:order val="43"/>
          <c:tx>
            <c:strRef>
              <c:f>'Campbell VFD'!$M$30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VFD'!$O$30:$P$30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3F80-45F1-912D-3790FAF9DD4F}"/>
            </c:ext>
          </c:extLst>
        </c:ser>
        <c:ser>
          <c:idx val="44"/>
          <c:order val="44"/>
          <c:tx>
            <c:strRef>
              <c:f>'Campbell VFD'!$M$31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VFD'!$O$31:$P$31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3F80-45F1-912D-3790FAF9DD4F}"/>
            </c:ext>
          </c:extLst>
        </c:ser>
        <c:ser>
          <c:idx val="45"/>
          <c:order val="45"/>
          <c:tx>
            <c:strRef>
              <c:f>'Campbell VFD'!$M$32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VFD'!$O$32:$P$32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3F80-45F1-912D-3790FAF9DD4F}"/>
            </c:ext>
          </c:extLst>
        </c:ser>
        <c:ser>
          <c:idx val="46"/>
          <c:order val="46"/>
          <c:tx>
            <c:strRef>
              <c:f>'Campbell VFD'!$M$33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VFD'!$O$33:$P$33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3F80-45F1-912D-3790FAF9DD4F}"/>
            </c:ext>
          </c:extLst>
        </c:ser>
        <c:ser>
          <c:idx val="47"/>
          <c:order val="47"/>
          <c:tx>
            <c:strRef>
              <c:f>'Campbell VFD'!$M$34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VFD'!$O$34:$P$34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3F80-45F1-912D-3790FAF9DD4F}"/>
            </c:ext>
          </c:extLst>
        </c:ser>
        <c:ser>
          <c:idx val="48"/>
          <c:order val="48"/>
          <c:tx>
            <c:strRef>
              <c:f>'Campbell VFD'!$M$35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VFD'!$O$35:$P$35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3F80-45F1-912D-3790FAF9DD4F}"/>
            </c:ext>
          </c:extLst>
        </c:ser>
        <c:ser>
          <c:idx val="49"/>
          <c:order val="49"/>
          <c:tx>
            <c:strRef>
              <c:f>'Campbell VFD'!$M$36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VFD'!$O$36:$P$36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3F80-45F1-912D-3790FAF9DD4F}"/>
            </c:ext>
          </c:extLst>
        </c:ser>
        <c:ser>
          <c:idx val="50"/>
          <c:order val="50"/>
          <c:tx>
            <c:strRef>
              <c:f>'Campbell VFD'!$M$37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VFD'!$O$37:$P$37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3F80-45F1-912D-3790FAF9DD4F}"/>
            </c:ext>
          </c:extLst>
        </c:ser>
        <c:ser>
          <c:idx val="51"/>
          <c:order val="51"/>
          <c:tx>
            <c:strRef>
              <c:f>'Campbell VFD'!$M$38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VFD'!$O$38:$P$38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3F80-45F1-912D-3790FAF9DD4F}"/>
            </c:ext>
          </c:extLst>
        </c:ser>
        <c:ser>
          <c:idx val="52"/>
          <c:order val="52"/>
          <c:tx>
            <c:strRef>
              <c:f>'Campbell VFD'!$M$39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VFD'!$O$39:$P$39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3F80-45F1-912D-3790FAF9DD4F}"/>
            </c:ext>
          </c:extLst>
        </c:ser>
        <c:ser>
          <c:idx val="53"/>
          <c:order val="53"/>
          <c:tx>
            <c:strRef>
              <c:f>'Campbell VFD'!$M$40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VFD'!$O$40:$P$40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3F80-45F1-912D-3790FAF9DD4F}"/>
            </c:ext>
          </c:extLst>
        </c:ser>
        <c:ser>
          <c:idx val="54"/>
          <c:order val="54"/>
          <c:tx>
            <c:strRef>
              <c:f>'Campbell VFD'!$M$41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VFD'!$O$41:$P$41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3F80-45F1-912D-3790FAF9DD4F}"/>
            </c:ext>
          </c:extLst>
        </c:ser>
        <c:ser>
          <c:idx val="55"/>
          <c:order val="55"/>
          <c:tx>
            <c:strRef>
              <c:f>'Campbell VFD'!$M$42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VFD'!$O$42:$P$42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3F80-45F1-912D-3790FAF9DD4F}"/>
            </c:ext>
          </c:extLst>
        </c:ser>
        <c:ser>
          <c:idx val="56"/>
          <c:order val="56"/>
          <c:tx>
            <c:strRef>
              <c:f>'Campbell VFD'!$M$43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VFD'!$O$43:$P$43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3F80-45F1-912D-3790FAF9DD4F}"/>
            </c:ext>
          </c:extLst>
        </c:ser>
        <c:ser>
          <c:idx val="57"/>
          <c:order val="57"/>
          <c:tx>
            <c:strRef>
              <c:f>'Campbell VFD'!$M$44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VFD'!$O$44:$P$44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3F80-45F1-912D-3790FAF9DD4F}"/>
            </c:ext>
          </c:extLst>
        </c:ser>
        <c:ser>
          <c:idx val="58"/>
          <c:order val="58"/>
          <c:tx>
            <c:strRef>
              <c:f>'Campbell VFD'!$M$45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VFD'!$O$45:$P$45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3F80-45F1-912D-3790FAF9DD4F}"/>
            </c:ext>
          </c:extLst>
        </c:ser>
        <c:ser>
          <c:idx val="59"/>
          <c:order val="59"/>
          <c:tx>
            <c:strRef>
              <c:f>'Campbell VFD'!$M$46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VFD'!$O$46:$P$46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3F80-45F1-912D-3790FAF9DD4F}"/>
            </c:ext>
          </c:extLst>
        </c:ser>
        <c:ser>
          <c:idx val="60"/>
          <c:order val="60"/>
          <c:tx>
            <c:strRef>
              <c:f>'Campbell VFD'!$M$47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VFD'!$O$47:$P$47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3F80-45F1-912D-3790FAF9DD4F}"/>
            </c:ext>
          </c:extLst>
        </c:ser>
        <c:ser>
          <c:idx val="61"/>
          <c:order val="61"/>
          <c:tx>
            <c:strRef>
              <c:f>'Campbell VFD'!$M$48</c:f>
              <c:strCache>
                <c:ptCount val="1"/>
                <c:pt idx="0">
                  <c:v>X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VFD'!$O$48:$P$48</c:f>
              <c:numCache>
                <c:formatCode>General</c:formatCode>
                <c:ptCount val="2"/>
                <c:pt idx="0">
                  <c:v>0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3F80-45F1-912D-3790FAF9DD4F}"/>
            </c:ext>
          </c:extLst>
        </c:ser>
        <c:ser>
          <c:idx val="62"/>
          <c:order val="62"/>
          <c:tx>
            <c:strRef>
              <c:f>'Campbell VFD'!$I$29</c:f>
              <c:strCache>
                <c:ptCount val="1"/>
                <c:pt idx="0">
                  <c:v>fn_11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A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VFD'!$J$29:$K$29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3F80-45F1-912D-3790FAF9DD4F}"/>
            </c:ext>
          </c:extLst>
        </c:ser>
        <c:ser>
          <c:idx val="63"/>
          <c:order val="63"/>
          <c:tx>
            <c:strRef>
              <c:f>'Campbell VFD'!$I$30</c:f>
              <c:strCache>
                <c:ptCount val="1"/>
                <c:pt idx="0">
                  <c:v>fn_12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C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VFD'!$J$30:$K$30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3F80-45F1-912D-3790FAF9DD4F}"/>
            </c:ext>
          </c:extLst>
        </c:ser>
        <c:ser>
          <c:idx val="64"/>
          <c:order val="64"/>
          <c:tx>
            <c:strRef>
              <c:f>'Campbell VFD'!$I$31</c:f>
              <c:strCache>
                <c:ptCount val="1"/>
                <c:pt idx="0">
                  <c:v>fn_13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E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VFD'!$J$31:$K$31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3F80-45F1-912D-3790FAF9DD4F}"/>
            </c:ext>
          </c:extLst>
        </c:ser>
        <c:ser>
          <c:idx val="65"/>
          <c:order val="65"/>
          <c:tx>
            <c:strRef>
              <c:f>'Campbell VFD'!$I$32</c:f>
              <c:strCache>
                <c:ptCount val="1"/>
                <c:pt idx="0">
                  <c:v>fn_14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0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VFD'!$J$32:$K$32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3F80-45F1-912D-3790FAF9DD4F}"/>
            </c:ext>
          </c:extLst>
        </c:ser>
        <c:ser>
          <c:idx val="66"/>
          <c:order val="66"/>
          <c:tx>
            <c:strRef>
              <c:f>'Campbell VFD'!$I$33</c:f>
              <c:strCache>
                <c:ptCount val="1"/>
                <c:pt idx="0">
                  <c:v>fn_15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2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VFD'!$J$33:$K$33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3F80-45F1-912D-3790FAF9DD4F}"/>
            </c:ext>
          </c:extLst>
        </c:ser>
        <c:ser>
          <c:idx val="67"/>
          <c:order val="67"/>
          <c:tx>
            <c:strRef>
              <c:f>'Campbell VFD'!$I$34</c:f>
              <c:strCache>
                <c:ptCount val="1"/>
                <c:pt idx="0">
                  <c:v>fn_16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4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VFD'!$J$34:$K$34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3F80-45F1-912D-3790FAF9DD4F}"/>
            </c:ext>
          </c:extLst>
        </c:ser>
        <c:ser>
          <c:idx val="68"/>
          <c:order val="68"/>
          <c:tx>
            <c:strRef>
              <c:f>'Campbell VFD'!$I$35</c:f>
              <c:strCache>
                <c:ptCount val="1"/>
                <c:pt idx="0">
                  <c:v>fn_17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6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VFD'!$J$35:$K$35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3F80-45F1-912D-3790FAF9DD4F}"/>
            </c:ext>
          </c:extLst>
        </c:ser>
        <c:ser>
          <c:idx val="69"/>
          <c:order val="69"/>
          <c:tx>
            <c:strRef>
              <c:f>'Campbell VFD'!$I$36</c:f>
              <c:strCache>
                <c:ptCount val="1"/>
                <c:pt idx="0">
                  <c:v>fn_18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8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VFD'!$J$36:$K$36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3F80-45F1-912D-3790FAF9DD4F}"/>
            </c:ext>
          </c:extLst>
        </c:ser>
        <c:ser>
          <c:idx val="70"/>
          <c:order val="70"/>
          <c:tx>
            <c:strRef>
              <c:f>'Campbell VFD'!$I$37</c:f>
              <c:strCache>
                <c:ptCount val="1"/>
                <c:pt idx="0">
                  <c:v>fn_19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A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VFD'!$J$37:$K$37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3F80-45F1-912D-3790FAF9DD4F}"/>
            </c:ext>
          </c:extLst>
        </c:ser>
        <c:ser>
          <c:idx val="71"/>
          <c:order val="71"/>
          <c:tx>
            <c:strRef>
              <c:f>'Campbell VFD'!$I$38</c:f>
              <c:strCache>
                <c:ptCount val="1"/>
                <c:pt idx="0">
                  <c:v>fn_20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C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VFD'!$J$38:$K$38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3F80-45F1-912D-3790FAF9DD4F}"/>
            </c:ext>
          </c:extLst>
        </c:ser>
        <c:ser>
          <c:idx val="72"/>
          <c:order val="72"/>
          <c:tx>
            <c:strRef>
              <c:f>'Campbell VFD'!$I$39</c:f>
              <c:strCache>
                <c:ptCount val="1"/>
                <c:pt idx="0">
                  <c:v>fn_21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VFD'!$J$39:$K$39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3F80-45F1-912D-3790FAF9DD4F}"/>
            </c:ext>
          </c:extLst>
        </c:ser>
        <c:ser>
          <c:idx val="73"/>
          <c:order val="73"/>
          <c:tx>
            <c:strRef>
              <c:f>'Campbell VFD'!$I$40</c:f>
              <c:strCache>
                <c:ptCount val="1"/>
                <c:pt idx="0">
                  <c:v>fn_22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VFD'!$J$40:$K$40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3F80-45F1-912D-3790FAF9DD4F}"/>
            </c:ext>
          </c:extLst>
        </c:ser>
        <c:ser>
          <c:idx val="74"/>
          <c:order val="74"/>
          <c:tx>
            <c:strRef>
              <c:f>'Campbell VFD'!$I$41</c:f>
              <c:strCache>
                <c:ptCount val="1"/>
                <c:pt idx="0">
                  <c:v>fn_23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2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VFD'!$J$41:$K$41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3F80-45F1-912D-3790FAF9DD4F}"/>
            </c:ext>
          </c:extLst>
        </c:ser>
        <c:ser>
          <c:idx val="75"/>
          <c:order val="75"/>
          <c:tx>
            <c:strRef>
              <c:f>'Campbell VFD'!$I$42</c:f>
              <c:strCache>
                <c:ptCount val="1"/>
                <c:pt idx="0">
                  <c:v>fn_24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4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VFD'!$J$42:$K$42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3F80-45F1-912D-3790FAF9DD4F}"/>
            </c:ext>
          </c:extLst>
        </c:ser>
        <c:ser>
          <c:idx val="76"/>
          <c:order val="76"/>
          <c:tx>
            <c:strRef>
              <c:f>'Campbell VFD'!$I$43</c:f>
              <c:strCache>
                <c:ptCount val="1"/>
                <c:pt idx="0">
                  <c:v>fn_25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6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VFD'!$J$43:$K$43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3F80-45F1-912D-3790FAF9DD4F}"/>
            </c:ext>
          </c:extLst>
        </c:ser>
        <c:ser>
          <c:idx val="77"/>
          <c:order val="77"/>
          <c:tx>
            <c:strRef>
              <c:f>'Campbell VFD'!$I$44</c:f>
              <c:strCache>
                <c:ptCount val="1"/>
                <c:pt idx="0">
                  <c:v>fn_26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8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VFD'!$J$44:$K$44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3F80-45F1-912D-3790FAF9DD4F}"/>
            </c:ext>
          </c:extLst>
        </c:ser>
        <c:ser>
          <c:idx val="78"/>
          <c:order val="78"/>
          <c:tx>
            <c:strRef>
              <c:f>'Campbell VFD'!$I$45</c:f>
              <c:strCache>
                <c:ptCount val="1"/>
                <c:pt idx="0">
                  <c:v>fn_27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A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VFD'!$J$45:$K$45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3F80-45F1-912D-3790FAF9DD4F}"/>
            </c:ext>
          </c:extLst>
        </c:ser>
        <c:ser>
          <c:idx val="79"/>
          <c:order val="79"/>
          <c:tx>
            <c:strRef>
              <c:f>'Campbell VFD'!$I$46</c:f>
              <c:strCache>
                <c:ptCount val="1"/>
                <c:pt idx="0">
                  <c:v>fn_28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C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VFD'!$J$46:$K$46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3F80-45F1-912D-3790FAF9DD4F}"/>
            </c:ext>
          </c:extLst>
        </c:ser>
        <c:ser>
          <c:idx val="80"/>
          <c:order val="80"/>
          <c:tx>
            <c:strRef>
              <c:f>'Campbell VFD'!$I$47</c:f>
              <c:strCache>
                <c:ptCount val="1"/>
                <c:pt idx="0">
                  <c:v>fn_29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E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VFD'!$J$47:$K$47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3F80-45F1-912D-3790FAF9DD4F}"/>
            </c:ext>
          </c:extLst>
        </c:ser>
        <c:ser>
          <c:idx val="81"/>
          <c:order val="81"/>
          <c:tx>
            <c:strRef>
              <c:f>'Campbell VFD'!$I$48</c:f>
              <c:strCache>
                <c:ptCount val="1"/>
                <c:pt idx="0">
                  <c:v>fn_30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0-3F80-45F1-912D-3790FAF9DD4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'Campbell VFD'!$J$15:$K$15</c:f>
              <c:numCache>
                <c:formatCode>General</c:formatCode>
                <c:ptCount val="2"/>
                <c:pt idx="0">
                  <c:v>0</c:v>
                </c:pt>
                <c:pt idx="1">
                  <c:v>6000</c:v>
                </c:pt>
              </c:numCache>
            </c:numRef>
          </c:xVal>
          <c:yVal>
            <c:numRef>
              <c:f>'Campbell VFD'!$J$48:$K$48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3F80-45F1-912D-3790FAF9DD4F}"/>
            </c:ext>
          </c:extLst>
        </c:ser>
        <c:ser>
          <c:idx val="82"/>
          <c:order val="82"/>
          <c:tx>
            <c:strRef>
              <c:f>'Campbell VFD'!$M$101</c:f>
              <c:strCache>
                <c:ptCount val="1"/>
                <c:pt idx="0">
                  <c:v>ωcr fn_11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VFD'!$M$138:$M$167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VFD'!$M$105:$M$134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3F80-45F1-912D-3790FAF9DD4F}"/>
            </c:ext>
          </c:extLst>
        </c:ser>
        <c:ser>
          <c:idx val="83"/>
          <c:order val="83"/>
          <c:tx>
            <c:strRef>
              <c:f>'Campbell VFD'!$N$101</c:f>
              <c:strCache>
                <c:ptCount val="1"/>
                <c:pt idx="0">
                  <c:v>ωcr fn_12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VFD'!$N$138:$N$167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VFD'!$N$105:$N$134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3F80-45F1-912D-3790FAF9DD4F}"/>
            </c:ext>
          </c:extLst>
        </c:ser>
        <c:ser>
          <c:idx val="84"/>
          <c:order val="84"/>
          <c:tx>
            <c:strRef>
              <c:f>'Campbell VFD'!$O$101</c:f>
              <c:strCache>
                <c:ptCount val="1"/>
                <c:pt idx="0">
                  <c:v>ωcr fn_13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VFD'!$O$138:$O$167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VFD'!$O$105:$O$134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3F80-45F1-912D-3790FAF9DD4F}"/>
            </c:ext>
          </c:extLst>
        </c:ser>
        <c:ser>
          <c:idx val="85"/>
          <c:order val="85"/>
          <c:tx>
            <c:strRef>
              <c:f>'Campbell VFD'!$P$101</c:f>
              <c:strCache>
                <c:ptCount val="1"/>
                <c:pt idx="0">
                  <c:v>ωcr fn_14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VFD'!$P$138:$P$167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VFD'!$P$105:$P$134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3F80-45F1-912D-3790FAF9DD4F}"/>
            </c:ext>
          </c:extLst>
        </c:ser>
        <c:ser>
          <c:idx val="86"/>
          <c:order val="86"/>
          <c:tx>
            <c:strRef>
              <c:f>'Campbell VFD'!$Q$101</c:f>
              <c:strCache>
                <c:ptCount val="1"/>
                <c:pt idx="0">
                  <c:v>ωcr fn_15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VFD'!$Q$138:$Q$167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VFD'!$Q$105:$Q$134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3F80-45F1-912D-3790FAF9DD4F}"/>
            </c:ext>
          </c:extLst>
        </c:ser>
        <c:ser>
          <c:idx val="87"/>
          <c:order val="87"/>
          <c:tx>
            <c:strRef>
              <c:f>'Campbell VFD'!$R$101</c:f>
              <c:strCache>
                <c:ptCount val="1"/>
                <c:pt idx="0">
                  <c:v>ωcr fn_16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VFD'!$R$138:$R$167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VFD'!$R$105:$R$134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3F80-45F1-912D-3790FAF9DD4F}"/>
            </c:ext>
          </c:extLst>
        </c:ser>
        <c:ser>
          <c:idx val="88"/>
          <c:order val="88"/>
          <c:tx>
            <c:strRef>
              <c:f>'Campbell VFD'!$S$101</c:f>
              <c:strCache>
                <c:ptCount val="1"/>
                <c:pt idx="0">
                  <c:v>ωcr fn_17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VFD'!$S$138:$S$167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VFD'!$S$105:$S$134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3F80-45F1-912D-3790FAF9DD4F}"/>
            </c:ext>
          </c:extLst>
        </c:ser>
        <c:ser>
          <c:idx val="89"/>
          <c:order val="89"/>
          <c:tx>
            <c:strRef>
              <c:f>'Campbell VFD'!$T$101</c:f>
              <c:strCache>
                <c:ptCount val="1"/>
                <c:pt idx="0">
                  <c:v>ωcr fn_18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VFD'!$T$138:$T$167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VFD'!$T$105:$T$134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3F80-45F1-912D-3790FAF9DD4F}"/>
            </c:ext>
          </c:extLst>
        </c:ser>
        <c:ser>
          <c:idx val="90"/>
          <c:order val="90"/>
          <c:tx>
            <c:strRef>
              <c:f>'Campbell VFD'!$U$101</c:f>
              <c:strCache>
                <c:ptCount val="1"/>
                <c:pt idx="0">
                  <c:v>ωcr fn_19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VFD'!$U$138:$U$167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VFD'!$U$105:$U$134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3F80-45F1-912D-3790FAF9DD4F}"/>
            </c:ext>
          </c:extLst>
        </c:ser>
        <c:ser>
          <c:idx val="91"/>
          <c:order val="91"/>
          <c:tx>
            <c:strRef>
              <c:f>'Campbell VFD'!$V$101</c:f>
              <c:strCache>
                <c:ptCount val="1"/>
                <c:pt idx="0">
                  <c:v>ωcr fn_20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VFD'!$V$138:$V$167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VFD'!$V$105:$V$134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3F80-45F1-912D-3790FAF9DD4F}"/>
            </c:ext>
          </c:extLst>
        </c:ser>
        <c:ser>
          <c:idx val="92"/>
          <c:order val="92"/>
          <c:tx>
            <c:strRef>
              <c:f>'Campbell VFD'!$W$101</c:f>
              <c:strCache>
                <c:ptCount val="1"/>
                <c:pt idx="0">
                  <c:v>ωcr fn_21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VFD'!$W$138:$W$167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VFD'!$W$105:$W$134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3F80-45F1-912D-3790FAF9DD4F}"/>
            </c:ext>
          </c:extLst>
        </c:ser>
        <c:ser>
          <c:idx val="93"/>
          <c:order val="93"/>
          <c:tx>
            <c:strRef>
              <c:f>'Campbell VFD'!$X$101</c:f>
              <c:strCache>
                <c:ptCount val="1"/>
                <c:pt idx="0">
                  <c:v>ωcr fn_22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VFD'!$X$138:$X$167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VFD'!$X$105:$X$134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3F80-45F1-912D-3790FAF9DD4F}"/>
            </c:ext>
          </c:extLst>
        </c:ser>
        <c:ser>
          <c:idx val="94"/>
          <c:order val="94"/>
          <c:tx>
            <c:strRef>
              <c:f>'Campbell VFD'!$Y$101</c:f>
              <c:strCache>
                <c:ptCount val="1"/>
                <c:pt idx="0">
                  <c:v>ωcr fn_23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VFD'!$Y$138:$Y$167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VFD'!$Y$105:$Y$134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3F80-45F1-912D-3790FAF9DD4F}"/>
            </c:ext>
          </c:extLst>
        </c:ser>
        <c:ser>
          <c:idx val="95"/>
          <c:order val="95"/>
          <c:tx>
            <c:strRef>
              <c:f>'Campbell VFD'!$Z$101</c:f>
              <c:strCache>
                <c:ptCount val="1"/>
                <c:pt idx="0">
                  <c:v>ωcr fn_24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VFD'!$Z$138:$Z$167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VFD'!$Z$105:$Z$134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3F80-45F1-912D-3790FAF9DD4F}"/>
            </c:ext>
          </c:extLst>
        </c:ser>
        <c:ser>
          <c:idx val="96"/>
          <c:order val="96"/>
          <c:tx>
            <c:strRef>
              <c:f>'Campbell VFD'!$AA$101</c:f>
              <c:strCache>
                <c:ptCount val="1"/>
                <c:pt idx="0">
                  <c:v>ωcr fn_25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VFD'!$AA$138:$AA$167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VFD'!$AA$105:$AA$134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3F80-45F1-912D-3790FAF9DD4F}"/>
            </c:ext>
          </c:extLst>
        </c:ser>
        <c:ser>
          <c:idx val="97"/>
          <c:order val="97"/>
          <c:tx>
            <c:strRef>
              <c:f>'Campbell VFD'!$AB$101</c:f>
              <c:strCache>
                <c:ptCount val="1"/>
                <c:pt idx="0">
                  <c:v>ωcr fn_26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VFD'!$AB$138:$AB$167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VFD'!$AB$105:$AB$134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3F80-45F1-912D-3790FAF9DD4F}"/>
            </c:ext>
          </c:extLst>
        </c:ser>
        <c:ser>
          <c:idx val="98"/>
          <c:order val="98"/>
          <c:tx>
            <c:strRef>
              <c:f>'Campbell VFD'!$AC$101</c:f>
              <c:strCache>
                <c:ptCount val="1"/>
                <c:pt idx="0">
                  <c:v>ωcr fn_27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VFD'!$AC$138:$AC$167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VFD'!$AC$105:$AC$134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3F80-45F1-912D-3790FAF9DD4F}"/>
            </c:ext>
          </c:extLst>
        </c:ser>
        <c:ser>
          <c:idx val="99"/>
          <c:order val="99"/>
          <c:tx>
            <c:strRef>
              <c:f>'Campbell VFD'!$AD$101</c:f>
              <c:strCache>
                <c:ptCount val="1"/>
                <c:pt idx="0">
                  <c:v>ωcr fn_28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VFD'!$AD$138:$AD$167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VFD'!$AD$105:$AD$134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3F80-45F1-912D-3790FAF9DD4F}"/>
            </c:ext>
          </c:extLst>
        </c:ser>
        <c:ser>
          <c:idx val="100"/>
          <c:order val="100"/>
          <c:tx>
            <c:strRef>
              <c:f>'Campbell VFD'!$AE$101</c:f>
              <c:strCache>
                <c:ptCount val="1"/>
                <c:pt idx="0">
                  <c:v>ωcr fn_29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VFD'!$AE$138:$AE$167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VFD'!$AE$105:$AE$134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3F80-45F1-912D-3790FAF9DD4F}"/>
            </c:ext>
          </c:extLst>
        </c:ser>
        <c:ser>
          <c:idx val="101"/>
          <c:order val="101"/>
          <c:tx>
            <c:strRef>
              <c:f>'Campbell VFD'!$AF$101</c:f>
              <c:strCache>
                <c:ptCount val="1"/>
                <c:pt idx="0">
                  <c:v>ωcr fn_30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'Campbell VFD'!$AF$138:$AF$167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'Campbell VFD'!$AF$105:$AF$134</c:f>
              <c:numCache>
                <c:formatCode>General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3F80-45F1-912D-3790FAF9D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7110959"/>
        <c:axId val="1351277743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'Campbell VFD'!$I$5</c15:sqref>
                        </c15:formulaRef>
                      </c:ext>
                    </c:extLst>
                    <c:strCache>
                      <c:ptCount val="1"/>
                      <c:pt idx="0">
                        <c:v>+10% * nmin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'Campbell VFD'!$J$5:$K$5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1633.5000000000002</c:v>
                      </c:pt>
                      <c:pt idx="1">
                        <c:v>1633.5000000000002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'Campbell VFD'!$J$16:$K$16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42000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3F80-45F1-912D-3790FAF9DD4F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'Campbell VFD'!$I$6</c15:sqref>
                        </c15:formulaRef>
                      </c:ext>
                    </c:extLst>
                    <c:strCache>
                      <c:ptCount val="1"/>
                      <c:pt idx="0">
                        <c:v>-10% * nmax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prstDash val="dashDot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'Campbell VFD'!$J$6:$K$6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4515.3</c:v>
                      </c:pt>
                      <c:pt idx="1">
                        <c:v>4515.3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'Campbell VFD'!$J$16:$K$16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0</c:v>
                      </c:pt>
                      <c:pt idx="1">
                        <c:v>42000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3F80-45F1-912D-3790FAF9DD4F}"/>
                  </c:ext>
                </c:extLst>
              </c15:ser>
            </c15:filteredScatterSeries>
          </c:ext>
        </c:extLst>
      </c:scatterChart>
      <c:valAx>
        <c:axId val="1837110959"/>
        <c:scaling>
          <c:orientation val="minMax"/>
          <c:max val="6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n</a:t>
                </a:r>
                <a:r>
                  <a:rPr lang="en-US" sz="1000" b="1" i="0" u="none" strike="noStrike" kern="1200" baseline="-25000">
                    <a:solidFill>
                      <a:sysClr val="windowText" lastClr="000000"/>
                    </a:solidFill>
                  </a:rPr>
                  <a:t>run</a:t>
                </a: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51277743"/>
        <c:crosses val="autoZero"/>
        <c:crossBetween val="midCat"/>
      </c:valAx>
      <c:valAx>
        <c:axId val="1351277743"/>
        <c:scaling>
          <c:orientation val="minMax"/>
          <c:max val="4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f</a:t>
                </a:r>
                <a:r>
                  <a:rPr lang="en-US" sz="1000" b="1" i="0" u="none" strike="noStrike" kern="1200" baseline="-25000">
                    <a:solidFill>
                      <a:sysClr val="windowText" lastClr="000000"/>
                    </a:solidFill>
                  </a:rPr>
                  <a:t>n</a:t>
                </a:r>
                <a:r>
                  <a:rPr lang="en-US" sz="1000" b="1" i="0" u="none" strike="noStrike" kern="1200" baseline="0">
                    <a:solidFill>
                      <a:sysClr val="windowText" lastClr="000000"/>
                    </a:solidFill>
                  </a:rPr>
                  <a:t>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37110959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0</xdr:colOff>
      <xdr:row>21</xdr:row>
      <xdr:rowOff>180975</xdr:rowOff>
    </xdr:to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000-000002000000}"/>
            </a:ext>
            <a:ext uri="{147F2762-F138-4A5C-976F-8EAC2B608ADB}">
              <a16:predDERef xmlns:a16="http://schemas.microsoft.com/office/drawing/2014/main" pred="{174959D8-34A9-BABB-9F07-A3AC597275AF}"/>
            </a:ext>
          </a:extLst>
        </xdr:cNvPr>
        <xdr:cNvSpPr txBox="1"/>
      </xdr:nvSpPr>
      <xdr:spPr>
        <a:xfrm>
          <a:off x="0" y="0"/>
          <a:ext cx="7562850" cy="418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600" i="1">
              <a:solidFill>
                <a:srgbClr val="FF0000"/>
              </a:solidFill>
            </a:rPr>
            <a:t>Instructions</a:t>
          </a:r>
        </a:p>
        <a:p>
          <a:r>
            <a:rPr lang="it-IT" sz="1600" i="1">
              <a:solidFill>
                <a:srgbClr val="FF0000"/>
              </a:solidFill>
            </a:rPr>
            <a:t>- fill the cells with red edges</a:t>
          </a:r>
        </a:p>
        <a:p>
          <a:r>
            <a:rPr lang="it-IT" sz="1600" i="1">
              <a:solidFill>
                <a:srgbClr val="FF0000"/>
              </a:solidFill>
            </a:rPr>
            <a:t>These</a:t>
          </a:r>
          <a:r>
            <a:rPr lang="it-IT" sz="1600" i="1" baseline="0">
              <a:solidFill>
                <a:srgbClr val="FF0000"/>
              </a:solidFill>
            </a:rPr>
            <a:t> worksheets create a Campbell diagram according to the train studied.</a:t>
          </a:r>
          <a:endParaRPr lang="it-IT" sz="1600" i="1">
            <a:solidFill>
              <a:srgbClr val="FF0000"/>
            </a:solidFill>
          </a:endParaRPr>
        </a:p>
        <a:p>
          <a:endParaRPr lang="it-IT" sz="1400"/>
        </a:p>
        <a:p>
          <a:r>
            <a:rPr lang="it-IT" sz="1600" b="1"/>
            <a:t>Sheet "Campbell Revision" is the original sheet where</a:t>
          </a:r>
          <a:r>
            <a:rPr lang="it-IT" sz="1600" b="1" baseline="0"/>
            <a:t> other sheets come from. It can be used to make some modifications.</a:t>
          </a:r>
        </a:p>
        <a:p>
          <a:endParaRPr lang="it-IT" sz="1600" b="1"/>
        </a:p>
        <a:p>
          <a:r>
            <a:rPr lang="it-IT" sz="1600" b="1"/>
            <a:t>Sheet</a:t>
          </a:r>
          <a:r>
            <a:rPr lang="it-IT" sz="1600" b="1" baseline="0"/>
            <a:t> "Campbell"can be used for rotors:</a:t>
          </a:r>
        </a:p>
        <a:p>
          <a:r>
            <a:rPr lang="it-IT" sz="1600" b="1" baseline="0"/>
            <a:t>- with a rotating speed </a:t>
          </a:r>
        </a:p>
        <a:p>
          <a:r>
            <a:rPr lang="it-IT" sz="1600" b="1" baseline="0"/>
            <a:t>- with shafts rotating at different speeds by scaling excitations with the speed ratio</a:t>
          </a:r>
        </a:p>
        <a:p>
          <a:endParaRPr lang="it-IT" sz="1400" b="0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it-IT" sz="1600" b="1">
              <a:solidFill>
                <a:schemeClr val="dk1"/>
              </a:solidFill>
              <a:latin typeface="+mn-lt"/>
              <a:ea typeface="+mn-ea"/>
              <a:cs typeface="+mn-cs"/>
            </a:rPr>
            <a:t>Sheet "Campbell Multi" can be used for rotors:</a:t>
          </a:r>
        </a:p>
        <a:p>
          <a:r>
            <a:rPr lang="it-IT" sz="1600" b="1">
              <a:solidFill>
                <a:schemeClr val="dk1"/>
              </a:solidFill>
              <a:latin typeface="+mn-lt"/>
              <a:ea typeface="+mn-ea"/>
              <a:cs typeface="+mn-cs"/>
            </a:rPr>
            <a:t>- with shaft rotating at two different speeds (i.e. when there is a speed multiplier)</a:t>
          </a:r>
        </a:p>
        <a:p>
          <a:endParaRPr lang="it-IT" sz="1600" b="1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it-IT" sz="1600" b="1">
              <a:solidFill>
                <a:schemeClr val="dk1"/>
              </a:solidFill>
              <a:latin typeface="+mn-lt"/>
              <a:ea typeface="+mn-ea"/>
              <a:cs typeface="+mn-cs"/>
            </a:rPr>
            <a:t>Sheet "Campbell VFD"can be used for rotors:</a:t>
          </a:r>
        </a:p>
        <a:p>
          <a:r>
            <a:rPr lang="it-IT" sz="1600" b="1">
              <a:solidFill>
                <a:schemeClr val="dk1"/>
              </a:solidFill>
              <a:latin typeface="+mn-lt"/>
              <a:ea typeface="+mn-ea"/>
              <a:cs typeface="+mn-cs"/>
            </a:rPr>
            <a:t>- with variable speeds from n</a:t>
          </a:r>
          <a:r>
            <a:rPr lang="it-IT" sz="1600" b="1" baseline="-25000">
              <a:solidFill>
                <a:schemeClr val="dk1"/>
              </a:solidFill>
              <a:latin typeface="+mn-lt"/>
              <a:ea typeface="+mn-ea"/>
              <a:cs typeface="+mn-cs"/>
            </a:rPr>
            <a:t>min</a:t>
          </a:r>
          <a:r>
            <a:rPr lang="it-IT" sz="1600" b="1">
              <a:solidFill>
                <a:schemeClr val="dk1"/>
              </a:solidFill>
              <a:latin typeface="+mn-lt"/>
              <a:ea typeface="+mn-ea"/>
              <a:cs typeface="+mn-cs"/>
            </a:rPr>
            <a:t> to </a:t>
          </a:r>
          <a:r>
            <a:rPr lang="it-IT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</a:t>
          </a:r>
          <a:r>
            <a:rPr lang="it-IT" sz="1100" b="1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it-IT" sz="1600" b="1">
              <a:solidFill>
                <a:schemeClr val="dk1"/>
              </a:solidFill>
              <a:latin typeface="+mn-lt"/>
              <a:ea typeface="+mn-ea"/>
              <a:cs typeface="+mn-cs"/>
            </a:rPr>
            <a:t> (i.e. when there is a VFD)</a:t>
          </a:r>
        </a:p>
        <a:p>
          <a:endParaRPr lang="it-IT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0</xdr:rowOff>
    </xdr:from>
    <xdr:to>
      <xdr:col>31</xdr:col>
      <xdr:colOff>0</xdr:colOff>
      <xdr:row>47</xdr:row>
      <xdr:rowOff>177336</xdr:rowOff>
    </xdr:to>
    <xdr:graphicFrame macro="">
      <xdr:nvGraphicFramePr>
        <xdr:cNvPr id="6" name="Campbell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</xdr:row>
      <xdr:rowOff>409574</xdr:rowOff>
    </xdr:from>
    <xdr:to>
      <xdr:col>31</xdr:col>
      <xdr:colOff>0</xdr:colOff>
      <xdr:row>12</xdr:row>
      <xdr:rowOff>205424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100-000003000000}"/>
            </a:ext>
            <a:ext uri="{147F2762-F138-4A5C-976F-8EAC2B608ADB}">
              <a16:predDERef xmlns:a16="http://schemas.microsoft.com/office/drawing/2014/main" pred="{174959D8-34A9-BABB-9F07-A3AC597275AF}"/>
            </a:ext>
          </a:extLst>
        </xdr:cNvPr>
        <xdr:cNvSpPr txBox="1"/>
      </xdr:nvSpPr>
      <xdr:spPr>
        <a:xfrm>
          <a:off x="5438775" y="600074"/>
          <a:ext cx="11982450" cy="252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600" i="1">
              <a:solidFill>
                <a:srgbClr val="FF0000"/>
              </a:solidFill>
            </a:rPr>
            <a:t>Instructions:</a:t>
          </a:r>
        </a:p>
        <a:p>
          <a:r>
            <a:rPr lang="it-IT" sz="1600" i="1">
              <a:solidFill>
                <a:srgbClr val="FF0000"/>
              </a:solidFill>
            </a:rPr>
            <a:t>- fill the cells with red edges</a:t>
          </a:r>
        </a:p>
        <a:p>
          <a:endParaRPr lang="it-IT" sz="1400"/>
        </a:p>
        <a:p>
          <a:r>
            <a:rPr lang="it-IT" sz="1600" b="1"/>
            <a:t>This sheet</a:t>
          </a:r>
          <a:r>
            <a:rPr lang="it-IT" sz="1600" b="1" baseline="0"/>
            <a:t> can be used for rotors:</a:t>
          </a:r>
        </a:p>
        <a:p>
          <a:r>
            <a:rPr lang="it-IT" sz="1600" b="1" baseline="0"/>
            <a:t>- with shaft rotating at two different speeds (i.e. when there is a speed multiplier)</a:t>
          </a:r>
        </a:p>
        <a:p>
          <a:endParaRPr lang="it-IT" sz="1400" baseline="0"/>
        </a:p>
        <a:p>
          <a:r>
            <a:rPr lang="it-IT" sz="1600" i="1">
              <a:solidFill>
                <a:schemeClr val="accent5"/>
              </a:solidFill>
              <a:latin typeface="+mn-lt"/>
              <a:ea typeface="+mn-ea"/>
              <a:cs typeface="+mn-cs"/>
            </a:rPr>
            <a:t>Command "autoscale" set graph x-axis and y-axis as default values.</a:t>
          </a:r>
        </a:p>
        <a:p>
          <a:r>
            <a:rPr lang="it-IT" sz="1600" i="1">
              <a:solidFill>
                <a:schemeClr val="accent5"/>
              </a:solidFill>
              <a:latin typeface="+mn-lt"/>
              <a:ea typeface="+mn-ea"/>
              <a:cs typeface="+mn-cs"/>
            </a:rPr>
            <a:t>Command "scale" set  graph x-axis and y-axis equal to x</a:t>
          </a:r>
          <a:r>
            <a:rPr lang="it-IT" sz="1600" i="1" baseline="-25000">
              <a:solidFill>
                <a:schemeClr val="accent5"/>
              </a:solidFill>
              <a:latin typeface="+mn-lt"/>
              <a:ea typeface="+mn-ea"/>
              <a:cs typeface="+mn-cs"/>
            </a:rPr>
            <a:t>max</a:t>
          </a:r>
          <a:r>
            <a:rPr lang="it-IT" sz="1600" i="1">
              <a:solidFill>
                <a:schemeClr val="accent5"/>
              </a:solidFill>
              <a:latin typeface="+mn-lt"/>
              <a:ea typeface="+mn-ea"/>
              <a:cs typeface="+mn-cs"/>
            </a:rPr>
            <a:t> and </a:t>
          </a:r>
          <a:r>
            <a:rPr lang="it-IT" sz="1600" i="1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y</a:t>
          </a:r>
          <a:r>
            <a:rPr lang="it-IT" sz="1600" i="1" baseline="-2500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max</a:t>
          </a:r>
          <a:r>
            <a:rPr lang="it-IT" sz="1600" i="1">
              <a:solidFill>
                <a:schemeClr val="accent5"/>
              </a:solidFill>
              <a:latin typeface="+mn-lt"/>
              <a:ea typeface="+mn-ea"/>
              <a:cs typeface="+mn-cs"/>
            </a:rPr>
            <a:t> values.</a:t>
          </a:r>
        </a:p>
        <a:p>
          <a:endParaRPr lang="it-IT" sz="1400" baseline="0"/>
        </a:p>
        <a:p>
          <a:r>
            <a:rPr lang="it-IT" sz="1400" i="1" baseline="0"/>
            <a:t>NOTE. There are hidden cells from row 101 to 167 and from column I to P</a:t>
          </a:r>
        </a:p>
        <a:p>
          <a:endParaRPr lang="it-IT" sz="1400" i="1" baseline="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9525</xdr:rowOff>
        </xdr:from>
        <xdr:to>
          <xdr:col>4</xdr:col>
          <xdr:colOff>809625</xdr:colOff>
          <xdr:row>13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19050</xdr:rowOff>
        </xdr:from>
        <xdr:to>
          <xdr:col>4</xdr:col>
          <xdr:colOff>809625</xdr:colOff>
          <xdr:row>15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0</xdr:rowOff>
    </xdr:from>
    <xdr:to>
      <xdr:col>31</xdr:col>
      <xdr:colOff>0</xdr:colOff>
      <xdr:row>47</xdr:row>
      <xdr:rowOff>177336</xdr:rowOff>
    </xdr:to>
    <xdr:graphicFrame macro="">
      <xdr:nvGraphicFramePr>
        <xdr:cNvPr id="2" name="Campbell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</xdr:row>
      <xdr:rowOff>161925</xdr:rowOff>
    </xdr:from>
    <xdr:to>
      <xdr:col>31</xdr:col>
      <xdr:colOff>0</xdr:colOff>
      <xdr:row>12</xdr:row>
      <xdr:rowOff>209775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200-000003000000}"/>
            </a:ext>
            <a:ext uri="{147F2762-F138-4A5C-976F-8EAC2B608ADB}">
              <a16:predDERef xmlns:a16="http://schemas.microsoft.com/office/drawing/2014/main" pred="{174959D8-34A9-BABB-9F07-A3AC597275AF}"/>
            </a:ext>
          </a:extLst>
        </xdr:cNvPr>
        <xdr:cNvSpPr txBox="1"/>
      </xdr:nvSpPr>
      <xdr:spPr>
        <a:xfrm>
          <a:off x="5438775" y="352425"/>
          <a:ext cx="11982450" cy="277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600" i="1">
              <a:solidFill>
                <a:srgbClr val="FF0000"/>
              </a:solidFill>
            </a:rPr>
            <a:t>Instructions:</a:t>
          </a:r>
        </a:p>
        <a:p>
          <a:r>
            <a:rPr lang="it-IT" sz="1600" i="1">
              <a:solidFill>
                <a:srgbClr val="FF0000"/>
              </a:solidFill>
            </a:rPr>
            <a:t>- fill the cells with red edges</a:t>
          </a:r>
        </a:p>
        <a:p>
          <a:endParaRPr lang="it-IT" sz="1400"/>
        </a:p>
        <a:p>
          <a:r>
            <a:rPr lang="it-IT" sz="1600" b="1"/>
            <a:t>This sheet</a:t>
          </a:r>
          <a:r>
            <a:rPr lang="it-IT" sz="1600" b="1" baseline="0"/>
            <a:t> can be used for rotors:</a:t>
          </a:r>
        </a:p>
        <a:p>
          <a:r>
            <a:rPr lang="it-IT" sz="1600" b="1" baseline="0"/>
            <a:t>- with a rotating speed </a:t>
          </a:r>
        </a:p>
        <a:p>
          <a:r>
            <a:rPr lang="it-IT" sz="1600" b="1" baseline="0"/>
            <a:t>- with shafts rotating at different speeds by scaling excitations with the speed ratio</a:t>
          </a:r>
        </a:p>
        <a:p>
          <a:endParaRPr lang="it-IT" sz="1600" b="1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it-IT" sz="1600" b="0" i="1" u="none" strike="noStrike" kern="0" cap="none" spc="0" normalizeH="0" baseline="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Command "autoscale" set graph x-axis and y-axis as default values.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it-IT" sz="1600" b="0" i="1" u="none" strike="noStrike" kern="0" cap="none" spc="0" normalizeH="0" baseline="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Command "scale" set  graph x-axis and y-axis equal to x</a:t>
          </a:r>
          <a:r>
            <a:rPr kumimoji="0" lang="it-IT" sz="1600" b="0" i="1" u="none" strike="noStrike" kern="0" cap="none" spc="0" normalizeH="0" baseline="-2500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max</a:t>
          </a:r>
          <a:r>
            <a:rPr kumimoji="0" lang="it-IT" sz="1600" b="0" i="1" u="none" strike="noStrike" kern="0" cap="none" spc="0" normalizeH="0" baseline="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 and y</a:t>
          </a:r>
          <a:r>
            <a:rPr kumimoji="0" lang="it-IT" sz="1600" b="0" i="1" u="none" strike="noStrike" kern="0" cap="none" spc="0" normalizeH="0" baseline="-2500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max</a:t>
          </a:r>
          <a:r>
            <a:rPr kumimoji="0" lang="it-IT" sz="1600" b="0" i="1" u="none" strike="noStrike" kern="0" cap="none" spc="0" normalizeH="0" baseline="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 values.</a:t>
          </a:r>
        </a:p>
        <a:p>
          <a:endParaRPr lang="it-IT" sz="1400" baseline="0"/>
        </a:p>
        <a:p>
          <a:r>
            <a:rPr lang="it-IT" sz="1400" i="1" baseline="0"/>
            <a:t>NOTE. There are hidden cells from row 101 to 167 and from column I to P</a:t>
          </a:r>
          <a:endParaRPr lang="it-IT" sz="1400" i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9525</xdr:rowOff>
        </xdr:from>
        <xdr:to>
          <xdr:col>4</xdr:col>
          <xdr:colOff>809625</xdr:colOff>
          <xdr:row>13</xdr:row>
          <xdr:rowOff>200025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19050</xdr:rowOff>
        </xdr:from>
        <xdr:to>
          <xdr:col>4</xdr:col>
          <xdr:colOff>809625</xdr:colOff>
          <xdr:row>15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0</xdr:rowOff>
    </xdr:from>
    <xdr:to>
      <xdr:col>31</xdr:col>
      <xdr:colOff>0</xdr:colOff>
      <xdr:row>47</xdr:row>
      <xdr:rowOff>177336</xdr:rowOff>
    </xdr:to>
    <xdr:graphicFrame macro="">
      <xdr:nvGraphicFramePr>
        <xdr:cNvPr id="2" name="Campbel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</xdr:row>
      <xdr:rowOff>400050</xdr:rowOff>
    </xdr:from>
    <xdr:to>
      <xdr:col>31</xdr:col>
      <xdr:colOff>0</xdr:colOff>
      <xdr:row>12</xdr:row>
      <xdr:rowOff>195900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300-000003000000}"/>
            </a:ext>
            <a:ext uri="{147F2762-F138-4A5C-976F-8EAC2B608ADB}">
              <a16:predDERef xmlns:a16="http://schemas.microsoft.com/office/drawing/2014/main" pred="{174959D8-34A9-BABB-9F07-A3AC597275AF}"/>
            </a:ext>
          </a:extLst>
        </xdr:cNvPr>
        <xdr:cNvSpPr txBox="1"/>
      </xdr:nvSpPr>
      <xdr:spPr>
        <a:xfrm>
          <a:off x="5438775" y="590550"/>
          <a:ext cx="11982450" cy="252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600" i="1">
              <a:solidFill>
                <a:srgbClr val="FF0000"/>
              </a:solidFill>
            </a:rPr>
            <a:t>Instructions:</a:t>
          </a:r>
        </a:p>
        <a:p>
          <a:r>
            <a:rPr lang="it-IT" sz="1600" i="1">
              <a:solidFill>
                <a:srgbClr val="FF0000"/>
              </a:solidFill>
            </a:rPr>
            <a:t>- fill the cells with red edges</a:t>
          </a:r>
        </a:p>
        <a:p>
          <a:endParaRPr lang="it-IT" sz="1400"/>
        </a:p>
        <a:p>
          <a:r>
            <a:rPr lang="it-IT" sz="1600" b="1"/>
            <a:t>This sheet</a:t>
          </a:r>
          <a:r>
            <a:rPr lang="it-IT" sz="1600" b="1" baseline="0"/>
            <a:t> can be used for rotors:</a:t>
          </a:r>
        </a:p>
        <a:p>
          <a:r>
            <a:rPr lang="it-IT" sz="1600" b="1" baseline="0"/>
            <a:t>- with shaft rotating at two different speeds (i.e. when there is a speed multiplier)</a:t>
          </a:r>
        </a:p>
        <a:p>
          <a:endParaRPr lang="it-IT" sz="1600" b="1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it-IT" sz="1600" b="0" i="1" u="none" strike="noStrike" kern="0" cap="none" spc="0" normalizeH="0" baseline="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Command "autoscale" set graph x-axis and y-axis as default values.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it-IT" sz="1600" b="0" i="1" u="none" strike="noStrike" kern="0" cap="none" spc="0" normalizeH="0" baseline="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Command "scale" set  graph x-axis and y-axis equal to x</a:t>
          </a:r>
          <a:r>
            <a:rPr kumimoji="0" lang="it-IT" sz="1600" b="0" i="1" u="none" strike="noStrike" kern="0" cap="none" spc="0" normalizeH="0" baseline="-2500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max</a:t>
          </a:r>
          <a:r>
            <a:rPr kumimoji="0" lang="it-IT" sz="1600" b="0" i="1" u="none" strike="noStrike" kern="0" cap="none" spc="0" normalizeH="0" baseline="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 and y</a:t>
          </a:r>
          <a:r>
            <a:rPr kumimoji="0" lang="it-IT" sz="1600" b="0" i="1" u="none" strike="noStrike" kern="0" cap="none" spc="0" normalizeH="0" baseline="-2500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max</a:t>
          </a:r>
          <a:r>
            <a:rPr kumimoji="0" lang="it-IT" sz="1600" b="0" i="1" u="none" strike="noStrike" kern="0" cap="none" spc="0" normalizeH="0" baseline="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 values.</a:t>
          </a:r>
        </a:p>
        <a:p>
          <a:endParaRPr lang="it-IT" sz="1400" baseline="0"/>
        </a:p>
        <a:p>
          <a:r>
            <a:rPr lang="it-IT" sz="1400" i="1" baseline="0"/>
            <a:t>NOTE. There are hidden cells from row 101 to 167 and from column I to P</a:t>
          </a:r>
          <a:endParaRPr lang="it-IT" sz="1400" i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9525</xdr:rowOff>
        </xdr:from>
        <xdr:to>
          <xdr:col>4</xdr:col>
          <xdr:colOff>809625</xdr:colOff>
          <xdr:row>13</xdr:row>
          <xdr:rowOff>200025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19050</xdr:rowOff>
        </xdr:from>
        <xdr:to>
          <xdr:col>4</xdr:col>
          <xdr:colOff>809625</xdr:colOff>
          <xdr:row>15</xdr:row>
          <xdr:rowOff>209550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0</xdr:rowOff>
    </xdr:from>
    <xdr:to>
      <xdr:col>31</xdr:col>
      <xdr:colOff>0</xdr:colOff>
      <xdr:row>47</xdr:row>
      <xdr:rowOff>177336</xdr:rowOff>
    </xdr:to>
    <xdr:graphicFrame macro="">
      <xdr:nvGraphicFramePr>
        <xdr:cNvPr id="2" name="Campbell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</xdr:row>
      <xdr:rowOff>400050</xdr:rowOff>
    </xdr:from>
    <xdr:to>
      <xdr:col>31</xdr:col>
      <xdr:colOff>0</xdr:colOff>
      <xdr:row>12</xdr:row>
      <xdr:rowOff>195900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  <a:ext uri="{147F2762-F138-4A5C-976F-8EAC2B608ADB}">
              <a16:predDERef xmlns:a16="http://schemas.microsoft.com/office/drawing/2014/main" pred="{174959D8-34A9-BABB-9F07-A3AC597275AF}"/>
            </a:ext>
          </a:extLst>
        </xdr:cNvPr>
        <xdr:cNvSpPr txBox="1"/>
      </xdr:nvSpPr>
      <xdr:spPr>
        <a:xfrm>
          <a:off x="5438775" y="590550"/>
          <a:ext cx="11982450" cy="252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600" i="1">
              <a:solidFill>
                <a:srgbClr val="FF0000"/>
              </a:solidFill>
            </a:rPr>
            <a:t>Instructions:</a:t>
          </a:r>
        </a:p>
        <a:p>
          <a:r>
            <a:rPr lang="it-IT" sz="1600" i="1">
              <a:solidFill>
                <a:srgbClr val="FF0000"/>
              </a:solidFill>
            </a:rPr>
            <a:t>- fill the cells with red edges</a:t>
          </a:r>
        </a:p>
        <a:p>
          <a:endParaRPr lang="it-IT" sz="1400"/>
        </a:p>
        <a:p>
          <a:r>
            <a:rPr lang="it-IT" sz="1600" b="1"/>
            <a:t>This sheet</a:t>
          </a:r>
          <a:r>
            <a:rPr lang="it-IT" sz="1600" b="1" baseline="0"/>
            <a:t> can be used for rotors:</a:t>
          </a:r>
        </a:p>
        <a:p>
          <a:r>
            <a:rPr lang="it-IT" sz="1600" b="1" baseline="0"/>
            <a:t>- with variable speeds from n</a:t>
          </a:r>
          <a:r>
            <a:rPr lang="it-IT" sz="1600" b="1" baseline="-25000"/>
            <a:t>min</a:t>
          </a:r>
          <a:r>
            <a:rPr lang="it-IT" sz="1600" b="1" baseline="0"/>
            <a:t> to n</a:t>
          </a:r>
          <a:r>
            <a:rPr lang="it-IT" sz="1600" b="1" baseline="-25000"/>
            <a:t>max</a:t>
          </a:r>
          <a:r>
            <a:rPr lang="it-IT" sz="1600" b="1" baseline="0"/>
            <a:t> (i.e. when there is a VFD)</a:t>
          </a:r>
        </a:p>
        <a:p>
          <a:endParaRPr lang="it-IT" sz="1600" b="1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it-IT" sz="1600" b="0" i="1" u="none" strike="noStrike" kern="0" cap="none" spc="0" normalizeH="0" baseline="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Command "autoscale" set graph x-axis and y-axis as default values.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it-IT" sz="1600" b="0" i="1" u="none" strike="noStrike" kern="0" cap="none" spc="0" normalizeH="0" baseline="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Command "scale" set  graph x-axis and y-axis equal to x</a:t>
          </a:r>
          <a:r>
            <a:rPr kumimoji="0" lang="it-IT" sz="1600" b="0" i="1" u="none" strike="noStrike" kern="0" cap="none" spc="0" normalizeH="0" baseline="-2500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max</a:t>
          </a:r>
          <a:r>
            <a:rPr kumimoji="0" lang="it-IT" sz="1600" b="0" i="1" u="none" strike="noStrike" kern="0" cap="none" spc="0" normalizeH="0" baseline="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 and y</a:t>
          </a:r>
          <a:r>
            <a:rPr kumimoji="0" lang="it-IT" sz="1600" b="0" i="1" u="none" strike="noStrike" kern="0" cap="none" spc="0" normalizeH="0" baseline="-2500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max</a:t>
          </a:r>
          <a:r>
            <a:rPr kumimoji="0" lang="it-IT" sz="1600" b="0" i="1" u="none" strike="noStrike" kern="0" cap="none" spc="0" normalizeH="0" baseline="0" noProof="0">
              <a:ln>
                <a:noFill/>
              </a:ln>
              <a:solidFill>
                <a:srgbClr val="4472C4"/>
              </a:solidFill>
              <a:effectLst/>
              <a:uLnTx/>
              <a:uFillTx/>
              <a:latin typeface="+mn-lt"/>
              <a:ea typeface="+mn-ea"/>
              <a:cs typeface="+mn-cs"/>
            </a:rPr>
            <a:t> values.</a:t>
          </a:r>
        </a:p>
        <a:p>
          <a:endParaRPr lang="it-IT" sz="1400" baseline="0"/>
        </a:p>
        <a:p>
          <a:r>
            <a:rPr lang="it-IT" sz="1400" i="1" baseline="0"/>
            <a:t>NOTE. There are hidden cells from row 101 to 167 and from column I to P</a:t>
          </a:r>
          <a:endParaRPr lang="it-IT" sz="1400" i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12</xdr:row>
          <xdr:rowOff>9525</xdr:rowOff>
        </xdr:from>
        <xdr:to>
          <xdr:col>4</xdr:col>
          <xdr:colOff>809625</xdr:colOff>
          <xdr:row>13</xdr:row>
          <xdr:rowOff>200025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autoscale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14</xdr:row>
          <xdr:rowOff>19050</xdr:rowOff>
        </xdr:from>
        <xdr:to>
          <xdr:col>4</xdr:col>
          <xdr:colOff>809625</xdr:colOff>
          <xdr:row>15</xdr:row>
          <xdr:rowOff>209550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2DCC-04CC-40C3-9A39-6A0D914505F7}">
  <sheetPr codeName="Foglio5"/>
  <dimension ref="B23:G29"/>
  <sheetViews>
    <sheetView tabSelected="1" workbookViewId="0">
      <selection activeCell="K28" sqref="K28"/>
    </sheetView>
  </sheetViews>
  <sheetFormatPr defaultRowHeight="15" x14ac:dyDescent="0.25"/>
  <cols>
    <col min="3" max="3" width="13.42578125" bestFit="1" customWidth="1"/>
    <col min="5" max="5" width="8.5703125" bestFit="1" customWidth="1"/>
  </cols>
  <sheetData>
    <row r="23" spans="2:7" ht="15.75" thickBot="1" x14ac:dyDescent="0.3"/>
    <row r="24" spans="2:7" ht="15.75" thickBot="1" x14ac:dyDescent="0.3">
      <c r="B24" s="15" t="s">
        <v>0</v>
      </c>
      <c r="C24" s="16" t="s">
        <v>1</v>
      </c>
      <c r="D24" s="16" t="s">
        <v>2</v>
      </c>
      <c r="E24" s="17" t="s">
        <v>3</v>
      </c>
      <c r="F24" s="45" t="s">
        <v>4</v>
      </c>
      <c r="G24" s="46"/>
    </row>
    <row r="25" spans="2:7" ht="15.75" thickBot="1" x14ac:dyDescent="0.3">
      <c r="B25" s="13" t="s">
        <v>5</v>
      </c>
      <c r="C25" s="14" t="s">
        <v>6</v>
      </c>
      <c r="D25" s="14"/>
      <c r="E25" s="18">
        <v>45279</v>
      </c>
      <c r="F25" s="47"/>
      <c r="G25" s="48"/>
    </row>
    <row r="26" spans="2:7" ht="15.75" thickBot="1" x14ac:dyDescent="0.3">
      <c r="B26" s="13"/>
      <c r="C26" s="14"/>
      <c r="D26" s="14"/>
      <c r="E26" s="19"/>
      <c r="F26" s="49"/>
      <c r="G26" s="50"/>
    </row>
    <row r="27" spans="2:7" ht="15.75" thickBot="1" x14ac:dyDescent="0.3">
      <c r="B27" s="13"/>
      <c r="C27" s="14"/>
      <c r="D27" s="14"/>
      <c r="E27" s="19"/>
      <c r="F27" s="47"/>
      <c r="G27" s="48"/>
    </row>
    <row r="28" spans="2:7" ht="15.75" thickBot="1" x14ac:dyDescent="0.3">
      <c r="B28" s="13"/>
      <c r="C28" s="14"/>
      <c r="D28" s="14"/>
      <c r="E28" s="19"/>
      <c r="F28" s="49"/>
      <c r="G28" s="50"/>
    </row>
    <row r="29" spans="2:7" ht="15.75" thickBot="1" x14ac:dyDescent="0.3">
      <c r="B29" s="13"/>
      <c r="C29" s="14"/>
      <c r="D29" s="14"/>
      <c r="E29" s="19"/>
      <c r="F29" s="43"/>
      <c r="G29" s="44"/>
    </row>
  </sheetData>
  <mergeCells count="6">
    <mergeCell ref="F29:G29"/>
    <mergeCell ref="F24:G24"/>
    <mergeCell ref="F25:G25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FDD40-53A7-46BB-BE38-E32E994B6C4C}">
  <sheetPr codeName="Foglio1"/>
  <dimension ref="B2:BK167"/>
  <sheetViews>
    <sheetView zoomScaleNormal="100" workbookViewId="0">
      <selection activeCell="D7" sqref="D7"/>
    </sheetView>
  </sheetViews>
  <sheetFormatPr defaultRowHeight="15" x14ac:dyDescent="0.25"/>
  <cols>
    <col min="1" max="1" width="2.5703125" customWidth="1"/>
    <col min="3" max="3" width="10" bestFit="1" customWidth="1"/>
    <col min="4" max="4" width="12.42578125" bestFit="1" customWidth="1"/>
    <col min="5" max="5" width="12.42578125" customWidth="1"/>
    <col min="6" max="6" width="20" bestFit="1" customWidth="1"/>
    <col min="7" max="7" width="12.42578125" customWidth="1"/>
    <col min="8" max="8" width="2.5703125" customWidth="1"/>
    <col min="9" max="9" width="15.28515625" hidden="1" customWidth="1"/>
    <col min="10" max="10" width="8" hidden="1" customWidth="1"/>
    <col min="11" max="11" width="11.140625" hidden="1" customWidth="1"/>
    <col min="12" max="12" width="11.7109375" hidden="1" customWidth="1"/>
    <col min="13" max="13" width="11.140625" hidden="1" customWidth="1"/>
    <col min="14" max="14" width="9.140625" hidden="1" customWidth="1"/>
    <col min="15" max="15" width="11.140625" hidden="1" customWidth="1"/>
    <col min="16" max="16" width="13.85546875" hidden="1" customWidth="1"/>
    <col min="17" max="17" width="11.85546875" customWidth="1"/>
    <col min="18" max="21" width="11.7109375" bestFit="1" customWidth="1"/>
    <col min="22" max="22" width="12.140625" bestFit="1" customWidth="1"/>
    <col min="23" max="23" width="11.7109375" bestFit="1" customWidth="1"/>
    <col min="24" max="31" width="12.140625" bestFit="1" customWidth="1"/>
    <col min="32" max="32" width="2.5703125" customWidth="1"/>
    <col min="34" max="63" width="10.5703125" customWidth="1"/>
  </cols>
  <sheetData>
    <row r="2" spans="2:63" ht="46.5" x14ac:dyDescent="0.7">
      <c r="B2" s="31" t="s">
        <v>7</v>
      </c>
    </row>
    <row r="3" spans="2:63" ht="18" x14ac:dyDescent="0.35">
      <c r="I3" s="7" t="s">
        <v>8</v>
      </c>
      <c r="J3">
        <f>$C$5*(1+$C$9)</f>
        <v>1336.5</v>
      </c>
      <c r="K3">
        <f>$C$5*(1+$C$9)</f>
        <v>1336.5</v>
      </c>
    </row>
    <row r="4" spans="2:63" ht="18" x14ac:dyDescent="0.35">
      <c r="B4" s="4" t="s">
        <v>9</v>
      </c>
      <c r="F4" s="40" t="s">
        <v>10</v>
      </c>
      <c r="I4" s="7" t="s">
        <v>11</v>
      </c>
      <c r="J4">
        <f>$C$5</f>
        <v>1485</v>
      </c>
      <c r="K4">
        <f>$C$5</f>
        <v>1485</v>
      </c>
      <c r="AG4" s="21" t="s">
        <v>12</v>
      </c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3"/>
    </row>
    <row r="5" spans="2:63" ht="18" x14ac:dyDescent="0.35">
      <c r="B5" s="5" t="s">
        <v>11</v>
      </c>
      <c r="C5" s="38">
        <v>1485</v>
      </c>
      <c r="F5" s="38" t="s">
        <v>13</v>
      </c>
      <c r="I5" s="7" t="s">
        <v>14</v>
      </c>
      <c r="J5">
        <f>$C$5*(1+$C$10)</f>
        <v>1633.5000000000002</v>
      </c>
      <c r="K5">
        <f>$C$5*(1+$C$10)</f>
        <v>1633.5000000000002</v>
      </c>
      <c r="AG5" s="20"/>
      <c r="AH5" s="27" t="str">
        <f>$B$19</f>
        <v>fn_1</v>
      </c>
      <c r="AI5" s="27" t="str">
        <f>$B$20</f>
        <v>fn_2</v>
      </c>
      <c r="AJ5" s="27" t="str">
        <f>$B$21</f>
        <v>fn_3</v>
      </c>
      <c r="AK5" s="27" t="str">
        <f>$B$22</f>
        <v>fn_4</v>
      </c>
      <c r="AL5" s="27" t="str">
        <f>$B$23</f>
        <v>fn_5</v>
      </c>
      <c r="AM5" s="27" t="str">
        <f>$B$24</f>
        <v>fn_6</v>
      </c>
      <c r="AN5" s="27" t="str">
        <f>$B$25</f>
        <v>fn_7</v>
      </c>
      <c r="AO5" s="27" t="str">
        <f>$B$26</f>
        <v>fn_8</v>
      </c>
      <c r="AP5" s="27" t="str">
        <f>$B$27</f>
        <v>fn_9</v>
      </c>
      <c r="AQ5" s="27" t="str">
        <f>$B$28</f>
        <v>fn_10</v>
      </c>
      <c r="AR5" s="27" t="str">
        <f>$B$29</f>
        <v>fn_11</v>
      </c>
      <c r="AS5" s="27" t="str">
        <f>$B$30</f>
        <v>fn_12</v>
      </c>
      <c r="AT5" s="27" t="str">
        <f>$B$31</f>
        <v>fn_13</v>
      </c>
      <c r="AU5" s="27" t="str">
        <f>$B$32</f>
        <v>fn_14</v>
      </c>
      <c r="AV5" s="27" t="str">
        <f>$B$33</f>
        <v>fn_15</v>
      </c>
      <c r="AW5" s="27" t="str">
        <f>$B$34</f>
        <v>fn_16</v>
      </c>
      <c r="AX5" s="27" t="str">
        <f>$B$35</f>
        <v>fn_17</v>
      </c>
      <c r="AY5" s="27" t="str">
        <f>$B$36</f>
        <v>fn_18</v>
      </c>
      <c r="AZ5" s="27" t="str">
        <f>$B$37</f>
        <v>fn_19</v>
      </c>
      <c r="BA5" s="27" t="str">
        <f>$B$38</f>
        <v>fn_20</v>
      </c>
      <c r="BB5" s="27" t="str">
        <f>$B$39</f>
        <v>fn_21</v>
      </c>
      <c r="BC5" s="27" t="str">
        <f>$B$40</f>
        <v>fn_22</v>
      </c>
      <c r="BD5" s="27" t="str">
        <f>$B$41</f>
        <v>fn_23</v>
      </c>
      <c r="BE5" s="27" t="str">
        <f>$B$42</f>
        <v>fn_24</v>
      </c>
      <c r="BF5" s="27" t="str">
        <f>$B$43</f>
        <v>fn_25</v>
      </c>
      <c r="BG5" s="27" t="str">
        <f>$B$44</f>
        <v>fn_26</v>
      </c>
      <c r="BH5" s="27" t="str">
        <f>$B$45</f>
        <v>fn_27</v>
      </c>
      <c r="BI5" s="27" t="str">
        <f>$B$46</f>
        <v>fn_28</v>
      </c>
      <c r="BJ5" s="27" t="str">
        <f>$B$47</f>
        <v>fn_29</v>
      </c>
      <c r="BK5" s="27" t="str">
        <f>$B$48</f>
        <v>fn_30</v>
      </c>
    </row>
    <row r="6" spans="2:63" ht="18" x14ac:dyDescent="0.35">
      <c r="B6" s="5" t="s">
        <v>15</v>
      </c>
      <c r="C6" s="38">
        <v>5015</v>
      </c>
      <c r="F6" s="42" t="s">
        <v>16</v>
      </c>
      <c r="I6" s="7" t="s">
        <v>17</v>
      </c>
      <c r="J6">
        <f>$C$6*(1+$C$9)</f>
        <v>4513.5</v>
      </c>
      <c r="K6">
        <f>$C$6*(1+$C$9)</f>
        <v>4513.5</v>
      </c>
      <c r="AG6" s="24" t="str">
        <f>$M19</f>
        <v>1X</v>
      </c>
      <c r="AH6" s="28">
        <f t="shared" ref="AH6:AH35" si="0">(C138-$C$5)/$C$5</f>
        <v>1.4242424242424243</v>
      </c>
      <c r="AI6" s="28">
        <f t="shared" ref="AI6:AI35" si="1">(D138-$C$5)/$C$5</f>
        <v>2.3670033670033672</v>
      </c>
      <c r="AJ6" s="28" t="e">
        <f t="shared" ref="AJ6:AJ35" si="2">(E138-$C$5)/$C$5</f>
        <v>#N/A</v>
      </c>
      <c r="AK6" s="28" t="e">
        <f t="shared" ref="AK6:AK35" si="3">(F138-$C$5)/$C$5</f>
        <v>#N/A</v>
      </c>
      <c r="AL6" s="28" t="e">
        <f t="shared" ref="AL6:AL35" si="4">(G138-$C$5)/$C$5</f>
        <v>#N/A</v>
      </c>
      <c r="AM6" s="28" t="e">
        <f t="shared" ref="AM6:AM35" si="5">(H138-$C$5)/$C$5</f>
        <v>#N/A</v>
      </c>
      <c r="AN6" s="28" t="e">
        <f t="shared" ref="AN6:AN35" si="6">(I138-$C$5)/$C$5</f>
        <v>#N/A</v>
      </c>
      <c r="AO6" s="28" t="e">
        <f t="shared" ref="AO6:AO35" si="7">(J138-$C$5)/$C$5</f>
        <v>#N/A</v>
      </c>
      <c r="AP6" s="28" t="e">
        <f t="shared" ref="AP6:AP35" si="8">(K138-$C$5)/$C$5</f>
        <v>#N/A</v>
      </c>
      <c r="AQ6" s="28" t="e">
        <f t="shared" ref="AQ6:AQ35" si="9">(L138-$C$5)/$C$5</f>
        <v>#N/A</v>
      </c>
      <c r="AR6" s="28" t="e">
        <f t="shared" ref="AR6:AR35" si="10">(M138-$C$5)/$C$5</f>
        <v>#N/A</v>
      </c>
      <c r="AS6" s="28" t="e">
        <f t="shared" ref="AS6:AS35" si="11">(N138-$C$5)/$C$5</f>
        <v>#N/A</v>
      </c>
      <c r="AT6" s="28" t="e">
        <f t="shared" ref="AT6:AT35" si="12">(O138-$C$5)/$C$5</f>
        <v>#N/A</v>
      </c>
      <c r="AU6" s="28" t="e">
        <f t="shared" ref="AU6:AU35" si="13">(P138-$C$5)/$C$5</f>
        <v>#N/A</v>
      </c>
      <c r="AV6" s="28" t="e">
        <f t="shared" ref="AV6:AV35" si="14">(Q138-$C$5)/$C$5</f>
        <v>#N/A</v>
      </c>
      <c r="AW6" s="28" t="e">
        <f t="shared" ref="AW6:AW35" si="15">(R138-$C$5)/$C$5</f>
        <v>#N/A</v>
      </c>
      <c r="AX6" s="28" t="e">
        <f t="shared" ref="AX6:AX35" si="16">(S138-$C$5)/$C$5</f>
        <v>#N/A</v>
      </c>
      <c r="AY6" s="28" t="e">
        <f t="shared" ref="AY6:AY35" si="17">(T138-$C$5)/$C$5</f>
        <v>#N/A</v>
      </c>
      <c r="AZ6" s="28" t="e">
        <f t="shared" ref="AZ6:AZ35" si="18">(U138-$C$5)/$C$5</f>
        <v>#N/A</v>
      </c>
      <c r="BA6" s="28" t="e">
        <f t="shared" ref="BA6:BA35" si="19">(V138-$C$5)/$C$5</f>
        <v>#N/A</v>
      </c>
      <c r="BB6" s="28" t="e">
        <f t="shared" ref="BB6:BB35" si="20">(W138-$C$5)/$C$5</f>
        <v>#N/A</v>
      </c>
      <c r="BC6" s="28" t="e">
        <f t="shared" ref="BC6:BC35" si="21">(X138-$C$5)/$C$5</f>
        <v>#N/A</v>
      </c>
      <c r="BD6" s="28" t="e">
        <f t="shared" ref="BD6:BD35" si="22">(Y138-$C$5)/$C$5</f>
        <v>#N/A</v>
      </c>
      <c r="BE6" s="28" t="e">
        <f t="shared" ref="BE6:BE35" si="23">(Z138-$C$5)/$C$5</f>
        <v>#N/A</v>
      </c>
      <c r="BF6" s="28" t="e">
        <f t="shared" ref="BF6:BF35" si="24">(AA138-$C$5)/$C$5</f>
        <v>#N/A</v>
      </c>
      <c r="BG6" s="28" t="e">
        <f t="shared" ref="BG6:BG35" si="25">(AB138-$C$5)/$C$5</f>
        <v>#N/A</v>
      </c>
      <c r="BH6" s="28" t="e">
        <f t="shared" ref="BH6:BH35" si="26">(AC138-$C$5)/$C$5</f>
        <v>#N/A</v>
      </c>
      <c r="BI6" s="28" t="e">
        <f t="shared" ref="BI6:BI35" si="27">(AD138-$C$5)/$C$5</f>
        <v>#N/A</v>
      </c>
      <c r="BJ6" s="28" t="e">
        <f t="shared" ref="BJ6:BJ35" si="28">(AE138-$C$5)/$C$5</f>
        <v>#N/A</v>
      </c>
      <c r="BK6" s="28" t="e">
        <f t="shared" ref="BK6:BK35" si="29">(AF138-$C$5)/$C$5</f>
        <v>#N/A</v>
      </c>
    </row>
    <row r="7" spans="2:63" ht="18" x14ac:dyDescent="0.35">
      <c r="C7" s="1"/>
      <c r="F7" s="41" t="s">
        <v>18</v>
      </c>
      <c r="I7" s="7" t="s">
        <v>15</v>
      </c>
      <c r="J7">
        <f>$C$6</f>
        <v>5015</v>
      </c>
      <c r="K7">
        <f>$C$6</f>
        <v>5015</v>
      </c>
      <c r="AG7" s="25" t="str">
        <f t="shared" ref="AG7:AG35" si="30">$M20</f>
        <v>2X</v>
      </c>
      <c r="AH7" s="29">
        <f t="shared" si="0"/>
        <v>0.21212121212121213</v>
      </c>
      <c r="AI7" s="29">
        <f t="shared" si="1"/>
        <v>0.6835016835016835</v>
      </c>
      <c r="AJ7" s="29">
        <f t="shared" si="2"/>
        <v>1.861952861952862</v>
      </c>
      <c r="AK7" s="29">
        <f t="shared" si="3"/>
        <v>2.5353535353535355</v>
      </c>
      <c r="AL7" s="29" t="e">
        <f t="shared" si="4"/>
        <v>#N/A</v>
      </c>
      <c r="AM7" s="29" t="e">
        <f t="shared" si="5"/>
        <v>#N/A</v>
      </c>
      <c r="AN7" s="29" t="e">
        <f t="shared" si="6"/>
        <v>#N/A</v>
      </c>
      <c r="AO7" s="29" t="e">
        <f t="shared" si="7"/>
        <v>#N/A</v>
      </c>
      <c r="AP7" s="29" t="e">
        <f t="shared" si="8"/>
        <v>#N/A</v>
      </c>
      <c r="AQ7" s="29" t="e">
        <f t="shared" si="9"/>
        <v>#N/A</v>
      </c>
      <c r="AR7" s="29" t="e">
        <f t="shared" si="10"/>
        <v>#N/A</v>
      </c>
      <c r="AS7" s="29" t="e">
        <f t="shared" si="11"/>
        <v>#N/A</v>
      </c>
      <c r="AT7" s="29" t="e">
        <f t="shared" si="12"/>
        <v>#N/A</v>
      </c>
      <c r="AU7" s="29" t="e">
        <f t="shared" si="13"/>
        <v>#N/A</v>
      </c>
      <c r="AV7" s="29" t="e">
        <f t="shared" si="14"/>
        <v>#N/A</v>
      </c>
      <c r="AW7" s="29" t="e">
        <f t="shared" si="15"/>
        <v>#N/A</v>
      </c>
      <c r="AX7" s="29" t="e">
        <f t="shared" si="16"/>
        <v>#N/A</v>
      </c>
      <c r="AY7" s="29" t="e">
        <f t="shared" si="17"/>
        <v>#N/A</v>
      </c>
      <c r="AZ7" s="29" t="e">
        <f t="shared" si="18"/>
        <v>#N/A</v>
      </c>
      <c r="BA7" s="29" t="e">
        <f t="shared" si="19"/>
        <v>#N/A</v>
      </c>
      <c r="BB7" s="29" t="e">
        <f t="shared" si="20"/>
        <v>#N/A</v>
      </c>
      <c r="BC7" s="29" t="e">
        <f t="shared" si="21"/>
        <v>#N/A</v>
      </c>
      <c r="BD7" s="29" t="e">
        <f t="shared" si="22"/>
        <v>#N/A</v>
      </c>
      <c r="BE7" s="29" t="e">
        <f t="shared" si="23"/>
        <v>#N/A</v>
      </c>
      <c r="BF7" s="29" t="e">
        <f t="shared" si="24"/>
        <v>#N/A</v>
      </c>
      <c r="BG7" s="29" t="e">
        <f t="shared" si="25"/>
        <v>#N/A</v>
      </c>
      <c r="BH7" s="29" t="e">
        <f t="shared" si="26"/>
        <v>#N/A</v>
      </c>
      <c r="BI7" s="29" t="e">
        <f t="shared" si="27"/>
        <v>#N/A</v>
      </c>
      <c r="BJ7" s="29" t="e">
        <f t="shared" si="28"/>
        <v>#N/A</v>
      </c>
      <c r="BK7" s="29" t="e">
        <f t="shared" si="29"/>
        <v>#N/A</v>
      </c>
    </row>
    <row r="8" spans="2:63" ht="18" x14ac:dyDescent="0.35">
      <c r="B8" s="4" t="s">
        <v>19</v>
      </c>
      <c r="I8" s="7" t="s">
        <v>20</v>
      </c>
      <c r="J8">
        <f>$C$6*(1+$C$10)</f>
        <v>5516.5</v>
      </c>
      <c r="K8">
        <f>$C$6*(1+$C$10)</f>
        <v>5516.5</v>
      </c>
      <c r="AG8" s="25" t="str">
        <f t="shared" si="30"/>
        <v>5X</v>
      </c>
      <c r="AH8" s="29">
        <f t="shared" si="0"/>
        <v>-0.51515151515151514</v>
      </c>
      <c r="AI8" s="29">
        <f t="shared" si="1"/>
        <v>-0.32659932659932661</v>
      </c>
      <c r="AJ8" s="29">
        <f t="shared" si="2"/>
        <v>0.14478114478114479</v>
      </c>
      <c r="AK8" s="29">
        <f t="shared" si="3"/>
        <v>0.41414141414141414</v>
      </c>
      <c r="AL8" s="29">
        <f t="shared" si="4"/>
        <v>0.6835016835016835</v>
      </c>
      <c r="AM8" s="29" t="e">
        <f t="shared" si="5"/>
        <v>#N/A</v>
      </c>
      <c r="AN8" s="29" t="e">
        <f t="shared" si="6"/>
        <v>#N/A</v>
      </c>
      <c r="AO8" s="29" t="e">
        <f t="shared" si="7"/>
        <v>#N/A</v>
      </c>
      <c r="AP8" s="29" t="e">
        <f t="shared" si="8"/>
        <v>#N/A</v>
      </c>
      <c r="AQ8" s="29" t="e">
        <f t="shared" si="9"/>
        <v>#N/A</v>
      </c>
      <c r="AR8" s="29" t="e">
        <f t="shared" si="10"/>
        <v>#N/A</v>
      </c>
      <c r="AS8" s="29" t="e">
        <f t="shared" si="11"/>
        <v>#N/A</v>
      </c>
      <c r="AT8" s="29" t="e">
        <f t="shared" si="12"/>
        <v>#N/A</v>
      </c>
      <c r="AU8" s="29" t="e">
        <f t="shared" si="13"/>
        <v>#N/A</v>
      </c>
      <c r="AV8" s="29" t="e">
        <f t="shared" si="14"/>
        <v>#N/A</v>
      </c>
      <c r="AW8" s="29" t="e">
        <f t="shared" si="15"/>
        <v>#N/A</v>
      </c>
      <c r="AX8" s="29" t="e">
        <f t="shared" si="16"/>
        <v>#N/A</v>
      </c>
      <c r="AY8" s="29" t="e">
        <f t="shared" si="17"/>
        <v>#N/A</v>
      </c>
      <c r="AZ8" s="29" t="e">
        <f t="shared" si="18"/>
        <v>#N/A</v>
      </c>
      <c r="BA8" s="29" t="e">
        <f t="shared" si="19"/>
        <v>#N/A</v>
      </c>
      <c r="BB8" s="29" t="e">
        <f t="shared" si="20"/>
        <v>#N/A</v>
      </c>
      <c r="BC8" s="29" t="e">
        <f t="shared" si="21"/>
        <v>#N/A</v>
      </c>
      <c r="BD8" s="29" t="e">
        <f t="shared" si="22"/>
        <v>#N/A</v>
      </c>
      <c r="BE8" s="29" t="e">
        <f t="shared" si="23"/>
        <v>#N/A</v>
      </c>
      <c r="BF8" s="29" t="e">
        <f t="shared" si="24"/>
        <v>#N/A</v>
      </c>
      <c r="BG8" s="29" t="e">
        <f t="shared" si="25"/>
        <v>#N/A</v>
      </c>
      <c r="BH8" s="29" t="e">
        <f t="shared" si="26"/>
        <v>#N/A</v>
      </c>
      <c r="BI8" s="29" t="e">
        <f t="shared" si="27"/>
        <v>#N/A</v>
      </c>
      <c r="BJ8" s="29" t="e">
        <f t="shared" si="28"/>
        <v>#N/A</v>
      </c>
      <c r="BK8" s="29" t="e">
        <f t="shared" si="29"/>
        <v>#N/A</v>
      </c>
    </row>
    <row r="9" spans="2:63" x14ac:dyDescent="0.25">
      <c r="B9" s="5" t="s">
        <v>21</v>
      </c>
      <c r="C9" s="39">
        <v>-0.1</v>
      </c>
      <c r="AG9" s="25" t="str">
        <f t="shared" si="30"/>
        <v>X</v>
      </c>
      <c r="AH9" s="29" t="e">
        <f t="shared" si="0"/>
        <v>#N/A</v>
      </c>
      <c r="AI9" s="29" t="e">
        <f t="shared" si="1"/>
        <v>#N/A</v>
      </c>
      <c r="AJ9" s="29" t="e">
        <f t="shared" si="2"/>
        <v>#N/A</v>
      </c>
      <c r="AK9" s="29" t="e">
        <f t="shared" si="3"/>
        <v>#N/A</v>
      </c>
      <c r="AL9" s="29" t="e">
        <f t="shared" si="4"/>
        <v>#N/A</v>
      </c>
      <c r="AM9" s="29" t="e">
        <f t="shared" si="5"/>
        <v>#N/A</v>
      </c>
      <c r="AN9" s="29" t="e">
        <f t="shared" si="6"/>
        <v>#N/A</v>
      </c>
      <c r="AO9" s="29" t="e">
        <f t="shared" si="7"/>
        <v>#N/A</v>
      </c>
      <c r="AP9" s="29" t="e">
        <f t="shared" si="8"/>
        <v>#N/A</v>
      </c>
      <c r="AQ9" s="29" t="e">
        <f t="shared" si="9"/>
        <v>#N/A</v>
      </c>
      <c r="AR9" s="29" t="e">
        <f t="shared" si="10"/>
        <v>#N/A</v>
      </c>
      <c r="AS9" s="29" t="e">
        <f t="shared" si="11"/>
        <v>#N/A</v>
      </c>
      <c r="AT9" s="29" t="e">
        <f t="shared" si="12"/>
        <v>#N/A</v>
      </c>
      <c r="AU9" s="29" t="e">
        <f t="shared" si="13"/>
        <v>#N/A</v>
      </c>
      <c r="AV9" s="29" t="e">
        <f t="shared" si="14"/>
        <v>#N/A</v>
      </c>
      <c r="AW9" s="29" t="e">
        <f t="shared" si="15"/>
        <v>#N/A</v>
      </c>
      <c r="AX9" s="29" t="e">
        <f t="shared" si="16"/>
        <v>#N/A</v>
      </c>
      <c r="AY9" s="29" t="e">
        <f t="shared" si="17"/>
        <v>#N/A</v>
      </c>
      <c r="AZ9" s="29" t="e">
        <f t="shared" si="18"/>
        <v>#N/A</v>
      </c>
      <c r="BA9" s="29" t="e">
        <f t="shared" si="19"/>
        <v>#N/A</v>
      </c>
      <c r="BB9" s="29" t="e">
        <f t="shared" si="20"/>
        <v>#N/A</v>
      </c>
      <c r="BC9" s="29" t="e">
        <f t="shared" si="21"/>
        <v>#N/A</v>
      </c>
      <c r="BD9" s="29" t="e">
        <f t="shared" si="22"/>
        <v>#N/A</v>
      </c>
      <c r="BE9" s="29" t="e">
        <f t="shared" si="23"/>
        <v>#N/A</v>
      </c>
      <c r="BF9" s="29" t="e">
        <f t="shared" si="24"/>
        <v>#N/A</v>
      </c>
      <c r="BG9" s="29" t="e">
        <f t="shared" si="25"/>
        <v>#N/A</v>
      </c>
      <c r="BH9" s="29" t="e">
        <f t="shared" si="26"/>
        <v>#N/A</v>
      </c>
      <c r="BI9" s="29" t="e">
        <f t="shared" si="27"/>
        <v>#N/A</v>
      </c>
      <c r="BJ9" s="29" t="e">
        <f t="shared" si="28"/>
        <v>#N/A</v>
      </c>
      <c r="BK9" s="29" t="e">
        <f t="shared" si="29"/>
        <v>#N/A</v>
      </c>
    </row>
    <row r="10" spans="2:63" x14ac:dyDescent="0.25">
      <c r="B10" s="5" t="s">
        <v>22</v>
      </c>
      <c r="C10" s="39">
        <v>0.1</v>
      </c>
      <c r="AG10" s="25" t="str">
        <f t="shared" si="30"/>
        <v>X</v>
      </c>
      <c r="AH10" s="29" t="e">
        <f t="shared" si="0"/>
        <v>#N/A</v>
      </c>
      <c r="AI10" s="29" t="e">
        <f t="shared" si="1"/>
        <v>#N/A</v>
      </c>
      <c r="AJ10" s="29" t="e">
        <f t="shared" si="2"/>
        <v>#N/A</v>
      </c>
      <c r="AK10" s="29" t="e">
        <f t="shared" si="3"/>
        <v>#N/A</v>
      </c>
      <c r="AL10" s="29" t="e">
        <f t="shared" si="4"/>
        <v>#N/A</v>
      </c>
      <c r="AM10" s="29" t="e">
        <f t="shared" si="5"/>
        <v>#N/A</v>
      </c>
      <c r="AN10" s="29" t="e">
        <f t="shared" si="6"/>
        <v>#N/A</v>
      </c>
      <c r="AO10" s="29" t="e">
        <f t="shared" si="7"/>
        <v>#N/A</v>
      </c>
      <c r="AP10" s="29" t="e">
        <f t="shared" si="8"/>
        <v>#N/A</v>
      </c>
      <c r="AQ10" s="29" t="e">
        <f t="shared" si="9"/>
        <v>#N/A</v>
      </c>
      <c r="AR10" s="29" t="e">
        <f t="shared" si="10"/>
        <v>#N/A</v>
      </c>
      <c r="AS10" s="29" t="e">
        <f t="shared" si="11"/>
        <v>#N/A</v>
      </c>
      <c r="AT10" s="29" t="e">
        <f t="shared" si="12"/>
        <v>#N/A</v>
      </c>
      <c r="AU10" s="29" t="e">
        <f t="shared" si="13"/>
        <v>#N/A</v>
      </c>
      <c r="AV10" s="29" t="e">
        <f t="shared" si="14"/>
        <v>#N/A</v>
      </c>
      <c r="AW10" s="29" t="e">
        <f t="shared" si="15"/>
        <v>#N/A</v>
      </c>
      <c r="AX10" s="29" t="e">
        <f t="shared" si="16"/>
        <v>#N/A</v>
      </c>
      <c r="AY10" s="29" t="e">
        <f t="shared" si="17"/>
        <v>#N/A</v>
      </c>
      <c r="AZ10" s="29" t="e">
        <f t="shared" si="18"/>
        <v>#N/A</v>
      </c>
      <c r="BA10" s="29" t="e">
        <f t="shared" si="19"/>
        <v>#N/A</v>
      </c>
      <c r="BB10" s="29" t="e">
        <f t="shared" si="20"/>
        <v>#N/A</v>
      </c>
      <c r="BC10" s="29" t="e">
        <f t="shared" si="21"/>
        <v>#N/A</v>
      </c>
      <c r="BD10" s="29" t="e">
        <f t="shared" si="22"/>
        <v>#N/A</v>
      </c>
      <c r="BE10" s="29" t="e">
        <f t="shared" si="23"/>
        <v>#N/A</v>
      </c>
      <c r="BF10" s="29" t="e">
        <f t="shared" si="24"/>
        <v>#N/A</v>
      </c>
      <c r="BG10" s="29" t="e">
        <f t="shared" si="25"/>
        <v>#N/A</v>
      </c>
      <c r="BH10" s="29" t="e">
        <f t="shared" si="26"/>
        <v>#N/A</v>
      </c>
      <c r="BI10" s="29" t="e">
        <f t="shared" si="27"/>
        <v>#N/A</v>
      </c>
      <c r="BJ10" s="29" t="e">
        <f t="shared" si="28"/>
        <v>#N/A</v>
      </c>
      <c r="BK10" s="29" t="e">
        <f t="shared" si="29"/>
        <v>#N/A</v>
      </c>
    </row>
    <row r="11" spans="2:63" x14ac:dyDescent="0.25">
      <c r="M11" s="7" t="s">
        <v>23</v>
      </c>
      <c r="N11" s="8">
        <f>$G$15*(1+$C$9)</f>
        <v>2700</v>
      </c>
      <c r="O11" s="8">
        <f>$G$15*(1+$C$9)</f>
        <v>2700</v>
      </c>
      <c r="AG11" s="25" t="str">
        <f t="shared" si="30"/>
        <v>X</v>
      </c>
      <c r="AH11" s="29" t="e">
        <f t="shared" si="0"/>
        <v>#N/A</v>
      </c>
      <c r="AI11" s="29" t="e">
        <f t="shared" si="1"/>
        <v>#N/A</v>
      </c>
      <c r="AJ11" s="29" t="e">
        <f t="shared" si="2"/>
        <v>#N/A</v>
      </c>
      <c r="AK11" s="29" t="e">
        <f t="shared" si="3"/>
        <v>#N/A</v>
      </c>
      <c r="AL11" s="29" t="e">
        <f t="shared" si="4"/>
        <v>#N/A</v>
      </c>
      <c r="AM11" s="29" t="e">
        <f t="shared" si="5"/>
        <v>#N/A</v>
      </c>
      <c r="AN11" s="29" t="e">
        <f t="shared" si="6"/>
        <v>#N/A</v>
      </c>
      <c r="AO11" s="29" t="e">
        <f t="shared" si="7"/>
        <v>#N/A</v>
      </c>
      <c r="AP11" s="29" t="e">
        <f t="shared" si="8"/>
        <v>#N/A</v>
      </c>
      <c r="AQ11" s="29" t="e">
        <f t="shared" si="9"/>
        <v>#N/A</v>
      </c>
      <c r="AR11" s="29" t="e">
        <f t="shared" si="10"/>
        <v>#N/A</v>
      </c>
      <c r="AS11" s="29" t="e">
        <f t="shared" si="11"/>
        <v>#N/A</v>
      </c>
      <c r="AT11" s="29" t="e">
        <f t="shared" si="12"/>
        <v>#N/A</v>
      </c>
      <c r="AU11" s="29" t="e">
        <f t="shared" si="13"/>
        <v>#N/A</v>
      </c>
      <c r="AV11" s="29" t="e">
        <f t="shared" si="14"/>
        <v>#N/A</v>
      </c>
      <c r="AW11" s="29" t="e">
        <f t="shared" si="15"/>
        <v>#N/A</v>
      </c>
      <c r="AX11" s="29" t="e">
        <f t="shared" si="16"/>
        <v>#N/A</v>
      </c>
      <c r="AY11" s="29" t="e">
        <f t="shared" si="17"/>
        <v>#N/A</v>
      </c>
      <c r="AZ11" s="29" t="e">
        <f t="shared" si="18"/>
        <v>#N/A</v>
      </c>
      <c r="BA11" s="29" t="e">
        <f t="shared" si="19"/>
        <v>#N/A</v>
      </c>
      <c r="BB11" s="29" t="e">
        <f t="shared" si="20"/>
        <v>#N/A</v>
      </c>
      <c r="BC11" s="29" t="e">
        <f t="shared" si="21"/>
        <v>#N/A</v>
      </c>
      <c r="BD11" s="29" t="e">
        <f t="shared" si="22"/>
        <v>#N/A</v>
      </c>
      <c r="BE11" s="29" t="e">
        <f t="shared" si="23"/>
        <v>#N/A</v>
      </c>
      <c r="BF11" s="29" t="e">
        <f t="shared" si="24"/>
        <v>#N/A</v>
      </c>
      <c r="BG11" s="29" t="e">
        <f t="shared" si="25"/>
        <v>#N/A</v>
      </c>
      <c r="BH11" s="29" t="e">
        <f t="shared" si="26"/>
        <v>#N/A</v>
      </c>
      <c r="BI11" s="29" t="e">
        <f t="shared" si="27"/>
        <v>#N/A</v>
      </c>
      <c r="BJ11" s="29" t="e">
        <f t="shared" si="28"/>
        <v>#N/A</v>
      </c>
      <c r="BK11" s="29" t="e">
        <f t="shared" si="29"/>
        <v>#N/A</v>
      </c>
    </row>
    <row r="12" spans="2:63" x14ac:dyDescent="0.25">
      <c r="B12" s="4" t="s">
        <v>24</v>
      </c>
      <c r="M12" s="7" t="s">
        <v>25</v>
      </c>
      <c r="N12" s="8">
        <f>$G$15</f>
        <v>3000</v>
      </c>
      <c r="O12" s="8">
        <f>$G$15</f>
        <v>3000</v>
      </c>
      <c r="AG12" s="25" t="str">
        <f t="shared" si="30"/>
        <v>X</v>
      </c>
      <c r="AH12" s="29" t="e">
        <f t="shared" si="0"/>
        <v>#N/A</v>
      </c>
      <c r="AI12" s="29" t="e">
        <f t="shared" si="1"/>
        <v>#N/A</v>
      </c>
      <c r="AJ12" s="29" t="e">
        <f t="shared" si="2"/>
        <v>#N/A</v>
      </c>
      <c r="AK12" s="29" t="e">
        <f t="shared" si="3"/>
        <v>#N/A</v>
      </c>
      <c r="AL12" s="29" t="e">
        <f t="shared" si="4"/>
        <v>#N/A</v>
      </c>
      <c r="AM12" s="29" t="e">
        <f t="shared" si="5"/>
        <v>#N/A</v>
      </c>
      <c r="AN12" s="29" t="e">
        <f t="shared" si="6"/>
        <v>#N/A</v>
      </c>
      <c r="AO12" s="29" t="e">
        <f t="shared" si="7"/>
        <v>#N/A</v>
      </c>
      <c r="AP12" s="29" t="e">
        <f t="shared" si="8"/>
        <v>#N/A</v>
      </c>
      <c r="AQ12" s="29" t="e">
        <f t="shared" si="9"/>
        <v>#N/A</v>
      </c>
      <c r="AR12" s="29" t="e">
        <f t="shared" si="10"/>
        <v>#N/A</v>
      </c>
      <c r="AS12" s="29" t="e">
        <f t="shared" si="11"/>
        <v>#N/A</v>
      </c>
      <c r="AT12" s="29" t="e">
        <f t="shared" si="12"/>
        <v>#N/A</v>
      </c>
      <c r="AU12" s="29" t="e">
        <f t="shared" si="13"/>
        <v>#N/A</v>
      </c>
      <c r="AV12" s="29" t="e">
        <f t="shared" si="14"/>
        <v>#N/A</v>
      </c>
      <c r="AW12" s="29" t="e">
        <f t="shared" si="15"/>
        <v>#N/A</v>
      </c>
      <c r="AX12" s="29" t="e">
        <f t="shared" si="16"/>
        <v>#N/A</v>
      </c>
      <c r="AY12" s="29" t="e">
        <f t="shared" si="17"/>
        <v>#N/A</v>
      </c>
      <c r="AZ12" s="29" t="e">
        <f t="shared" si="18"/>
        <v>#N/A</v>
      </c>
      <c r="BA12" s="29" t="e">
        <f t="shared" si="19"/>
        <v>#N/A</v>
      </c>
      <c r="BB12" s="29" t="e">
        <f t="shared" si="20"/>
        <v>#N/A</v>
      </c>
      <c r="BC12" s="29" t="e">
        <f t="shared" si="21"/>
        <v>#N/A</v>
      </c>
      <c r="BD12" s="29" t="e">
        <f t="shared" si="22"/>
        <v>#N/A</v>
      </c>
      <c r="BE12" s="29" t="e">
        <f t="shared" si="23"/>
        <v>#N/A</v>
      </c>
      <c r="BF12" s="29" t="e">
        <f t="shared" si="24"/>
        <v>#N/A</v>
      </c>
      <c r="BG12" s="29" t="e">
        <f t="shared" si="25"/>
        <v>#N/A</v>
      </c>
      <c r="BH12" s="29" t="e">
        <f t="shared" si="26"/>
        <v>#N/A</v>
      </c>
      <c r="BI12" s="29" t="e">
        <f t="shared" si="27"/>
        <v>#N/A</v>
      </c>
      <c r="BJ12" s="29" t="e">
        <f t="shared" si="28"/>
        <v>#N/A</v>
      </c>
      <c r="BK12" s="29" t="e">
        <f t="shared" si="29"/>
        <v>#N/A</v>
      </c>
    </row>
    <row r="13" spans="2:63" ht="18" x14ac:dyDescent="0.35">
      <c r="B13" s="5" t="s">
        <v>26</v>
      </c>
      <c r="C13" s="38">
        <v>0</v>
      </c>
      <c r="M13" s="7" t="s">
        <v>27</v>
      </c>
      <c r="N13" s="9">
        <f>$G$15*(1+$C$10)</f>
        <v>3300.0000000000005</v>
      </c>
      <c r="O13" s="9">
        <f>$G$15*(1+$C$10)</f>
        <v>3300.0000000000005</v>
      </c>
      <c r="AG13" s="25" t="str">
        <f t="shared" si="30"/>
        <v>X</v>
      </c>
      <c r="AH13" s="29" t="e">
        <f t="shared" si="0"/>
        <v>#N/A</v>
      </c>
      <c r="AI13" s="29" t="e">
        <f t="shared" si="1"/>
        <v>#N/A</v>
      </c>
      <c r="AJ13" s="29" t="e">
        <f t="shared" si="2"/>
        <v>#N/A</v>
      </c>
      <c r="AK13" s="29" t="e">
        <f t="shared" si="3"/>
        <v>#N/A</v>
      </c>
      <c r="AL13" s="29" t="e">
        <f t="shared" si="4"/>
        <v>#N/A</v>
      </c>
      <c r="AM13" s="29" t="e">
        <f t="shared" si="5"/>
        <v>#N/A</v>
      </c>
      <c r="AN13" s="29" t="e">
        <f t="shared" si="6"/>
        <v>#N/A</v>
      </c>
      <c r="AO13" s="29" t="e">
        <f t="shared" si="7"/>
        <v>#N/A</v>
      </c>
      <c r="AP13" s="29" t="e">
        <f t="shared" si="8"/>
        <v>#N/A</v>
      </c>
      <c r="AQ13" s="29" t="e">
        <f t="shared" si="9"/>
        <v>#N/A</v>
      </c>
      <c r="AR13" s="29" t="e">
        <f t="shared" si="10"/>
        <v>#N/A</v>
      </c>
      <c r="AS13" s="29" t="e">
        <f t="shared" si="11"/>
        <v>#N/A</v>
      </c>
      <c r="AT13" s="29" t="e">
        <f t="shared" si="12"/>
        <v>#N/A</v>
      </c>
      <c r="AU13" s="29" t="e">
        <f t="shared" si="13"/>
        <v>#N/A</v>
      </c>
      <c r="AV13" s="29" t="e">
        <f t="shared" si="14"/>
        <v>#N/A</v>
      </c>
      <c r="AW13" s="29" t="e">
        <f t="shared" si="15"/>
        <v>#N/A</v>
      </c>
      <c r="AX13" s="29" t="e">
        <f t="shared" si="16"/>
        <v>#N/A</v>
      </c>
      <c r="AY13" s="29" t="e">
        <f t="shared" si="17"/>
        <v>#N/A</v>
      </c>
      <c r="AZ13" s="29" t="e">
        <f t="shared" si="18"/>
        <v>#N/A</v>
      </c>
      <c r="BA13" s="29" t="e">
        <f t="shared" si="19"/>
        <v>#N/A</v>
      </c>
      <c r="BB13" s="29" t="e">
        <f t="shared" si="20"/>
        <v>#N/A</v>
      </c>
      <c r="BC13" s="29" t="e">
        <f t="shared" si="21"/>
        <v>#N/A</v>
      </c>
      <c r="BD13" s="29" t="e">
        <f t="shared" si="22"/>
        <v>#N/A</v>
      </c>
      <c r="BE13" s="29" t="e">
        <f t="shared" si="23"/>
        <v>#N/A</v>
      </c>
      <c r="BF13" s="29" t="e">
        <f t="shared" si="24"/>
        <v>#N/A</v>
      </c>
      <c r="BG13" s="29" t="e">
        <f t="shared" si="25"/>
        <v>#N/A</v>
      </c>
      <c r="BH13" s="29" t="e">
        <f t="shared" si="26"/>
        <v>#N/A</v>
      </c>
      <c r="BI13" s="29" t="e">
        <f t="shared" si="27"/>
        <v>#N/A</v>
      </c>
      <c r="BJ13" s="29" t="e">
        <f t="shared" si="28"/>
        <v>#N/A</v>
      </c>
      <c r="BK13" s="29" t="e">
        <f t="shared" si="29"/>
        <v>#N/A</v>
      </c>
    </row>
    <row r="14" spans="2:63" ht="18" x14ac:dyDescent="0.35">
      <c r="B14" s="5" t="s">
        <v>28</v>
      </c>
      <c r="C14" s="38">
        <v>6000</v>
      </c>
      <c r="D14" s="12" t="s">
        <v>29</v>
      </c>
      <c r="F14" s="4" t="s">
        <v>30</v>
      </c>
      <c r="G14" s="4"/>
      <c r="M14" s="7" t="s">
        <v>31</v>
      </c>
      <c r="N14" s="8">
        <f>$G$16*(1+$C$9)</f>
        <v>5400</v>
      </c>
      <c r="O14" s="8">
        <f>$G$16*(1+$C$9)</f>
        <v>5400</v>
      </c>
      <c r="AG14" s="25" t="str">
        <f t="shared" si="30"/>
        <v>X</v>
      </c>
      <c r="AH14" s="29" t="e">
        <f t="shared" si="0"/>
        <v>#N/A</v>
      </c>
      <c r="AI14" s="29" t="e">
        <f t="shared" si="1"/>
        <v>#N/A</v>
      </c>
      <c r="AJ14" s="29" t="e">
        <f t="shared" si="2"/>
        <v>#N/A</v>
      </c>
      <c r="AK14" s="29" t="e">
        <f t="shared" si="3"/>
        <v>#N/A</v>
      </c>
      <c r="AL14" s="29" t="e">
        <f t="shared" si="4"/>
        <v>#N/A</v>
      </c>
      <c r="AM14" s="29" t="e">
        <f t="shared" si="5"/>
        <v>#N/A</v>
      </c>
      <c r="AN14" s="29" t="e">
        <f t="shared" si="6"/>
        <v>#N/A</v>
      </c>
      <c r="AO14" s="29" t="e">
        <f t="shared" si="7"/>
        <v>#N/A</v>
      </c>
      <c r="AP14" s="29" t="e">
        <f t="shared" si="8"/>
        <v>#N/A</v>
      </c>
      <c r="AQ14" s="29" t="e">
        <f t="shared" si="9"/>
        <v>#N/A</v>
      </c>
      <c r="AR14" s="29" t="e">
        <f t="shared" si="10"/>
        <v>#N/A</v>
      </c>
      <c r="AS14" s="29" t="e">
        <f t="shared" si="11"/>
        <v>#N/A</v>
      </c>
      <c r="AT14" s="29" t="e">
        <f t="shared" si="12"/>
        <v>#N/A</v>
      </c>
      <c r="AU14" s="29" t="e">
        <f t="shared" si="13"/>
        <v>#N/A</v>
      </c>
      <c r="AV14" s="29" t="e">
        <f t="shared" si="14"/>
        <v>#N/A</v>
      </c>
      <c r="AW14" s="29" t="e">
        <f t="shared" si="15"/>
        <v>#N/A</v>
      </c>
      <c r="AX14" s="29" t="e">
        <f t="shared" si="16"/>
        <v>#N/A</v>
      </c>
      <c r="AY14" s="29" t="e">
        <f t="shared" si="17"/>
        <v>#N/A</v>
      </c>
      <c r="AZ14" s="29" t="e">
        <f t="shared" si="18"/>
        <v>#N/A</v>
      </c>
      <c r="BA14" s="29" t="e">
        <f t="shared" si="19"/>
        <v>#N/A</v>
      </c>
      <c r="BB14" s="29" t="e">
        <f t="shared" si="20"/>
        <v>#N/A</v>
      </c>
      <c r="BC14" s="29" t="e">
        <f t="shared" si="21"/>
        <v>#N/A</v>
      </c>
      <c r="BD14" s="29" t="e">
        <f t="shared" si="22"/>
        <v>#N/A</v>
      </c>
      <c r="BE14" s="29" t="e">
        <f t="shared" si="23"/>
        <v>#N/A</v>
      </c>
      <c r="BF14" s="29" t="e">
        <f t="shared" si="24"/>
        <v>#N/A</v>
      </c>
      <c r="BG14" s="29" t="e">
        <f t="shared" si="25"/>
        <v>#N/A</v>
      </c>
      <c r="BH14" s="29" t="e">
        <f t="shared" si="26"/>
        <v>#N/A</v>
      </c>
      <c r="BI14" s="29" t="e">
        <f t="shared" si="27"/>
        <v>#N/A</v>
      </c>
      <c r="BJ14" s="29" t="e">
        <f t="shared" si="28"/>
        <v>#N/A</v>
      </c>
      <c r="BK14" s="29" t="e">
        <f t="shared" si="29"/>
        <v>#N/A</v>
      </c>
    </row>
    <row r="15" spans="2:63" ht="18" x14ac:dyDescent="0.35">
      <c r="B15" s="5" t="s">
        <v>32</v>
      </c>
      <c r="C15" s="38">
        <v>0</v>
      </c>
      <c r="D15" s="1"/>
      <c r="E15" s="6"/>
      <c r="F15" s="5" t="s">
        <v>25</v>
      </c>
      <c r="G15" s="38">
        <v>3000</v>
      </c>
      <c r="I15" t="s">
        <v>33</v>
      </c>
      <c r="J15">
        <v>0</v>
      </c>
      <c r="K15">
        <f>C14</f>
        <v>6000</v>
      </c>
      <c r="M15" s="7" t="s">
        <v>34</v>
      </c>
      <c r="N15" s="8">
        <f>$G$16</f>
        <v>6000</v>
      </c>
      <c r="O15" s="8">
        <f>$G$16</f>
        <v>6000</v>
      </c>
      <c r="AG15" s="25" t="str">
        <f t="shared" si="30"/>
        <v>X</v>
      </c>
      <c r="AH15" s="29" t="e">
        <f t="shared" si="0"/>
        <v>#N/A</v>
      </c>
      <c r="AI15" s="29" t="e">
        <f t="shared" si="1"/>
        <v>#N/A</v>
      </c>
      <c r="AJ15" s="29" t="e">
        <f t="shared" si="2"/>
        <v>#N/A</v>
      </c>
      <c r="AK15" s="29" t="e">
        <f t="shared" si="3"/>
        <v>#N/A</v>
      </c>
      <c r="AL15" s="29" t="e">
        <f t="shared" si="4"/>
        <v>#N/A</v>
      </c>
      <c r="AM15" s="29" t="e">
        <f t="shared" si="5"/>
        <v>#N/A</v>
      </c>
      <c r="AN15" s="29" t="e">
        <f t="shared" si="6"/>
        <v>#N/A</v>
      </c>
      <c r="AO15" s="29" t="e">
        <f t="shared" si="7"/>
        <v>#N/A</v>
      </c>
      <c r="AP15" s="29" t="e">
        <f t="shared" si="8"/>
        <v>#N/A</v>
      </c>
      <c r="AQ15" s="29" t="e">
        <f t="shared" si="9"/>
        <v>#N/A</v>
      </c>
      <c r="AR15" s="29" t="e">
        <f t="shared" si="10"/>
        <v>#N/A</v>
      </c>
      <c r="AS15" s="29" t="e">
        <f t="shared" si="11"/>
        <v>#N/A</v>
      </c>
      <c r="AT15" s="29" t="e">
        <f t="shared" si="12"/>
        <v>#N/A</v>
      </c>
      <c r="AU15" s="29" t="e">
        <f t="shared" si="13"/>
        <v>#N/A</v>
      </c>
      <c r="AV15" s="29" t="e">
        <f t="shared" si="14"/>
        <v>#N/A</v>
      </c>
      <c r="AW15" s="29" t="e">
        <f t="shared" si="15"/>
        <v>#N/A</v>
      </c>
      <c r="AX15" s="29" t="e">
        <f t="shared" si="16"/>
        <v>#N/A</v>
      </c>
      <c r="AY15" s="29" t="e">
        <f t="shared" si="17"/>
        <v>#N/A</v>
      </c>
      <c r="AZ15" s="29" t="e">
        <f t="shared" si="18"/>
        <v>#N/A</v>
      </c>
      <c r="BA15" s="29" t="e">
        <f t="shared" si="19"/>
        <v>#N/A</v>
      </c>
      <c r="BB15" s="29" t="e">
        <f t="shared" si="20"/>
        <v>#N/A</v>
      </c>
      <c r="BC15" s="29" t="e">
        <f t="shared" si="21"/>
        <v>#N/A</v>
      </c>
      <c r="BD15" s="29" t="e">
        <f t="shared" si="22"/>
        <v>#N/A</v>
      </c>
      <c r="BE15" s="29" t="e">
        <f t="shared" si="23"/>
        <v>#N/A</v>
      </c>
      <c r="BF15" s="29" t="e">
        <f t="shared" si="24"/>
        <v>#N/A</v>
      </c>
      <c r="BG15" s="29" t="e">
        <f t="shared" si="25"/>
        <v>#N/A</v>
      </c>
      <c r="BH15" s="29" t="e">
        <f t="shared" si="26"/>
        <v>#N/A</v>
      </c>
      <c r="BI15" s="29" t="e">
        <f t="shared" si="27"/>
        <v>#N/A</v>
      </c>
      <c r="BJ15" s="29" t="e">
        <f t="shared" si="28"/>
        <v>#N/A</v>
      </c>
      <c r="BK15" s="29" t="e">
        <f t="shared" si="29"/>
        <v>#N/A</v>
      </c>
    </row>
    <row r="16" spans="2:63" ht="18" x14ac:dyDescent="0.35">
      <c r="B16" s="5" t="s">
        <v>35</v>
      </c>
      <c r="C16" s="38">
        <v>42000</v>
      </c>
      <c r="D16" s="12" t="s">
        <v>36</v>
      </c>
      <c r="E16" s="6"/>
      <c r="F16" s="5" t="s">
        <v>34</v>
      </c>
      <c r="G16" s="38">
        <v>6000</v>
      </c>
      <c r="I16" t="s">
        <v>37</v>
      </c>
      <c r="J16">
        <v>0</v>
      </c>
      <c r="K16">
        <f>C16</f>
        <v>42000</v>
      </c>
      <c r="M16" s="7" t="s">
        <v>38</v>
      </c>
      <c r="N16" s="9">
        <f>$G$16*(1+$C$10)</f>
        <v>6600.0000000000009</v>
      </c>
      <c r="O16" s="9">
        <f>$G$16*(1+$C$10)</f>
        <v>6600.0000000000009</v>
      </c>
      <c r="AG16" s="25" t="str">
        <f t="shared" si="30"/>
        <v>X</v>
      </c>
      <c r="AH16" s="29" t="e">
        <f t="shared" si="0"/>
        <v>#N/A</v>
      </c>
      <c r="AI16" s="29" t="e">
        <f t="shared" si="1"/>
        <v>#N/A</v>
      </c>
      <c r="AJ16" s="29" t="e">
        <f t="shared" si="2"/>
        <v>#N/A</v>
      </c>
      <c r="AK16" s="29" t="e">
        <f t="shared" si="3"/>
        <v>#N/A</v>
      </c>
      <c r="AL16" s="29" t="e">
        <f t="shared" si="4"/>
        <v>#N/A</v>
      </c>
      <c r="AM16" s="29" t="e">
        <f t="shared" si="5"/>
        <v>#N/A</v>
      </c>
      <c r="AN16" s="29" t="e">
        <f t="shared" si="6"/>
        <v>#N/A</v>
      </c>
      <c r="AO16" s="29" t="e">
        <f t="shared" si="7"/>
        <v>#N/A</v>
      </c>
      <c r="AP16" s="29" t="e">
        <f t="shared" si="8"/>
        <v>#N/A</v>
      </c>
      <c r="AQ16" s="29" t="e">
        <f t="shared" si="9"/>
        <v>#N/A</v>
      </c>
      <c r="AR16" s="29" t="e">
        <f t="shared" si="10"/>
        <v>#N/A</v>
      </c>
      <c r="AS16" s="29" t="e">
        <f t="shared" si="11"/>
        <v>#N/A</v>
      </c>
      <c r="AT16" s="29" t="e">
        <f t="shared" si="12"/>
        <v>#N/A</v>
      </c>
      <c r="AU16" s="29" t="e">
        <f t="shared" si="13"/>
        <v>#N/A</v>
      </c>
      <c r="AV16" s="29" t="e">
        <f t="shared" si="14"/>
        <v>#N/A</v>
      </c>
      <c r="AW16" s="29" t="e">
        <f t="shared" si="15"/>
        <v>#N/A</v>
      </c>
      <c r="AX16" s="29" t="e">
        <f t="shared" si="16"/>
        <v>#N/A</v>
      </c>
      <c r="AY16" s="29" t="e">
        <f t="shared" si="17"/>
        <v>#N/A</v>
      </c>
      <c r="AZ16" s="29" t="e">
        <f t="shared" si="18"/>
        <v>#N/A</v>
      </c>
      <c r="BA16" s="29" t="e">
        <f t="shared" si="19"/>
        <v>#N/A</v>
      </c>
      <c r="BB16" s="29" t="e">
        <f t="shared" si="20"/>
        <v>#N/A</v>
      </c>
      <c r="BC16" s="29" t="e">
        <f t="shared" si="21"/>
        <v>#N/A</v>
      </c>
      <c r="BD16" s="29" t="e">
        <f t="shared" si="22"/>
        <v>#N/A</v>
      </c>
      <c r="BE16" s="29" t="e">
        <f t="shared" si="23"/>
        <v>#N/A</v>
      </c>
      <c r="BF16" s="29" t="e">
        <f t="shared" si="24"/>
        <v>#N/A</v>
      </c>
      <c r="BG16" s="29" t="e">
        <f t="shared" si="25"/>
        <v>#N/A</v>
      </c>
      <c r="BH16" s="29" t="e">
        <f t="shared" si="26"/>
        <v>#N/A</v>
      </c>
      <c r="BI16" s="29" t="e">
        <f t="shared" si="27"/>
        <v>#N/A</v>
      </c>
      <c r="BJ16" s="29" t="e">
        <f t="shared" si="28"/>
        <v>#N/A</v>
      </c>
      <c r="BK16" s="29" t="e">
        <f t="shared" si="29"/>
        <v>#N/A</v>
      </c>
    </row>
    <row r="17" spans="2:63" x14ac:dyDescent="0.25">
      <c r="AG17" s="25" t="str">
        <f t="shared" si="30"/>
        <v>X</v>
      </c>
      <c r="AH17" s="29" t="e">
        <f t="shared" si="0"/>
        <v>#N/A</v>
      </c>
      <c r="AI17" s="29" t="e">
        <f t="shared" si="1"/>
        <v>#N/A</v>
      </c>
      <c r="AJ17" s="29" t="e">
        <f t="shared" si="2"/>
        <v>#N/A</v>
      </c>
      <c r="AK17" s="29" t="e">
        <f t="shared" si="3"/>
        <v>#N/A</v>
      </c>
      <c r="AL17" s="29" t="e">
        <f t="shared" si="4"/>
        <v>#N/A</v>
      </c>
      <c r="AM17" s="29" t="e">
        <f t="shared" si="5"/>
        <v>#N/A</v>
      </c>
      <c r="AN17" s="29" t="e">
        <f t="shared" si="6"/>
        <v>#N/A</v>
      </c>
      <c r="AO17" s="29" t="e">
        <f t="shared" si="7"/>
        <v>#N/A</v>
      </c>
      <c r="AP17" s="29" t="e">
        <f t="shared" si="8"/>
        <v>#N/A</v>
      </c>
      <c r="AQ17" s="29" t="e">
        <f t="shared" si="9"/>
        <v>#N/A</v>
      </c>
      <c r="AR17" s="29" t="e">
        <f t="shared" si="10"/>
        <v>#N/A</v>
      </c>
      <c r="AS17" s="29" t="e">
        <f t="shared" si="11"/>
        <v>#N/A</v>
      </c>
      <c r="AT17" s="29" t="e">
        <f t="shared" si="12"/>
        <v>#N/A</v>
      </c>
      <c r="AU17" s="29" t="e">
        <f t="shared" si="13"/>
        <v>#N/A</v>
      </c>
      <c r="AV17" s="29" t="e">
        <f t="shared" si="14"/>
        <v>#N/A</v>
      </c>
      <c r="AW17" s="29" t="e">
        <f t="shared" si="15"/>
        <v>#N/A</v>
      </c>
      <c r="AX17" s="29" t="e">
        <f t="shared" si="16"/>
        <v>#N/A</v>
      </c>
      <c r="AY17" s="29" t="e">
        <f t="shared" si="17"/>
        <v>#N/A</v>
      </c>
      <c r="AZ17" s="29" t="e">
        <f t="shared" si="18"/>
        <v>#N/A</v>
      </c>
      <c r="BA17" s="29" t="e">
        <f t="shared" si="19"/>
        <v>#N/A</v>
      </c>
      <c r="BB17" s="29" t="e">
        <f t="shared" si="20"/>
        <v>#N/A</v>
      </c>
      <c r="BC17" s="29" t="e">
        <f t="shared" si="21"/>
        <v>#N/A</v>
      </c>
      <c r="BD17" s="29" t="e">
        <f t="shared" si="22"/>
        <v>#N/A</v>
      </c>
      <c r="BE17" s="29" t="e">
        <f t="shared" si="23"/>
        <v>#N/A</v>
      </c>
      <c r="BF17" s="29" t="e">
        <f t="shared" si="24"/>
        <v>#N/A</v>
      </c>
      <c r="BG17" s="29" t="e">
        <f t="shared" si="25"/>
        <v>#N/A</v>
      </c>
      <c r="BH17" s="29" t="e">
        <f t="shared" si="26"/>
        <v>#N/A</v>
      </c>
      <c r="BI17" s="29" t="e">
        <f t="shared" si="27"/>
        <v>#N/A</v>
      </c>
      <c r="BJ17" s="29" t="e">
        <f t="shared" si="28"/>
        <v>#N/A</v>
      </c>
      <c r="BK17" s="29" t="e">
        <f t="shared" si="29"/>
        <v>#N/A</v>
      </c>
    </row>
    <row r="18" spans="2:63" x14ac:dyDescent="0.25">
      <c r="B18" s="4" t="s">
        <v>39</v>
      </c>
      <c r="C18" s="4"/>
      <c r="F18" s="4" t="s">
        <v>40</v>
      </c>
      <c r="AG18" s="25" t="str">
        <f t="shared" si="30"/>
        <v>X</v>
      </c>
      <c r="AH18" s="29" t="e">
        <f t="shared" si="0"/>
        <v>#N/A</v>
      </c>
      <c r="AI18" s="29" t="e">
        <f t="shared" si="1"/>
        <v>#N/A</v>
      </c>
      <c r="AJ18" s="29" t="e">
        <f t="shared" si="2"/>
        <v>#N/A</v>
      </c>
      <c r="AK18" s="29" t="e">
        <f t="shared" si="3"/>
        <v>#N/A</v>
      </c>
      <c r="AL18" s="29" t="e">
        <f t="shared" si="4"/>
        <v>#N/A</v>
      </c>
      <c r="AM18" s="29" t="e">
        <f t="shared" si="5"/>
        <v>#N/A</v>
      </c>
      <c r="AN18" s="29" t="e">
        <f t="shared" si="6"/>
        <v>#N/A</v>
      </c>
      <c r="AO18" s="29" t="e">
        <f t="shared" si="7"/>
        <v>#N/A</v>
      </c>
      <c r="AP18" s="29" t="e">
        <f t="shared" si="8"/>
        <v>#N/A</v>
      </c>
      <c r="AQ18" s="29" t="e">
        <f t="shared" si="9"/>
        <v>#N/A</v>
      </c>
      <c r="AR18" s="29" t="e">
        <f t="shared" si="10"/>
        <v>#N/A</v>
      </c>
      <c r="AS18" s="29" t="e">
        <f t="shared" si="11"/>
        <v>#N/A</v>
      </c>
      <c r="AT18" s="29" t="e">
        <f t="shared" si="12"/>
        <v>#N/A</v>
      </c>
      <c r="AU18" s="29" t="e">
        <f t="shared" si="13"/>
        <v>#N/A</v>
      </c>
      <c r="AV18" s="29" t="e">
        <f t="shared" si="14"/>
        <v>#N/A</v>
      </c>
      <c r="AW18" s="29" t="e">
        <f t="shared" si="15"/>
        <v>#N/A</v>
      </c>
      <c r="AX18" s="29" t="e">
        <f t="shared" si="16"/>
        <v>#N/A</v>
      </c>
      <c r="AY18" s="29" t="e">
        <f t="shared" si="17"/>
        <v>#N/A</v>
      </c>
      <c r="AZ18" s="29" t="e">
        <f t="shared" si="18"/>
        <v>#N/A</v>
      </c>
      <c r="BA18" s="29" t="e">
        <f t="shared" si="19"/>
        <v>#N/A</v>
      </c>
      <c r="BB18" s="29" t="e">
        <f t="shared" si="20"/>
        <v>#N/A</v>
      </c>
      <c r="BC18" s="29" t="e">
        <f t="shared" si="21"/>
        <v>#N/A</v>
      </c>
      <c r="BD18" s="29" t="e">
        <f t="shared" si="22"/>
        <v>#N/A</v>
      </c>
      <c r="BE18" s="29" t="e">
        <f t="shared" si="23"/>
        <v>#N/A</v>
      </c>
      <c r="BF18" s="29" t="e">
        <f t="shared" si="24"/>
        <v>#N/A</v>
      </c>
      <c r="BG18" s="29" t="e">
        <f t="shared" si="25"/>
        <v>#N/A</v>
      </c>
      <c r="BH18" s="29" t="e">
        <f t="shared" si="26"/>
        <v>#N/A</v>
      </c>
      <c r="BI18" s="29" t="e">
        <f t="shared" si="27"/>
        <v>#N/A</v>
      </c>
      <c r="BJ18" s="29" t="e">
        <f t="shared" si="28"/>
        <v>#N/A</v>
      </c>
      <c r="BK18" s="29" t="e">
        <f t="shared" si="29"/>
        <v>#N/A</v>
      </c>
    </row>
    <row r="19" spans="2:63" x14ac:dyDescent="0.25">
      <c r="B19" s="5" t="s">
        <v>41</v>
      </c>
      <c r="C19" s="38">
        <v>3600</v>
      </c>
      <c r="D19" s="1"/>
      <c r="E19" s="1"/>
      <c r="F19" s="5" t="str">
        <f>G19&amp;"X"</f>
        <v>1X</v>
      </c>
      <c r="G19" s="38">
        <v>1</v>
      </c>
      <c r="H19" s="1"/>
      <c r="I19" t="s">
        <v>41</v>
      </c>
      <c r="J19">
        <f t="shared" ref="J19:J28" si="31">IF(C19&gt;0,ROUND(C19,1),#N/A)</f>
        <v>3600</v>
      </c>
      <c r="K19">
        <f t="shared" ref="K19:K28" si="32">IF(C19&gt;0,ROUND(C19,1),#N/A)</f>
        <v>3600</v>
      </c>
      <c r="M19" t="str">
        <f t="shared" ref="M19:M28" si="33">F19</f>
        <v>1X</v>
      </c>
      <c r="N19">
        <f t="shared" ref="N19:N28" si="34">IF(G19&gt;0,G19,#N/A)</f>
        <v>1</v>
      </c>
      <c r="O19">
        <v>0</v>
      </c>
      <c r="P19">
        <f t="shared" ref="P19:P48" si="35">N19*$C$14</f>
        <v>6000</v>
      </c>
      <c r="AG19" s="25" t="str">
        <f t="shared" si="30"/>
        <v>X</v>
      </c>
      <c r="AH19" s="29" t="e">
        <f t="shared" si="0"/>
        <v>#N/A</v>
      </c>
      <c r="AI19" s="29" t="e">
        <f t="shared" si="1"/>
        <v>#N/A</v>
      </c>
      <c r="AJ19" s="29" t="e">
        <f t="shared" si="2"/>
        <v>#N/A</v>
      </c>
      <c r="AK19" s="29" t="e">
        <f t="shared" si="3"/>
        <v>#N/A</v>
      </c>
      <c r="AL19" s="29" t="e">
        <f t="shared" si="4"/>
        <v>#N/A</v>
      </c>
      <c r="AM19" s="29" t="e">
        <f t="shared" si="5"/>
        <v>#N/A</v>
      </c>
      <c r="AN19" s="29" t="e">
        <f t="shared" si="6"/>
        <v>#N/A</v>
      </c>
      <c r="AO19" s="29" t="e">
        <f t="shared" si="7"/>
        <v>#N/A</v>
      </c>
      <c r="AP19" s="29" t="e">
        <f t="shared" si="8"/>
        <v>#N/A</v>
      </c>
      <c r="AQ19" s="29" t="e">
        <f t="shared" si="9"/>
        <v>#N/A</v>
      </c>
      <c r="AR19" s="29" t="e">
        <f t="shared" si="10"/>
        <v>#N/A</v>
      </c>
      <c r="AS19" s="29" t="e">
        <f t="shared" si="11"/>
        <v>#N/A</v>
      </c>
      <c r="AT19" s="29" t="e">
        <f t="shared" si="12"/>
        <v>#N/A</v>
      </c>
      <c r="AU19" s="29" t="e">
        <f t="shared" si="13"/>
        <v>#N/A</v>
      </c>
      <c r="AV19" s="29" t="e">
        <f t="shared" si="14"/>
        <v>#N/A</v>
      </c>
      <c r="AW19" s="29" t="e">
        <f t="shared" si="15"/>
        <v>#N/A</v>
      </c>
      <c r="AX19" s="29" t="e">
        <f t="shared" si="16"/>
        <v>#N/A</v>
      </c>
      <c r="AY19" s="29" t="e">
        <f t="shared" si="17"/>
        <v>#N/A</v>
      </c>
      <c r="AZ19" s="29" t="e">
        <f t="shared" si="18"/>
        <v>#N/A</v>
      </c>
      <c r="BA19" s="29" t="e">
        <f t="shared" si="19"/>
        <v>#N/A</v>
      </c>
      <c r="BB19" s="29" t="e">
        <f t="shared" si="20"/>
        <v>#N/A</v>
      </c>
      <c r="BC19" s="29" t="e">
        <f t="shared" si="21"/>
        <v>#N/A</v>
      </c>
      <c r="BD19" s="29" t="e">
        <f t="shared" si="22"/>
        <v>#N/A</v>
      </c>
      <c r="BE19" s="29" t="e">
        <f t="shared" si="23"/>
        <v>#N/A</v>
      </c>
      <c r="BF19" s="29" t="e">
        <f t="shared" si="24"/>
        <v>#N/A</v>
      </c>
      <c r="BG19" s="29" t="e">
        <f t="shared" si="25"/>
        <v>#N/A</v>
      </c>
      <c r="BH19" s="29" t="e">
        <f t="shared" si="26"/>
        <v>#N/A</v>
      </c>
      <c r="BI19" s="29" t="e">
        <f t="shared" si="27"/>
        <v>#N/A</v>
      </c>
      <c r="BJ19" s="29" t="e">
        <f t="shared" si="28"/>
        <v>#N/A</v>
      </c>
      <c r="BK19" s="29" t="e">
        <f t="shared" si="29"/>
        <v>#N/A</v>
      </c>
    </row>
    <row r="20" spans="2:63" x14ac:dyDescent="0.25">
      <c r="B20" s="5" t="s">
        <v>42</v>
      </c>
      <c r="C20" s="38">
        <v>5000</v>
      </c>
      <c r="D20" s="1"/>
      <c r="E20" s="1"/>
      <c r="F20" s="5" t="str">
        <f t="shared" ref="F20:F28" si="36">G20&amp;"X"</f>
        <v>2X</v>
      </c>
      <c r="G20" s="38">
        <v>2</v>
      </c>
      <c r="H20" s="1"/>
      <c r="I20" t="s">
        <v>42</v>
      </c>
      <c r="J20">
        <f t="shared" si="31"/>
        <v>5000</v>
      </c>
      <c r="K20">
        <f t="shared" si="32"/>
        <v>5000</v>
      </c>
      <c r="M20" t="str">
        <f t="shared" si="33"/>
        <v>2X</v>
      </c>
      <c r="N20">
        <f t="shared" si="34"/>
        <v>2</v>
      </c>
      <c r="O20">
        <v>0</v>
      </c>
      <c r="P20">
        <f t="shared" si="35"/>
        <v>12000</v>
      </c>
      <c r="AG20" s="25" t="str">
        <f t="shared" si="30"/>
        <v>X</v>
      </c>
      <c r="AH20" s="29" t="e">
        <f t="shared" si="0"/>
        <v>#N/A</v>
      </c>
      <c r="AI20" s="29" t="e">
        <f t="shared" si="1"/>
        <v>#N/A</v>
      </c>
      <c r="AJ20" s="29" t="e">
        <f t="shared" si="2"/>
        <v>#N/A</v>
      </c>
      <c r="AK20" s="29" t="e">
        <f t="shared" si="3"/>
        <v>#N/A</v>
      </c>
      <c r="AL20" s="29" t="e">
        <f t="shared" si="4"/>
        <v>#N/A</v>
      </c>
      <c r="AM20" s="29" t="e">
        <f t="shared" si="5"/>
        <v>#N/A</v>
      </c>
      <c r="AN20" s="29" t="e">
        <f t="shared" si="6"/>
        <v>#N/A</v>
      </c>
      <c r="AO20" s="29" t="e">
        <f t="shared" si="7"/>
        <v>#N/A</v>
      </c>
      <c r="AP20" s="29" t="e">
        <f t="shared" si="8"/>
        <v>#N/A</v>
      </c>
      <c r="AQ20" s="29" t="e">
        <f t="shared" si="9"/>
        <v>#N/A</v>
      </c>
      <c r="AR20" s="29" t="e">
        <f t="shared" si="10"/>
        <v>#N/A</v>
      </c>
      <c r="AS20" s="29" t="e">
        <f t="shared" si="11"/>
        <v>#N/A</v>
      </c>
      <c r="AT20" s="29" t="e">
        <f t="shared" si="12"/>
        <v>#N/A</v>
      </c>
      <c r="AU20" s="29" t="e">
        <f t="shared" si="13"/>
        <v>#N/A</v>
      </c>
      <c r="AV20" s="29" t="e">
        <f t="shared" si="14"/>
        <v>#N/A</v>
      </c>
      <c r="AW20" s="29" t="e">
        <f t="shared" si="15"/>
        <v>#N/A</v>
      </c>
      <c r="AX20" s="29" t="e">
        <f t="shared" si="16"/>
        <v>#N/A</v>
      </c>
      <c r="AY20" s="29" t="e">
        <f t="shared" si="17"/>
        <v>#N/A</v>
      </c>
      <c r="AZ20" s="29" t="e">
        <f t="shared" si="18"/>
        <v>#N/A</v>
      </c>
      <c r="BA20" s="29" t="e">
        <f t="shared" si="19"/>
        <v>#N/A</v>
      </c>
      <c r="BB20" s="29" t="e">
        <f t="shared" si="20"/>
        <v>#N/A</v>
      </c>
      <c r="BC20" s="29" t="e">
        <f t="shared" si="21"/>
        <v>#N/A</v>
      </c>
      <c r="BD20" s="29" t="e">
        <f t="shared" si="22"/>
        <v>#N/A</v>
      </c>
      <c r="BE20" s="29" t="e">
        <f t="shared" si="23"/>
        <v>#N/A</v>
      </c>
      <c r="BF20" s="29" t="e">
        <f t="shared" si="24"/>
        <v>#N/A</v>
      </c>
      <c r="BG20" s="29" t="e">
        <f t="shared" si="25"/>
        <v>#N/A</v>
      </c>
      <c r="BH20" s="29" t="e">
        <f t="shared" si="26"/>
        <v>#N/A</v>
      </c>
      <c r="BI20" s="29" t="e">
        <f t="shared" si="27"/>
        <v>#N/A</v>
      </c>
      <c r="BJ20" s="29" t="e">
        <f t="shared" si="28"/>
        <v>#N/A</v>
      </c>
      <c r="BK20" s="29" t="e">
        <f t="shared" si="29"/>
        <v>#N/A</v>
      </c>
    </row>
    <row r="21" spans="2:63" x14ac:dyDescent="0.25">
      <c r="B21" s="5" t="s">
        <v>43</v>
      </c>
      <c r="C21" s="38">
        <v>8500</v>
      </c>
      <c r="F21" s="5" t="str">
        <f t="shared" si="36"/>
        <v>5X</v>
      </c>
      <c r="G21" s="38">
        <v>5</v>
      </c>
      <c r="I21" t="s">
        <v>43</v>
      </c>
      <c r="J21">
        <f t="shared" si="31"/>
        <v>8500</v>
      </c>
      <c r="K21">
        <f t="shared" si="32"/>
        <v>8500</v>
      </c>
      <c r="M21" t="str">
        <f t="shared" si="33"/>
        <v>5X</v>
      </c>
      <c r="N21">
        <f t="shared" si="34"/>
        <v>5</v>
      </c>
      <c r="O21">
        <v>0</v>
      </c>
      <c r="P21">
        <f t="shared" si="35"/>
        <v>30000</v>
      </c>
      <c r="AG21" s="25" t="str">
        <f t="shared" si="30"/>
        <v>X</v>
      </c>
      <c r="AH21" s="29" t="e">
        <f t="shared" si="0"/>
        <v>#N/A</v>
      </c>
      <c r="AI21" s="29" t="e">
        <f t="shared" si="1"/>
        <v>#N/A</v>
      </c>
      <c r="AJ21" s="29" t="e">
        <f t="shared" si="2"/>
        <v>#N/A</v>
      </c>
      <c r="AK21" s="29" t="e">
        <f t="shared" si="3"/>
        <v>#N/A</v>
      </c>
      <c r="AL21" s="29" t="e">
        <f t="shared" si="4"/>
        <v>#N/A</v>
      </c>
      <c r="AM21" s="29" t="e">
        <f t="shared" si="5"/>
        <v>#N/A</v>
      </c>
      <c r="AN21" s="29" t="e">
        <f t="shared" si="6"/>
        <v>#N/A</v>
      </c>
      <c r="AO21" s="29" t="e">
        <f t="shared" si="7"/>
        <v>#N/A</v>
      </c>
      <c r="AP21" s="29" t="e">
        <f t="shared" si="8"/>
        <v>#N/A</v>
      </c>
      <c r="AQ21" s="29" t="e">
        <f t="shared" si="9"/>
        <v>#N/A</v>
      </c>
      <c r="AR21" s="29" t="e">
        <f t="shared" si="10"/>
        <v>#N/A</v>
      </c>
      <c r="AS21" s="29" t="e">
        <f t="shared" si="11"/>
        <v>#N/A</v>
      </c>
      <c r="AT21" s="29" t="e">
        <f t="shared" si="12"/>
        <v>#N/A</v>
      </c>
      <c r="AU21" s="29" t="e">
        <f t="shared" si="13"/>
        <v>#N/A</v>
      </c>
      <c r="AV21" s="29" t="e">
        <f t="shared" si="14"/>
        <v>#N/A</v>
      </c>
      <c r="AW21" s="29" t="e">
        <f t="shared" si="15"/>
        <v>#N/A</v>
      </c>
      <c r="AX21" s="29" t="e">
        <f t="shared" si="16"/>
        <v>#N/A</v>
      </c>
      <c r="AY21" s="29" t="e">
        <f t="shared" si="17"/>
        <v>#N/A</v>
      </c>
      <c r="AZ21" s="29" t="e">
        <f t="shared" si="18"/>
        <v>#N/A</v>
      </c>
      <c r="BA21" s="29" t="e">
        <f t="shared" si="19"/>
        <v>#N/A</v>
      </c>
      <c r="BB21" s="29" t="e">
        <f t="shared" si="20"/>
        <v>#N/A</v>
      </c>
      <c r="BC21" s="29" t="e">
        <f t="shared" si="21"/>
        <v>#N/A</v>
      </c>
      <c r="BD21" s="29" t="e">
        <f t="shared" si="22"/>
        <v>#N/A</v>
      </c>
      <c r="BE21" s="29" t="e">
        <f t="shared" si="23"/>
        <v>#N/A</v>
      </c>
      <c r="BF21" s="29" t="e">
        <f t="shared" si="24"/>
        <v>#N/A</v>
      </c>
      <c r="BG21" s="29" t="e">
        <f t="shared" si="25"/>
        <v>#N/A</v>
      </c>
      <c r="BH21" s="29" t="e">
        <f t="shared" si="26"/>
        <v>#N/A</v>
      </c>
      <c r="BI21" s="29" t="e">
        <f t="shared" si="27"/>
        <v>#N/A</v>
      </c>
      <c r="BJ21" s="29" t="e">
        <f t="shared" si="28"/>
        <v>#N/A</v>
      </c>
      <c r="BK21" s="29" t="e">
        <f t="shared" si="29"/>
        <v>#N/A</v>
      </c>
    </row>
    <row r="22" spans="2:63" x14ac:dyDescent="0.25">
      <c r="B22" s="5" t="s">
        <v>44</v>
      </c>
      <c r="C22" s="38">
        <v>10500</v>
      </c>
      <c r="F22" s="5" t="str">
        <f>G22&amp;"X"</f>
        <v>X</v>
      </c>
      <c r="G22" s="38"/>
      <c r="I22" t="s">
        <v>44</v>
      </c>
      <c r="J22">
        <f t="shared" si="31"/>
        <v>10500</v>
      </c>
      <c r="K22">
        <f t="shared" si="32"/>
        <v>10500</v>
      </c>
      <c r="M22" t="str">
        <f t="shared" si="33"/>
        <v>X</v>
      </c>
      <c r="N22" t="e">
        <f t="shared" si="34"/>
        <v>#N/A</v>
      </c>
      <c r="O22">
        <v>0</v>
      </c>
      <c r="P22" t="e">
        <f t="shared" si="35"/>
        <v>#N/A</v>
      </c>
      <c r="AG22" s="25" t="str">
        <f t="shared" si="30"/>
        <v>X</v>
      </c>
      <c r="AH22" s="29" t="e">
        <f t="shared" si="0"/>
        <v>#N/A</v>
      </c>
      <c r="AI22" s="29" t="e">
        <f t="shared" si="1"/>
        <v>#N/A</v>
      </c>
      <c r="AJ22" s="29" t="e">
        <f t="shared" si="2"/>
        <v>#N/A</v>
      </c>
      <c r="AK22" s="29" t="e">
        <f t="shared" si="3"/>
        <v>#N/A</v>
      </c>
      <c r="AL22" s="29" t="e">
        <f t="shared" si="4"/>
        <v>#N/A</v>
      </c>
      <c r="AM22" s="29" t="e">
        <f t="shared" si="5"/>
        <v>#N/A</v>
      </c>
      <c r="AN22" s="29" t="e">
        <f t="shared" si="6"/>
        <v>#N/A</v>
      </c>
      <c r="AO22" s="29" t="e">
        <f t="shared" si="7"/>
        <v>#N/A</v>
      </c>
      <c r="AP22" s="29" t="e">
        <f t="shared" si="8"/>
        <v>#N/A</v>
      </c>
      <c r="AQ22" s="29" t="e">
        <f t="shared" si="9"/>
        <v>#N/A</v>
      </c>
      <c r="AR22" s="29" t="e">
        <f t="shared" si="10"/>
        <v>#N/A</v>
      </c>
      <c r="AS22" s="29" t="e">
        <f t="shared" si="11"/>
        <v>#N/A</v>
      </c>
      <c r="AT22" s="29" t="e">
        <f t="shared" si="12"/>
        <v>#N/A</v>
      </c>
      <c r="AU22" s="29" t="e">
        <f t="shared" si="13"/>
        <v>#N/A</v>
      </c>
      <c r="AV22" s="29" t="e">
        <f t="shared" si="14"/>
        <v>#N/A</v>
      </c>
      <c r="AW22" s="29" t="e">
        <f t="shared" si="15"/>
        <v>#N/A</v>
      </c>
      <c r="AX22" s="29" t="e">
        <f t="shared" si="16"/>
        <v>#N/A</v>
      </c>
      <c r="AY22" s="29" t="e">
        <f t="shared" si="17"/>
        <v>#N/A</v>
      </c>
      <c r="AZ22" s="29" t="e">
        <f t="shared" si="18"/>
        <v>#N/A</v>
      </c>
      <c r="BA22" s="29" t="e">
        <f t="shared" si="19"/>
        <v>#N/A</v>
      </c>
      <c r="BB22" s="29" t="e">
        <f t="shared" si="20"/>
        <v>#N/A</v>
      </c>
      <c r="BC22" s="29" t="e">
        <f t="shared" si="21"/>
        <v>#N/A</v>
      </c>
      <c r="BD22" s="29" t="e">
        <f t="shared" si="22"/>
        <v>#N/A</v>
      </c>
      <c r="BE22" s="29" t="e">
        <f t="shared" si="23"/>
        <v>#N/A</v>
      </c>
      <c r="BF22" s="29" t="e">
        <f t="shared" si="24"/>
        <v>#N/A</v>
      </c>
      <c r="BG22" s="29" t="e">
        <f t="shared" si="25"/>
        <v>#N/A</v>
      </c>
      <c r="BH22" s="29" t="e">
        <f t="shared" si="26"/>
        <v>#N/A</v>
      </c>
      <c r="BI22" s="29" t="e">
        <f t="shared" si="27"/>
        <v>#N/A</v>
      </c>
      <c r="BJ22" s="29" t="e">
        <f t="shared" si="28"/>
        <v>#N/A</v>
      </c>
      <c r="BK22" s="29" t="e">
        <f t="shared" si="29"/>
        <v>#N/A</v>
      </c>
    </row>
    <row r="23" spans="2:63" x14ac:dyDescent="0.25">
      <c r="B23" s="5" t="s">
        <v>45</v>
      </c>
      <c r="C23" s="38">
        <v>12500</v>
      </c>
      <c r="F23" s="5" t="str">
        <f t="shared" si="36"/>
        <v>X</v>
      </c>
      <c r="G23" s="38"/>
      <c r="I23" t="s">
        <v>45</v>
      </c>
      <c r="J23">
        <f t="shared" si="31"/>
        <v>12500</v>
      </c>
      <c r="K23">
        <f t="shared" si="32"/>
        <v>12500</v>
      </c>
      <c r="M23" t="str">
        <f t="shared" si="33"/>
        <v>X</v>
      </c>
      <c r="N23" t="e">
        <f t="shared" si="34"/>
        <v>#N/A</v>
      </c>
      <c r="O23">
        <v>0</v>
      </c>
      <c r="P23" t="e">
        <f t="shared" si="35"/>
        <v>#N/A</v>
      </c>
      <c r="AG23" s="25" t="str">
        <f t="shared" si="30"/>
        <v>X</v>
      </c>
      <c r="AH23" s="29" t="e">
        <f t="shared" si="0"/>
        <v>#N/A</v>
      </c>
      <c r="AI23" s="29" t="e">
        <f t="shared" si="1"/>
        <v>#N/A</v>
      </c>
      <c r="AJ23" s="29" t="e">
        <f t="shared" si="2"/>
        <v>#N/A</v>
      </c>
      <c r="AK23" s="29" t="e">
        <f t="shared" si="3"/>
        <v>#N/A</v>
      </c>
      <c r="AL23" s="29" t="e">
        <f t="shared" si="4"/>
        <v>#N/A</v>
      </c>
      <c r="AM23" s="29" t="e">
        <f t="shared" si="5"/>
        <v>#N/A</v>
      </c>
      <c r="AN23" s="29" t="e">
        <f t="shared" si="6"/>
        <v>#N/A</v>
      </c>
      <c r="AO23" s="29" t="e">
        <f t="shared" si="7"/>
        <v>#N/A</v>
      </c>
      <c r="AP23" s="29" t="e">
        <f t="shared" si="8"/>
        <v>#N/A</v>
      </c>
      <c r="AQ23" s="29" t="e">
        <f t="shared" si="9"/>
        <v>#N/A</v>
      </c>
      <c r="AR23" s="29" t="e">
        <f t="shared" si="10"/>
        <v>#N/A</v>
      </c>
      <c r="AS23" s="29" t="e">
        <f t="shared" si="11"/>
        <v>#N/A</v>
      </c>
      <c r="AT23" s="29" t="e">
        <f t="shared" si="12"/>
        <v>#N/A</v>
      </c>
      <c r="AU23" s="29" t="e">
        <f t="shared" si="13"/>
        <v>#N/A</v>
      </c>
      <c r="AV23" s="29" t="e">
        <f t="shared" si="14"/>
        <v>#N/A</v>
      </c>
      <c r="AW23" s="29" t="e">
        <f t="shared" si="15"/>
        <v>#N/A</v>
      </c>
      <c r="AX23" s="29" t="e">
        <f t="shared" si="16"/>
        <v>#N/A</v>
      </c>
      <c r="AY23" s="29" t="e">
        <f t="shared" si="17"/>
        <v>#N/A</v>
      </c>
      <c r="AZ23" s="29" t="e">
        <f t="shared" si="18"/>
        <v>#N/A</v>
      </c>
      <c r="BA23" s="29" t="e">
        <f t="shared" si="19"/>
        <v>#N/A</v>
      </c>
      <c r="BB23" s="29" t="e">
        <f t="shared" si="20"/>
        <v>#N/A</v>
      </c>
      <c r="BC23" s="29" t="e">
        <f t="shared" si="21"/>
        <v>#N/A</v>
      </c>
      <c r="BD23" s="29" t="e">
        <f t="shared" si="22"/>
        <v>#N/A</v>
      </c>
      <c r="BE23" s="29" t="e">
        <f t="shared" si="23"/>
        <v>#N/A</v>
      </c>
      <c r="BF23" s="29" t="e">
        <f t="shared" si="24"/>
        <v>#N/A</v>
      </c>
      <c r="BG23" s="29" t="e">
        <f t="shared" si="25"/>
        <v>#N/A</v>
      </c>
      <c r="BH23" s="29" t="e">
        <f t="shared" si="26"/>
        <v>#N/A</v>
      </c>
      <c r="BI23" s="29" t="e">
        <f t="shared" si="27"/>
        <v>#N/A</v>
      </c>
      <c r="BJ23" s="29" t="e">
        <f t="shared" si="28"/>
        <v>#N/A</v>
      </c>
      <c r="BK23" s="29" t="e">
        <f t="shared" si="29"/>
        <v>#N/A</v>
      </c>
    </row>
    <row r="24" spans="2:63" x14ac:dyDescent="0.25">
      <c r="B24" s="5" t="s">
        <v>46</v>
      </c>
      <c r="C24" s="38"/>
      <c r="F24" s="5" t="str">
        <f t="shared" si="36"/>
        <v>X</v>
      </c>
      <c r="G24" s="38"/>
      <c r="I24" t="s">
        <v>46</v>
      </c>
      <c r="J24" t="e">
        <f t="shared" si="31"/>
        <v>#N/A</v>
      </c>
      <c r="K24" t="e">
        <f t="shared" si="32"/>
        <v>#N/A</v>
      </c>
      <c r="M24" t="str">
        <f t="shared" si="33"/>
        <v>X</v>
      </c>
      <c r="N24" t="e">
        <f t="shared" si="34"/>
        <v>#N/A</v>
      </c>
      <c r="O24">
        <v>0</v>
      </c>
      <c r="P24" t="e">
        <f t="shared" si="35"/>
        <v>#N/A</v>
      </c>
      <c r="AG24" s="25" t="str">
        <f t="shared" si="30"/>
        <v>X</v>
      </c>
      <c r="AH24" s="29" t="e">
        <f t="shared" si="0"/>
        <v>#N/A</v>
      </c>
      <c r="AI24" s="29" t="e">
        <f t="shared" si="1"/>
        <v>#N/A</v>
      </c>
      <c r="AJ24" s="29" t="e">
        <f t="shared" si="2"/>
        <v>#N/A</v>
      </c>
      <c r="AK24" s="29" t="e">
        <f t="shared" si="3"/>
        <v>#N/A</v>
      </c>
      <c r="AL24" s="29" t="e">
        <f t="shared" si="4"/>
        <v>#N/A</v>
      </c>
      <c r="AM24" s="29" t="e">
        <f t="shared" si="5"/>
        <v>#N/A</v>
      </c>
      <c r="AN24" s="29" t="e">
        <f t="shared" si="6"/>
        <v>#N/A</v>
      </c>
      <c r="AO24" s="29" t="e">
        <f t="shared" si="7"/>
        <v>#N/A</v>
      </c>
      <c r="AP24" s="29" t="e">
        <f t="shared" si="8"/>
        <v>#N/A</v>
      </c>
      <c r="AQ24" s="29" t="e">
        <f t="shared" si="9"/>
        <v>#N/A</v>
      </c>
      <c r="AR24" s="29" t="e">
        <f t="shared" si="10"/>
        <v>#N/A</v>
      </c>
      <c r="AS24" s="29" t="e">
        <f t="shared" si="11"/>
        <v>#N/A</v>
      </c>
      <c r="AT24" s="29" t="e">
        <f t="shared" si="12"/>
        <v>#N/A</v>
      </c>
      <c r="AU24" s="29" t="e">
        <f t="shared" si="13"/>
        <v>#N/A</v>
      </c>
      <c r="AV24" s="29" t="e">
        <f t="shared" si="14"/>
        <v>#N/A</v>
      </c>
      <c r="AW24" s="29" t="e">
        <f t="shared" si="15"/>
        <v>#N/A</v>
      </c>
      <c r="AX24" s="29" t="e">
        <f t="shared" si="16"/>
        <v>#N/A</v>
      </c>
      <c r="AY24" s="29" t="e">
        <f t="shared" si="17"/>
        <v>#N/A</v>
      </c>
      <c r="AZ24" s="29" t="e">
        <f t="shared" si="18"/>
        <v>#N/A</v>
      </c>
      <c r="BA24" s="29" t="e">
        <f t="shared" si="19"/>
        <v>#N/A</v>
      </c>
      <c r="BB24" s="29" t="e">
        <f t="shared" si="20"/>
        <v>#N/A</v>
      </c>
      <c r="BC24" s="29" t="e">
        <f t="shared" si="21"/>
        <v>#N/A</v>
      </c>
      <c r="BD24" s="29" t="e">
        <f t="shared" si="22"/>
        <v>#N/A</v>
      </c>
      <c r="BE24" s="29" t="e">
        <f t="shared" si="23"/>
        <v>#N/A</v>
      </c>
      <c r="BF24" s="29" t="e">
        <f t="shared" si="24"/>
        <v>#N/A</v>
      </c>
      <c r="BG24" s="29" t="e">
        <f t="shared" si="25"/>
        <v>#N/A</v>
      </c>
      <c r="BH24" s="29" t="e">
        <f t="shared" si="26"/>
        <v>#N/A</v>
      </c>
      <c r="BI24" s="29" t="e">
        <f t="shared" si="27"/>
        <v>#N/A</v>
      </c>
      <c r="BJ24" s="29" t="e">
        <f t="shared" si="28"/>
        <v>#N/A</v>
      </c>
      <c r="BK24" s="29" t="e">
        <f t="shared" si="29"/>
        <v>#N/A</v>
      </c>
    </row>
    <row r="25" spans="2:63" x14ac:dyDescent="0.25">
      <c r="B25" s="5" t="s">
        <v>47</v>
      </c>
      <c r="C25" s="38"/>
      <c r="F25" s="5" t="str">
        <f t="shared" si="36"/>
        <v>X</v>
      </c>
      <c r="G25" s="38"/>
      <c r="I25" t="s">
        <v>47</v>
      </c>
      <c r="J25" t="e">
        <f t="shared" si="31"/>
        <v>#N/A</v>
      </c>
      <c r="K25" t="e">
        <f t="shared" si="32"/>
        <v>#N/A</v>
      </c>
      <c r="M25" t="str">
        <f t="shared" si="33"/>
        <v>X</v>
      </c>
      <c r="N25" t="e">
        <f t="shared" si="34"/>
        <v>#N/A</v>
      </c>
      <c r="O25">
        <v>0</v>
      </c>
      <c r="P25" t="e">
        <f t="shared" si="35"/>
        <v>#N/A</v>
      </c>
      <c r="AG25" s="25" t="str">
        <f t="shared" si="30"/>
        <v>X</v>
      </c>
      <c r="AH25" s="29" t="e">
        <f t="shared" si="0"/>
        <v>#N/A</v>
      </c>
      <c r="AI25" s="29" t="e">
        <f t="shared" si="1"/>
        <v>#N/A</v>
      </c>
      <c r="AJ25" s="29" t="e">
        <f t="shared" si="2"/>
        <v>#N/A</v>
      </c>
      <c r="AK25" s="29" t="e">
        <f t="shared" si="3"/>
        <v>#N/A</v>
      </c>
      <c r="AL25" s="29" t="e">
        <f t="shared" si="4"/>
        <v>#N/A</v>
      </c>
      <c r="AM25" s="29" t="e">
        <f t="shared" si="5"/>
        <v>#N/A</v>
      </c>
      <c r="AN25" s="29" t="e">
        <f t="shared" si="6"/>
        <v>#N/A</v>
      </c>
      <c r="AO25" s="29" t="e">
        <f t="shared" si="7"/>
        <v>#N/A</v>
      </c>
      <c r="AP25" s="29" t="e">
        <f t="shared" si="8"/>
        <v>#N/A</v>
      </c>
      <c r="AQ25" s="29" t="e">
        <f t="shared" si="9"/>
        <v>#N/A</v>
      </c>
      <c r="AR25" s="29" t="e">
        <f t="shared" si="10"/>
        <v>#N/A</v>
      </c>
      <c r="AS25" s="29" t="e">
        <f t="shared" si="11"/>
        <v>#N/A</v>
      </c>
      <c r="AT25" s="29" t="e">
        <f t="shared" si="12"/>
        <v>#N/A</v>
      </c>
      <c r="AU25" s="29" t="e">
        <f t="shared" si="13"/>
        <v>#N/A</v>
      </c>
      <c r="AV25" s="29" t="e">
        <f t="shared" si="14"/>
        <v>#N/A</v>
      </c>
      <c r="AW25" s="29" t="e">
        <f t="shared" si="15"/>
        <v>#N/A</v>
      </c>
      <c r="AX25" s="29" t="e">
        <f t="shared" si="16"/>
        <v>#N/A</v>
      </c>
      <c r="AY25" s="29" t="e">
        <f t="shared" si="17"/>
        <v>#N/A</v>
      </c>
      <c r="AZ25" s="29" t="e">
        <f t="shared" si="18"/>
        <v>#N/A</v>
      </c>
      <c r="BA25" s="29" t="e">
        <f t="shared" si="19"/>
        <v>#N/A</v>
      </c>
      <c r="BB25" s="29" t="e">
        <f t="shared" si="20"/>
        <v>#N/A</v>
      </c>
      <c r="BC25" s="29" t="e">
        <f t="shared" si="21"/>
        <v>#N/A</v>
      </c>
      <c r="BD25" s="29" t="e">
        <f t="shared" si="22"/>
        <v>#N/A</v>
      </c>
      <c r="BE25" s="29" t="e">
        <f t="shared" si="23"/>
        <v>#N/A</v>
      </c>
      <c r="BF25" s="29" t="e">
        <f t="shared" si="24"/>
        <v>#N/A</v>
      </c>
      <c r="BG25" s="29" t="e">
        <f t="shared" si="25"/>
        <v>#N/A</v>
      </c>
      <c r="BH25" s="29" t="e">
        <f t="shared" si="26"/>
        <v>#N/A</v>
      </c>
      <c r="BI25" s="29" t="e">
        <f t="shared" si="27"/>
        <v>#N/A</v>
      </c>
      <c r="BJ25" s="29" t="e">
        <f t="shared" si="28"/>
        <v>#N/A</v>
      </c>
      <c r="BK25" s="29" t="e">
        <f t="shared" si="29"/>
        <v>#N/A</v>
      </c>
    </row>
    <row r="26" spans="2:63" x14ac:dyDescent="0.25">
      <c r="B26" s="5" t="s">
        <v>48</v>
      </c>
      <c r="C26" s="38"/>
      <c r="F26" s="5" t="str">
        <f t="shared" si="36"/>
        <v>X</v>
      </c>
      <c r="G26" s="38"/>
      <c r="I26" t="s">
        <v>48</v>
      </c>
      <c r="J26" t="e">
        <f t="shared" si="31"/>
        <v>#N/A</v>
      </c>
      <c r="K26" t="e">
        <f t="shared" si="32"/>
        <v>#N/A</v>
      </c>
      <c r="M26" t="str">
        <f t="shared" si="33"/>
        <v>X</v>
      </c>
      <c r="N26" t="e">
        <f t="shared" si="34"/>
        <v>#N/A</v>
      </c>
      <c r="O26">
        <v>0</v>
      </c>
      <c r="P26" t="e">
        <f t="shared" si="35"/>
        <v>#N/A</v>
      </c>
      <c r="AG26" s="25" t="str">
        <f t="shared" si="30"/>
        <v>X</v>
      </c>
      <c r="AH26" s="29" t="e">
        <f t="shared" si="0"/>
        <v>#N/A</v>
      </c>
      <c r="AI26" s="29" t="e">
        <f t="shared" si="1"/>
        <v>#N/A</v>
      </c>
      <c r="AJ26" s="29" t="e">
        <f t="shared" si="2"/>
        <v>#N/A</v>
      </c>
      <c r="AK26" s="29" t="e">
        <f t="shared" si="3"/>
        <v>#N/A</v>
      </c>
      <c r="AL26" s="29" t="e">
        <f t="shared" si="4"/>
        <v>#N/A</v>
      </c>
      <c r="AM26" s="29" t="e">
        <f t="shared" si="5"/>
        <v>#N/A</v>
      </c>
      <c r="AN26" s="29" t="e">
        <f t="shared" si="6"/>
        <v>#N/A</v>
      </c>
      <c r="AO26" s="29" t="e">
        <f t="shared" si="7"/>
        <v>#N/A</v>
      </c>
      <c r="AP26" s="29" t="e">
        <f t="shared" si="8"/>
        <v>#N/A</v>
      </c>
      <c r="AQ26" s="29" t="e">
        <f t="shared" si="9"/>
        <v>#N/A</v>
      </c>
      <c r="AR26" s="29" t="e">
        <f t="shared" si="10"/>
        <v>#N/A</v>
      </c>
      <c r="AS26" s="29" t="e">
        <f t="shared" si="11"/>
        <v>#N/A</v>
      </c>
      <c r="AT26" s="29" t="e">
        <f t="shared" si="12"/>
        <v>#N/A</v>
      </c>
      <c r="AU26" s="29" t="e">
        <f t="shared" si="13"/>
        <v>#N/A</v>
      </c>
      <c r="AV26" s="29" t="e">
        <f t="shared" si="14"/>
        <v>#N/A</v>
      </c>
      <c r="AW26" s="29" t="e">
        <f t="shared" si="15"/>
        <v>#N/A</v>
      </c>
      <c r="AX26" s="29" t="e">
        <f t="shared" si="16"/>
        <v>#N/A</v>
      </c>
      <c r="AY26" s="29" t="e">
        <f t="shared" si="17"/>
        <v>#N/A</v>
      </c>
      <c r="AZ26" s="29" t="e">
        <f t="shared" si="18"/>
        <v>#N/A</v>
      </c>
      <c r="BA26" s="29" t="e">
        <f t="shared" si="19"/>
        <v>#N/A</v>
      </c>
      <c r="BB26" s="29" t="e">
        <f t="shared" si="20"/>
        <v>#N/A</v>
      </c>
      <c r="BC26" s="29" t="e">
        <f t="shared" si="21"/>
        <v>#N/A</v>
      </c>
      <c r="BD26" s="29" t="e">
        <f t="shared" si="22"/>
        <v>#N/A</v>
      </c>
      <c r="BE26" s="29" t="e">
        <f t="shared" si="23"/>
        <v>#N/A</v>
      </c>
      <c r="BF26" s="29" t="e">
        <f t="shared" si="24"/>
        <v>#N/A</v>
      </c>
      <c r="BG26" s="29" t="e">
        <f t="shared" si="25"/>
        <v>#N/A</v>
      </c>
      <c r="BH26" s="29" t="e">
        <f t="shared" si="26"/>
        <v>#N/A</v>
      </c>
      <c r="BI26" s="29" t="e">
        <f t="shared" si="27"/>
        <v>#N/A</v>
      </c>
      <c r="BJ26" s="29" t="e">
        <f t="shared" si="28"/>
        <v>#N/A</v>
      </c>
      <c r="BK26" s="29" t="e">
        <f t="shared" si="29"/>
        <v>#N/A</v>
      </c>
    </row>
    <row r="27" spans="2:63" x14ac:dyDescent="0.25">
      <c r="B27" s="5" t="s">
        <v>49</v>
      </c>
      <c r="C27" s="38"/>
      <c r="F27" s="5" t="str">
        <f t="shared" si="36"/>
        <v>X</v>
      </c>
      <c r="G27" s="38"/>
      <c r="I27" t="s">
        <v>49</v>
      </c>
      <c r="J27" t="e">
        <f t="shared" si="31"/>
        <v>#N/A</v>
      </c>
      <c r="K27" t="e">
        <f t="shared" si="32"/>
        <v>#N/A</v>
      </c>
      <c r="M27" t="str">
        <f t="shared" si="33"/>
        <v>X</v>
      </c>
      <c r="N27" t="e">
        <f t="shared" si="34"/>
        <v>#N/A</v>
      </c>
      <c r="O27">
        <v>0</v>
      </c>
      <c r="P27" t="e">
        <f t="shared" si="35"/>
        <v>#N/A</v>
      </c>
      <c r="AG27" s="25" t="str">
        <f t="shared" si="30"/>
        <v>X</v>
      </c>
      <c r="AH27" s="29" t="e">
        <f t="shared" si="0"/>
        <v>#N/A</v>
      </c>
      <c r="AI27" s="29" t="e">
        <f t="shared" si="1"/>
        <v>#N/A</v>
      </c>
      <c r="AJ27" s="29" t="e">
        <f t="shared" si="2"/>
        <v>#N/A</v>
      </c>
      <c r="AK27" s="29" t="e">
        <f t="shared" si="3"/>
        <v>#N/A</v>
      </c>
      <c r="AL27" s="29" t="e">
        <f t="shared" si="4"/>
        <v>#N/A</v>
      </c>
      <c r="AM27" s="29" t="e">
        <f t="shared" si="5"/>
        <v>#N/A</v>
      </c>
      <c r="AN27" s="29" t="e">
        <f t="shared" si="6"/>
        <v>#N/A</v>
      </c>
      <c r="AO27" s="29" t="e">
        <f t="shared" si="7"/>
        <v>#N/A</v>
      </c>
      <c r="AP27" s="29" t="e">
        <f t="shared" si="8"/>
        <v>#N/A</v>
      </c>
      <c r="AQ27" s="29" t="e">
        <f t="shared" si="9"/>
        <v>#N/A</v>
      </c>
      <c r="AR27" s="29" t="e">
        <f t="shared" si="10"/>
        <v>#N/A</v>
      </c>
      <c r="AS27" s="29" t="e">
        <f t="shared" si="11"/>
        <v>#N/A</v>
      </c>
      <c r="AT27" s="29" t="e">
        <f t="shared" si="12"/>
        <v>#N/A</v>
      </c>
      <c r="AU27" s="29" t="e">
        <f t="shared" si="13"/>
        <v>#N/A</v>
      </c>
      <c r="AV27" s="29" t="e">
        <f t="shared" si="14"/>
        <v>#N/A</v>
      </c>
      <c r="AW27" s="29" t="e">
        <f t="shared" si="15"/>
        <v>#N/A</v>
      </c>
      <c r="AX27" s="29" t="e">
        <f t="shared" si="16"/>
        <v>#N/A</v>
      </c>
      <c r="AY27" s="29" t="e">
        <f t="shared" si="17"/>
        <v>#N/A</v>
      </c>
      <c r="AZ27" s="29" t="e">
        <f t="shared" si="18"/>
        <v>#N/A</v>
      </c>
      <c r="BA27" s="29" t="e">
        <f t="shared" si="19"/>
        <v>#N/A</v>
      </c>
      <c r="BB27" s="29" t="e">
        <f t="shared" si="20"/>
        <v>#N/A</v>
      </c>
      <c r="BC27" s="29" t="e">
        <f t="shared" si="21"/>
        <v>#N/A</v>
      </c>
      <c r="BD27" s="29" t="e">
        <f t="shared" si="22"/>
        <v>#N/A</v>
      </c>
      <c r="BE27" s="29" t="e">
        <f t="shared" si="23"/>
        <v>#N/A</v>
      </c>
      <c r="BF27" s="29" t="e">
        <f t="shared" si="24"/>
        <v>#N/A</v>
      </c>
      <c r="BG27" s="29" t="e">
        <f t="shared" si="25"/>
        <v>#N/A</v>
      </c>
      <c r="BH27" s="29" t="e">
        <f t="shared" si="26"/>
        <v>#N/A</v>
      </c>
      <c r="BI27" s="29" t="e">
        <f t="shared" si="27"/>
        <v>#N/A</v>
      </c>
      <c r="BJ27" s="29" t="e">
        <f t="shared" si="28"/>
        <v>#N/A</v>
      </c>
      <c r="BK27" s="29" t="e">
        <f t="shared" si="29"/>
        <v>#N/A</v>
      </c>
    </row>
    <row r="28" spans="2:63" x14ac:dyDescent="0.25">
      <c r="B28" s="5" t="s">
        <v>50</v>
      </c>
      <c r="C28" s="38"/>
      <c r="F28" s="5" t="str">
        <f t="shared" si="36"/>
        <v>X</v>
      </c>
      <c r="G28" s="38"/>
      <c r="I28" t="s">
        <v>50</v>
      </c>
      <c r="J28" t="e">
        <f t="shared" si="31"/>
        <v>#N/A</v>
      </c>
      <c r="K28" t="e">
        <f t="shared" si="32"/>
        <v>#N/A</v>
      </c>
      <c r="M28" t="str">
        <f t="shared" si="33"/>
        <v>X</v>
      </c>
      <c r="N28" t="e">
        <f t="shared" si="34"/>
        <v>#N/A</v>
      </c>
      <c r="O28">
        <v>0</v>
      </c>
      <c r="P28" t="e">
        <f t="shared" si="35"/>
        <v>#N/A</v>
      </c>
      <c r="AG28" s="25" t="str">
        <f t="shared" si="30"/>
        <v>X</v>
      </c>
      <c r="AH28" s="29" t="e">
        <f t="shared" si="0"/>
        <v>#N/A</v>
      </c>
      <c r="AI28" s="29" t="e">
        <f t="shared" si="1"/>
        <v>#N/A</v>
      </c>
      <c r="AJ28" s="29" t="e">
        <f t="shared" si="2"/>
        <v>#N/A</v>
      </c>
      <c r="AK28" s="29" t="e">
        <f t="shared" si="3"/>
        <v>#N/A</v>
      </c>
      <c r="AL28" s="29" t="e">
        <f t="shared" si="4"/>
        <v>#N/A</v>
      </c>
      <c r="AM28" s="29" t="e">
        <f t="shared" si="5"/>
        <v>#N/A</v>
      </c>
      <c r="AN28" s="29" t="e">
        <f t="shared" si="6"/>
        <v>#N/A</v>
      </c>
      <c r="AO28" s="29" t="e">
        <f t="shared" si="7"/>
        <v>#N/A</v>
      </c>
      <c r="AP28" s="29" t="e">
        <f t="shared" si="8"/>
        <v>#N/A</v>
      </c>
      <c r="AQ28" s="29" t="e">
        <f t="shared" si="9"/>
        <v>#N/A</v>
      </c>
      <c r="AR28" s="29" t="e">
        <f t="shared" si="10"/>
        <v>#N/A</v>
      </c>
      <c r="AS28" s="29" t="e">
        <f t="shared" si="11"/>
        <v>#N/A</v>
      </c>
      <c r="AT28" s="29" t="e">
        <f t="shared" si="12"/>
        <v>#N/A</v>
      </c>
      <c r="AU28" s="29" t="e">
        <f t="shared" si="13"/>
        <v>#N/A</v>
      </c>
      <c r="AV28" s="29" t="e">
        <f t="shared" si="14"/>
        <v>#N/A</v>
      </c>
      <c r="AW28" s="29" t="e">
        <f t="shared" si="15"/>
        <v>#N/A</v>
      </c>
      <c r="AX28" s="29" t="e">
        <f t="shared" si="16"/>
        <v>#N/A</v>
      </c>
      <c r="AY28" s="29" t="e">
        <f t="shared" si="17"/>
        <v>#N/A</v>
      </c>
      <c r="AZ28" s="29" t="e">
        <f t="shared" si="18"/>
        <v>#N/A</v>
      </c>
      <c r="BA28" s="29" t="e">
        <f t="shared" si="19"/>
        <v>#N/A</v>
      </c>
      <c r="BB28" s="29" t="e">
        <f t="shared" si="20"/>
        <v>#N/A</v>
      </c>
      <c r="BC28" s="29" t="e">
        <f t="shared" si="21"/>
        <v>#N/A</v>
      </c>
      <c r="BD28" s="29" t="e">
        <f t="shared" si="22"/>
        <v>#N/A</v>
      </c>
      <c r="BE28" s="29" t="e">
        <f t="shared" si="23"/>
        <v>#N/A</v>
      </c>
      <c r="BF28" s="29" t="e">
        <f t="shared" si="24"/>
        <v>#N/A</v>
      </c>
      <c r="BG28" s="29" t="e">
        <f t="shared" si="25"/>
        <v>#N/A</v>
      </c>
      <c r="BH28" s="29" t="e">
        <f t="shared" si="26"/>
        <v>#N/A</v>
      </c>
      <c r="BI28" s="29" t="e">
        <f t="shared" si="27"/>
        <v>#N/A</v>
      </c>
      <c r="BJ28" s="29" t="e">
        <f t="shared" si="28"/>
        <v>#N/A</v>
      </c>
      <c r="BK28" s="29" t="e">
        <f t="shared" si="29"/>
        <v>#N/A</v>
      </c>
    </row>
    <row r="29" spans="2:63" x14ac:dyDescent="0.25">
      <c r="B29" s="5" t="s">
        <v>51</v>
      </c>
      <c r="C29" s="38"/>
      <c r="F29" s="5" t="str">
        <f t="shared" ref="F29:F48" si="37">G29&amp;"X"</f>
        <v>X</v>
      </c>
      <c r="G29" s="38"/>
      <c r="I29" t="s">
        <v>51</v>
      </c>
      <c r="J29" t="e">
        <f t="shared" ref="J29:J48" si="38">IF(C29&gt;0,ROUND(C29,1),#N/A)</f>
        <v>#N/A</v>
      </c>
      <c r="K29" t="e">
        <f t="shared" ref="K29:K48" si="39">IF(C29&gt;0,ROUND(C29,1),#N/A)</f>
        <v>#N/A</v>
      </c>
      <c r="M29" t="str">
        <f t="shared" ref="M29:M48" si="40">F29</f>
        <v>X</v>
      </c>
      <c r="N29" t="e">
        <f t="shared" ref="N29:N48" si="41">IF(G29&gt;0,G29,#N/A)</f>
        <v>#N/A</v>
      </c>
      <c r="O29">
        <v>0</v>
      </c>
      <c r="P29" t="e">
        <f t="shared" si="35"/>
        <v>#N/A</v>
      </c>
      <c r="AG29" s="25" t="str">
        <f t="shared" si="30"/>
        <v>X</v>
      </c>
      <c r="AH29" s="29" t="e">
        <f t="shared" si="0"/>
        <v>#N/A</v>
      </c>
      <c r="AI29" s="29" t="e">
        <f t="shared" si="1"/>
        <v>#N/A</v>
      </c>
      <c r="AJ29" s="29" t="e">
        <f t="shared" si="2"/>
        <v>#N/A</v>
      </c>
      <c r="AK29" s="29" t="e">
        <f t="shared" si="3"/>
        <v>#N/A</v>
      </c>
      <c r="AL29" s="29" t="e">
        <f t="shared" si="4"/>
        <v>#N/A</v>
      </c>
      <c r="AM29" s="29" t="e">
        <f t="shared" si="5"/>
        <v>#N/A</v>
      </c>
      <c r="AN29" s="29" t="e">
        <f t="shared" si="6"/>
        <v>#N/A</v>
      </c>
      <c r="AO29" s="29" t="e">
        <f t="shared" si="7"/>
        <v>#N/A</v>
      </c>
      <c r="AP29" s="29" t="e">
        <f t="shared" si="8"/>
        <v>#N/A</v>
      </c>
      <c r="AQ29" s="29" t="e">
        <f t="shared" si="9"/>
        <v>#N/A</v>
      </c>
      <c r="AR29" s="29" t="e">
        <f t="shared" si="10"/>
        <v>#N/A</v>
      </c>
      <c r="AS29" s="29" t="e">
        <f t="shared" si="11"/>
        <v>#N/A</v>
      </c>
      <c r="AT29" s="29" t="e">
        <f t="shared" si="12"/>
        <v>#N/A</v>
      </c>
      <c r="AU29" s="29" t="e">
        <f t="shared" si="13"/>
        <v>#N/A</v>
      </c>
      <c r="AV29" s="29" t="e">
        <f t="shared" si="14"/>
        <v>#N/A</v>
      </c>
      <c r="AW29" s="29" t="e">
        <f t="shared" si="15"/>
        <v>#N/A</v>
      </c>
      <c r="AX29" s="29" t="e">
        <f t="shared" si="16"/>
        <v>#N/A</v>
      </c>
      <c r="AY29" s="29" t="e">
        <f t="shared" si="17"/>
        <v>#N/A</v>
      </c>
      <c r="AZ29" s="29" t="e">
        <f t="shared" si="18"/>
        <v>#N/A</v>
      </c>
      <c r="BA29" s="29" t="e">
        <f t="shared" si="19"/>
        <v>#N/A</v>
      </c>
      <c r="BB29" s="29" t="e">
        <f t="shared" si="20"/>
        <v>#N/A</v>
      </c>
      <c r="BC29" s="29" t="e">
        <f t="shared" si="21"/>
        <v>#N/A</v>
      </c>
      <c r="BD29" s="29" t="e">
        <f t="shared" si="22"/>
        <v>#N/A</v>
      </c>
      <c r="BE29" s="29" t="e">
        <f t="shared" si="23"/>
        <v>#N/A</v>
      </c>
      <c r="BF29" s="29" t="e">
        <f t="shared" si="24"/>
        <v>#N/A</v>
      </c>
      <c r="BG29" s="29" t="e">
        <f t="shared" si="25"/>
        <v>#N/A</v>
      </c>
      <c r="BH29" s="29" t="e">
        <f t="shared" si="26"/>
        <v>#N/A</v>
      </c>
      <c r="BI29" s="29" t="e">
        <f t="shared" si="27"/>
        <v>#N/A</v>
      </c>
      <c r="BJ29" s="29" t="e">
        <f t="shared" si="28"/>
        <v>#N/A</v>
      </c>
      <c r="BK29" s="29" t="e">
        <f t="shared" si="29"/>
        <v>#N/A</v>
      </c>
    </row>
    <row r="30" spans="2:63" x14ac:dyDescent="0.25">
      <c r="B30" s="5" t="s">
        <v>52</v>
      </c>
      <c r="C30" s="38"/>
      <c r="F30" s="5" t="str">
        <f t="shared" si="37"/>
        <v>X</v>
      </c>
      <c r="G30" s="38"/>
      <c r="I30" t="s">
        <v>52</v>
      </c>
      <c r="J30" t="e">
        <f t="shared" si="38"/>
        <v>#N/A</v>
      </c>
      <c r="K30" t="e">
        <f t="shared" si="39"/>
        <v>#N/A</v>
      </c>
      <c r="M30" t="str">
        <f t="shared" si="40"/>
        <v>X</v>
      </c>
      <c r="N30" t="e">
        <f t="shared" si="41"/>
        <v>#N/A</v>
      </c>
      <c r="O30">
        <v>0</v>
      </c>
      <c r="P30" t="e">
        <f t="shared" si="35"/>
        <v>#N/A</v>
      </c>
      <c r="AG30" s="25" t="str">
        <f t="shared" si="30"/>
        <v>X</v>
      </c>
      <c r="AH30" s="29" t="e">
        <f t="shared" si="0"/>
        <v>#N/A</v>
      </c>
      <c r="AI30" s="29" t="e">
        <f t="shared" si="1"/>
        <v>#N/A</v>
      </c>
      <c r="AJ30" s="29" t="e">
        <f t="shared" si="2"/>
        <v>#N/A</v>
      </c>
      <c r="AK30" s="29" t="e">
        <f t="shared" si="3"/>
        <v>#N/A</v>
      </c>
      <c r="AL30" s="29" t="e">
        <f t="shared" si="4"/>
        <v>#N/A</v>
      </c>
      <c r="AM30" s="29" t="e">
        <f t="shared" si="5"/>
        <v>#N/A</v>
      </c>
      <c r="AN30" s="29" t="e">
        <f t="shared" si="6"/>
        <v>#N/A</v>
      </c>
      <c r="AO30" s="29" t="e">
        <f t="shared" si="7"/>
        <v>#N/A</v>
      </c>
      <c r="AP30" s="29" t="e">
        <f t="shared" si="8"/>
        <v>#N/A</v>
      </c>
      <c r="AQ30" s="29" t="e">
        <f t="shared" si="9"/>
        <v>#N/A</v>
      </c>
      <c r="AR30" s="29" t="e">
        <f t="shared" si="10"/>
        <v>#N/A</v>
      </c>
      <c r="AS30" s="29" t="e">
        <f t="shared" si="11"/>
        <v>#N/A</v>
      </c>
      <c r="AT30" s="29" t="e">
        <f t="shared" si="12"/>
        <v>#N/A</v>
      </c>
      <c r="AU30" s="29" t="e">
        <f t="shared" si="13"/>
        <v>#N/A</v>
      </c>
      <c r="AV30" s="29" t="e">
        <f t="shared" si="14"/>
        <v>#N/A</v>
      </c>
      <c r="AW30" s="29" t="e">
        <f t="shared" si="15"/>
        <v>#N/A</v>
      </c>
      <c r="AX30" s="29" t="e">
        <f t="shared" si="16"/>
        <v>#N/A</v>
      </c>
      <c r="AY30" s="29" t="e">
        <f t="shared" si="17"/>
        <v>#N/A</v>
      </c>
      <c r="AZ30" s="29" t="e">
        <f t="shared" si="18"/>
        <v>#N/A</v>
      </c>
      <c r="BA30" s="29" t="e">
        <f t="shared" si="19"/>
        <v>#N/A</v>
      </c>
      <c r="BB30" s="29" t="e">
        <f t="shared" si="20"/>
        <v>#N/A</v>
      </c>
      <c r="BC30" s="29" t="e">
        <f t="shared" si="21"/>
        <v>#N/A</v>
      </c>
      <c r="BD30" s="29" t="e">
        <f t="shared" si="22"/>
        <v>#N/A</v>
      </c>
      <c r="BE30" s="29" t="e">
        <f t="shared" si="23"/>
        <v>#N/A</v>
      </c>
      <c r="BF30" s="29" t="e">
        <f t="shared" si="24"/>
        <v>#N/A</v>
      </c>
      <c r="BG30" s="29" t="e">
        <f t="shared" si="25"/>
        <v>#N/A</v>
      </c>
      <c r="BH30" s="29" t="e">
        <f t="shared" si="26"/>
        <v>#N/A</v>
      </c>
      <c r="BI30" s="29" t="e">
        <f t="shared" si="27"/>
        <v>#N/A</v>
      </c>
      <c r="BJ30" s="29" t="e">
        <f t="shared" si="28"/>
        <v>#N/A</v>
      </c>
      <c r="BK30" s="29" t="e">
        <f t="shared" si="29"/>
        <v>#N/A</v>
      </c>
    </row>
    <row r="31" spans="2:63" x14ac:dyDescent="0.25">
      <c r="B31" s="5" t="s">
        <v>53</v>
      </c>
      <c r="C31" s="38"/>
      <c r="F31" s="5" t="str">
        <f t="shared" si="37"/>
        <v>X</v>
      </c>
      <c r="G31" s="38"/>
      <c r="I31" t="s">
        <v>53</v>
      </c>
      <c r="J31" t="e">
        <f t="shared" si="38"/>
        <v>#N/A</v>
      </c>
      <c r="K31" t="e">
        <f t="shared" si="39"/>
        <v>#N/A</v>
      </c>
      <c r="M31" t="str">
        <f t="shared" si="40"/>
        <v>X</v>
      </c>
      <c r="N31" t="e">
        <f t="shared" si="41"/>
        <v>#N/A</v>
      </c>
      <c r="O31">
        <v>0</v>
      </c>
      <c r="P31" t="e">
        <f t="shared" si="35"/>
        <v>#N/A</v>
      </c>
      <c r="AG31" s="25" t="str">
        <f t="shared" si="30"/>
        <v>X</v>
      </c>
      <c r="AH31" s="29" t="e">
        <f t="shared" si="0"/>
        <v>#N/A</v>
      </c>
      <c r="AI31" s="29" t="e">
        <f t="shared" si="1"/>
        <v>#N/A</v>
      </c>
      <c r="AJ31" s="29" t="e">
        <f t="shared" si="2"/>
        <v>#N/A</v>
      </c>
      <c r="AK31" s="29" t="e">
        <f t="shared" si="3"/>
        <v>#N/A</v>
      </c>
      <c r="AL31" s="29" t="e">
        <f t="shared" si="4"/>
        <v>#N/A</v>
      </c>
      <c r="AM31" s="29" t="e">
        <f t="shared" si="5"/>
        <v>#N/A</v>
      </c>
      <c r="AN31" s="29" t="e">
        <f t="shared" si="6"/>
        <v>#N/A</v>
      </c>
      <c r="AO31" s="29" t="e">
        <f t="shared" si="7"/>
        <v>#N/A</v>
      </c>
      <c r="AP31" s="29" t="e">
        <f t="shared" si="8"/>
        <v>#N/A</v>
      </c>
      <c r="AQ31" s="29" t="e">
        <f t="shared" si="9"/>
        <v>#N/A</v>
      </c>
      <c r="AR31" s="29" t="e">
        <f t="shared" si="10"/>
        <v>#N/A</v>
      </c>
      <c r="AS31" s="29" t="e">
        <f t="shared" si="11"/>
        <v>#N/A</v>
      </c>
      <c r="AT31" s="29" t="e">
        <f t="shared" si="12"/>
        <v>#N/A</v>
      </c>
      <c r="AU31" s="29" t="e">
        <f t="shared" si="13"/>
        <v>#N/A</v>
      </c>
      <c r="AV31" s="29" t="e">
        <f t="shared" si="14"/>
        <v>#N/A</v>
      </c>
      <c r="AW31" s="29" t="e">
        <f t="shared" si="15"/>
        <v>#N/A</v>
      </c>
      <c r="AX31" s="29" t="e">
        <f t="shared" si="16"/>
        <v>#N/A</v>
      </c>
      <c r="AY31" s="29" t="e">
        <f t="shared" si="17"/>
        <v>#N/A</v>
      </c>
      <c r="AZ31" s="29" t="e">
        <f t="shared" si="18"/>
        <v>#N/A</v>
      </c>
      <c r="BA31" s="29" t="e">
        <f t="shared" si="19"/>
        <v>#N/A</v>
      </c>
      <c r="BB31" s="29" t="e">
        <f t="shared" si="20"/>
        <v>#N/A</v>
      </c>
      <c r="BC31" s="29" t="e">
        <f t="shared" si="21"/>
        <v>#N/A</v>
      </c>
      <c r="BD31" s="29" t="e">
        <f t="shared" si="22"/>
        <v>#N/A</v>
      </c>
      <c r="BE31" s="29" t="e">
        <f t="shared" si="23"/>
        <v>#N/A</v>
      </c>
      <c r="BF31" s="29" t="e">
        <f t="shared" si="24"/>
        <v>#N/A</v>
      </c>
      <c r="BG31" s="29" t="e">
        <f t="shared" si="25"/>
        <v>#N/A</v>
      </c>
      <c r="BH31" s="29" t="e">
        <f t="shared" si="26"/>
        <v>#N/A</v>
      </c>
      <c r="BI31" s="29" t="e">
        <f t="shared" si="27"/>
        <v>#N/A</v>
      </c>
      <c r="BJ31" s="29" t="e">
        <f t="shared" si="28"/>
        <v>#N/A</v>
      </c>
      <c r="BK31" s="29" t="e">
        <f t="shared" si="29"/>
        <v>#N/A</v>
      </c>
    </row>
    <row r="32" spans="2:63" x14ac:dyDescent="0.25">
      <c r="B32" s="5" t="s">
        <v>54</v>
      </c>
      <c r="C32" s="38"/>
      <c r="F32" s="5" t="str">
        <f t="shared" si="37"/>
        <v>X</v>
      </c>
      <c r="G32" s="38"/>
      <c r="I32" t="s">
        <v>54</v>
      </c>
      <c r="J32" t="e">
        <f t="shared" si="38"/>
        <v>#N/A</v>
      </c>
      <c r="K32" t="e">
        <f t="shared" si="39"/>
        <v>#N/A</v>
      </c>
      <c r="M32" t="str">
        <f t="shared" si="40"/>
        <v>X</v>
      </c>
      <c r="N32" t="e">
        <f t="shared" si="41"/>
        <v>#N/A</v>
      </c>
      <c r="O32">
        <v>0</v>
      </c>
      <c r="P32" t="e">
        <f t="shared" si="35"/>
        <v>#N/A</v>
      </c>
      <c r="AG32" s="25" t="str">
        <f t="shared" si="30"/>
        <v>X</v>
      </c>
      <c r="AH32" s="29" t="e">
        <f t="shared" si="0"/>
        <v>#N/A</v>
      </c>
      <c r="AI32" s="29" t="e">
        <f t="shared" si="1"/>
        <v>#N/A</v>
      </c>
      <c r="AJ32" s="29" t="e">
        <f t="shared" si="2"/>
        <v>#N/A</v>
      </c>
      <c r="AK32" s="29" t="e">
        <f t="shared" si="3"/>
        <v>#N/A</v>
      </c>
      <c r="AL32" s="29" t="e">
        <f t="shared" si="4"/>
        <v>#N/A</v>
      </c>
      <c r="AM32" s="29" t="e">
        <f t="shared" si="5"/>
        <v>#N/A</v>
      </c>
      <c r="AN32" s="29" t="e">
        <f t="shared" si="6"/>
        <v>#N/A</v>
      </c>
      <c r="AO32" s="29" t="e">
        <f t="shared" si="7"/>
        <v>#N/A</v>
      </c>
      <c r="AP32" s="29" t="e">
        <f t="shared" si="8"/>
        <v>#N/A</v>
      </c>
      <c r="AQ32" s="29" t="e">
        <f t="shared" si="9"/>
        <v>#N/A</v>
      </c>
      <c r="AR32" s="29" t="e">
        <f t="shared" si="10"/>
        <v>#N/A</v>
      </c>
      <c r="AS32" s="29" t="e">
        <f t="shared" si="11"/>
        <v>#N/A</v>
      </c>
      <c r="AT32" s="29" t="e">
        <f t="shared" si="12"/>
        <v>#N/A</v>
      </c>
      <c r="AU32" s="29" t="e">
        <f t="shared" si="13"/>
        <v>#N/A</v>
      </c>
      <c r="AV32" s="29" t="e">
        <f t="shared" si="14"/>
        <v>#N/A</v>
      </c>
      <c r="AW32" s="29" t="e">
        <f t="shared" si="15"/>
        <v>#N/A</v>
      </c>
      <c r="AX32" s="29" t="e">
        <f t="shared" si="16"/>
        <v>#N/A</v>
      </c>
      <c r="AY32" s="29" t="e">
        <f t="shared" si="17"/>
        <v>#N/A</v>
      </c>
      <c r="AZ32" s="29" t="e">
        <f t="shared" si="18"/>
        <v>#N/A</v>
      </c>
      <c r="BA32" s="29" t="e">
        <f t="shared" si="19"/>
        <v>#N/A</v>
      </c>
      <c r="BB32" s="29" t="e">
        <f t="shared" si="20"/>
        <v>#N/A</v>
      </c>
      <c r="BC32" s="29" t="e">
        <f t="shared" si="21"/>
        <v>#N/A</v>
      </c>
      <c r="BD32" s="29" t="e">
        <f t="shared" si="22"/>
        <v>#N/A</v>
      </c>
      <c r="BE32" s="29" t="e">
        <f t="shared" si="23"/>
        <v>#N/A</v>
      </c>
      <c r="BF32" s="29" t="e">
        <f t="shared" si="24"/>
        <v>#N/A</v>
      </c>
      <c r="BG32" s="29" t="e">
        <f t="shared" si="25"/>
        <v>#N/A</v>
      </c>
      <c r="BH32" s="29" t="e">
        <f t="shared" si="26"/>
        <v>#N/A</v>
      </c>
      <c r="BI32" s="29" t="e">
        <f t="shared" si="27"/>
        <v>#N/A</v>
      </c>
      <c r="BJ32" s="29" t="e">
        <f t="shared" si="28"/>
        <v>#N/A</v>
      </c>
      <c r="BK32" s="29" t="e">
        <f t="shared" si="29"/>
        <v>#N/A</v>
      </c>
    </row>
    <row r="33" spans="2:63" x14ac:dyDescent="0.25">
      <c r="B33" s="5" t="s">
        <v>55</v>
      </c>
      <c r="C33" s="38"/>
      <c r="F33" s="5" t="str">
        <f t="shared" si="37"/>
        <v>X</v>
      </c>
      <c r="G33" s="38"/>
      <c r="I33" t="s">
        <v>55</v>
      </c>
      <c r="J33" t="e">
        <f t="shared" si="38"/>
        <v>#N/A</v>
      </c>
      <c r="K33" t="e">
        <f t="shared" si="39"/>
        <v>#N/A</v>
      </c>
      <c r="M33" t="str">
        <f t="shared" si="40"/>
        <v>X</v>
      </c>
      <c r="N33" t="e">
        <f t="shared" si="41"/>
        <v>#N/A</v>
      </c>
      <c r="O33">
        <v>0</v>
      </c>
      <c r="P33" t="e">
        <f t="shared" si="35"/>
        <v>#N/A</v>
      </c>
      <c r="AG33" s="25" t="str">
        <f t="shared" si="30"/>
        <v>X</v>
      </c>
      <c r="AH33" s="29" t="e">
        <f t="shared" si="0"/>
        <v>#N/A</v>
      </c>
      <c r="AI33" s="29" t="e">
        <f t="shared" si="1"/>
        <v>#N/A</v>
      </c>
      <c r="AJ33" s="29" t="e">
        <f t="shared" si="2"/>
        <v>#N/A</v>
      </c>
      <c r="AK33" s="29" t="e">
        <f t="shared" si="3"/>
        <v>#N/A</v>
      </c>
      <c r="AL33" s="29" t="e">
        <f t="shared" si="4"/>
        <v>#N/A</v>
      </c>
      <c r="AM33" s="29" t="e">
        <f t="shared" si="5"/>
        <v>#N/A</v>
      </c>
      <c r="AN33" s="29" t="e">
        <f t="shared" si="6"/>
        <v>#N/A</v>
      </c>
      <c r="AO33" s="29" t="e">
        <f t="shared" si="7"/>
        <v>#N/A</v>
      </c>
      <c r="AP33" s="29" t="e">
        <f t="shared" si="8"/>
        <v>#N/A</v>
      </c>
      <c r="AQ33" s="29" t="e">
        <f t="shared" si="9"/>
        <v>#N/A</v>
      </c>
      <c r="AR33" s="29" t="e">
        <f t="shared" si="10"/>
        <v>#N/A</v>
      </c>
      <c r="AS33" s="29" t="e">
        <f t="shared" si="11"/>
        <v>#N/A</v>
      </c>
      <c r="AT33" s="29" t="e">
        <f t="shared" si="12"/>
        <v>#N/A</v>
      </c>
      <c r="AU33" s="29" t="e">
        <f t="shared" si="13"/>
        <v>#N/A</v>
      </c>
      <c r="AV33" s="29" t="e">
        <f t="shared" si="14"/>
        <v>#N/A</v>
      </c>
      <c r="AW33" s="29" t="e">
        <f t="shared" si="15"/>
        <v>#N/A</v>
      </c>
      <c r="AX33" s="29" t="e">
        <f t="shared" si="16"/>
        <v>#N/A</v>
      </c>
      <c r="AY33" s="29" t="e">
        <f t="shared" si="17"/>
        <v>#N/A</v>
      </c>
      <c r="AZ33" s="29" t="e">
        <f t="shared" si="18"/>
        <v>#N/A</v>
      </c>
      <c r="BA33" s="29" t="e">
        <f t="shared" si="19"/>
        <v>#N/A</v>
      </c>
      <c r="BB33" s="29" t="e">
        <f t="shared" si="20"/>
        <v>#N/A</v>
      </c>
      <c r="BC33" s="29" t="e">
        <f t="shared" si="21"/>
        <v>#N/A</v>
      </c>
      <c r="BD33" s="29" t="e">
        <f t="shared" si="22"/>
        <v>#N/A</v>
      </c>
      <c r="BE33" s="29" t="e">
        <f t="shared" si="23"/>
        <v>#N/A</v>
      </c>
      <c r="BF33" s="29" t="e">
        <f t="shared" si="24"/>
        <v>#N/A</v>
      </c>
      <c r="BG33" s="29" t="e">
        <f t="shared" si="25"/>
        <v>#N/A</v>
      </c>
      <c r="BH33" s="29" t="e">
        <f t="shared" si="26"/>
        <v>#N/A</v>
      </c>
      <c r="BI33" s="29" t="e">
        <f t="shared" si="27"/>
        <v>#N/A</v>
      </c>
      <c r="BJ33" s="29" t="e">
        <f t="shared" si="28"/>
        <v>#N/A</v>
      </c>
      <c r="BK33" s="29" t="e">
        <f t="shared" si="29"/>
        <v>#N/A</v>
      </c>
    </row>
    <row r="34" spans="2:63" x14ac:dyDescent="0.25">
      <c r="B34" s="5" t="s">
        <v>56</v>
      </c>
      <c r="C34" s="38"/>
      <c r="F34" s="5" t="str">
        <f t="shared" si="37"/>
        <v>X</v>
      </c>
      <c r="G34" s="38"/>
      <c r="I34" t="s">
        <v>56</v>
      </c>
      <c r="J34" t="e">
        <f t="shared" si="38"/>
        <v>#N/A</v>
      </c>
      <c r="K34" t="e">
        <f t="shared" si="39"/>
        <v>#N/A</v>
      </c>
      <c r="M34" t="str">
        <f t="shared" si="40"/>
        <v>X</v>
      </c>
      <c r="N34" t="e">
        <f t="shared" si="41"/>
        <v>#N/A</v>
      </c>
      <c r="O34">
        <v>0</v>
      </c>
      <c r="P34" t="e">
        <f t="shared" si="35"/>
        <v>#N/A</v>
      </c>
      <c r="AG34" s="25" t="str">
        <f t="shared" si="30"/>
        <v>X</v>
      </c>
      <c r="AH34" s="29" t="e">
        <f t="shared" si="0"/>
        <v>#N/A</v>
      </c>
      <c r="AI34" s="29" t="e">
        <f t="shared" si="1"/>
        <v>#N/A</v>
      </c>
      <c r="AJ34" s="29" t="e">
        <f t="shared" si="2"/>
        <v>#N/A</v>
      </c>
      <c r="AK34" s="29" t="e">
        <f t="shared" si="3"/>
        <v>#N/A</v>
      </c>
      <c r="AL34" s="29" t="e">
        <f t="shared" si="4"/>
        <v>#N/A</v>
      </c>
      <c r="AM34" s="29" t="e">
        <f t="shared" si="5"/>
        <v>#N/A</v>
      </c>
      <c r="AN34" s="29" t="e">
        <f t="shared" si="6"/>
        <v>#N/A</v>
      </c>
      <c r="AO34" s="29" t="e">
        <f t="shared" si="7"/>
        <v>#N/A</v>
      </c>
      <c r="AP34" s="29" t="e">
        <f t="shared" si="8"/>
        <v>#N/A</v>
      </c>
      <c r="AQ34" s="29" t="e">
        <f t="shared" si="9"/>
        <v>#N/A</v>
      </c>
      <c r="AR34" s="29" t="e">
        <f t="shared" si="10"/>
        <v>#N/A</v>
      </c>
      <c r="AS34" s="29" t="e">
        <f t="shared" si="11"/>
        <v>#N/A</v>
      </c>
      <c r="AT34" s="29" t="e">
        <f t="shared" si="12"/>
        <v>#N/A</v>
      </c>
      <c r="AU34" s="29" t="e">
        <f t="shared" si="13"/>
        <v>#N/A</v>
      </c>
      <c r="AV34" s="29" t="e">
        <f t="shared" si="14"/>
        <v>#N/A</v>
      </c>
      <c r="AW34" s="29" t="e">
        <f t="shared" si="15"/>
        <v>#N/A</v>
      </c>
      <c r="AX34" s="29" t="e">
        <f t="shared" si="16"/>
        <v>#N/A</v>
      </c>
      <c r="AY34" s="29" t="e">
        <f t="shared" si="17"/>
        <v>#N/A</v>
      </c>
      <c r="AZ34" s="29" t="e">
        <f t="shared" si="18"/>
        <v>#N/A</v>
      </c>
      <c r="BA34" s="29" t="e">
        <f t="shared" si="19"/>
        <v>#N/A</v>
      </c>
      <c r="BB34" s="29" t="e">
        <f t="shared" si="20"/>
        <v>#N/A</v>
      </c>
      <c r="BC34" s="29" t="e">
        <f t="shared" si="21"/>
        <v>#N/A</v>
      </c>
      <c r="BD34" s="29" t="e">
        <f t="shared" si="22"/>
        <v>#N/A</v>
      </c>
      <c r="BE34" s="29" t="e">
        <f t="shared" si="23"/>
        <v>#N/A</v>
      </c>
      <c r="BF34" s="29" t="e">
        <f t="shared" si="24"/>
        <v>#N/A</v>
      </c>
      <c r="BG34" s="29" t="e">
        <f t="shared" si="25"/>
        <v>#N/A</v>
      </c>
      <c r="BH34" s="29" t="e">
        <f t="shared" si="26"/>
        <v>#N/A</v>
      </c>
      <c r="BI34" s="29" t="e">
        <f t="shared" si="27"/>
        <v>#N/A</v>
      </c>
      <c r="BJ34" s="29" t="e">
        <f t="shared" si="28"/>
        <v>#N/A</v>
      </c>
      <c r="BK34" s="29" t="e">
        <f t="shared" si="29"/>
        <v>#N/A</v>
      </c>
    </row>
    <row r="35" spans="2:63" x14ac:dyDescent="0.25">
      <c r="B35" s="5" t="s">
        <v>57</v>
      </c>
      <c r="C35" s="38"/>
      <c r="F35" s="5" t="str">
        <f t="shared" si="37"/>
        <v>X</v>
      </c>
      <c r="G35" s="38"/>
      <c r="I35" t="s">
        <v>57</v>
      </c>
      <c r="J35" t="e">
        <f t="shared" si="38"/>
        <v>#N/A</v>
      </c>
      <c r="K35" t="e">
        <f t="shared" si="39"/>
        <v>#N/A</v>
      </c>
      <c r="M35" t="str">
        <f t="shared" si="40"/>
        <v>X</v>
      </c>
      <c r="N35" t="e">
        <f t="shared" si="41"/>
        <v>#N/A</v>
      </c>
      <c r="O35">
        <v>0</v>
      </c>
      <c r="P35" t="e">
        <f t="shared" si="35"/>
        <v>#N/A</v>
      </c>
      <c r="AG35" s="26" t="str">
        <f t="shared" si="30"/>
        <v>X</v>
      </c>
      <c r="AH35" s="30" t="e">
        <f t="shared" si="0"/>
        <v>#N/A</v>
      </c>
      <c r="AI35" s="30" t="e">
        <f t="shared" si="1"/>
        <v>#N/A</v>
      </c>
      <c r="AJ35" s="30" t="e">
        <f t="shared" si="2"/>
        <v>#N/A</v>
      </c>
      <c r="AK35" s="30" t="e">
        <f t="shared" si="3"/>
        <v>#N/A</v>
      </c>
      <c r="AL35" s="30" t="e">
        <f t="shared" si="4"/>
        <v>#N/A</v>
      </c>
      <c r="AM35" s="30" t="e">
        <f t="shared" si="5"/>
        <v>#N/A</v>
      </c>
      <c r="AN35" s="30" t="e">
        <f t="shared" si="6"/>
        <v>#N/A</v>
      </c>
      <c r="AO35" s="30" t="e">
        <f t="shared" si="7"/>
        <v>#N/A</v>
      </c>
      <c r="AP35" s="30" t="e">
        <f t="shared" si="8"/>
        <v>#N/A</v>
      </c>
      <c r="AQ35" s="30" t="e">
        <f t="shared" si="9"/>
        <v>#N/A</v>
      </c>
      <c r="AR35" s="30" t="e">
        <f t="shared" si="10"/>
        <v>#N/A</v>
      </c>
      <c r="AS35" s="30" t="e">
        <f t="shared" si="11"/>
        <v>#N/A</v>
      </c>
      <c r="AT35" s="30" t="e">
        <f t="shared" si="12"/>
        <v>#N/A</v>
      </c>
      <c r="AU35" s="30" t="e">
        <f t="shared" si="13"/>
        <v>#N/A</v>
      </c>
      <c r="AV35" s="30" t="e">
        <f t="shared" si="14"/>
        <v>#N/A</v>
      </c>
      <c r="AW35" s="30" t="e">
        <f t="shared" si="15"/>
        <v>#N/A</v>
      </c>
      <c r="AX35" s="30" t="e">
        <f t="shared" si="16"/>
        <v>#N/A</v>
      </c>
      <c r="AY35" s="30" t="e">
        <f t="shared" si="17"/>
        <v>#N/A</v>
      </c>
      <c r="AZ35" s="30" t="e">
        <f t="shared" si="18"/>
        <v>#N/A</v>
      </c>
      <c r="BA35" s="30" t="e">
        <f t="shared" si="19"/>
        <v>#N/A</v>
      </c>
      <c r="BB35" s="30" t="e">
        <f t="shared" si="20"/>
        <v>#N/A</v>
      </c>
      <c r="BC35" s="30" t="e">
        <f t="shared" si="21"/>
        <v>#N/A</v>
      </c>
      <c r="BD35" s="30" t="e">
        <f t="shared" si="22"/>
        <v>#N/A</v>
      </c>
      <c r="BE35" s="30" t="e">
        <f t="shared" si="23"/>
        <v>#N/A</v>
      </c>
      <c r="BF35" s="30" t="e">
        <f t="shared" si="24"/>
        <v>#N/A</v>
      </c>
      <c r="BG35" s="30" t="e">
        <f t="shared" si="25"/>
        <v>#N/A</v>
      </c>
      <c r="BH35" s="30" t="e">
        <f t="shared" si="26"/>
        <v>#N/A</v>
      </c>
      <c r="BI35" s="30" t="e">
        <f t="shared" si="27"/>
        <v>#N/A</v>
      </c>
      <c r="BJ35" s="30" t="e">
        <f t="shared" si="28"/>
        <v>#N/A</v>
      </c>
      <c r="BK35" s="30" t="e">
        <f t="shared" si="29"/>
        <v>#N/A</v>
      </c>
    </row>
    <row r="36" spans="2:63" x14ac:dyDescent="0.25">
      <c r="B36" s="5" t="s">
        <v>58</v>
      </c>
      <c r="C36" s="38"/>
      <c r="F36" s="5" t="str">
        <f t="shared" si="37"/>
        <v>X</v>
      </c>
      <c r="G36" s="38"/>
      <c r="I36" t="s">
        <v>58</v>
      </c>
      <c r="J36" t="e">
        <f t="shared" si="38"/>
        <v>#N/A</v>
      </c>
      <c r="K36" t="e">
        <f t="shared" si="39"/>
        <v>#N/A</v>
      </c>
      <c r="M36" t="str">
        <f t="shared" si="40"/>
        <v>X</v>
      </c>
      <c r="N36" t="e">
        <f t="shared" si="41"/>
        <v>#N/A</v>
      </c>
      <c r="O36">
        <v>0</v>
      </c>
      <c r="P36" t="e">
        <f t="shared" si="35"/>
        <v>#N/A</v>
      </c>
      <c r="AG36" s="5"/>
    </row>
    <row r="37" spans="2:63" ht="18" x14ac:dyDescent="0.35">
      <c r="B37" s="5" t="s">
        <v>59</v>
      </c>
      <c r="C37" s="38"/>
      <c r="F37" s="5" t="str">
        <f t="shared" si="37"/>
        <v>X</v>
      </c>
      <c r="G37" s="38"/>
      <c r="I37" t="s">
        <v>59</v>
      </c>
      <c r="J37" t="e">
        <f t="shared" si="38"/>
        <v>#N/A</v>
      </c>
      <c r="K37" t="e">
        <f t="shared" si="39"/>
        <v>#N/A</v>
      </c>
      <c r="M37" t="str">
        <f t="shared" si="40"/>
        <v>X</v>
      </c>
      <c r="N37" t="e">
        <f t="shared" si="41"/>
        <v>#N/A</v>
      </c>
      <c r="O37">
        <v>0</v>
      </c>
      <c r="P37" t="e">
        <f t="shared" si="35"/>
        <v>#N/A</v>
      </c>
      <c r="AG37" s="21" t="s">
        <v>60</v>
      </c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3"/>
    </row>
    <row r="38" spans="2:63" x14ac:dyDescent="0.25">
      <c r="B38" s="5" t="s">
        <v>61</v>
      </c>
      <c r="C38" s="38"/>
      <c r="F38" s="5" t="str">
        <f t="shared" si="37"/>
        <v>X</v>
      </c>
      <c r="G38" s="38"/>
      <c r="I38" t="s">
        <v>61</v>
      </c>
      <c r="J38" t="e">
        <f t="shared" si="38"/>
        <v>#N/A</v>
      </c>
      <c r="K38" t="e">
        <f t="shared" si="39"/>
        <v>#N/A</v>
      </c>
      <c r="M38" t="str">
        <f t="shared" si="40"/>
        <v>X</v>
      </c>
      <c r="N38" t="e">
        <f t="shared" si="41"/>
        <v>#N/A</v>
      </c>
      <c r="O38">
        <v>0</v>
      </c>
      <c r="P38" t="e">
        <f t="shared" si="35"/>
        <v>#N/A</v>
      </c>
      <c r="AG38" s="20"/>
      <c r="AH38" s="27" t="str">
        <f>$B$19</f>
        <v>fn_1</v>
      </c>
      <c r="AI38" s="27" t="str">
        <f>$B$20</f>
        <v>fn_2</v>
      </c>
      <c r="AJ38" s="27" t="str">
        <f>$B$21</f>
        <v>fn_3</v>
      </c>
      <c r="AK38" s="27" t="str">
        <f>$B$22</f>
        <v>fn_4</v>
      </c>
      <c r="AL38" s="27" t="str">
        <f>$B$23</f>
        <v>fn_5</v>
      </c>
      <c r="AM38" s="27" t="str">
        <f>$B$24</f>
        <v>fn_6</v>
      </c>
      <c r="AN38" s="27" t="str">
        <f>$B$25</f>
        <v>fn_7</v>
      </c>
      <c r="AO38" s="27" t="str">
        <f>$B$26</f>
        <v>fn_8</v>
      </c>
      <c r="AP38" s="27" t="str">
        <f>$B$27</f>
        <v>fn_9</v>
      </c>
      <c r="AQ38" s="27" t="str">
        <f>$B$28</f>
        <v>fn_10</v>
      </c>
      <c r="AR38" s="27" t="str">
        <f>$B$29</f>
        <v>fn_11</v>
      </c>
      <c r="AS38" s="27" t="str">
        <f>$B$30</f>
        <v>fn_12</v>
      </c>
      <c r="AT38" s="27" t="str">
        <f>$B$31</f>
        <v>fn_13</v>
      </c>
      <c r="AU38" s="27" t="str">
        <f>$B$32</f>
        <v>fn_14</v>
      </c>
      <c r="AV38" s="27" t="str">
        <f>$B$33</f>
        <v>fn_15</v>
      </c>
      <c r="AW38" s="27" t="str">
        <f>$B$34</f>
        <v>fn_16</v>
      </c>
      <c r="AX38" s="27" t="str">
        <f>$B$35</f>
        <v>fn_17</v>
      </c>
      <c r="AY38" s="27" t="str">
        <f>$B$36</f>
        <v>fn_18</v>
      </c>
      <c r="AZ38" s="27" t="str">
        <f>$B$37</f>
        <v>fn_19</v>
      </c>
      <c r="BA38" s="27" t="str">
        <f>$B$38</f>
        <v>fn_20</v>
      </c>
      <c r="BB38" s="27" t="str">
        <f>$B$39</f>
        <v>fn_21</v>
      </c>
      <c r="BC38" s="27" t="str">
        <f>$B$40</f>
        <v>fn_22</v>
      </c>
      <c r="BD38" s="27" t="str">
        <f>$B$41</f>
        <v>fn_23</v>
      </c>
      <c r="BE38" s="27" t="str">
        <f>$B$42</f>
        <v>fn_24</v>
      </c>
      <c r="BF38" s="27" t="str">
        <f>$B$43</f>
        <v>fn_25</v>
      </c>
      <c r="BG38" s="27" t="str">
        <f>$B$44</f>
        <v>fn_26</v>
      </c>
      <c r="BH38" s="27" t="str">
        <f>$B$45</f>
        <v>fn_27</v>
      </c>
      <c r="BI38" s="27" t="str">
        <f>$B$46</f>
        <v>fn_28</v>
      </c>
      <c r="BJ38" s="27" t="str">
        <f>$B$47</f>
        <v>fn_29</v>
      </c>
      <c r="BK38" s="27" t="str">
        <f>$B$48</f>
        <v>fn_30</v>
      </c>
    </row>
    <row r="39" spans="2:63" x14ac:dyDescent="0.25">
      <c r="B39" s="5" t="s">
        <v>62</v>
      </c>
      <c r="C39" s="38"/>
      <c r="F39" s="5" t="str">
        <f t="shared" si="37"/>
        <v>X</v>
      </c>
      <c r="G39" s="38"/>
      <c r="I39" t="s">
        <v>62</v>
      </c>
      <c r="J39" t="e">
        <f t="shared" si="38"/>
        <v>#N/A</v>
      </c>
      <c r="K39" t="e">
        <f t="shared" si="39"/>
        <v>#N/A</v>
      </c>
      <c r="M39" t="str">
        <f t="shared" si="40"/>
        <v>X</v>
      </c>
      <c r="N39" t="e">
        <f t="shared" si="41"/>
        <v>#N/A</v>
      </c>
      <c r="O39">
        <v>0</v>
      </c>
      <c r="P39" t="e">
        <f t="shared" si="35"/>
        <v>#N/A</v>
      </c>
      <c r="AG39" s="24" t="str">
        <f>$M19</f>
        <v>1X</v>
      </c>
      <c r="AH39" s="28">
        <f t="shared" ref="AH39:AH68" si="42">(C138-$C$6)/$C$6</f>
        <v>-0.28215353938185445</v>
      </c>
      <c r="AI39" s="28">
        <f t="shared" ref="AI39:AI68" si="43">(D138-$C$6)/$C$6</f>
        <v>-2.9910269192422734E-3</v>
      </c>
      <c r="AJ39" s="28" t="e">
        <f t="shared" ref="AJ39:AJ68" si="44">(E138-$C$6)/$C$6</f>
        <v>#N/A</v>
      </c>
      <c r="AK39" s="28" t="e">
        <f t="shared" ref="AK39:AK68" si="45">(F138-$C$6)/$C$6</f>
        <v>#N/A</v>
      </c>
      <c r="AL39" s="28" t="e">
        <f t="shared" ref="AL39:AL68" si="46">(G138-$C$6)/$C$6</f>
        <v>#N/A</v>
      </c>
      <c r="AM39" s="28" t="e">
        <f t="shared" ref="AM39:AM68" si="47">(H138-$C$6)/$C$6</f>
        <v>#N/A</v>
      </c>
      <c r="AN39" s="28" t="e">
        <f t="shared" ref="AN39:AN68" si="48">(I138-$C$6)/$C$6</f>
        <v>#N/A</v>
      </c>
      <c r="AO39" s="28" t="e">
        <f t="shared" ref="AO39:AO68" si="49">(J138-$C$6)/$C$6</f>
        <v>#N/A</v>
      </c>
      <c r="AP39" s="28" t="e">
        <f t="shared" ref="AP39:AP68" si="50">(K138-$C$6)/$C$6</f>
        <v>#N/A</v>
      </c>
      <c r="AQ39" s="28" t="e">
        <f t="shared" ref="AQ39:AQ68" si="51">(L138-$C$6)/$C$6</f>
        <v>#N/A</v>
      </c>
      <c r="AR39" s="28" t="e">
        <f t="shared" ref="AR39:AR68" si="52">(M138-$C$6)/$C$6</f>
        <v>#N/A</v>
      </c>
      <c r="AS39" s="28" t="e">
        <f t="shared" ref="AS39:AS68" si="53">(N138-$C$6)/$C$6</f>
        <v>#N/A</v>
      </c>
      <c r="AT39" s="28" t="e">
        <f t="shared" ref="AT39:AT68" si="54">(O138-$C$6)/$C$6</f>
        <v>#N/A</v>
      </c>
      <c r="AU39" s="28" t="e">
        <f t="shared" ref="AU39:AU68" si="55">(P138-$C$6)/$C$6</f>
        <v>#N/A</v>
      </c>
      <c r="AV39" s="28" t="e">
        <f t="shared" ref="AV39:AV68" si="56">(Q138-$C$6)/$C$6</f>
        <v>#N/A</v>
      </c>
      <c r="AW39" s="28" t="e">
        <f t="shared" ref="AW39:AW68" si="57">(R138-$C$6)/$C$6</f>
        <v>#N/A</v>
      </c>
      <c r="AX39" s="28" t="e">
        <f t="shared" ref="AX39:AX68" si="58">(S138-$C$6)/$C$6</f>
        <v>#N/A</v>
      </c>
      <c r="AY39" s="28" t="e">
        <f t="shared" ref="AY39:AY68" si="59">(T138-$C$6)/$C$6</f>
        <v>#N/A</v>
      </c>
      <c r="AZ39" s="28" t="e">
        <f t="shared" ref="AZ39:AZ68" si="60">(U138-$C$6)/$C$6</f>
        <v>#N/A</v>
      </c>
      <c r="BA39" s="28" t="e">
        <f t="shared" ref="BA39:BA68" si="61">(V138-$C$6)/$C$6</f>
        <v>#N/A</v>
      </c>
      <c r="BB39" s="28" t="e">
        <f t="shared" ref="BB39:BB68" si="62">(W138-$C$6)/$C$6</f>
        <v>#N/A</v>
      </c>
      <c r="BC39" s="28" t="e">
        <f t="shared" ref="BC39:BC68" si="63">(X138-$C$6)/$C$6</f>
        <v>#N/A</v>
      </c>
      <c r="BD39" s="28" t="e">
        <f t="shared" ref="BD39:BD68" si="64">(Y138-$C$6)/$C$6</f>
        <v>#N/A</v>
      </c>
      <c r="BE39" s="28" t="e">
        <f t="shared" ref="BE39:BE68" si="65">(Z138-$C$6)/$C$6</f>
        <v>#N/A</v>
      </c>
      <c r="BF39" s="28" t="e">
        <f t="shared" ref="BF39:BF68" si="66">(AA138-$C$6)/$C$6</f>
        <v>#N/A</v>
      </c>
      <c r="BG39" s="28" t="e">
        <f t="shared" ref="BG39:BG68" si="67">(AB138-$C$6)/$C$6</f>
        <v>#N/A</v>
      </c>
      <c r="BH39" s="28" t="e">
        <f t="shared" ref="BH39:BH68" si="68">(AC138-$C$6)/$C$6</f>
        <v>#N/A</v>
      </c>
      <c r="BI39" s="28" t="e">
        <f t="shared" ref="BI39:BI68" si="69">(AD138-$C$6)/$C$6</f>
        <v>#N/A</v>
      </c>
      <c r="BJ39" s="28" t="e">
        <f t="shared" ref="BJ39:BJ68" si="70">(AE138-$C$6)/$C$6</f>
        <v>#N/A</v>
      </c>
      <c r="BK39" s="28" t="e">
        <f t="shared" ref="BK39:BK68" si="71">(AF138-$C$6)/$C$6</f>
        <v>#N/A</v>
      </c>
    </row>
    <row r="40" spans="2:63" x14ac:dyDescent="0.25">
      <c r="B40" s="5" t="s">
        <v>63</v>
      </c>
      <c r="C40" s="38"/>
      <c r="D40" s="2"/>
      <c r="E40" s="2"/>
      <c r="F40" s="5" t="str">
        <f t="shared" si="37"/>
        <v>X</v>
      </c>
      <c r="G40" s="38"/>
      <c r="H40" s="2"/>
      <c r="I40" t="s">
        <v>63</v>
      </c>
      <c r="J40" t="e">
        <f t="shared" si="38"/>
        <v>#N/A</v>
      </c>
      <c r="K40" t="e">
        <f t="shared" si="39"/>
        <v>#N/A</v>
      </c>
      <c r="M40" t="str">
        <f t="shared" si="40"/>
        <v>X</v>
      </c>
      <c r="N40" t="e">
        <f t="shared" si="41"/>
        <v>#N/A</v>
      </c>
      <c r="O40">
        <v>0</v>
      </c>
      <c r="P40" t="e">
        <f t="shared" si="35"/>
        <v>#N/A</v>
      </c>
      <c r="AG40" s="25" t="str">
        <f t="shared" ref="AG40:AG68" si="72">$M20</f>
        <v>2X</v>
      </c>
      <c r="AH40" s="29">
        <f t="shared" si="42"/>
        <v>-0.6410767696909272</v>
      </c>
      <c r="AI40" s="29">
        <f t="shared" si="43"/>
        <v>-0.50149551345962118</v>
      </c>
      <c r="AJ40" s="29">
        <f t="shared" si="44"/>
        <v>-0.15254237288135594</v>
      </c>
      <c r="AK40" s="29">
        <f t="shared" si="45"/>
        <v>4.6859421734795612E-2</v>
      </c>
      <c r="AL40" s="29" t="e">
        <f t="shared" si="46"/>
        <v>#N/A</v>
      </c>
      <c r="AM40" s="29" t="e">
        <f t="shared" si="47"/>
        <v>#N/A</v>
      </c>
      <c r="AN40" s="29" t="e">
        <f t="shared" si="48"/>
        <v>#N/A</v>
      </c>
      <c r="AO40" s="29" t="e">
        <f t="shared" si="49"/>
        <v>#N/A</v>
      </c>
      <c r="AP40" s="29" t="e">
        <f t="shared" si="50"/>
        <v>#N/A</v>
      </c>
      <c r="AQ40" s="29" t="e">
        <f t="shared" si="51"/>
        <v>#N/A</v>
      </c>
      <c r="AR40" s="29" t="e">
        <f t="shared" si="52"/>
        <v>#N/A</v>
      </c>
      <c r="AS40" s="29" t="e">
        <f t="shared" si="53"/>
        <v>#N/A</v>
      </c>
      <c r="AT40" s="29" t="e">
        <f t="shared" si="54"/>
        <v>#N/A</v>
      </c>
      <c r="AU40" s="29" t="e">
        <f t="shared" si="55"/>
        <v>#N/A</v>
      </c>
      <c r="AV40" s="29" t="e">
        <f t="shared" si="56"/>
        <v>#N/A</v>
      </c>
      <c r="AW40" s="29" t="e">
        <f t="shared" si="57"/>
        <v>#N/A</v>
      </c>
      <c r="AX40" s="29" t="e">
        <f t="shared" si="58"/>
        <v>#N/A</v>
      </c>
      <c r="AY40" s="29" t="e">
        <f t="shared" si="59"/>
        <v>#N/A</v>
      </c>
      <c r="AZ40" s="29" t="e">
        <f t="shared" si="60"/>
        <v>#N/A</v>
      </c>
      <c r="BA40" s="29" t="e">
        <f t="shared" si="61"/>
        <v>#N/A</v>
      </c>
      <c r="BB40" s="29" t="e">
        <f t="shared" si="62"/>
        <v>#N/A</v>
      </c>
      <c r="BC40" s="29" t="e">
        <f t="shared" si="63"/>
        <v>#N/A</v>
      </c>
      <c r="BD40" s="29" t="e">
        <f t="shared" si="64"/>
        <v>#N/A</v>
      </c>
      <c r="BE40" s="29" t="e">
        <f t="shared" si="65"/>
        <v>#N/A</v>
      </c>
      <c r="BF40" s="29" t="e">
        <f t="shared" si="66"/>
        <v>#N/A</v>
      </c>
      <c r="BG40" s="29" t="e">
        <f t="shared" si="67"/>
        <v>#N/A</v>
      </c>
      <c r="BH40" s="29" t="e">
        <f t="shared" si="68"/>
        <v>#N/A</v>
      </c>
      <c r="BI40" s="29" t="e">
        <f t="shared" si="69"/>
        <v>#N/A</v>
      </c>
      <c r="BJ40" s="29" t="e">
        <f t="shared" si="70"/>
        <v>#N/A</v>
      </c>
      <c r="BK40" s="29" t="e">
        <f t="shared" si="71"/>
        <v>#N/A</v>
      </c>
    </row>
    <row r="41" spans="2:63" x14ac:dyDescent="0.25">
      <c r="B41" s="5" t="s">
        <v>64</v>
      </c>
      <c r="C41" s="38"/>
      <c r="D41" s="2"/>
      <c r="E41" s="2"/>
      <c r="F41" s="5" t="str">
        <f t="shared" si="37"/>
        <v>X</v>
      </c>
      <c r="G41" s="38"/>
      <c r="H41" s="2"/>
      <c r="I41" t="s">
        <v>64</v>
      </c>
      <c r="J41" t="e">
        <f t="shared" si="38"/>
        <v>#N/A</v>
      </c>
      <c r="K41" t="e">
        <f t="shared" si="39"/>
        <v>#N/A</v>
      </c>
      <c r="M41" t="str">
        <f t="shared" si="40"/>
        <v>X</v>
      </c>
      <c r="N41" t="e">
        <f t="shared" si="41"/>
        <v>#N/A</v>
      </c>
      <c r="O41">
        <v>0</v>
      </c>
      <c r="P41" t="e">
        <f t="shared" si="35"/>
        <v>#N/A</v>
      </c>
      <c r="AG41" s="25" t="str">
        <f t="shared" si="72"/>
        <v>5X</v>
      </c>
      <c r="AH41" s="29">
        <f t="shared" si="42"/>
        <v>-0.85643070787637088</v>
      </c>
      <c r="AI41" s="29">
        <f t="shared" si="43"/>
        <v>-0.8005982053838484</v>
      </c>
      <c r="AJ41" s="29">
        <f t="shared" si="44"/>
        <v>-0.66101694915254239</v>
      </c>
      <c r="AK41" s="29">
        <f t="shared" si="45"/>
        <v>-0.58125623130608173</v>
      </c>
      <c r="AL41" s="29">
        <f t="shared" si="46"/>
        <v>-0.50149551345962118</v>
      </c>
      <c r="AM41" s="29" t="e">
        <f t="shared" si="47"/>
        <v>#N/A</v>
      </c>
      <c r="AN41" s="29" t="e">
        <f t="shared" si="48"/>
        <v>#N/A</v>
      </c>
      <c r="AO41" s="29" t="e">
        <f t="shared" si="49"/>
        <v>#N/A</v>
      </c>
      <c r="AP41" s="29" t="e">
        <f t="shared" si="50"/>
        <v>#N/A</v>
      </c>
      <c r="AQ41" s="29" t="e">
        <f t="shared" si="51"/>
        <v>#N/A</v>
      </c>
      <c r="AR41" s="29" t="e">
        <f t="shared" si="52"/>
        <v>#N/A</v>
      </c>
      <c r="AS41" s="29" t="e">
        <f t="shared" si="53"/>
        <v>#N/A</v>
      </c>
      <c r="AT41" s="29" t="e">
        <f t="shared" si="54"/>
        <v>#N/A</v>
      </c>
      <c r="AU41" s="29" t="e">
        <f t="shared" si="55"/>
        <v>#N/A</v>
      </c>
      <c r="AV41" s="29" t="e">
        <f t="shared" si="56"/>
        <v>#N/A</v>
      </c>
      <c r="AW41" s="29" t="e">
        <f t="shared" si="57"/>
        <v>#N/A</v>
      </c>
      <c r="AX41" s="29" t="e">
        <f t="shared" si="58"/>
        <v>#N/A</v>
      </c>
      <c r="AY41" s="29" t="e">
        <f t="shared" si="59"/>
        <v>#N/A</v>
      </c>
      <c r="AZ41" s="29" t="e">
        <f t="shared" si="60"/>
        <v>#N/A</v>
      </c>
      <c r="BA41" s="29" t="e">
        <f t="shared" si="61"/>
        <v>#N/A</v>
      </c>
      <c r="BB41" s="29" t="e">
        <f t="shared" si="62"/>
        <v>#N/A</v>
      </c>
      <c r="BC41" s="29" t="e">
        <f t="shared" si="63"/>
        <v>#N/A</v>
      </c>
      <c r="BD41" s="29" t="e">
        <f t="shared" si="64"/>
        <v>#N/A</v>
      </c>
      <c r="BE41" s="29" t="e">
        <f t="shared" si="65"/>
        <v>#N/A</v>
      </c>
      <c r="BF41" s="29" t="e">
        <f t="shared" si="66"/>
        <v>#N/A</v>
      </c>
      <c r="BG41" s="29" t="e">
        <f t="shared" si="67"/>
        <v>#N/A</v>
      </c>
      <c r="BH41" s="29" t="e">
        <f t="shared" si="68"/>
        <v>#N/A</v>
      </c>
      <c r="BI41" s="29" t="e">
        <f t="shared" si="69"/>
        <v>#N/A</v>
      </c>
      <c r="BJ41" s="29" t="e">
        <f t="shared" si="70"/>
        <v>#N/A</v>
      </c>
      <c r="BK41" s="29" t="e">
        <f t="shared" si="71"/>
        <v>#N/A</v>
      </c>
    </row>
    <row r="42" spans="2:63" x14ac:dyDescent="0.25">
      <c r="B42" s="5" t="s">
        <v>65</v>
      </c>
      <c r="C42" s="38"/>
      <c r="D42" s="2"/>
      <c r="E42" s="2"/>
      <c r="F42" s="5" t="str">
        <f t="shared" si="37"/>
        <v>X</v>
      </c>
      <c r="G42" s="38"/>
      <c r="H42" s="2"/>
      <c r="I42" t="s">
        <v>65</v>
      </c>
      <c r="J42" t="e">
        <f t="shared" si="38"/>
        <v>#N/A</v>
      </c>
      <c r="K42" t="e">
        <f t="shared" si="39"/>
        <v>#N/A</v>
      </c>
      <c r="M42" t="str">
        <f t="shared" si="40"/>
        <v>X</v>
      </c>
      <c r="N42" t="e">
        <f t="shared" si="41"/>
        <v>#N/A</v>
      </c>
      <c r="O42">
        <v>0</v>
      </c>
      <c r="P42" t="e">
        <f t="shared" si="35"/>
        <v>#N/A</v>
      </c>
      <c r="AG42" s="25" t="str">
        <f t="shared" si="72"/>
        <v>X</v>
      </c>
      <c r="AH42" s="29" t="e">
        <f t="shared" si="42"/>
        <v>#N/A</v>
      </c>
      <c r="AI42" s="29" t="e">
        <f t="shared" si="43"/>
        <v>#N/A</v>
      </c>
      <c r="AJ42" s="29" t="e">
        <f t="shared" si="44"/>
        <v>#N/A</v>
      </c>
      <c r="AK42" s="29" t="e">
        <f t="shared" si="45"/>
        <v>#N/A</v>
      </c>
      <c r="AL42" s="29" t="e">
        <f t="shared" si="46"/>
        <v>#N/A</v>
      </c>
      <c r="AM42" s="29" t="e">
        <f t="shared" si="47"/>
        <v>#N/A</v>
      </c>
      <c r="AN42" s="29" t="e">
        <f t="shared" si="48"/>
        <v>#N/A</v>
      </c>
      <c r="AO42" s="29" t="e">
        <f t="shared" si="49"/>
        <v>#N/A</v>
      </c>
      <c r="AP42" s="29" t="e">
        <f t="shared" si="50"/>
        <v>#N/A</v>
      </c>
      <c r="AQ42" s="29" t="e">
        <f t="shared" si="51"/>
        <v>#N/A</v>
      </c>
      <c r="AR42" s="29" t="e">
        <f t="shared" si="52"/>
        <v>#N/A</v>
      </c>
      <c r="AS42" s="29" t="e">
        <f t="shared" si="53"/>
        <v>#N/A</v>
      </c>
      <c r="AT42" s="29" t="e">
        <f t="shared" si="54"/>
        <v>#N/A</v>
      </c>
      <c r="AU42" s="29" t="e">
        <f t="shared" si="55"/>
        <v>#N/A</v>
      </c>
      <c r="AV42" s="29" t="e">
        <f t="shared" si="56"/>
        <v>#N/A</v>
      </c>
      <c r="AW42" s="29" t="e">
        <f t="shared" si="57"/>
        <v>#N/A</v>
      </c>
      <c r="AX42" s="29" t="e">
        <f t="shared" si="58"/>
        <v>#N/A</v>
      </c>
      <c r="AY42" s="29" t="e">
        <f t="shared" si="59"/>
        <v>#N/A</v>
      </c>
      <c r="AZ42" s="29" t="e">
        <f t="shared" si="60"/>
        <v>#N/A</v>
      </c>
      <c r="BA42" s="29" t="e">
        <f t="shared" si="61"/>
        <v>#N/A</v>
      </c>
      <c r="BB42" s="29" t="e">
        <f t="shared" si="62"/>
        <v>#N/A</v>
      </c>
      <c r="BC42" s="29" t="e">
        <f t="shared" si="63"/>
        <v>#N/A</v>
      </c>
      <c r="BD42" s="29" t="e">
        <f t="shared" si="64"/>
        <v>#N/A</v>
      </c>
      <c r="BE42" s="29" t="e">
        <f t="shared" si="65"/>
        <v>#N/A</v>
      </c>
      <c r="BF42" s="29" t="e">
        <f t="shared" si="66"/>
        <v>#N/A</v>
      </c>
      <c r="BG42" s="29" t="e">
        <f t="shared" si="67"/>
        <v>#N/A</v>
      </c>
      <c r="BH42" s="29" t="e">
        <f t="shared" si="68"/>
        <v>#N/A</v>
      </c>
      <c r="BI42" s="29" t="e">
        <f t="shared" si="69"/>
        <v>#N/A</v>
      </c>
      <c r="BJ42" s="29" t="e">
        <f t="shared" si="70"/>
        <v>#N/A</v>
      </c>
      <c r="BK42" s="29" t="e">
        <f t="shared" si="71"/>
        <v>#N/A</v>
      </c>
    </row>
    <row r="43" spans="2:63" x14ac:dyDescent="0.25">
      <c r="B43" s="5" t="s">
        <v>66</v>
      </c>
      <c r="C43" s="38"/>
      <c r="D43" s="2"/>
      <c r="E43" s="2"/>
      <c r="F43" s="5" t="str">
        <f t="shared" si="37"/>
        <v>X</v>
      </c>
      <c r="G43" s="38"/>
      <c r="H43" s="2"/>
      <c r="I43" t="s">
        <v>66</v>
      </c>
      <c r="J43" t="e">
        <f t="shared" si="38"/>
        <v>#N/A</v>
      </c>
      <c r="K43" t="e">
        <f t="shared" si="39"/>
        <v>#N/A</v>
      </c>
      <c r="M43" t="str">
        <f t="shared" si="40"/>
        <v>X</v>
      </c>
      <c r="N43" t="e">
        <f t="shared" si="41"/>
        <v>#N/A</v>
      </c>
      <c r="O43">
        <v>0</v>
      </c>
      <c r="P43" t="e">
        <f t="shared" si="35"/>
        <v>#N/A</v>
      </c>
      <c r="AG43" s="25" t="str">
        <f t="shared" si="72"/>
        <v>X</v>
      </c>
      <c r="AH43" s="29" t="e">
        <f t="shared" si="42"/>
        <v>#N/A</v>
      </c>
      <c r="AI43" s="29" t="e">
        <f t="shared" si="43"/>
        <v>#N/A</v>
      </c>
      <c r="AJ43" s="29" t="e">
        <f t="shared" si="44"/>
        <v>#N/A</v>
      </c>
      <c r="AK43" s="29" t="e">
        <f t="shared" si="45"/>
        <v>#N/A</v>
      </c>
      <c r="AL43" s="29" t="e">
        <f t="shared" si="46"/>
        <v>#N/A</v>
      </c>
      <c r="AM43" s="29" t="e">
        <f t="shared" si="47"/>
        <v>#N/A</v>
      </c>
      <c r="AN43" s="29" t="e">
        <f t="shared" si="48"/>
        <v>#N/A</v>
      </c>
      <c r="AO43" s="29" t="e">
        <f t="shared" si="49"/>
        <v>#N/A</v>
      </c>
      <c r="AP43" s="29" t="e">
        <f t="shared" si="50"/>
        <v>#N/A</v>
      </c>
      <c r="AQ43" s="29" t="e">
        <f t="shared" si="51"/>
        <v>#N/A</v>
      </c>
      <c r="AR43" s="29" t="e">
        <f t="shared" si="52"/>
        <v>#N/A</v>
      </c>
      <c r="AS43" s="29" t="e">
        <f t="shared" si="53"/>
        <v>#N/A</v>
      </c>
      <c r="AT43" s="29" t="e">
        <f t="shared" si="54"/>
        <v>#N/A</v>
      </c>
      <c r="AU43" s="29" t="e">
        <f t="shared" si="55"/>
        <v>#N/A</v>
      </c>
      <c r="AV43" s="29" t="e">
        <f t="shared" si="56"/>
        <v>#N/A</v>
      </c>
      <c r="AW43" s="29" t="e">
        <f t="shared" si="57"/>
        <v>#N/A</v>
      </c>
      <c r="AX43" s="29" t="e">
        <f t="shared" si="58"/>
        <v>#N/A</v>
      </c>
      <c r="AY43" s="29" t="e">
        <f t="shared" si="59"/>
        <v>#N/A</v>
      </c>
      <c r="AZ43" s="29" t="e">
        <f t="shared" si="60"/>
        <v>#N/A</v>
      </c>
      <c r="BA43" s="29" t="e">
        <f t="shared" si="61"/>
        <v>#N/A</v>
      </c>
      <c r="BB43" s="29" t="e">
        <f t="shared" si="62"/>
        <v>#N/A</v>
      </c>
      <c r="BC43" s="29" t="e">
        <f t="shared" si="63"/>
        <v>#N/A</v>
      </c>
      <c r="BD43" s="29" t="e">
        <f t="shared" si="64"/>
        <v>#N/A</v>
      </c>
      <c r="BE43" s="29" t="e">
        <f t="shared" si="65"/>
        <v>#N/A</v>
      </c>
      <c r="BF43" s="29" t="e">
        <f t="shared" si="66"/>
        <v>#N/A</v>
      </c>
      <c r="BG43" s="29" t="e">
        <f t="shared" si="67"/>
        <v>#N/A</v>
      </c>
      <c r="BH43" s="29" t="e">
        <f t="shared" si="68"/>
        <v>#N/A</v>
      </c>
      <c r="BI43" s="29" t="e">
        <f t="shared" si="69"/>
        <v>#N/A</v>
      </c>
      <c r="BJ43" s="29" t="e">
        <f t="shared" si="70"/>
        <v>#N/A</v>
      </c>
      <c r="BK43" s="29" t="e">
        <f t="shared" si="71"/>
        <v>#N/A</v>
      </c>
    </row>
    <row r="44" spans="2:63" x14ac:dyDescent="0.25">
      <c r="B44" s="5" t="s">
        <v>67</v>
      </c>
      <c r="C44" s="38"/>
      <c r="D44" s="2"/>
      <c r="E44" s="2"/>
      <c r="F44" s="5" t="str">
        <f t="shared" si="37"/>
        <v>X</v>
      </c>
      <c r="G44" s="38"/>
      <c r="H44" s="2"/>
      <c r="I44" t="s">
        <v>67</v>
      </c>
      <c r="J44" t="e">
        <f t="shared" si="38"/>
        <v>#N/A</v>
      </c>
      <c r="K44" t="e">
        <f t="shared" si="39"/>
        <v>#N/A</v>
      </c>
      <c r="M44" t="str">
        <f t="shared" si="40"/>
        <v>X</v>
      </c>
      <c r="N44" t="e">
        <f t="shared" si="41"/>
        <v>#N/A</v>
      </c>
      <c r="O44">
        <v>0</v>
      </c>
      <c r="P44" t="e">
        <f t="shared" si="35"/>
        <v>#N/A</v>
      </c>
      <c r="AG44" s="25" t="str">
        <f t="shared" si="72"/>
        <v>X</v>
      </c>
      <c r="AH44" s="29" t="e">
        <f t="shared" si="42"/>
        <v>#N/A</v>
      </c>
      <c r="AI44" s="29" t="e">
        <f t="shared" si="43"/>
        <v>#N/A</v>
      </c>
      <c r="AJ44" s="29" t="e">
        <f t="shared" si="44"/>
        <v>#N/A</v>
      </c>
      <c r="AK44" s="29" t="e">
        <f t="shared" si="45"/>
        <v>#N/A</v>
      </c>
      <c r="AL44" s="29" t="e">
        <f t="shared" si="46"/>
        <v>#N/A</v>
      </c>
      <c r="AM44" s="29" t="e">
        <f t="shared" si="47"/>
        <v>#N/A</v>
      </c>
      <c r="AN44" s="29" t="e">
        <f t="shared" si="48"/>
        <v>#N/A</v>
      </c>
      <c r="AO44" s="29" t="e">
        <f t="shared" si="49"/>
        <v>#N/A</v>
      </c>
      <c r="AP44" s="29" t="e">
        <f t="shared" si="50"/>
        <v>#N/A</v>
      </c>
      <c r="AQ44" s="29" t="e">
        <f t="shared" si="51"/>
        <v>#N/A</v>
      </c>
      <c r="AR44" s="29" t="e">
        <f t="shared" si="52"/>
        <v>#N/A</v>
      </c>
      <c r="AS44" s="29" t="e">
        <f t="shared" si="53"/>
        <v>#N/A</v>
      </c>
      <c r="AT44" s="29" t="e">
        <f t="shared" si="54"/>
        <v>#N/A</v>
      </c>
      <c r="AU44" s="29" t="e">
        <f t="shared" si="55"/>
        <v>#N/A</v>
      </c>
      <c r="AV44" s="29" t="e">
        <f t="shared" si="56"/>
        <v>#N/A</v>
      </c>
      <c r="AW44" s="29" t="e">
        <f t="shared" si="57"/>
        <v>#N/A</v>
      </c>
      <c r="AX44" s="29" t="e">
        <f t="shared" si="58"/>
        <v>#N/A</v>
      </c>
      <c r="AY44" s="29" t="e">
        <f t="shared" si="59"/>
        <v>#N/A</v>
      </c>
      <c r="AZ44" s="29" t="e">
        <f t="shared" si="60"/>
        <v>#N/A</v>
      </c>
      <c r="BA44" s="29" t="e">
        <f t="shared" si="61"/>
        <v>#N/A</v>
      </c>
      <c r="BB44" s="29" t="e">
        <f t="shared" si="62"/>
        <v>#N/A</v>
      </c>
      <c r="BC44" s="29" t="e">
        <f t="shared" si="63"/>
        <v>#N/A</v>
      </c>
      <c r="BD44" s="29" t="e">
        <f t="shared" si="64"/>
        <v>#N/A</v>
      </c>
      <c r="BE44" s="29" t="e">
        <f t="shared" si="65"/>
        <v>#N/A</v>
      </c>
      <c r="BF44" s="29" t="e">
        <f t="shared" si="66"/>
        <v>#N/A</v>
      </c>
      <c r="BG44" s="29" t="e">
        <f t="shared" si="67"/>
        <v>#N/A</v>
      </c>
      <c r="BH44" s="29" t="e">
        <f t="shared" si="68"/>
        <v>#N/A</v>
      </c>
      <c r="BI44" s="29" t="e">
        <f t="shared" si="69"/>
        <v>#N/A</v>
      </c>
      <c r="BJ44" s="29" t="e">
        <f t="shared" si="70"/>
        <v>#N/A</v>
      </c>
      <c r="BK44" s="29" t="e">
        <f t="shared" si="71"/>
        <v>#N/A</v>
      </c>
    </row>
    <row r="45" spans="2:63" x14ac:dyDescent="0.25">
      <c r="B45" s="5" t="s">
        <v>68</v>
      </c>
      <c r="C45" s="38"/>
      <c r="D45" s="2"/>
      <c r="E45" s="2"/>
      <c r="F45" s="5" t="str">
        <f t="shared" si="37"/>
        <v>X</v>
      </c>
      <c r="G45" s="38"/>
      <c r="H45" s="2"/>
      <c r="I45" t="s">
        <v>68</v>
      </c>
      <c r="J45" t="e">
        <f t="shared" si="38"/>
        <v>#N/A</v>
      </c>
      <c r="K45" t="e">
        <f t="shared" si="39"/>
        <v>#N/A</v>
      </c>
      <c r="M45" t="str">
        <f t="shared" si="40"/>
        <v>X</v>
      </c>
      <c r="N45" t="e">
        <f t="shared" si="41"/>
        <v>#N/A</v>
      </c>
      <c r="O45">
        <v>0</v>
      </c>
      <c r="P45" t="e">
        <f t="shared" si="35"/>
        <v>#N/A</v>
      </c>
      <c r="AG45" s="25" t="str">
        <f t="shared" si="72"/>
        <v>X</v>
      </c>
      <c r="AH45" s="29" t="e">
        <f t="shared" si="42"/>
        <v>#N/A</v>
      </c>
      <c r="AI45" s="29" t="e">
        <f t="shared" si="43"/>
        <v>#N/A</v>
      </c>
      <c r="AJ45" s="29" t="e">
        <f t="shared" si="44"/>
        <v>#N/A</v>
      </c>
      <c r="AK45" s="29" t="e">
        <f t="shared" si="45"/>
        <v>#N/A</v>
      </c>
      <c r="AL45" s="29" t="e">
        <f t="shared" si="46"/>
        <v>#N/A</v>
      </c>
      <c r="AM45" s="29" t="e">
        <f t="shared" si="47"/>
        <v>#N/A</v>
      </c>
      <c r="AN45" s="29" t="e">
        <f t="shared" si="48"/>
        <v>#N/A</v>
      </c>
      <c r="AO45" s="29" t="e">
        <f t="shared" si="49"/>
        <v>#N/A</v>
      </c>
      <c r="AP45" s="29" t="e">
        <f t="shared" si="50"/>
        <v>#N/A</v>
      </c>
      <c r="AQ45" s="29" t="e">
        <f t="shared" si="51"/>
        <v>#N/A</v>
      </c>
      <c r="AR45" s="29" t="e">
        <f t="shared" si="52"/>
        <v>#N/A</v>
      </c>
      <c r="AS45" s="29" t="e">
        <f t="shared" si="53"/>
        <v>#N/A</v>
      </c>
      <c r="AT45" s="29" t="e">
        <f t="shared" si="54"/>
        <v>#N/A</v>
      </c>
      <c r="AU45" s="29" t="e">
        <f t="shared" si="55"/>
        <v>#N/A</v>
      </c>
      <c r="AV45" s="29" t="e">
        <f t="shared" si="56"/>
        <v>#N/A</v>
      </c>
      <c r="AW45" s="29" t="e">
        <f t="shared" si="57"/>
        <v>#N/A</v>
      </c>
      <c r="AX45" s="29" t="e">
        <f t="shared" si="58"/>
        <v>#N/A</v>
      </c>
      <c r="AY45" s="29" t="e">
        <f t="shared" si="59"/>
        <v>#N/A</v>
      </c>
      <c r="AZ45" s="29" t="e">
        <f t="shared" si="60"/>
        <v>#N/A</v>
      </c>
      <c r="BA45" s="29" t="e">
        <f t="shared" si="61"/>
        <v>#N/A</v>
      </c>
      <c r="BB45" s="29" t="e">
        <f t="shared" si="62"/>
        <v>#N/A</v>
      </c>
      <c r="BC45" s="29" t="e">
        <f t="shared" si="63"/>
        <v>#N/A</v>
      </c>
      <c r="BD45" s="29" t="e">
        <f t="shared" si="64"/>
        <v>#N/A</v>
      </c>
      <c r="BE45" s="29" t="e">
        <f t="shared" si="65"/>
        <v>#N/A</v>
      </c>
      <c r="BF45" s="29" t="e">
        <f t="shared" si="66"/>
        <v>#N/A</v>
      </c>
      <c r="BG45" s="29" t="e">
        <f t="shared" si="67"/>
        <v>#N/A</v>
      </c>
      <c r="BH45" s="29" t="e">
        <f t="shared" si="68"/>
        <v>#N/A</v>
      </c>
      <c r="BI45" s="29" t="e">
        <f t="shared" si="69"/>
        <v>#N/A</v>
      </c>
      <c r="BJ45" s="29" t="e">
        <f t="shared" si="70"/>
        <v>#N/A</v>
      </c>
      <c r="BK45" s="29" t="e">
        <f t="shared" si="71"/>
        <v>#N/A</v>
      </c>
    </row>
    <row r="46" spans="2:63" x14ac:dyDescent="0.25">
      <c r="B46" s="5" t="s">
        <v>69</v>
      </c>
      <c r="C46" s="38"/>
      <c r="D46" s="2"/>
      <c r="E46" s="2"/>
      <c r="F46" s="5" t="str">
        <f t="shared" si="37"/>
        <v>X</v>
      </c>
      <c r="G46" s="38"/>
      <c r="H46" s="2"/>
      <c r="I46" t="s">
        <v>69</v>
      </c>
      <c r="J46" t="e">
        <f t="shared" si="38"/>
        <v>#N/A</v>
      </c>
      <c r="K46" t="e">
        <f t="shared" si="39"/>
        <v>#N/A</v>
      </c>
      <c r="M46" t="str">
        <f t="shared" si="40"/>
        <v>X</v>
      </c>
      <c r="N46" t="e">
        <f t="shared" si="41"/>
        <v>#N/A</v>
      </c>
      <c r="O46">
        <v>0</v>
      </c>
      <c r="P46" t="e">
        <f t="shared" si="35"/>
        <v>#N/A</v>
      </c>
      <c r="AG46" s="25" t="str">
        <f t="shared" si="72"/>
        <v>X</v>
      </c>
      <c r="AH46" s="29" t="e">
        <f t="shared" si="42"/>
        <v>#N/A</v>
      </c>
      <c r="AI46" s="29" t="e">
        <f t="shared" si="43"/>
        <v>#N/A</v>
      </c>
      <c r="AJ46" s="29" t="e">
        <f t="shared" si="44"/>
        <v>#N/A</v>
      </c>
      <c r="AK46" s="29" t="e">
        <f t="shared" si="45"/>
        <v>#N/A</v>
      </c>
      <c r="AL46" s="29" t="e">
        <f t="shared" si="46"/>
        <v>#N/A</v>
      </c>
      <c r="AM46" s="29" t="e">
        <f t="shared" si="47"/>
        <v>#N/A</v>
      </c>
      <c r="AN46" s="29" t="e">
        <f t="shared" si="48"/>
        <v>#N/A</v>
      </c>
      <c r="AO46" s="29" t="e">
        <f t="shared" si="49"/>
        <v>#N/A</v>
      </c>
      <c r="AP46" s="29" t="e">
        <f t="shared" si="50"/>
        <v>#N/A</v>
      </c>
      <c r="AQ46" s="29" t="e">
        <f t="shared" si="51"/>
        <v>#N/A</v>
      </c>
      <c r="AR46" s="29" t="e">
        <f t="shared" si="52"/>
        <v>#N/A</v>
      </c>
      <c r="AS46" s="29" t="e">
        <f t="shared" si="53"/>
        <v>#N/A</v>
      </c>
      <c r="AT46" s="29" t="e">
        <f t="shared" si="54"/>
        <v>#N/A</v>
      </c>
      <c r="AU46" s="29" t="e">
        <f t="shared" si="55"/>
        <v>#N/A</v>
      </c>
      <c r="AV46" s="29" t="e">
        <f t="shared" si="56"/>
        <v>#N/A</v>
      </c>
      <c r="AW46" s="29" t="e">
        <f t="shared" si="57"/>
        <v>#N/A</v>
      </c>
      <c r="AX46" s="29" t="e">
        <f t="shared" si="58"/>
        <v>#N/A</v>
      </c>
      <c r="AY46" s="29" t="e">
        <f t="shared" si="59"/>
        <v>#N/A</v>
      </c>
      <c r="AZ46" s="29" t="e">
        <f t="shared" si="60"/>
        <v>#N/A</v>
      </c>
      <c r="BA46" s="29" t="e">
        <f t="shared" si="61"/>
        <v>#N/A</v>
      </c>
      <c r="BB46" s="29" t="e">
        <f t="shared" si="62"/>
        <v>#N/A</v>
      </c>
      <c r="BC46" s="29" t="e">
        <f t="shared" si="63"/>
        <v>#N/A</v>
      </c>
      <c r="BD46" s="29" t="e">
        <f t="shared" si="64"/>
        <v>#N/A</v>
      </c>
      <c r="BE46" s="29" t="e">
        <f t="shared" si="65"/>
        <v>#N/A</v>
      </c>
      <c r="BF46" s="29" t="e">
        <f t="shared" si="66"/>
        <v>#N/A</v>
      </c>
      <c r="BG46" s="29" t="e">
        <f t="shared" si="67"/>
        <v>#N/A</v>
      </c>
      <c r="BH46" s="29" t="e">
        <f t="shared" si="68"/>
        <v>#N/A</v>
      </c>
      <c r="BI46" s="29" t="e">
        <f t="shared" si="69"/>
        <v>#N/A</v>
      </c>
      <c r="BJ46" s="29" t="e">
        <f t="shared" si="70"/>
        <v>#N/A</v>
      </c>
      <c r="BK46" s="29" t="e">
        <f t="shared" si="71"/>
        <v>#N/A</v>
      </c>
    </row>
    <row r="47" spans="2:63" x14ac:dyDescent="0.25">
      <c r="B47" s="5" t="s">
        <v>70</v>
      </c>
      <c r="C47" s="38"/>
      <c r="D47" s="2"/>
      <c r="E47" s="2"/>
      <c r="F47" s="5" t="str">
        <f t="shared" si="37"/>
        <v>X</v>
      </c>
      <c r="G47" s="38"/>
      <c r="H47" s="2"/>
      <c r="I47" t="s">
        <v>70</v>
      </c>
      <c r="J47" t="e">
        <f t="shared" si="38"/>
        <v>#N/A</v>
      </c>
      <c r="K47" t="e">
        <f t="shared" si="39"/>
        <v>#N/A</v>
      </c>
      <c r="M47" t="str">
        <f t="shared" si="40"/>
        <v>X</v>
      </c>
      <c r="N47" t="e">
        <f t="shared" si="41"/>
        <v>#N/A</v>
      </c>
      <c r="O47">
        <v>0</v>
      </c>
      <c r="P47" t="e">
        <f t="shared" si="35"/>
        <v>#N/A</v>
      </c>
      <c r="AG47" s="25" t="str">
        <f t="shared" si="72"/>
        <v>X</v>
      </c>
      <c r="AH47" s="29" t="e">
        <f t="shared" si="42"/>
        <v>#N/A</v>
      </c>
      <c r="AI47" s="29" t="e">
        <f t="shared" si="43"/>
        <v>#N/A</v>
      </c>
      <c r="AJ47" s="29" t="e">
        <f t="shared" si="44"/>
        <v>#N/A</v>
      </c>
      <c r="AK47" s="29" t="e">
        <f t="shared" si="45"/>
        <v>#N/A</v>
      </c>
      <c r="AL47" s="29" t="e">
        <f t="shared" si="46"/>
        <v>#N/A</v>
      </c>
      <c r="AM47" s="29" t="e">
        <f t="shared" si="47"/>
        <v>#N/A</v>
      </c>
      <c r="AN47" s="29" t="e">
        <f t="shared" si="48"/>
        <v>#N/A</v>
      </c>
      <c r="AO47" s="29" t="e">
        <f t="shared" si="49"/>
        <v>#N/A</v>
      </c>
      <c r="AP47" s="29" t="e">
        <f t="shared" si="50"/>
        <v>#N/A</v>
      </c>
      <c r="AQ47" s="29" t="e">
        <f t="shared" si="51"/>
        <v>#N/A</v>
      </c>
      <c r="AR47" s="29" t="e">
        <f t="shared" si="52"/>
        <v>#N/A</v>
      </c>
      <c r="AS47" s="29" t="e">
        <f t="shared" si="53"/>
        <v>#N/A</v>
      </c>
      <c r="AT47" s="29" t="e">
        <f t="shared" si="54"/>
        <v>#N/A</v>
      </c>
      <c r="AU47" s="29" t="e">
        <f t="shared" si="55"/>
        <v>#N/A</v>
      </c>
      <c r="AV47" s="29" t="e">
        <f t="shared" si="56"/>
        <v>#N/A</v>
      </c>
      <c r="AW47" s="29" t="e">
        <f t="shared" si="57"/>
        <v>#N/A</v>
      </c>
      <c r="AX47" s="29" t="e">
        <f t="shared" si="58"/>
        <v>#N/A</v>
      </c>
      <c r="AY47" s="29" t="e">
        <f t="shared" si="59"/>
        <v>#N/A</v>
      </c>
      <c r="AZ47" s="29" t="e">
        <f t="shared" si="60"/>
        <v>#N/A</v>
      </c>
      <c r="BA47" s="29" t="e">
        <f t="shared" si="61"/>
        <v>#N/A</v>
      </c>
      <c r="BB47" s="29" t="e">
        <f t="shared" si="62"/>
        <v>#N/A</v>
      </c>
      <c r="BC47" s="29" t="e">
        <f t="shared" si="63"/>
        <v>#N/A</v>
      </c>
      <c r="BD47" s="29" t="e">
        <f t="shared" si="64"/>
        <v>#N/A</v>
      </c>
      <c r="BE47" s="29" t="e">
        <f t="shared" si="65"/>
        <v>#N/A</v>
      </c>
      <c r="BF47" s="29" t="e">
        <f t="shared" si="66"/>
        <v>#N/A</v>
      </c>
      <c r="BG47" s="29" t="e">
        <f t="shared" si="67"/>
        <v>#N/A</v>
      </c>
      <c r="BH47" s="29" t="e">
        <f t="shared" si="68"/>
        <v>#N/A</v>
      </c>
      <c r="BI47" s="29" t="e">
        <f t="shared" si="69"/>
        <v>#N/A</v>
      </c>
      <c r="BJ47" s="29" t="e">
        <f t="shared" si="70"/>
        <v>#N/A</v>
      </c>
      <c r="BK47" s="29" t="e">
        <f t="shared" si="71"/>
        <v>#N/A</v>
      </c>
    </row>
    <row r="48" spans="2:63" x14ac:dyDescent="0.25">
      <c r="B48" s="5" t="s">
        <v>71</v>
      </c>
      <c r="C48" s="38"/>
      <c r="D48" s="2"/>
      <c r="E48" s="2"/>
      <c r="F48" s="5" t="str">
        <f t="shared" si="37"/>
        <v>X</v>
      </c>
      <c r="G48" s="38"/>
      <c r="H48" s="2"/>
      <c r="I48" t="s">
        <v>71</v>
      </c>
      <c r="J48" t="e">
        <f t="shared" si="38"/>
        <v>#N/A</v>
      </c>
      <c r="K48" t="e">
        <f t="shared" si="39"/>
        <v>#N/A</v>
      </c>
      <c r="M48" t="str">
        <f t="shared" si="40"/>
        <v>X</v>
      </c>
      <c r="N48" t="e">
        <f t="shared" si="41"/>
        <v>#N/A</v>
      </c>
      <c r="O48">
        <v>0</v>
      </c>
      <c r="P48" t="e">
        <f t="shared" si="35"/>
        <v>#N/A</v>
      </c>
      <c r="AG48" s="25" t="str">
        <f t="shared" si="72"/>
        <v>X</v>
      </c>
      <c r="AH48" s="29" t="e">
        <f t="shared" si="42"/>
        <v>#N/A</v>
      </c>
      <c r="AI48" s="29" t="e">
        <f t="shared" si="43"/>
        <v>#N/A</v>
      </c>
      <c r="AJ48" s="29" t="e">
        <f t="shared" si="44"/>
        <v>#N/A</v>
      </c>
      <c r="AK48" s="29" t="e">
        <f t="shared" si="45"/>
        <v>#N/A</v>
      </c>
      <c r="AL48" s="29" t="e">
        <f t="shared" si="46"/>
        <v>#N/A</v>
      </c>
      <c r="AM48" s="29" t="e">
        <f t="shared" si="47"/>
        <v>#N/A</v>
      </c>
      <c r="AN48" s="29" t="e">
        <f t="shared" si="48"/>
        <v>#N/A</v>
      </c>
      <c r="AO48" s="29" t="e">
        <f t="shared" si="49"/>
        <v>#N/A</v>
      </c>
      <c r="AP48" s="29" t="e">
        <f t="shared" si="50"/>
        <v>#N/A</v>
      </c>
      <c r="AQ48" s="29" t="e">
        <f t="shared" si="51"/>
        <v>#N/A</v>
      </c>
      <c r="AR48" s="29" t="e">
        <f t="shared" si="52"/>
        <v>#N/A</v>
      </c>
      <c r="AS48" s="29" t="e">
        <f t="shared" si="53"/>
        <v>#N/A</v>
      </c>
      <c r="AT48" s="29" t="e">
        <f t="shared" si="54"/>
        <v>#N/A</v>
      </c>
      <c r="AU48" s="29" t="e">
        <f t="shared" si="55"/>
        <v>#N/A</v>
      </c>
      <c r="AV48" s="29" t="e">
        <f t="shared" si="56"/>
        <v>#N/A</v>
      </c>
      <c r="AW48" s="29" t="e">
        <f t="shared" si="57"/>
        <v>#N/A</v>
      </c>
      <c r="AX48" s="29" t="e">
        <f t="shared" si="58"/>
        <v>#N/A</v>
      </c>
      <c r="AY48" s="29" t="e">
        <f t="shared" si="59"/>
        <v>#N/A</v>
      </c>
      <c r="AZ48" s="29" t="e">
        <f t="shared" si="60"/>
        <v>#N/A</v>
      </c>
      <c r="BA48" s="29" t="e">
        <f t="shared" si="61"/>
        <v>#N/A</v>
      </c>
      <c r="BB48" s="29" t="e">
        <f t="shared" si="62"/>
        <v>#N/A</v>
      </c>
      <c r="BC48" s="29" t="e">
        <f t="shared" si="63"/>
        <v>#N/A</v>
      </c>
      <c r="BD48" s="29" t="e">
        <f t="shared" si="64"/>
        <v>#N/A</v>
      </c>
      <c r="BE48" s="29" t="e">
        <f t="shared" si="65"/>
        <v>#N/A</v>
      </c>
      <c r="BF48" s="29" t="e">
        <f t="shared" si="66"/>
        <v>#N/A</v>
      </c>
      <c r="BG48" s="29" t="e">
        <f t="shared" si="67"/>
        <v>#N/A</v>
      </c>
      <c r="BH48" s="29" t="e">
        <f t="shared" si="68"/>
        <v>#N/A</v>
      </c>
      <c r="BI48" s="29" t="e">
        <f t="shared" si="69"/>
        <v>#N/A</v>
      </c>
      <c r="BJ48" s="29" t="e">
        <f t="shared" si="70"/>
        <v>#N/A</v>
      </c>
      <c r="BK48" s="29" t="e">
        <f t="shared" si="71"/>
        <v>#N/A</v>
      </c>
    </row>
    <row r="49" spans="2:63" x14ac:dyDescent="0.25">
      <c r="B49" s="5"/>
      <c r="C49" s="1"/>
      <c r="D49" s="2"/>
      <c r="E49" s="2"/>
      <c r="F49" s="2"/>
      <c r="G49" s="2"/>
      <c r="H49" s="2"/>
      <c r="I49" s="7"/>
      <c r="J49" s="3"/>
      <c r="AG49" s="25" t="str">
        <f t="shared" si="72"/>
        <v>X</v>
      </c>
      <c r="AH49" s="29" t="e">
        <f t="shared" si="42"/>
        <v>#N/A</v>
      </c>
      <c r="AI49" s="29" t="e">
        <f t="shared" si="43"/>
        <v>#N/A</v>
      </c>
      <c r="AJ49" s="29" t="e">
        <f t="shared" si="44"/>
        <v>#N/A</v>
      </c>
      <c r="AK49" s="29" t="e">
        <f t="shared" si="45"/>
        <v>#N/A</v>
      </c>
      <c r="AL49" s="29" t="e">
        <f t="shared" si="46"/>
        <v>#N/A</v>
      </c>
      <c r="AM49" s="29" t="e">
        <f t="shared" si="47"/>
        <v>#N/A</v>
      </c>
      <c r="AN49" s="29" t="e">
        <f t="shared" si="48"/>
        <v>#N/A</v>
      </c>
      <c r="AO49" s="29" t="e">
        <f t="shared" si="49"/>
        <v>#N/A</v>
      </c>
      <c r="AP49" s="29" t="e">
        <f t="shared" si="50"/>
        <v>#N/A</v>
      </c>
      <c r="AQ49" s="29" t="e">
        <f t="shared" si="51"/>
        <v>#N/A</v>
      </c>
      <c r="AR49" s="29" t="e">
        <f t="shared" si="52"/>
        <v>#N/A</v>
      </c>
      <c r="AS49" s="29" t="e">
        <f t="shared" si="53"/>
        <v>#N/A</v>
      </c>
      <c r="AT49" s="29" t="e">
        <f t="shared" si="54"/>
        <v>#N/A</v>
      </c>
      <c r="AU49" s="29" t="e">
        <f t="shared" si="55"/>
        <v>#N/A</v>
      </c>
      <c r="AV49" s="29" t="e">
        <f t="shared" si="56"/>
        <v>#N/A</v>
      </c>
      <c r="AW49" s="29" t="e">
        <f t="shared" si="57"/>
        <v>#N/A</v>
      </c>
      <c r="AX49" s="29" t="e">
        <f t="shared" si="58"/>
        <v>#N/A</v>
      </c>
      <c r="AY49" s="29" t="e">
        <f t="shared" si="59"/>
        <v>#N/A</v>
      </c>
      <c r="AZ49" s="29" t="e">
        <f t="shared" si="60"/>
        <v>#N/A</v>
      </c>
      <c r="BA49" s="29" t="e">
        <f t="shared" si="61"/>
        <v>#N/A</v>
      </c>
      <c r="BB49" s="29" t="e">
        <f t="shared" si="62"/>
        <v>#N/A</v>
      </c>
      <c r="BC49" s="29" t="e">
        <f t="shared" si="63"/>
        <v>#N/A</v>
      </c>
      <c r="BD49" s="29" t="e">
        <f t="shared" si="64"/>
        <v>#N/A</v>
      </c>
      <c r="BE49" s="29" t="e">
        <f t="shared" si="65"/>
        <v>#N/A</v>
      </c>
      <c r="BF49" s="29" t="e">
        <f t="shared" si="66"/>
        <v>#N/A</v>
      </c>
      <c r="BG49" s="29" t="e">
        <f t="shared" si="67"/>
        <v>#N/A</v>
      </c>
      <c r="BH49" s="29" t="e">
        <f t="shared" si="68"/>
        <v>#N/A</v>
      </c>
      <c r="BI49" s="29" t="e">
        <f t="shared" si="69"/>
        <v>#N/A</v>
      </c>
      <c r="BJ49" s="29" t="e">
        <f t="shared" si="70"/>
        <v>#N/A</v>
      </c>
      <c r="BK49" s="29" t="e">
        <f t="shared" si="71"/>
        <v>#N/A</v>
      </c>
    </row>
    <row r="50" spans="2:63" x14ac:dyDescent="0.25">
      <c r="AG50" s="25" t="str">
        <f t="shared" si="72"/>
        <v>X</v>
      </c>
      <c r="AH50" s="29" t="e">
        <f t="shared" si="42"/>
        <v>#N/A</v>
      </c>
      <c r="AI50" s="29" t="e">
        <f t="shared" si="43"/>
        <v>#N/A</v>
      </c>
      <c r="AJ50" s="29" t="e">
        <f t="shared" si="44"/>
        <v>#N/A</v>
      </c>
      <c r="AK50" s="29" t="e">
        <f t="shared" si="45"/>
        <v>#N/A</v>
      </c>
      <c r="AL50" s="29" t="e">
        <f t="shared" si="46"/>
        <v>#N/A</v>
      </c>
      <c r="AM50" s="29" t="e">
        <f t="shared" si="47"/>
        <v>#N/A</v>
      </c>
      <c r="AN50" s="29" t="e">
        <f t="shared" si="48"/>
        <v>#N/A</v>
      </c>
      <c r="AO50" s="29" t="e">
        <f t="shared" si="49"/>
        <v>#N/A</v>
      </c>
      <c r="AP50" s="29" t="e">
        <f t="shared" si="50"/>
        <v>#N/A</v>
      </c>
      <c r="AQ50" s="29" t="e">
        <f t="shared" si="51"/>
        <v>#N/A</v>
      </c>
      <c r="AR50" s="29" t="e">
        <f t="shared" si="52"/>
        <v>#N/A</v>
      </c>
      <c r="AS50" s="29" t="e">
        <f t="shared" si="53"/>
        <v>#N/A</v>
      </c>
      <c r="AT50" s="29" t="e">
        <f t="shared" si="54"/>
        <v>#N/A</v>
      </c>
      <c r="AU50" s="29" t="e">
        <f t="shared" si="55"/>
        <v>#N/A</v>
      </c>
      <c r="AV50" s="29" t="e">
        <f t="shared" si="56"/>
        <v>#N/A</v>
      </c>
      <c r="AW50" s="29" t="e">
        <f t="shared" si="57"/>
        <v>#N/A</v>
      </c>
      <c r="AX50" s="29" t="e">
        <f t="shared" si="58"/>
        <v>#N/A</v>
      </c>
      <c r="AY50" s="29" t="e">
        <f t="shared" si="59"/>
        <v>#N/A</v>
      </c>
      <c r="AZ50" s="29" t="e">
        <f t="shared" si="60"/>
        <v>#N/A</v>
      </c>
      <c r="BA50" s="29" t="e">
        <f t="shared" si="61"/>
        <v>#N/A</v>
      </c>
      <c r="BB50" s="29" t="e">
        <f t="shared" si="62"/>
        <v>#N/A</v>
      </c>
      <c r="BC50" s="29" t="e">
        <f t="shared" si="63"/>
        <v>#N/A</v>
      </c>
      <c r="BD50" s="29" t="e">
        <f t="shared" si="64"/>
        <v>#N/A</v>
      </c>
      <c r="BE50" s="29" t="e">
        <f t="shared" si="65"/>
        <v>#N/A</v>
      </c>
      <c r="BF50" s="29" t="e">
        <f t="shared" si="66"/>
        <v>#N/A</v>
      </c>
      <c r="BG50" s="29" t="e">
        <f t="shared" si="67"/>
        <v>#N/A</v>
      </c>
      <c r="BH50" s="29" t="e">
        <f t="shared" si="68"/>
        <v>#N/A</v>
      </c>
      <c r="BI50" s="29" t="e">
        <f t="shared" si="69"/>
        <v>#N/A</v>
      </c>
      <c r="BJ50" s="29" t="e">
        <f t="shared" si="70"/>
        <v>#N/A</v>
      </c>
      <c r="BK50" s="29" t="e">
        <f t="shared" si="71"/>
        <v>#N/A</v>
      </c>
    </row>
    <row r="51" spans="2:63" ht="15" customHeight="1" x14ac:dyDescent="0.25">
      <c r="AG51" s="25" t="str">
        <f t="shared" si="72"/>
        <v>X</v>
      </c>
      <c r="AH51" s="29" t="e">
        <f t="shared" si="42"/>
        <v>#N/A</v>
      </c>
      <c r="AI51" s="29" t="e">
        <f t="shared" si="43"/>
        <v>#N/A</v>
      </c>
      <c r="AJ51" s="29" t="e">
        <f t="shared" si="44"/>
        <v>#N/A</v>
      </c>
      <c r="AK51" s="29" t="e">
        <f t="shared" si="45"/>
        <v>#N/A</v>
      </c>
      <c r="AL51" s="29" t="e">
        <f t="shared" si="46"/>
        <v>#N/A</v>
      </c>
      <c r="AM51" s="29" t="e">
        <f t="shared" si="47"/>
        <v>#N/A</v>
      </c>
      <c r="AN51" s="29" t="e">
        <f t="shared" si="48"/>
        <v>#N/A</v>
      </c>
      <c r="AO51" s="29" t="e">
        <f t="shared" si="49"/>
        <v>#N/A</v>
      </c>
      <c r="AP51" s="29" t="e">
        <f t="shared" si="50"/>
        <v>#N/A</v>
      </c>
      <c r="AQ51" s="29" t="e">
        <f t="shared" si="51"/>
        <v>#N/A</v>
      </c>
      <c r="AR51" s="29" t="e">
        <f t="shared" si="52"/>
        <v>#N/A</v>
      </c>
      <c r="AS51" s="29" t="e">
        <f t="shared" si="53"/>
        <v>#N/A</v>
      </c>
      <c r="AT51" s="29" t="e">
        <f t="shared" si="54"/>
        <v>#N/A</v>
      </c>
      <c r="AU51" s="29" t="e">
        <f t="shared" si="55"/>
        <v>#N/A</v>
      </c>
      <c r="AV51" s="29" t="e">
        <f t="shared" si="56"/>
        <v>#N/A</v>
      </c>
      <c r="AW51" s="29" t="e">
        <f t="shared" si="57"/>
        <v>#N/A</v>
      </c>
      <c r="AX51" s="29" t="e">
        <f t="shared" si="58"/>
        <v>#N/A</v>
      </c>
      <c r="AY51" s="29" t="e">
        <f t="shared" si="59"/>
        <v>#N/A</v>
      </c>
      <c r="AZ51" s="29" t="e">
        <f t="shared" si="60"/>
        <v>#N/A</v>
      </c>
      <c r="BA51" s="29" t="e">
        <f t="shared" si="61"/>
        <v>#N/A</v>
      </c>
      <c r="BB51" s="29" t="e">
        <f t="shared" si="62"/>
        <v>#N/A</v>
      </c>
      <c r="BC51" s="29" t="e">
        <f t="shared" si="63"/>
        <v>#N/A</v>
      </c>
      <c r="BD51" s="29" t="e">
        <f t="shared" si="64"/>
        <v>#N/A</v>
      </c>
      <c r="BE51" s="29" t="e">
        <f t="shared" si="65"/>
        <v>#N/A</v>
      </c>
      <c r="BF51" s="29" t="e">
        <f t="shared" si="66"/>
        <v>#N/A</v>
      </c>
      <c r="BG51" s="29" t="e">
        <f t="shared" si="67"/>
        <v>#N/A</v>
      </c>
      <c r="BH51" s="29" t="e">
        <f t="shared" si="68"/>
        <v>#N/A</v>
      </c>
      <c r="BI51" s="29" t="e">
        <f t="shared" si="69"/>
        <v>#N/A</v>
      </c>
      <c r="BJ51" s="29" t="e">
        <f t="shared" si="70"/>
        <v>#N/A</v>
      </c>
      <c r="BK51" s="29" t="e">
        <f t="shared" si="71"/>
        <v>#N/A</v>
      </c>
    </row>
    <row r="52" spans="2:63" x14ac:dyDescent="0.25">
      <c r="AG52" s="25" t="str">
        <f t="shared" si="72"/>
        <v>X</v>
      </c>
      <c r="AH52" s="29" t="e">
        <f t="shared" si="42"/>
        <v>#N/A</v>
      </c>
      <c r="AI52" s="29" t="e">
        <f t="shared" si="43"/>
        <v>#N/A</v>
      </c>
      <c r="AJ52" s="29" t="e">
        <f t="shared" si="44"/>
        <v>#N/A</v>
      </c>
      <c r="AK52" s="29" t="e">
        <f t="shared" si="45"/>
        <v>#N/A</v>
      </c>
      <c r="AL52" s="29" t="e">
        <f t="shared" si="46"/>
        <v>#N/A</v>
      </c>
      <c r="AM52" s="29" t="e">
        <f t="shared" si="47"/>
        <v>#N/A</v>
      </c>
      <c r="AN52" s="29" t="e">
        <f t="shared" si="48"/>
        <v>#N/A</v>
      </c>
      <c r="AO52" s="29" t="e">
        <f t="shared" si="49"/>
        <v>#N/A</v>
      </c>
      <c r="AP52" s="29" t="e">
        <f t="shared" si="50"/>
        <v>#N/A</v>
      </c>
      <c r="AQ52" s="29" t="e">
        <f t="shared" si="51"/>
        <v>#N/A</v>
      </c>
      <c r="AR52" s="29" t="e">
        <f t="shared" si="52"/>
        <v>#N/A</v>
      </c>
      <c r="AS52" s="29" t="e">
        <f t="shared" si="53"/>
        <v>#N/A</v>
      </c>
      <c r="AT52" s="29" t="e">
        <f t="shared" si="54"/>
        <v>#N/A</v>
      </c>
      <c r="AU52" s="29" t="e">
        <f t="shared" si="55"/>
        <v>#N/A</v>
      </c>
      <c r="AV52" s="29" t="e">
        <f t="shared" si="56"/>
        <v>#N/A</v>
      </c>
      <c r="AW52" s="29" t="e">
        <f t="shared" si="57"/>
        <v>#N/A</v>
      </c>
      <c r="AX52" s="29" t="e">
        <f t="shared" si="58"/>
        <v>#N/A</v>
      </c>
      <c r="AY52" s="29" t="e">
        <f t="shared" si="59"/>
        <v>#N/A</v>
      </c>
      <c r="AZ52" s="29" t="e">
        <f t="shared" si="60"/>
        <v>#N/A</v>
      </c>
      <c r="BA52" s="29" t="e">
        <f t="shared" si="61"/>
        <v>#N/A</v>
      </c>
      <c r="BB52" s="29" t="e">
        <f t="shared" si="62"/>
        <v>#N/A</v>
      </c>
      <c r="BC52" s="29" t="e">
        <f t="shared" si="63"/>
        <v>#N/A</v>
      </c>
      <c r="BD52" s="29" t="e">
        <f t="shared" si="64"/>
        <v>#N/A</v>
      </c>
      <c r="BE52" s="29" t="e">
        <f t="shared" si="65"/>
        <v>#N/A</v>
      </c>
      <c r="BF52" s="29" t="e">
        <f t="shared" si="66"/>
        <v>#N/A</v>
      </c>
      <c r="BG52" s="29" t="e">
        <f t="shared" si="67"/>
        <v>#N/A</v>
      </c>
      <c r="BH52" s="29" t="e">
        <f t="shared" si="68"/>
        <v>#N/A</v>
      </c>
      <c r="BI52" s="29" t="e">
        <f t="shared" si="69"/>
        <v>#N/A</v>
      </c>
      <c r="BJ52" s="29" t="e">
        <f t="shared" si="70"/>
        <v>#N/A</v>
      </c>
      <c r="BK52" s="29" t="e">
        <f t="shared" si="71"/>
        <v>#N/A</v>
      </c>
    </row>
    <row r="53" spans="2:63" x14ac:dyDescent="0.25">
      <c r="AG53" s="25" t="str">
        <f t="shared" si="72"/>
        <v>X</v>
      </c>
      <c r="AH53" s="29" t="e">
        <f t="shared" si="42"/>
        <v>#N/A</v>
      </c>
      <c r="AI53" s="29" t="e">
        <f t="shared" si="43"/>
        <v>#N/A</v>
      </c>
      <c r="AJ53" s="29" t="e">
        <f t="shared" si="44"/>
        <v>#N/A</v>
      </c>
      <c r="AK53" s="29" t="e">
        <f t="shared" si="45"/>
        <v>#N/A</v>
      </c>
      <c r="AL53" s="29" t="e">
        <f t="shared" si="46"/>
        <v>#N/A</v>
      </c>
      <c r="AM53" s="29" t="e">
        <f t="shared" si="47"/>
        <v>#N/A</v>
      </c>
      <c r="AN53" s="29" t="e">
        <f t="shared" si="48"/>
        <v>#N/A</v>
      </c>
      <c r="AO53" s="29" t="e">
        <f t="shared" si="49"/>
        <v>#N/A</v>
      </c>
      <c r="AP53" s="29" t="e">
        <f t="shared" si="50"/>
        <v>#N/A</v>
      </c>
      <c r="AQ53" s="29" t="e">
        <f t="shared" si="51"/>
        <v>#N/A</v>
      </c>
      <c r="AR53" s="29" t="e">
        <f t="shared" si="52"/>
        <v>#N/A</v>
      </c>
      <c r="AS53" s="29" t="e">
        <f t="shared" si="53"/>
        <v>#N/A</v>
      </c>
      <c r="AT53" s="29" t="e">
        <f t="shared" si="54"/>
        <v>#N/A</v>
      </c>
      <c r="AU53" s="29" t="e">
        <f t="shared" si="55"/>
        <v>#N/A</v>
      </c>
      <c r="AV53" s="29" t="e">
        <f t="shared" si="56"/>
        <v>#N/A</v>
      </c>
      <c r="AW53" s="29" t="e">
        <f t="shared" si="57"/>
        <v>#N/A</v>
      </c>
      <c r="AX53" s="29" t="e">
        <f t="shared" si="58"/>
        <v>#N/A</v>
      </c>
      <c r="AY53" s="29" t="e">
        <f t="shared" si="59"/>
        <v>#N/A</v>
      </c>
      <c r="AZ53" s="29" t="e">
        <f t="shared" si="60"/>
        <v>#N/A</v>
      </c>
      <c r="BA53" s="29" t="e">
        <f t="shared" si="61"/>
        <v>#N/A</v>
      </c>
      <c r="BB53" s="29" t="e">
        <f t="shared" si="62"/>
        <v>#N/A</v>
      </c>
      <c r="BC53" s="29" t="e">
        <f t="shared" si="63"/>
        <v>#N/A</v>
      </c>
      <c r="BD53" s="29" t="e">
        <f t="shared" si="64"/>
        <v>#N/A</v>
      </c>
      <c r="BE53" s="29" t="e">
        <f t="shared" si="65"/>
        <v>#N/A</v>
      </c>
      <c r="BF53" s="29" t="e">
        <f t="shared" si="66"/>
        <v>#N/A</v>
      </c>
      <c r="BG53" s="29" t="e">
        <f t="shared" si="67"/>
        <v>#N/A</v>
      </c>
      <c r="BH53" s="29" t="e">
        <f t="shared" si="68"/>
        <v>#N/A</v>
      </c>
      <c r="BI53" s="29" t="e">
        <f t="shared" si="69"/>
        <v>#N/A</v>
      </c>
      <c r="BJ53" s="29" t="e">
        <f t="shared" si="70"/>
        <v>#N/A</v>
      </c>
      <c r="BK53" s="29" t="e">
        <f t="shared" si="71"/>
        <v>#N/A</v>
      </c>
    </row>
    <row r="54" spans="2:63" x14ac:dyDescent="0.25">
      <c r="AG54" s="25" t="str">
        <f t="shared" si="72"/>
        <v>X</v>
      </c>
      <c r="AH54" s="29" t="e">
        <f t="shared" si="42"/>
        <v>#N/A</v>
      </c>
      <c r="AI54" s="29" t="e">
        <f t="shared" si="43"/>
        <v>#N/A</v>
      </c>
      <c r="AJ54" s="29" t="e">
        <f t="shared" si="44"/>
        <v>#N/A</v>
      </c>
      <c r="AK54" s="29" t="e">
        <f t="shared" si="45"/>
        <v>#N/A</v>
      </c>
      <c r="AL54" s="29" t="e">
        <f t="shared" si="46"/>
        <v>#N/A</v>
      </c>
      <c r="AM54" s="29" t="e">
        <f t="shared" si="47"/>
        <v>#N/A</v>
      </c>
      <c r="AN54" s="29" t="e">
        <f t="shared" si="48"/>
        <v>#N/A</v>
      </c>
      <c r="AO54" s="29" t="e">
        <f t="shared" si="49"/>
        <v>#N/A</v>
      </c>
      <c r="AP54" s="29" t="e">
        <f t="shared" si="50"/>
        <v>#N/A</v>
      </c>
      <c r="AQ54" s="29" t="e">
        <f t="shared" si="51"/>
        <v>#N/A</v>
      </c>
      <c r="AR54" s="29" t="e">
        <f t="shared" si="52"/>
        <v>#N/A</v>
      </c>
      <c r="AS54" s="29" t="e">
        <f t="shared" si="53"/>
        <v>#N/A</v>
      </c>
      <c r="AT54" s="29" t="e">
        <f t="shared" si="54"/>
        <v>#N/A</v>
      </c>
      <c r="AU54" s="29" t="e">
        <f t="shared" si="55"/>
        <v>#N/A</v>
      </c>
      <c r="AV54" s="29" t="e">
        <f t="shared" si="56"/>
        <v>#N/A</v>
      </c>
      <c r="AW54" s="29" t="e">
        <f t="shared" si="57"/>
        <v>#N/A</v>
      </c>
      <c r="AX54" s="29" t="e">
        <f t="shared" si="58"/>
        <v>#N/A</v>
      </c>
      <c r="AY54" s="29" t="e">
        <f t="shared" si="59"/>
        <v>#N/A</v>
      </c>
      <c r="AZ54" s="29" t="e">
        <f t="shared" si="60"/>
        <v>#N/A</v>
      </c>
      <c r="BA54" s="29" t="e">
        <f t="shared" si="61"/>
        <v>#N/A</v>
      </c>
      <c r="BB54" s="29" t="e">
        <f t="shared" si="62"/>
        <v>#N/A</v>
      </c>
      <c r="BC54" s="29" t="e">
        <f t="shared" si="63"/>
        <v>#N/A</v>
      </c>
      <c r="BD54" s="29" t="e">
        <f t="shared" si="64"/>
        <v>#N/A</v>
      </c>
      <c r="BE54" s="29" t="e">
        <f t="shared" si="65"/>
        <v>#N/A</v>
      </c>
      <c r="BF54" s="29" t="e">
        <f t="shared" si="66"/>
        <v>#N/A</v>
      </c>
      <c r="BG54" s="29" t="e">
        <f t="shared" si="67"/>
        <v>#N/A</v>
      </c>
      <c r="BH54" s="29" t="e">
        <f t="shared" si="68"/>
        <v>#N/A</v>
      </c>
      <c r="BI54" s="29" t="e">
        <f t="shared" si="69"/>
        <v>#N/A</v>
      </c>
      <c r="BJ54" s="29" t="e">
        <f t="shared" si="70"/>
        <v>#N/A</v>
      </c>
      <c r="BK54" s="29" t="e">
        <f t="shared" si="71"/>
        <v>#N/A</v>
      </c>
    </row>
    <row r="55" spans="2:63" x14ac:dyDescent="0.25">
      <c r="AG55" s="25" t="str">
        <f t="shared" si="72"/>
        <v>X</v>
      </c>
      <c r="AH55" s="29" t="e">
        <f t="shared" si="42"/>
        <v>#N/A</v>
      </c>
      <c r="AI55" s="29" t="e">
        <f t="shared" si="43"/>
        <v>#N/A</v>
      </c>
      <c r="AJ55" s="29" t="e">
        <f t="shared" si="44"/>
        <v>#N/A</v>
      </c>
      <c r="AK55" s="29" t="e">
        <f t="shared" si="45"/>
        <v>#N/A</v>
      </c>
      <c r="AL55" s="29" t="e">
        <f t="shared" si="46"/>
        <v>#N/A</v>
      </c>
      <c r="AM55" s="29" t="e">
        <f t="shared" si="47"/>
        <v>#N/A</v>
      </c>
      <c r="AN55" s="29" t="e">
        <f t="shared" si="48"/>
        <v>#N/A</v>
      </c>
      <c r="AO55" s="29" t="e">
        <f t="shared" si="49"/>
        <v>#N/A</v>
      </c>
      <c r="AP55" s="29" t="e">
        <f t="shared" si="50"/>
        <v>#N/A</v>
      </c>
      <c r="AQ55" s="29" t="e">
        <f t="shared" si="51"/>
        <v>#N/A</v>
      </c>
      <c r="AR55" s="29" t="e">
        <f t="shared" si="52"/>
        <v>#N/A</v>
      </c>
      <c r="AS55" s="29" t="e">
        <f t="shared" si="53"/>
        <v>#N/A</v>
      </c>
      <c r="AT55" s="29" t="e">
        <f t="shared" si="54"/>
        <v>#N/A</v>
      </c>
      <c r="AU55" s="29" t="e">
        <f t="shared" si="55"/>
        <v>#N/A</v>
      </c>
      <c r="AV55" s="29" t="e">
        <f t="shared" si="56"/>
        <v>#N/A</v>
      </c>
      <c r="AW55" s="29" t="e">
        <f t="shared" si="57"/>
        <v>#N/A</v>
      </c>
      <c r="AX55" s="29" t="e">
        <f t="shared" si="58"/>
        <v>#N/A</v>
      </c>
      <c r="AY55" s="29" t="e">
        <f t="shared" si="59"/>
        <v>#N/A</v>
      </c>
      <c r="AZ55" s="29" t="e">
        <f t="shared" si="60"/>
        <v>#N/A</v>
      </c>
      <c r="BA55" s="29" t="e">
        <f t="shared" si="61"/>
        <v>#N/A</v>
      </c>
      <c r="BB55" s="29" t="e">
        <f t="shared" si="62"/>
        <v>#N/A</v>
      </c>
      <c r="BC55" s="29" t="e">
        <f t="shared" si="63"/>
        <v>#N/A</v>
      </c>
      <c r="BD55" s="29" t="e">
        <f t="shared" si="64"/>
        <v>#N/A</v>
      </c>
      <c r="BE55" s="29" t="e">
        <f t="shared" si="65"/>
        <v>#N/A</v>
      </c>
      <c r="BF55" s="29" t="e">
        <f t="shared" si="66"/>
        <v>#N/A</v>
      </c>
      <c r="BG55" s="29" t="e">
        <f t="shared" si="67"/>
        <v>#N/A</v>
      </c>
      <c r="BH55" s="29" t="e">
        <f t="shared" si="68"/>
        <v>#N/A</v>
      </c>
      <c r="BI55" s="29" t="e">
        <f t="shared" si="69"/>
        <v>#N/A</v>
      </c>
      <c r="BJ55" s="29" t="e">
        <f t="shared" si="70"/>
        <v>#N/A</v>
      </c>
      <c r="BK55" s="29" t="e">
        <f t="shared" si="71"/>
        <v>#N/A</v>
      </c>
    </row>
    <row r="56" spans="2:63" x14ac:dyDescent="0.25">
      <c r="AG56" s="25" t="str">
        <f t="shared" si="72"/>
        <v>X</v>
      </c>
      <c r="AH56" s="29" t="e">
        <f t="shared" si="42"/>
        <v>#N/A</v>
      </c>
      <c r="AI56" s="29" t="e">
        <f t="shared" si="43"/>
        <v>#N/A</v>
      </c>
      <c r="AJ56" s="29" t="e">
        <f t="shared" si="44"/>
        <v>#N/A</v>
      </c>
      <c r="AK56" s="29" t="e">
        <f t="shared" si="45"/>
        <v>#N/A</v>
      </c>
      <c r="AL56" s="29" t="e">
        <f t="shared" si="46"/>
        <v>#N/A</v>
      </c>
      <c r="AM56" s="29" t="e">
        <f t="shared" si="47"/>
        <v>#N/A</v>
      </c>
      <c r="AN56" s="29" t="e">
        <f t="shared" si="48"/>
        <v>#N/A</v>
      </c>
      <c r="AO56" s="29" t="e">
        <f t="shared" si="49"/>
        <v>#N/A</v>
      </c>
      <c r="AP56" s="29" t="e">
        <f t="shared" si="50"/>
        <v>#N/A</v>
      </c>
      <c r="AQ56" s="29" t="e">
        <f t="shared" si="51"/>
        <v>#N/A</v>
      </c>
      <c r="AR56" s="29" t="e">
        <f t="shared" si="52"/>
        <v>#N/A</v>
      </c>
      <c r="AS56" s="29" t="e">
        <f t="shared" si="53"/>
        <v>#N/A</v>
      </c>
      <c r="AT56" s="29" t="e">
        <f t="shared" si="54"/>
        <v>#N/A</v>
      </c>
      <c r="AU56" s="29" t="e">
        <f t="shared" si="55"/>
        <v>#N/A</v>
      </c>
      <c r="AV56" s="29" t="e">
        <f t="shared" si="56"/>
        <v>#N/A</v>
      </c>
      <c r="AW56" s="29" t="e">
        <f t="shared" si="57"/>
        <v>#N/A</v>
      </c>
      <c r="AX56" s="29" t="e">
        <f t="shared" si="58"/>
        <v>#N/A</v>
      </c>
      <c r="AY56" s="29" t="e">
        <f t="shared" si="59"/>
        <v>#N/A</v>
      </c>
      <c r="AZ56" s="29" t="e">
        <f t="shared" si="60"/>
        <v>#N/A</v>
      </c>
      <c r="BA56" s="29" t="e">
        <f t="shared" si="61"/>
        <v>#N/A</v>
      </c>
      <c r="BB56" s="29" t="e">
        <f t="shared" si="62"/>
        <v>#N/A</v>
      </c>
      <c r="BC56" s="29" t="e">
        <f t="shared" si="63"/>
        <v>#N/A</v>
      </c>
      <c r="BD56" s="29" t="e">
        <f t="shared" si="64"/>
        <v>#N/A</v>
      </c>
      <c r="BE56" s="29" t="e">
        <f t="shared" si="65"/>
        <v>#N/A</v>
      </c>
      <c r="BF56" s="29" t="e">
        <f t="shared" si="66"/>
        <v>#N/A</v>
      </c>
      <c r="BG56" s="29" t="e">
        <f t="shared" si="67"/>
        <v>#N/A</v>
      </c>
      <c r="BH56" s="29" t="e">
        <f t="shared" si="68"/>
        <v>#N/A</v>
      </c>
      <c r="BI56" s="29" t="e">
        <f t="shared" si="69"/>
        <v>#N/A</v>
      </c>
      <c r="BJ56" s="29" t="e">
        <f t="shared" si="70"/>
        <v>#N/A</v>
      </c>
      <c r="BK56" s="29" t="e">
        <f t="shared" si="71"/>
        <v>#N/A</v>
      </c>
    </row>
    <row r="57" spans="2:63" x14ac:dyDescent="0.25">
      <c r="AG57" s="25" t="str">
        <f t="shared" si="72"/>
        <v>X</v>
      </c>
      <c r="AH57" s="29" t="e">
        <f t="shared" si="42"/>
        <v>#N/A</v>
      </c>
      <c r="AI57" s="29" t="e">
        <f t="shared" si="43"/>
        <v>#N/A</v>
      </c>
      <c r="AJ57" s="29" t="e">
        <f t="shared" si="44"/>
        <v>#N/A</v>
      </c>
      <c r="AK57" s="29" t="e">
        <f t="shared" si="45"/>
        <v>#N/A</v>
      </c>
      <c r="AL57" s="29" t="e">
        <f t="shared" si="46"/>
        <v>#N/A</v>
      </c>
      <c r="AM57" s="29" t="e">
        <f t="shared" si="47"/>
        <v>#N/A</v>
      </c>
      <c r="AN57" s="29" t="e">
        <f t="shared" si="48"/>
        <v>#N/A</v>
      </c>
      <c r="AO57" s="29" t="e">
        <f t="shared" si="49"/>
        <v>#N/A</v>
      </c>
      <c r="AP57" s="29" t="e">
        <f t="shared" si="50"/>
        <v>#N/A</v>
      </c>
      <c r="AQ57" s="29" t="e">
        <f t="shared" si="51"/>
        <v>#N/A</v>
      </c>
      <c r="AR57" s="29" t="e">
        <f t="shared" si="52"/>
        <v>#N/A</v>
      </c>
      <c r="AS57" s="29" t="e">
        <f t="shared" si="53"/>
        <v>#N/A</v>
      </c>
      <c r="AT57" s="29" t="e">
        <f t="shared" si="54"/>
        <v>#N/A</v>
      </c>
      <c r="AU57" s="29" t="e">
        <f t="shared" si="55"/>
        <v>#N/A</v>
      </c>
      <c r="AV57" s="29" t="e">
        <f t="shared" si="56"/>
        <v>#N/A</v>
      </c>
      <c r="AW57" s="29" t="e">
        <f t="shared" si="57"/>
        <v>#N/A</v>
      </c>
      <c r="AX57" s="29" t="e">
        <f t="shared" si="58"/>
        <v>#N/A</v>
      </c>
      <c r="AY57" s="29" t="e">
        <f t="shared" si="59"/>
        <v>#N/A</v>
      </c>
      <c r="AZ57" s="29" t="e">
        <f t="shared" si="60"/>
        <v>#N/A</v>
      </c>
      <c r="BA57" s="29" t="e">
        <f t="shared" si="61"/>
        <v>#N/A</v>
      </c>
      <c r="BB57" s="29" t="e">
        <f t="shared" si="62"/>
        <v>#N/A</v>
      </c>
      <c r="BC57" s="29" t="e">
        <f t="shared" si="63"/>
        <v>#N/A</v>
      </c>
      <c r="BD57" s="29" t="e">
        <f t="shared" si="64"/>
        <v>#N/A</v>
      </c>
      <c r="BE57" s="29" t="e">
        <f t="shared" si="65"/>
        <v>#N/A</v>
      </c>
      <c r="BF57" s="29" t="e">
        <f t="shared" si="66"/>
        <v>#N/A</v>
      </c>
      <c r="BG57" s="29" t="e">
        <f t="shared" si="67"/>
        <v>#N/A</v>
      </c>
      <c r="BH57" s="29" t="e">
        <f t="shared" si="68"/>
        <v>#N/A</v>
      </c>
      <c r="BI57" s="29" t="e">
        <f t="shared" si="69"/>
        <v>#N/A</v>
      </c>
      <c r="BJ57" s="29" t="e">
        <f t="shared" si="70"/>
        <v>#N/A</v>
      </c>
      <c r="BK57" s="29" t="e">
        <f t="shared" si="71"/>
        <v>#N/A</v>
      </c>
    </row>
    <row r="58" spans="2:63" x14ac:dyDescent="0.25">
      <c r="AG58" s="25" t="str">
        <f t="shared" si="72"/>
        <v>X</v>
      </c>
      <c r="AH58" s="29" t="e">
        <f t="shared" si="42"/>
        <v>#N/A</v>
      </c>
      <c r="AI58" s="29" t="e">
        <f t="shared" si="43"/>
        <v>#N/A</v>
      </c>
      <c r="AJ58" s="29" t="e">
        <f t="shared" si="44"/>
        <v>#N/A</v>
      </c>
      <c r="AK58" s="29" t="e">
        <f t="shared" si="45"/>
        <v>#N/A</v>
      </c>
      <c r="AL58" s="29" t="e">
        <f t="shared" si="46"/>
        <v>#N/A</v>
      </c>
      <c r="AM58" s="29" t="e">
        <f t="shared" si="47"/>
        <v>#N/A</v>
      </c>
      <c r="AN58" s="29" t="e">
        <f t="shared" si="48"/>
        <v>#N/A</v>
      </c>
      <c r="AO58" s="29" t="e">
        <f t="shared" si="49"/>
        <v>#N/A</v>
      </c>
      <c r="AP58" s="29" t="e">
        <f t="shared" si="50"/>
        <v>#N/A</v>
      </c>
      <c r="AQ58" s="29" t="e">
        <f t="shared" si="51"/>
        <v>#N/A</v>
      </c>
      <c r="AR58" s="29" t="e">
        <f t="shared" si="52"/>
        <v>#N/A</v>
      </c>
      <c r="AS58" s="29" t="e">
        <f t="shared" si="53"/>
        <v>#N/A</v>
      </c>
      <c r="AT58" s="29" t="e">
        <f t="shared" si="54"/>
        <v>#N/A</v>
      </c>
      <c r="AU58" s="29" t="e">
        <f t="shared" si="55"/>
        <v>#N/A</v>
      </c>
      <c r="AV58" s="29" t="e">
        <f t="shared" si="56"/>
        <v>#N/A</v>
      </c>
      <c r="AW58" s="29" t="e">
        <f t="shared" si="57"/>
        <v>#N/A</v>
      </c>
      <c r="AX58" s="29" t="e">
        <f t="shared" si="58"/>
        <v>#N/A</v>
      </c>
      <c r="AY58" s="29" t="e">
        <f t="shared" si="59"/>
        <v>#N/A</v>
      </c>
      <c r="AZ58" s="29" t="e">
        <f t="shared" si="60"/>
        <v>#N/A</v>
      </c>
      <c r="BA58" s="29" t="e">
        <f t="shared" si="61"/>
        <v>#N/A</v>
      </c>
      <c r="BB58" s="29" t="e">
        <f t="shared" si="62"/>
        <v>#N/A</v>
      </c>
      <c r="BC58" s="29" t="e">
        <f t="shared" si="63"/>
        <v>#N/A</v>
      </c>
      <c r="BD58" s="29" t="e">
        <f t="shared" si="64"/>
        <v>#N/A</v>
      </c>
      <c r="BE58" s="29" t="e">
        <f t="shared" si="65"/>
        <v>#N/A</v>
      </c>
      <c r="BF58" s="29" t="e">
        <f t="shared" si="66"/>
        <v>#N/A</v>
      </c>
      <c r="BG58" s="29" t="e">
        <f t="shared" si="67"/>
        <v>#N/A</v>
      </c>
      <c r="BH58" s="29" t="e">
        <f t="shared" si="68"/>
        <v>#N/A</v>
      </c>
      <c r="BI58" s="29" t="e">
        <f t="shared" si="69"/>
        <v>#N/A</v>
      </c>
      <c r="BJ58" s="29" t="e">
        <f t="shared" si="70"/>
        <v>#N/A</v>
      </c>
      <c r="BK58" s="29" t="e">
        <f t="shared" si="71"/>
        <v>#N/A</v>
      </c>
    </row>
    <row r="59" spans="2:63" x14ac:dyDescent="0.25">
      <c r="AG59" s="25" t="str">
        <f>$M39</f>
        <v>X</v>
      </c>
      <c r="AH59" s="29" t="e">
        <f t="shared" si="42"/>
        <v>#N/A</v>
      </c>
      <c r="AI59" s="29" t="e">
        <f t="shared" si="43"/>
        <v>#N/A</v>
      </c>
      <c r="AJ59" s="29" t="e">
        <f t="shared" si="44"/>
        <v>#N/A</v>
      </c>
      <c r="AK59" s="29" t="e">
        <f t="shared" si="45"/>
        <v>#N/A</v>
      </c>
      <c r="AL59" s="29" t="e">
        <f t="shared" si="46"/>
        <v>#N/A</v>
      </c>
      <c r="AM59" s="29" t="e">
        <f t="shared" si="47"/>
        <v>#N/A</v>
      </c>
      <c r="AN59" s="29" t="e">
        <f t="shared" si="48"/>
        <v>#N/A</v>
      </c>
      <c r="AO59" s="29" t="e">
        <f t="shared" si="49"/>
        <v>#N/A</v>
      </c>
      <c r="AP59" s="29" t="e">
        <f t="shared" si="50"/>
        <v>#N/A</v>
      </c>
      <c r="AQ59" s="29" t="e">
        <f t="shared" si="51"/>
        <v>#N/A</v>
      </c>
      <c r="AR59" s="29" t="e">
        <f t="shared" si="52"/>
        <v>#N/A</v>
      </c>
      <c r="AS59" s="29" t="e">
        <f t="shared" si="53"/>
        <v>#N/A</v>
      </c>
      <c r="AT59" s="29" t="e">
        <f t="shared" si="54"/>
        <v>#N/A</v>
      </c>
      <c r="AU59" s="29" t="e">
        <f t="shared" si="55"/>
        <v>#N/A</v>
      </c>
      <c r="AV59" s="29" t="e">
        <f t="shared" si="56"/>
        <v>#N/A</v>
      </c>
      <c r="AW59" s="29" t="e">
        <f t="shared" si="57"/>
        <v>#N/A</v>
      </c>
      <c r="AX59" s="29" t="e">
        <f t="shared" si="58"/>
        <v>#N/A</v>
      </c>
      <c r="AY59" s="29" t="e">
        <f t="shared" si="59"/>
        <v>#N/A</v>
      </c>
      <c r="AZ59" s="29" t="e">
        <f t="shared" si="60"/>
        <v>#N/A</v>
      </c>
      <c r="BA59" s="29" t="e">
        <f t="shared" si="61"/>
        <v>#N/A</v>
      </c>
      <c r="BB59" s="29" t="e">
        <f t="shared" si="62"/>
        <v>#N/A</v>
      </c>
      <c r="BC59" s="29" t="e">
        <f t="shared" si="63"/>
        <v>#N/A</v>
      </c>
      <c r="BD59" s="29" t="e">
        <f t="shared" si="64"/>
        <v>#N/A</v>
      </c>
      <c r="BE59" s="29" t="e">
        <f t="shared" si="65"/>
        <v>#N/A</v>
      </c>
      <c r="BF59" s="29" t="e">
        <f t="shared" si="66"/>
        <v>#N/A</v>
      </c>
      <c r="BG59" s="29" t="e">
        <f t="shared" si="67"/>
        <v>#N/A</v>
      </c>
      <c r="BH59" s="29" t="e">
        <f t="shared" si="68"/>
        <v>#N/A</v>
      </c>
      <c r="BI59" s="29" t="e">
        <f t="shared" si="69"/>
        <v>#N/A</v>
      </c>
      <c r="BJ59" s="29" t="e">
        <f t="shared" si="70"/>
        <v>#N/A</v>
      </c>
      <c r="BK59" s="29" t="e">
        <f t="shared" si="71"/>
        <v>#N/A</v>
      </c>
    </row>
    <row r="60" spans="2:63" x14ac:dyDescent="0.25">
      <c r="AG60" s="25" t="str">
        <f t="shared" si="72"/>
        <v>X</v>
      </c>
      <c r="AH60" s="29" t="e">
        <f t="shared" si="42"/>
        <v>#N/A</v>
      </c>
      <c r="AI60" s="29" t="e">
        <f t="shared" si="43"/>
        <v>#N/A</v>
      </c>
      <c r="AJ60" s="29" t="e">
        <f t="shared" si="44"/>
        <v>#N/A</v>
      </c>
      <c r="AK60" s="29" t="e">
        <f t="shared" si="45"/>
        <v>#N/A</v>
      </c>
      <c r="AL60" s="29" t="e">
        <f t="shared" si="46"/>
        <v>#N/A</v>
      </c>
      <c r="AM60" s="29" t="e">
        <f t="shared" si="47"/>
        <v>#N/A</v>
      </c>
      <c r="AN60" s="29" t="e">
        <f t="shared" si="48"/>
        <v>#N/A</v>
      </c>
      <c r="AO60" s="29" t="e">
        <f t="shared" si="49"/>
        <v>#N/A</v>
      </c>
      <c r="AP60" s="29" t="e">
        <f t="shared" si="50"/>
        <v>#N/A</v>
      </c>
      <c r="AQ60" s="29" t="e">
        <f t="shared" si="51"/>
        <v>#N/A</v>
      </c>
      <c r="AR60" s="29" t="e">
        <f t="shared" si="52"/>
        <v>#N/A</v>
      </c>
      <c r="AS60" s="29" t="e">
        <f t="shared" si="53"/>
        <v>#N/A</v>
      </c>
      <c r="AT60" s="29" t="e">
        <f t="shared" si="54"/>
        <v>#N/A</v>
      </c>
      <c r="AU60" s="29" t="e">
        <f t="shared" si="55"/>
        <v>#N/A</v>
      </c>
      <c r="AV60" s="29" t="e">
        <f t="shared" si="56"/>
        <v>#N/A</v>
      </c>
      <c r="AW60" s="29" t="e">
        <f t="shared" si="57"/>
        <v>#N/A</v>
      </c>
      <c r="AX60" s="29" t="e">
        <f t="shared" si="58"/>
        <v>#N/A</v>
      </c>
      <c r="AY60" s="29" t="e">
        <f t="shared" si="59"/>
        <v>#N/A</v>
      </c>
      <c r="AZ60" s="29" t="e">
        <f t="shared" si="60"/>
        <v>#N/A</v>
      </c>
      <c r="BA60" s="29" t="e">
        <f t="shared" si="61"/>
        <v>#N/A</v>
      </c>
      <c r="BB60" s="29" t="e">
        <f t="shared" si="62"/>
        <v>#N/A</v>
      </c>
      <c r="BC60" s="29" t="e">
        <f t="shared" si="63"/>
        <v>#N/A</v>
      </c>
      <c r="BD60" s="29" t="e">
        <f t="shared" si="64"/>
        <v>#N/A</v>
      </c>
      <c r="BE60" s="29" t="e">
        <f t="shared" si="65"/>
        <v>#N/A</v>
      </c>
      <c r="BF60" s="29" t="e">
        <f t="shared" si="66"/>
        <v>#N/A</v>
      </c>
      <c r="BG60" s="29" t="e">
        <f t="shared" si="67"/>
        <v>#N/A</v>
      </c>
      <c r="BH60" s="29" t="e">
        <f t="shared" si="68"/>
        <v>#N/A</v>
      </c>
      <c r="BI60" s="29" t="e">
        <f t="shared" si="69"/>
        <v>#N/A</v>
      </c>
      <c r="BJ60" s="29" t="e">
        <f t="shared" si="70"/>
        <v>#N/A</v>
      </c>
      <c r="BK60" s="29" t="e">
        <f t="shared" si="71"/>
        <v>#N/A</v>
      </c>
    </row>
    <row r="61" spans="2:63" x14ac:dyDescent="0.25">
      <c r="AG61" s="25" t="str">
        <f t="shared" si="72"/>
        <v>X</v>
      </c>
      <c r="AH61" s="29" t="e">
        <f t="shared" si="42"/>
        <v>#N/A</v>
      </c>
      <c r="AI61" s="29" t="e">
        <f t="shared" si="43"/>
        <v>#N/A</v>
      </c>
      <c r="AJ61" s="29" t="e">
        <f t="shared" si="44"/>
        <v>#N/A</v>
      </c>
      <c r="AK61" s="29" t="e">
        <f t="shared" si="45"/>
        <v>#N/A</v>
      </c>
      <c r="AL61" s="29" t="e">
        <f t="shared" si="46"/>
        <v>#N/A</v>
      </c>
      <c r="AM61" s="29" t="e">
        <f t="shared" si="47"/>
        <v>#N/A</v>
      </c>
      <c r="AN61" s="29" t="e">
        <f t="shared" si="48"/>
        <v>#N/A</v>
      </c>
      <c r="AO61" s="29" t="e">
        <f t="shared" si="49"/>
        <v>#N/A</v>
      </c>
      <c r="AP61" s="29" t="e">
        <f t="shared" si="50"/>
        <v>#N/A</v>
      </c>
      <c r="AQ61" s="29" t="e">
        <f t="shared" si="51"/>
        <v>#N/A</v>
      </c>
      <c r="AR61" s="29" t="e">
        <f t="shared" si="52"/>
        <v>#N/A</v>
      </c>
      <c r="AS61" s="29" t="e">
        <f t="shared" si="53"/>
        <v>#N/A</v>
      </c>
      <c r="AT61" s="29" t="e">
        <f t="shared" si="54"/>
        <v>#N/A</v>
      </c>
      <c r="AU61" s="29" t="e">
        <f t="shared" si="55"/>
        <v>#N/A</v>
      </c>
      <c r="AV61" s="29" t="e">
        <f t="shared" si="56"/>
        <v>#N/A</v>
      </c>
      <c r="AW61" s="29" t="e">
        <f t="shared" si="57"/>
        <v>#N/A</v>
      </c>
      <c r="AX61" s="29" t="e">
        <f t="shared" si="58"/>
        <v>#N/A</v>
      </c>
      <c r="AY61" s="29" t="e">
        <f t="shared" si="59"/>
        <v>#N/A</v>
      </c>
      <c r="AZ61" s="29" t="e">
        <f t="shared" si="60"/>
        <v>#N/A</v>
      </c>
      <c r="BA61" s="29" t="e">
        <f t="shared" si="61"/>
        <v>#N/A</v>
      </c>
      <c r="BB61" s="29" t="e">
        <f t="shared" si="62"/>
        <v>#N/A</v>
      </c>
      <c r="BC61" s="29" t="e">
        <f t="shared" si="63"/>
        <v>#N/A</v>
      </c>
      <c r="BD61" s="29" t="e">
        <f t="shared" si="64"/>
        <v>#N/A</v>
      </c>
      <c r="BE61" s="29" t="e">
        <f t="shared" si="65"/>
        <v>#N/A</v>
      </c>
      <c r="BF61" s="29" t="e">
        <f t="shared" si="66"/>
        <v>#N/A</v>
      </c>
      <c r="BG61" s="29" t="e">
        <f t="shared" si="67"/>
        <v>#N/A</v>
      </c>
      <c r="BH61" s="29" t="e">
        <f t="shared" si="68"/>
        <v>#N/A</v>
      </c>
      <c r="BI61" s="29" t="e">
        <f t="shared" si="69"/>
        <v>#N/A</v>
      </c>
      <c r="BJ61" s="29" t="e">
        <f t="shared" si="70"/>
        <v>#N/A</v>
      </c>
      <c r="BK61" s="29" t="e">
        <f t="shared" si="71"/>
        <v>#N/A</v>
      </c>
    </row>
    <row r="62" spans="2:63" x14ac:dyDescent="0.25">
      <c r="AG62" s="25" t="str">
        <f t="shared" si="72"/>
        <v>X</v>
      </c>
      <c r="AH62" s="29" t="e">
        <f t="shared" si="42"/>
        <v>#N/A</v>
      </c>
      <c r="AI62" s="29" t="e">
        <f t="shared" si="43"/>
        <v>#N/A</v>
      </c>
      <c r="AJ62" s="29" t="e">
        <f t="shared" si="44"/>
        <v>#N/A</v>
      </c>
      <c r="AK62" s="29" t="e">
        <f t="shared" si="45"/>
        <v>#N/A</v>
      </c>
      <c r="AL62" s="29" t="e">
        <f t="shared" si="46"/>
        <v>#N/A</v>
      </c>
      <c r="AM62" s="29" t="e">
        <f t="shared" si="47"/>
        <v>#N/A</v>
      </c>
      <c r="AN62" s="29" t="e">
        <f t="shared" si="48"/>
        <v>#N/A</v>
      </c>
      <c r="AO62" s="29" t="e">
        <f t="shared" si="49"/>
        <v>#N/A</v>
      </c>
      <c r="AP62" s="29" t="e">
        <f t="shared" si="50"/>
        <v>#N/A</v>
      </c>
      <c r="AQ62" s="29" t="e">
        <f t="shared" si="51"/>
        <v>#N/A</v>
      </c>
      <c r="AR62" s="29" t="e">
        <f t="shared" si="52"/>
        <v>#N/A</v>
      </c>
      <c r="AS62" s="29" t="e">
        <f t="shared" si="53"/>
        <v>#N/A</v>
      </c>
      <c r="AT62" s="29" t="e">
        <f t="shared" si="54"/>
        <v>#N/A</v>
      </c>
      <c r="AU62" s="29" t="e">
        <f t="shared" si="55"/>
        <v>#N/A</v>
      </c>
      <c r="AV62" s="29" t="e">
        <f t="shared" si="56"/>
        <v>#N/A</v>
      </c>
      <c r="AW62" s="29" t="e">
        <f t="shared" si="57"/>
        <v>#N/A</v>
      </c>
      <c r="AX62" s="29" t="e">
        <f t="shared" si="58"/>
        <v>#N/A</v>
      </c>
      <c r="AY62" s="29" t="e">
        <f t="shared" si="59"/>
        <v>#N/A</v>
      </c>
      <c r="AZ62" s="29" t="e">
        <f t="shared" si="60"/>
        <v>#N/A</v>
      </c>
      <c r="BA62" s="29" t="e">
        <f t="shared" si="61"/>
        <v>#N/A</v>
      </c>
      <c r="BB62" s="29" t="e">
        <f t="shared" si="62"/>
        <v>#N/A</v>
      </c>
      <c r="BC62" s="29" t="e">
        <f t="shared" si="63"/>
        <v>#N/A</v>
      </c>
      <c r="BD62" s="29" t="e">
        <f t="shared" si="64"/>
        <v>#N/A</v>
      </c>
      <c r="BE62" s="29" t="e">
        <f t="shared" si="65"/>
        <v>#N/A</v>
      </c>
      <c r="BF62" s="29" t="e">
        <f t="shared" si="66"/>
        <v>#N/A</v>
      </c>
      <c r="BG62" s="29" t="e">
        <f t="shared" si="67"/>
        <v>#N/A</v>
      </c>
      <c r="BH62" s="29" t="e">
        <f t="shared" si="68"/>
        <v>#N/A</v>
      </c>
      <c r="BI62" s="29" t="e">
        <f t="shared" si="69"/>
        <v>#N/A</v>
      </c>
      <c r="BJ62" s="29" t="e">
        <f t="shared" si="70"/>
        <v>#N/A</v>
      </c>
      <c r="BK62" s="29" t="e">
        <f t="shared" si="71"/>
        <v>#N/A</v>
      </c>
    </row>
    <row r="63" spans="2:63" x14ac:dyDescent="0.25">
      <c r="AG63" s="25" t="str">
        <f t="shared" si="72"/>
        <v>X</v>
      </c>
      <c r="AH63" s="29" t="e">
        <f t="shared" si="42"/>
        <v>#N/A</v>
      </c>
      <c r="AI63" s="29" t="e">
        <f t="shared" si="43"/>
        <v>#N/A</v>
      </c>
      <c r="AJ63" s="29" t="e">
        <f t="shared" si="44"/>
        <v>#N/A</v>
      </c>
      <c r="AK63" s="29" t="e">
        <f t="shared" si="45"/>
        <v>#N/A</v>
      </c>
      <c r="AL63" s="29" t="e">
        <f t="shared" si="46"/>
        <v>#N/A</v>
      </c>
      <c r="AM63" s="29" t="e">
        <f t="shared" si="47"/>
        <v>#N/A</v>
      </c>
      <c r="AN63" s="29" t="e">
        <f t="shared" si="48"/>
        <v>#N/A</v>
      </c>
      <c r="AO63" s="29" t="e">
        <f t="shared" si="49"/>
        <v>#N/A</v>
      </c>
      <c r="AP63" s="29" t="e">
        <f t="shared" si="50"/>
        <v>#N/A</v>
      </c>
      <c r="AQ63" s="29" t="e">
        <f t="shared" si="51"/>
        <v>#N/A</v>
      </c>
      <c r="AR63" s="29" t="e">
        <f t="shared" si="52"/>
        <v>#N/A</v>
      </c>
      <c r="AS63" s="29" t="e">
        <f t="shared" si="53"/>
        <v>#N/A</v>
      </c>
      <c r="AT63" s="29" t="e">
        <f t="shared" si="54"/>
        <v>#N/A</v>
      </c>
      <c r="AU63" s="29" t="e">
        <f t="shared" si="55"/>
        <v>#N/A</v>
      </c>
      <c r="AV63" s="29" t="e">
        <f t="shared" si="56"/>
        <v>#N/A</v>
      </c>
      <c r="AW63" s="29" t="e">
        <f t="shared" si="57"/>
        <v>#N/A</v>
      </c>
      <c r="AX63" s="29" t="e">
        <f t="shared" si="58"/>
        <v>#N/A</v>
      </c>
      <c r="AY63" s="29" t="e">
        <f t="shared" si="59"/>
        <v>#N/A</v>
      </c>
      <c r="AZ63" s="29" t="e">
        <f t="shared" si="60"/>
        <v>#N/A</v>
      </c>
      <c r="BA63" s="29" t="e">
        <f t="shared" si="61"/>
        <v>#N/A</v>
      </c>
      <c r="BB63" s="29" t="e">
        <f t="shared" si="62"/>
        <v>#N/A</v>
      </c>
      <c r="BC63" s="29" t="e">
        <f t="shared" si="63"/>
        <v>#N/A</v>
      </c>
      <c r="BD63" s="29" t="e">
        <f t="shared" si="64"/>
        <v>#N/A</v>
      </c>
      <c r="BE63" s="29" t="e">
        <f t="shared" si="65"/>
        <v>#N/A</v>
      </c>
      <c r="BF63" s="29" t="e">
        <f t="shared" si="66"/>
        <v>#N/A</v>
      </c>
      <c r="BG63" s="29" t="e">
        <f t="shared" si="67"/>
        <v>#N/A</v>
      </c>
      <c r="BH63" s="29" t="e">
        <f t="shared" si="68"/>
        <v>#N/A</v>
      </c>
      <c r="BI63" s="29" t="e">
        <f t="shared" si="69"/>
        <v>#N/A</v>
      </c>
      <c r="BJ63" s="29" t="e">
        <f t="shared" si="70"/>
        <v>#N/A</v>
      </c>
      <c r="BK63" s="29" t="e">
        <f t="shared" si="71"/>
        <v>#N/A</v>
      </c>
    </row>
    <row r="64" spans="2:63" x14ac:dyDescent="0.25">
      <c r="AG64" s="25" t="str">
        <f t="shared" si="72"/>
        <v>X</v>
      </c>
      <c r="AH64" s="29" t="e">
        <f t="shared" si="42"/>
        <v>#N/A</v>
      </c>
      <c r="AI64" s="29" t="e">
        <f t="shared" si="43"/>
        <v>#N/A</v>
      </c>
      <c r="AJ64" s="29" t="e">
        <f t="shared" si="44"/>
        <v>#N/A</v>
      </c>
      <c r="AK64" s="29" t="e">
        <f t="shared" si="45"/>
        <v>#N/A</v>
      </c>
      <c r="AL64" s="29" t="e">
        <f t="shared" si="46"/>
        <v>#N/A</v>
      </c>
      <c r="AM64" s="29" t="e">
        <f t="shared" si="47"/>
        <v>#N/A</v>
      </c>
      <c r="AN64" s="29" t="e">
        <f t="shared" si="48"/>
        <v>#N/A</v>
      </c>
      <c r="AO64" s="29" t="e">
        <f t="shared" si="49"/>
        <v>#N/A</v>
      </c>
      <c r="AP64" s="29" t="e">
        <f t="shared" si="50"/>
        <v>#N/A</v>
      </c>
      <c r="AQ64" s="29" t="e">
        <f t="shared" si="51"/>
        <v>#N/A</v>
      </c>
      <c r="AR64" s="29" t="e">
        <f t="shared" si="52"/>
        <v>#N/A</v>
      </c>
      <c r="AS64" s="29" t="e">
        <f t="shared" si="53"/>
        <v>#N/A</v>
      </c>
      <c r="AT64" s="29" t="e">
        <f t="shared" si="54"/>
        <v>#N/A</v>
      </c>
      <c r="AU64" s="29" t="e">
        <f t="shared" si="55"/>
        <v>#N/A</v>
      </c>
      <c r="AV64" s="29" t="e">
        <f t="shared" si="56"/>
        <v>#N/A</v>
      </c>
      <c r="AW64" s="29" t="e">
        <f t="shared" si="57"/>
        <v>#N/A</v>
      </c>
      <c r="AX64" s="29" t="e">
        <f t="shared" si="58"/>
        <v>#N/A</v>
      </c>
      <c r="AY64" s="29" t="e">
        <f t="shared" si="59"/>
        <v>#N/A</v>
      </c>
      <c r="AZ64" s="29" t="e">
        <f t="shared" si="60"/>
        <v>#N/A</v>
      </c>
      <c r="BA64" s="29" t="e">
        <f t="shared" si="61"/>
        <v>#N/A</v>
      </c>
      <c r="BB64" s="29" t="e">
        <f t="shared" si="62"/>
        <v>#N/A</v>
      </c>
      <c r="BC64" s="29" t="e">
        <f t="shared" si="63"/>
        <v>#N/A</v>
      </c>
      <c r="BD64" s="29" t="e">
        <f t="shared" si="64"/>
        <v>#N/A</v>
      </c>
      <c r="BE64" s="29" t="e">
        <f t="shared" si="65"/>
        <v>#N/A</v>
      </c>
      <c r="BF64" s="29" t="e">
        <f t="shared" si="66"/>
        <v>#N/A</v>
      </c>
      <c r="BG64" s="29" t="e">
        <f t="shared" si="67"/>
        <v>#N/A</v>
      </c>
      <c r="BH64" s="29" t="e">
        <f t="shared" si="68"/>
        <v>#N/A</v>
      </c>
      <c r="BI64" s="29" t="e">
        <f t="shared" si="69"/>
        <v>#N/A</v>
      </c>
      <c r="BJ64" s="29" t="e">
        <f t="shared" si="70"/>
        <v>#N/A</v>
      </c>
      <c r="BK64" s="29" t="e">
        <f t="shared" si="71"/>
        <v>#N/A</v>
      </c>
    </row>
    <row r="65" spans="33:63" x14ac:dyDescent="0.25">
      <c r="AG65" s="25" t="str">
        <f t="shared" si="72"/>
        <v>X</v>
      </c>
      <c r="AH65" s="29" t="e">
        <f t="shared" si="42"/>
        <v>#N/A</v>
      </c>
      <c r="AI65" s="29" t="e">
        <f t="shared" si="43"/>
        <v>#N/A</v>
      </c>
      <c r="AJ65" s="29" t="e">
        <f t="shared" si="44"/>
        <v>#N/A</v>
      </c>
      <c r="AK65" s="29" t="e">
        <f t="shared" si="45"/>
        <v>#N/A</v>
      </c>
      <c r="AL65" s="29" t="e">
        <f t="shared" si="46"/>
        <v>#N/A</v>
      </c>
      <c r="AM65" s="29" t="e">
        <f t="shared" si="47"/>
        <v>#N/A</v>
      </c>
      <c r="AN65" s="29" t="e">
        <f t="shared" si="48"/>
        <v>#N/A</v>
      </c>
      <c r="AO65" s="29" t="e">
        <f t="shared" si="49"/>
        <v>#N/A</v>
      </c>
      <c r="AP65" s="29" t="e">
        <f t="shared" si="50"/>
        <v>#N/A</v>
      </c>
      <c r="AQ65" s="29" t="e">
        <f t="shared" si="51"/>
        <v>#N/A</v>
      </c>
      <c r="AR65" s="29" t="e">
        <f t="shared" si="52"/>
        <v>#N/A</v>
      </c>
      <c r="AS65" s="29" t="e">
        <f t="shared" si="53"/>
        <v>#N/A</v>
      </c>
      <c r="AT65" s="29" t="e">
        <f t="shared" si="54"/>
        <v>#N/A</v>
      </c>
      <c r="AU65" s="29" t="e">
        <f t="shared" si="55"/>
        <v>#N/A</v>
      </c>
      <c r="AV65" s="29" t="e">
        <f t="shared" si="56"/>
        <v>#N/A</v>
      </c>
      <c r="AW65" s="29" t="e">
        <f t="shared" si="57"/>
        <v>#N/A</v>
      </c>
      <c r="AX65" s="29" t="e">
        <f t="shared" si="58"/>
        <v>#N/A</v>
      </c>
      <c r="AY65" s="29" t="e">
        <f t="shared" si="59"/>
        <v>#N/A</v>
      </c>
      <c r="AZ65" s="29" t="e">
        <f t="shared" si="60"/>
        <v>#N/A</v>
      </c>
      <c r="BA65" s="29" t="e">
        <f t="shared" si="61"/>
        <v>#N/A</v>
      </c>
      <c r="BB65" s="29" t="e">
        <f t="shared" si="62"/>
        <v>#N/A</v>
      </c>
      <c r="BC65" s="29" t="e">
        <f t="shared" si="63"/>
        <v>#N/A</v>
      </c>
      <c r="BD65" s="29" t="e">
        <f t="shared" si="64"/>
        <v>#N/A</v>
      </c>
      <c r="BE65" s="29" t="e">
        <f t="shared" si="65"/>
        <v>#N/A</v>
      </c>
      <c r="BF65" s="29" t="e">
        <f t="shared" si="66"/>
        <v>#N/A</v>
      </c>
      <c r="BG65" s="29" t="e">
        <f t="shared" si="67"/>
        <v>#N/A</v>
      </c>
      <c r="BH65" s="29" t="e">
        <f t="shared" si="68"/>
        <v>#N/A</v>
      </c>
      <c r="BI65" s="29" t="e">
        <f t="shared" si="69"/>
        <v>#N/A</v>
      </c>
      <c r="BJ65" s="29" t="e">
        <f t="shared" si="70"/>
        <v>#N/A</v>
      </c>
      <c r="BK65" s="29" t="e">
        <f t="shared" si="71"/>
        <v>#N/A</v>
      </c>
    </row>
    <row r="66" spans="33:63" x14ac:dyDescent="0.25">
      <c r="AG66" s="25" t="str">
        <f t="shared" si="72"/>
        <v>X</v>
      </c>
      <c r="AH66" s="29" t="e">
        <f t="shared" si="42"/>
        <v>#N/A</v>
      </c>
      <c r="AI66" s="29" t="e">
        <f t="shared" si="43"/>
        <v>#N/A</v>
      </c>
      <c r="AJ66" s="29" t="e">
        <f t="shared" si="44"/>
        <v>#N/A</v>
      </c>
      <c r="AK66" s="29" t="e">
        <f t="shared" si="45"/>
        <v>#N/A</v>
      </c>
      <c r="AL66" s="29" t="e">
        <f t="shared" si="46"/>
        <v>#N/A</v>
      </c>
      <c r="AM66" s="29" t="e">
        <f t="shared" si="47"/>
        <v>#N/A</v>
      </c>
      <c r="AN66" s="29" t="e">
        <f t="shared" si="48"/>
        <v>#N/A</v>
      </c>
      <c r="AO66" s="29" t="e">
        <f t="shared" si="49"/>
        <v>#N/A</v>
      </c>
      <c r="AP66" s="29" t="e">
        <f t="shared" si="50"/>
        <v>#N/A</v>
      </c>
      <c r="AQ66" s="29" t="e">
        <f t="shared" si="51"/>
        <v>#N/A</v>
      </c>
      <c r="AR66" s="29" t="e">
        <f t="shared" si="52"/>
        <v>#N/A</v>
      </c>
      <c r="AS66" s="29" t="e">
        <f t="shared" si="53"/>
        <v>#N/A</v>
      </c>
      <c r="AT66" s="29" t="e">
        <f t="shared" si="54"/>
        <v>#N/A</v>
      </c>
      <c r="AU66" s="29" t="e">
        <f t="shared" si="55"/>
        <v>#N/A</v>
      </c>
      <c r="AV66" s="29" t="e">
        <f t="shared" si="56"/>
        <v>#N/A</v>
      </c>
      <c r="AW66" s="29" t="e">
        <f t="shared" si="57"/>
        <v>#N/A</v>
      </c>
      <c r="AX66" s="29" t="e">
        <f t="shared" si="58"/>
        <v>#N/A</v>
      </c>
      <c r="AY66" s="29" t="e">
        <f t="shared" si="59"/>
        <v>#N/A</v>
      </c>
      <c r="AZ66" s="29" t="e">
        <f t="shared" si="60"/>
        <v>#N/A</v>
      </c>
      <c r="BA66" s="29" t="e">
        <f t="shared" si="61"/>
        <v>#N/A</v>
      </c>
      <c r="BB66" s="29" t="e">
        <f t="shared" si="62"/>
        <v>#N/A</v>
      </c>
      <c r="BC66" s="29" t="e">
        <f t="shared" si="63"/>
        <v>#N/A</v>
      </c>
      <c r="BD66" s="29" t="e">
        <f t="shared" si="64"/>
        <v>#N/A</v>
      </c>
      <c r="BE66" s="29" t="e">
        <f t="shared" si="65"/>
        <v>#N/A</v>
      </c>
      <c r="BF66" s="29" t="e">
        <f t="shared" si="66"/>
        <v>#N/A</v>
      </c>
      <c r="BG66" s="29" t="e">
        <f t="shared" si="67"/>
        <v>#N/A</v>
      </c>
      <c r="BH66" s="29" t="e">
        <f t="shared" si="68"/>
        <v>#N/A</v>
      </c>
      <c r="BI66" s="29" t="e">
        <f t="shared" si="69"/>
        <v>#N/A</v>
      </c>
      <c r="BJ66" s="29" t="e">
        <f t="shared" si="70"/>
        <v>#N/A</v>
      </c>
      <c r="BK66" s="29" t="e">
        <f t="shared" si="71"/>
        <v>#N/A</v>
      </c>
    </row>
    <row r="67" spans="33:63" x14ac:dyDescent="0.25">
      <c r="AG67" s="25" t="str">
        <f t="shared" si="72"/>
        <v>X</v>
      </c>
      <c r="AH67" s="29" t="e">
        <f t="shared" si="42"/>
        <v>#N/A</v>
      </c>
      <c r="AI67" s="29" t="e">
        <f t="shared" si="43"/>
        <v>#N/A</v>
      </c>
      <c r="AJ67" s="29" t="e">
        <f t="shared" si="44"/>
        <v>#N/A</v>
      </c>
      <c r="AK67" s="29" t="e">
        <f t="shared" si="45"/>
        <v>#N/A</v>
      </c>
      <c r="AL67" s="29" t="e">
        <f t="shared" si="46"/>
        <v>#N/A</v>
      </c>
      <c r="AM67" s="29" t="e">
        <f t="shared" si="47"/>
        <v>#N/A</v>
      </c>
      <c r="AN67" s="29" t="e">
        <f t="shared" si="48"/>
        <v>#N/A</v>
      </c>
      <c r="AO67" s="29" t="e">
        <f t="shared" si="49"/>
        <v>#N/A</v>
      </c>
      <c r="AP67" s="29" t="e">
        <f t="shared" si="50"/>
        <v>#N/A</v>
      </c>
      <c r="AQ67" s="29" t="e">
        <f t="shared" si="51"/>
        <v>#N/A</v>
      </c>
      <c r="AR67" s="29" t="e">
        <f t="shared" si="52"/>
        <v>#N/A</v>
      </c>
      <c r="AS67" s="29" t="e">
        <f t="shared" si="53"/>
        <v>#N/A</v>
      </c>
      <c r="AT67" s="29" t="e">
        <f t="shared" si="54"/>
        <v>#N/A</v>
      </c>
      <c r="AU67" s="29" t="e">
        <f t="shared" si="55"/>
        <v>#N/A</v>
      </c>
      <c r="AV67" s="29" t="e">
        <f t="shared" si="56"/>
        <v>#N/A</v>
      </c>
      <c r="AW67" s="29" t="e">
        <f t="shared" si="57"/>
        <v>#N/A</v>
      </c>
      <c r="AX67" s="29" t="e">
        <f t="shared" si="58"/>
        <v>#N/A</v>
      </c>
      <c r="AY67" s="29" t="e">
        <f t="shared" si="59"/>
        <v>#N/A</v>
      </c>
      <c r="AZ67" s="29" t="e">
        <f t="shared" si="60"/>
        <v>#N/A</v>
      </c>
      <c r="BA67" s="29" t="e">
        <f t="shared" si="61"/>
        <v>#N/A</v>
      </c>
      <c r="BB67" s="29" t="e">
        <f t="shared" si="62"/>
        <v>#N/A</v>
      </c>
      <c r="BC67" s="29" t="e">
        <f t="shared" si="63"/>
        <v>#N/A</v>
      </c>
      <c r="BD67" s="29" t="e">
        <f t="shared" si="64"/>
        <v>#N/A</v>
      </c>
      <c r="BE67" s="29" t="e">
        <f t="shared" si="65"/>
        <v>#N/A</v>
      </c>
      <c r="BF67" s="29" t="e">
        <f t="shared" si="66"/>
        <v>#N/A</v>
      </c>
      <c r="BG67" s="29" t="e">
        <f t="shared" si="67"/>
        <v>#N/A</v>
      </c>
      <c r="BH67" s="29" t="e">
        <f t="shared" si="68"/>
        <v>#N/A</v>
      </c>
      <c r="BI67" s="29" t="e">
        <f t="shared" si="69"/>
        <v>#N/A</v>
      </c>
      <c r="BJ67" s="29" t="e">
        <f t="shared" si="70"/>
        <v>#N/A</v>
      </c>
      <c r="BK67" s="29" t="e">
        <f t="shared" si="71"/>
        <v>#N/A</v>
      </c>
    </row>
    <row r="68" spans="33:63" x14ac:dyDescent="0.25">
      <c r="AG68" s="26" t="str">
        <f t="shared" si="72"/>
        <v>X</v>
      </c>
      <c r="AH68" s="30" t="e">
        <f t="shared" si="42"/>
        <v>#N/A</v>
      </c>
      <c r="AI68" s="30" t="e">
        <f t="shared" si="43"/>
        <v>#N/A</v>
      </c>
      <c r="AJ68" s="30" t="e">
        <f t="shared" si="44"/>
        <v>#N/A</v>
      </c>
      <c r="AK68" s="30" t="e">
        <f t="shared" si="45"/>
        <v>#N/A</v>
      </c>
      <c r="AL68" s="30" t="e">
        <f t="shared" si="46"/>
        <v>#N/A</v>
      </c>
      <c r="AM68" s="30" t="e">
        <f t="shared" si="47"/>
        <v>#N/A</v>
      </c>
      <c r="AN68" s="30" t="e">
        <f t="shared" si="48"/>
        <v>#N/A</v>
      </c>
      <c r="AO68" s="30" t="e">
        <f t="shared" si="49"/>
        <v>#N/A</v>
      </c>
      <c r="AP68" s="30" t="e">
        <f t="shared" si="50"/>
        <v>#N/A</v>
      </c>
      <c r="AQ68" s="30" t="e">
        <f t="shared" si="51"/>
        <v>#N/A</v>
      </c>
      <c r="AR68" s="30" t="e">
        <f t="shared" si="52"/>
        <v>#N/A</v>
      </c>
      <c r="AS68" s="30" t="e">
        <f t="shared" si="53"/>
        <v>#N/A</v>
      </c>
      <c r="AT68" s="30" t="e">
        <f t="shared" si="54"/>
        <v>#N/A</v>
      </c>
      <c r="AU68" s="30" t="e">
        <f t="shared" si="55"/>
        <v>#N/A</v>
      </c>
      <c r="AV68" s="30" t="e">
        <f t="shared" si="56"/>
        <v>#N/A</v>
      </c>
      <c r="AW68" s="30" t="e">
        <f t="shared" si="57"/>
        <v>#N/A</v>
      </c>
      <c r="AX68" s="30" t="e">
        <f t="shared" si="58"/>
        <v>#N/A</v>
      </c>
      <c r="AY68" s="30" t="e">
        <f t="shared" si="59"/>
        <v>#N/A</v>
      </c>
      <c r="AZ68" s="30" t="e">
        <f t="shared" si="60"/>
        <v>#N/A</v>
      </c>
      <c r="BA68" s="30" t="e">
        <f t="shared" si="61"/>
        <v>#N/A</v>
      </c>
      <c r="BB68" s="30" t="e">
        <f t="shared" si="62"/>
        <v>#N/A</v>
      </c>
      <c r="BC68" s="30" t="e">
        <f t="shared" si="63"/>
        <v>#N/A</v>
      </c>
      <c r="BD68" s="30" t="e">
        <f t="shared" si="64"/>
        <v>#N/A</v>
      </c>
      <c r="BE68" s="30" t="e">
        <f t="shared" si="65"/>
        <v>#N/A</v>
      </c>
      <c r="BF68" s="30" t="e">
        <f t="shared" si="66"/>
        <v>#N/A</v>
      </c>
      <c r="BG68" s="30" t="e">
        <f t="shared" si="67"/>
        <v>#N/A</v>
      </c>
      <c r="BH68" s="30" t="e">
        <f t="shared" si="68"/>
        <v>#N/A</v>
      </c>
      <c r="BI68" s="30" t="e">
        <f t="shared" si="69"/>
        <v>#N/A</v>
      </c>
      <c r="BJ68" s="30" t="e">
        <f t="shared" si="70"/>
        <v>#N/A</v>
      </c>
      <c r="BK68" s="30" t="e">
        <f t="shared" si="71"/>
        <v>#N/A</v>
      </c>
    </row>
    <row r="69" spans="33:63" x14ac:dyDescent="0.25">
      <c r="AG69" s="5"/>
    </row>
    <row r="70" spans="33:63" ht="18" x14ac:dyDescent="0.35">
      <c r="AG70" s="21" t="s">
        <v>72</v>
      </c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22"/>
      <c r="BA70" s="22"/>
      <c r="BB70" s="22"/>
      <c r="BC70" s="22"/>
      <c r="BD70" s="22"/>
      <c r="BE70" s="22"/>
      <c r="BF70" s="22"/>
      <c r="BG70" s="22"/>
      <c r="BH70" s="22"/>
      <c r="BI70" s="22"/>
      <c r="BJ70" s="22"/>
      <c r="BK70" s="23"/>
    </row>
    <row r="71" spans="33:63" x14ac:dyDescent="0.25">
      <c r="AG71" s="20"/>
      <c r="AH71" s="27" t="str">
        <f>$B$19</f>
        <v>fn_1</v>
      </c>
      <c r="AI71" s="27" t="str">
        <f>$B$20</f>
        <v>fn_2</v>
      </c>
      <c r="AJ71" s="27" t="str">
        <f>$B$21</f>
        <v>fn_3</v>
      </c>
      <c r="AK71" s="27" t="str">
        <f>$B$22</f>
        <v>fn_4</v>
      </c>
      <c r="AL71" s="27" t="str">
        <f>$B$23</f>
        <v>fn_5</v>
      </c>
      <c r="AM71" s="27" t="str">
        <f>$B$24</f>
        <v>fn_6</v>
      </c>
      <c r="AN71" s="27" t="str">
        <f>$B$25</f>
        <v>fn_7</v>
      </c>
      <c r="AO71" s="27" t="str">
        <f>$B$26</f>
        <v>fn_8</v>
      </c>
      <c r="AP71" s="27" t="str">
        <f>$B$27</f>
        <v>fn_9</v>
      </c>
      <c r="AQ71" s="27" t="str">
        <f>$B$28</f>
        <v>fn_10</v>
      </c>
      <c r="AR71" s="27" t="str">
        <f>$B$29</f>
        <v>fn_11</v>
      </c>
      <c r="AS71" s="27" t="str">
        <f>$B$30</f>
        <v>fn_12</v>
      </c>
      <c r="AT71" s="27" t="str">
        <f>$B$31</f>
        <v>fn_13</v>
      </c>
      <c r="AU71" s="27" t="str">
        <f>$B$32</f>
        <v>fn_14</v>
      </c>
      <c r="AV71" s="27" t="str">
        <f>$B$33</f>
        <v>fn_15</v>
      </c>
      <c r="AW71" s="27" t="str">
        <f>$B$34</f>
        <v>fn_16</v>
      </c>
      <c r="AX71" s="27" t="str">
        <f>$B$35</f>
        <v>fn_17</v>
      </c>
      <c r="AY71" s="27" t="str">
        <f>$B$36</f>
        <v>fn_18</v>
      </c>
      <c r="AZ71" s="27" t="str">
        <f>$B$37</f>
        <v>fn_19</v>
      </c>
      <c r="BA71" s="27" t="str">
        <f>$B$38</f>
        <v>fn_20</v>
      </c>
      <c r="BB71" s="27" t="str">
        <f>$B$39</f>
        <v>fn_21</v>
      </c>
      <c r="BC71" s="27" t="str">
        <f>$B$40</f>
        <v>fn_22</v>
      </c>
      <c r="BD71" s="27" t="str">
        <f>$B$41</f>
        <v>fn_23</v>
      </c>
      <c r="BE71" s="27" t="str">
        <f>$B$42</f>
        <v>fn_24</v>
      </c>
      <c r="BF71" s="27" t="str">
        <f>$B$43</f>
        <v>fn_25</v>
      </c>
      <c r="BG71" s="27" t="str">
        <f>$B$44</f>
        <v>fn_26</v>
      </c>
      <c r="BH71" s="27" t="str">
        <f>$B$45</f>
        <v>fn_27</v>
      </c>
      <c r="BI71" s="27" t="str">
        <f>$B$46</f>
        <v>fn_28</v>
      </c>
      <c r="BJ71" s="27" t="str">
        <f>$B$47</f>
        <v>fn_29</v>
      </c>
      <c r="BK71" s="27" t="str">
        <f>$B$48</f>
        <v>fn_30</v>
      </c>
    </row>
    <row r="72" spans="33:63" x14ac:dyDescent="0.25">
      <c r="AG72" s="24" t="str">
        <f>$M19</f>
        <v>1X</v>
      </c>
      <c r="AH72" s="28">
        <f t="shared" ref="AH72:AH101" si="73">IF(C138&lt;$C$5,(C138-$C$5)/$C$5,IF(C138&gt;$C$6,(C138-$C$6)/$C$6,0))</f>
        <v>0</v>
      </c>
      <c r="AI72" s="28">
        <f t="shared" ref="AI72:AI101" si="74">IF(D138&lt;$C$5,(D138-$C$5)/$C$5,IF(D138&gt;$C$6,(D138-$C$6)/$C$6,0))</f>
        <v>0</v>
      </c>
      <c r="AJ72" s="28" t="e">
        <f t="shared" ref="AJ72:AJ101" si="75">IF(E138&lt;$C$5,(E138-$C$5)/$C$5,IF(E138&gt;$C$6,(E138-$C$6)/$C$6,0))</f>
        <v>#N/A</v>
      </c>
      <c r="AK72" s="28" t="e">
        <f t="shared" ref="AK72:AK101" si="76">IF(F138&lt;$C$5,(F138-$C$5)/$C$5,IF(F138&gt;$C$6,(F138-$C$6)/$C$6,0))</f>
        <v>#N/A</v>
      </c>
      <c r="AL72" s="28" t="e">
        <f t="shared" ref="AL72:AL101" si="77">IF(G138&lt;$C$5,(G138-$C$5)/$C$5,IF(G138&gt;$C$6,(G138-$C$6)/$C$6,0))</f>
        <v>#N/A</v>
      </c>
      <c r="AM72" s="28" t="e">
        <f t="shared" ref="AM72:AM101" si="78">IF(H138&lt;$C$5,(H138-$C$5)/$C$5,IF(H138&gt;$C$6,(H138-$C$6)/$C$6,0))</f>
        <v>#N/A</v>
      </c>
      <c r="AN72" s="28" t="e">
        <f t="shared" ref="AN72:AN101" si="79">IF(I138&lt;$C$5,(I138-$C$5)/$C$5,IF(I138&gt;$C$6,(I138-$C$6)/$C$6,0))</f>
        <v>#N/A</v>
      </c>
      <c r="AO72" s="28" t="e">
        <f t="shared" ref="AO72:AO101" si="80">IF(J138&lt;$C$5,(J138-$C$5)/$C$5,IF(J138&gt;$C$6,(J138-$C$6)/$C$6,0))</f>
        <v>#N/A</v>
      </c>
      <c r="AP72" s="28" t="e">
        <f t="shared" ref="AP72:AP101" si="81">IF(K138&lt;$C$5,(K138-$C$5)/$C$5,IF(K138&gt;$C$6,(K138-$C$6)/$C$6,0))</f>
        <v>#N/A</v>
      </c>
      <c r="AQ72" s="28" t="e">
        <f t="shared" ref="AQ72:AQ101" si="82">IF(L138&lt;$C$5,(L138-$C$5)/$C$5,IF(L138&gt;$C$6,(L138-$C$6)/$C$6,0))</f>
        <v>#N/A</v>
      </c>
      <c r="AR72" s="28" t="e">
        <f t="shared" ref="AR72:AR101" si="83">IF(M138&lt;$C$5,(M138-$C$5)/$C$5,IF(M138&gt;$C$6,(M138-$C$6)/$C$6,0))</f>
        <v>#N/A</v>
      </c>
      <c r="AS72" s="28" t="e">
        <f t="shared" ref="AS72:AS101" si="84">IF(N138&lt;$C$5,(N138-$C$5)/$C$5,IF(N138&gt;$C$6,(N138-$C$6)/$C$6,0))</f>
        <v>#N/A</v>
      </c>
      <c r="AT72" s="28" t="e">
        <f t="shared" ref="AT72:AT101" si="85">IF(O138&lt;$C$5,(O138-$C$5)/$C$5,IF(O138&gt;$C$6,(O138-$C$6)/$C$6,0))</f>
        <v>#N/A</v>
      </c>
      <c r="AU72" s="28" t="e">
        <f t="shared" ref="AU72:AU101" si="86">IF(P138&lt;$C$5,(P138-$C$5)/$C$5,IF(P138&gt;$C$6,(P138-$C$6)/$C$6,0))</f>
        <v>#N/A</v>
      </c>
      <c r="AV72" s="28" t="e">
        <f t="shared" ref="AV72:AV101" si="87">IF(Q138&lt;$C$5,(Q138-$C$5)/$C$5,IF(Q138&gt;$C$6,(Q138-$C$6)/$C$6,0))</f>
        <v>#N/A</v>
      </c>
      <c r="AW72" s="28" t="e">
        <f t="shared" ref="AW72:AW101" si="88">IF(R138&lt;$C$5,(R138-$C$5)/$C$5,IF(R138&gt;$C$6,(R138-$C$6)/$C$6,0))</f>
        <v>#N/A</v>
      </c>
      <c r="AX72" s="28" t="e">
        <f t="shared" ref="AX72:AX101" si="89">IF(S138&lt;$C$5,(S138-$C$5)/$C$5,IF(S138&gt;$C$6,(S138-$C$6)/$C$6,0))</f>
        <v>#N/A</v>
      </c>
      <c r="AY72" s="28" t="e">
        <f t="shared" ref="AY72:AY101" si="90">IF(T138&lt;$C$5,(T138-$C$5)/$C$5,IF(T138&gt;$C$6,(T138-$C$6)/$C$6,0))</f>
        <v>#N/A</v>
      </c>
      <c r="AZ72" s="28" t="e">
        <f t="shared" ref="AZ72:AZ101" si="91">IF(U138&lt;$C$5,(U138-$C$5)/$C$5,IF(U138&gt;$C$6,(U138-$C$6)/$C$6,0))</f>
        <v>#N/A</v>
      </c>
      <c r="BA72" s="28" t="e">
        <f t="shared" ref="BA72:BA101" si="92">IF(V138&lt;$C$5,(V138-$C$5)/$C$5,IF(V138&gt;$C$6,(V138-$C$6)/$C$6,0))</f>
        <v>#N/A</v>
      </c>
      <c r="BB72" s="28" t="e">
        <f t="shared" ref="BB72:BB101" si="93">IF(W138&lt;$C$5,(W138-$C$5)/$C$5,IF(W138&gt;$C$6,(W138-$C$6)/$C$6,0))</f>
        <v>#N/A</v>
      </c>
      <c r="BC72" s="28" t="e">
        <f t="shared" ref="BC72:BC101" si="94">IF(X138&lt;$C$5,(X138-$C$5)/$C$5,IF(X138&gt;$C$6,(X138-$C$6)/$C$6,0))</f>
        <v>#N/A</v>
      </c>
      <c r="BD72" s="28" t="e">
        <f t="shared" ref="BD72:BD101" si="95">IF(Y138&lt;$C$5,(Y138-$C$5)/$C$5,IF(Y138&gt;$C$6,(Y138-$C$6)/$C$6,0))</f>
        <v>#N/A</v>
      </c>
      <c r="BE72" s="28" t="e">
        <f t="shared" ref="BE72:BE101" si="96">IF(Z138&lt;$C$5,(Z138-$C$5)/$C$5,IF(Z138&gt;$C$6,(Z138-$C$6)/$C$6,0))</f>
        <v>#N/A</v>
      </c>
      <c r="BF72" s="28" t="e">
        <f t="shared" ref="BF72:BF101" si="97">IF(AA138&lt;$C$5,(AA138-$C$5)/$C$5,IF(AA138&gt;$C$6,(AA138-$C$6)/$C$6,0))</f>
        <v>#N/A</v>
      </c>
      <c r="BG72" s="28" t="e">
        <f t="shared" ref="BG72:BG101" si="98">IF(AB138&lt;$C$5,(AB138-$C$5)/$C$5,IF(AB138&gt;$C$6,(AB138-$C$6)/$C$6,0))</f>
        <v>#N/A</v>
      </c>
      <c r="BH72" s="28" t="e">
        <f t="shared" ref="BH72:BH101" si="99">IF(AC138&lt;$C$5,(AC138-$C$5)/$C$5,IF(AC138&gt;$C$6,(AC138-$C$6)/$C$6,0))</f>
        <v>#N/A</v>
      </c>
      <c r="BI72" s="28" t="e">
        <f t="shared" ref="BI72:BI101" si="100">IF(AD138&lt;$C$5,(AD138-$C$5)/$C$5,IF(AD138&gt;$C$6,(AD138-$C$6)/$C$6,0))</f>
        <v>#N/A</v>
      </c>
      <c r="BJ72" s="28" t="e">
        <f t="shared" ref="BJ72:BJ101" si="101">IF(AE138&lt;$C$5,(AE138-$C$5)/$C$5,IF(AE138&gt;$C$6,(AE138-$C$6)/$C$6,0))</f>
        <v>#N/A</v>
      </c>
      <c r="BK72" s="28" t="e">
        <f t="shared" ref="BK72:BK101" si="102">IF(AF138&lt;$C$5,(AF138-$C$5)/$C$5,IF(AF138&gt;$C$6,(AF138-$C$6)/$C$6,0))</f>
        <v>#N/A</v>
      </c>
    </row>
    <row r="73" spans="33:63" x14ac:dyDescent="0.25">
      <c r="AG73" s="25" t="str">
        <f t="shared" ref="AG73:AG101" si="103">$M20</f>
        <v>2X</v>
      </c>
      <c r="AH73" s="29">
        <f t="shared" si="73"/>
        <v>0</v>
      </c>
      <c r="AI73" s="29">
        <f t="shared" si="74"/>
        <v>0</v>
      </c>
      <c r="AJ73" s="29">
        <f t="shared" si="75"/>
        <v>0</v>
      </c>
      <c r="AK73" s="29">
        <f t="shared" si="76"/>
        <v>4.6859421734795612E-2</v>
      </c>
      <c r="AL73" s="29" t="e">
        <f t="shared" si="77"/>
        <v>#N/A</v>
      </c>
      <c r="AM73" s="29" t="e">
        <f t="shared" si="78"/>
        <v>#N/A</v>
      </c>
      <c r="AN73" s="29" t="e">
        <f t="shared" si="79"/>
        <v>#N/A</v>
      </c>
      <c r="AO73" s="29" t="e">
        <f t="shared" si="80"/>
        <v>#N/A</v>
      </c>
      <c r="AP73" s="29" t="e">
        <f t="shared" si="81"/>
        <v>#N/A</v>
      </c>
      <c r="AQ73" s="29" t="e">
        <f t="shared" si="82"/>
        <v>#N/A</v>
      </c>
      <c r="AR73" s="29" t="e">
        <f t="shared" si="83"/>
        <v>#N/A</v>
      </c>
      <c r="AS73" s="29" t="e">
        <f t="shared" si="84"/>
        <v>#N/A</v>
      </c>
      <c r="AT73" s="29" t="e">
        <f t="shared" si="85"/>
        <v>#N/A</v>
      </c>
      <c r="AU73" s="29" t="e">
        <f t="shared" si="86"/>
        <v>#N/A</v>
      </c>
      <c r="AV73" s="29" t="e">
        <f t="shared" si="87"/>
        <v>#N/A</v>
      </c>
      <c r="AW73" s="29" t="e">
        <f t="shared" si="88"/>
        <v>#N/A</v>
      </c>
      <c r="AX73" s="29" t="e">
        <f t="shared" si="89"/>
        <v>#N/A</v>
      </c>
      <c r="AY73" s="29" t="e">
        <f t="shared" si="90"/>
        <v>#N/A</v>
      </c>
      <c r="AZ73" s="29" t="e">
        <f t="shared" si="91"/>
        <v>#N/A</v>
      </c>
      <c r="BA73" s="29" t="e">
        <f t="shared" si="92"/>
        <v>#N/A</v>
      </c>
      <c r="BB73" s="29" t="e">
        <f t="shared" si="93"/>
        <v>#N/A</v>
      </c>
      <c r="BC73" s="29" t="e">
        <f t="shared" si="94"/>
        <v>#N/A</v>
      </c>
      <c r="BD73" s="29" t="e">
        <f t="shared" si="95"/>
        <v>#N/A</v>
      </c>
      <c r="BE73" s="29" t="e">
        <f t="shared" si="96"/>
        <v>#N/A</v>
      </c>
      <c r="BF73" s="29" t="e">
        <f t="shared" si="97"/>
        <v>#N/A</v>
      </c>
      <c r="BG73" s="29" t="e">
        <f t="shared" si="98"/>
        <v>#N/A</v>
      </c>
      <c r="BH73" s="29" t="e">
        <f t="shared" si="99"/>
        <v>#N/A</v>
      </c>
      <c r="BI73" s="29" t="e">
        <f t="shared" si="100"/>
        <v>#N/A</v>
      </c>
      <c r="BJ73" s="29" t="e">
        <f t="shared" si="101"/>
        <v>#N/A</v>
      </c>
      <c r="BK73" s="29" t="e">
        <f t="shared" si="102"/>
        <v>#N/A</v>
      </c>
    </row>
    <row r="74" spans="33:63" x14ac:dyDescent="0.25">
      <c r="AG74" s="25" t="str">
        <f t="shared" si="103"/>
        <v>5X</v>
      </c>
      <c r="AH74" s="29">
        <f t="shared" si="73"/>
        <v>-0.51515151515151514</v>
      </c>
      <c r="AI74" s="29">
        <f t="shared" si="74"/>
        <v>-0.32659932659932661</v>
      </c>
      <c r="AJ74" s="29">
        <f t="shared" si="75"/>
        <v>0</v>
      </c>
      <c r="AK74" s="29">
        <f t="shared" si="76"/>
        <v>0</v>
      </c>
      <c r="AL74" s="29">
        <f t="shared" si="77"/>
        <v>0</v>
      </c>
      <c r="AM74" s="29" t="e">
        <f t="shared" si="78"/>
        <v>#N/A</v>
      </c>
      <c r="AN74" s="29" t="e">
        <f t="shared" si="79"/>
        <v>#N/A</v>
      </c>
      <c r="AO74" s="29" t="e">
        <f t="shared" si="80"/>
        <v>#N/A</v>
      </c>
      <c r="AP74" s="29" t="e">
        <f t="shared" si="81"/>
        <v>#N/A</v>
      </c>
      <c r="AQ74" s="29" t="e">
        <f t="shared" si="82"/>
        <v>#N/A</v>
      </c>
      <c r="AR74" s="29" t="e">
        <f t="shared" si="83"/>
        <v>#N/A</v>
      </c>
      <c r="AS74" s="29" t="e">
        <f t="shared" si="84"/>
        <v>#N/A</v>
      </c>
      <c r="AT74" s="29" t="e">
        <f t="shared" si="85"/>
        <v>#N/A</v>
      </c>
      <c r="AU74" s="29" t="e">
        <f t="shared" si="86"/>
        <v>#N/A</v>
      </c>
      <c r="AV74" s="29" t="e">
        <f t="shared" si="87"/>
        <v>#N/A</v>
      </c>
      <c r="AW74" s="29" t="e">
        <f t="shared" si="88"/>
        <v>#N/A</v>
      </c>
      <c r="AX74" s="29" t="e">
        <f t="shared" si="89"/>
        <v>#N/A</v>
      </c>
      <c r="AY74" s="29" t="e">
        <f t="shared" si="90"/>
        <v>#N/A</v>
      </c>
      <c r="AZ74" s="29" t="e">
        <f t="shared" si="91"/>
        <v>#N/A</v>
      </c>
      <c r="BA74" s="29" t="e">
        <f t="shared" si="92"/>
        <v>#N/A</v>
      </c>
      <c r="BB74" s="29" t="e">
        <f t="shared" si="93"/>
        <v>#N/A</v>
      </c>
      <c r="BC74" s="29" t="e">
        <f t="shared" si="94"/>
        <v>#N/A</v>
      </c>
      <c r="BD74" s="29" t="e">
        <f t="shared" si="95"/>
        <v>#N/A</v>
      </c>
      <c r="BE74" s="29" t="e">
        <f t="shared" si="96"/>
        <v>#N/A</v>
      </c>
      <c r="BF74" s="29" t="e">
        <f t="shared" si="97"/>
        <v>#N/A</v>
      </c>
      <c r="BG74" s="29" t="e">
        <f t="shared" si="98"/>
        <v>#N/A</v>
      </c>
      <c r="BH74" s="29" t="e">
        <f t="shared" si="99"/>
        <v>#N/A</v>
      </c>
      <c r="BI74" s="29" t="e">
        <f t="shared" si="100"/>
        <v>#N/A</v>
      </c>
      <c r="BJ74" s="29" t="e">
        <f t="shared" si="101"/>
        <v>#N/A</v>
      </c>
      <c r="BK74" s="29" t="e">
        <f t="shared" si="102"/>
        <v>#N/A</v>
      </c>
    </row>
    <row r="75" spans="33:63" x14ac:dyDescent="0.25">
      <c r="AG75" s="25" t="str">
        <f t="shared" si="103"/>
        <v>X</v>
      </c>
      <c r="AH75" s="29" t="e">
        <f t="shared" si="73"/>
        <v>#N/A</v>
      </c>
      <c r="AI75" s="29" t="e">
        <f t="shared" si="74"/>
        <v>#N/A</v>
      </c>
      <c r="AJ75" s="29" t="e">
        <f t="shared" si="75"/>
        <v>#N/A</v>
      </c>
      <c r="AK75" s="29" t="e">
        <f t="shared" si="76"/>
        <v>#N/A</v>
      </c>
      <c r="AL75" s="29" t="e">
        <f t="shared" si="77"/>
        <v>#N/A</v>
      </c>
      <c r="AM75" s="29" t="e">
        <f t="shared" si="78"/>
        <v>#N/A</v>
      </c>
      <c r="AN75" s="29" t="e">
        <f t="shared" si="79"/>
        <v>#N/A</v>
      </c>
      <c r="AO75" s="29" t="e">
        <f t="shared" si="80"/>
        <v>#N/A</v>
      </c>
      <c r="AP75" s="29" t="e">
        <f t="shared" si="81"/>
        <v>#N/A</v>
      </c>
      <c r="AQ75" s="29" t="e">
        <f t="shared" si="82"/>
        <v>#N/A</v>
      </c>
      <c r="AR75" s="29" t="e">
        <f t="shared" si="83"/>
        <v>#N/A</v>
      </c>
      <c r="AS75" s="29" t="e">
        <f t="shared" si="84"/>
        <v>#N/A</v>
      </c>
      <c r="AT75" s="29" t="e">
        <f t="shared" si="85"/>
        <v>#N/A</v>
      </c>
      <c r="AU75" s="29" t="e">
        <f t="shared" si="86"/>
        <v>#N/A</v>
      </c>
      <c r="AV75" s="29" t="e">
        <f t="shared" si="87"/>
        <v>#N/A</v>
      </c>
      <c r="AW75" s="29" t="e">
        <f t="shared" si="88"/>
        <v>#N/A</v>
      </c>
      <c r="AX75" s="29" t="e">
        <f t="shared" si="89"/>
        <v>#N/A</v>
      </c>
      <c r="AY75" s="29" t="e">
        <f t="shared" si="90"/>
        <v>#N/A</v>
      </c>
      <c r="AZ75" s="29" t="e">
        <f t="shared" si="91"/>
        <v>#N/A</v>
      </c>
      <c r="BA75" s="29" t="e">
        <f t="shared" si="92"/>
        <v>#N/A</v>
      </c>
      <c r="BB75" s="29" t="e">
        <f t="shared" si="93"/>
        <v>#N/A</v>
      </c>
      <c r="BC75" s="29" t="e">
        <f t="shared" si="94"/>
        <v>#N/A</v>
      </c>
      <c r="BD75" s="29" t="e">
        <f t="shared" si="95"/>
        <v>#N/A</v>
      </c>
      <c r="BE75" s="29" t="e">
        <f t="shared" si="96"/>
        <v>#N/A</v>
      </c>
      <c r="BF75" s="29" t="e">
        <f t="shared" si="97"/>
        <v>#N/A</v>
      </c>
      <c r="BG75" s="29" t="e">
        <f t="shared" si="98"/>
        <v>#N/A</v>
      </c>
      <c r="BH75" s="29" t="e">
        <f t="shared" si="99"/>
        <v>#N/A</v>
      </c>
      <c r="BI75" s="29" t="e">
        <f t="shared" si="100"/>
        <v>#N/A</v>
      </c>
      <c r="BJ75" s="29" t="e">
        <f t="shared" si="101"/>
        <v>#N/A</v>
      </c>
      <c r="BK75" s="29" t="e">
        <f t="shared" si="102"/>
        <v>#N/A</v>
      </c>
    </row>
    <row r="76" spans="33:63" x14ac:dyDescent="0.25">
      <c r="AG76" s="25" t="str">
        <f t="shared" si="103"/>
        <v>X</v>
      </c>
      <c r="AH76" s="29" t="e">
        <f t="shared" si="73"/>
        <v>#N/A</v>
      </c>
      <c r="AI76" s="29" t="e">
        <f t="shared" si="74"/>
        <v>#N/A</v>
      </c>
      <c r="AJ76" s="29" t="e">
        <f t="shared" si="75"/>
        <v>#N/A</v>
      </c>
      <c r="AK76" s="29" t="e">
        <f t="shared" si="76"/>
        <v>#N/A</v>
      </c>
      <c r="AL76" s="29" t="e">
        <f t="shared" si="77"/>
        <v>#N/A</v>
      </c>
      <c r="AM76" s="29" t="e">
        <f t="shared" si="78"/>
        <v>#N/A</v>
      </c>
      <c r="AN76" s="29" t="e">
        <f t="shared" si="79"/>
        <v>#N/A</v>
      </c>
      <c r="AO76" s="29" t="e">
        <f t="shared" si="80"/>
        <v>#N/A</v>
      </c>
      <c r="AP76" s="29" t="e">
        <f t="shared" si="81"/>
        <v>#N/A</v>
      </c>
      <c r="AQ76" s="29" t="e">
        <f t="shared" si="82"/>
        <v>#N/A</v>
      </c>
      <c r="AR76" s="29" t="e">
        <f t="shared" si="83"/>
        <v>#N/A</v>
      </c>
      <c r="AS76" s="29" t="e">
        <f t="shared" si="84"/>
        <v>#N/A</v>
      </c>
      <c r="AT76" s="29" t="e">
        <f t="shared" si="85"/>
        <v>#N/A</v>
      </c>
      <c r="AU76" s="29" t="e">
        <f t="shared" si="86"/>
        <v>#N/A</v>
      </c>
      <c r="AV76" s="29" t="e">
        <f t="shared" si="87"/>
        <v>#N/A</v>
      </c>
      <c r="AW76" s="29" t="e">
        <f t="shared" si="88"/>
        <v>#N/A</v>
      </c>
      <c r="AX76" s="29" t="e">
        <f t="shared" si="89"/>
        <v>#N/A</v>
      </c>
      <c r="AY76" s="29" t="e">
        <f t="shared" si="90"/>
        <v>#N/A</v>
      </c>
      <c r="AZ76" s="29" t="e">
        <f t="shared" si="91"/>
        <v>#N/A</v>
      </c>
      <c r="BA76" s="29" t="e">
        <f t="shared" si="92"/>
        <v>#N/A</v>
      </c>
      <c r="BB76" s="29" t="e">
        <f t="shared" si="93"/>
        <v>#N/A</v>
      </c>
      <c r="BC76" s="29" t="e">
        <f t="shared" si="94"/>
        <v>#N/A</v>
      </c>
      <c r="BD76" s="29" t="e">
        <f t="shared" si="95"/>
        <v>#N/A</v>
      </c>
      <c r="BE76" s="29" t="e">
        <f t="shared" si="96"/>
        <v>#N/A</v>
      </c>
      <c r="BF76" s="29" t="e">
        <f t="shared" si="97"/>
        <v>#N/A</v>
      </c>
      <c r="BG76" s="29" t="e">
        <f t="shared" si="98"/>
        <v>#N/A</v>
      </c>
      <c r="BH76" s="29" t="e">
        <f t="shared" si="99"/>
        <v>#N/A</v>
      </c>
      <c r="BI76" s="29" t="e">
        <f t="shared" si="100"/>
        <v>#N/A</v>
      </c>
      <c r="BJ76" s="29" t="e">
        <f t="shared" si="101"/>
        <v>#N/A</v>
      </c>
      <c r="BK76" s="29" t="e">
        <f t="shared" si="102"/>
        <v>#N/A</v>
      </c>
    </row>
    <row r="77" spans="33:63" x14ac:dyDescent="0.25">
      <c r="AG77" s="25" t="str">
        <f t="shared" si="103"/>
        <v>X</v>
      </c>
      <c r="AH77" s="29" t="e">
        <f t="shared" si="73"/>
        <v>#N/A</v>
      </c>
      <c r="AI77" s="29" t="e">
        <f t="shared" si="74"/>
        <v>#N/A</v>
      </c>
      <c r="AJ77" s="29" t="e">
        <f t="shared" si="75"/>
        <v>#N/A</v>
      </c>
      <c r="AK77" s="29" t="e">
        <f t="shared" si="76"/>
        <v>#N/A</v>
      </c>
      <c r="AL77" s="29" t="e">
        <f t="shared" si="77"/>
        <v>#N/A</v>
      </c>
      <c r="AM77" s="29" t="e">
        <f t="shared" si="78"/>
        <v>#N/A</v>
      </c>
      <c r="AN77" s="29" t="e">
        <f t="shared" si="79"/>
        <v>#N/A</v>
      </c>
      <c r="AO77" s="29" t="e">
        <f t="shared" si="80"/>
        <v>#N/A</v>
      </c>
      <c r="AP77" s="29" t="e">
        <f t="shared" si="81"/>
        <v>#N/A</v>
      </c>
      <c r="AQ77" s="29" t="e">
        <f t="shared" si="82"/>
        <v>#N/A</v>
      </c>
      <c r="AR77" s="29" t="e">
        <f t="shared" si="83"/>
        <v>#N/A</v>
      </c>
      <c r="AS77" s="29" t="e">
        <f t="shared" si="84"/>
        <v>#N/A</v>
      </c>
      <c r="AT77" s="29" t="e">
        <f t="shared" si="85"/>
        <v>#N/A</v>
      </c>
      <c r="AU77" s="29" t="e">
        <f t="shared" si="86"/>
        <v>#N/A</v>
      </c>
      <c r="AV77" s="29" t="e">
        <f t="shared" si="87"/>
        <v>#N/A</v>
      </c>
      <c r="AW77" s="29" t="e">
        <f t="shared" si="88"/>
        <v>#N/A</v>
      </c>
      <c r="AX77" s="29" t="e">
        <f t="shared" si="89"/>
        <v>#N/A</v>
      </c>
      <c r="AY77" s="29" t="e">
        <f t="shared" si="90"/>
        <v>#N/A</v>
      </c>
      <c r="AZ77" s="29" t="e">
        <f t="shared" si="91"/>
        <v>#N/A</v>
      </c>
      <c r="BA77" s="29" t="e">
        <f t="shared" si="92"/>
        <v>#N/A</v>
      </c>
      <c r="BB77" s="29" t="e">
        <f t="shared" si="93"/>
        <v>#N/A</v>
      </c>
      <c r="BC77" s="29" t="e">
        <f t="shared" si="94"/>
        <v>#N/A</v>
      </c>
      <c r="BD77" s="29" t="e">
        <f t="shared" si="95"/>
        <v>#N/A</v>
      </c>
      <c r="BE77" s="29" t="e">
        <f t="shared" si="96"/>
        <v>#N/A</v>
      </c>
      <c r="BF77" s="29" t="e">
        <f t="shared" si="97"/>
        <v>#N/A</v>
      </c>
      <c r="BG77" s="29" t="e">
        <f t="shared" si="98"/>
        <v>#N/A</v>
      </c>
      <c r="BH77" s="29" t="e">
        <f t="shared" si="99"/>
        <v>#N/A</v>
      </c>
      <c r="BI77" s="29" t="e">
        <f t="shared" si="100"/>
        <v>#N/A</v>
      </c>
      <c r="BJ77" s="29" t="e">
        <f t="shared" si="101"/>
        <v>#N/A</v>
      </c>
      <c r="BK77" s="29" t="e">
        <f t="shared" si="102"/>
        <v>#N/A</v>
      </c>
    </row>
    <row r="78" spans="33:63" x14ac:dyDescent="0.25">
      <c r="AG78" s="25" t="str">
        <f t="shared" si="103"/>
        <v>X</v>
      </c>
      <c r="AH78" s="29" t="e">
        <f t="shared" si="73"/>
        <v>#N/A</v>
      </c>
      <c r="AI78" s="29" t="e">
        <f t="shared" si="74"/>
        <v>#N/A</v>
      </c>
      <c r="AJ78" s="29" t="e">
        <f t="shared" si="75"/>
        <v>#N/A</v>
      </c>
      <c r="AK78" s="29" t="e">
        <f t="shared" si="76"/>
        <v>#N/A</v>
      </c>
      <c r="AL78" s="29" t="e">
        <f t="shared" si="77"/>
        <v>#N/A</v>
      </c>
      <c r="AM78" s="29" t="e">
        <f t="shared" si="78"/>
        <v>#N/A</v>
      </c>
      <c r="AN78" s="29" t="e">
        <f t="shared" si="79"/>
        <v>#N/A</v>
      </c>
      <c r="AO78" s="29" t="e">
        <f t="shared" si="80"/>
        <v>#N/A</v>
      </c>
      <c r="AP78" s="29" t="e">
        <f t="shared" si="81"/>
        <v>#N/A</v>
      </c>
      <c r="AQ78" s="29" t="e">
        <f t="shared" si="82"/>
        <v>#N/A</v>
      </c>
      <c r="AR78" s="29" t="e">
        <f t="shared" si="83"/>
        <v>#N/A</v>
      </c>
      <c r="AS78" s="29" t="e">
        <f t="shared" si="84"/>
        <v>#N/A</v>
      </c>
      <c r="AT78" s="29" t="e">
        <f t="shared" si="85"/>
        <v>#N/A</v>
      </c>
      <c r="AU78" s="29" t="e">
        <f t="shared" si="86"/>
        <v>#N/A</v>
      </c>
      <c r="AV78" s="29" t="e">
        <f t="shared" si="87"/>
        <v>#N/A</v>
      </c>
      <c r="AW78" s="29" t="e">
        <f t="shared" si="88"/>
        <v>#N/A</v>
      </c>
      <c r="AX78" s="29" t="e">
        <f t="shared" si="89"/>
        <v>#N/A</v>
      </c>
      <c r="AY78" s="29" t="e">
        <f t="shared" si="90"/>
        <v>#N/A</v>
      </c>
      <c r="AZ78" s="29" t="e">
        <f t="shared" si="91"/>
        <v>#N/A</v>
      </c>
      <c r="BA78" s="29" t="e">
        <f t="shared" si="92"/>
        <v>#N/A</v>
      </c>
      <c r="BB78" s="29" t="e">
        <f t="shared" si="93"/>
        <v>#N/A</v>
      </c>
      <c r="BC78" s="29" t="e">
        <f t="shared" si="94"/>
        <v>#N/A</v>
      </c>
      <c r="BD78" s="29" t="e">
        <f t="shared" si="95"/>
        <v>#N/A</v>
      </c>
      <c r="BE78" s="29" t="e">
        <f t="shared" si="96"/>
        <v>#N/A</v>
      </c>
      <c r="BF78" s="29" t="e">
        <f t="shared" si="97"/>
        <v>#N/A</v>
      </c>
      <c r="BG78" s="29" t="e">
        <f t="shared" si="98"/>
        <v>#N/A</v>
      </c>
      <c r="BH78" s="29" t="e">
        <f t="shared" si="99"/>
        <v>#N/A</v>
      </c>
      <c r="BI78" s="29" t="e">
        <f t="shared" si="100"/>
        <v>#N/A</v>
      </c>
      <c r="BJ78" s="29" t="e">
        <f t="shared" si="101"/>
        <v>#N/A</v>
      </c>
      <c r="BK78" s="29" t="e">
        <f t="shared" si="102"/>
        <v>#N/A</v>
      </c>
    </row>
    <row r="79" spans="33:63" x14ac:dyDescent="0.25">
      <c r="AG79" s="25" t="str">
        <f t="shared" si="103"/>
        <v>X</v>
      </c>
      <c r="AH79" s="29" t="e">
        <f t="shared" si="73"/>
        <v>#N/A</v>
      </c>
      <c r="AI79" s="29" t="e">
        <f t="shared" si="74"/>
        <v>#N/A</v>
      </c>
      <c r="AJ79" s="29" t="e">
        <f t="shared" si="75"/>
        <v>#N/A</v>
      </c>
      <c r="AK79" s="29" t="e">
        <f t="shared" si="76"/>
        <v>#N/A</v>
      </c>
      <c r="AL79" s="29" t="e">
        <f t="shared" si="77"/>
        <v>#N/A</v>
      </c>
      <c r="AM79" s="29" t="e">
        <f t="shared" si="78"/>
        <v>#N/A</v>
      </c>
      <c r="AN79" s="29" t="e">
        <f t="shared" si="79"/>
        <v>#N/A</v>
      </c>
      <c r="AO79" s="29" t="e">
        <f t="shared" si="80"/>
        <v>#N/A</v>
      </c>
      <c r="AP79" s="29" t="e">
        <f t="shared" si="81"/>
        <v>#N/A</v>
      </c>
      <c r="AQ79" s="29" t="e">
        <f t="shared" si="82"/>
        <v>#N/A</v>
      </c>
      <c r="AR79" s="29" t="e">
        <f t="shared" si="83"/>
        <v>#N/A</v>
      </c>
      <c r="AS79" s="29" t="e">
        <f t="shared" si="84"/>
        <v>#N/A</v>
      </c>
      <c r="AT79" s="29" t="e">
        <f t="shared" si="85"/>
        <v>#N/A</v>
      </c>
      <c r="AU79" s="29" t="e">
        <f t="shared" si="86"/>
        <v>#N/A</v>
      </c>
      <c r="AV79" s="29" t="e">
        <f t="shared" si="87"/>
        <v>#N/A</v>
      </c>
      <c r="AW79" s="29" t="e">
        <f t="shared" si="88"/>
        <v>#N/A</v>
      </c>
      <c r="AX79" s="29" t="e">
        <f t="shared" si="89"/>
        <v>#N/A</v>
      </c>
      <c r="AY79" s="29" t="e">
        <f t="shared" si="90"/>
        <v>#N/A</v>
      </c>
      <c r="AZ79" s="29" t="e">
        <f t="shared" si="91"/>
        <v>#N/A</v>
      </c>
      <c r="BA79" s="29" t="e">
        <f t="shared" si="92"/>
        <v>#N/A</v>
      </c>
      <c r="BB79" s="29" t="e">
        <f t="shared" si="93"/>
        <v>#N/A</v>
      </c>
      <c r="BC79" s="29" t="e">
        <f t="shared" si="94"/>
        <v>#N/A</v>
      </c>
      <c r="BD79" s="29" t="e">
        <f t="shared" si="95"/>
        <v>#N/A</v>
      </c>
      <c r="BE79" s="29" t="e">
        <f t="shared" si="96"/>
        <v>#N/A</v>
      </c>
      <c r="BF79" s="29" t="e">
        <f t="shared" si="97"/>
        <v>#N/A</v>
      </c>
      <c r="BG79" s="29" t="e">
        <f t="shared" si="98"/>
        <v>#N/A</v>
      </c>
      <c r="BH79" s="29" t="e">
        <f t="shared" si="99"/>
        <v>#N/A</v>
      </c>
      <c r="BI79" s="29" t="e">
        <f t="shared" si="100"/>
        <v>#N/A</v>
      </c>
      <c r="BJ79" s="29" t="e">
        <f t="shared" si="101"/>
        <v>#N/A</v>
      </c>
      <c r="BK79" s="29" t="e">
        <f t="shared" si="102"/>
        <v>#N/A</v>
      </c>
    </row>
    <row r="80" spans="33:63" x14ac:dyDescent="0.25">
      <c r="AG80" s="25" t="str">
        <f t="shared" si="103"/>
        <v>X</v>
      </c>
      <c r="AH80" s="29" t="e">
        <f t="shared" si="73"/>
        <v>#N/A</v>
      </c>
      <c r="AI80" s="29" t="e">
        <f t="shared" si="74"/>
        <v>#N/A</v>
      </c>
      <c r="AJ80" s="29" t="e">
        <f t="shared" si="75"/>
        <v>#N/A</v>
      </c>
      <c r="AK80" s="29" t="e">
        <f t="shared" si="76"/>
        <v>#N/A</v>
      </c>
      <c r="AL80" s="29" t="e">
        <f t="shared" si="77"/>
        <v>#N/A</v>
      </c>
      <c r="AM80" s="29" t="e">
        <f t="shared" si="78"/>
        <v>#N/A</v>
      </c>
      <c r="AN80" s="29" t="e">
        <f t="shared" si="79"/>
        <v>#N/A</v>
      </c>
      <c r="AO80" s="29" t="e">
        <f t="shared" si="80"/>
        <v>#N/A</v>
      </c>
      <c r="AP80" s="29" t="e">
        <f t="shared" si="81"/>
        <v>#N/A</v>
      </c>
      <c r="AQ80" s="29" t="e">
        <f t="shared" si="82"/>
        <v>#N/A</v>
      </c>
      <c r="AR80" s="29" t="e">
        <f t="shared" si="83"/>
        <v>#N/A</v>
      </c>
      <c r="AS80" s="29" t="e">
        <f t="shared" si="84"/>
        <v>#N/A</v>
      </c>
      <c r="AT80" s="29" t="e">
        <f t="shared" si="85"/>
        <v>#N/A</v>
      </c>
      <c r="AU80" s="29" t="e">
        <f t="shared" si="86"/>
        <v>#N/A</v>
      </c>
      <c r="AV80" s="29" t="e">
        <f t="shared" si="87"/>
        <v>#N/A</v>
      </c>
      <c r="AW80" s="29" t="e">
        <f t="shared" si="88"/>
        <v>#N/A</v>
      </c>
      <c r="AX80" s="29" t="e">
        <f t="shared" si="89"/>
        <v>#N/A</v>
      </c>
      <c r="AY80" s="29" t="e">
        <f t="shared" si="90"/>
        <v>#N/A</v>
      </c>
      <c r="AZ80" s="29" t="e">
        <f t="shared" si="91"/>
        <v>#N/A</v>
      </c>
      <c r="BA80" s="29" t="e">
        <f t="shared" si="92"/>
        <v>#N/A</v>
      </c>
      <c r="BB80" s="29" t="e">
        <f t="shared" si="93"/>
        <v>#N/A</v>
      </c>
      <c r="BC80" s="29" t="e">
        <f t="shared" si="94"/>
        <v>#N/A</v>
      </c>
      <c r="BD80" s="29" t="e">
        <f t="shared" si="95"/>
        <v>#N/A</v>
      </c>
      <c r="BE80" s="29" t="e">
        <f t="shared" si="96"/>
        <v>#N/A</v>
      </c>
      <c r="BF80" s="29" t="e">
        <f t="shared" si="97"/>
        <v>#N/A</v>
      </c>
      <c r="BG80" s="29" t="e">
        <f t="shared" si="98"/>
        <v>#N/A</v>
      </c>
      <c r="BH80" s="29" t="e">
        <f t="shared" si="99"/>
        <v>#N/A</v>
      </c>
      <c r="BI80" s="29" t="e">
        <f t="shared" si="100"/>
        <v>#N/A</v>
      </c>
      <c r="BJ80" s="29" t="e">
        <f t="shared" si="101"/>
        <v>#N/A</v>
      </c>
      <c r="BK80" s="29" t="e">
        <f t="shared" si="102"/>
        <v>#N/A</v>
      </c>
    </row>
    <row r="81" spans="33:63" x14ac:dyDescent="0.25">
      <c r="AG81" s="25" t="str">
        <f t="shared" si="103"/>
        <v>X</v>
      </c>
      <c r="AH81" s="29" t="e">
        <f t="shared" si="73"/>
        <v>#N/A</v>
      </c>
      <c r="AI81" s="29" t="e">
        <f t="shared" si="74"/>
        <v>#N/A</v>
      </c>
      <c r="AJ81" s="29" t="e">
        <f t="shared" si="75"/>
        <v>#N/A</v>
      </c>
      <c r="AK81" s="29" t="e">
        <f t="shared" si="76"/>
        <v>#N/A</v>
      </c>
      <c r="AL81" s="29" t="e">
        <f t="shared" si="77"/>
        <v>#N/A</v>
      </c>
      <c r="AM81" s="29" t="e">
        <f t="shared" si="78"/>
        <v>#N/A</v>
      </c>
      <c r="AN81" s="29" t="e">
        <f t="shared" si="79"/>
        <v>#N/A</v>
      </c>
      <c r="AO81" s="29" t="e">
        <f t="shared" si="80"/>
        <v>#N/A</v>
      </c>
      <c r="AP81" s="29" t="e">
        <f t="shared" si="81"/>
        <v>#N/A</v>
      </c>
      <c r="AQ81" s="29" t="e">
        <f t="shared" si="82"/>
        <v>#N/A</v>
      </c>
      <c r="AR81" s="29" t="e">
        <f t="shared" si="83"/>
        <v>#N/A</v>
      </c>
      <c r="AS81" s="29" t="e">
        <f t="shared" si="84"/>
        <v>#N/A</v>
      </c>
      <c r="AT81" s="29" t="e">
        <f t="shared" si="85"/>
        <v>#N/A</v>
      </c>
      <c r="AU81" s="29" t="e">
        <f t="shared" si="86"/>
        <v>#N/A</v>
      </c>
      <c r="AV81" s="29" t="e">
        <f t="shared" si="87"/>
        <v>#N/A</v>
      </c>
      <c r="AW81" s="29" t="e">
        <f t="shared" si="88"/>
        <v>#N/A</v>
      </c>
      <c r="AX81" s="29" t="e">
        <f t="shared" si="89"/>
        <v>#N/A</v>
      </c>
      <c r="AY81" s="29" t="e">
        <f t="shared" si="90"/>
        <v>#N/A</v>
      </c>
      <c r="AZ81" s="29" t="e">
        <f t="shared" si="91"/>
        <v>#N/A</v>
      </c>
      <c r="BA81" s="29" t="e">
        <f t="shared" si="92"/>
        <v>#N/A</v>
      </c>
      <c r="BB81" s="29" t="e">
        <f t="shared" si="93"/>
        <v>#N/A</v>
      </c>
      <c r="BC81" s="29" t="e">
        <f t="shared" si="94"/>
        <v>#N/A</v>
      </c>
      <c r="BD81" s="29" t="e">
        <f t="shared" si="95"/>
        <v>#N/A</v>
      </c>
      <c r="BE81" s="29" t="e">
        <f t="shared" si="96"/>
        <v>#N/A</v>
      </c>
      <c r="BF81" s="29" t="e">
        <f t="shared" si="97"/>
        <v>#N/A</v>
      </c>
      <c r="BG81" s="29" t="e">
        <f t="shared" si="98"/>
        <v>#N/A</v>
      </c>
      <c r="BH81" s="29" t="e">
        <f t="shared" si="99"/>
        <v>#N/A</v>
      </c>
      <c r="BI81" s="29" t="e">
        <f t="shared" si="100"/>
        <v>#N/A</v>
      </c>
      <c r="BJ81" s="29" t="e">
        <f t="shared" si="101"/>
        <v>#N/A</v>
      </c>
      <c r="BK81" s="29" t="e">
        <f t="shared" si="102"/>
        <v>#N/A</v>
      </c>
    </row>
    <row r="82" spans="33:63" x14ac:dyDescent="0.25">
      <c r="AG82" s="25" t="str">
        <f t="shared" si="103"/>
        <v>X</v>
      </c>
      <c r="AH82" s="29" t="e">
        <f t="shared" si="73"/>
        <v>#N/A</v>
      </c>
      <c r="AI82" s="29" t="e">
        <f t="shared" si="74"/>
        <v>#N/A</v>
      </c>
      <c r="AJ82" s="29" t="e">
        <f t="shared" si="75"/>
        <v>#N/A</v>
      </c>
      <c r="AK82" s="29" t="e">
        <f t="shared" si="76"/>
        <v>#N/A</v>
      </c>
      <c r="AL82" s="29" t="e">
        <f t="shared" si="77"/>
        <v>#N/A</v>
      </c>
      <c r="AM82" s="29" t="e">
        <f t="shared" si="78"/>
        <v>#N/A</v>
      </c>
      <c r="AN82" s="29" t="e">
        <f t="shared" si="79"/>
        <v>#N/A</v>
      </c>
      <c r="AO82" s="29" t="e">
        <f t="shared" si="80"/>
        <v>#N/A</v>
      </c>
      <c r="AP82" s="29" t="e">
        <f t="shared" si="81"/>
        <v>#N/A</v>
      </c>
      <c r="AQ82" s="29" t="e">
        <f t="shared" si="82"/>
        <v>#N/A</v>
      </c>
      <c r="AR82" s="29" t="e">
        <f t="shared" si="83"/>
        <v>#N/A</v>
      </c>
      <c r="AS82" s="29" t="e">
        <f t="shared" si="84"/>
        <v>#N/A</v>
      </c>
      <c r="AT82" s="29" t="e">
        <f t="shared" si="85"/>
        <v>#N/A</v>
      </c>
      <c r="AU82" s="29" t="e">
        <f t="shared" si="86"/>
        <v>#N/A</v>
      </c>
      <c r="AV82" s="29" t="e">
        <f t="shared" si="87"/>
        <v>#N/A</v>
      </c>
      <c r="AW82" s="29" t="e">
        <f t="shared" si="88"/>
        <v>#N/A</v>
      </c>
      <c r="AX82" s="29" t="e">
        <f t="shared" si="89"/>
        <v>#N/A</v>
      </c>
      <c r="AY82" s="29" t="e">
        <f t="shared" si="90"/>
        <v>#N/A</v>
      </c>
      <c r="AZ82" s="29" t="e">
        <f t="shared" si="91"/>
        <v>#N/A</v>
      </c>
      <c r="BA82" s="29" t="e">
        <f t="shared" si="92"/>
        <v>#N/A</v>
      </c>
      <c r="BB82" s="29" t="e">
        <f t="shared" si="93"/>
        <v>#N/A</v>
      </c>
      <c r="BC82" s="29" t="e">
        <f t="shared" si="94"/>
        <v>#N/A</v>
      </c>
      <c r="BD82" s="29" t="e">
        <f t="shared" si="95"/>
        <v>#N/A</v>
      </c>
      <c r="BE82" s="29" t="e">
        <f t="shared" si="96"/>
        <v>#N/A</v>
      </c>
      <c r="BF82" s="29" t="e">
        <f t="shared" si="97"/>
        <v>#N/A</v>
      </c>
      <c r="BG82" s="29" t="e">
        <f t="shared" si="98"/>
        <v>#N/A</v>
      </c>
      <c r="BH82" s="29" t="e">
        <f t="shared" si="99"/>
        <v>#N/A</v>
      </c>
      <c r="BI82" s="29" t="e">
        <f t="shared" si="100"/>
        <v>#N/A</v>
      </c>
      <c r="BJ82" s="29" t="e">
        <f t="shared" si="101"/>
        <v>#N/A</v>
      </c>
      <c r="BK82" s="29" t="e">
        <f t="shared" si="102"/>
        <v>#N/A</v>
      </c>
    </row>
    <row r="83" spans="33:63" x14ac:dyDescent="0.25">
      <c r="AG83" s="25" t="str">
        <f t="shared" si="103"/>
        <v>X</v>
      </c>
      <c r="AH83" s="29" t="e">
        <f t="shared" si="73"/>
        <v>#N/A</v>
      </c>
      <c r="AI83" s="29" t="e">
        <f t="shared" si="74"/>
        <v>#N/A</v>
      </c>
      <c r="AJ83" s="29" t="e">
        <f t="shared" si="75"/>
        <v>#N/A</v>
      </c>
      <c r="AK83" s="29" t="e">
        <f t="shared" si="76"/>
        <v>#N/A</v>
      </c>
      <c r="AL83" s="29" t="e">
        <f t="shared" si="77"/>
        <v>#N/A</v>
      </c>
      <c r="AM83" s="29" t="e">
        <f t="shared" si="78"/>
        <v>#N/A</v>
      </c>
      <c r="AN83" s="29" t="e">
        <f t="shared" si="79"/>
        <v>#N/A</v>
      </c>
      <c r="AO83" s="29" t="e">
        <f t="shared" si="80"/>
        <v>#N/A</v>
      </c>
      <c r="AP83" s="29" t="e">
        <f t="shared" si="81"/>
        <v>#N/A</v>
      </c>
      <c r="AQ83" s="29" t="e">
        <f t="shared" si="82"/>
        <v>#N/A</v>
      </c>
      <c r="AR83" s="29" t="e">
        <f t="shared" si="83"/>
        <v>#N/A</v>
      </c>
      <c r="AS83" s="29" t="e">
        <f t="shared" si="84"/>
        <v>#N/A</v>
      </c>
      <c r="AT83" s="29" t="e">
        <f t="shared" si="85"/>
        <v>#N/A</v>
      </c>
      <c r="AU83" s="29" t="e">
        <f t="shared" si="86"/>
        <v>#N/A</v>
      </c>
      <c r="AV83" s="29" t="e">
        <f t="shared" si="87"/>
        <v>#N/A</v>
      </c>
      <c r="AW83" s="29" t="e">
        <f t="shared" si="88"/>
        <v>#N/A</v>
      </c>
      <c r="AX83" s="29" t="e">
        <f t="shared" si="89"/>
        <v>#N/A</v>
      </c>
      <c r="AY83" s="29" t="e">
        <f t="shared" si="90"/>
        <v>#N/A</v>
      </c>
      <c r="AZ83" s="29" t="e">
        <f t="shared" si="91"/>
        <v>#N/A</v>
      </c>
      <c r="BA83" s="29" t="e">
        <f t="shared" si="92"/>
        <v>#N/A</v>
      </c>
      <c r="BB83" s="29" t="e">
        <f t="shared" si="93"/>
        <v>#N/A</v>
      </c>
      <c r="BC83" s="29" t="e">
        <f t="shared" si="94"/>
        <v>#N/A</v>
      </c>
      <c r="BD83" s="29" t="e">
        <f t="shared" si="95"/>
        <v>#N/A</v>
      </c>
      <c r="BE83" s="29" t="e">
        <f t="shared" si="96"/>
        <v>#N/A</v>
      </c>
      <c r="BF83" s="29" t="e">
        <f t="shared" si="97"/>
        <v>#N/A</v>
      </c>
      <c r="BG83" s="29" t="e">
        <f t="shared" si="98"/>
        <v>#N/A</v>
      </c>
      <c r="BH83" s="29" t="e">
        <f t="shared" si="99"/>
        <v>#N/A</v>
      </c>
      <c r="BI83" s="29" t="e">
        <f t="shared" si="100"/>
        <v>#N/A</v>
      </c>
      <c r="BJ83" s="29" t="e">
        <f t="shared" si="101"/>
        <v>#N/A</v>
      </c>
      <c r="BK83" s="29" t="e">
        <f t="shared" si="102"/>
        <v>#N/A</v>
      </c>
    </row>
    <row r="84" spans="33:63" x14ac:dyDescent="0.25">
      <c r="AG84" s="25" t="str">
        <f t="shared" si="103"/>
        <v>X</v>
      </c>
      <c r="AH84" s="29" t="e">
        <f t="shared" si="73"/>
        <v>#N/A</v>
      </c>
      <c r="AI84" s="29" t="e">
        <f t="shared" si="74"/>
        <v>#N/A</v>
      </c>
      <c r="AJ84" s="29" t="e">
        <f t="shared" si="75"/>
        <v>#N/A</v>
      </c>
      <c r="AK84" s="29" t="e">
        <f t="shared" si="76"/>
        <v>#N/A</v>
      </c>
      <c r="AL84" s="29" t="e">
        <f t="shared" si="77"/>
        <v>#N/A</v>
      </c>
      <c r="AM84" s="29" t="e">
        <f t="shared" si="78"/>
        <v>#N/A</v>
      </c>
      <c r="AN84" s="29" t="e">
        <f t="shared" si="79"/>
        <v>#N/A</v>
      </c>
      <c r="AO84" s="29" t="e">
        <f t="shared" si="80"/>
        <v>#N/A</v>
      </c>
      <c r="AP84" s="29" t="e">
        <f t="shared" si="81"/>
        <v>#N/A</v>
      </c>
      <c r="AQ84" s="29" t="e">
        <f t="shared" si="82"/>
        <v>#N/A</v>
      </c>
      <c r="AR84" s="29" t="e">
        <f t="shared" si="83"/>
        <v>#N/A</v>
      </c>
      <c r="AS84" s="29" t="e">
        <f t="shared" si="84"/>
        <v>#N/A</v>
      </c>
      <c r="AT84" s="29" t="e">
        <f t="shared" si="85"/>
        <v>#N/A</v>
      </c>
      <c r="AU84" s="29" t="e">
        <f t="shared" si="86"/>
        <v>#N/A</v>
      </c>
      <c r="AV84" s="29" t="e">
        <f t="shared" si="87"/>
        <v>#N/A</v>
      </c>
      <c r="AW84" s="29" t="e">
        <f t="shared" si="88"/>
        <v>#N/A</v>
      </c>
      <c r="AX84" s="29" t="e">
        <f t="shared" si="89"/>
        <v>#N/A</v>
      </c>
      <c r="AY84" s="29" t="e">
        <f t="shared" si="90"/>
        <v>#N/A</v>
      </c>
      <c r="AZ84" s="29" t="e">
        <f t="shared" si="91"/>
        <v>#N/A</v>
      </c>
      <c r="BA84" s="29" t="e">
        <f t="shared" si="92"/>
        <v>#N/A</v>
      </c>
      <c r="BB84" s="29" t="e">
        <f t="shared" si="93"/>
        <v>#N/A</v>
      </c>
      <c r="BC84" s="29" t="e">
        <f t="shared" si="94"/>
        <v>#N/A</v>
      </c>
      <c r="BD84" s="29" t="e">
        <f t="shared" si="95"/>
        <v>#N/A</v>
      </c>
      <c r="BE84" s="29" t="e">
        <f t="shared" si="96"/>
        <v>#N/A</v>
      </c>
      <c r="BF84" s="29" t="e">
        <f t="shared" si="97"/>
        <v>#N/A</v>
      </c>
      <c r="BG84" s="29" t="e">
        <f t="shared" si="98"/>
        <v>#N/A</v>
      </c>
      <c r="BH84" s="29" t="e">
        <f t="shared" si="99"/>
        <v>#N/A</v>
      </c>
      <c r="BI84" s="29" t="e">
        <f t="shared" si="100"/>
        <v>#N/A</v>
      </c>
      <c r="BJ84" s="29" t="e">
        <f t="shared" si="101"/>
        <v>#N/A</v>
      </c>
      <c r="BK84" s="29" t="e">
        <f t="shared" si="102"/>
        <v>#N/A</v>
      </c>
    </row>
    <row r="85" spans="33:63" x14ac:dyDescent="0.25">
      <c r="AG85" s="25" t="str">
        <f t="shared" si="103"/>
        <v>X</v>
      </c>
      <c r="AH85" s="29" t="e">
        <f t="shared" si="73"/>
        <v>#N/A</v>
      </c>
      <c r="AI85" s="29" t="e">
        <f t="shared" si="74"/>
        <v>#N/A</v>
      </c>
      <c r="AJ85" s="29" t="e">
        <f t="shared" si="75"/>
        <v>#N/A</v>
      </c>
      <c r="AK85" s="29" t="e">
        <f t="shared" si="76"/>
        <v>#N/A</v>
      </c>
      <c r="AL85" s="29" t="e">
        <f t="shared" si="77"/>
        <v>#N/A</v>
      </c>
      <c r="AM85" s="29" t="e">
        <f t="shared" si="78"/>
        <v>#N/A</v>
      </c>
      <c r="AN85" s="29" t="e">
        <f t="shared" si="79"/>
        <v>#N/A</v>
      </c>
      <c r="AO85" s="29" t="e">
        <f t="shared" si="80"/>
        <v>#N/A</v>
      </c>
      <c r="AP85" s="29" t="e">
        <f t="shared" si="81"/>
        <v>#N/A</v>
      </c>
      <c r="AQ85" s="29" t="e">
        <f t="shared" si="82"/>
        <v>#N/A</v>
      </c>
      <c r="AR85" s="29" t="e">
        <f t="shared" si="83"/>
        <v>#N/A</v>
      </c>
      <c r="AS85" s="29" t="e">
        <f t="shared" si="84"/>
        <v>#N/A</v>
      </c>
      <c r="AT85" s="29" t="e">
        <f t="shared" si="85"/>
        <v>#N/A</v>
      </c>
      <c r="AU85" s="29" t="e">
        <f t="shared" si="86"/>
        <v>#N/A</v>
      </c>
      <c r="AV85" s="29" t="e">
        <f t="shared" si="87"/>
        <v>#N/A</v>
      </c>
      <c r="AW85" s="29" t="e">
        <f t="shared" si="88"/>
        <v>#N/A</v>
      </c>
      <c r="AX85" s="29" t="e">
        <f t="shared" si="89"/>
        <v>#N/A</v>
      </c>
      <c r="AY85" s="29" t="e">
        <f t="shared" si="90"/>
        <v>#N/A</v>
      </c>
      <c r="AZ85" s="29" t="e">
        <f t="shared" si="91"/>
        <v>#N/A</v>
      </c>
      <c r="BA85" s="29" t="e">
        <f t="shared" si="92"/>
        <v>#N/A</v>
      </c>
      <c r="BB85" s="29" t="e">
        <f t="shared" si="93"/>
        <v>#N/A</v>
      </c>
      <c r="BC85" s="29" t="e">
        <f t="shared" si="94"/>
        <v>#N/A</v>
      </c>
      <c r="BD85" s="29" t="e">
        <f t="shared" si="95"/>
        <v>#N/A</v>
      </c>
      <c r="BE85" s="29" t="e">
        <f t="shared" si="96"/>
        <v>#N/A</v>
      </c>
      <c r="BF85" s="29" t="e">
        <f t="shared" si="97"/>
        <v>#N/A</v>
      </c>
      <c r="BG85" s="29" t="e">
        <f t="shared" si="98"/>
        <v>#N/A</v>
      </c>
      <c r="BH85" s="29" t="e">
        <f t="shared" si="99"/>
        <v>#N/A</v>
      </c>
      <c r="BI85" s="29" t="e">
        <f t="shared" si="100"/>
        <v>#N/A</v>
      </c>
      <c r="BJ85" s="29" t="e">
        <f t="shared" si="101"/>
        <v>#N/A</v>
      </c>
      <c r="BK85" s="29" t="e">
        <f t="shared" si="102"/>
        <v>#N/A</v>
      </c>
    </row>
    <row r="86" spans="33:63" x14ac:dyDescent="0.25">
      <c r="AG86" s="25" t="str">
        <f t="shared" si="103"/>
        <v>X</v>
      </c>
      <c r="AH86" s="29" t="e">
        <f t="shared" si="73"/>
        <v>#N/A</v>
      </c>
      <c r="AI86" s="29" t="e">
        <f t="shared" si="74"/>
        <v>#N/A</v>
      </c>
      <c r="AJ86" s="29" t="e">
        <f t="shared" si="75"/>
        <v>#N/A</v>
      </c>
      <c r="AK86" s="29" t="e">
        <f t="shared" si="76"/>
        <v>#N/A</v>
      </c>
      <c r="AL86" s="29" t="e">
        <f t="shared" si="77"/>
        <v>#N/A</v>
      </c>
      <c r="AM86" s="29" t="e">
        <f t="shared" si="78"/>
        <v>#N/A</v>
      </c>
      <c r="AN86" s="29" t="e">
        <f t="shared" si="79"/>
        <v>#N/A</v>
      </c>
      <c r="AO86" s="29" t="e">
        <f t="shared" si="80"/>
        <v>#N/A</v>
      </c>
      <c r="AP86" s="29" t="e">
        <f t="shared" si="81"/>
        <v>#N/A</v>
      </c>
      <c r="AQ86" s="29" t="e">
        <f t="shared" si="82"/>
        <v>#N/A</v>
      </c>
      <c r="AR86" s="29" t="e">
        <f t="shared" si="83"/>
        <v>#N/A</v>
      </c>
      <c r="AS86" s="29" t="e">
        <f t="shared" si="84"/>
        <v>#N/A</v>
      </c>
      <c r="AT86" s="29" t="e">
        <f t="shared" si="85"/>
        <v>#N/A</v>
      </c>
      <c r="AU86" s="29" t="e">
        <f t="shared" si="86"/>
        <v>#N/A</v>
      </c>
      <c r="AV86" s="29" t="e">
        <f t="shared" si="87"/>
        <v>#N/A</v>
      </c>
      <c r="AW86" s="29" t="e">
        <f t="shared" si="88"/>
        <v>#N/A</v>
      </c>
      <c r="AX86" s="29" t="e">
        <f t="shared" si="89"/>
        <v>#N/A</v>
      </c>
      <c r="AY86" s="29" t="e">
        <f t="shared" si="90"/>
        <v>#N/A</v>
      </c>
      <c r="AZ86" s="29" t="e">
        <f t="shared" si="91"/>
        <v>#N/A</v>
      </c>
      <c r="BA86" s="29" t="e">
        <f t="shared" si="92"/>
        <v>#N/A</v>
      </c>
      <c r="BB86" s="29" t="e">
        <f t="shared" si="93"/>
        <v>#N/A</v>
      </c>
      <c r="BC86" s="29" t="e">
        <f t="shared" si="94"/>
        <v>#N/A</v>
      </c>
      <c r="BD86" s="29" t="e">
        <f t="shared" si="95"/>
        <v>#N/A</v>
      </c>
      <c r="BE86" s="29" t="e">
        <f t="shared" si="96"/>
        <v>#N/A</v>
      </c>
      <c r="BF86" s="29" t="e">
        <f t="shared" si="97"/>
        <v>#N/A</v>
      </c>
      <c r="BG86" s="29" t="e">
        <f t="shared" si="98"/>
        <v>#N/A</v>
      </c>
      <c r="BH86" s="29" t="e">
        <f t="shared" si="99"/>
        <v>#N/A</v>
      </c>
      <c r="BI86" s="29" t="e">
        <f t="shared" si="100"/>
        <v>#N/A</v>
      </c>
      <c r="BJ86" s="29" t="e">
        <f t="shared" si="101"/>
        <v>#N/A</v>
      </c>
      <c r="BK86" s="29" t="e">
        <f t="shared" si="102"/>
        <v>#N/A</v>
      </c>
    </row>
    <row r="87" spans="33:63" x14ac:dyDescent="0.25">
      <c r="AG87" s="25" t="str">
        <f t="shared" si="103"/>
        <v>X</v>
      </c>
      <c r="AH87" s="29" t="e">
        <f t="shared" si="73"/>
        <v>#N/A</v>
      </c>
      <c r="AI87" s="29" t="e">
        <f t="shared" si="74"/>
        <v>#N/A</v>
      </c>
      <c r="AJ87" s="29" t="e">
        <f t="shared" si="75"/>
        <v>#N/A</v>
      </c>
      <c r="AK87" s="29" t="e">
        <f t="shared" si="76"/>
        <v>#N/A</v>
      </c>
      <c r="AL87" s="29" t="e">
        <f t="shared" si="77"/>
        <v>#N/A</v>
      </c>
      <c r="AM87" s="29" t="e">
        <f t="shared" si="78"/>
        <v>#N/A</v>
      </c>
      <c r="AN87" s="29" t="e">
        <f t="shared" si="79"/>
        <v>#N/A</v>
      </c>
      <c r="AO87" s="29" t="e">
        <f t="shared" si="80"/>
        <v>#N/A</v>
      </c>
      <c r="AP87" s="29" t="e">
        <f t="shared" si="81"/>
        <v>#N/A</v>
      </c>
      <c r="AQ87" s="29" t="e">
        <f t="shared" si="82"/>
        <v>#N/A</v>
      </c>
      <c r="AR87" s="29" t="e">
        <f t="shared" si="83"/>
        <v>#N/A</v>
      </c>
      <c r="AS87" s="29" t="e">
        <f t="shared" si="84"/>
        <v>#N/A</v>
      </c>
      <c r="AT87" s="29" t="e">
        <f t="shared" si="85"/>
        <v>#N/A</v>
      </c>
      <c r="AU87" s="29" t="e">
        <f t="shared" si="86"/>
        <v>#N/A</v>
      </c>
      <c r="AV87" s="29" t="e">
        <f t="shared" si="87"/>
        <v>#N/A</v>
      </c>
      <c r="AW87" s="29" t="e">
        <f t="shared" si="88"/>
        <v>#N/A</v>
      </c>
      <c r="AX87" s="29" t="e">
        <f t="shared" si="89"/>
        <v>#N/A</v>
      </c>
      <c r="AY87" s="29" t="e">
        <f t="shared" si="90"/>
        <v>#N/A</v>
      </c>
      <c r="AZ87" s="29" t="e">
        <f t="shared" si="91"/>
        <v>#N/A</v>
      </c>
      <c r="BA87" s="29" t="e">
        <f t="shared" si="92"/>
        <v>#N/A</v>
      </c>
      <c r="BB87" s="29" t="e">
        <f t="shared" si="93"/>
        <v>#N/A</v>
      </c>
      <c r="BC87" s="29" t="e">
        <f t="shared" si="94"/>
        <v>#N/A</v>
      </c>
      <c r="BD87" s="29" t="e">
        <f t="shared" si="95"/>
        <v>#N/A</v>
      </c>
      <c r="BE87" s="29" t="e">
        <f t="shared" si="96"/>
        <v>#N/A</v>
      </c>
      <c r="BF87" s="29" t="e">
        <f t="shared" si="97"/>
        <v>#N/A</v>
      </c>
      <c r="BG87" s="29" t="e">
        <f t="shared" si="98"/>
        <v>#N/A</v>
      </c>
      <c r="BH87" s="29" t="e">
        <f t="shared" si="99"/>
        <v>#N/A</v>
      </c>
      <c r="BI87" s="29" t="e">
        <f t="shared" si="100"/>
        <v>#N/A</v>
      </c>
      <c r="BJ87" s="29" t="e">
        <f t="shared" si="101"/>
        <v>#N/A</v>
      </c>
      <c r="BK87" s="29" t="e">
        <f t="shared" si="102"/>
        <v>#N/A</v>
      </c>
    </row>
    <row r="88" spans="33:63" x14ac:dyDescent="0.25">
      <c r="AG88" s="25" t="str">
        <f t="shared" si="103"/>
        <v>X</v>
      </c>
      <c r="AH88" s="29" t="e">
        <f t="shared" si="73"/>
        <v>#N/A</v>
      </c>
      <c r="AI88" s="29" t="e">
        <f t="shared" si="74"/>
        <v>#N/A</v>
      </c>
      <c r="AJ88" s="29" t="e">
        <f t="shared" si="75"/>
        <v>#N/A</v>
      </c>
      <c r="AK88" s="29" t="e">
        <f t="shared" si="76"/>
        <v>#N/A</v>
      </c>
      <c r="AL88" s="29" t="e">
        <f t="shared" si="77"/>
        <v>#N/A</v>
      </c>
      <c r="AM88" s="29" t="e">
        <f t="shared" si="78"/>
        <v>#N/A</v>
      </c>
      <c r="AN88" s="29" t="e">
        <f t="shared" si="79"/>
        <v>#N/A</v>
      </c>
      <c r="AO88" s="29" t="e">
        <f t="shared" si="80"/>
        <v>#N/A</v>
      </c>
      <c r="AP88" s="29" t="e">
        <f t="shared" si="81"/>
        <v>#N/A</v>
      </c>
      <c r="AQ88" s="29" t="e">
        <f t="shared" si="82"/>
        <v>#N/A</v>
      </c>
      <c r="AR88" s="29" t="e">
        <f t="shared" si="83"/>
        <v>#N/A</v>
      </c>
      <c r="AS88" s="29" t="e">
        <f t="shared" si="84"/>
        <v>#N/A</v>
      </c>
      <c r="AT88" s="29" t="e">
        <f t="shared" si="85"/>
        <v>#N/A</v>
      </c>
      <c r="AU88" s="29" t="e">
        <f t="shared" si="86"/>
        <v>#N/A</v>
      </c>
      <c r="AV88" s="29" t="e">
        <f t="shared" si="87"/>
        <v>#N/A</v>
      </c>
      <c r="AW88" s="29" t="e">
        <f t="shared" si="88"/>
        <v>#N/A</v>
      </c>
      <c r="AX88" s="29" t="e">
        <f t="shared" si="89"/>
        <v>#N/A</v>
      </c>
      <c r="AY88" s="29" t="e">
        <f t="shared" si="90"/>
        <v>#N/A</v>
      </c>
      <c r="AZ88" s="29" t="e">
        <f t="shared" si="91"/>
        <v>#N/A</v>
      </c>
      <c r="BA88" s="29" t="e">
        <f t="shared" si="92"/>
        <v>#N/A</v>
      </c>
      <c r="BB88" s="29" t="e">
        <f t="shared" si="93"/>
        <v>#N/A</v>
      </c>
      <c r="BC88" s="29" t="e">
        <f t="shared" si="94"/>
        <v>#N/A</v>
      </c>
      <c r="BD88" s="29" t="e">
        <f t="shared" si="95"/>
        <v>#N/A</v>
      </c>
      <c r="BE88" s="29" t="e">
        <f t="shared" si="96"/>
        <v>#N/A</v>
      </c>
      <c r="BF88" s="29" t="e">
        <f t="shared" si="97"/>
        <v>#N/A</v>
      </c>
      <c r="BG88" s="29" t="e">
        <f t="shared" si="98"/>
        <v>#N/A</v>
      </c>
      <c r="BH88" s="29" t="e">
        <f t="shared" si="99"/>
        <v>#N/A</v>
      </c>
      <c r="BI88" s="29" t="e">
        <f t="shared" si="100"/>
        <v>#N/A</v>
      </c>
      <c r="BJ88" s="29" t="e">
        <f t="shared" si="101"/>
        <v>#N/A</v>
      </c>
      <c r="BK88" s="29" t="e">
        <f t="shared" si="102"/>
        <v>#N/A</v>
      </c>
    </row>
    <row r="89" spans="33:63" x14ac:dyDescent="0.25">
      <c r="AG89" s="25" t="str">
        <f t="shared" si="103"/>
        <v>X</v>
      </c>
      <c r="AH89" s="29" t="e">
        <f t="shared" si="73"/>
        <v>#N/A</v>
      </c>
      <c r="AI89" s="29" t="e">
        <f t="shared" si="74"/>
        <v>#N/A</v>
      </c>
      <c r="AJ89" s="29" t="e">
        <f t="shared" si="75"/>
        <v>#N/A</v>
      </c>
      <c r="AK89" s="29" t="e">
        <f t="shared" si="76"/>
        <v>#N/A</v>
      </c>
      <c r="AL89" s="29" t="e">
        <f t="shared" si="77"/>
        <v>#N/A</v>
      </c>
      <c r="AM89" s="29" t="e">
        <f t="shared" si="78"/>
        <v>#N/A</v>
      </c>
      <c r="AN89" s="29" t="e">
        <f t="shared" si="79"/>
        <v>#N/A</v>
      </c>
      <c r="AO89" s="29" t="e">
        <f t="shared" si="80"/>
        <v>#N/A</v>
      </c>
      <c r="AP89" s="29" t="e">
        <f t="shared" si="81"/>
        <v>#N/A</v>
      </c>
      <c r="AQ89" s="29" t="e">
        <f t="shared" si="82"/>
        <v>#N/A</v>
      </c>
      <c r="AR89" s="29" t="e">
        <f t="shared" si="83"/>
        <v>#N/A</v>
      </c>
      <c r="AS89" s="29" t="e">
        <f t="shared" si="84"/>
        <v>#N/A</v>
      </c>
      <c r="AT89" s="29" t="e">
        <f t="shared" si="85"/>
        <v>#N/A</v>
      </c>
      <c r="AU89" s="29" t="e">
        <f t="shared" si="86"/>
        <v>#N/A</v>
      </c>
      <c r="AV89" s="29" t="e">
        <f t="shared" si="87"/>
        <v>#N/A</v>
      </c>
      <c r="AW89" s="29" t="e">
        <f t="shared" si="88"/>
        <v>#N/A</v>
      </c>
      <c r="AX89" s="29" t="e">
        <f t="shared" si="89"/>
        <v>#N/A</v>
      </c>
      <c r="AY89" s="29" t="e">
        <f t="shared" si="90"/>
        <v>#N/A</v>
      </c>
      <c r="AZ89" s="29" t="e">
        <f t="shared" si="91"/>
        <v>#N/A</v>
      </c>
      <c r="BA89" s="29" t="e">
        <f t="shared" si="92"/>
        <v>#N/A</v>
      </c>
      <c r="BB89" s="29" t="e">
        <f t="shared" si="93"/>
        <v>#N/A</v>
      </c>
      <c r="BC89" s="29" t="e">
        <f t="shared" si="94"/>
        <v>#N/A</v>
      </c>
      <c r="BD89" s="29" t="e">
        <f t="shared" si="95"/>
        <v>#N/A</v>
      </c>
      <c r="BE89" s="29" t="e">
        <f t="shared" si="96"/>
        <v>#N/A</v>
      </c>
      <c r="BF89" s="29" t="e">
        <f t="shared" si="97"/>
        <v>#N/A</v>
      </c>
      <c r="BG89" s="29" t="e">
        <f t="shared" si="98"/>
        <v>#N/A</v>
      </c>
      <c r="BH89" s="29" t="e">
        <f t="shared" si="99"/>
        <v>#N/A</v>
      </c>
      <c r="BI89" s="29" t="e">
        <f t="shared" si="100"/>
        <v>#N/A</v>
      </c>
      <c r="BJ89" s="29" t="e">
        <f t="shared" si="101"/>
        <v>#N/A</v>
      </c>
      <c r="BK89" s="29" t="e">
        <f t="shared" si="102"/>
        <v>#N/A</v>
      </c>
    </row>
    <row r="90" spans="33:63" x14ac:dyDescent="0.25">
      <c r="AG90" s="25" t="str">
        <f t="shared" si="103"/>
        <v>X</v>
      </c>
      <c r="AH90" s="29" t="e">
        <f t="shared" si="73"/>
        <v>#N/A</v>
      </c>
      <c r="AI90" s="29" t="e">
        <f t="shared" si="74"/>
        <v>#N/A</v>
      </c>
      <c r="AJ90" s="29" t="e">
        <f t="shared" si="75"/>
        <v>#N/A</v>
      </c>
      <c r="AK90" s="29" t="e">
        <f t="shared" si="76"/>
        <v>#N/A</v>
      </c>
      <c r="AL90" s="29" t="e">
        <f t="shared" si="77"/>
        <v>#N/A</v>
      </c>
      <c r="AM90" s="29" t="e">
        <f t="shared" si="78"/>
        <v>#N/A</v>
      </c>
      <c r="AN90" s="29" t="e">
        <f t="shared" si="79"/>
        <v>#N/A</v>
      </c>
      <c r="AO90" s="29" t="e">
        <f t="shared" si="80"/>
        <v>#N/A</v>
      </c>
      <c r="AP90" s="29" t="e">
        <f t="shared" si="81"/>
        <v>#N/A</v>
      </c>
      <c r="AQ90" s="29" t="e">
        <f t="shared" si="82"/>
        <v>#N/A</v>
      </c>
      <c r="AR90" s="29" t="e">
        <f t="shared" si="83"/>
        <v>#N/A</v>
      </c>
      <c r="AS90" s="29" t="e">
        <f t="shared" si="84"/>
        <v>#N/A</v>
      </c>
      <c r="AT90" s="29" t="e">
        <f t="shared" si="85"/>
        <v>#N/A</v>
      </c>
      <c r="AU90" s="29" t="e">
        <f t="shared" si="86"/>
        <v>#N/A</v>
      </c>
      <c r="AV90" s="29" t="e">
        <f t="shared" si="87"/>
        <v>#N/A</v>
      </c>
      <c r="AW90" s="29" t="e">
        <f t="shared" si="88"/>
        <v>#N/A</v>
      </c>
      <c r="AX90" s="29" t="e">
        <f t="shared" si="89"/>
        <v>#N/A</v>
      </c>
      <c r="AY90" s="29" t="e">
        <f t="shared" si="90"/>
        <v>#N/A</v>
      </c>
      <c r="AZ90" s="29" t="e">
        <f t="shared" si="91"/>
        <v>#N/A</v>
      </c>
      <c r="BA90" s="29" t="e">
        <f t="shared" si="92"/>
        <v>#N/A</v>
      </c>
      <c r="BB90" s="29" t="e">
        <f t="shared" si="93"/>
        <v>#N/A</v>
      </c>
      <c r="BC90" s="29" t="e">
        <f t="shared" si="94"/>
        <v>#N/A</v>
      </c>
      <c r="BD90" s="29" t="e">
        <f t="shared" si="95"/>
        <v>#N/A</v>
      </c>
      <c r="BE90" s="29" t="e">
        <f t="shared" si="96"/>
        <v>#N/A</v>
      </c>
      <c r="BF90" s="29" t="e">
        <f t="shared" si="97"/>
        <v>#N/A</v>
      </c>
      <c r="BG90" s="29" t="e">
        <f t="shared" si="98"/>
        <v>#N/A</v>
      </c>
      <c r="BH90" s="29" t="e">
        <f t="shared" si="99"/>
        <v>#N/A</v>
      </c>
      <c r="BI90" s="29" t="e">
        <f t="shared" si="100"/>
        <v>#N/A</v>
      </c>
      <c r="BJ90" s="29" t="e">
        <f t="shared" si="101"/>
        <v>#N/A</v>
      </c>
      <c r="BK90" s="29" t="e">
        <f t="shared" si="102"/>
        <v>#N/A</v>
      </c>
    </row>
    <row r="91" spans="33:63" x14ac:dyDescent="0.25">
      <c r="AG91" s="25" t="str">
        <f t="shared" si="103"/>
        <v>X</v>
      </c>
      <c r="AH91" s="29" t="e">
        <f t="shared" si="73"/>
        <v>#N/A</v>
      </c>
      <c r="AI91" s="29" t="e">
        <f t="shared" si="74"/>
        <v>#N/A</v>
      </c>
      <c r="AJ91" s="29" t="e">
        <f t="shared" si="75"/>
        <v>#N/A</v>
      </c>
      <c r="AK91" s="29" t="e">
        <f t="shared" si="76"/>
        <v>#N/A</v>
      </c>
      <c r="AL91" s="29" t="e">
        <f t="shared" si="77"/>
        <v>#N/A</v>
      </c>
      <c r="AM91" s="29" t="e">
        <f t="shared" si="78"/>
        <v>#N/A</v>
      </c>
      <c r="AN91" s="29" t="e">
        <f t="shared" si="79"/>
        <v>#N/A</v>
      </c>
      <c r="AO91" s="29" t="e">
        <f t="shared" si="80"/>
        <v>#N/A</v>
      </c>
      <c r="AP91" s="29" t="e">
        <f t="shared" si="81"/>
        <v>#N/A</v>
      </c>
      <c r="AQ91" s="29" t="e">
        <f t="shared" si="82"/>
        <v>#N/A</v>
      </c>
      <c r="AR91" s="29" t="e">
        <f t="shared" si="83"/>
        <v>#N/A</v>
      </c>
      <c r="AS91" s="29" t="e">
        <f t="shared" si="84"/>
        <v>#N/A</v>
      </c>
      <c r="AT91" s="29" t="e">
        <f t="shared" si="85"/>
        <v>#N/A</v>
      </c>
      <c r="AU91" s="29" t="e">
        <f t="shared" si="86"/>
        <v>#N/A</v>
      </c>
      <c r="AV91" s="29" t="e">
        <f t="shared" si="87"/>
        <v>#N/A</v>
      </c>
      <c r="AW91" s="29" t="e">
        <f t="shared" si="88"/>
        <v>#N/A</v>
      </c>
      <c r="AX91" s="29" t="e">
        <f t="shared" si="89"/>
        <v>#N/A</v>
      </c>
      <c r="AY91" s="29" t="e">
        <f t="shared" si="90"/>
        <v>#N/A</v>
      </c>
      <c r="AZ91" s="29" t="e">
        <f t="shared" si="91"/>
        <v>#N/A</v>
      </c>
      <c r="BA91" s="29" t="e">
        <f t="shared" si="92"/>
        <v>#N/A</v>
      </c>
      <c r="BB91" s="29" t="e">
        <f t="shared" si="93"/>
        <v>#N/A</v>
      </c>
      <c r="BC91" s="29" t="e">
        <f t="shared" si="94"/>
        <v>#N/A</v>
      </c>
      <c r="BD91" s="29" t="e">
        <f t="shared" si="95"/>
        <v>#N/A</v>
      </c>
      <c r="BE91" s="29" t="e">
        <f t="shared" si="96"/>
        <v>#N/A</v>
      </c>
      <c r="BF91" s="29" t="e">
        <f t="shared" si="97"/>
        <v>#N/A</v>
      </c>
      <c r="BG91" s="29" t="e">
        <f t="shared" si="98"/>
        <v>#N/A</v>
      </c>
      <c r="BH91" s="29" t="e">
        <f t="shared" si="99"/>
        <v>#N/A</v>
      </c>
      <c r="BI91" s="29" t="e">
        <f t="shared" si="100"/>
        <v>#N/A</v>
      </c>
      <c r="BJ91" s="29" t="e">
        <f t="shared" si="101"/>
        <v>#N/A</v>
      </c>
      <c r="BK91" s="29" t="e">
        <f t="shared" si="102"/>
        <v>#N/A</v>
      </c>
    </row>
    <row r="92" spans="33:63" x14ac:dyDescent="0.25">
      <c r="AG92" s="25" t="str">
        <f t="shared" si="103"/>
        <v>X</v>
      </c>
      <c r="AH92" s="29" t="e">
        <f t="shared" si="73"/>
        <v>#N/A</v>
      </c>
      <c r="AI92" s="29" t="e">
        <f t="shared" si="74"/>
        <v>#N/A</v>
      </c>
      <c r="AJ92" s="29" t="e">
        <f t="shared" si="75"/>
        <v>#N/A</v>
      </c>
      <c r="AK92" s="29" t="e">
        <f t="shared" si="76"/>
        <v>#N/A</v>
      </c>
      <c r="AL92" s="29" t="e">
        <f t="shared" si="77"/>
        <v>#N/A</v>
      </c>
      <c r="AM92" s="29" t="e">
        <f t="shared" si="78"/>
        <v>#N/A</v>
      </c>
      <c r="AN92" s="29" t="e">
        <f t="shared" si="79"/>
        <v>#N/A</v>
      </c>
      <c r="AO92" s="29" t="e">
        <f t="shared" si="80"/>
        <v>#N/A</v>
      </c>
      <c r="AP92" s="29" t="e">
        <f t="shared" si="81"/>
        <v>#N/A</v>
      </c>
      <c r="AQ92" s="29" t="e">
        <f t="shared" si="82"/>
        <v>#N/A</v>
      </c>
      <c r="AR92" s="29" t="e">
        <f t="shared" si="83"/>
        <v>#N/A</v>
      </c>
      <c r="AS92" s="29" t="e">
        <f t="shared" si="84"/>
        <v>#N/A</v>
      </c>
      <c r="AT92" s="29" t="e">
        <f t="shared" si="85"/>
        <v>#N/A</v>
      </c>
      <c r="AU92" s="29" t="e">
        <f t="shared" si="86"/>
        <v>#N/A</v>
      </c>
      <c r="AV92" s="29" t="e">
        <f t="shared" si="87"/>
        <v>#N/A</v>
      </c>
      <c r="AW92" s="29" t="e">
        <f t="shared" si="88"/>
        <v>#N/A</v>
      </c>
      <c r="AX92" s="29" t="e">
        <f t="shared" si="89"/>
        <v>#N/A</v>
      </c>
      <c r="AY92" s="29" t="e">
        <f t="shared" si="90"/>
        <v>#N/A</v>
      </c>
      <c r="AZ92" s="29" t="e">
        <f t="shared" si="91"/>
        <v>#N/A</v>
      </c>
      <c r="BA92" s="29" t="e">
        <f t="shared" si="92"/>
        <v>#N/A</v>
      </c>
      <c r="BB92" s="29" t="e">
        <f t="shared" si="93"/>
        <v>#N/A</v>
      </c>
      <c r="BC92" s="29" t="e">
        <f t="shared" si="94"/>
        <v>#N/A</v>
      </c>
      <c r="BD92" s="29" t="e">
        <f t="shared" si="95"/>
        <v>#N/A</v>
      </c>
      <c r="BE92" s="29" t="e">
        <f t="shared" si="96"/>
        <v>#N/A</v>
      </c>
      <c r="BF92" s="29" t="e">
        <f t="shared" si="97"/>
        <v>#N/A</v>
      </c>
      <c r="BG92" s="29" t="e">
        <f t="shared" si="98"/>
        <v>#N/A</v>
      </c>
      <c r="BH92" s="29" t="e">
        <f t="shared" si="99"/>
        <v>#N/A</v>
      </c>
      <c r="BI92" s="29" t="e">
        <f t="shared" si="100"/>
        <v>#N/A</v>
      </c>
      <c r="BJ92" s="29" t="e">
        <f t="shared" si="101"/>
        <v>#N/A</v>
      </c>
      <c r="BK92" s="29" t="e">
        <f t="shared" si="102"/>
        <v>#N/A</v>
      </c>
    </row>
    <row r="93" spans="33:63" x14ac:dyDescent="0.25">
      <c r="AG93" s="25" t="str">
        <f t="shared" si="103"/>
        <v>X</v>
      </c>
      <c r="AH93" s="29" t="e">
        <f t="shared" si="73"/>
        <v>#N/A</v>
      </c>
      <c r="AI93" s="29" t="e">
        <f t="shared" si="74"/>
        <v>#N/A</v>
      </c>
      <c r="AJ93" s="29" t="e">
        <f t="shared" si="75"/>
        <v>#N/A</v>
      </c>
      <c r="AK93" s="29" t="e">
        <f t="shared" si="76"/>
        <v>#N/A</v>
      </c>
      <c r="AL93" s="29" t="e">
        <f t="shared" si="77"/>
        <v>#N/A</v>
      </c>
      <c r="AM93" s="29" t="e">
        <f t="shared" si="78"/>
        <v>#N/A</v>
      </c>
      <c r="AN93" s="29" t="e">
        <f t="shared" si="79"/>
        <v>#N/A</v>
      </c>
      <c r="AO93" s="29" t="e">
        <f t="shared" si="80"/>
        <v>#N/A</v>
      </c>
      <c r="AP93" s="29" t="e">
        <f t="shared" si="81"/>
        <v>#N/A</v>
      </c>
      <c r="AQ93" s="29" t="e">
        <f t="shared" si="82"/>
        <v>#N/A</v>
      </c>
      <c r="AR93" s="29" t="e">
        <f t="shared" si="83"/>
        <v>#N/A</v>
      </c>
      <c r="AS93" s="29" t="e">
        <f t="shared" si="84"/>
        <v>#N/A</v>
      </c>
      <c r="AT93" s="29" t="e">
        <f t="shared" si="85"/>
        <v>#N/A</v>
      </c>
      <c r="AU93" s="29" t="e">
        <f t="shared" si="86"/>
        <v>#N/A</v>
      </c>
      <c r="AV93" s="29" t="e">
        <f t="shared" si="87"/>
        <v>#N/A</v>
      </c>
      <c r="AW93" s="29" t="e">
        <f t="shared" si="88"/>
        <v>#N/A</v>
      </c>
      <c r="AX93" s="29" t="e">
        <f t="shared" si="89"/>
        <v>#N/A</v>
      </c>
      <c r="AY93" s="29" t="e">
        <f t="shared" si="90"/>
        <v>#N/A</v>
      </c>
      <c r="AZ93" s="29" t="e">
        <f t="shared" si="91"/>
        <v>#N/A</v>
      </c>
      <c r="BA93" s="29" t="e">
        <f t="shared" si="92"/>
        <v>#N/A</v>
      </c>
      <c r="BB93" s="29" t="e">
        <f t="shared" si="93"/>
        <v>#N/A</v>
      </c>
      <c r="BC93" s="29" t="e">
        <f t="shared" si="94"/>
        <v>#N/A</v>
      </c>
      <c r="BD93" s="29" t="e">
        <f t="shared" si="95"/>
        <v>#N/A</v>
      </c>
      <c r="BE93" s="29" t="e">
        <f t="shared" si="96"/>
        <v>#N/A</v>
      </c>
      <c r="BF93" s="29" t="e">
        <f t="shared" si="97"/>
        <v>#N/A</v>
      </c>
      <c r="BG93" s="29" t="e">
        <f t="shared" si="98"/>
        <v>#N/A</v>
      </c>
      <c r="BH93" s="29" t="e">
        <f t="shared" si="99"/>
        <v>#N/A</v>
      </c>
      <c r="BI93" s="29" t="e">
        <f t="shared" si="100"/>
        <v>#N/A</v>
      </c>
      <c r="BJ93" s="29" t="e">
        <f t="shared" si="101"/>
        <v>#N/A</v>
      </c>
      <c r="BK93" s="29" t="e">
        <f t="shared" si="102"/>
        <v>#N/A</v>
      </c>
    </row>
    <row r="94" spans="33:63" x14ac:dyDescent="0.25">
      <c r="AG94" s="25" t="str">
        <f t="shared" si="103"/>
        <v>X</v>
      </c>
      <c r="AH94" s="29" t="e">
        <f t="shared" si="73"/>
        <v>#N/A</v>
      </c>
      <c r="AI94" s="29" t="e">
        <f t="shared" si="74"/>
        <v>#N/A</v>
      </c>
      <c r="AJ94" s="29" t="e">
        <f t="shared" si="75"/>
        <v>#N/A</v>
      </c>
      <c r="AK94" s="29" t="e">
        <f t="shared" si="76"/>
        <v>#N/A</v>
      </c>
      <c r="AL94" s="29" t="e">
        <f t="shared" si="77"/>
        <v>#N/A</v>
      </c>
      <c r="AM94" s="29" t="e">
        <f t="shared" si="78"/>
        <v>#N/A</v>
      </c>
      <c r="AN94" s="29" t="e">
        <f t="shared" si="79"/>
        <v>#N/A</v>
      </c>
      <c r="AO94" s="29" t="e">
        <f t="shared" si="80"/>
        <v>#N/A</v>
      </c>
      <c r="AP94" s="29" t="e">
        <f t="shared" si="81"/>
        <v>#N/A</v>
      </c>
      <c r="AQ94" s="29" t="e">
        <f t="shared" si="82"/>
        <v>#N/A</v>
      </c>
      <c r="AR94" s="29" t="e">
        <f t="shared" si="83"/>
        <v>#N/A</v>
      </c>
      <c r="AS94" s="29" t="e">
        <f t="shared" si="84"/>
        <v>#N/A</v>
      </c>
      <c r="AT94" s="29" t="e">
        <f t="shared" si="85"/>
        <v>#N/A</v>
      </c>
      <c r="AU94" s="29" t="e">
        <f t="shared" si="86"/>
        <v>#N/A</v>
      </c>
      <c r="AV94" s="29" t="e">
        <f t="shared" si="87"/>
        <v>#N/A</v>
      </c>
      <c r="AW94" s="29" t="e">
        <f t="shared" si="88"/>
        <v>#N/A</v>
      </c>
      <c r="AX94" s="29" t="e">
        <f t="shared" si="89"/>
        <v>#N/A</v>
      </c>
      <c r="AY94" s="29" t="e">
        <f t="shared" si="90"/>
        <v>#N/A</v>
      </c>
      <c r="AZ94" s="29" t="e">
        <f t="shared" si="91"/>
        <v>#N/A</v>
      </c>
      <c r="BA94" s="29" t="e">
        <f t="shared" si="92"/>
        <v>#N/A</v>
      </c>
      <c r="BB94" s="29" t="e">
        <f t="shared" si="93"/>
        <v>#N/A</v>
      </c>
      <c r="BC94" s="29" t="e">
        <f t="shared" si="94"/>
        <v>#N/A</v>
      </c>
      <c r="BD94" s="29" t="e">
        <f t="shared" si="95"/>
        <v>#N/A</v>
      </c>
      <c r="BE94" s="29" t="e">
        <f t="shared" si="96"/>
        <v>#N/A</v>
      </c>
      <c r="BF94" s="29" t="e">
        <f t="shared" si="97"/>
        <v>#N/A</v>
      </c>
      <c r="BG94" s="29" t="e">
        <f t="shared" si="98"/>
        <v>#N/A</v>
      </c>
      <c r="BH94" s="29" t="e">
        <f t="shared" si="99"/>
        <v>#N/A</v>
      </c>
      <c r="BI94" s="29" t="e">
        <f t="shared" si="100"/>
        <v>#N/A</v>
      </c>
      <c r="BJ94" s="29" t="e">
        <f t="shared" si="101"/>
        <v>#N/A</v>
      </c>
      <c r="BK94" s="29" t="e">
        <f t="shared" si="102"/>
        <v>#N/A</v>
      </c>
    </row>
    <row r="95" spans="33:63" x14ac:dyDescent="0.25">
      <c r="AG95" s="25" t="str">
        <f t="shared" si="103"/>
        <v>X</v>
      </c>
      <c r="AH95" s="29" t="e">
        <f t="shared" si="73"/>
        <v>#N/A</v>
      </c>
      <c r="AI95" s="29" t="e">
        <f t="shared" si="74"/>
        <v>#N/A</v>
      </c>
      <c r="AJ95" s="29" t="e">
        <f t="shared" si="75"/>
        <v>#N/A</v>
      </c>
      <c r="AK95" s="29" t="e">
        <f t="shared" si="76"/>
        <v>#N/A</v>
      </c>
      <c r="AL95" s="29" t="e">
        <f t="shared" si="77"/>
        <v>#N/A</v>
      </c>
      <c r="AM95" s="29" t="e">
        <f t="shared" si="78"/>
        <v>#N/A</v>
      </c>
      <c r="AN95" s="29" t="e">
        <f t="shared" si="79"/>
        <v>#N/A</v>
      </c>
      <c r="AO95" s="29" t="e">
        <f t="shared" si="80"/>
        <v>#N/A</v>
      </c>
      <c r="AP95" s="29" t="e">
        <f t="shared" si="81"/>
        <v>#N/A</v>
      </c>
      <c r="AQ95" s="29" t="e">
        <f t="shared" si="82"/>
        <v>#N/A</v>
      </c>
      <c r="AR95" s="29" t="e">
        <f t="shared" si="83"/>
        <v>#N/A</v>
      </c>
      <c r="AS95" s="29" t="e">
        <f t="shared" si="84"/>
        <v>#N/A</v>
      </c>
      <c r="AT95" s="29" t="e">
        <f t="shared" si="85"/>
        <v>#N/A</v>
      </c>
      <c r="AU95" s="29" t="e">
        <f t="shared" si="86"/>
        <v>#N/A</v>
      </c>
      <c r="AV95" s="29" t="e">
        <f t="shared" si="87"/>
        <v>#N/A</v>
      </c>
      <c r="AW95" s="29" t="e">
        <f t="shared" si="88"/>
        <v>#N/A</v>
      </c>
      <c r="AX95" s="29" t="e">
        <f t="shared" si="89"/>
        <v>#N/A</v>
      </c>
      <c r="AY95" s="29" t="e">
        <f t="shared" si="90"/>
        <v>#N/A</v>
      </c>
      <c r="AZ95" s="29" t="e">
        <f t="shared" si="91"/>
        <v>#N/A</v>
      </c>
      <c r="BA95" s="29" t="e">
        <f t="shared" si="92"/>
        <v>#N/A</v>
      </c>
      <c r="BB95" s="29" t="e">
        <f t="shared" si="93"/>
        <v>#N/A</v>
      </c>
      <c r="BC95" s="29" t="e">
        <f t="shared" si="94"/>
        <v>#N/A</v>
      </c>
      <c r="BD95" s="29" t="e">
        <f t="shared" si="95"/>
        <v>#N/A</v>
      </c>
      <c r="BE95" s="29" t="e">
        <f t="shared" si="96"/>
        <v>#N/A</v>
      </c>
      <c r="BF95" s="29" t="e">
        <f t="shared" si="97"/>
        <v>#N/A</v>
      </c>
      <c r="BG95" s="29" t="e">
        <f t="shared" si="98"/>
        <v>#N/A</v>
      </c>
      <c r="BH95" s="29" t="e">
        <f t="shared" si="99"/>
        <v>#N/A</v>
      </c>
      <c r="BI95" s="29" t="e">
        <f t="shared" si="100"/>
        <v>#N/A</v>
      </c>
      <c r="BJ95" s="29" t="e">
        <f t="shared" si="101"/>
        <v>#N/A</v>
      </c>
      <c r="BK95" s="29" t="e">
        <f t="shared" si="102"/>
        <v>#N/A</v>
      </c>
    </row>
    <row r="96" spans="33:63" x14ac:dyDescent="0.25">
      <c r="AG96" s="25" t="str">
        <f t="shared" si="103"/>
        <v>X</v>
      </c>
      <c r="AH96" s="29" t="e">
        <f t="shared" si="73"/>
        <v>#N/A</v>
      </c>
      <c r="AI96" s="29" t="e">
        <f t="shared" si="74"/>
        <v>#N/A</v>
      </c>
      <c r="AJ96" s="29" t="e">
        <f t="shared" si="75"/>
        <v>#N/A</v>
      </c>
      <c r="AK96" s="29" t="e">
        <f t="shared" si="76"/>
        <v>#N/A</v>
      </c>
      <c r="AL96" s="29" t="e">
        <f t="shared" si="77"/>
        <v>#N/A</v>
      </c>
      <c r="AM96" s="29" t="e">
        <f t="shared" si="78"/>
        <v>#N/A</v>
      </c>
      <c r="AN96" s="29" t="e">
        <f t="shared" si="79"/>
        <v>#N/A</v>
      </c>
      <c r="AO96" s="29" t="e">
        <f t="shared" si="80"/>
        <v>#N/A</v>
      </c>
      <c r="AP96" s="29" t="e">
        <f t="shared" si="81"/>
        <v>#N/A</v>
      </c>
      <c r="AQ96" s="29" t="e">
        <f t="shared" si="82"/>
        <v>#N/A</v>
      </c>
      <c r="AR96" s="29" t="e">
        <f t="shared" si="83"/>
        <v>#N/A</v>
      </c>
      <c r="AS96" s="29" t="e">
        <f t="shared" si="84"/>
        <v>#N/A</v>
      </c>
      <c r="AT96" s="29" t="e">
        <f t="shared" si="85"/>
        <v>#N/A</v>
      </c>
      <c r="AU96" s="29" t="e">
        <f t="shared" si="86"/>
        <v>#N/A</v>
      </c>
      <c r="AV96" s="29" t="e">
        <f t="shared" si="87"/>
        <v>#N/A</v>
      </c>
      <c r="AW96" s="29" t="e">
        <f t="shared" si="88"/>
        <v>#N/A</v>
      </c>
      <c r="AX96" s="29" t="e">
        <f t="shared" si="89"/>
        <v>#N/A</v>
      </c>
      <c r="AY96" s="29" t="e">
        <f t="shared" si="90"/>
        <v>#N/A</v>
      </c>
      <c r="AZ96" s="29" t="e">
        <f t="shared" si="91"/>
        <v>#N/A</v>
      </c>
      <c r="BA96" s="29" t="e">
        <f t="shared" si="92"/>
        <v>#N/A</v>
      </c>
      <c r="BB96" s="29" t="e">
        <f t="shared" si="93"/>
        <v>#N/A</v>
      </c>
      <c r="BC96" s="29" t="e">
        <f t="shared" si="94"/>
        <v>#N/A</v>
      </c>
      <c r="BD96" s="29" t="e">
        <f t="shared" si="95"/>
        <v>#N/A</v>
      </c>
      <c r="BE96" s="29" t="e">
        <f t="shared" si="96"/>
        <v>#N/A</v>
      </c>
      <c r="BF96" s="29" t="e">
        <f t="shared" si="97"/>
        <v>#N/A</v>
      </c>
      <c r="BG96" s="29" t="e">
        <f t="shared" si="98"/>
        <v>#N/A</v>
      </c>
      <c r="BH96" s="29" t="e">
        <f t="shared" si="99"/>
        <v>#N/A</v>
      </c>
      <c r="BI96" s="29" t="e">
        <f t="shared" si="100"/>
        <v>#N/A</v>
      </c>
      <c r="BJ96" s="29" t="e">
        <f t="shared" si="101"/>
        <v>#N/A</v>
      </c>
      <c r="BK96" s="29" t="e">
        <f t="shared" si="102"/>
        <v>#N/A</v>
      </c>
    </row>
    <row r="97" spans="2:63" x14ac:dyDescent="0.25">
      <c r="AG97" s="25" t="str">
        <f t="shared" si="103"/>
        <v>X</v>
      </c>
      <c r="AH97" s="29" t="e">
        <f t="shared" si="73"/>
        <v>#N/A</v>
      </c>
      <c r="AI97" s="29" t="e">
        <f t="shared" si="74"/>
        <v>#N/A</v>
      </c>
      <c r="AJ97" s="29" t="e">
        <f t="shared" si="75"/>
        <v>#N/A</v>
      </c>
      <c r="AK97" s="29" t="e">
        <f t="shared" si="76"/>
        <v>#N/A</v>
      </c>
      <c r="AL97" s="29" t="e">
        <f t="shared" si="77"/>
        <v>#N/A</v>
      </c>
      <c r="AM97" s="29" t="e">
        <f t="shared" si="78"/>
        <v>#N/A</v>
      </c>
      <c r="AN97" s="29" t="e">
        <f t="shared" si="79"/>
        <v>#N/A</v>
      </c>
      <c r="AO97" s="29" t="e">
        <f t="shared" si="80"/>
        <v>#N/A</v>
      </c>
      <c r="AP97" s="29" t="e">
        <f t="shared" si="81"/>
        <v>#N/A</v>
      </c>
      <c r="AQ97" s="29" t="e">
        <f t="shared" si="82"/>
        <v>#N/A</v>
      </c>
      <c r="AR97" s="29" t="e">
        <f t="shared" si="83"/>
        <v>#N/A</v>
      </c>
      <c r="AS97" s="29" t="e">
        <f t="shared" si="84"/>
        <v>#N/A</v>
      </c>
      <c r="AT97" s="29" t="e">
        <f t="shared" si="85"/>
        <v>#N/A</v>
      </c>
      <c r="AU97" s="29" t="e">
        <f t="shared" si="86"/>
        <v>#N/A</v>
      </c>
      <c r="AV97" s="29" t="e">
        <f t="shared" si="87"/>
        <v>#N/A</v>
      </c>
      <c r="AW97" s="29" t="e">
        <f t="shared" si="88"/>
        <v>#N/A</v>
      </c>
      <c r="AX97" s="29" t="e">
        <f t="shared" si="89"/>
        <v>#N/A</v>
      </c>
      <c r="AY97" s="29" t="e">
        <f t="shared" si="90"/>
        <v>#N/A</v>
      </c>
      <c r="AZ97" s="29" t="e">
        <f t="shared" si="91"/>
        <v>#N/A</v>
      </c>
      <c r="BA97" s="29" t="e">
        <f t="shared" si="92"/>
        <v>#N/A</v>
      </c>
      <c r="BB97" s="29" t="e">
        <f t="shared" si="93"/>
        <v>#N/A</v>
      </c>
      <c r="BC97" s="29" t="e">
        <f t="shared" si="94"/>
        <v>#N/A</v>
      </c>
      <c r="BD97" s="29" t="e">
        <f t="shared" si="95"/>
        <v>#N/A</v>
      </c>
      <c r="BE97" s="29" t="e">
        <f t="shared" si="96"/>
        <v>#N/A</v>
      </c>
      <c r="BF97" s="29" t="e">
        <f t="shared" si="97"/>
        <v>#N/A</v>
      </c>
      <c r="BG97" s="29" t="e">
        <f t="shared" si="98"/>
        <v>#N/A</v>
      </c>
      <c r="BH97" s="29" t="e">
        <f t="shared" si="99"/>
        <v>#N/A</v>
      </c>
      <c r="BI97" s="29" t="e">
        <f t="shared" si="100"/>
        <v>#N/A</v>
      </c>
      <c r="BJ97" s="29" t="e">
        <f t="shared" si="101"/>
        <v>#N/A</v>
      </c>
      <c r="BK97" s="29" t="e">
        <f t="shared" si="102"/>
        <v>#N/A</v>
      </c>
    </row>
    <row r="98" spans="2:63" x14ac:dyDescent="0.25">
      <c r="AG98" s="25" t="str">
        <f t="shared" si="103"/>
        <v>X</v>
      </c>
      <c r="AH98" s="29" t="e">
        <f t="shared" si="73"/>
        <v>#N/A</v>
      </c>
      <c r="AI98" s="29" t="e">
        <f t="shared" si="74"/>
        <v>#N/A</v>
      </c>
      <c r="AJ98" s="29" t="e">
        <f t="shared" si="75"/>
        <v>#N/A</v>
      </c>
      <c r="AK98" s="29" t="e">
        <f t="shared" si="76"/>
        <v>#N/A</v>
      </c>
      <c r="AL98" s="29" t="e">
        <f t="shared" si="77"/>
        <v>#N/A</v>
      </c>
      <c r="AM98" s="29" t="e">
        <f t="shared" si="78"/>
        <v>#N/A</v>
      </c>
      <c r="AN98" s="29" t="e">
        <f t="shared" si="79"/>
        <v>#N/A</v>
      </c>
      <c r="AO98" s="29" t="e">
        <f t="shared" si="80"/>
        <v>#N/A</v>
      </c>
      <c r="AP98" s="29" t="e">
        <f t="shared" si="81"/>
        <v>#N/A</v>
      </c>
      <c r="AQ98" s="29" t="e">
        <f t="shared" si="82"/>
        <v>#N/A</v>
      </c>
      <c r="AR98" s="29" t="e">
        <f t="shared" si="83"/>
        <v>#N/A</v>
      </c>
      <c r="AS98" s="29" t="e">
        <f t="shared" si="84"/>
        <v>#N/A</v>
      </c>
      <c r="AT98" s="29" t="e">
        <f t="shared" si="85"/>
        <v>#N/A</v>
      </c>
      <c r="AU98" s="29" t="e">
        <f t="shared" si="86"/>
        <v>#N/A</v>
      </c>
      <c r="AV98" s="29" t="e">
        <f t="shared" si="87"/>
        <v>#N/A</v>
      </c>
      <c r="AW98" s="29" t="e">
        <f t="shared" si="88"/>
        <v>#N/A</v>
      </c>
      <c r="AX98" s="29" t="e">
        <f t="shared" si="89"/>
        <v>#N/A</v>
      </c>
      <c r="AY98" s="29" t="e">
        <f t="shared" si="90"/>
        <v>#N/A</v>
      </c>
      <c r="AZ98" s="29" t="e">
        <f t="shared" si="91"/>
        <v>#N/A</v>
      </c>
      <c r="BA98" s="29" t="e">
        <f t="shared" si="92"/>
        <v>#N/A</v>
      </c>
      <c r="BB98" s="29" t="e">
        <f t="shared" si="93"/>
        <v>#N/A</v>
      </c>
      <c r="BC98" s="29" t="e">
        <f t="shared" si="94"/>
        <v>#N/A</v>
      </c>
      <c r="BD98" s="29" t="e">
        <f t="shared" si="95"/>
        <v>#N/A</v>
      </c>
      <c r="BE98" s="29" t="e">
        <f t="shared" si="96"/>
        <v>#N/A</v>
      </c>
      <c r="BF98" s="29" t="e">
        <f t="shared" si="97"/>
        <v>#N/A</v>
      </c>
      <c r="BG98" s="29" t="e">
        <f t="shared" si="98"/>
        <v>#N/A</v>
      </c>
      <c r="BH98" s="29" t="e">
        <f t="shared" si="99"/>
        <v>#N/A</v>
      </c>
      <c r="BI98" s="29" t="e">
        <f t="shared" si="100"/>
        <v>#N/A</v>
      </c>
      <c r="BJ98" s="29" t="e">
        <f t="shared" si="101"/>
        <v>#N/A</v>
      </c>
      <c r="BK98" s="29" t="e">
        <f t="shared" si="102"/>
        <v>#N/A</v>
      </c>
    </row>
    <row r="99" spans="2:63" x14ac:dyDescent="0.25">
      <c r="AG99" s="25" t="str">
        <f t="shared" si="103"/>
        <v>X</v>
      </c>
      <c r="AH99" s="29" t="e">
        <f t="shared" si="73"/>
        <v>#N/A</v>
      </c>
      <c r="AI99" s="29" t="e">
        <f t="shared" si="74"/>
        <v>#N/A</v>
      </c>
      <c r="AJ99" s="29" t="e">
        <f t="shared" si="75"/>
        <v>#N/A</v>
      </c>
      <c r="AK99" s="29" t="e">
        <f t="shared" si="76"/>
        <v>#N/A</v>
      </c>
      <c r="AL99" s="29" t="e">
        <f t="shared" si="77"/>
        <v>#N/A</v>
      </c>
      <c r="AM99" s="29" t="e">
        <f t="shared" si="78"/>
        <v>#N/A</v>
      </c>
      <c r="AN99" s="29" t="e">
        <f t="shared" si="79"/>
        <v>#N/A</v>
      </c>
      <c r="AO99" s="29" t="e">
        <f t="shared" si="80"/>
        <v>#N/A</v>
      </c>
      <c r="AP99" s="29" t="e">
        <f t="shared" si="81"/>
        <v>#N/A</v>
      </c>
      <c r="AQ99" s="29" t="e">
        <f t="shared" si="82"/>
        <v>#N/A</v>
      </c>
      <c r="AR99" s="29" t="e">
        <f t="shared" si="83"/>
        <v>#N/A</v>
      </c>
      <c r="AS99" s="29" t="e">
        <f t="shared" si="84"/>
        <v>#N/A</v>
      </c>
      <c r="AT99" s="29" t="e">
        <f t="shared" si="85"/>
        <v>#N/A</v>
      </c>
      <c r="AU99" s="29" t="e">
        <f t="shared" si="86"/>
        <v>#N/A</v>
      </c>
      <c r="AV99" s="29" t="e">
        <f t="shared" si="87"/>
        <v>#N/A</v>
      </c>
      <c r="AW99" s="29" t="e">
        <f t="shared" si="88"/>
        <v>#N/A</v>
      </c>
      <c r="AX99" s="29" t="e">
        <f t="shared" si="89"/>
        <v>#N/A</v>
      </c>
      <c r="AY99" s="29" t="e">
        <f t="shared" si="90"/>
        <v>#N/A</v>
      </c>
      <c r="AZ99" s="29" t="e">
        <f t="shared" si="91"/>
        <v>#N/A</v>
      </c>
      <c r="BA99" s="29" t="e">
        <f t="shared" si="92"/>
        <v>#N/A</v>
      </c>
      <c r="BB99" s="29" t="e">
        <f t="shared" si="93"/>
        <v>#N/A</v>
      </c>
      <c r="BC99" s="29" t="e">
        <f t="shared" si="94"/>
        <v>#N/A</v>
      </c>
      <c r="BD99" s="29" t="e">
        <f t="shared" si="95"/>
        <v>#N/A</v>
      </c>
      <c r="BE99" s="29" t="e">
        <f t="shared" si="96"/>
        <v>#N/A</v>
      </c>
      <c r="BF99" s="29" t="e">
        <f t="shared" si="97"/>
        <v>#N/A</v>
      </c>
      <c r="BG99" s="29" t="e">
        <f t="shared" si="98"/>
        <v>#N/A</v>
      </c>
      <c r="BH99" s="29" t="e">
        <f t="shared" si="99"/>
        <v>#N/A</v>
      </c>
      <c r="BI99" s="29" t="e">
        <f t="shared" si="100"/>
        <v>#N/A</v>
      </c>
      <c r="BJ99" s="29" t="e">
        <f t="shared" si="101"/>
        <v>#N/A</v>
      </c>
      <c r="BK99" s="29" t="e">
        <f t="shared" si="102"/>
        <v>#N/A</v>
      </c>
    </row>
    <row r="100" spans="2:63" x14ac:dyDescent="0.25">
      <c r="AG100" s="25" t="str">
        <f>$M47</f>
        <v>X</v>
      </c>
      <c r="AH100" s="29" t="e">
        <f t="shared" si="73"/>
        <v>#N/A</v>
      </c>
      <c r="AI100" s="29" t="e">
        <f t="shared" si="74"/>
        <v>#N/A</v>
      </c>
      <c r="AJ100" s="29" t="e">
        <f t="shared" si="75"/>
        <v>#N/A</v>
      </c>
      <c r="AK100" s="29" t="e">
        <f t="shared" si="76"/>
        <v>#N/A</v>
      </c>
      <c r="AL100" s="29" t="e">
        <f t="shared" si="77"/>
        <v>#N/A</v>
      </c>
      <c r="AM100" s="29" t="e">
        <f t="shared" si="78"/>
        <v>#N/A</v>
      </c>
      <c r="AN100" s="29" t="e">
        <f t="shared" si="79"/>
        <v>#N/A</v>
      </c>
      <c r="AO100" s="29" t="e">
        <f t="shared" si="80"/>
        <v>#N/A</v>
      </c>
      <c r="AP100" s="29" t="e">
        <f t="shared" si="81"/>
        <v>#N/A</v>
      </c>
      <c r="AQ100" s="29" t="e">
        <f t="shared" si="82"/>
        <v>#N/A</v>
      </c>
      <c r="AR100" s="29" t="e">
        <f t="shared" si="83"/>
        <v>#N/A</v>
      </c>
      <c r="AS100" s="29" t="e">
        <f t="shared" si="84"/>
        <v>#N/A</v>
      </c>
      <c r="AT100" s="29" t="e">
        <f t="shared" si="85"/>
        <v>#N/A</v>
      </c>
      <c r="AU100" s="29" t="e">
        <f t="shared" si="86"/>
        <v>#N/A</v>
      </c>
      <c r="AV100" s="29" t="e">
        <f t="shared" si="87"/>
        <v>#N/A</v>
      </c>
      <c r="AW100" s="29" t="e">
        <f t="shared" si="88"/>
        <v>#N/A</v>
      </c>
      <c r="AX100" s="29" t="e">
        <f t="shared" si="89"/>
        <v>#N/A</v>
      </c>
      <c r="AY100" s="29" t="e">
        <f t="shared" si="90"/>
        <v>#N/A</v>
      </c>
      <c r="AZ100" s="29" t="e">
        <f t="shared" si="91"/>
        <v>#N/A</v>
      </c>
      <c r="BA100" s="29" t="e">
        <f t="shared" si="92"/>
        <v>#N/A</v>
      </c>
      <c r="BB100" s="29" t="e">
        <f t="shared" si="93"/>
        <v>#N/A</v>
      </c>
      <c r="BC100" s="29" t="e">
        <f t="shared" si="94"/>
        <v>#N/A</v>
      </c>
      <c r="BD100" s="29" t="e">
        <f t="shared" si="95"/>
        <v>#N/A</v>
      </c>
      <c r="BE100" s="29" t="e">
        <f t="shared" si="96"/>
        <v>#N/A</v>
      </c>
      <c r="BF100" s="29" t="e">
        <f t="shared" si="97"/>
        <v>#N/A</v>
      </c>
      <c r="BG100" s="29" t="e">
        <f t="shared" si="98"/>
        <v>#N/A</v>
      </c>
      <c r="BH100" s="29" t="e">
        <f t="shared" si="99"/>
        <v>#N/A</v>
      </c>
      <c r="BI100" s="29" t="e">
        <f t="shared" si="100"/>
        <v>#N/A</v>
      </c>
      <c r="BJ100" s="29" t="e">
        <f t="shared" si="101"/>
        <v>#N/A</v>
      </c>
      <c r="BK100" s="29" t="e">
        <f t="shared" si="102"/>
        <v>#N/A</v>
      </c>
    </row>
    <row r="101" spans="2:63" hidden="1" x14ac:dyDescent="0.25">
      <c r="C101" s="11" t="s">
        <v>73</v>
      </c>
      <c r="D101" s="11" t="s">
        <v>74</v>
      </c>
      <c r="E101" s="11" t="s">
        <v>75</v>
      </c>
      <c r="F101" s="11" t="s">
        <v>76</v>
      </c>
      <c r="G101" s="11" t="s">
        <v>77</v>
      </c>
      <c r="H101" s="11" t="s">
        <v>78</v>
      </c>
      <c r="I101" s="11" t="s">
        <v>79</v>
      </c>
      <c r="J101" s="11" t="s">
        <v>80</v>
      </c>
      <c r="K101" s="11" t="s">
        <v>81</v>
      </c>
      <c r="L101" s="11" t="s">
        <v>82</v>
      </c>
      <c r="M101" s="11" t="s">
        <v>83</v>
      </c>
      <c r="N101" s="11" t="s">
        <v>84</v>
      </c>
      <c r="O101" s="11" t="s">
        <v>85</v>
      </c>
      <c r="P101" s="11" t="s">
        <v>86</v>
      </c>
      <c r="Q101" s="11" t="s">
        <v>87</v>
      </c>
      <c r="R101" s="11" t="s">
        <v>88</v>
      </c>
      <c r="S101" s="11" t="s">
        <v>89</v>
      </c>
      <c r="T101" s="11" t="s">
        <v>90</v>
      </c>
      <c r="U101" s="11" t="s">
        <v>91</v>
      </c>
      <c r="V101" s="11" t="s">
        <v>92</v>
      </c>
      <c r="W101" s="11" t="s">
        <v>93</v>
      </c>
      <c r="X101" s="11" t="s">
        <v>94</v>
      </c>
      <c r="Y101" s="11" t="s">
        <v>95</v>
      </c>
      <c r="Z101" s="11" t="s">
        <v>96</v>
      </c>
      <c r="AA101" s="11" t="s">
        <v>97</v>
      </c>
      <c r="AB101" s="11" t="s">
        <v>98</v>
      </c>
      <c r="AC101" s="11" t="s">
        <v>99</v>
      </c>
      <c r="AD101" s="11" t="s">
        <v>100</v>
      </c>
      <c r="AE101" s="11" t="s">
        <v>101</v>
      </c>
      <c r="AF101" s="11" t="s">
        <v>102</v>
      </c>
      <c r="AG101" s="26" t="str">
        <f t="shared" si="103"/>
        <v>X</v>
      </c>
      <c r="AH101" s="30" t="e">
        <f t="shared" si="73"/>
        <v>#N/A</v>
      </c>
      <c r="AI101" s="30" t="e">
        <f t="shared" si="74"/>
        <v>#N/A</v>
      </c>
      <c r="AJ101" s="30" t="e">
        <f t="shared" si="75"/>
        <v>#N/A</v>
      </c>
      <c r="AK101" s="30" t="e">
        <f t="shared" si="76"/>
        <v>#N/A</v>
      </c>
      <c r="AL101" s="30" t="e">
        <f t="shared" si="77"/>
        <v>#N/A</v>
      </c>
      <c r="AM101" s="30" t="e">
        <f t="shared" si="78"/>
        <v>#N/A</v>
      </c>
      <c r="AN101" s="30" t="e">
        <f t="shared" si="79"/>
        <v>#N/A</v>
      </c>
      <c r="AO101" s="30" t="e">
        <f t="shared" si="80"/>
        <v>#N/A</v>
      </c>
      <c r="AP101" s="30" t="e">
        <f t="shared" si="81"/>
        <v>#N/A</v>
      </c>
      <c r="AQ101" s="30" t="e">
        <f t="shared" si="82"/>
        <v>#N/A</v>
      </c>
      <c r="AR101" s="30" t="e">
        <f t="shared" si="83"/>
        <v>#N/A</v>
      </c>
      <c r="AS101" s="30" t="e">
        <f t="shared" si="84"/>
        <v>#N/A</v>
      </c>
      <c r="AT101" s="30" t="e">
        <f t="shared" si="85"/>
        <v>#N/A</v>
      </c>
      <c r="AU101" s="30" t="e">
        <f t="shared" si="86"/>
        <v>#N/A</v>
      </c>
      <c r="AV101" s="30" t="e">
        <f t="shared" si="87"/>
        <v>#N/A</v>
      </c>
      <c r="AW101" s="30" t="e">
        <f t="shared" si="88"/>
        <v>#N/A</v>
      </c>
      <c r="AX101" s="30" t="e">
        <f t="shared" si="89"/>
        <v>#N/A</v>
      </c>
      <c r="AY101" s="30" t="e">
        <f t="shared" si="90"/>
        <v>#N/A</v>
      </c>
      <c r="AZ101" s="30" t="e">
        <f t="shared" si="91"/>
        <v>#N/A</v>
      </c>
      <c r="BA101" s="30" t="e">
        <f t="shared" si="92"/>
        <v>#N/A</v>
      </c>
      <c r="BB101" s="30" t="e">
        <f t="shared" si="93"/>
        <v>#N/A</v>
      </c>
      <c r="BC101" s="30" t="e">
        <f t="shared" si="94"/>
        <v>#N/A</v>
      </c>
      <c r="BD101" s="30" t="e">
        <f t="shared" si="95"/>
        <v>#N/A</v>
      </c>
      <c r="BE101" s="30" t="e">
        <f t="shared" si="96"/>
        <v>#N/A</v>
      </c>
      <c r="BF101" s="30" t="e">
        <f t="shared" si="97"/>
        <v>#N/A</v>
      </c>
      <c r="BG101" s="30" t="e">
        <f t="shared" si="98"/>
        <v>#N/A</v>
      </c>
      <c r="BH101" s="30" t="e">
        <f t="shared" si="99"/>
        <v>#N/A</v>
      </c>
      <c r="BI101" s="30" t="e">
        <f t="shared" si="100"/>
        <v>#N/A</v>
      </c>
      <c r="BJ101" s="30" t="e">
        <f t="shared" si="101"/>
        <v>#N/A</v>
      </c>
      <c r="BK101" s="30" t="e">
        <f t="shared" si="102"/>
        <v>#N/A</v>
      </c>
    </row>
    <row r="102" spans="2:63" hidden="1" x14ac:dyDescent="0.25">
      <c r="AG102" s="5"/>
    </row>
    <row r="103" spans="2:63" hidden="1" x14ac:dyDescent="0.25">
      <c r="B103" s="10" t="s">
        <v>39</v>
      </c>
      <c r="D103" s="5"/>
      <c r="F103" s="5"/>
      <c r="AG103" s="5"/>
    </row>
    <row r="104" spans="2:63" hidden="1" x14ac:dyDescent="0.25">
      <c r="C104" s="5" t="str">
        <f>$B$19</f>
        <v>fn_1</v>
      </c>
      <c r="D104" s="5" t="str">
        <f>$B$20</f>
        <v>fn_2</v>
      </c>
      <c r="E104" s="5" t="str">
        <f>$B$21</f>
        <v>fn_3</v>
      </c>
      <c r="F104" s="5" t="str">
        <f>$B$22</f>
        <v>fn_4</v>
      </c>
      <c r="G104" s="5" t="str">
        <f>$B$23</f>
        <v>fn_5</v>
      </c>
      <c r="H104" s="5" t="str">
        <f>$B$24</f>
        <v>fn_6</v>
      </c>
      <c r="I104" s="5" t="str">
        <f>$B$25</f>
        <v>fn_7</v>
      </c>
      <c r="J104" s="5" t="str">
        <f>$B$26</f>
        <v>fn_8</v>
      </c>
      <c r="K104" s="5" t="str">
        <f>$B$27</f>
        <v>fn_9</v>
      </c>
      <c r="L104" s="5" t="str">
        <f>$B$28</f>
        <v>fn_10</v>
      </c>
      <c r="M104" s="5" t="str">
        <f>$B$29</f>
        <v>fn_11</v>
      </c>
      <c r="N104" s="5" t="str">
        <f>$B$30</f>
        <v>fn_12</v>
      </c>
      <c r="O104" s="5" t="str">
        <f>$B$31</f>
        <v>fn_13</v>
      </c>
      <c r="P104" s="5" t="str">
        <f>$B$32</f>
        <v>fn_14</v>
      </c>
      <c r="Q104" s="5" t="str">
        <f>$B$33</f>
        <v>fn_15</v>
      </c>
      <c r="R104" s="5" t="str">
        <f>$B$34</f>
        <v>fn_16</v>
      </c>
      <c r="S104" s="5" t="str">
        <f>$B$35</f>
        <v>fn_17</v>
      </c>
      <c r="T104" s="5" t="str">
        <f>$B$36</f>
        <v>fn_18</v>
      </c>
      <c r="U104" s="5" t="str">
        <f>$B$37</f>
        <v>fn_19</v>
      </c>
      <c r="V104" s="5" t="str">
        <f>$B$38</f>
        <v>fn_20</v>
      </c>
      <c r="W104" s="5" t="str">
        <f>$B$39</f>
        <v>fn_21</v>
      </c>
      <c r="X104" s="5" t="str">
        <f>$B$40</f>
        <v>fn_22</v>
      </c>
      <c r="Y104" s="5" t="str">
        <f>$B$41</f>
        <v>fn_23</v>
      </c>
      <c r="Z104" s="5" t="str">
        <f>$B$42</f>
        <v>fn_24</v>
      </c>
      <c r="AA104" s="5" t="str">
        <f>$B$43</f>
        <v>fn_25</v>
      </c>
      <c r="AB104" s="5" t="str">
        <f>$B$44</f>
        <v>fn_26</v>
      </c>
      <c r="AC104" s="5" t="str">
        <f>$B$45</f>
        <v>fn_27</v>
      </c>
      <c r="AD104" s="5" t="str">
        <f>$B$46</f>
        <v>fn_28</v>
      </c>
      <c r="AE104" s="5" t="str">
        <f>$B$47</f>
        <v>fn_29</v>
      </c>
      <c r="AF104" s="5" t="str">
        <f>$B$48</f>
        <v>fn_30</v>
      </c>
      <c r="AG104" s="5"/>
    </row>
    <row r="105" spans="2:63" hidden="1" x14ac:dyDescent="0.25">
      <c r="B105" s="5" t="str">
        <f t="shared" ref="B105:B134" si="104">$M19</f>
        <v>1X</v>
      </c>
      <c r="C105" s="1">
        <f>$J$19</f>
        <v>3600</v>
      </c>
      <c r="D105" s="1">
        <f>$J$20</f>
        <v>5000</v>
      </c>
      <c r="E105" s="1">
        <f>$J$21</f>
        <v>8500</v>
      </c>
      <c r="F105" s="1">
        <f>$J$22</f>
        <v>10500</v>
      </c>
      <c r="G105" s="1">
        <f>$J$23</f>
        <v>12500</v>
      </c>
      <c r="H105" s="1" t="e">
        <f>$J$24</f>
        <v>#N/A</v>
      </c>
      <c r="I105" s="1" t="e">
        <f>$J$25</f>
        <v>#N/A</v>
      </c>
      <c r="J105" s="1" t="e">
        <f>$J$26</f>
        <v>#N/A</v>
      </c>
      <c r="K105" s="1" t="e">
        <f>$J$27</f>
        <v>#N/A</v>
      </c>
      <c r="L105" s="1" t="e">
        <f>$J$28</f>
        <v>#N/A</v>
      </c>
      <c r="M105" s="1" t="e">
        <f>$J$29</f>
        <v>#N/A</v>
      </c>
      <c r="N105" s="1" t="e">
        <f>$J$30</f>
        <v>#N/A</v>
      </c>
      <c r="O105" s="1" t="e">
        <f>$J$31</f>
        <v>#N/A</v>
      </c>
      <c r="P105" s="1" t="e">
        <f>$J$32</f>
        <v>#N/A</v>
      </c>
      <c r="Q105" s="1" t="e">
        <f>$J$33</f>
        <v>#N/A</v>
      </c>
      <c r="R105" s="1" t="e">
        <f>$J$34</f>
        <v>#N/A</v>
      </c>
      <c r="S105" s="1" t="e">
        <f>$J$35</f>
        <v>#N/A</v>
      </c>
      <c r="T105" s="1" t="e">
        <f>$J$36</f>
        <v>#N/A</v>
      </c>
      <c r="U105" s="1" t="e">
        <f>$J$37</f>
        <v>#N/A</v>
      </c>
      <c r="V105" s="1" t="e">
        <f>$J$38</f>
        <v>#N/A</v>
      </c>
      <c r="W105" s="1" t="e">
        <f>$J$39</f>
        <v>#N/A</v>
      </c>
      <c r="X105" s="1" t="e">
        <f>$J$40</f>
        <v>#N/A</v>
      </c>
      <c r="Y105" s="1" t="e">
        <f>$J$41</f>
        <v>#N/A</v>
      </c>
      <c r="Z105" s="1" t="e">
        <f>$J$42</f>
        <v>#N/A</v>
      </c>
      <c r="AA105" s="1" t="e">
        <f>$J$43</f>
        <v>#N/A</v>
      </c>
      <c r="AB105" s="1" t="e">
        <f>$J$44</f>
        <v>#N/A</v>
      </c>
      <c r="AC105" s="1" t="e">
        <f>$J$45</f>
        <v>#N/A</v>
      </c>
      <c r="AD105" s="1" t="e">
        <f>$J$46</f>
        <v>#N/A</v>
      </c>
      <c r="AE105" s="1" t="e">
        <f>$J$47</f>
        <v>#N/A</v>
      </c>
      <c r="AF105" s="1" t="e">
        <f>$J$48</f>
        <v>#N/A</v>
      </c>
      <c r="AG105" s="5"/>
    </row>
    <row r="106" spans="2:63" hidden="1" x14ac:dyDescent="0.25">
      <c r="B106" s="5" t="str">
        <f t="shared" si="104"/>
        <v>2X</v>
      </c>
      <c r="C106" s="1">
        <f t="shared" ref="C106:C134" si="105">$J$19</f>
        <v>3600</v>
      </c>
      <c r="D106" s="1">
        <f t="shared" ref="D106:D134" si="106">$J$20</f>
        <v>5000</v>
      </c>
      <c r="E106" s="1">
        <f t="shared" ref="E106:E134" si="107">$J$21</f>
        <v>8500</v>
      </c>
      <c r="F106" s="1">
        <f t="shared" ref="F106:F134" si="108">$J$22</f>
        <v>10500</v>
      </c>
      <c r="G106" s="1">
        <f t="shared" ref="G106:G134" si="109">$J$23</f>
        <v>12500</v>
      </c>
      <c r="H106" s="1" t="e">
        <f t="shared" ref="H106:H134" si="110">$J$24</f>
        <v>#N/A</v>
      </c>
      <c r="I106" s="1" t="e">
        <f t="shared" ref="I106:I134" si="111">$J$25</f>
        <v>#N/A</v>
      </c>
      <c r="J106" s="1" t="e">
        <f t="shared" ref="J106:J134" si="112">$J$26</f>
        <v>#N/A</v>
      </c>
      <c r="K106" s="1" t="e">
        <f t="shared" ref="K106:K134" si="113">$J$27</f>
        <v>#N/A</v>
      </c>
      <c r="L106" s="1" t="e">
        <f t="shared" ref="L106:L134" si="114">$J$28</f>
        <v>#N/A</v>
      </c>
      <c r="M106" s="1" t="e">
        <f t="shared" ref="M106:M134" si="115">$J$29</f>
        <v>#N/A</v>
      </c>
      <c r="N106" s="1" t="e">
        <f t="shared" ref="N106:N134" si="116">$J$30</f>
        <v>#N/A</v>
      </c>
      <c r="O106" s="1" t="e">
        <f t="shared" ref="O106:O134" si="117">$J$31</f>
        <v>#N/A</v>
      </c>
      <c r="P106" s="1" t="e">
        <f t="shared" ref="P106:P134" si="118">$J$32</f>
        <v>#N/A</v>
      </c>
      <c r="Q106" s="1" t="e">
        <f t="shared" ref="Q106:Q134" si="119">$J$33</f>
        <v>#N/A</v>
      </c>
      <c r="R106" s="1" t="e">
        <f t="shared" ref="R106:R134" si="120">$J$34</f>
        <v>#N/A</v>
      </c>
      <c r="S106" s="1" t="e">
        <f t="shared" ref="S106:S134" si="121">$J$35</f>
        <v>#N/A</v>
      </c>
      <c r="T106" s="1" t="e">
        <f t="shared" ref="T106:T134" si="122">$J$36</f>
        <v>#N/A</v>
      </c>
      <c r="U106" s="1" t="e">
        <f t="shared" ref="U106:U134" si="123">$J$37</f>
        <v>#N/A</v>
      </c>
      <c r="V106" s="1" t="e">
        <f t="shared" ref="V106:V134" si="124">$J$38</f>
        <v>#N/A</v>
      </c>
      <c r="W106" s="1" t="e">
        <f t="shared" ref="W106:W134" si="125">$J$39</f>
        <v>#N/A</v>
      </c>
      <c r="X106" s="1" t="e">
        <f t="shared" ref="X106:X134" si="126">$J$40</f>
        <v>#N/A</v>
      </c>
      <c r="Y106" s="1" t="e">
        <f t="shared" ref="Y106:Y134" si="127">$J$41</f>
        <v>#N/A</v>
      </c>
      <c r="Z106" s="1" t="e">
        <f t="shared" ref="Z106:Z134" si="128">$J$42</f>
        <v>#N/A</v>
      </c>
      <c r="AA106" s="1" t="e">
        <f t="shared" ref="AA106:AA134" si="129">$J$43</f>
        <v>#N/A</v>
      </c>
      <c r="AB106" s="1" t="e">
        <f t="shared" ref="AB106:AB134" si="130">$J$44</f>
        <v>#N/A</v>
      </c>
      <c r="AC106" s="1" t="e">
        <f t="shared" ref="AC106:AC134" si="131">$J$45</f>
        <v>#N/A</v>
      </c>
      <c r="AD106" s="1" t="e">
        <f t="shared" ref="AD106:AD134" si="132">$J$46</f>
        <v>#N/A</v>
      </c>
      <c r="AE106" s="1" t="e">
        <f t="shared" ref="AE106:AE134" si="133">$J$47</f>
        <v>#N/A</v>
      </c>
      <c r="AF106" s="1" t="e">
        <f t="shared" ref="AF106:AF134" si="134">$J$48</f>
        <v>#N/A</v>
      </c>
      <c r="AG106" s="5"/>
    </row>
    <row r="107" spans="2:63" hidden="1" x14ac:dyDescent="0.25">
      <c r="B107" s="5" t="str">
        <f t="shared" si="104"/>
        <v>5X</v>
      </c>
      <c r="C107" s="1">
        <f t="shared" si="105"/>
        <v>3600</v>
      </c>
      <c r="D107" s="1">
        <f t="shared" si="106"/>
        <v>5000</v>
      </c>
      <c r="E107" s="1">
        <f t="shared" si="107"/>
        <v>8500</v>
      </c>
      <c r="F107" s="1">
        <f t="shared" si="108"/>
        <v>10500</v>
      </c>
      <c r="G107" s="1">
        <f t="shared" si="109"/>
        <v>12500</v>
      </c>
      <c r="H107" s="1" t="e">
        <f t="shared" si="110"/>
        <v>#N/A</v>
      </c>
      <c r="I107" s="1" t="e">
        <f t="shared" si="111"/>
        <v>#N/A</v>
      </c>
      <c r="J107" s="1" t="e">
        <f t="shared" si="112"/>
        <v>#N/A</v>
      </c>
      <c r="K107" s="1" t="e">
        <f t="shared" si="113"/>
        <v>#N/A</v>
      </c>
      <c r="L107" s="1" t="e">
        <f t="shared" si="114"/>
        <v>#N/A</v>
      </c>
      <c r="M107" s="1" t="e">
        <f t="shared" si="115"/>
        <v>#N/A</v>
      </c>
      <c r="N107" s="1" t="e">
        <f t="shared" si="116"/>
        <v>#N/A</v>
      </c>
      <c r="O107" s="1" t="e">
        <f t="shared" si="117"/>
        <v>#N/A</v>
      </c>
      <c r="P107" s="1" t="e">
        <f t="shared" si="118"/>
        <v>#N/A</v>
      </c>
      <c r="Q107" s="1" t="e">
        <f t="shared" si="119"/>
        <v>#N/A</v>
      </c>
      <c r="R107" s="1" t="e">
        <f t="shared" si="120"/>
        <v>#N/A</v>
      </c>
      <c r="S107" s="1" t="e">
        <f t="shared" si="121"/>
        <v>#N/A</v>
      </c>
      <c r="T107" s="1" t="e">
        <f t="shared" si="122"/>
        <v>#N/A</v>
      </c>
      <c r="U107" s="1" t="e">
        <f t="shared" si="123"/>
        <v>#N/A</v>
      </c>
      <c r="V107" s="1" t="e">
        <f t="shared" si="124"/>
        <v>#N/A</v>
      </c>
      <c r="W107" s="1" t="e">
        <f t="shared" si="125"/>
        <v>#N/A</v>
      </c>
      <c r="X107" s="1" t="e">
        <f t="shared" si="126"/>
        <v>#N/A</v>
      </c>
      <c r="Y107" s="1" t="e">
        <f t="shared" si="127"/>
        <v>#N/A</v>
      </c>
      <c r="Z107" s="1" t="e">
        <f t="shared" si="128"/>
        <v>#N/A</v>
      </c>
      <c r="AA107" s="1" t="e">
        <f t="shared" si="129"/>
        <v>#N/A</v>
      </c>
      <c r="AB107" s="1" t="e">
        <f t="shared" si="130"/>
        <v>#N/A</v>
      </c>
      <c r="AC107" s="1" t="e">
        <f t="shared" si="131"/>
        <v>#N/A</v>
      </c>
      <c r="AD107" s="1" t="e">
        <f t="shared" si="132"/>
        <v>#N/A</v>
      </c>
      <c r="AE107" s="1" t="e">
        <f t="shared" si="133"/>
        <v>#N/A</v>
      </c>
      <c r="AF107" s="1" t="e">
        <f t="shared" si="134"/>
        <v>#N/A</v>
      </c>
    </row>
    <row r="108" spans="2:63" hidden="1" x14ac:dyDescent="0.25">
      <c r="B108" s="5" t="str">
        <f t="shared" si="104"/>
        <v>X</v>
      </c>
      <c r="C108" s="1">
        <f t="shared" si="105"/>
        <v>3600</v>
      </c>
      <c r="D108" s="1">
        <f t="shared" si="106"/>
        <v>5000</v>
      </c>
      <c r="E108" s="1">
        <f t="shared" si="107"/>
        <v>8500</v>
      </c>
      <c r="F108" s="1">
        <f t="shared" si="108"/>
        <v>10500</v>
      </c>
      <c r="G108" s="1">
        <f t="shared" si="109"/>
        <v>12500</v>
      </c>
      <c r="H108" s="1" t="e">
        <f t="shared" si="110"/>
        <v>#N/A</v>
      </c>
      <c r="I108" s="1" t="e">
        <f t="shared" si="111"/>
        <v>#N/A</v>
      </c>
      <c r="J108" s="1" t="e">
        <f t="shared" si="112"/>
        <v>#N/A</v>
      </c>
      <c r="K108" s="1" t="e">
        <f t="shared" si="113"/>
        <v>#N/A</v>
      </c>
      <c r="L108" s="1" t="e">
        <f t="shared" si="114"/>
        <v>#N/A</v>
      </c>
      <c r="M108" s="1" t="e">
        <f t="shared" si="115"/>
        <v>#N/A</v>
      </c>
      <c r="N108" s="1" t="e">
        <f t="shared" si="116"/>
        <v>#N/A</v>
      </c>
      <c r="O108" s="1" t="e">
        <f t="shared" si="117"/>
        <v>#N/A</v>
      </c>
      <c r="P108" s="1" t="e">
        <f t="shared" si="118"/>
        <v>#N/A</v>
      </c>
      <c r="Q108" s="1" t="e">
        <f t="shared" si="119"/>
        <v>#N/A</v>
      </c>
      <c r="R108" s="1" t="e">
        <f t="shared" si="120"/>
        <v>#N/A</v>
      </c>
      <c r="S108" s="1" t="e">
        <f t="shared" si="121"/>
        <v>#N/A</v>
      </c>
      <c r="T108" s="1" t="e">
        <f t="shared" si="122"/>
        <v>#N/A</v>
      </c>
      <c r="U108" s="1" t="e">
        <f t="shared" si="123"/>
        <v>#N/A</v>
      </c>
      <c r="V108" s="1" t="e">
        <f t="shared" si="124"/>
        <v>#N/A</v>
      </c>
      <c r="W108" s="1" t="e">
        <f t="shared" si="125"/>
        <v>#N/A</v>
      </c>
      <c r="X108" s="1" t="e">
        <f t="shared" si="126"/>
        <v>#N/A</v>
      </c>
      <c r="Y108" s="1" t="e">
        <f t="shared" si="127"/>
        <v>#N/A</v>
      </c>
      <c r="Z108" s="1" t="e">
        <f t="shared" si="128"/>
        <v>#N/A</v>
      </c>
      <c r="AA108" s="1" t="e">
        <f t="shared" si="129"/>
        <v>#N/A</v>
      </c>
      <c r="AB108" s="1" t="e">
        <f t="shared" si="130"/>
        <v>#N/A</v>
      </c>
      <c r="AC108" s="1" t="e">
        <f t="shared" si="131"/>
        <v>#N/A</v>
      </c>
      <c r="AD108" s="1" t="e">
        <f t="shared" si="132"/>
        <v>#N/A</v>
      </c>
      <c r="AE108" s="1" t="e">
        <f t="shared" si="133"/>
        <v>#N/A</v>
      </c>
      <c r="AF108" s="1" t="e">
        <f t="shared" si="134"/>
        <v>#N/A</v>
      </c>
    </row>
    <row r="109" spans="2:63" hidden="1" x14ac:dyDescent="0.25">
      <c r="B109" s="5" t="str">
        <f t="shared" si="104"/>
        <v>X</v>
      </c>
      <c r="C109" s="1">
        <f t="shared" si="105"/>
        <v>3600</v>
      </c>
      <c r="D109" s="1">
        <f t="shared" si="106"/>
        <v>5000</v>
      </c>
      <c r="E109" s="1">
        <f t="shared" si="107"/>
        <v>8500</v>
      </c>
      <c r="F109" s="1">
        <f t="shared" si="108"/>
        <v>10500</v>
      </c>
      <c r="G109" s="1">
        <f t="shared" si="109"/>
        <v>12500</v>
      </c>
      <c r="H109" s="1" t="e">
        <f t="shared" si="110"/>
        <v>#N/A</v>
      </c>
      <c r="I109" s="1" t="e">
        <f t="shared" si="111"/>
        <v>#N/A</v>
      </c>
      <c r="J109" s="1" t="e">
        <f t="shared" si="112"/>
        <v>#N/A</v>
      </c>
      <c r="K109" s="1" t="e">
        <f t="shared" si="113"/>
        <v>#N/A</v>
      </c>
      <c r="L109" s="1" t="e">
        <f t="shared" si="114"/>
        <v>#N/A</v>
      </c>
      <c r="M109" s="1" t="e">
        <f t="shared" si="115"/>
        <v>#N/A</v>
      </c>
      <c r="N109" s="1" t="e">
        <f t="shared" si="116"/>
        <v>#N/A</v>
      </c>
      <c r="O109" s="1" t="e">
        <f t="shared" si="117"/>
        <v>#N/A</v>
      </c>
      <c r="P109" s="1" t="e">
        <f t="shared" si="118"/>
        <v>#N/A</v>
      </c>
      <c r="Q109" s="1" t="e">
        <f t="shared" si="119"/>
        <v>#N/A</v>
      </c>
      <c r="R109" s="1" t="e">
        <f t="shared" si="120"/>
        <v>#N/A</v>
      </c>
      <c r="S109" s="1" t="e">
        <f t="shared" si="121"/>
        <v>#N/A</v>
      </c>
      <c r="T109" s="1" t="e">
        <f t="shared" si="122"/>
        <v>#N/A</v>
      </c>
      <c r="U109" s="1" t="e">
        <f t="shared" si="123"/>
        <v>#N/A</v>
      </c>
      <c r="V109" s="1" t="e">
        <f t="shared" si="124"/>
        <v>#N/A</v>
      </c>
      <c r="W109" s="1" t="e">
        <f t="shared" si="125"/>
        <v>#N/A</v>
      </c>
      <c r="X109" s="1" t="e">
        <f t="shared" si="126"/>
        <v>#N/A</v>
      </c>
      <c r="Y109" s="1" t="e">
        <f t="shared" si="127"/>
        <v>#N/A</v>
      </c>
      <c r="Z109" s="1" t="e">
        <f t="shared" si="128"/>
        <v>#N/A</v>
      </c>
      <c r="AA109" s="1" t="e">
        <f t="shared" si="129"/>
        <v>#N/A</v>
      </c>
      <c r="AB109" s="1" t="e">
        <f t="shared" si="130"/>
        <v>#N/A</v>
      </c>
      <c r="AC109" s="1" t="e">
        <f t="shared" si="131"/>
        <v>#N/A</v>
      </c>
      <c r="AD109" s="1" t="e">
        <f t="shared" si="132"/>
        <v>#N/A</v>
      </c>
      <c r="AE109" s="1" t="e">
        <f t="shared" si="133"/>
        <v>#N/A</v>
      </c>
      <c r="AF109" s="1" t="e">
        <f t="shared" si="134"/>
        <v>#N/A</v>
      </c>
    </row>
    <row r="110" spans="2:63" hidden="1" x14ac:dyDescent="0.25">
      <c r="B110" s="5" t="str">
        <f t="shared" si="104"/>
        <v>X</v>
      </c>
      <c r="C110" s="1">
        <f t="shared" si="105"/>
        <v>3600</v>
      </c>
      <c r="D110" s="1">
        <f t="shared" si="106"/>
        <v>5000</v>
      </c>
      <c r="E110" s="1">
        <f t="shared" si="107"/>
        <v>8500</v>
      </c>
      <c r="F110" s="1">
        <f t="shared" si="108"/>
        <v>10500</v>
      </c>
      <c r="G110" s="1">
        <f t="shared" si="109"/>
        <v>12500</v>
      </c>
      <c r="H110" s="1" t="e">
        <f t="shared" si="110"/>
        <v>#N/A</v>
      </c>
      <c r="I110" s="1" t="e">
        <f t="shared" si="111"/>
        <v>#N/A</v>
      </c>
      <c r="J110" s="1" t="e">
        <f t="shared" si="112"/>
        <v>#N/A</v>
      </c>
      <c r="K110" s="1" t="e">
        <f t="shared" si="113"/>
        <v>#N/A</v>
      </c>
      <c r="L110" s="1" t="e">
        <f t="shared" si="114"/>
        <v>#N/A</v>
      </c>
      <c r="M110" s="1" t="e">
        <f t="shared" si="115"/>
        <v>#N/A</v>
      </c>
      <c r="N110" s="1" t="e">
        <f t="shared" si="116"/>
        <v>#N/A</v>
      </c>
      <c r="O110" s="1" t="e">
        <f t="shared" si="117"/>
        <v>#N/A</v>
      </c>
      <c r="P110" s="1" t="e">
        <f t="shared" si="118"/>
        <v>#N/A</v>
      </c>
      <c r="Q110" s="1" t="e">
        <f t="shared" si="119"/>
        <v>#N/A</v>
      </c>
      <c r="R110" s="1" t="e">
        <f t="shared" si="120"/>
        <v>#N/A</v>
      </c>
      <c r="S110" s="1" t="e">
        <f t="shared" si="121"/>
        <v>#N/A</v>
      </c>
      <c r="T110" s="1" t="e">
        <f t="shared" si="122"/>
        <v>#N/A</v>
      </c>
      <c r="U110" s="1" t="e">
        <f t="shared" si="123"/>
        <v>#N/A</v>
      </c>
      <c r="V110" s="1" t="e">
        <f t="shared" si="124"/>
        <v>#N/A</v>
      </c>
      <c r="W110" s="1" t="e">
        <f t="shared" si="125"/>
        <v>#N/A</v>
      </c>
      <c r="X110" s="1" t="e">
        <f t="shared" si="126"/>
        <v>#N/A</v>
      </c>
      <c r="Y110" s="1" t="e">
        <f t="shared" si="127"/>
        <v>#N/A</v>
      </c>
      <c r="Z110" s="1" t="e">
        <f t="shared" si="128"/>
        <v>#N/A</v>
      </c>
      <c r="AA110" s="1" t="e">
        <f t="shared" si="129"/>
        <v>#N/A</v>
      </c>
      <c r="AB110" s="1" t="e">
        <f t="shared" si="130"/>
        <v>#N/A</v>
      </c>
      <c r="AC110" s="1" t="e">
        <f t="shared" si="131"/>
        <v>#N/A</v>
      </c>
      <c r="AD110" s="1" t="e">
        <f t="shared" si="132"/>
        <v>#N/A</v>
      </c>
      <c r="AE110" s="1" t="e">
        <f t="shared" si="133"/>
        <v>#N/A</v>
      </c>
      <c r="AF110" s="1" t="e">
        <f t="shared" si="134"/>
        <v>#N/A</v>
      </c>
    </row>
    <row r="111" spans="2:63" hidden="1" x14ac:dyDescent="0.25">
      <c r="B111" s="5" t="str">
        <f t="shared" si="104"/>
        <v>X</v>
      </c>
      <c r="C111" s="1">
        <f t="shared" si="105"/>
        <v>3600</v>
      </c>
      <c r="D111" s="1">
        <f t="shared" si="106"/>
        <v>5000</v>
      </c>
      <c r="E111" s="1">
        <f t="shared" si="107"/>
        <v>8500</v>
      </c>
      <c r="F111" s="1">
        <f t="shared" si="108"/>
        <v>10500</v>
      </c>
      <c r="G111" s="1">
        <f t="shared" si="109"/>
        <v>12500</v>
      </c>
      <c r="H111" s="1" t="e">
        <f t="shared" si="110"/>
        <v>#N/A</v>
      </c>
      <c r="I111" s="1" t="e">
        <f t="shared" si="111"/>
        <v>#N/A</v>
      </c>
      <c r="J111" s="1" t="e">
        <f t="shared" si="112"/>
        <v>#N/A</v>
      </c>
      <c r="K111" s="1" t="e">
        <f t="shared" si="113"/>
        <v>#N/A</v>
      </c>
      <c r="L111" s="1" t="e">
        <f t="shared" si="114"/>
        <v>#N/A</v>
      </c>
      <c r="M111" s="1" t="e">
        <f t="shared" si="115"/>
        <v>#N/A</v>
      </c>
      <c r="N111" s="1" t="e">
        <f t="shared" si="116"/>
        <v>#N/A</v>
      </c>
      <c r="O111" s="1" t="e">
        <f t="shared" si="117"/>
        <v>#N/A</v>
      </c>
      <c r="P111" s="1" t="e">
        <f t="shared" si="118"/>
        <v>#N/A</v>
      </c>
      <c r="Q111" s="1" t="e">
        <f t="shared" si="119"/>
        <v>#N/A</v>
      </c>
      <c r="R111" s="1" t="e">
        <f t="shared" si="120"/>
        <v>#N/A</v>
      </c>
      <c r="S111" s="1" t="e">
        <f t="shared" si="121"/>
        <v>#N/A</v>
      </c>
      <c r="T111" s="1" t="e">
        <f t="shared" si="122"/>
        <v>#N/A</v>
      </c>
      <c r="U111" s="1" t="e">
        <f t="shared" si="123"/>
        <v>#N/A</v>
      </c>
      <c r="V111" s="1" t="e">
        <f t="shared" si="124"/>
        <v>#N/A</v>
      </c>
      <c r="W111" s="1" t="e">
        <f t="shared" si="125"/>
        <v>#N/A</v>
      </c>
      <c r="X111" s="1" t="e">
        <f t="shared" si="126"/>
        <v>#N/A</v>
      </c>
      <c r="Y111" s="1" t="e">
        <f t="shared" si="127"/>
        <v>#N/A</v>
      </c>
      <c r="Z111" s="1" t="e">
        <f t="shared" si="128"/>
        <v>#N/A</v>
      </c>
      <c r="AA111" s="1" t="e">
        <f t="shared" si="129"/>
        <v>#N/A</v>
      </c>
      <c r="AB111" s="1" t="e">
        <f t="shared" si="130"/>
        <v>#N/A</v>
      </c>
      <c r="AC111" s="1" t="e">
        <f t="shared" si="131"/>
        <v>#N/A</v>
      </c>
      <c r="AD111" s="1" t="e">
        <f t="shared" si="132"/>
        <v>#N/A</v>
      </c>
      <c r="AE111" s="1" t="e">
        <f t="shared" si="133"/>
        <v>#N/A</v>
      </c>
      <c r="AF111" s="1" t="e">
        <f t="shared" si="134"/>
        <v>#N/A</v>
      </c>
    </row>
    <row r="112" spans="2:63" hidden="1" x14ac:dyDescent="0.25">
      <c r="B112" s="5" t="str">
        <f t="shared" si="104"/>
        <v>X</v>
      </c>
      <c r="C112" s="1">
        <f t="shared" si="105"/>
        <v>3600</v>
      </c>
      <c r="D112" s="1">
        <f t="shared" si="106"/>
        <v>5000</v>
      </c>
      <c r="E112" s="1">
        <f t="shared" si="107"/>
        <v>8500</v>
      </c>
      <c r="F112" s="1">
        <f t="shared" si="108"/>
        <v>10500</v>
      </c>
      <c r="G112" s="1">
        <f t="shared" si="109"/>
        <v>12500</v>
      </c>
      <c r="H112" s="1" t="e">
        <f t="shared" si="110"/>
        <v>#N/A</v>
      </c>
      <c r="I112" s="1" t="e">
        <f t="shared" si="111"/>
        <v>#N/A</v>
      </c>
      <c r="J112" s="1" t="e">
        <f t="shared" si="112"/>
        <v>#N/A</v>
      </c>
      <c r="K112" s="1" t="e">
        <f t="shared" si="113"/>
        <v>#N/A</v>
      </c>
      <c r="L112" s="1" t="e">
        <f t="shared" si="114"/>
        <v>#N/A</v>
      </c>
      <c r="M112" s="1" t="e">
        <f t="shared" si="115"/>
        <v>#N/A</v>
      </c>
      <c r="N112" s="1" t="e">
        <f t="shared" si="116"/>
        <v>#N/A</v>
      </c>
      <c r="O112" s="1" t="e">
        <f t="shared" si="117"/>
        <v>#N/A</v>
      </c>
      <c r="P112" s="1" t="e">
        <f t="shared" si="118"/>
        <v>#N/A</v>
      </c>
      <c r="Q112" s="1" t="e">
        <f t="shared" si="119"/>
        <v>#N/A</v>
      </c>
      <c r="R112" s="1" t="e">
        <f t="shared" si="120"/>
        <v>#N/A</v>
      </c>
      <c r="S112" s="1" t="e">
        <f t="shared" si="121"/>
        <v>#N/A</v>
      </c>
      <c r="T112" s="1" t="e">
        <f t="shared" si="122"/>
        <v>#N/A</v>
      </c>
      <c r="U112" s="1" t="e">
        <f t="shared" si="123"/>
        <v>#N/A</v>
      </c>
      <c r="V112" s="1" t="e">
        <f t="shared" si="124"/>
        <v>#N/A</v>
      </c>
      <c r="W112" s="1" t="e">
        <f t="shared" si="125"/>
        <v>#N/A</v>
      </c>
      <c r="X112" s="1" t="e">
        <f t="shared" si="126"/>
        <v>#N/A</v>
      </c>
      <c r="Y112" s="1" t="e">
        <f t="shared" si="127"/>
        <v>#N/A</v>
      </c>
      <c r="Z112" s="1" t="e">
        <f t="shared" si="128"/>
        <v>#N/A</v>
      </c>
      <c r="AA112" s="1" t="e">
        <f t="shared" si="129"/>
        <v>#N/A</v>
      </c>
      <c r="AB112" s="1" t="e">
        <f t="shared" si="130"/>
        <v>#N/A</v>
      </c>
      <c r="AC112" s="1" t="e">
        <f t="shared" si="131"/>
        <v>#N/A</v>
      </c>
      <c r="AD112" s="1" t="e">
        <f t="shared" si="132"/>
        <v>#N/A</v>
      </c>
      <c r="AE112" s="1" t="e">
        <f t="shared" si="133"/>
        <v>#N/A</v>
      </c>
      <c r="AF112" s="1" t="e">
        <f t="shared" si="134"/>
        <v>#N/A</v>
      </c>
    </row>
    <row r="113" spans="2:32" hidden="1" x14ac:dyDescent="0.25">
      <c r="B113" s="5" t="str">
        <f t="shared" si="104"/>
        <v>X</v>
      </c>
      <c r="C113" s="1">
        <f t="shared" si="105"/>
        <v>3600</v>
      </c>
      <c r="D113" s="1">
        <f t="shared" si="106"/>
        <v>5000</v>
      </c>
      <c r="E113" s="1">
        <f t="shared" si="107"/>
        <v>8500</v>
      </c>
      <c r="F113" s="1">
        <f t="shared" si="108"/>
        <v>10500</v>
      </c>
      <c r="G113" s="1">
        <f t="shared" si="109"/>
        <v>12500</v>
      </c>
      <c r="H113" s="1" t="e">
        <f t="shared" si="110"/>
        <v>#N/A</v>
      </c>
      <c r="I113" s="1" t="e">
        <f t="shared" si="111"/>
        <v>#N/A</v>
      </c>
      <c r="J113" s="1" t="e">
        <f t="shared" si="112"/>
        <v>#N/A</v>
      </c>
      <c r="K113" s="1" t="e">
        <f t="shared" si="113"/>
        <v>#N/A</v>
      </c>
      <c r="L113" s="1" t="e">
        <f t="shared" si="114"/>
        <v>#N/A</v>
      </c>
      <c r="M113" s="1" t="e">
        <f t="shared" si="115"/>
        <v>#N/A</v>
      </c>
      <c r="N113" s="1" t="e">
        <f t="shared" si="116"/>
        <v>#N/A</v>
      </c>
      <c r="O113" s="1" t="e">
        <f t="shared" si="117"/>
        <v>#N/A</v>
      </c>
      <c r="P113" s="1" t="e">
        <f t="shared" si="118"/>
        <v>#N/A</v>
      </c>
      <c r="Q113" s="1" t="e">
        <f t="shared" si="119"/>
        <v>#N/A</v>
      </c>
      <c r="R113" s="1" t="e">
        <f t="shared" si="120"/>
        <v>#N/A</v>
      </c>
      <c r="S113" s="1" t="e">
        <f t="shared" si="121"/>
        <v>#N/A</v>
      </c>
      <c r="T113" s="1" t="e">
        <f t="shared" si="122"/>
        <v>#N/A</v>
      </c>
      <c r="U113" s="1" t="e">
        <f t="shared" si="123"/>
        <v>#N/A</v>
      </c>
      <c r="V113" s="1" t="e">
        <f t="shared" si="124"/>
        <v>#N/A</v>
      </c>
      <c r="W113" s="1" t="e">
        <f t="shared" si="125"/>
        <v>#N/A</v>
      </c>
      <c r="X113" s="1" t="e">
        <f t="shared" si="126"/>
        <v>#N/A</v>
      </c>
      <c r="Y113" s="1" t="e">
        <f t="shared" si="127"/>
        <v>#N/A</v>
      </c>
      <c r="Z113" s="1" t="e">
        <f t="shared" si="128"/>
        <v>#N/A</v>
      </c>
      <c r="AA113" s="1" t="e">
        <f t="shared" si="129"/>
        <v>#N/A</v>
      </c>
      <c r="AB113" s="1" t="e">
        <f t="shared" si="130"/>
        <v>#N/A</v>
      </c>
      <c r="AC113" s="1" t="e">
        <f t="shared" si="131"/>
        <v>#N/A</v>
      </c>
      <c r="AD113" s="1" t="e">
        <f t="shared" si="132"/>
        <v>#N/A</v>
      </c>
      <c r="AE113" s="1" t="e">
        <f t="shared" si="133"/>
        <v>#N/A</v>
      </c>
      <c r="AF113" s="1" t="e">
        <f t="shared" si="134"/>
        <v>#N/A</v>
      </c>
    </row>
    <row r="114" spans="2:32" hidden="1" x14ac:dyDescent="0.25">
      <c r="B114" s="5" t="str">
        <f t="shared" si="104"/>
        <v>X</v>
      </c>
      <c r="C114" s="1">
        <f t="shared" si="105"/>
        <v>3600</v>
      </c>
      <c r="D114" s="1">
        <f t="shared" si="106"/>
        <v>5000</v>
      </c>
      <c r="E114" s="1">
        <f t="shared" si="107"/>
        <v>8500</v>
      </c>
      <c r="F114" s="1">
        <f t="shared" si="108"/>
        <v>10500</v>
      </c>
      <c r="G114" s="1">
        <f t="shared" si="109"/>
        <v>12500</v>
      </c>
      <c r="H114" s="1" t="e">
        <f t="shared" si="110"/>
        <v>#N/A</v>
      </c>
      <c r="I114" s="1" t="e">
        <f t="shared" si="111"/>
        <v>#N/A</v>
      </c>
      <c r="J114" s="1" t="e">
        <f t="shared" si="112"/>
        <v>#N/A</v>
      </c>
      <c r="K114" s="1" t="e">
        <f t="shared" si="113"/>
        <v>#N/A</v>
      </c>
      <c r="L114" s="1" t="e">
        <f t="shared" si="114"/>
        <v>#N/A</v>
      </c>
      <c r="M114" s="1" t="e">
        <f t="shared" si="115"/>
        <v>#N/A</v>
      </c>
      <c r="N114" s="1" t="e">
        <f t="shared" si="116"/>
        <v>#N/A</v>
      </c>
      <c r="O114" s="1" t="e">
        <f t="shared" si="117"/>
        <v>#N/A</v>
      </c>
      <c r="P114" s="1" t="e">
        <f t="shared" si="118"/>
        <v>#N/A</v>
      </c>
      <c r="Q114" s="1" t="e">
        <f t="shared" si="119"/>
        <v>#N/A</v>
      </c>
      <c r="R114" s="1" t="e">
        <f t="shared" si="120"/>
        <v>#N/A</v>
      </c>
      <c r="S114" s="1" t="e">
        <f t="shared" si="121"/>
        <v>#N/A</v>
      </c>
      <c r="T114" s="1" t="e">
        <f t="shared" si="122"/>
        <v>#N/A</v>
      </c>
      <c r="U114" s="1" t="e">
        <f t="shared" si="123"/>
        <v>#N/A</v>
      </c>
      <c r="V114" s="1" t="e">
        <f t="shared" si="124"/>
        <v>#N/A</v>
      </c>
      <c r="W114" s="1" t="e">
        <f t="shared" si="125"/>
        <v>#N/A</v>
      </c>
      <c r="X114" s="1" t="e">
        <f t="shared" si="126"/>
        <v>#N/A</v>
      </c>
      <c r="Y114" s="1" t="e">
        <f t="shared" si="127"/>
        <v>#N/A</v>
      </c>
      <c r="Z114" s="1" t="e">
        <f t="shared" si="128"/>
        <v>#N/A</v>
      </c>
      <c r="AA114" s="1" t="e">
        <f t="shared" si="129"/>
        <v>#N/A</v>
      </c>
      <c r="AB114" s="1" t="e">
        <f t="shared" si="130"/>
        <v>#N/A</v>
      </c>
      <c r="AC114" s="1" t="e">
        <f t="shared" si="131"/>
        <v>#N/A</v>
      </c>
      <c r="AD114" s="1" t="e">
        <f t="shared" si="132"/>
        <v>#N/A</v>
      </c>
      <c r="AE114" s="1" t="e">
        <f t="shared" si="133"/>
        <v>#N/A</v>
      </c>
      <c r="AF114" s="1" t="e">
        <f t="shared" si="134"/>
        <v>#N/A</v>
      </c>
    </row>
    <row r="115" spans="2:32" hidden="1" x14ac:dyDescent="0.25">
      <c r="B115" s="5" t="str">
        <f t="shared" si="104"/>
        <v>X</v>
      </c>
      <c r="C115" s="1">
        <f t="shared" si="105"/>
        <v>3600</v>
      </c>
      <c r="D115" s="1">
        <f t="shared" si="106"/>
        <v>5000</v>
      </c>
      <c r="E115" s="1">
        <f t="shared" si="107"/>
        <v>8500</v>
      </c>
      <c r="F115" s="1">
        <f t="shared" si="108"/>
        <v>10500</v>
      </c>
      <c r="G115" s="1">
        <f t="shared" si="109"/>
        <v>12500</v>
      </c>
      <c r="H115" s="1" t="e">
        <f t="shared" si="110"/>
        <v>#N/A</v>
      </c>
      <c r="I115" s="1" t="e">
        <f t="shared" si="111"/>
        <v>#N/A</v>
      </c>
      <c r="J115" s="1" t="e">
        <f t="shared" si="112"/>
        <v>#N/A</v>
      </c>
      <c r="K115" s="1" t="e">
        <f t="shared" si="113"/>
        <v>#N/A</v>
      </c>
      <c r="L115" s="1" t="e">
        <f t="shared" si="114"/>
        <v>#N/A</v>
      </c>
      <c r="M115" s="1" t="e">
        <f t="shared" si="115"/>
        <v>#N/A</v>
      </c>
      <c r="N115" s="1" t="e">
        <f t="shared" si="116"/>
        <v>#N/A</v>
      </c>
      <c r="O115" s="1" t="e">
        <f t="shared" si="117"/>
        <v>#N/A</v>
      </c>
      <c r="P115" s="1" t="e">
        <f t="shared" si="118"/>
        <v>#N/A</v>
      </c>
      <c r="Q115" s="1" t="e">
        <f t="shared" si="119"/>
        <v>#N/A</v>
      </c>
      <c r="R115" s="1" t="e">
        <f t="shared" si="120"/>
        <v>#N/A</v>
      </c>
      <c r="S115" s="1" t="e">
        <f t="shared" si="121"/>
        <v>#N/A</v>
      </c>
      <c r="T115" s="1" t="e">
        <f t="shared" si="122"/>
        <v>#N/A</v>
      </c>
      <c r="U115" s="1" t="e">
        <f t="shared" si="123"/>
        <v>#N/A</v>
      </c>
      <c r="V115" s="1" t="e">
        <f t="shared" si="124"/>
        <v>#N/A</v>
      </c>
      <c r="W115" s="1" t="e">
        <f t="shared" si="125"/>
        <v>#N/A</v>
      </c>
      <c r="X115" s="1" t="e">
        <f t="shared" si="126"/>
        <v>#N/A</v>
      </c>
      <c r="Y115" s="1" t="e">
        <f t="shared" si="127"/>
        <v>#N/A</v>
      </c>
      <c r="Z115" s="1" t="e">
        <f t="shared" si="128"/>
        <v>#N/A</v>
      </c>
      <c r="AA115" s="1" t="e">
        <f t="shared" si="129"/>
        <v>#N/A</v>
      </c>
      <c r="AB115" s="1" t="e">
        <f t="shared" si="130"/>
        <v>#N/A</v>
      </c>
      <c r="AC115" s="1" t="e">
        <f t="shared" si="131"/>
        <v>#N/A</v>
      </c>
      <c r="AD115" s="1" t="e">
        <f t="shared" si="132"/>
        <v>#N/A</v>
      </c>
      <c r="AE115" s="1" t="e">
        <f t="shared" si="133"/>
        <v>#N/A</v>
      </c>
      <c r="AF115" s="1" t="e">
        <f t="shared" si="134"/>
        <v>#N/A</v>
      </c>
    </row>
    <row r="116" spans="2:32" hidden="1" x14ac:dyDescent="0.25">
      <c r="B116" s="5" t="str">
        <f t="shared" si="104"/>
        <v>X</v>
      </c>
      <c r="C116" s="1">
        <f t="shared" si="105"/>
        <v>3600</v>
      </c>
      <c r="D116" s="1">
        <f t="shared" si="106"/>
        <v>5000</v>
      </c>
      <c r="E116" s="1">
        <f t="shared" si="107"/>
        <v>8500</v>
      </c>
      <c r="F116" s="1">
        <f t="shared" si="108"/>
        <v>10500</v>
      </c>
      <c r="G116" s="1">
        <f t="shared" si="109"/>
        <v>12500</v>
      </c>
      <c r="H116" s="1" t="e">
        <f t="shared" si="110"/>
        <v>#N/A</v>
      </c>
      <c r="I116" s="1" t="e">
        <f t="shared" si="111"/>
        <v>#N/A</v>
      </c>
      <c r="J116" s="1" t="e">
        <f t="shared" si="112"/>
        <v>#N/A</v>
      </c>
      <c r="K116" s="1" t="e">
        <f t="shared" si="113"/>
        <v>#N/A</v>
      </c>
      <c r="L116" s="1" t="e">
        <f t="shared" si="114"/>
        <v>#N/A</v>
      </c>
      <c r="M116" s="1" t="e">
        <f t="shared" si="115"/>
        <v>#N/A</v>
      </c>
      <c r="N116" s="1" t="e">
        <f t="shared" si="116"/>
        <v>#N/A</v>
      </c>
      <c r="O116" s="1" t="e">
        <f t="shared" si="117"/>
        <v>#N/A</v>
      </c>
      <c r="P116" s="1" t="e">
        <f t="shared" si="118"/>
        <v>#N/A</v>
      </c>
      <c r="Q116" s="1" t="e">
        <f t="shared" si="119"/>
        <v>#N/A</v>
      </c>
      <c r="R116" s="1" t="e">
        <f t="shared" si="120"/>
        <v>#N/A</v>
      </c>
      <c r="S116" s="1" t="e">
        <f t="shared" si="121"/>
        <v>#N/A</v>
      </c>
      <c r="T116" s="1" t="e">
        <f t="shared" si="122"/>
        <v>#N/A</v>
      </c>
      <c r="U116" s="1" t="e">
        <f t="shared" si="123"/>
        <v>#N/A</v>
      </c>
      <c r="V116" s="1" t="e">
        <f t="shared" si="124"/>
        <v>#N/A</v>
      </c>
      <c r="W116" s="1" t="e">
        <f t="shared" si="125"/>
        <v>#N/A</v>
      </c>
      <c r="X116" s="1" t="e">
        <f t="shared" si="126"/>
        <v>#N/A</v>
      </c>
      <c r="Y116" s="1" t="e">
        <f t="shared" si="127"/>
        <v>#N/A</v>
      </c>
      <c r="Z116" s="1" t="e">
        <f t="shared" si="128"/>
        <v>#N/A</v>
      </c>
      <c r="AA116" s="1" t="e">
        <f t="shared" si="129"/>
        <v>#N/A</v>
      </c>
      <c r="AB116" s="1" t="e">
        <f t="shared" si="130"/>
        <v>#N/A</v>
      </c>
      <c r="AC116" s="1" t="e">
        <f t="shared" si="131"/>
        <v>#N/A</v>
      </c>
      <c r="AD116" s="1" t="e">
        <f t="shared" si="132"/>
        <v>#N/A</v>
      </c>
      <c r="AE116" s="1" t="e">
        <f t="shared" si="133"/>
        <v>#N/A</v>
      </c>
      <c r="AF116" s="1" t="e">
        <f t="shared" si="134"/>
        <v>#N/A</v>
      </c>
    </row>
    <row r="117" spans="2:32" hidden="1" x14ac:dyDescent="0.25">
      <c r="B117" s="5" t="str">
        <f t="shared" si="104"/>
        <v>X</v>
      </c>
      <c r="C117" s="1">
        <f t="shared" si="105"/>
        <v>3600</v>
      </c>
      <c r="D117" s="1">
        <f t="shared" si="106"/>
        <v>5000</v>
      </c>
      <c r="E117" s="1">
        <f t="shared" si="107"/>
        <v>8500</v>
      </c>
      <c r="F117" s="1">
        <f t="shared" si="108"/>
        <v>10500</v>
      </c>
      <c r="G117" s="1">
        <f t="shared" si="109"/>
        <v>12500</v>
      </c>
      <c r="H117" s="1" t="e">
        <f t="shared" si="110"/>
        <v>#N/A</v>
      </c>
      <c r="I117" s="1" t="e">
        <f t="shared" si="111"/>
        <v>#N/A</v>
      </c>
      <c r="J117" s="1" t="e">
        <f t="shared" si="112"/>
        <v>#N/A</v>
      </c>
      <c r="K117" s="1" t="e">
        <f t="shared" si="113"/>
        <v>#N/A</v>
      </c>
      <c r="L117" s="1" t="e">
        <f t="shared" si="114"/>
        <v>#N/A</v>
      </c>
      <c r="M117" s="1" t="e">
        <f t="shared" si="115"/>
        <v>#N/A</v>
      </c>
      <c r="N117" s="1" t="e">
        <f t="shared" si="116"/>
        <v>#N/A</v>
      </c>
      <c r="O117" s="1" t="e">
        <f t="shared" si="117"/>
        <v>#N/A</v>
      </c>
      <c r="P117" s="1" t="e">
        <f t="shared" si="118"/>
        <v>#N/A</v>
      </c>
      <c r="Q117" s="1" t="e">
        <f t="shared" si="119"/>
        <v>#N/A</v>
      </c>
      <c r="R117" s="1" t="e">
        <f t="shared" si="120"/>
        <v>#N/A</v>
      </c>
      <c r="S117" s="1" t="e">
        <f t="shared" si="121"/>
        <v>#N/A</v>
      </c>
      <c r="T117" s="1" t="e">
        <f t="shared" si="122"/>
        <v>#N/A</v>
      </c>
      <c r="U117" s="1" t="e">
        <f t="shared" si="123"/>
        <v>#N/A</v>
      </c>
      <c r="V117" s="1" t="e">
        <f t="shared" si="124"/>
        <v>#N/A</v>
      </c>
      <c r="W117" s="1" t="e">
        <f t="shared" si="125"/>
        <v>#N/A</v>
      </c>
      <c r="X117" s="1" t="e">
        <f t="shared" si="126"/>
        <v>#N/A</v>
      </c>
      <c r="Y117" s="1" t="e">
        <f t="shared" si="127"/>
        <v>#N/A</v>
      </c>
      <c r="Z117" s="1" t="e">
        <f t="shared" si="128"/>
        <v>#N/A</v>
      </c>
      <c r="AA117" s="1" t="e">
        <f t="shared" si="129"/>
        <v>#N/A</v>
      </c>
      <c r="AB117" s="1" t="e">
        <f t="shared" si="130"/>
        <v>#N/A</v>
      </c>
      <c r="AC117" s="1" t="e">
        <f t="shared" si="131"/>
        <v>#N/A</v>
      </c>
      <c r="AD117" s="1" t="e">
        <f t="shared" si="132"/>
        <v>#N/A</v>
      </c>
      <c r="AE117" s="1" t="e">
        <f t="shared" si="133"/>
        <v>#N/A</v>
      </c>
      <c r="AF117" s="1" t="e">
        <f t="shared" si="134"/>
        <v>#N/A</v>
      </c>
    </row>
    <row r="118" spans="2:32" hidden="1" x14ac:dyDescent="0.25">
      <c r="B118" s="5" t="str">
        <f t="shared" si="104"/>
        <v>X</v>
      </c>
      <c r="C118" s="1">
        <f t="shared" si="105"/>
        <v>3600</v>
      </c>
      <c r="D118" s="1">
        <f t="shared" si="106"/>
        <v>5000</v>
      </c>
      <c r="E118" s="1">
        <f t="shared" si="107"/>
        <v>8500</v>
      </c>
      <c r="F118" s="1">
        <f t="shared" si="108"/>
        <v>10500</v>
      </c>
      <c r="G118" s="1">
        <f t="shared" si="109"/>
        <v>12500</v>
      </c>
      <c r="H118" s="1" t="e">
        <f t="shared" si="110"/>
        <v>#N/A</v>
      </c>
      <c r="I118" s="1" t="e">
        <f t="shared" si="111"/>
        <v>#N/A</v>
      </c>
      <c r="J118" s="1" t="e">
        <f t="shared" si="112"/>
        <v>#N/A</v>
      </c>
      <c r="K118" s="1" t="e">
        <f t="shared" si="113"/>
        <v>#N/A</v>
      </c>
      <c r="L118" s="1" t="e">
        <f t="shared" si="114"/>
        <v>#N/A</v>
      </c>
      <c r="M118" s="1" t="e">
        <f t="shared" si="115"/>
        <v>#N/A</v>
      </c>
      <c r="N118" s="1" t="e">
        <f t="shared" si="116"/>
        <v>#N/A</v>
      </c>
      <c r="O118" s="1" t="e">
        <f t="shared" si="117"/>
        <v>#N/A</v>
      </c>
      <c r="P118" s="1" t="e">
        <f t="shared" si="118"/>
        <v>#N/A</v>
      </c>
      <c r="Q118" s="1" t="e">
        <f t="shared" si="119"/>
        <v>#N/A</v>
      </c>
      <c r="R118" s="1" t="e">
        <f t="shared" si="120"/>
        <v>#N/A</v>
      </c>
      <c r="S118" s="1" t="e">
        <f t="shared" si="121"/>
        <v>#N/A</v>
      </c>
      <c r="T118" s="1" t="e">
        <f t="shared" si="122"/>
        <v>#N/A</v>
      </c>
      <c r="U118" s="1" t="e">
        <f t="shared" si="123"/>
        <v>#N/A</v>
      </c>
      <c r="V118" s="1" t="e">
        <f t="shared" si="124"/>
        <v>#N/A</v>
      </c>
      <c r="W118" s="1" t="e">
        <f t="shared" si="125"/>
        <v>#N/A</v>
      </c>
      <c r="X118" s="1" t="e">
        <f t="shared" si="126"/>
        <v>#N/A</v>
      </c>
      <c r="Y118" s="1" t="e">
        <f t="shared" si="127"/>
        <v>#N/A</v>
      </c>
      <c r="Z118" s="1" t="e">
        <f t="shared" si="128"/>
        <v>#N/A</v>
      </c>
      <c r="AA118" s="1" t="e">
        <f t="shared" si="129"/>
        <v>#N/A</v>
      </c>
      <c r="AB118" s="1" t="e">
        <f t="shared" si="130"/>
        <v>#N/A</v>
      </c>
      <c r="AC118" s="1" t="e">
        <f t="shared" si="131"/>
        <v>#N/A</v>
      </c>
      <c r="AD118" s="1" t="e">
        <f t="shared" si="132"/>
        <v>#N/A</v>
      </c>
      <c r="AE118" s="1" t="e">
        <f t="shared" si="133"/>
        <v>#N/A</v>
      </c>
      <c r="AF118" s="1" t="e">
        <f t="shared" si="134"/>
        <v>#N/A</v>
      </c>
    </row>
    <row r="119" spans="2:32" hidden="1" x14ac:dyDescent="0.25">
      <c r="B119" s="5" t="str">
        <f t="shared" si="104"/>
        <v>X</v>
      </c>
      <c r="C119" s="1">
        <f t="shared" si="105"/>
        <v>3600</v>
      </c>
      <c r="D119" s="1">
        <f t="shared" si="106"/>
        <v>5000</v>
      </c>
      <c r="E119" s="1">
        <f t="shared" si="107"/>
        <v>8500</v>
      </c>
      <c r="F119" s="1">
        <f t="shared" si="108"/>
        <v>10500</v>
      </c>
      <c r="G119" s="1">
        <f t="shared" si="109"/>
        <v>12500</v>
      </c>
      <c r="H119" s="1" t="e">
        <f t="shared" si="110"/>
        <v>#N/A</v>
      </c>
      <c r="I119" s="1" t="e">
        <f t="shared" si="111"/>
        <v>#N/A</v>
      </c>
      <c r="J119" s="1" t="e">
        <f t="shared" si="112"/>
        <v>#N/A</v>
      </c>
      <c r="K119" s="1" t="e">
        <f t="shared" si="113"/>
        <v>#N/A</v>
      </c>
      <c r="L119" s="1" t="e">
        <f t="shared" si="114"/>
        <v>#N/A</v>
      </c>
      <c r="M119" s="1" t="e">
        <f t="shared" si="115"/>
        <v>#N/A</v>
      </c>
      <c r="N119" s="1" t="e">
        <f t="shared" si="116"/>
        <v>#N/A</v>
      </c>
      <c r="O119" s="1" t="e">
        <f t="shared" si="117"/>
        <v>#N/A</v>
      </c>
      <c r="P119" s="1" t="e">
        <f t="shared" si="118"/>
        <v>#N/A</v>
      </c>
      <c r="Q119" s="1" t="e">
        <f t="shared" si="119"/>
        <v>#N/A</v>
      </c>
      <c r="R119" s="1" t="e">
        <f t="shared" si="120"/>
        <v>#N/A</v>
      </c>
      <c r="S119" s="1" t="e">
        <f t="shared" si="121"/>
        <v>#N/A</v>
      </c>
      <c r="T119" s="1" t="e">
        <f t="shared" si="122"/>
        <v>#N/A</v>
      </c>
      <c r="U119" s="1" t="e">
        <f t="shared" si="123"/>
        <v>#N/A</v>
      </c>
      <c r="V119" s="1" t="e">
        <f t="shared" si="124"/>
        <v>#N/A</v>
      </c>
      <c r="W119" s="1" t="e">
        <f t="shared" si="125"/>
        <v>#N/A</v>
      </c>
      <c r="X119" s="1" t="e">
        <f t="shared" si="126"/>
        <v>#N/A</v>
      </c>
      <c r="Y119" s="1" t="e">
        <f t="shared" si="127"/>
        <v>#N/A</v>
      </c>
      <c r="Z119" s="1" t="e">
        <f t="shared" si="128"/>
        <v>#N/A</v>
      </c>
      <c r="AA119" s="1" t="e">
        <f t="shared" si="129"/>
        <v>#N/A</v>
      </c>
      <c r="AB119" s="1" t="e">
        <f t="shared" si="130"/>
        <v>#N/A</v>
      </c>
      <c r="AC119" s="1" t="e">
        <f t="shared" si="131"/>
        <v>#N/A</v>
      </c>
      <c r="AD119" s="1" t="e">
        <f t="shared" si="132"/>
        <v>#N/A</v>
      </c>
      <c r="AE119" s="1" t="e">
        <f t="shared" si="133"/>
        <v>#N/A</v>
      </c>
      <c r="AF119" s="1" t="e">
        <f t="shared" si="134"/>
        <v>#N/A</v>
      </c>
    </row>
    <row r="120" spans="2:32" hidden="1" x14ac:dyDescent="0.25">
      <c r="B120" s="5" t="str">
        <f t="shared" si="104"/>
        <v>X</v>
      </c>
      <c r="C120" s="1">
        <f t="shared" si="105"/>
        <v>3600</v>
      </c>
      <c r="D120" s="1">
        <f t="shared" si="106"/>
        <v>5000</v>
      </c>
      <c r="E120" s="1">
        <f t="shared" si="107"/>
        <v>8500</v>
      </c>
      <c r="F120" s="1">
        <f t="shared" si="108"/>
        <v>10500</v>
      </c>
      <c r="G120" s="1">
        <f t="shared" si="109"/>
        <v>12500</v>
      </c>
      <c r="H120" s="1" t="e">
        <f t="shared" si="110"/>
        <v>#N/A</v>
      </c>
      <c r="I120" s="1" t="e">
        <f t="shared" si="111"/>
        <v>#N/A</v>
      </c>
      <c r="J120" s="1" t="e">
        <f t="shared" si="112"/>
        <v>#N/A</v>
      </c>
      <c r="K120" s="1" t="e">
        <f t="shared" si="113"/>
        <v>#N/A</v>
      </c>
      <c r="L120" s="1" t="e">
        <f t="shared" si="114"/>
        <v>#N/A</v>
      </c>
      <c r="M120" s="1" t="e">
        <f t="shared" si="115"/>
        <v>#N/A</v>
      </c>
      <c r="N120" s="1" t="e">
        <f t="shared" si="116"/>
        <v>#N/A</v>
      </c>
      <c r="O120" s="1" t="e">
        <f t="shared" si="117"/>
        <v>#N/A</v>
      </c>
      <c r="P120" s="1" t="e">
        <f t="shared" si="118"/>
        <v>#N/A</v>
      </c>
      <c r="Q120" s="1" t="e">
        <f t="shared" si="119"/>
        <v>#N/A</v>
      </c>
      <c r="R120" s="1" t="e">
        <f t="shared" si="120"/>
        <v>#N/A</v>
      </c>
      <c r="S120" s="1" t="e">
        <f t="shared" si="121"/>
        <v>#N/A</v>
      </c>
      <c r="T120" s="1" t="e">
        <f t="shared" si="122"/>
        <v>#N/A</v>
      </c>
      <c r="U120" s="1" t="e">
        <f t="shared" si="123"/>
        <v>#N/A</v>
      </c>
      <c r="V120" s="1" t="e">
        <f t="shared" si="124"/>
        <v>#N/A</v>
      </c>
      <c r="W120" s="1" t="e">
        <f t="shared" si="125"/>
        <v>#N/A</v>
      </c>
      <c r="X120" s="1" t="e">
        <f t="shared" si="126"/>
        <v>#N/A</v>
      </c>
      <c r="Y120" s="1" t="e">
        <f t="shared" si="127"/>
        <v>#N/A</v>
      </c>
      <c r="Z120" s="1" t="e">
        <f t="shared" si="128"/>
        <v>#N/A</v>
      </c>
      <c r="AA120" s="1" t="e">
        <f t="shared" si="129"/>
        <v>#N/A</v>
      </c>
      <c r="AB120" s="1" t="e">
        <f t="shared" si="130"/>
        <v>#N/A</v>
      </c>
      <c r="AC120" s="1" t="e">
        <f t="shared" si="131"/>
        <v>#N/A</v>
      </c>
      <c r="AD120" s="1" t="e">
        <f t="shared" si="132"/>
        <v>#N/A</v>
      </c>
      <c r="AE120" s="1" t="e">
        <f t="shared" si="133"/>
        <v>#N/A</v>
      </c>
      <c r="AF120" s="1" t="e">
        <f t="shared" si="134"/>
        <v>#N/A</v>
      </c>
    </row>
    <row r="121" spans="2:32" hidden="1" x14ac:dyDescent="0.25">
      <c r="B121" s="5" t="str">
        <f t="shared" si="104"/>
        <v>X</v>
      </c>
      <c r="C121" s="1">
        <f t="shared" si="105"/>
        <v>3600</v>
      </c>
      <c r="D121" s="1">
        <f t="shared" si="106"/>
        <v>5000</v>
      </c>
      <c r="E121" s="1">
        <f t="shared" si="107"/>
        <v>8500</v>
      </c>
      <c r="F121" s="1">
        <f t="shared" si="108"/>
        <v>10500</v>
      </c>
      <c r="G121" s="1">
        <f t="shared" si="109"/>
        <v>12500</v>
      </c>
      <c r="H121" s="1" t="e">
        <f t="shared" si="110"/>
        <v>#N/A</v>
      </c>
      <c r="I121" s="1" t="e">
        <f t="shared" si="111"/>
        <v>#N/A</v>
      </c>
      <c r="J121" s="1" t="e">
        <f t="shared" si="112"/>
        <v>#N/A</v>
      </c>
      <c r="K121" s="1" t="e">
        <f t="shared" si="113"/>
        <v>#N/A</v>
      </c>
      <c r="L121" s="1" t="e">
        <f t="shared" si="114"/>
        <v>#N/A</v>
      </c>
      <c r="M121" s="1" t="e">
        <f t="shared" si="115"/>
        <v>#N/A</v>
      </c>
      <c r="N121" s="1" t="e">
        <f t="shared" si="116"/>
        <v>#N/A</v>
      </c>
      <c r="O121" s="1" t="e">
        <f t="shared" si="117"/>
        <v>#N/A</v>
      </c>
      <c r="P121" s="1" t="e">
        <f t="shared" si="118"/>
        <v>#N/A</v>
      </c>
      <c r="Q121" s="1" t="e">
        <f t="shared" si="119"/>
        <v>#N/A</v>
      </c>
      <c r="R121" s="1" t="e">
        <f t="shared" si="120"/>
        <v>#N/A</v>
      </c>
      <c r="S121" s="1" t="e">
        <f t="shared" si="121"/>
        <v>#N/A</v>
      </c>
      <c r="T121" s="1" t="e">
        <f t="shared" si="122"/>
        <v>#N/A</v>
      </c>
      <c r="U121" s="1" t="e">
        <f t="shared" si="123"/>
        <v>#N/A</v>
      </c>
      <c r="V121" s="1" t="e">
        <f t="shared" si="124"/>
        <v>#N/A</v>
      </c>
      <c r="W121" s="1" t="e">
        <f t="shared" si="125"/>
        <v>#N/A</v>
      </c>
      <c r="X121" s="1" t="e">
        <f t="shared" si="126"/>
        <v>#N/A</v>
      </c>
      <c r="Y121" s="1" t="e">
        <f t="shared" si="127"/>
        <v>#N/A</v>
      </c>
      <c r="Z121" s="1" t="e">
        <f t="shared" si="128"/>
        <v>#N/A</v>
      </c>
      <c r="AA121" s="1" t="e">
        <f t="shared" si="129"/>
        <v>#N/A</v>
      </c>
      <c r="AB121" s="1" t="e">
        <f t="shared" si="130"/>
        <v>#N/A</v>
      </c>
      <c r="AC121" s="1" t="e">
        <f t="shared" si="131"/>
        <v>#N/A</v>
      </c>
      <c r="AD121" s="1" t="e">
        <f t="shared" si="132"/>
        <v>#N/A</v>
      </c>
      <c r="AE121" s="1" t="e">
        <f t="shared" si="133"/>
        <v>#N/A</v>
      </c>
      <c r="AF121" s="1" t="e">
        <f t="shared" si="134"/>
        <v>#N/A</v>
      </c>
    </row>
    <row r="122" spans="2:32" hidden="1" x14ac:dyDescent="0.25">
      <c r="B122" s="5" t="str">
        <f t="shared" si="104"/>
        <v>X</v>
      </c>
      <c r="C122" s="1">
        <f t="shared" si="105"/>
        <v>3600</v>
      </c>
      <c r="D122" s="1">
        <f t="shared" si="106"/>
        <v>5000</v>
      </c>
      <c r="E122" s="1">
        <f t="shared" si="107"/>
        <v>8500</v>
      </c>
      <c r="F122" s="1">
        <f t="shared" si="108"/>
        <v>10500</v>
      </c>
      <c r="G122" s="1">
        <f t="shared" si="109"/>
        <v>12500</v>
      </c>
      <c r="H122" s="1" t="e">
        <f t="shared" si="110"/>
        <v>#N/A</v>
      </c>
      <c r="I122" s="1" t="e">
        <f t="shared" si="111"/>
        <v>#N/A</v>
      </c>
      <c r="J122" s="1" t="e">
        <f t="shared" si="112"/>
        <v>#N/A</v>
      </c>
      <c r="K122" s="1" t="e">
        <f t="shared" si="113"/>
        <v>#N/A</v>
      </c>
      <c r="L122" s="1" t="e">
        <f t="shared" si="114"/>
        <v>#N/A</v>
      </c>
      <c r="M122" s="1" t="e">
        <f t="shared" si="115"/>
        <v>#N/A</v>
      </c>
      <c r="N122" s="1" t="e">
        <f t="shared" si="116"/>
        <v>#N/A</v>
      </c>
      <c r="O122" s="1" t="e">
        <f t="shared" si="117"/>
        <v>#N/A</v>
      </c>
      <c r="P122" s="1" t="e">
        <f t="shared" si="118"/>
        <v>#N/A</v>
      </c>
      <c r="Q122" s="1" t="e">
        <f t="shared" si="119"/>
        <v>#N/A</v>
      </c>
      <c r="R122" s="1" t="e">
        <f t="shared" si="120"/>
        <v>#N/A</v>
      </c>
      <c r="S122" s="1" t="e">
        <f t="shared" si="121"/>
        <v>#N/A</v>
      </c>
      <c r="T122" s="1" t="e">
        <f t="shared" si="122"/>
        <v>#N/A</v>
      </c>
      <c r="U122" s="1" t="e">
        <f t="shared" si="123"/>
        <v>#N/A</v>
      </c>
      <c r="V122" s="1" t="e">
        <f t="shared" si="124"/>
        <v>#N/A</v>
      </c>
      <c r="W122" s="1" t="e">
        <f t="shared" si="125"/>
        <v>#N/A</v>
      </c>
      <c r="X122" s="1" t="e">
        <f t="shared" si="126"/>
        <v>#N/A</v>
      </c>
      <c r="Y122" s="1" t="e">
        <f t="shared" si="127"/>
        <v>#N/A</v>
      </c>
      <c r="Z122" s="1" t="e">
        <f t="shared" si="128"/>
        <v>#N/A</v>
      </c>
      <c r="AA122" s="1" t="e">
        <f t="shared" si="129"/>
        <v>#N/A</v>
      </c>
      <c r="AB122" s="1" t="e">
        <f t="shared" si="130"/>
        <v>#N/A</v>
      </c>
      <c r="AC122" s="1" t="e">
        <f t="shared" si="131"/>
        <v>#N/A</v>
      </c>
      <c r="AD122" s="1" t="e">
        <f t="shared" si="132"/>
        <v>#N/A</v>
      </c>
      <c r="AE122" s="1" t="e">
        <f t="shared" si="133"/>
        <v>#N/A</v>
      </c>
      <c r="AF122" s="1" t="e">
        <f t="shared" si="134"/>
        <v>#N/A</v>
      </c>
    </row>
    <row r="123" spans="2:32" hidden="1" x14ac:dyDescent="0.25">
      <c r="B123" s="5" t="str">
        <f t="shared" si="104"/>
        <v>X</v>
      </c>
      <c r="C123" s="1">
        <f t="shared" si="105"/>
        <v>3600</v>
      </c>
      <c r="D123" s="1">
        <f t="shared" si="106"/>
        <v>5000</v>
      </c>
      <c r="E123" s="1">
        <f t="shared" si="107"/>
        <v>8500</v>
      </c>
      <c r="F123" s="1">
        <f t="shared" si="108"/>
        <v>10500</v>
      </c>
      <c r="G123" s="1">
        <f t="shared" si="109"/>
        <v>12500</v>
      </c>
      <c r="H123" s="1" t="e">
        <f t="shared" si="110"/>
        <v>#N/A</v>
      </c>
      <c r="I123" s="1" t="e">
        <f t="shared" si="111"/>
        <v>#N/A</v>
      </c>
      <c r="J123" s="1" t="e">
        <f t="shared" si="112"/>
        <v>#N/A</v>
      </c>
      <c r="K123" s="1" t="e">
        <f t="shared" si="113"/>
        <v>#N/A</v>
      </c>
      <c r="L123" s="1" t="e">
        <f t="shared" si="114"/>
        <v>#N/A</v>
      </c>
      <c r="M123" s="1" t="e">
        <f t="shared" si="115"/>
        <v>#N/A</v>
      </c>
      <c r="N123" s="1" t="e">
        <f t="shared" si="116"/>
        <v>#N/A</v>
      </c>
      <c r="O123" s="1" t="e">
        <f t="shared" si="117"/>
        <v>#N/A</v>
      </c>
      <c r="P123" s="1" t="e">
        <f t="shared" si="118"/>
        <v>#N/A</v>
      </c>
      <c r="Q123" s="1" t="e">
        <f t="shared" si="119"/>
        <v>#N/A</v>
      </c>
      <c r="R123" s="1" t="e">
        <f t="shared" si="120"/>
        <v>#N/A</v>
      </c>
      <c r="S123" s="1" t="e">
        <f t="shared" si="121"/>
        <v>#N/A</v>
      </c>
      <c r="T123" s="1" t="e">
        <f t="shared" si="122"/>
        <v>#N/A</v>
      </c>
      <c r="U123" s="1" t="e">
        <f t="shared" si="123"/>
        <v>#N/A</v>
      </c>
      <c r="V123" s="1" t="e">
        <f t="shared" si="124"/>
        <v>#N/A</v>
      </c>
      <c r="W123" s="1" t="e">
        <f t="shared" si="125"/>
        <v>#N/A</v>
      </c>
      <c r="X123" s="1" t="e">
        <f t="shared" si="126"/>
        <v>#N/A</v>
      </c>
      <c r="Y123" s="1" t="e">
        <f t="shared" si="127"/>
        <v>#N/A</v>
      </c>
      <c r="Z123" s="1" t="e">
        <f t="shared" si="128"/>
        <v>#N/A</v>
      </c>
      <c r="AA123" s="1" t="e">
        <f t="shared" si="129"/>
        <v>#N/A</v>
      </c>
      <c r="AB123" s="1" t="e">
        <f t="shared" si="130"/>
        <v>#N/A</v>
      </c>
      <c r="AC123" s="1" t="e">
        <f t="shared" si="131"/>
        <v>#N/A</v>
      </c>
      <c r="AD123" s="1" t="e">
        <f t="shared" si="132"/>
        <v>#N/A</v>
      </c>
      <c r="AE123" s="1" t="e">
        <f t="shared" si="133"/>
        <v>#N/A</v>
      </c>
      <c r="AF123" s="1" t="e">
        <f t="shared" si="134"/>
        <v>#N/A</v>
      </c>
    </row>
    <row r="124" spans="2:32" hidden="1" x14ac:dyDescent="0.25">
      <c r="B124" s="5" t="str">
        <f t="shared" si="104"/>
        <v>X</v>
      </c>
      <c r="C124" s="1">
        <f t="shared" si="105"/>
        <v>3600</v>
      </c>
      <c r="D124" s="1">
        <f t="shared" si="106"/>
        <v>5000</v>
      </c>
      <c r="E124" s="1">
        <f t="shared" si="107"/>
        <v>8500</v>
      </c>
      <c r="F124" s="1">
        <f t="shared" si="108"/>
        <v>10500</v>
      </c>
      <c r="G124" s="1">
        <f t="shared" si="109"/>
        <v>12500</v>
      </c>
      <c r="H124" s="1" t="e">
        <f t="shared" si="110"/>
        <v>#N/A</v>
      </c>
      <c r="I124" s="1" t="e">
        <f t="shared" si="111"/>
        <v>#N/A</v>
      </c>
      <c r="J124" s="1" t="e">
        <f t="shared" si="112"/>
        <v>#N/A</v>
      </c>
      <c r="K124" s="1" t="e">
        <f t="shared" si="113"/>
        <v>#N/A</v>
      </c>
      <c r="L124" s="1" t="e">
        <f t="shared" si="114"/>
        <v>#N/A</v>
      </c>
      <c r="M124" s="1" t="e">
        <f t="shared" si="115"/>
        <v>#N/A</v>
      </c>
      <c r="N124" s="1" t="e">
        <f t="shared" si="116"/>
        <v>#N/A</v>
      </c>
      <c r="O124" s="1" t="e">
        <f t="shared" si="117"/>
        <v>#N/A</v>
      </c>
      <c r="P124" s="1" t="e">
        <f t="shared" si="118"/>
        <v>#N/A</v>
      </c>
      <c r="Q124" s="1" t="e">
        <f t="shared" si="119"/>
        <v>#N/A</v>
      </c>
      <c r="R124" s="1" t="e">
        <f t="shared" si="120"/>
        <v>#N/A</v>
      </c>
      <c r="S124" s="1" t="e">
        <f t="shared" si="121"/>
        <v>#N/A</v>
      </c>
      <c r="T124" s="1" t="e">
        <f t="shared" si="122"/>
        <v>#N/A</v>
      </c>
      <c r="U124" s="1" t="e">
        <f t="shared" si="123"/>
        <v>#N/A</v>
      </c>
      <c r="V124" s="1" t="e">
        <f t="shared" si="124"/>
        <v>#N/A</v>
      </c>
      <c r="W124" s="1" t="e">
        <f t="shared" si="125"/>
        <v>#N/A</v>
      </c>
      <c r="X124" s="1" t="e">
        <f t="shared" si="126"/>
        <v>#N/A</v>
      </c>
      <c r="Y124" s="1" t="e">
        <f t="shared" si="127"/>
        <v>#N/A</v>
      </c>
      <c r="Z124" s="1" t="e">
        <f t="shared" si="128"/>
        <v>#N/A</v>
      </c>
      <c r="AA124" s="1" t="e">
        <f t="shared" si="129"/>
        <v>#N/A</v>
      </c>
      <c r="AB124" s="1" t="e">
        <f t="shared" si="130"/>
        <v>#N/A</v>
      </c>
      <c r="AC124" s="1" t="e">
        <f t="shared" si="131"/>
        <v>#N/A</v>
      </c>
      <c r="AD124" s="1" t="e">
        <f t="shared" si="132"/>
        <v>#N/A</v>
      </c>
      <c r="AE124" s="1" t="e">
        <f t="shared" si="133"/>
        <v>#N/A</v>
      </c>
      <c r="AF124" s="1" t="e">
        <f t="shared" si="134"/>
        <v>#N/A</v>
      </c>
    </row>
    <row r="125" spans="2:32" hidden="1" x14ac:dyDescent="0.25">
      <c r="B125" s="5" t="str">
        <f t="shared" si="104"/>
        <v>X</v>
      </c>
      <c r="C125" s="1">
        <f t="shared" si="105"/>
        <v>3600</v>
      </c>
      <c r="D125" s="1">
        <f t="shared" si="106"/>
        <v>5000</v>
      </c>
      <c r="E125" s="1">
        <f t="shared" si="107"/>
        <v>8500</v>
      </c>
      <c r="F125" s="1">
        <f t="shared" si="108"/>
        <v>10500</v>
      </c>
      <c r="G125" s="1">
        <f t="shared" si="109"/>
        <v>12500</v>
      </c>
      <c r="H125" s="1" t="e">
        <f t="shared" si="110"/>
        <v>#N/A</v>
      </c>
      <c r="I125" s="1" t="e">
        <f t="shared" si="111"/>
        <v>#N/A</v>
      </c>
      <c r="J125" s="1" t="e">
        <f t="shared" si="112"/>
        <v>#N/A</v>
      </c>
      <c r="K125" s="1" t="e">
        <f t="shared" si="113"/>
        <v>#N/A</v>
      </c>
      <c r="L125" s="1" t="e">
        <f t="shared" si="114"/>
        <v>#N/A</v>
      </c>
      <c r="M125" s="1" t="e">
        <f t="shared" si="115"/>
        <v>#N/A</v>
      </c>
      <c r="N125" s="1" t="e">
        <f t="shared" si="116"/>
        <v>#N/A</v>
      </c>
      <c r="O125" s="1" t="e">
        <f t="shared" si="117"/>
        <v>#N/A</v>
      </c>
      <c r="P125" s="1" t="e">
        <f t="shared" si="118"/>
        <v>#N/A</v>
      </c>
      <c r="Q125" s="1" t="e">
        <f t="shared" si="119"/>
        <v>#N/A</v>
      </c>
      <c r="R125" s="1" t="e">
        <f t="shared" si="120"/>
        <v>#N/A</v>
      </c>
      <c r="S125" s="1" t="e">
        <f t="shared" si="121"/>
        <v>#N/A</v>
      </c>
      <c r="T125" s="1" t="e">
        <f t="shared" si="122"/>
        <v>#N/A</v>
      </c>
      <c r="U125" s="1" t="e">
        <f t="shared" si="123"/>
        <v>#N/A</v>
      </c>
      <c r="V125" s="1" t="e">
        <f t="shared" si="124"/>
        <v>#N/A</v>
      </c>
      <c r="W125" s="1" t="e">
        <f t="shared" si="125"/>
        <v>#N/A</v>
      </c>
      <c r="X125" s="1" t="e">
        <f t="shared" si="126"/>
        <v>#N/A</v>
      </c>
      <c r="Y125" s="1" t="e">
        <f t="shared" si="127"/>
        <v>#N/A</v>
      </c>
      <c r="Z125" s="1" t="e">
        <f t="shared" si="128"/>
        <v>#N/A</v>
      </c>
      <c r="AA125" s="1" t="e">
        <f t="shared" si="129"/>
        <v>#N/A</v>
      </c>
      <c r="AB125" s="1" t="e">
        <f t="shared" si="130"/>
        <v>#N/A</v>
      </c>
      <c r="AC125" s="1" t="e">
        <f t="shared" si="131"/>
        <v>#N/A</v>
      </c>
      <c r="AD125" s="1" t="e">
        <f t="shared" si="132"/>
        <v>#N/A</v>
      </c>
      <c r="AE125" s="1" t="e">
        <f t="shared" si="133"/>
        <v>#N/A</v>
      </c>
      <c r="AF125" s="1" t="e">
        <f t="shared" si="134"/>
        <v>#N/A</v>
      </c>
    </row>
    <row r="126" spans="2:32" hidden="1" x14ac:dyDescent="0.25">
      <c r="B126" s="5" t="str">
        <f t="shared" si="104"/>
        <v>X</v>
      </c>
      <c r="C126" s="1">
        <f t="shared" si="105"/>
        <v>3600</v>
      </c>
      <c r="D126" s="1">
        <f t="shared" si="106"/>
        <v>5000</v>
      </c>
      <c r="E126" s="1">
        <f t="shared" si="107"/>
        <v>8500</v>
      </c>
      <c r="F126" s="1">
        <f t="shared" si="108"/>
        <v>10500</v>
      </c>
      <c r="G126" s="1">
        <f t="shared" si="109"/>
        <v>12500</v>
      </c>
      <c r="H126" s="1" t="e">
        <f t="shared" si="110"/>
        <v>#N/A</v>
      </c>
      <c r="I126" s="1" t="e">
        <f t="shared" si="111"/>
        <v>#N/A</v>
      </c>
      <c r="J126" s="1" t="e">
        <f t="shared" si="112"/>
        <v>#N/A</v>
      </c>
      <c r="K126" s="1" t="e">
        <f t="shared" si="113"/>
        <v>#N/A</v>
      </c>
      <c r="L126" s="1" t="e">
        <f t="shared" si="114"/>
        <v>#N/A</v>
      </c>
      <c r="M126" s="1" t="e">
        <f t="shared" si="115"/>
        <v>#N/A</v>
      </c>
      <c r="N126" s="1" t="e">
        <f t="shared" si="116"/>
        <v>#N/A</v>
      </c>
      <c r="O126" s="1" t="e">
        <f t="shared" si="117"/>
        <v>#N/A</v>
      </c>
      <c r="P126" s="1" t="e">
        <f t="shared" si="118"/>
        <v>#N/A</v>
      </c>
      <c r="Q126" s="1" t="e">
        <f t="shared" si="119"/>
        <v>#N/A</v>
      </c>
      <c r="R126" s="1" t="e">
        <f t="shared" si="120"/>
        <v>#N/A</v>
      </c>
      <c r="S126" s="1" t="e">
        <f t="shared" si="121"/>
        <v>#N/A</v>
      </c>
      <c r="T126" s="1" t="e">
        <f t="shared" si="122"/>
        <v>#N/A</v>
      </c>
      <c r="U126" s="1" t="e">
        <f t="shared" si="123"/>
        <v>#N/A</v>
      </c>
      <c r="V126" s="1" t="e">
        <f t="shared" si="124"/>
        <v>#N/A</v>
      </c>
      <c r="W126" s="1" t="e">
        <f t="shared" si="125"/>
        <v>#N/A</v>
      </c>
      <c r="X126" s="1" t="e">
        <f t="shared" si="126"/>
        <v>#N/A</v>
      </c>
      <c r="Y126" s="1" t="e">
        <f t="shared" si="127"/>
        <v>#N/A</v>
      </c>
      <c r="Z126" s="1" t="e">
        <f t="shared" si="128"/>
        <v>#N/A</v>
      </c>
      <c r="AA126" s="1" t="e">
        <f t="shared" si="129"/>
        <v>#N/A</v>
      </c>
      <c r="AB126" s="1" t="e">
        <f t="shared" si="130"/>
        <v>#N/A</v>
      </c>
      <c r="AC126" s="1" t="e">
        <f t="shared" si="131"/>
        <v>#N/A</v>
      </c>
      <c r="AD126" s="1" t="e">
        <f t="shared" si="132"/>
        <v>#N/A</v>
      </c>
      <c r="AE126" s="1" t="e">
        <f t="shared" si="133"/>
        <v>#N/A</v>
      </c>
      <c r="AF126" s="1" t="e">
        <f t="shared" si="134"/>
        <v>#N/A</v>
      </c>
    </row>
    <row r="127" spans="2:32" hidden="1" x14ac:dyDescent="0.25">
      <c r="B127" s="5" t="str">
        <f t="shared" si="104"/>
        <v>X</v>
      </c>
      <c r="C127" s="1">
        <f t="shared" si="105"/>
        <v>3600</v>
      </c>
      <c r="D127" s="1">
        <f t="shared" si="106"/>
        <v>5000</v>
      </c>
      <c r="E127" s="1">
        <f t="shared" si="107"/>
        <v>8500</v>
      </c>
      <c r="F127" s="1">
        <f t="shared" si="108"/>
        <v>10500</v>
      </c>
      <c r="G127" s="1">
        <f t="shared" si="109"/>
        <v>12500</v>
      </c>
      <c r="H127" s="1" t="e">
        <f t="shared" si="110"/>
        <v>#N/A</v>
      </c>
      <c r="I127" s="1" t="e">
        <f t="shared" si="111"/>
        <v>#N/A</v>
      </c>
      <c r="J127" s="1" t="e">
        <f t="shared" si="112"/>
        <v>#N/A</v>
      </c>
      <c r="K127" s="1" t="e">
        <f t="shared" si="113"/>
        <v>#N/A</v>
      </c>
      <c r="L127" s="1" t="e">
        <f t="shared" si="114"/>
        <v>#N/A</v>
      </c>
      <c r="M127" s="1" t="e">
        <f t="shared" si="115"/>
        <v>#N/A</v>
      </c>
      <c r="N127" s="1" t="e">
        <f t="shared" si="116"/>
        <v>#N/A</v>
      </c>
      <c r="O127" s="1" t="e">
        <f t="shared" si="117"/>
        <v>#N/A</v>
      </c>
      <c r="P127" s="1" t="e">
        <f t="shared" si="118"/>
        <v>#N/A</v>
      </c>
      <c r="Q127" s="1" t="e">
        <f t="shared" si="119"/>
        <v>#N/A</v>
      </c>
      <c r="R127" s="1" t="e">
        <f t="shared" si="120"/>
        <v>#N/A</v>
      </c>
      <c r="S127" s="1" t="e">
        <f t="shared" si="121"/>
        <v>#N/A</v>
      </c>
      <c r="T127" s="1" t="e">
        <f t="shared" si="122"/>
        <v>#N/A</v>
      </c>
      <c r="U127" s="1" t="e">
        <f t="shared" si="123"/>
        <v>#N/A</v>
      </c>
      <c r="V127" s="1" t="e">
        <f t="shared" si="124"/>
        <v>#N/A</v>
      </c>
      <c r="W127" s="1" t="e">
        <f t="shared" si="125"/>
        <v>#N/A</v>
      </c>
      <c r="X127" s="1" t="e">
        <f t="shared" si="126"/>
        <v>#N/A</v>
      </c>
      <c r="Y127" s="1" t="e">
        <f t="shared" si="127"/>
        <v>#N/A</v>
      </c>
      <c r="Z127" s="1" t="e">
        <f t="shared" si="128"/>
        <v>#N/A</v>
      </c>
      <c r="AA127" s="1" t="e">
        <f t="shared" si="129"/>
        <v>#N/A</v>
      </c>
      <c r="AB127" s="1" t="e">
        <f t="shared" si="130"/>
        <v>#N/A</v>
      </c>
      <c r="AC127" s="1" t="e">
        <f t="shared" si="131"/>
        <v>#N/A</v>
      </c>
      <c r="AD127" s="1" t="e">
        <f t="shared" si="132"/>
        <v>#N/A</v>
      </c>
      <c r="AE127" s="1" t="e">
        <f t="shared" si="133"/>
        <v>#N/A</v>
      </c>
      <c r="AF127" s="1" t="e">
        <f t="shared" si="134"/>
        <v>#N/A</v>
      </c>
    </row>
    <row r="128" spans="2:32" hidden="1" x14ac:dyDescent="0.25">
      <c r="B128" s="5" t="str">
        <f t="shared" si="104"/>
        <v>X</v>
      </c>
      <c r="C128" s="1">
        <f t="shared" si="105"/>
        <v>3600</v>
      </c>
      <c r="D128" s="1">
        <f t="shared" si="106"/>
        <v>5000</v>
      </c>
      <c r="E128" s="1">
        <f t="shared" si="107"/>
        <v>8500</v>
      </c>
      <c r="F128" s="1">
        <f t="shared" si="108"/>
        <v>10500</v>
      </c>
      <c r="G128" s="1">
        <f t="shared" si="109"/>
        <v>12500</v>
      </c>
      <c r="H128" s="1" t="e">
        <f t="shared" si="110"/>
        <v>#N/A</v>
      </c>
      <c r="I128" s="1" t="e">
        <f t="shared" si="111"/>
        <v>#N/A</v>
      </c>
      <c r="J128" s="1" t="e">
        <f t="shared" si="112"/>
        <v>#N/A</v>
      </c>
      <c r="K128" s="1" t="e">
        <f t="shared" si="113"/>
        <v>#N/A</v>
      </c>
      <c r="L128" s="1" t="e">
        <f t="shared" si="114"/>
        <v>#N/A</v>
      </c>
      <c r="M128" s="1" t="e">
        <f t="shared" si="115"/>
        <v>#N/A</v>
      </c>
      <c r="N128" s="1" t="e">
        <f t="shared" si="116"/>
        <v>#N/A</v>
      </c>
      <c r="O128" s="1" t="e">
        <f t="shared" si="117"/>
        <v>#N/A</v>
      </c>
      <c r="P128" s="1" t="e">
        <f t="shared" si="118"/>
        <v>#N/A</v>
      </c>
      <c r="Q128" s="1" t="e">
        <f t="shared" si="119"/>
        <v>#N/A</v>
      </c>
      <c r="R128" s="1" t="e">
        <f t="shared" si="120"/>
        <v>#N/A</v>
      </c>
      <c r="S128" s="1" t="e">
        <f t="shared" si="121"/>
        <v>#N/A</v>
      </c>
      <c r="T128" s="1" t="e">
        <f t="shared" si="122"/>
        <v>#N/A</v>
      </c>
      <c r="U128" s="1" t="e">
        <f t="shared" si="123"/>
        <v>#N/A</v>
      </c>
      <c r="V128" s="1" t="e">
        <f t="shared" si="124"/>
        <v>#N/A</v>
      </c>
      <c r="W128" s="1" t="e">
        <f t="shared" si="125"/>
        <v>#N/A</v>
      </c>
      <c r="X128" s="1" t="e">
        <f t="shared" si="126"/>
        <v>#N/A</v>
      </c>
      <c r="Y128" s="1" t="e">
        <f t="shared" si="127"/>
        <v>#N/A</v>
      </c>
      <c r="Z128" s="1" t="e">
        <f t="shared" si="128"/>
        <v>#N/A</v>
      </c>
      <c r="AA128" s="1" t="e">
        <f t="shared" si="129"/>
        <v>#N/A</v>
      </c>
      <c r="AB128" s="1" t="e">
        <f t="shared" si="130"/>
        <v>#N/A</v>
      </c>
      <c r="AC128" s="1" t="e">
        <f t="shared" si="131"/>
        <v>#N/A</v>
      </c>
      <c r="AD128" s="1" t="e">
        <f t="shared" si="132"/>
        <v>#N/A</v>
      </c>
      <c r="AE128" s="1" t="e">
        <f t="shared" si="133"/>
        <v>#N/A</v>
      </c>
      <c r="AF128" s="1" t="e">
        <f t="shared" si="134"/>
        <v>#N/A</v>
      </c>
    </row>
    <row r="129" spans="2:32" hidden="1" x14ac:dyDescent="0.25">
      <c r="B129" s="5" t="str">
        <f t="shared" si="104"/>
        <v>X</v>
      </c>
      <c r="C129" s="1">
        <f t="shared" si="105"/>
        <v>3600</v>
      </c>
      <c r="D129" s="1">
        <f t="shared" si="106"/>
        <v>5000</v>
      </c>
      <c r="E129" s="1">
        <f t="shared" si="107"/>
        <v>8500</v>
      </c>
      <c r="F129" s="1">
        <f t="shared" si="108"/>
        <v>10500</v>
      </c>
      <c r="G129" s="1">
        <f t="shared" si="109"/>
        <v>12500</v>
      </c>
      <c r="H129" s="1" t="e">
        <f t="shared" si="110"/>
        <v>#N/A</v>
      </c>
      <c r="I129" s="1" t="e">
        <f t="shared" si="111"/>
        <v>#N/A</v>
      </c>
      <c r="J129" s="1" t="e">
        <f t="shared" si="112"/>
        <v>#N/A</v>
      </c>
      <c r="K129" s="1" t="e">
        <f t="shared" si="113"/>
        <v>#N/A</v>
      </c>
      <c r="L129" s="1" t="e">
        <f t="shared" si="114"/>
        <v>#N/A</v>
      </c>
      <c r="M129" s="1" t="e">
        <f t="shared" si="115"/>
        <v>#N/A</v>
      </c>
      <c r="N129" s="1" t="e">
        <f t="shared" si="116"/>
        <v>#N/A</v>
      </c>
      <c r="O129" s="1" t="e">
        <f t="shared" si="117"/>
        <v>#N/A</v>
      </c>
      <c r="P129" s="1" t="e">
        <f t="shared" si="118"/>
        <v>#N/A</v>
      </c>
      <c r="Q129" s="1" t="e">
        <f t="shared" si="119"/>
        <v>#N/A</v>
      </c>
      <c r="R129" s="1" t="e">
        <f t="shared" si="120"/>
        <v>#N/A</v>
      </c>
      <c r="S129" s="1" t="e">
        <f t="shared" si="121"/>
        <v>#N/A</v>
      </c>
      <c r="T129" s="1" t="e">
        <f t="shared" si="122"/>
        <v>#N/A</v>
      </c>
      <c r="U129" s="1" t="e">
        <f t="shared" si="123"/>
        <v>#N/A</v>
      </c>
      <c r="V129" s="1" t="e">
        <f t="shared" si="124"/>
        <v>#N/A</v>
      </c>
      <c r="W129" s="1" t="e">
        <f t="shared" si="125"/>
        <v>#N/A</v>
      </c>
      <c r="X129" s="1" t="e">
        <f t="shared" si="126"/>
        <v>#N/A</v>
      </c>
      <c r="Y129" s="1" t="e">
        <f t="shared" si="127"/>
        <v>#N/A</v>
      </c>
      <c r="Z129" s="1" t="e">
        <f t="shared" si="128"/>
        <v>#N/A</v>
      </c>
      <c r="AA129" s="1" t="e">
        <f t="shared" si="129"/>
        <v>#N/A</v>
      </c>
      <c r="AB129" s="1" t="e">
        <f t="shared" si="130"/>
        <v>#N/A</v>
      </c>
      <c r="AC129" s="1" t="e">
        <f t="shared" si="131"/>
        <v>#N/A</v>
      </c>
      <c r="AD129" s="1" t="e">
        <f t="shared" si="132"/>
        <v>#N/A</v>
      </c>
      <c r="AE129" s="1" t="e">
        <f t="shared" si="133"/>
        <v>#N/A</v>
      </c>
      <c r="AF129" s="1" t="e">
        <f t="shared" si="134"/>
        <v>#N/A</v>
      </c>
    </row>
    <row r="130" spans="2:32" hidden="1" x14ac:dyDescent="0.25">
      <c r="B130" s="5" t="str">
        <f t="shared" si="104"/>
        <v>X</v>
      </c>
      <c r="C130" s="1">
        <f t="shared" si="105"/>
        <v>3600</v>
      </c>
      <c r="D130" s="1">
        <f t="shared" si="106"/>
        <v>5000</v>
      </c>
      <c r="E130" s="1">
        <f t="shared" si="107"/>
        <v>8500</v>
      </c>
      <c r="F130" s="1">
        <f t="shared" si="108"/>
        <v>10500</v>
      </c>
      <c r="G130" s="1">
        <f t="shared" si="109"/>
        <v>12500</v>
      </c>
      <c r="H130" s="1" t="e">
        <f t="shared" si="110"/>
        <v>#N/A</v>
      </c>
      <c r="I130" s="1" t="e">
        <f t="shared" si="111"/>
        <v>#N/A</v>
      </c>
      <c r="J130" s="1" t="e">
        <f t="shared" si="112"/>
        <v>#N/A</v>
      </c>
      <c r="K130" s="1" t="e">
        <f t="shared" si="113"/>
        <v>#N/A</v>
      </c>
      <c r="L130" s="1" t="e">
        <f t="shared" si="114"/>
        <v>#N/A</v>
      </c>
      <c r="M130" s="1" t="e">
        <f t="shared" si="115"/>
        <v>#N/A</v>
      </c>
      <c r="N130" s="1" t="e">
        <f t="shared" si="116"/>
        <v>#N/A</v>
      </c>
      <c r="O130" s="1" t="e">
        <f t="shared" si="117"/>
        <v>#N/A</v>
      </c>
      <c r="P130" s="1" t="e">
        <f t="shared" si="118"/>
        <v>#N/A</v>
      </c>
      <c r="Q130" s="1" t="e">
        <f t="shared" si="119"/>
        <v>#N/A</v>
      </c>
      <c r="R130" s="1" t="e">
        <f t="shared" si="120"/>
        <v>#N/A</v>
      </c>
      <c r="S130" s="1" t="e">
        <f t="shared" si="121"/>
        <v>#N/A</v>
      </c>
      <c r="T130" s="1" t="e">
        <f t="shared" si="122"/>
        <v>#N/A</v>
      </c>
      <c r="U130" s="1" t="e">
        <f t="shared" si="123"/>
        <v>#N/A</v>
      </c>
      <c r="V130" s="1" t="e">
        <f t="shared" si="124"/>
        <v>#N/A</v>
      </c>
      <c r="W130" s="1" t="e">
        <f t="shared" si="125"/>
        <v>#N/A</v>
      </c>
      <c r="X130" s="1" t="e">
        <f t="shared" si="126"/>
        <v>#N/A</v>
      </c>
      <c r="Y130" s="1" t="e">
        <f t="shared" si="127"/>
        <v>#N/A</v>
      </c>
      <c r="Z130" s="1" t="e">
        <f t="shared" si="128"/>
        <v>#N/A</v>
      </c>
      <c r="AA130" s="1" t="e">
        <f t="shared" si="129"/>
        <v>#N/A</v>
      </c>
      <c r="AB130" s="1" t="e">
        <f t="shared" si="130"/>
        <v>#N/A</v>
      </c>
      <c r="AC130" s="1" t="e">
        <f t="shared" si="131"/>
        <v>#N/A</v>
      </c>
      <c r="AD130" s="1" t="e">
        <f t="shared" si="132"/>
        <v>#N/A</v>
      </c>
      <c r="AE130" s="1" t="e">
        <f t="shared" si="133"/>
        <v>#N/A</v>
      </c>
      <c r="AF130" s="1" t="e">
        <f t="shared" si="134"/>
        <v>#N/A</v>
      </c>
    </row>
    <row r="131" spans="2:32" hidden="1" x14ac:dyDescent="0.25">
      <c r="B131" s="5" t="str">
        <f t="shared" si="104"/>
        <v>X</v>
      </c>
      <c r="C131" s="1">
        <f t="shared" si="105"/>
        <v>3600</v>
      </c>
      <c r="D131" s="1">
        <f t="shared" si="106"/>
        <v>5000</v>
      </c>
      <c r="E131" s="1">
        <f t="shared" si="107"/>
        <v>8500</v>
      </c>
      <c r="F131" s="1">
        <f t="shared" si="108"/>
        <v>10500</v>
      </c>
      <c r="G131" s="1">
        <f t="shared" si="109"/>
        <v>12500</v>
      </c>
      <c r="H131" s="1" t="e">
        <f t="shared" si="110"/>
        <v>#N/A</v>
      </c>
      <c r="I131" s="1" t="e">
        <f t="shared" si="111"/>
        <v>#N/A</v>
      </c>
      <c r="J131" s="1" t="e">
        <f t="shared" si="112"/>
        <v>#N/A</v>
      </c>
      <c r="K131" s="1" t="e">
        <f t="shared" si="113"/>
        <v>#N/A</v>
      </c>
      <c r="L131" s="1" t="e">
        <f t="shared" si="114"/>
        <v>#N/A</v>
      </c>
      <c r="M131" s="1" t="e">
        <f t="shared" si="115"/>
        <v>#N/A</v>
      </c>
      <c r="N131" s="1" t="e">
        <f t="shared" si="116"/>
        <v>#N/A</v>
      </c>
      <c r="O131" s="1" t="e">
        <f t="shared" si="117"/>
        <v>#N/A</v>
      </c>
      <c r="P131" s="1" t="e">
        <f t="shared" si="118"/>
        <v>#N/A</v>
      </c>
      <c r="Q131" s="1" t="e">
        <f t="shared" si="119"/>
        <v>#N/A</v>
      </c>
      <c r="R131" s="1" t="e">
        <f t="shared" si="120"/>
        <v>#N/A</v>
      </c>
      <c r="S131" s="1" t="e">
        <f t="shared" si="121"/>
        <v>#N/A</v>
      </c>
      <c r="T131" s="1" t="e">
        <f t="shared" si="122"/>
        <v>#N/A</v>
      </c>
      <c r="U131" s="1" t="e">
        <f t="shared" si="123"/>
        <v>#N/A</v>
      </c>
      <c r="V131" s="1" t="e">
        <f t="shared" si="124"/>
        <v>#N/A</v>
      </c>
      <c r="W131" s="1" t="e">
        <f t="shared" si="125"/>
        <v>#N/A</v>
      </c>
      <c r="X131" s="1" t="e">
        <f t="shared" si="126"/>
        <v>#N/A</v>
      </c>
      <c r="Y131" s="1" t="e">
        <f t="shared" si="127"/>
        <v>#N/A</v>
      </c>
      <c r="Z131" s="1" t="e">
        <f t="shared" si="128"/>
        <v>#N/A</v>
      </c>
      <c r="AA131" s="1" t="e">
        <f t="shared" si="129"/>
        <v>#N/A</v>
      </c>
      <c r="AB131" s="1" t="e">
        <f t="shared" si="130"/>
        <v>#N/A</v>
      </c>
      <c r="AC131" s="1" t="e">
        <f t="shared" si="131"/>
        <v>#N/A</v>
      </c>
      <c r="AD131" s="1" t="e">
        <f t="shared" si="132"/>
        <v>#N/A</v>
      </c>
      <c r="AE131" s="1" t="e">
        <f t="shared" si="133"/>
        <v>#N/A</v>
      </c>
      <c r="AF131" s="1" t="e">
        <f t="shared" si="134"/>
        <v>#N/A</v>
      </c>
    </row>
    <row r="132" spans="2:32" hidden="1" x14ac:dyDescent="0.25">
      <c r="B132" s="5" t="str">
        <f t="shared" si="104"/>
        <v>X</v>
      </c>
      <c r="C132" s="1">
        <f t="shared" si="105"/>
        <v>3600</v>
      </c>
      <c r="D132" s="1">
        <f t="shared" si="106"/>
        <v>5000</v>
      </c>
      <c r="E132" s="1">
        <f t="shared" si="107"/>
        <v>8500</v>
      </c>
      <c r="F132" s="1">
        <f t="shared" si="108"/>
        <v>10500</v>
      </c>
      <c r="G132" s="1">
        <f t="shared" si="109"/>
        <v>12500</v>
      </c>
      <c r="H132" s="1" t="e">
        <f t="shared" si="110"/>
        <v>#N/A</v>
      </c>
      <c r="I132" s="1" t="e">
        <f t="shared" si="111"/>
        <v>#N/A</v>
      </c>
      <c r="J132" s="1" t="e">
        <f t="shared" si="112"/>
        <v>#N/A</v>
      </c>
      <c r="K132" s="1" t="e">
        <f t="shared" si="113"/>
        <v>#N/A</v>
      </c>
      <c r="L132" s="1" t="e">
        <f t="shared" si="114"/>
        <v>#N/A</v>
      </c>
      <c r="M132" s="1" t="e">
        <f t="shared" si="115"/>
        <v>#N/A</v>
      </c>
      <c r="N132" s="1" t="e">
        <f t="shared" si="116"/>
        <v>#N/A</v>
      </c>
      <c r="O132" s="1" t="e">
        <f t="shared" si="117"/>
        <v>#N/A</v>
      </c>
      <c r="P132" s="1" t="e">
        <f t="shared" si="118"/>
        <v>#N/A</v>
      </c>
      <c r="Q132" s="1" t="e">
        <f t="shared" si="119"/>
        <v>#N/A</v>
      </c>
      <c r="R132" s="1" t="e">
        <f t="shared" si="120"/>
        <v>#N/A</v>
      </c>
      <c r="S132" s="1" t="e">
        <f t="shared" si="121"/>
        <v>#N/A</v>
      </c>
      <c r="T132" s="1" t="e">
        <f t="shared" si="122"/>
        <v>#N/A</v>
      </c>
      <c r="U132" s="1" t="e">
        <f t="shared" si="123"/>
        <v>#N/A</v>
      </c>
      <c r="V132" s="1" t="e">
        <f t="shared" si="124"/>
        <v>#N/A</v>
      </c>
      <c r="W132" s="1" t="e">
        <f t="shared" si="125"/>
        <v>#N/A</v>
      </c>
      <c r="X132" s="1" t="e">
        <f t="shared" si="126"/>
        <v>#N/A</v>
      </c>
      <c r="Y132" s="1" t="e">
        <f t="shared" si="127"/>
        <v>#N/A</v>
      </c>
      <c r="Z132" s="1" t="e">
        <f t="shared" si="128"/>
        <v>#N/A</v>
      </c>
      <c r="AA132" s="1" t="e">
        <f t="shared" si="129"/>
        <v>#N/A</v>
      </c>
      <c r="AB132" s="1" t="e">
        <f t="shared" si="130"/>
        <v>#N/A</v>
      </c>
      <c r="AC132" s="1" t="e">
        <f t="shared" si="131"/>
        <v>#N/A</v>
      </c>
      <c r="AD132" s="1" t="e">
        <f t="shared" si="132"/>
        <v>#N/A</v>
      </c>
      <c r="AE132" s="1" t="e">
        <f t="shared" si="133"/>
        <v>#N/A</v>
      </c>
      <c r="AF132" s="1" t="e">
        <f t="shared" si="134"/>
        <v>#N/A</v>
      </c>
    </row>
    <row r="133" spans="2:32" hidden="1" x14ac:dyDescent="0.25">
      <c r="B133" s="5" t="str">
        <f t="shared" si="104"/>
        <v>X</v>
      </c>
      <c r="C133" s="1">
        <f t="shared" si="105"/>
        <v>3600</v>
      </c>
      <c r="D133" s="1">
        <f t="shared" si="106"/>
        <v>5000</v>
      </c>
      <c r="E133" s="1">
        <f t="shared" si="107"/>
        <v>8500</v>
      </c>
      <c r="F133" s="1">
        <f t="shared" si="108"/>
        <v>10500</v>
      </c>
      <c r="G133" s="1">
        <f t="shared" si="109"/>
        <v>12500</v>
      </c>
      <c r="H133" s="1" t="e">
        <f t="shared" si="110"/>
        <v>#N/A</v>
      </c>
      <c r="I133" s="1" t="e">
        <f t="shared" si="111"/>
        <v>#N/A</v>
      </c>
      <c r="J133" s="1" t="e">
        <f t="shared" si="112"/>
        <v>#N/A</v>
      </c>
      <c r="K133" s="1" t="e">
        <f t="shared" si="113"/>
        <v>#N/A</v>
      </c>
      <c r="L133" s="1" t="e">
        <f t="shared" si="114"/>
        <v>#N/A</v>
      </c>
      <c r="M133" s="1" t="e">
        <f t="shared" si="115"/>
        <v>#N/A</v>
      </c>
      <c r="N133" s="1" t="e">
        <f t="shared" si="116"/>
        <v>#N/A</v>
      </c>
      <c r="O133" s="1" t="e">
        <f t="shared" si="117"/>
        <v>#N/A</v>
      </c>
      <c r="P133" s="1" t="e">
        <f t="shared" si="118"/>
        <v>#N/A</v>
      </c>
      <c r="Q133" s="1" t="e">
        <f t="shared" si="119"/>
        <v>#N/A</v>
      </c>
      <c r="R133" s="1" t="e">
        <f t="shared" si="120"/>
        <v>#N/A</v>
      </c>
      <c r="S133" s="1" t="e">
        <f t="shared" si="121"/>
        <v>#N/A</v>
      </c>
      <c r="T133" s="1" t="e">
        <f t="shared" si="122"/>
        <v>#N/A</v>
      </c>
      <c r="U133" s="1" t="e">
        <f t="shared" si="123"/>
        <v>#N/A</v>
      </c>
      <c r="V133" s="1" t="e">
        <f t="shared" si="124"/>
        <v>#N/A</v>
      </c>
      <c r="W133" s="1" t="e">
        <f t="shared" si="125"/>
        <v>#N/A</v>
      </c>
      <c r="X133" s="1" t="e">
        <f t="shared" si="126"/>
        <v>#N/A</v>
      </c>
      <c r="Y133" s="1" t="e">
        <f t="shared" si="127"/>
        <v>#N/A</v>
      </c>
      <c r="Z133" s="1" t="e">
        <f t="shared" si="128"/>
        <v>#N/A</v>
      </c>
      <c r="AA133" s="1" t="e">
        <f t="shared" si="129"/>
        <v>#N/A</v>
      </c>
      <c r="AB133" s="1" t="e">
        <f t="shared" si="130"/>
        <v>#N/A</v>
      </c>
      <c r="AC133" s="1" t="e">
        <f t="shared" si="131"/>
        <v>#N/A</v>
      </c>
      <c r="AD133" s="1" t="e">
        <f t="shared" si="132"/>
        <v>#N/A</v>
      </c>
      <c r="AE133" s="1" t="e">
        <f t="shared" si="133"/>
        <v>#N/A</v>
      </c>
      <c r="AF133" s="1" t="e">
        <f t="shared" si="134"/>
        <v>#N/A</v>
      </c>
    </row>
    <row r="134" spans="2:32" hidden="1" x14ac:dyDescent="0.25">
      <c r="B134" s="5" t="str">
        <f t="shared" si="104"/>
        <v>X</v>
      </c>
      <c r="C134" s="1">
        <f t="shared" si="105"/>
        <v>3600</v>
      </c>
      <c r="D134" s="1">
        <f t="shared" si="106"/>
        <v>5000</v>
      </c>
      <c r="E134" s="1">
        <f t="shared" si="107"/>
        <v>8500</v>
      </c>
      <c r="F134" s="1">
        <f t="shared" si="108"/>
        <v>10500</v>
      </c>
      <c r="G134" s="1">
        <f t="shared" si="109"/>
        <v>12500</v>
      </c>
      <c r="H134" s="1" t="e">
        <f t="shared" si="110"/>
        <v>#N/A</v>
      </c>
      <c r="I134" s="1" t="e">
        <f t="shared" si="111"/>
        <v>#N/A</v>
      </c>
      <c r="J134" s="1" t="e">
        <f t="shared" si="112"/>
        <v>#N/A</v>
      </c>
      <c r="K134" s="1" t="e">
        <f t="shared" si="113"/>
        <v>#N/A</v>
      </c>
      <c r="L134" s="1" t="e">
        <f t="shared" si="114"/>
        <v>#N/A</v>
      </c>
      <c r="M134" s="1" t="e">
        <f t="shared" si="115"/>
        <v>#N/A</v>
      </c>
      <c r="N134" s="1" t="e">
        <f t="shared" si="116"/>
        <v>#N/A</v>
      </c>
      <c r="O134" s="1" t="e">
        <f t="shared" si="117"/>
        <v>#N/A</v>
      </c>
      <c r="P134" s="1" t="e">
        <f t="shared" si="118"/>
        <v>#N/A</v>
      </c>
      <c r="Q134" s="1" t="e">
        <f t="shared" si="119"/>
        <v>#N/A</v>
      </c>
      <c r="R134" s="1" t="e">
        <f t="shared" si="120"/>
        <v>#N/A</v>
      </c>
      <c r="S134" s="1" t="e">
        <f t="shared" si="121"/>
        <v>#N/A</v>
      </c>
      <c r="T134" s="1" t="e">
        <f t="shared" si="122"/>
        <v>#N/A</v>
      </c>
      <c r="U134" s="1" t="e">
        <f t="shared" si="123"/>
        <v>#N/A</v>
      </c>
      <c r="V134" s="1" t="e">
        <f t="shared" si="124"/>
        <v>#N/A</v>
      </c>
      <c r="W134" s="1" t="e">
        <f t="shared" si="125"/>
        <v>#N/A</v>
      </c>
      <c r="X134" s="1" t="e">
        <f t="shared" si="126"/>
        <v>#N/A</v>
      </c>
      <c r="Y134" s="1" t="e">
        <f t="shared" si="127"/>
        <v>#N/A</v>
      </c>
      <c r="Z134" s="1" t="e">
        <f t="shared" si="128"/>
        <v>#N/A</v>
      </c>
      <c r="AA134" s="1" t="e">
        <f t="shared" si="129"/>
        <v>#N/A</v>
      </c>
      <c r="AB134" s="1" t="e">
        <f t="shared" si="130"/>
        <v>#N/A</v>
      </c>
      <c r="AC134" s="1" t="e">
        <f t="shared" si="131"/>
        <v>#N/A</v>
      </c>
      <c r="AD134" s="1" t="e">
        <f t="shared" si="132"/>
        <v>#N/A</v>
      </c>
      <c r="AE134" s="1" t="e">
        <f t="shared" si="133"/>
        <v>#N/A</v>
      </c>
      <c r="AF134" s="1" t="e">
        <f t="shared" si="134"/>
        <v>#N/A</v>
      </c>
    </row>
    <row r="135" spans="2:32" hidden="1" x14ac:dyDescent="0.25">
      <c r="B135" s="5"/>
    </row>
    <row r="136" spans="2:32" hidden="1" x14ac:dyDescent="0.25">
      <c r="B136" s="10" t="s">
        <v>103</v>
      </c>
    </row>
    <row r="137" spans="2:32" hidden="1" x14ac:dyDescent="0.25">
      <c r="C137" s="5" t="str">
        <f>$B$19</f>
        <v>fn_1</v>
      </c>
      <c r="D137" s="5" t="str">
        <f>$B$20</f>
        <v>fn_2</v>
      </c>
      <c r="E137" s="5" t="str">
        <f>$B$21</f>
        <v>fn_3</v>
      </c>
      <c r="F137" s="5" t="str">
        <f>$B$22</f>
        <v>fn_4</v>
      </c>
      <c r="G137" s="5" t="str">
        <f>$B$23</f>
        <v>fn_5</v>
      </c>
      <c r="H137" s="5" t="str">
        <f>$B$24</f>
        <v>fn_6</v>
      </c>
      <c r="I137" s="5" t="str">
        <f>$B$25</f>
        <v>fn_7</v>
      </c>
      <c r="J137" s="5" t="str">
        <f>$B$26</f>
        <v>fn_8</v>
      </c>
      <c r="K137" s="5" t="str">
        <f>$B$27</f>
        <v>fn_9</v>
      </c>
      <c r="L137" s="5" t="str">
        <f>$B$28</f>
        <v>fn_10</v>
      </c>
      <c r="M137" s="5" t="str">
        <f>$B$29</f>
        <v>fn_11</v>
      </c>
      <c r="N137" s="5" t="str">
        <f>$B$30</f>
        <v>fn_12</v>
      </c>
      <c r="O137" s="5" t="str">
        <f>$B$31</f>
        <v>fn_13</v>
      </c>
      <c r="P137" s="5" t="str">
        <f>$B$32</f>
        <v>fn_14</v>
      </c>
      <c r="Q137" s="5" t="str">
        <f>$B$33</f>
        <v>fn_15</v>
      </c>
      <c r="R137" s="5" t="str">
        <f>$B$34</f>
        <v>fn_16</v>
      </c>
      <c r="S137" s="5" t="str">
        <f>$B$35</f>
        <v>fn_17</v>
      </c>
      <c r="T137" s="5" t="str">
        <f>$B$36</f>
        <v>fn_18</v>
      </c>
      <c r="U137" s="5" t="str">
        <f>$B$37</f>
        <v>fn_19</v>
      </c>
      <c r="V137" s="5" t="str">
        <f>$B$38</f>
        <v>fn_20</v>
      </c>
      <c r="W137" s="5" t="str">
        <f>$B$39</f>
        <v>fn_21</v>
      </c>
      <c r="X137" s="5" t="str">
        <f>$B$40</f>
        <v>fn_22</v>
      </c>
      <c r="Y137" s="5" t="str">
        <f>$B$41</f>
        <v>fn_23</v>
      </c>
      <c r="Z137" s="5" t="str">
        <f>$B$42</f>
        <v>fn_24</v>
      </c>
      <c r="AA137" s="5" t="str">
        <f>$B$43</f>
        <v>fn_25</v>
      </c>
      <c r="AB137" s="5" t="str">
        <f>$B$44</f>
        <v>fn_26</v>
      </c>
      <c r="AC137" s="5" t="str">
        <f>$B$45</f>
        <v>fn_27</v>
      </c>
      <c r="AD137" s="5" t="str">
        <f>$B$46</f>
        <v>fn_28</v>
      </c>
      <c r="AE137" s="5" t="str">
        <f>$B$47</f>
        <v>fn_29</v>
      </c>
      <c r="AF137" s="5" t="str">
        <f>$B$48</f>
        <v>fn_30</v>
      </c>
    </row>
    <row r="138" spans="2:32" hidden="1" x14ac:dyDescent="0.25">
      <c r="B138" s="5" t="str">
        <f t="shared" ref="B138:B167" si="135">$M19</f>
        <v>1X</v>
      </c>
      <c r="C138" s="1">
        <f t="shared" ref="C138:C167" si="136">IF($J$19/$N19&gt;$K$15,#N/A,$J$19/$N19)</f>
        <v>3600</v>
      </c>
      <c r="D138" s="1">
        <f t="shared" ref="D138:D167" si="137">IF($J$20/$N19&gt;$K$15,#N/A,$J$20/$N19)</f>
        <v>5000</v>
      </c>
      <c r="E138" s="1" t="e">
        <f t="shared" ref="E138:E167" si="138">IF($J$21/$N19&gt;$K$15,#N/A,$J$21/$N19)</f>
        <v>#N/A</v>
      </c>
      <c r="F138" s="1" t="e">
        <f t="shared" ref="F138:F167" si="139">IF($J$22/$N19&gt;$K$15,#N/A,$J$22/$N19)</f>
        <v>#N/A</v>
      </c>
      <c r="G138" s="1" t="e">
        <f t="shared" ref="G138:G167" si="140">IF($J$23/$N19&gt;$K$15,#N/A,$J$23/$N19)</f>
        <v>#N/A</v>
      </c>
      <c r="H138" s="1" t="e">
        <f t="shared" ref="H138:H167" si="141">IF($J$24/$N19&gt;$K$15,#N/A,$J$24/$N19)</f>
        <v>#N/A</v>
      </c>
      <c r="I138" s="1" t="e">
        <f t="shared" ref="I138:I167" si="142">IF($J$25/$N19&gt;$K$15,#N/A,$J$25/$N19)</f>
        <v>#N/A</v>
      </c>
      <c r="J138" s="1" t="e">
        <f t="shared" ref="J138:J167" si="143">IF($J$26/$N19&gt;$K$15,#N/A,$J$26/$N19)</f>
        <v>#N/A</v>
      </c>
      <c r="K138" s="1" t="e">
        <f t="shared" ref="K138:K167" si="144">IF($J$27/$N19&gt;$K$15,#N/A,$J$27/$N19)</f>
        <v>#N/A</v>
      </c>
      <c r="L138" s="1" t="e">
        <f t="shared" ref="L138:L167" si="145">IF($J$28/$N19&gt;$K$15,#N/A,$J$28/$N19)</f>
        <v>#N/A</v>
      </c>
      <c r="M138" s="1" t="e">
        <f t="shared" ref="M138:M167" si="146">IF($J$29/$N19&gt;$K$15,#N/A,$J$29/$N19)</f>
        <v>#N/A</v>
      </c>
      <c r="N138" s="1" t="e">
        <f t="shared" ref="N138:N167" si="147">IF($J$30/$N19&gt;$K$15,#N/A,$J$30/$N19)</f>
        <v>#N/A</v>
      </c>
      <c r="O138" s="1" t="e">
        <f t="shared" ref="O138:O167" si="148">IF($J$31/$N19&gt;$K$15,#N/A,$J$31/$N19)</f>
        <v>#N/A</v>
      </c>
      <c r="P138" s="1" t="e">
        <f t="shared" ref="P138:P167" si="149">IF($J$32/$N19&gt;$K$15,#N/A,$J$32/$N19)</f>
        <v>#N/A</v>
      </c>
      <c r="Q138" s="1" t="e">
        <f t="shared" ref="Q138:Q167" si="150">IF($J$33/$N19&gt;$K$15,#N/A,$J$33/$N19)</f>
        <v>#N/A</v>
      </c>
      <c r="R138" s="1" t="e">
        <f t="shared" ref="R138:R167" si="151">IF($J$34/$N19&gt;$K$15,#N/A,$J$34/$N19)</f>
        <v>#N/A</v>
      </c>
      <c r="S138" s="1" t="e">
        <f t="shared" ref="S138:S167" si="152">IF($J$35/$N19&gt;$K$15,#N/A,$J$35/$N19)</f>
        <v>#N/A</v>
      </c>
      <c r="T138" s="1" t="e">
        <f t="shared" ref="T138:T167" si="153">IF($J$36/$N19&gt;$K$15,#N/A,$J$36/$N19)</f>
        <v>#N/A</v>
      </c>
      <c r="U138" s="1" t="e">
        <f t="shared" ref="U138:U167" si="154">IF($J$37/$N19&gt;$K$15,#N/A,$J$37/$N19)</f>
        <v>#N/A</v>
      </c>
      <c r="V138" s="1" t="e">
        <f t="shared" ref="V138:V167" si="155">IF($J$38/$N19&gt;$K$15,#N/A,$J$38/$N19)</f>
        <v>#N/A</v>
      </c>
      <c r="W138" s="1" t="e">
        <f t="shared" ref="W138:W167" si="156">IF($J$39/$N19&gt;$K$15,#N/A,$J$39/$N19)</f>
        <v>#N/A</v>
      </c>
      <c r="X138" s="1" t="e">
        <f t="shared" ref="X138:X167" si="157">IF($J$40/$N19&gt;$K$15,#N/A,$J$40/$N19)</f>
        <v>#N/A</v>
      </c>
      <c r="Y138" s="1" t="e">
        <f t="shared" ref="Y138:Y167" si="158">IF($J$41/$N19&gt;$K$15,#N/A,$J$41/$N19)</f>
        <v>#N/A</v>
      </c>
      <c r="Z138" s="1" t="e">
        <f t="shared" ref="Z138:Z167" si="159">IF($J$42/$N19&gt;$K$15,#N/A,$J$42/$N19)</f>
        <v>#N/A</v>
      </c>
      <c r="AA138" s="1" t="e">
        <f t="shared" ref="AA138:AA167" si="160">IF($J$43/$N19&gt;$K$15,#N/A,$J$43/$N19)</f>
        <v>#N/A</v>
      </c>
      <c r="AB138" s="1" t="e">
        <f t="shared" ref="AB138:AB167" si="161">IF($J$44/$N19&gt;$K$15,#N/A,$J$44/$N19)</f>
        <v>#N/A</v>
      </c>
      <c r="AC138" s="1" t="e">
        <f t="shared" ref="AC138:AC167" si="162">IF($J$45/$N19&gt;$K$15,#N/A,$J$45/$N19)</f>
        <v>#N/A</v>
      </c>
      <c r="AD138" s="1" t="e">
        <f t="shared" ref="AD138:AD167" si="163">IF($J$46/$N19&gt;$K$15,#N/A,$J$46/$N19)</f>
        <v>#N/A</v>
      </c>
      <c r="AE138" s="1" t="e">
        <f t="shared" ref="AE138:AE167" si="164">IF($J$47/$N19&gt;$K$15,#N/A,$J$47/$N19)</f>
        <v>#N/A</v>
      </c>
      <c r="AF138" s="1" t="e">
        <f t="shared" ref="AF138:AF167" si="165">IF($J$48/$N19&gt;$K$15,#N/A,$J$48/$N19)</f>
        <v>#N/A</v>
      </c>
    </row>
    <row r="139" spans="2:32" hidden="1" x14ac:dyDescent="0.25">
      <c r="B139" s="5" t="str">
        <f t="shared" si="135"/>
        <v>2X</v>
      </c>
      <c r="C139" s="1">
        <f t="shared" si="136"/>
        <v>1800</v>
      </c>
      <c r="D139" s="1">
        <f t="shared" si="137"/>
        <v>2500</v>
      </c>
      <c r="E139" s="1">
        <f t="shared" si="138"/>
        <v>4250</v>
      </c>
      <c r="F139" s="1">
        <f t="shared" si="139"/>
        <v>5250</v>
      </c>
      <c r="G139" s="1" t="e">
        <f t="shared" si="140"/>
        <v>#N/A</v>
      </c>
      <c r="H139" s="1" t="e">
        <f t="shared" si="141"/>
        <v>#N/A</v>
      </c>
      <c r="I139" s="1" t="e">
        <f t="shared" si="142"/>
        <v>#N/A</v>
      </c>
      <c r="J139" s="1" t="e">
        <f t="shared" si="143"/>
        <v>#N/A</v>
      </c>
      <c r="K139" s="1" t="e">
        <f t="shared" si="144"/>
        <v>#N/A</v>
      </c>
      <c r="L139" s="1" t="e">
        <f t="shared" si="145"/>
        <v>#N/A</v>
      </c>
      <c r="M139" s="1" t="e">
        <f t="shared" si="146"/>
        <v>#N/A</v>
      </c>
      <c r="N139" s="1" t="e">
        <f t="shared" si="147"/>
        <v>#N/A</v>
      </c>
      <c r="O139" s="1" t="e">
        <f t="shared" si="148"/>
        <v>#N/A</v>
      </c>
      <c r="P139" s="1" t="e">
        <f t="shared" si="149"/>
        <v>#N/A</v>
      </c>
      <c r="Q139" s="1" t="e">
        <f t="shared" si="150"/>
        <v>#N/A</v>
      </c>
      <c r="R139" s="1" t="e">
        <f t="shared" si="151"/>
        <v>#N/A</v>
      </c>
      <c r="S139" s="1" t="e">
        <f t="shared" si="152"/>
        <v>#N/A</v>
      </c>
      <c r="T139" s="1" t="e">
        <f t="shared" si="153"/>
        <v>#N/A</v>
      </c>
      <c r="U139" s="1" t="e">
        <f t="shared" si="154"/>
        <v>#N/A</v>
      </c>
      <c r="V139" s="1" t="e">
        <f t="shared" si="155"/>
        <v>#N/A</v>
      </c>
      <c r="W139" s="1" t="e">
        <f t="shared" si="156"/>
        <v>#N/A</v>
      </c>
      <c r="X139" s="1" t="e">
        <f t="shared" si="157"/>
        <v>#N/A</v>
      </c>
      <c r="Y139" s="1" t="e">
        <f t="shared" si="158"/>
        <v>#N/A</v>
      </c>
      <c r="Z139" s="1" t="e">
        <f t="shared" si="159"/>
        <v>#N/A</v>
      </c>
      <c r="AA139" s="1" t="e">
        <f t="shared" si="160"/>
        <v>#N/A</v>
      </c>
      <c r="AB139" s="1" t="e">
        <f t="shared" si="161"/>
        <v>#N/A</v>
      </c>
      <c r="AC139" s="1" t="e">
        <f t="shared" si="162"/>
        <v>#N/A</v>
      </c>
      <c r="AD139" s="1" t="e">
        <f t="shared" si="163"/>
        <v>#N/A</v>
      </c>
      <c r="AE139" s="1" t="e">
        <f t="shared" si="164"/>
        <v>#N/A</v>
      </c>
      <c r="AF139" s="1" t="e">
        <f t="shared" si="165"/>
        <v>#N/A</v>
      </c>
    </row>
    <row r="140" spans="2:32" hidden="1" x14ac:dyDescent="0.25">
      <c r="B140" s="5" t="str">
        <f t="shared" si="135"/>
        <v>5X</v>
      </c>
      <c r="C140" s="1">
        <f t="shared" si="136"/>
        <v>720</v>
      </c>
      <c r="D140" s="1">
        <f t="shared" si="137"/>
        <v>1000</v>
      </c>
      <c r="E140" s="1">
        <f t="shared" si="138"/>
        <v>1700</v>
      </c>
      <c r="F140" s="1">
        <f t="shared" si="139"/>
        <v>2100</v>
      </c>
      <c r="G140" s="1">
        <f t="shared" si="140"/>
        <v>2500</v>
      </c>
      <c r="H140" s="1" t="e">
        <f t="shared" si="141"/>
        <v>#N/A</v>
      </c>
      <c r="I140" s="1" t="e">
        <f t="shared" si="142"/>
        <v>#N/A</v>
      </c>
      <c r="J140" s="1" t="e">
        <f t="shared" si="143"/>
        <v>#N/A</v>
      </c>
      <c r="K140" s="1" t="e">
        <f t="shared" si="144"/>
        <v>#N/A</v>
      </c>
      <c r="L140" s="1" t="e">
        <f t="shared" si="145"/>
        <v>#N/A</v>
      </c>
      <c r="M140" s="1" t="e">
        <f t="shared" si="146"/>
        <v>#N/A</v>
      </c>
      <c r="N140" s="1" t="e">
        <f t="shared" si="147"/>
        <v>#N/A</v>
      </c>
      <c r="O140" s="1" t="e">
        <f t="shared" si="148"/>
        <v>#N/A</v>
      </c>
      <c r="P140" s="1" t="e">
        <f t="shared" si="149"/>
        <v>#N/A</v>
      </c>
      <c r="Q140" s="1" t="e">
        <f t="shared" si="150"/>
        <v>#N/A</v>
      </c>
      <c r="R140" s="1" t="e">
        <f t="shared" si="151"/>
        <v>#N/A</v>
      </c>
      <c r="S140" s="1" t="e">
        <f t="shared" si="152"/>
        <v>#N/A</v>
      </c>
      <c r="T140" s="1" t="e">
        <f t="shared" si="153"/>
        <v>#N/A</v>
      </c>
      <c r="U140" s="1" t="e">
        <f t="shared" si="154"/>
        <v>#N/A</v>
      </c>
      <c r="V140" s="1" t="e">
        <f t="shared" si="155"/>
        <v>#N/A</v>
      </c>
      <c r="W140" s="1" t="e">
        <f t="shared" si="156"/>
        <v>#N/A</v>
      </c>
      <c r="X140" s="1" t="e">
        <f t="shared" si="157"/>
        <v>#N/A</v>
      </c>
      <c r="Y140" s="1" t="e">
        <f t="shared" si="158"/>
        <v>#N/A</v>
      </c>
      <c r="Z140" s="1" t="e">
        <f t="shared" si="159"/>
        <v>#N/A</v>
      </c>
      <c r="AA140" s="1" t="e">
        <f t="shared" si="160"/>
        <v>#N/A</v>
      </c>
      <c r="AB140" s="1" t="e">
        <f t="shared" si="161"/>
        <v>#N/A</v>
      </c>
      <c r="AC140" s="1" t="e">
        <f t="shared" si="162"/>
        <v>#N/A</v>
      </c>
      <c r="AD140" s="1" t="e">
        <f t="shared" si="163"/>
        <v>#N/A</v>
      </c>
      <c r="AE140" s="1" t="e">
        <f t="shared" si="164"/>
        <v>#N/A</v>
      </c>
      <c r="AF140" s="1" t="e">
        <f t="shared" si="165"/>
        <v>#N/A</v>
      </c>
    </row>
    <row r="141" spans="2:32" hidden="1" x14ac:dyDescent="0.25">
      <c r="B141" s="5" t="str">
        <f t="shared" si="135"/>
        <v>X</v>
      </c>
      <c r="C141" s="1" t="e">
        <f t="shared" si="136"/>
        <v>#N/A</v>
      </c>
      <c r="D141" s="1" t="e">
        <f t="shared" si="137"/>
        <v>#N/A</v>
      </c>
      <c r="E141" s="1" t="e">
        <f t="shared" si="138"/>
        <v>#N/A</v>
      </c>
      <c r="F141" s="1" t="e">
        <f t="shared" si="139"/>
        <v>#N/A</v>
      </c>
      <c r="G141" s="1" t="e">
        <f t="shared" si="140"/>
        <v>#N/A</v>
      </c>
      <c r="H141" s="1" t="e">
        <f t="shared" si="141"/>
        <v>#N/A</v>
      </c>
      <c r="I141" s="1" t="e">
        <f t="shared" si="142"/>
        <v>#N/A</v>
      </c>
      <c r="J141" s="1" t="e">
        <f t="shared" si="143"/>
        <v>#N/A</v>
      </c>
      <c r="K141" s="1" t="e">
        <f t="shared" si="144"/>
        <v>#N/A</v>
      </c>
      <c r="L141" s="1" t="e">
        <f t="shared" si="145"/>
        <v>#N/A</v>
      </c>
      <c r="M141" s="1" t="e">
        <f t="shared" si="146"/>
        <v>#N/A</v>
      </c>
      <c r="N141" s="1" t="e">
        <f t="shared" si="147"/>
        <v>#N/A</v>
      </c>
      <c r="O141" s="1" t="e">
        <f t="shared" si="148"/>
        <v>#N/A</v>
      </c>
      <c r="P141" s="1" t="e">
        <f t="shared" si="149"/>
        <v>#N/A</v>
      </c>
      <c r="Q141" s="1" t="e">
        <f t="shared" si="150"/>
        <v>#N/A</v>
      </c>
      <c r="R141" s="1" t="e">
        <f t="shared" si="151"/>
        <v>#N/A</v>
      </c>
      <c r="S141" s="1" t="e">
        <f t="shared" si="152"/>
        <v>#N/A</v>
      </c>
      <c r="T141" s="1" t="e">
        <f t="shared" si="153"/>
        <v>#N/A</v>
      </c>
      <c r="U141" s="1" t="e">
        <f t="shared" si="154"/>
        <v>#N/A</v>
      </c>
      <c r="V141" s="1" t="e">
        <f t="shared" si="155"/>
        <v>#N/A</v>
      </c>
      <c r="W141" s="1" t="e">
        <f t="shared" si="156"/>
        <v>#N/A</v>
      </c>
      <c r="X141" s="1" t="e">
        <f t="shared" si="157"/>
        <v>#N/A</v>
      </c>
      <c r="Y141" s="1" t="e">
        <f t="shared" si="158"/>
        <v>#N/A</v>
      </c>
      <c r="Z141" s="1" t="e">
        <f t="shared" si="159"/>
        <v>#N/A</v>
      </c>
      <c r="AA141" s="1" t="e">
        <f t="shared" si="160"/>
        <v>#N/A</v>
      </c>
      <c r="AB141" s="1" t="e">
        <f t="shared" si="161"/>
        <v>#N/A</v>
      </c>
      <c r="AC141" s="1" t="e">
        <f t="shared" si="162"/>
        <v>#N/A</v>
      </c>
      <c r="AD141" s="1" t="e">
        <f t="shared" si="163"/>
        <v>#N/A</v>
      </c>
      <c r="AE141" s="1" t="e">
        <f t="shared" si="164"/>
        <v>#N/A</v>
      </c>
      <c r="AF141" s="1" t="e">
        <f t="shared" si="165"/>
        <v>#N/A</v>
      </c>
    </row>
    <row r="142" spans="2:32" hidden="1" x14ac:dyDescent="0.25">
      <c r="B142" s="5" t="str">
        <f t="shared" si="135"/>
        <v>X</v>
      </c>
      <c r="C142" s="1" t="e">
        <f t="shared" si="136"/>
        <v>#N/A</v>
      </c>
      <c r="D142" s="1" t="e">
        <f t="shared" si="137"/>
        <v>#N/A</v>
      </c>
      <c r="E142" s="1" t="e">
        <f t="shared" si="138"/>
        <v>#N/A</v>
      </c>
      <c r="F142" s="1" t="e">
        <f t="shared" si="139"/>
        <v>#N/A</v>
      </c>
      <c r="G142" s="1" t="e">
        <f t="shared" si="140"/>
        <v>#N/A</v>
      </c>
      <c r="H142" s="1" t="e">
        <f t="shared" si="141"/>
        <v>#N/A</v>
      </c>
      <c r="I142" s="1" t="e">
        <f t="shared" si="142"/>
        <v>#N/A</v>
      </c>
      <c r="J142" s="1" t="e">
        <f t="shared" si="143"/>
        <v>#N/A</v>
      </c>
      <c r="K142" s="1" t="e">
        <f t="shared" si="144"/>
        <v>#N/A</v>
      </c>
      <c r="L142" s="1" t="e">
        <f t="shared" si="145"/>
        <v>#N/A</v>
      </c>
      <c r="M142" s="1" t="e">
        <f t="shared" si="146"/>
        <v>#N/A</v>
      </c>
      <c r="N142" s="1" t="e">
        <f t="shared" si="147"/>
        <v>#N/A</v>
      </c>
      <c r="O142" s="1" t="e">
        <f t="shared" si="148"/>
        <v>#N/A</v>
      </c>
      <c r="P142" s="1" t="e">
        <f t="shared" si="149"/>
        <v>#N/A</v>
      </c>
      <c r="Q142" s="1" t="e">
        <f t="shared" si="150"/>
        <v>#N/A</v>
      </c>
      <c r="R142" s="1" t="e">
        <f t="shared" si="151"/>
        <v>#N/A</v>
      </c>
      <c r="S142" s="1" t="e">
        <f t="shared" si="152"/>
        <v>#N/A</v>
      </c>
      <c r="T142" s="1" t="e">
        <f t="shared" si="153"/>
        <v>#N/A</v>
      </c>
      <c r="U142" s="1" t="e">
        <f t="shared" si="154"/>
        <v>#N/A</v>
      </c>
      <c r="V142" s="1" t="e">
        <f t="shared" si="155"/>
        <v>#N/A</v>
      </c>
      <c r="W142" s="1" t="e">
        <f t="shared" si="156"/>
        <v>#N/A</v>
      </c>
      <c r="X142" s="1" t="e">
        <f t="shared" si="157"/>
        <v>#N/A</v>
      </c>
      <c r="Y142" s="1" t="e">
        <f t="shared" si="158"/>
        <v>#N/A</v>
      </c>
      <c r="Z142" s="1" t="e">
        <f t="shared" si="159"/>
        <v>#N/A</v>
      </c>
      <c r="AA142" s="1" t="e">
        <f t="shared" si="160"/>
        <v>#N/A</v>
      </c>
      <c r="AB142" s="1" t="e">
        <f t="shared" si="161"/>
        <v>#N/A</v>
      </c>
      <c r="AC142" s="1" t="e">
        <f t="shared" si="162"/>
        <v>#N/A</v>
      </c>
      <c r="AD142" s="1" t="e">
        <f t="shared" si="163"/>
        <v>#N/A</v>
      </c>
      <c r="AE142" s="1" t="e">
        <f t="shared" si="164"/>
        <v>#N/A</v>
      </c>
      <c r="AF142" s="1" t="e">
        <f t="shared" si="165"/>
        <v>#N/A</v>
      </c>
    </row>
    <row r="143" spans="2:32" hidden="1" x14ac:dyDescent="0.25">
      <c r="B143" s="5" t="str">
        <f t="shared" si="135"/>
        <v>X</v>
      </c>
      <c r="C143" s="1" t="e">
        <f t="shared" si="136"/>
        <v>#N/A</v>
      </c>
      <c r="D143" s="1" t="e">
        <f t="shared" si="137"/>
        <v>#N/A</v>
      </c>
      <c r="E143" s="1" t="e">
        <f t="shared" si="138"/>
        <v>#N/A</v>
      </c>
      <c r="F143" s="1" t="e">
        <f t="shared" si="139"/>
        <v>#N/A</v>
      </c>
      <c r="G143" s="1" t="e">
        <f t="shared" si="140"/>
        <v>#N/A</v>
      </c>
      <c r="H143" s="1" t="e">
        <f t="shared" si="141"/>
        <v>#N/A</v>
      </c>
      <c r="I143" s="1" t="e">
        <f t="shared" si="142"/>
        <v>#N/A</v>
      </c>
      <c r="J143" s="1" t="e">
        <f t="shared" si="143"/>
        <v>#N/A</v>
      </c>
      <c r="K143" s="1" t="e">
        <f t="shared" si="144"/>
        <v>#N/A</v>
      </c>
      <c r="L143" s="1" t="e">
        <f t="shared" si="145"/>
        <v>#N/A</v>
      </c>
      <c r="M143" s="1" t="e">
        <f t="shared" si="146"/>
        <v>#N/A</v>
      </c>
      <c r="N143" s="1" t="e">
        <f t="shared" si="147"/>
        <v>#N/A</v>
      </c>
      <c r="O143" s="1" t="e">
        <f t="shared" si="148"/>
        <v>#N/A</v>
      </c>
      <c r="P143" s="1" t="e">
        <f t="shared" si="149"/>
        <v>#N/A</v>
      </c>
      <c r="Q143" s="1" t="e">
        <f t="shared" si="150"/>
        <v>#N/A</v>
      </c>
      <c r="R143" s="1" t="e">
        <f t="shared" si="151"/>
        <v>#N/A</v>
      </c>
      <c r="S143" s="1" t="e">
        <f t="shared" si="152"/>
        <v>#N/A</v>
      </c>
      <c r="T143" s="1" t="e">
        <f t="shared" si="153"/>
        <v>#N/A</v>
      </c>
      <c r="U143" s="1" t="e">
        <f t="shared" si="154"/>
        <v>#N/A</v>
      </c>
      <c r="V143" s="1" t="e">
        <f t="shared" si="155"/>
        <v>#N/A</v>
      </c>
      <c r="W143" s="1" t="e">
        <f t="shared" si="156"/>
        <v>#N/A</v>
      </c>
      <c r="X143" s="1" t="e">
        <f t="shared" si="157"/>
        <v>#N/A</v>
      </c>
      <c r="Y143" s="1" t="e">
        <f t="shared" si="158"/>
        <v>#N/A</v>
      </c>
      <c r="Z143" s="1" t="e">
        <f t="shared" si="159"/>
        <v>#N/A</v>
      </c>
      <c r="AA143" s="1" t="e">
        <f t="shared" si="160"/>
        <v>#N/A</v>
      </c>
      <c r="AB143" s="1" t="e">
        <f t="shared" si="161"/>
        <v>#N/A</v>
      </c>
      <c r="AC143" s="1" t="e">
        <f t="shared" si="162"/>
        <v>#N/A</v>
      </c>
      <c r="AD143" s="1" t="e">
        <f t="shared" si="163"/>
        <v>#N/A</v>
      </c>
      <c r="AE143" s="1" t="e">
        <f t="shared" si="164"/>
        <v>#N/A</v>
      </c>
      <c r="AF143" s="1" t="e">
        <f t="shared" si="165"/>
        <v>#N/A</v>
      </c>
    </row>
    <row r="144" spans="2:32" hidden="1" x14ac:dyDescent="0.25">
      <c r="B144" s="5" t="str">
        <f t="shared" si="135"/>
        <v>X</v>
      </c>
      <c r="C144" s="1" t="e">
        <f t="shared" si="136"/>
        <v>#N/A</v>
      </c>
      <c r="D144" s="1" t="e">
        <f t="shared" si="137"/>
        <v>#N/A</v>
      </c>
      <c r="E144" s="1" t="e">
        <f t="shared" si="138"/>
        <v>#N/A</v>
      </c>
      <c r="F144" s="1" t="e">
        <f t="shared" si="139"/>
        <v>#N/A</v>
      </c>
      <c r="G144" s="1" t="e">
        <f t="shared" si="140"/>
        <v>#N/A</v>
      </c>
      <c r="H144" s="1" t="e">
        <f t="shared" si="141"/>
        <v>#N/A</v>
      </c>
      <c r="I144" s="1" t="e">
        <f t="shared" si="142"/>
        <v>#N/A</v>
      </c>
      <c r="J144" s="1" t="e">
        <f t="shared" si="143"/>
        <v>#N/A</v>
      </c>
      <c r="K144" s="1" t="e">
        <f t="shared" si="144"/>
        <v>#N/A</v>
      </c>
      <c r="L144" s="1" t="e">
        <f t="shared" si="145"/>
        <v>#N/A</v>
      </c>
      <c r="M144" s="1" t="e">
        <f t="shared" si="146"/>
        <v>#N/A</v>
      </c>
      <c r="N144" s="1" t="e">
        <f t="shared" si="147"/>
        <v>#N/A</v>
      </c>
      <c r="O144" s="1" t="e">
        <f t="shared" si="148"/>
        <v>#N/A</v>
      </c>
      <c r="P144" s="1" t="e">
        <f t="shared" si="149"/>
        <v>#N/A</v>
      </c>
      <c r="Q144" s="1" t="e">
        <f t="shared" si="150"/>
        <v>#N/A</v>
      </c>
      <c r="R144" s="1" t="e">
        <f t="shared" si="151"/>
        <v>#N/A</v>
      </c>
      <c r="S144" s="1" t="e">
        <f t="shared" si="152"/>
        <v>#N/A</v>
      </c>
      <c r="T144" s="1" t="e">
        <f t="shared" si="153"/>
        <v>#N/A</v>
      </c>
      <c r="U144" s="1" t="e">
        <f t="shared" si="154"/>
        <v>#N/A</v>
      </c>
      <c r="V144" s="1" t="e">
        <f t="shared" si="155"/>
        <v>#N/A</v>
      </c>
      <c r="W144" s="1" t="e">
        <f t="shared" si="156"/>
        <v>#N/A</v>
      </c>
      <c r="X144" s="1" t="e">
        <f t="shared" si="157"/>
        <v>#N/A</v>
      </c>
      <c r="Y144" s="1" t="e">
        <f t="shared" si="158"/>
        <v>#N/A</v>
      </c>
      <c r="Z144" s="1" t="e">
        <f t="shared" si="159"/>
        <v>#N/A</v>
      </c>
      <c r="AA144" s="1" t="e">
        <f t="shared" si="160"/>
        <v>#N/A</v>
      </c>
      <c r="AB144" s="1" t="e">
        <f t="shared" si="161"/>
        <v>#N/A</v>
      </c>
      <c r="AC144" s="1" t="e">
        <f t="shared" si="162"/>
        <v>#N/A</v>
      </c>
      <c r="AD144" s="1" t="e">
        <f t="shared" si="163"/>
        <v>#N/A</v>
      </c>
      <c r="AE144" s="1" t="e">
        <f t="shared" si="164"/>
        <v>#N/A</v>
      </c>
      <c r="AF144" s="1" t="e">
        <f t="shared" si="165"/>
        <v>#N/A</v>
      </c>
    </row>
    <row r="145" spans="2:32" hidden="1" x14ac:dyDescent="0.25">
      <c r="B145" s="5" t="str">
        <f t="shared" si="135"/>
        <v>X</v>
      </c>
      <c r="C145" s="1" t="e">
        <f t="shared" si="136"/>
        <v>#N/A</v>
      </c>
      <c r="D145" s="1" t="e">
        <f t="shared" si="137"/>
        <v>#N/A</v>
      </c>
      <c r="E145" s="1" t="e">
        <f t="shared" si="138"/>
        <v>#N/A</v>
      </c>
      <c r="F145" s="1" t="e">
        <f t="shared" si="139"/>
        <v>#N/A</v>
      </c>
      <c r="G145" s="1" t="e">
        <f t="shared" si="140"/>
        <v>#N/A</v>
      </c>
      <c r="H145" s="1" t="e">
        <f t="shared" si="141"/>
        <v>#N/A</v>
      </c>
      <c r="I145" s="1" t="e">
        <f t="shared" si="142"/>
        <v>#N/A</v>
      </c>
      <c r="J145" s="1" t="e">
        <f t="shared" si="143"/>
        <v>#N/A</v>
      </c>
      <c r="K145" s="1" t="e">
        <f t="shared" si="144"/>
        <v>#N/A</v>
      </c>
      <c r="L145" s="1" t="e">
        <f t="shared" si="145"/>
        <v>#N/A</v>
      </c>
      <c r="M145" s="1" t="e">
        <f t="shared" si="146"/>
        <v>#N/A</v>
      </c>
      <c r="N145" s="1" t="e">
        <f t="shared" si="147"/>
        <v>#N/A</v>
      </c>
      <c r="O145" s="1" t="e">
        <f t="shared" si="148"/>
        <v>#N/A</v>
      </c>
      <c r="P145" s="1" t="e">
        <f t="shared" si="149"/>
        <v>#N/A</v>
      </c>
      <c r="Q145" s="1" t="e">
        <f t="shared" si="150"/>
        <v>#N/A</v>
      </c>
      <c r="R145" s="1" t="e">
        <f t="shared" si="151"/>
        <v>#N/A</v>
      </c>
      <c r="S145" s="1" t="e">
        <f t="shared" si="152"/>
        <v>#N/A</v>
      </c>
      <c r="T145" s="1" t="e">
        <f t="shared" si="153"/>
        <v>#N/A</v>
      </c>
      <c r="U145" s="1" t="e">
        <f t="shared" si="154"/>
        <v>#N/A</v>
      </c>
      <c r="V145" s="1" t="e">
        <f t="shared" si="155"/>
        <v>#N/A</v>
      </c>
      <c r="W145" s="1" t="e">
        <f t="shared" si="156"/>
        <v>#N/A</v>
      </c>
      <c r="X145" s="1" t="e">
        <f t="shared" si="157"/>
        <v>#N/A</v>
      </c>
      <c r="Y145" s="1" t="e">
        <f t="shared" si="158"/>
        <v>#N/A</v>
      </c>
      <c r="Z145" s="1" t="e">
        <f t="shared" si="159"/>
        <v>#N/A</v>
      </c>
      <c r="AA145" s="1" t="e">
        <f t="shared" si="160"/>
        <v>#N/A</v>
      </c>
      <c r="AB145" s="1" t="e">
        <f t="shared" si="161"/>
        <v>#N/A</v>
      </c>
      <c r="AC145" s="1" t="e">
        <f t="shared" si="162"/>
        <v>#N/A</v>
      </c>
      <c r="AD145" s="1" t="e">
        <f t="shared" si="163"/>
        <v>#N/A</v>
      </c>
      <c r="AE145" s="1" t="e">
        <f t="shared" si="164"/>
        <v>#N/A</v>
      </c>
      <c r="AF145" s="1" t="e">
        <f t="shared" si="165"/>
        <v>#N/A</v>
      </c>
    </row>
    <row r="146" spans="2:32" hidden="1" x14ac:dyDescent="0.25">
      <c r="B146" s="5" t="str">
        <f t="shared" si="135"/>
        <v>X</v>
      </c>
      <c r="C146" s="1" t="e">
        <f t="shared" si="136"/>
        <v>#N/A</v>
      </c>
      <c r="D146" s="1" t="e">
        <f t="shared" si="137"/>
        <v>#N/A</v>
      </c>
      <c r="E146" s="1" t="e">
        <f t="shared" si="138"/>
        <v>#N/A</v>
      </c>
      <c r="F146" s="1" t="e">
        <f t="shared" si="139"/>
        <v>#N/A</v>
      </c>
      <c r="G146" s="1" t="e">
        <f t="shared" si="140"/>
        <v>#N/A</v>
      </c>
      <c r="H146" s="1" t="e">
        <f t="shared" si="141"/>
        <v>#N/A</v>
      </c>
      <c r="I146" s="1" t="e">
        <f t="shared" si="142"/>
        <v>#N/A</v>
      </c>
      <c r="J146" s="1" t="e">
        <f t="shared" si="143"/>
        <v>#N/A</v>
      </c>
      <c r="K146" s="1" t="e">
        <f t="shared" si="144"/>
        <v>#N/A</v>
      </c>
      <c r="L146" s="1" t="e">
        <f t="shared" si="145"/>
        <v>#N/A</v>
      </c>
      <c r="M146" s="1" t="e">
        <f t="shared" si="146"/>
        <v>#N/A</v>
      </c>
      <c r="N146" s="1" t="e">
        <f t="shared" si="147"/>
        <v>#N/A</v>
      </c>
      <c r="O146" s="1" t="e">
        <f t="shared" si="148"/>
        <v>#N/A</v>
      </c>
      <c r="P146" s="1" t="e">
        <f t="shared" si="149"/>
        <v>#N/A</v>
      </c>
      <c r="Q146" s="1" t="e">
        <f t="shared" si="150"/>
        <v>#N/A</v>
      </c>
      <c r="R146" s="1" t="e">
        <f t="shared" si="151"/>
        <v>#N/A</v>
      </c>
      <c r="S146" s="1" t="e">
        <f t="shared" si="152"/>
        <v>#N/A</v>
      </c>
      <c r="T146" s="1" t="e">
        <f t="shared" si="153"/>
        <v>#N/A</v>
      </c>
      <c r="U146" s="1" t="e">
        <f t="shared" si="154"/>
        <v>#N/A</v>
      </c>
      <c r="V146" s="1" t="e">
        <f t="shared" si="155"/>
        <v>#N/A</v>
      </c>
      <c r="W146" s="1" t="e">
        <f t="shared" si="156"/>
        <v>#N/A</v>
      </c>
      <c r="X146" s="1" t="e">
        <f t="shared" si="157"/>
        <v>#N/A</v>
      </c>
      <c r="Y146" s="1" t="e">
        <f t="shared" si="158"/>
        <v>#N/A</v>
      </c>
      <c r="Z146" s="1" t="e">
        <f t="shared" si="159"/>
        <v>#N/A</v>
      </c>
      <c r="AA146" s="1" t="e">
        <f t="shared" si="160"/>
        <v>#N/A</v>
      </c>
      <c r="AB146" s="1" t="e">
        <f t="shared" si="161"/>
        <v>#N/A</v>
      </c>
      <c r="AC146" s="1" t="e">
        <f t="shared" si="162"/>
        <v>#N/A</v>
      </c>
      <c r="AD146" s="1" t="e">
        <f t="shared" si="163"/>
        <v>#N/A</v>
      </c>
      <c r="AE146" s="1" t="e">
        <f t="shared" si="164"/>
        <v>#N/A</v>
      </c>
      <c r="AF146" s="1" t="e">
        <f t="shared" si="165"/>
        <v>#N/A</v>
      </c>
    </row>
    <row r="147" spans="2:32" hidden="1" x14ac:dyDescent="0.25">
      <c r="B147" s="5" t="str">
        <f t="shared" si="135"/>
        <v>X</v>
      </c>
      <c r="C147" s="1" t="e">
        <f t="shared" si="136"/>
        <v>#N/A</v>
      </c>
      <c r="D147" s="1" t="e">
        <f t="shared" si="137"/>
        <v>#N/A</v>
      </c>
      <c r="E147" s="1" t="e">
        <f t="shared" si="138"/>
        <v>#N/A</v>
      </c>
      <c r="F147" s="1" t="e">
        <f t="shared" si="139"/>
        <v>#N/A</v>
      </c>
      <c r="G147" s="1" t="e">
        <f t="shared" si="140"/>
        <v>#N/A</v>
      </c>
      <c r="H147" s="1" t="e">
        <f t="shared" si="141"/>
        <v>#N/A</v>
      </c>
      <c r="I147" s="1" t="e">
        <f t="shared" si="142"/>
        <v>#N/A</v>
      </c>
      <c r="J147" s="1" t="e">
        <f t="shared" si="143"/>
        <v>#N/A</v>
      </c>
      <c r="K147" s="1" t="e">
        <f t="shared" si="144"/>
        <v>#N/A</v>
      </c>
      <c r="L147" s="1" t="e">
        <f t="shared" si="145"/>
        <v>#N/A</v>
      </c>
      <c r="M147" s="1" t="e">
        <f t="shared" si="146"/>
        <v>#N/A</v>
      </c>
      <c r="N147" s="1" t="e">
        <f t="shared" si="147"/>
        <v>#N/A</v>
      </c>
      <c r="O147" s="1" t="e">
        <f t="shared" si="148"/>
        <v>#N/A</v>
      </c>
      <c r="P147" s="1" t="e">
        <f t="shared" si="149"/>
        <v>#N/A</v>
      </c>
      <c r="Q147" s="1" t="e">
        <f t="shared" si="150"/>
        <v>#N/A</v>
      </c>
      <c r="R147" s="1" t="e">
        <f t="shared" si="151"/>
        <v>#N/A</v>
      </c>
      <c r="S147" s="1" t="e">
        <f t="shared" si="152"/>
        <v>#N/A</v>
      </c>
      <c r="T147" s="1" t="e">
        <f t="shared" si="153"/>
        <v>#N/A</v>
      </c>
      <c r="U147" s="1" t="e">
        <f t="shared" si="154"/>
        <v>#N/A</v>
      </c>
      <c r="V147" s="1" t="e">
        <f t="shared" si="155"/>
        <v>#N/A</v>
      </c>
      <c r="W147" s="1" t="e">
        <f t="shared" si="156"/>
        <v>#N/A</v>
      </c>
      <c r="X147" s="1" t="e">
        <f t="shared" si="157"/>
        <v>#N/A</v>
      </c>
      <c r="Y147" s="1" t="e">
        <f t="shared" si="158"/>
        <v>#N/A</v>
      </c>
      <c r="Z147" s="1" t="e">
        <f t="shared" si="159"/>
        <v>#N/A</v>
      </c>
      <c r="AA147" s="1" t="e">
        <f t="shared" si="160"/>
        <v>#N/A</v>
      </c>
      <c r="AB147" s="1" t="e">
        <f t="shared" si="161"/>
        <v>#N/A</v>
      </c>
      <c r="AC147" s="1" t="e">
        <f t="shared" si="162"/>
        <v>#N/A</v>
      </c>
      <c r="AD147" s="1" t="e">
        <f t="shared" si="163"/>
        <v>#N/A</v>
      </c>
      <c r="AE147" s="1" t="e">
        <f t="shared" si="164"/>
        <v>#N/A</v>
      </c>
      <c r="AF147" s="1" t="e">
        <f t="shared" si="165"/>
        <v>#N/A</v>
      </c>
    </row>
    <row r="148" spans="2:32" hidden="1" x14ac:dyDescent="0.25">
      <c r="B148" s="5" t="str">
        <f t="shared" si="135"/>
        <v>X</v>
      </c>
      <c r="C148" s="1" t="e">
        <f t="shared" si="136"/>
        <v>#N/A</v>
      </c>
      <c r="D148" s="1" t="e">
        <f t="shared" si="137"/>
        <v>#N/A</v>
      </c>
      <c r="E148" s="1" t="e">
        <f t="shared" si="138"/>
        <v>#N/A</v>
      </c>
      <c r="F148" s="1" t="e">
        <f t="shared" si="139"/>
        <v>#N/A</v>
      </c>
      <c r="G148" s="1" t="e">
        <f t="shared" si="140"/>
        <v>#N/A</v>
      </c>
      <c r="H148" s="1" t="e">
        <f t="shared" si="141"/>
        <v>#N/A</v>
      </c>
      <c r="I148" s="1" t="e">
        <f t="shared" si="142"/>
        <v>#N/A</v>
      </c>
      <c r="J148" s="1" t="e">
        <f t="shared" si="143"/>
        <v>#N/A</v>
      </c>
      <c r="K148" s="1" t="e">
        <f t="shared" si="144"/>
        <v>#N/A</v>
      </c>
      <c r="L148" s="1" t="e">
        <f t="shared" si="145"/>
        <v>#N/A</v>
      </c>
      <c r="M148" s="1" t="e">
        <f t="shared" si="146"/>
        <v>#N/A</v>
      </c>
      <c r="N148" s="1" t="e">
        <f t="shared" si="147"/>
        <v>#N/A</v>
      </c>
      <c r="O148" s="1" t="e">
        <f t="shared" si="148"/>
        <v>#N/A</v>
      </c>
      <c r="P148" s="1" t="e">
        <f t="shared" si="149"/>
        <v>#N/A</v>
      </c>
      <c r="Q148" s="1" t="e">
        <f t="shared" si="150"/>
        <v>#N/A</v>
      </c>
      <c r="R148" s="1" t="e">
        <f t="shared" si="151"/>
        <v>#N/A</v>
      </c>
      <c r="S148" s="1" t="e">
        <f t="shared" si="152"/>
        <v>#N/A</v>
      </c>
      <c r="T148" s="1" t="e">
        <f t="shared" si="153"/>
        <v>#N/A</v>
      </c>
      <c r="U148" s="1" t="e">
        <f t="shared" si="154"/>
        <v>#N/A</v>
      </c>
      <c r="V148" s="1" t="e">
        <f t="shared" si="155"/>
        <v>#N/A</v>
      </c>
      <c r="W148" s="1" t="e">
        <f t="shared" si="156"/>
        <v>#N/A</v>
      </c>
      <c r="X148" s="1" t="e">
        <f t="shared" si="157"/>
        <v>#N/A</v>
      </c>
      <c r="Y148" s="1" t="e">
        <f t="shared" si="158"/>
        <v>#N/A</v>
      </c>
      <c r="Z148" s="1" t="e">
        <f t="shared" si="159"/>
        <v>#N/A</v>
      </c>
      <c r="AA148" s="1" t="e">
        <f t="shared" si="160"/>
        <v>#N/A</v>
      </c>
      <c r="AB148" s="1" t="e">
        <f t="shared" si="161"/>
        <v>#N/A</v>
      </c>
      <c r="AC148" s="1" t="e">
        <f t="shared" si="162"/>
        <v>#N/A</v>
      </c>
      <c r="AD148" s="1" t="e">
        <f t="shared" si="163"/>
        <v>#N/A</v>
      </c>
      <c r="AE148" s="1" t="e">
        <f t="shared" si="164"/>
        <v>#N/A</v>
      </c>
      <c r="AF148" s="1" t="e">
        <f t="shared" si="165"/>
        <v>#N/A</v>
      </c>
    </row>
    <row r="149" spans="2:32" hidden="1" x14ac:dyDescent="0.25">
      <c r="B149" s="5" t="str">
        <f t="shared" si="135"/>
        <v>X</v>
      </c>
      <c r="C149" s="1" t="e">
        <f t="shared" si="136"/>
        <v>#N/A</v>
      </c>
      <c r="D149" s="1" t="e">
        <f t="shared" si="137"/>
        <v>#N/A</v>
      </c>
      <c r="E149" s="1" t="e">
        <f t="shared" si="138"/>
        <v>#N/A</v>
      </c>
      <c r="F149" s="1" t="e">
        <f t="shared" si="139"/>
        <v>#N/A</v>
      </c>
      <c r="G149" s="1" t="e">
        <f t="shared" si="140"/>
        <v>#N/A</v>
      </c>
      <c r="H149" s="1" t="e">
        <f t="shared" si="141"/>
        <v>#N/A</v>
      </c>
      <c r="I149" s="1" t="e">
        <f t="shared" si="142"/>
        <v>#N/A</v>
      </c>
      <c r="J149" s="1" t="e">
        <f t="shared" si="143"/>
        <v>#N/A</v>
      </c>
      <c r="K149" s="1" t="e">
        <f t="shared" si="144"/>
        <v>#N/A</v>
      </c>
      <c r="L149" s="1" t="e">
        <f t="shared" si="145"/>
        <v>#N/A</v>
      </c>
      <c r="M149" s="1" t="e">
        <f t="shared" si="146"/>
        <v>#N/A</v>
      </c>
      <c r="N149" s="1" t="e">
        <f t="shared" si="147"/>
        <v>#N/A</v>
      </c>
      <c r="O149" s="1" t="e">
        <f t="shared" si="148"/>
        <v>#N/A</v>
      </c>
      <c r="P149" s="1" t="e">
        <f t="shared" si="149"/>
        <v>#N/A</v>
      </c>
      <c r="Q149" s="1" t="e">
        <f t="shared" si="150"/>
        <v>#N/A</v>
      </c>
      <c r="R149" s="1" t="e">
        <f t="shared" si="151"/>
        <v>#N/A</v>
      </c>
      <c r="S149" s="1" t="e">
        <f t="shared" si="152"/>
        <v>#N/A</v>
      </c>
      <c r="T149" s="1" t="e">
        <f t="shared" si="153"/>
        <v>#N/A</v>
      </c>
      <c r="U149" s="1" t="e">
        <f t="shared" si="154"/>
        <v>#N/A</v>
      </c>
      <c r="V149" s="1" t="e">
        <f t="shared" si="155"/>
        <v>#N/A</v>
      </c>
      <c r="W149" s="1" t="e">
        <f t="shared" si="156"/>
        <v>#N/A</v>
      </c>
      <c r="X149" s="1" t="e">
        <f t="shared" si="157"/>
        <v>#N/A</v>
      </c>
      <c r="Y149" s="1" t="e">
        <f t="shared" si="158"/>
        <v>#N/A</v>
      </c>
      <c r="Z149" s="1" t="e">
        <f t="shared" si="159"/>
        <v>#N/A</v>
      </c>
      <c r="AA149" s="1" t="e">
        <f t="shared" si="160"/>
        <v>#N/A</v>
      </c>
      <c r="AB149" s="1" t="e">
        <f t="shared" si="161"/>
        <v>#N/A</v>
      </c>
      <c r="AC149" s="1" t="e">
        <f t="shared" si="162"/>
        <v>#N/A</v>
      </c>
      <c r="AD149" s="1" t="e">
        <f t="shared" si="163"/>
        <v>#N/A</v>
      </c>
      <c r="AE149" s="1" t="e">
        <f t="shared" si="164"/>
        <v>#N/A</v>
      </c>
      <c r="AF149" s="1" t="e">
        <f t="shared" si="165"/>
        <v>#N/A</v>
      </c>
    </row>
    <row r="150" spans="2:32" hidden="1" x14ac:dyDescent="0.25">
      <c r="B150" s="5" t="str">
        <f t="shared" si="135"/>
        <v>X</v>
      </c>
      <c r="C150" s="1" t="e">
        <f t="shared" si="136"/>
        <v>#N/A</v>
      </c>
      <c r="D150" s="1" t="e">
        <f t="shared" si="137"/>
        <v>#N/A</v>
      </c>
      <c r="E150" s="1" t="e">
        <f t="shared" si="138"/>
        <v>#N/A</v>
      </c>
      <c r="F150" s="1" t="e">
        <f t="shared" si="139"/>
        <v>#N/A</v>
      </c>
      <c r="G150" s="1" t="e">
        <f t="shared" si="140"/>
        <v>#N/A</v>
      </c>
      <c r="H150" s="1" t="e">
        <f t="shared" si="141"/>
        <v>#N/A</v>
      </c>
      <c r="I150" s="1" t="e">
        <f t="shared" si="142"/>
        <v>#N/A</v>
      </c>
      <c r="J150" s="1" t="e">
        <f t="shared" si="143"/>
        <v>#N/A</v>
      </c>
      <c r="K150" s="1" t="e">
        <f t="shared" si="144"/>
        <v>#N/A</v>
      </c>
      <c r="L150" s="1" t="e">
        <f t="shared" si="145"/>
        <v>#N/A</v>
      </c>
      <c r="M150" s="1" t="e">
        <f t="shared" si="146"/>
        <v>#N/A</v>
      </c>
      <c r="N150" s="1" t="e">
        <f t="shared" si="147"/>
        <v>#N/A</v>
      </c>
      <c r="O150" s="1" t="e">
        <f t="shared" si="148"/>
        <v>#N/A</v>
      </c>
      <c r="P150" s="1" t="e">
        <f t="shared" si="149"/>
        <v>#N/A</v>
      </c>
      <c r="Q150" s="1" t="e">
        <f t="shared" si="150"/>
        <v>#N/A</v>
      </c>
      <c r="R150" s="1" t="e">
        <f t="shared" si="151"/>
        <v>#N/A</v>
      </c>
      <c r="S150" s="1" t="e">
        <f t="shared" si="152"/>
        <v>#N/A</v>
      </c>
      <c r="T150" s="1" t="e">
        <f t="shared" si="153"/>
        <v>#N/A</v>
      </c>
      <c r="U150" s="1" t="e">
        <f t="shared" si="154"/>
        <v>#N/A</v>
      </c>
      <c r="V150" s="1" t="e">
        <f t="shared" si="155"/>
        <v>#N/A</v>
      </c>
      <c r="W150" s="1" t="e">
        <f t="shared" si="156"/>
        <v>#N/A</v>
      </c>
      <c r="X150" s="1" t="e">
        <f t="shared" si="157"/>
        <v>#N/A</v>
      </c>
      <c r="Y150" s="1" t="e">
        <f t="shared" si="158"/>
        <v>#N/A</v>
      </c>
      <c r="Z150" s="1" t="e">
        <f t="shared" si="159"/>
        <v>#N/A</v>
      </c>
      <c r="AA150" s="1" t="e">
        <f t="shared" si="160"/>
        <v>#N/A</v>
      </c>
      <c r="AB150" s="1" t="e">
        <f t="shared" si="161"/>
        <v>#N/A</v>
      </c>
      <c r="AC150" s="1" t="e">
        <f t="shared" si="162"/>
        <v>#N/A</v>
      </c>
      <c r="AD150" s="1" t="e">
        <f t="shared" si="163"/>
        <v>#N/A</v>
      </c>
      <c r="AE150" s="1" t="e">
        <f t="shared" si="164"/>
        <v>#N/A</v>
      </c>
      <c r="AF150" s="1" t="e">
        <f t="shared" si="165"/>
        <v>#N/A</v>
      </c>
    </row>
    <row r="151" spans="2:32" hidden="1" x14ac:dyDescent="0.25">
      <c r="B151" s="5" t="str">
        <f t="shared" si="135"/>
        <v>X</v>
      </c>
      <c r="C151" s="1" t="e">
        <f t="shared" si="136"/>
        <v>#N/A</v>
      </c>
      <c r="D151" s="1" t="e">
        <f t="shared" si="137"/>
        <v>#N/A</v>
      </c>
      <c r="E151" s="1" t="e">
        <f t="shared" si="138"/>
        <v>#N/A</v>
      </c>
      <c r="F151" s="1" t="e">
        <f t="shared" si="139"/>
        <v>#N/A</v>
      </c>
      <c r="G151" s="1" t="e">
        <f t="shared" si="140"/>
        <v>#N/A</v>
      </c>
      <c r="H151" s="1" t="e">
        <f t="shared" si="141"/>
        <v>#N/A</v>
      </c>
      <c r="I151" s="1" t="e">
        <f t="shared" si="142"/>
        <v>#N/A</v>
      </c>
      <c r="J151" s="1" t="e">
        <f t="shared" si="143"/>
        <v>#N/A</v>
      </c>
      <c r="K151" s="1" t="e">
        <f t="shared" si="144"/>
        <v>#N/A</v>
      </c>
      <c r="L151" s="1" t="e">
        <f t="shared" si="145"/>
        <v>#N/A</v>
      </c>
      <c r="M151" s="1" t="e">
        <f t="shared" si="146"/>
        <v>#N/A</v>
      </c>
      <c r="N151" s="1" t="e">
        <f t="shared" si="147"/>
        <v>#N/A</v>
      </c>
      <c r="O151" s="1" t="e">
        <f t="shared" si="148"/>
        <v>#N/A</v>
      </c>
      <c r="P151" s="1" t="e">
        <f t="shared" si="149"/>
        <v>#N/A</v>
      </c>
      <c r="Q151" s="1" t="e">
        <f t="shared" si="150"/>
        <v>#N/A</v>
      </c>
      <c r="R151" s="1" t="e">
        <f t="shared" si="151"/>
        <v>#N/A</v>
      </c>
      <c r="S151" s="1" t="e">
        <f t="shared" si="152"/>
        <v>#N/A</v>
      </c>
      <c r="T151" s="1" t="e">
        <f t="shared" si="153"/>
        <v>#N/A</v>
      </c>
      <c r="U151" s="1" t="e">
        <f t="shared" si="154"/>
        <v>#N/A</v>
      </c>
      <c r="V151" s="1" t="e">
        <f t="shared" si="155"/>
        <v>#N/A</v>
      </c>
      <c r="W151" s="1" t="e">
        <f t="shared" si="156"/>
        <v>#N/A</v>
      </c>
      <c r="X151" s="1" t="e">
        <f t="shared" si="157"/>
        <v>#N/A</v>
      </c>
      <c r="Y151" s="1" t="e">
        <f t="shared" si="158"/>
        <v>#N/A</v>
      </c>
      <c r="Z151" s="1" t="e">
        <f t="shared" si="159"/>
        <v>#N/A</v>
      </c>
      <c r="AA151" s="1" t="e">
        <f t="shared" si="160"/>
        <v>#N/A</v>
      </c>
      <c r="AB151" s="1" t="e">
        <f t="shared" si="161"/>
        <v>#N/A</v>
      </c>
      <c r="AC151" s="1" t="e">
        <f t="shared" si="162"/>
        <v>#N/A</v>
      </c>
      <c r="AD151" s="1" t="e">
        <f t="shared" si="163"/>
        <v>#N/A</v>
      </c>
      <c r="AE151" s="1" t="e">
        <f t="shared" si="164"/>
        <v>#N/A</v>
      </c>
      <c r="AF151" s="1" t="e">
        <f t="shared" si="165"/>
        <v>#N/A</v>
      </c>
    </row>
    <row r="152" spans="2:32" hidden="1" x14ac:dyDescent="0.25">
      <c r="B152" s="5" t="str">
        <f t="shared" si="135"/>
        <v>X</v>
      </c>
      <c r="C152" s="1" t="e">
        <f t="shared" si="136"/>
        <v>#N/A</v>
      </c>
      <c r="D152" s="1" t="e">
        <f t="shared" si="137"/>
        <v>#N/A</v>
      </c>
      <c r="E152" s="1" t="e">
        <f t="shared" si="138"/>
        <v>#N/A</v>
      </c>
      <c r="F152" s="1" t="e">
        <f t="shared" si="139"/>
        <v>#N/A</v>
      </c>
      <c r="G152" s="1" t="e">
        <f t="shared" si="140"/>
        <v>#N/A</v>
      </c>
      <c r="H152" s="1" t="e">
        <f t="shared" si="141"/>
        <v>#N/A</v>
      </c>
      <c r="I152" s="1" t="e">
        <f t="shared" si="142"/>
        <v>#N/A</v>
      </c>
      <c r="J152" s="1" t="e">
        <f t="shared" si="143"/>
        <v>#N/A</v>
      </c>
      <c r="K152" s="1" t="e">
        <f t="shared" si="144"/>
        <v>#N/A</v>
      </c>
      <c r="L152" s="1" t="e">
        <f t="shared" si="145"/>
        <v>#N/A</v>
      </c>
      <c r="M152" s="1" t="e">
        <f t="shared" si="146"/>
        <v>#N/A</v>
      </c>
      <c r="N152" s="1" t="e">
        <f t="shared" si="147"/>
        <v>#N/A</v>
      </c>
      <c r="O152" s="1" t="e">
        <f t="shared" si="148"/>
        <v>#N/A</v>
      </c>
      <c r="P152" s="1" t="e">
        <f t="shared" si="149"/>
        <v>#N/A</v>
      </c>
      <c r="Q152" s="1" t="e">
        <f t="shared" si="150"/>
        <v>#N/A</v>
      </c>
      <c r="R152" s="1" t="e">
        <f t="shared" si="151"/>
        <v>#N/A</v>
      </c>
      <c r="S152" s="1" t="e">
        <f t="shared" si="152"/>
        <v>#N/A</v>
      </c>
      <c r="T152" s="1" t="e">
        <f t="shared" si="153"/>
        <v>#N/A</v>
      </c>
      <c r="U152" s="1" t="e">
        <f t="shared" si="154"/>
        <v>#N/A</v>
      </c>
      <c r="V152" s="1" t="e">
        <f t="shared" si="155"/>
        <v>#N/A</v>
      </c>
      <c r="W152" s="1" t="e">
        <f t="shared" si="156"/>
        <v>#N/A</v>
      </c>
      <c r="X152" s="1" t="e">
        <f t="shared" si="157"/>
        <v>#N/A</v>
      </c>
      <c r="Y152" s="1" t="e">
        <f t="shared" si="158"/>
        <v>#N/A</v>
      </c>
      <c r="Z152" s="1" t="e">
        <f t="shared" si="159"/>
        <v>#N/A</v>
      </c>
      <c r="AA152" s="1" t="e">
        <f t="shared" si="160"/>
        <v>#N/A</v>
      </c>
      <c r="AB152" s="1" t="e">
        <f t="shared" si="161"/>
        <v>#N/A</v>
      </c>
      <c r="AC152" s="1" t="e">
        <f t="shared" si="162"/>
        <v>#N/A</v>
      </c>
      <c r="AD152" s="1" t="e">
        <f t="shared" si="163"/>
        <v>#N/A</v>
      </c>
      <c r="AE152" s="1" t="e">
        <f t="shared" si="164"/>
        <v>#N/A</v>
      </c>
      <c r="AF152" s="1" t="e">
        <f t="shared" si="165"/>
        <v>#N/A</v>
      </c>
    </row>
    <row r="153" spans="2:32" hidden="1" x14ac:dyDescent="0.25">
      <c r="B153" s="5" t="str">
        <f t="shared" si="135"/>
        <v>X</v>
      </c>
      <c r="C153" s="1" t="e">
        <f t="shared" si="136"/>
        <v>#N/A</v>
      </c>
      <c r="D153" s="1" t="e">
        <f t="shared" si="137"/>
        <v>#N/A</v>
      </c>
      <c r="E153" s="1" t="e">
        <f t="shared" si="138"/>
        <v>#N/A</v>
      </c>
      <c r="F153" s="1" t="e">
        <f t="shared" si="139"/>
        <v>#N/A</v>
      </c>
      <c r="G153" s="1" t="e">
        <f t="shared" si="140"/>
        <v>#N/A</v>
      </c>
      <c r="H153" s="1" t="e">
        <f t="shared" si="141"/>
        <v>#N/A</v>
      </c>
      <c r="I153" s="1" t="e">
        <f t="shared" si="142"/>
        <v>#N/A</v>
      </c>
      <c r="J153" s="1" t="e">
        <f t="shared" si="143"/>
        <v>#N/A</v>
      </c>
      <c r="K153" s="1" t="e">
        <f t="shared" si="144"/>
        <v>#N/A</v>
      </c>
      <c r="L153" s="1" t="e">
        <f t="shared" si="145"/>
        <v>#N/A</v>
      </c>
      <c r="M153" s="1" t="e">
        <f t="shared" si="146"/>
        <v>#N/A</v>
      </c>
      <c r="N153" s="1" t="e">
        <f t="shared" si="147"/>
        <v>#N/A</v>
      </c>
      <c r="O153" s="1" t="e">
        <f t="shared" si="148"/>
        <v>#N/A</v>
      </c>
      <c r="P153" s="1" t="e">
        <f t="shared" si="149"/>
        <v>#N/A</v>
      </c>
      <c r="Q153" s="1" t="e">
        <f t="shared" si="150"/>
        <v>#N/A</v>
      </c>
      <c r="R153" s="1" t="e">
        <f t="shared" si="151"/>
        <v>#N/A</v>
      </c>
      <c r="S153" s="1" t="e">
        <f t="shared" si="152"/>
        <v>#N/A</v>
      </c>
      <c r="T153" s="1" t="e">
        <f t="shared" si="153"/>
        <v>#N/A</v>
      </c>
      <c r="U153" s="1" t="e">
        <f t="shared" si="154"/>
        <v>#N/A</v>
      </c>
      <c r="V153" s="1" t="e">
        <f t="shared" si="155"/>
        <v>#N/A</v>
      </c>
      <c r="W153" s="1" t="e">
        <f t="shared" si="156"/>
        <v>#N/A</v>
      </c>
      <c r="X153" s="1" t="e">
        <f t="shared" si="157"/>
        <v>#N/A</v>
      </c>
      <c r="Y153" s="1" t="e">
        <f t="shared" si="158"/>
        <v>#N/A</v>
      </c>
      <c r="Z153" s="1" t="e">
        <f t="shared" si="159"/>
        <v>#N/A</v>
      </c>
      <c r="AA153" s="1" t="e">
        <f t="shared" si="160"/>
        <v>#N/A</v>
      </c>
      <c r="AB153" s="1" t="e">
        <f t="shared" si="161"/>
        <v>#N/A</v>
      </c>
      <c r="AC153" s="1" t="e">
        <f t="shared" si="162"/>
        <v>#N/A</v>
      </c>
      <c r="AD153" s="1" t="e">
        <f t="shared" si="163"/>
        <v>#N/A</v>
      </c>
      <c r="AE153" s="1" t="e">
        <f t="shared" si="164"/>
        <v>#N/A</v>
      </c>
      <c r="AF153" s="1" t="e">
        <f t="shared" si="165"/>
        <v>#N/A</v>
      </c>
    </row>
    <row r="154" spans="2:32" hidden="1" x14ac:dyDescent="0.25">
      <c r="B154" s="5" t="str">
        <f t="shared" si="135"/>
        <v>X</v>
      </c>
      <c r="C154" s="1" t="e">
        <f t="shared" si="136"/>
        <v>#N/A</v>
      </c>
      <c r="D154" s="1" t="e">
        <f t="shared" si="137"/>
        <v>#N/A</v>
      </c>
      <c r="E154" s="1" t="e">
        <f t="shared" si="138"/>
        <v>#N/A</v>
      </c>
      <c r="F154" s="1" t="e">
        <f t="shared" si="139"/>
        <v>#N/A</v>
      </c>
      <c r="G154" s="1" t="e">
        <f t="shared" si="140"/>
        <v>#N/A</v>
      </c>
      <c r="H154" s="1" t="e">
        <f t="shared" si="141"/>
        <v>#N/A</v>
      </c>
      <c r="I154" s="1" t="e">
        <f t="shared" si="142"/>
        <v>#N/A</v>
      </c>
      <c r="J154" s="1" t="e">
        <f t="shared" si="143"/>
        <v>#N/A</v>
      </c>
      <c r="K154" s="1" t="e">
        <f t="shared" si="144"/>
        <v>#N/A</v>
      </c>
      <c r="L154" s="1" t="e">
        <f t="shared" si="145"/>
        <v>#N/A</v>
      </c>
      <c r="M154" s="1" t="e">
        <f t="shared" si="146"/>
        <v>#N/A</v>
      </c>
      <c r="N154" s="1" t="e">
        <f t="shared" si="147"/>
        <v>#N/A</v>
      </c>
      <c r="O154" s="1" t="e">
        <f t="shared" si="148"/>
        <v>#N/A</v>
      </c>
      <c r="P154" s="1" t="e">
        <f t="shared" si="149"/>
        <v>#N/A</v>
      </c>
      <c r="Q154" s="1" t="e">
        <f t="shared" si="150"/>
        <v>#N/A</v>
      </c>
      <c r="R154" s="1" t="e">
        <f t="shared" si="151"/>
        <v>#N/A</v>
      </c>
      <c r="S154" s="1" t="e">
        <f t="shared" si="152"/>
        <v>#N/A</v>
      </c>
      <c r="T154" s="1" t="e">
        <f t="shared" si="153"/>
        <v>#N/A</v>
      </c>
      <c r="U154" s="1" t="e">
        <f t="shared" si="154"/>
        <v>#N/A</v>
      </c>
      <c r="V154" s="1" t="e">
        <f t="shared" si="155"/>
        <v>#N/A</v>
      </c>
      <c r="W154" s="1" t="e">
        <f t="shared" si="156"/>
        <v>#N/A</v>
      </c>
      <c r="X154" s="1" t="e">
        <f t="shared" si="157"/>
        <v>#N/A</v>
      </c>
      <c r="Y154" s="1" t="e">
        <f t="shared" si="158"/>
        <v>#N/A</v>
      </c>
      <c r="Z154" s="1" t="e">
        <f t="shared" si="159"/>
        <v>#N/A</v>
      </c>
      <c r="AA154" s="1" t="e">
        <f t="shared" si="160"/>
        <v>#N/A</v>
      </c>
      <c r="AB154" s="1" t="e">
        <f t="shared" si="161"/>
        <v>#N/A</v>
      </c>
      <c r="AC154" s="1" t="e">
        <f t="shared" si="162"/>
        <v>#N/A</v>
      </c>
      <c r="AD154" s="1" t="e">
        <f t="shared" si="163"/>
        <v>#N/A</v>
      </c>
      <c r="AE154" s="1" t="e">
        <f t="shared" si="164"/>
        <v>#N/A</v>
      </c>
      <c r="AF154" s="1" t="e">
        <f t="shared" si="165"/>
        <v>#N/A</v>
      </c>
    </row>
    <row r="155" spans="2:32" hidden="1" x14ac:dyDescent="0.25">
      <c r="B155" s="5" t="str">
        <f t="shared" si="135"/>
        <v>X</v>
      </c>
      <c r="C155" s="1" t="e">
        <f t="shared" si="136"/>
        <v>#N/A</v>
      </c>
      <c r="D155" s="1" t="e">
        <f t="shared" si="137"/>
        <v>#N/A</v>
      </c>
      <c r="E155" s="1" t="e">
        <f t="shared" si="138"/>
        <v>#N/A</v>
      </c>
      <c r="F155" s="1" t="e">
        <f t="shared" si="139"/>
        <v>#N/A</v>
      </c>
      <c r="G155" s="1" t="e">
        <f t="shared" si="140"/>
        <v>#N/A</v>
      </c>
      <c r="H155" s="1" t="e">
        <f t="shared" si="141"/>
        <v>#N/A</v>
      </c>
      <c r="I155" s="1" t="e">
        <f t="shared" si="142"/>
        <v>#N/A</v>
      </c>
      <c r="J155" s="1" t="e">
        <f t="shared" si="143"/>
        <v>#N/A</v>
      </c>
      <c r="K155" s="1" t="e">
        <f t="shared" si="144"/>
        <v>#N/A</v>
      </c>
      <c r="L155" s="1" t="e">
        <f t="shared" si="145"/>
        <v>#N/A</v>
      </c>
      <c r="M155" s="1" t="e">
        <f t="shared" si="146"/>
        <v>#N/A</v>
      </c>
      <c r="N155" s="1" t="e">
        <f t="shared" si="147"/>
        <v>#N/A</v>
      </c>
      <c r="O155" s="1" t="e">
        <f t="shared" si="148"/>
        <v>#N/A</v>
      </c>
      <c r="P155" s="1" t="e">
        <f t="shared" si="149"/>
        <v>#N/A</v>
      </c>
      <c r="Q155" s="1" t="e">
        <f t="shared" si="150"/>
        <v>#N/A</v>
      </c>
      <c r="R155" s="1" t="e">
        <f t="shared" si="151"/>
        <v>#N/A</v>
      </c>
      <c r="S155" s="1" t="e">
        <f t="shared" si="152"/>
        <v>#N/A</v>
      </c>
      <c r="T155" s="1" t="e">
        <f t="shared" si="153"/>
        <v>#N/A</v>
      </c>
      <c r="U155" s="1" t="e">
        <f t="shared" si="154"/>
        <v>#N/A</v>
      </c>
      <c r="V155" s="1" t="e">
        <f t="shared" si="155"/>
        <v>#N/A</v>
      </c>
      <c r="W155" s="1" t="e">
        <f t="shared" si="156"/>
        <v>#N/A</v>
      </c>
      <c r="X155" s="1" t="e">
        <f t="shared" si="157"/>
        <v>#N/A</v>
      </c>
      <c r="Y155" s="1" t="e">
        <f t="shared" si="158"/>
        <v>#N/A</v>
      </c>
      <c r="Z155" s="1" t="e">
        <f t="shared" si="159"/>
        <v>#N/A</v>
      </c>
      <c r="AA155" s="1" t="e">
        <f t="shared" si="160"/>
        <v>#N/A</v>
      </c>
      <c r="AB155" s="1" t="e">
        <f t="shared" si="161"/>
        <v>#N/A</v>
      </c>
      <c r="AC155" s="1" t="e">
        <f t="shared" si="162"/>
        <v>#N/A</v>
      </c>
      <c r="AD155" s="1" t="e">
        <f t="shared" si="163"/>
        <v>#N/A</v>
      </c>
      <c r="AE155" s="1" t="e">
        <f t="shared" si="164"/>
        <v>#N/A</v>
      </c>
      <c r="AF155" s="1" t="e">
        <f t="shared" si="165"/>
        <v>#N/A</v>
      </c>
    </row>
    <row r="156" spans="2:32" hidden="1" x14ac:dyDescent="0.25">
      <c r="B156" s="5" t="str">
        <f t="shared" si="135"/>
        <v>X</v>
      </c>
      <c r="C156" s="1" t="e">
        <f t="shared" si="136"/>
        <v>#N/A</v>
      </c>
      <c r="D156" s="1" t="e">
        <f t="shared" si="137"/>
        <v>#N/A</v>
      </c>
      <c r="E156" s="1" t="e">
        <f t="shared" si="138"/>
        <v>#N/A</v>
      </c>
      <c r="F156" s="1" t="e">
        <f t="shared" si="139"/>
        <v>#N/A</v>
      </c>
      <c r="G156" s="1" t="e">
        <f t="shared" si="140"/>
        <v>#N/A</v>
      </c>
      <c r="H156" s="1" t="e">
        <f t="shared" si="141"/>
        <v>#N/A</v>
      </c>
      <c r="I156" s="1" t="e">
        <f t="shared" si="142"/>
        <v>#N/A</v>
      </c>
      <c r="J156" s="1" t="e">
        <f t="shared" si="143"/>
        <v>#N/A</v>
      </c>
      <c r="K156" s="1" t="e">
        <f t="shared" si="144"/>
        <v>#N/A</v>
      </c>
      <c r="L156" s="1" t="e">
        <f t="shared" si="145"/>
        <v>#N/A</v>
      </c>
      <c r="M156" s="1" t="e">
        <f t="shared" si="146"/>
        <v>#N/A</v>
      </c>
      <c r="N156" s="1" t="e">
        <f t="shared" si="147"/>
        <v>#N/A</v>
      </c>
      <c r="O156" s="1" t="e">
        <f t="shared" si="148"/>
        <v>#N/A</v>
      </c>
      <c r="P156" s="1" t="e">
        <f t="shared" si="149"/>
        <v>#N/A</v>
      </c>
      <c r="Q156" s="1" t="e">
        <f t="shared" si="150"/>
        <v>#N/A</v>
      </c>
      <c r="R156" s="1" t="e">
        <f t="shared" si="151"/>
        <v>#N/A</v>
      </c>
      <c r="S156" s="1" t="e">
        <f t="shared" si="152"/>
        <v>#N/A</v>
      </c>
      <c r="T156" s="1" t="e">
        <f t="shared" si="153"/>
        <v>#N/A</v>
      </c>
      <c r="U156" s="1" t="e">
        <f t="shared" si="154"/>
        <v>#N/A</v>
      </c>
      <c r="V156" s="1" t="e">
        <f t="shared" si="155"/>
        <v>#N/A</v>
      </c>
      <c r="W156" s="1" t="e">
        <f t="shared" si="156"/>
        <v>#N/A</v>
      </c>
      <c r="X156" s="1" t="e">
        <f t="shared" si="157"/>
        <v>#N/A</v>
      </c>
      <c r="Y156" s="1" t="e">
        <f t="shared" si="158"/>
        <v>#N/A</v>
      </c>
      <c r="Z156" s="1" t="e">
        <f t="shared" si="159"/>
        <v>#N/A</v>
      </c>
      <c r="AA156" s="1" t="e">
        <f t="shared" si="160"/>
        <v>#N/A</v>
      </c>
      <c r="AB156" s="1" t="e">
        <f t="shared" si="161"/>
        <v>#N/A</v>
      </c>
      <c r="AC156" s="1" t="e">
        <f t="shared" si="162"/>
        <v>#N/A</v>
      </c>
      <c r="AD156" s="1" t="e">
        <f t="shared" si="163"/>
        <v>#N/A</v>
      </c>
      <c r="AE156" s="1" t="e">
        <f t="shared" si="164"/>
        <v>#N/A</v>
      </c>
      <c r="AF156" s="1" t="e">
        <f t="shared" si="165"/>
        <v>#N/A</v>
      </c>
    </row>
    <row r="157" spans="2:32" hidden="1" x14ac:dyDescent="0.25">
      <c r="B157" s="5" t="str">
        <f t="shared" si="135"/>
        <v>X</v>
      </c>
      <c r="C157" s="1" t="e">
        <f t="shared" si="136"/>
        <v>#N/A</v>
      </c>
      <c r="D157" s="1" t="e">
        <f t="shared" si="137"/>
        <v>#N/A</v>
      </c>
      <c r="E157" s="1" t="e">
        <f t="shared" si="138"/>
        <v>#N/A</v>
      </c>
      <c r="F157" s="1" t="e">
        <f t="shared" si="139"/>
        <v>#N/A</v>
      </c>
      <c r="G157" s="1" t="e">
        <f t="shared" si="140"/>
        <v>#N/A</v>
      </c>
      <c r="H157" s="1" t="e">
        <f t="shared" si="141"/>
        <v>#N/A</v>
      </c>
      <c r="I157" s="1" t="e">
        <f t="shared" si="142"/>
        <v>#N/A</v>
      </c>
      <c r="J157" s="1" t="e">
        <f t="shared" si="143"/>
        <v>#N/A</v>
      </c>
      <c r="K157" s="1" t="e">
        <f t="shared" si="144"/>
        <v>#N/A</v>
      </c>
      <c r="L157" s="1" t="e">
        <f t="shared" si="145"/>
        <v>#N/A</v>
      </c>
      <c r="M157" s="1" t="e">
        <f t="shared" si="146"/>
        <v>#N/A</v>
      </c>
      <c r="N157" s="1" t="e">
        <f t="shared" si="147"/>
        <v>#N/A</v>
      </c>
      <c r="O157" s="1" t="e">
        <f t="shared" si="148"/>
        <v>#N/A</v>
      </c>
      <c r="P157" s="1" t="e">
        <f t="shared" si="149"/>
        <v>#N/A</v>
      </c>
      <c r="Q157" s="1" t="e">
        <f t="shared" si="150"/>
        <v>#N/A</v>
      </c>
      <c r="R157" s="1" t="e">
        <f t="shared" si="151"/>
        <v>#N/A</v>
      </c>
      <c r="S157" s="1" t="e">
        <f t="shared" si="152"/>
        <v>#N/A</v>
      </c>
      <c r="T157" s="1" t="e">
        <f t="shared" si="153"/>
        <v>#N/A</v>
      </c>
      <c r="U157" s="1" t="e">
        <f t="shared" si="154"/>
        <v>#N/A</v>
      </c>
      <c r="V157" s="1" t="e">
        <f t="shared" si="155"/>
        <v>#N/A</v>
      </c>
      <c r="W157" s="1" t="e">
        <f t="shared" si="156"/>
        <v>#N/A</v>
      </c>
      <c r="X157" s="1" t="e">
        <f t="shared" si="157"/>
        <v>#N/A</v>
      </c>
      <c r="Y157" s="1" t="e">
        <f t="shared" si="158"/>
        <v>#N/A</v>
      </c>
      <c r="Z157" s="1" t="e">
        <f t="shared" si="159"/>
        <v>#N/A</v>
      </c>
      <c r="AA157" s="1" t="e">
        <f t="shared" si="160"/>
        <v>#N/A</v>
      </c>
      <c r="AB157" s="1" t="e">
        <f t="shared" si="161"/>
        <v>#N/A</v>
      </c>
      <c r="AC157" s="1" t="e">
        <f t="shared" si="162"/>
        <v>#N/A</v>
      </c>
      <c r="AD157" s="1" t="e">
        <f t="shared" si="163"/>
        <v>#N/A</v>
      </c>
      <c r="AE157" s="1" t="e">
        <f t="shared" si="164"/>
        <v>#N/A</v>
      </c>
      <c r="AF157" s="1" t="e">
        <f t="shared" si="165"/>
        <v>#N/A</v>
      </c>
    </row>
    <row r="158" spans="2:32" hidden="1" x14ac:dyDescent="0.25">
      <c r="B158" s="5" t="str">
        <f t="shared" si="135"/>
        <v>X</v>
      </c>
      <c r="C158" s="1" t="e">
        <f t="shared" si="136"/>
        <v>#N/A</v>
      </c>
      <c r="D158" s="1" t="e">
        <f t="shared" si="137"/>
        <v>#N/A</v>
      </c>
      <c r="E158" s="1" t="e">
        <f t="shared" si="138"/>
        <v>#N/A</v>
      </c>
      <c r="F158" s="1" t="e">
        <f t="shared" si="139"/>
        <v>#N/A</v>
      </c>
      <c r="G158" s="1" t="e">
        <f t="shared" si="140"/>
        <v>#N/A</v>
      </c>
      <c r="H158" s="1" t="e">
        <f t="shared" si="141"/>
        <v>#N/A</v>
      </c>
      <c r="I158" s="1" t="e">
        <f t="shared" si="142"/>
        <v>#N/A</v>
      </c>
      <c r="J158" s="1" t="e">
        <f t="shared" si="143"/>
        <v>#N/A</v>
      </c>
      <c r="K158" s="1" t="e">
        <f t="shared" si="144"/>
        <v>#N/A</v>
      </c>
      <c r="L158" s="1" t="e">
        <f t="shared" si="145"/>
        <v>#N/A</v>
      </c>
      <c r="M158" s="1" t="e">
        <f t="shared" si="146"/>
        <v>#N/A</v>
      </c>
      <c r="N158" s="1" t="e">
        <f t="shared" si="147"/>
        <v>#N/A</v>
      </c>
      <c r="O158" s="1" t="e">
        <f t="shared" si="148"/>
        <v>#N/A</v>
      </c>
      <c r="P158" s="1" t="e">
        <f t="shared" si="149"/>
        <v>#N/A</v>
      </c>
      <c r="Q158" s="1" t="e">
        <f t="shared" si="150"/>
        <v>#N/A</v>
      </c>
      <c r="R158" s="1" t="e">
        <f t="shared" si="151"/>
        <v>#N/A</v>
      </c>
      <c r="S158" s="1" t="e">
        <f t="shared" si="152"/>
        <v>#N/A</v>
      </c>
      <c r="T158" s="1" t="e">
        <f t="shared" si="153"/>
        <v>#N/A</v>
      </c>
      <c r="U158" s="1" t="e">
        <f t="shared" si="154"/>
        <v>#N/A</v>
      </c>
      <c r="V158" s="1" t="e">
        <f t="shared" si="155"/>
        <v>#N/A</v>
      </c>
      <c r="W158" s="1" t="e">
        <f t="shared" si="156"/>
        <v>#N/A</v>
      </c>
      <c r="X158" s="1" t="e">
        <f t="shared" si="157"/>
        <v>#N/A</v>
      </c>
      <c r="Y158" s="1" t="e">
        <f t="shared" si="158"/>
        <v>#N/A</v>
      </c>
      <c r="Z158" s="1" t="e">
        <f t="shared" si="159"/>
        <v>#N/A</v>
      </c>
      <c r="AA158" s="1" t="e">
        <f t="shared" si="160"/>
        <v>#N/A</v>
      </c>
      <c r="AB158" s="1" t="e">
        <f t="shared" si="161"/>
        <v>#N/A</v>
      </c>
      <c r="AC158" s="1" t="e">
        <f t="shared" si="162"/>
        <v>#N/A</v>
      </c>
      <c r="AD158" s="1" t="e">
        <f t="shared" si="163"/>
        <v>#N/A</v>
      </c>
      <c r="AE158" s="1" t="e">
        <f t="shared" si="164"/>
        <v>#N/A</v>
      </c>
      <c r="AF158" s="1" t="e">
        <f t="shared" si="165"/>
        <v>#N/A</v>
      </c>
    </row>
    <row r="159" spans="2:32" hidden="1" x14ac:dyDescent="0.25">
      <c r="B159" s="5" t="str">
        <f t="shared" si="135"/>
        <v>X</v>
      </c>
      <c r="C159" s="1" t="e">
        <f t="shared" si="136"/>
        <v>#N/A</v>
      </c>
      <c r="D159" s="1" t="e">
        <f t="shared" si="137"/>
        <v>#N/A</v>
      </c>
      <c r="E159" s="1" t="e">
        <f t="shared" si="138"/>
        <v>#N/A</v>
      </c>
      <c r="F159" s="1" t="e">
        <f t="shared" si="139"/>
        <v>#N/A</v>
      </c>
      <c r="G159" s="1" t="e">
        <f t="shared" si="140"/>
        <v>#N/A</v>
      </c>
      <c r="H159" s="1" t="e">
        <f t="shared" si="141"/>
        <v>#N/A</v>
      </c>
      <c r="I159" s="1" t="e">
        <f t="shared" si="142"/>
        <v>#N/A</v>
      </c>
      <c r="J159" s="1" t="e">
        <f t="shared" si="143"/>
        <v>#N/A</v>
      </c>
      <c r="K159" s="1" t="e">
        <f t="shared" si="144"/>
        <v>#N/A</v>
      </c>
      <c r="L159" s="1" t="e">
        <f t="shared" si="145"/>
        <v>#N/A</v>
      </c>
      <c r="M159" s="1" t="e">
        <f t="shared" si="146"/>
        <v>#N/A</v>
      </c>
      <c r="N159" s="1" t="e">
        <f t="shared" si="147"/>
        <v>#N/A</v>
      </c>
      <c r="O159" s="1" t="e">
        <f t="shared" si="148"/>
        <v>#N/A</v>
      </c>
      <c r="P159" s="1" t="e">
        <f t="shared" si="149"/>
        <v>#N/A</v>
      </c>
      <c r="Q159" s="1" t="e">
        <f t="shared" si="150"/>
        <v>#N/A</v>
      </c>
      <c r="R159" s="1" t="e">
        <f t="shared" si="151"/>
        <v>#N/A</v>
      </c>
      <c r="S159" s="1" t="e">
        <f t="shared" si="152"/>
        <v>#N/A</v>
      </c>
      <c r="T159" s="1" t="e">
        <f t="shared" si="153"/>
        <v>#N/A</v>
      </c>
      <c r="U159" s="1" t="e">
        <f t="shared" si="154"/>
        <v>#N/A</v>
      </c>
      <c r="V159" s="1" t="e">
        <f t="shared" si="155"/>
        <v>#N/A</v>
      </c>
      <c r="W159" s="1" t="e">
        <f t="shared" si="156"/>
        <v>#N/A</v>
      </c>
      <c r="X159" s="1" t="e">
        <f t="shared" si="157"/>
        <v>#N/A</v>
      </c>
      <c r="Y159" s="1" t="e">
        <f t="shared" si="158"/>
        <v>#N/A</v>
      </c>
      <c r="Z159" s="1" t="e">
        <f t="shared" si="159"/>
        <v>#N/A</v>
      </c>
      <c r="AA159" s="1" t="e">
        <f t="shared" si="160"/>
        <v>#N/A</v>
      </c>
      <c r="AB159" s="1" t="e">
        <f t="shared" si="161"/>
        <v>#N/A</v>
      </c>
      <c r="AC159" s="1" t="e">
        <f t="shared" si="162"/>
        <v>#N/A</v>
      </c>
      <c r="AD159" s="1" t="e">
        <f t="shared" si="163"/>
        <v>#N/A</v>
      </c>
      <c r="AE159" s="1" t="e">
        <f t="shared" si="164"/>
        <v>#N/A</v>
      </c>
      <c r="AF159" s="1" t="e">
        <f t="shared" si="165"/>
        <v>#N/A</v>
      </c>
    </row>
    <row r="160" spans="2:32" hidden="1" x14ac:dyDescent="0.25">
      <c r="B160" s="5" t="str">
        <f t="shared" si="135"/>
        <v>X</v>
      </c>
      <c r="C160" s="1" t="e">
        <f t="shared" si="136"/>
        <v>#N/A</v>
      </c>
      <c r="D160" s="1" t="e">
        <f t="shared" si="137"/>
        <v>#N/A</v>
      </c>
      <c r="E160" s="1" t="e">
        <f t="shared" si="138"/>
        <v>#N/A</v>
      </c>
      <c r="F160" s="1" t="e">
        <f t="shared" si="139"/>
        <v>#N/A</v>
      </c>
      <c r="G160" s="1" t="e">
        <f t="shared" si="140"/>
        <v>#N/A</v>
      </c>
      <c r="H160" s="1" t="e">
        <f t="shared" si="141"/>
        <v>#N/A</v>
      </c>
      <c r="I160" s="1" t="e">
        <f t="shared" si="142"/>
        <v>#N/A</v>
      </c>
      <c r="J160" s="1" t="e">
        <f t="shared" si="143"/>
        <v>#N/A</v>
      </c>
      <c r="K160" s="1" t="e">
        <f t="shared" si="144"/>
        <v>#N/A</v>
      </c>
      <c r="L160" s="1" t="e">
        <f t="shared" si="145"/>
        <v>#N/A</v>
      </c>
      <c r="M160" s="1" t="e">
        <f t="shared" si="146"/>
        <v>#N/A</v>
      </c>
      <c r="N160" s="1" t="e">
        <f t="shared" si="147"/>
        <v>#N/A</v>
      </c>
      <c r="O160" s="1" t="e">
        <f t="shared" si="148"/>
        <v>#N/A</v>
      </c>
      <c r="P160" s="1" t="e">
        <f t="shared" si="149"/>
        <v>#N/A</v>
      </c>
      <c r="Q160" s="1" t="e">
        <f t="shared" si="150"/>
        <v>#N/A</v>
      </c>
      <c r="R160" s="1" t="e">
        <f t="shared" si="151"/>
        <v>#N/A</v>
      </c>
      <c r="S160" s="1" t="e">
        <f t="shared" si="152"/>
        <v>#N/A</v>
      </c>
      <c r="T160" s="1" t="e">
        <f t="shared" si="153"/>
        <v>#N/A</v>
      </c>
      <c r="U160" s="1" t="e">
        <f t="shared" si="154"/>
        <v>#N/A</v>
      </c>
      <c r="V160" s="1" t="e">
        <f t="shared" si="155"/>
        <v>#N/A</v>
      </c>
      <c r="W160" s="1" t="e">
        <f t="shared" si="156"/>
        <v>#N/A</v>
      </c>
      <c r="X160" s="1" t="e">
        <f t="shared" si="157"/>
        <v>#N/A</v>
      </c>
      <c r="Y160" s="1" t="e">
        <f t="shared" si="158"/>
        <v>#N/A</v>
      </c>
      <c r="Z160" s="1" t="e">
        <f t="shared" si="159"/>
        <v>#N/A</v>
      </c>
      <c r="AA160" s="1" t="e">
        <f t="shared" si="160"/>
        <v>#N/A</v>
      </c>
      <c r="AB160" s="1" t="e">
        <f t="shared" si="161"/>
        <v>#N/A</v>
      </c>
      <c r="AC160" s="1" t="e">
        <f t="shared" si="162"/>
        <v>#N/A</v>
      </c>
      <c r="AD160" s="1" t="e">
        <f t="shared" si="163"/>
        <v>#N/A</v>
      </c>
      <c r="AE160" s="1" t="e">
        <f t="shared" si="164"/>
        <v>#N/A</v>
      </c>
      <c r="AF160" s="1" t="e">
        <f t="shared" si="165"/>
        <v>#N/A</v>
      </c>
    </row>
    <row r="161" spans="2:32" hidden="1" x14ac:dyDescent="0.25">
      <c r="B161" s="5" t="str">
        <f t="shared" si="135"/>
        <v>X</v>
      </c>
      <c r="C161" s="1" t="e">
        <f t="shared" si="136"/>
        <v>#N/A</v>
      </c>
      <c r="D161" s="1" t="e">
        <f t="shared" si="137"/>
        <v>#N/A</v>
      </c>
      <c r="E161" s="1" t="e">
        <f t="shared" si="138"/>
        <v>#N/A</v>
      </c>
      <c r="F161" s="1" t="e">
        <f t="shared" si="139"/>
        <v>#N/A</v>
      </c>
      <c r="G161" s="1" t="e">
        <f t="shared" si="140"/>
        <v>#N/A</v>
      </c>
      <c r="H161" s="1" t="e">
        <f t="shared" si="141"/>
        <v>#N/A</v>
      </c>
      <c r="I161" s="1" t="e">
        <f t="shared" si="142"/>
        <v>#N/A</v>
      </c>
      <c r="J161" s="1" t="e">
        <f t="shared" si="143"/>
        <v>#N/A</v>
      </c>
      <c r="K161" s="1" t="e">
        <f t="shared" si="144"/>
        <v>#N/A</v>
      </c>
      <c r="L161" s="1" t="e">
        <f t="shared" si="145"/>
        <v>#N/A</v>
      </c>
      <c r="M161" s="1" t="e">
        <f t="shared" si="146"/>
        <v>#N/A</v>
      </c>
      <c r="N161" s="1" t="e">
        <f t="shared" si="147"/>
        <v>#N/A</v>
      </c>
      <c r="O161" s="1" t="e">
        <f t="shared" si="148"/>
        <v>#N/A</v>
      </c>
      <c r="P161" s="1" t="e">
        <f t="shared" si="149"/>
        <v>#N/A</v>
      </c>
      <c r="Q161" s="1" t="e">
        <f t="shared" si="150"/>
        <v>#N/A</v>
      </c>
      <c r="R161" s="1" t="e">
        <f t="shared" si="151"/>
        <v>#N/A</v>
      </c>
      <c r="S161" s="1" t="e">
        <f t="shared" si="152"/>
        <v>#N/A</v>
      </c>
      <c r="T161" s="1" t="e">
        <f t="shared" si="153"/>
        <v>#N/A</v>
      </c>
      <c r="U161" s="1" t="e">
        <f t="shared" si="154"/>
        <v>#N/A</v>
      </c>
      <c r="V161" s="1" t="e">
        <f t="shared" si="155"/>
        <v>#N/A</v>
      </c>
      <c r="W161" s="1" t="e">
        <f t="shared" si="156"/>
        <v>#N/A</v>
      </c>
      <c r="X161" s="1" t="e">
        <f t="shared" si="157"/>
        <v>#N/A</v>
      </c>
      <c r="Y161" s="1" t="e">
        <f t="shared" si="158"/>
        <v>#N/A</v>
      </c>
      <c r="Z161" s="1" t="e">
        <f t="shared" si="159"/>
        <v>#N/A</v>
      </c>
      <c r="AA161" s="1" t="e">
        <f t="shared" si="160"/>
        <v>#N/A</v>
      </c>
      <c r="AB161" s="1" t="e">
        <f t="shared" si="161"/>
        <v>#N/A</v>
      </c>
      <c r="AC161" s="1" t="e">
        <f t="shared" si="162"/>
        <v>#N/A</v>
      </c>
      <c r="AD161" s="1" t="e">
        <f t="shared" si="163"/>
        <v>#N/A</v>
      </c>
      <c r="AE161" s="1" t="e">
        <f t="shared" si="164"/>
        <v>#N/A</v>
      </c>
      <c r="AF161" s="1" t="e">
        <f t="shared" si="165"/>
        <v>#N/A</v>
      </c>
    </row>
    <row r="162" spans="2:32" hidden="1" x14ac:dyDescent="0.25">
      <c r="B162" s="5" t="str">
        <f t="shared" si="135"/>
        <v>X</v>
      </c>
      <c r="C162" s="1" t="e">
        <f t="shared" si="136"/>
        <v>#N/A</v>
      </c>
      <c r="D162" s="1" t="e">
        <f t="shared" si="137"/>
        <v>#N/A</v>
      </c>
      <c r="E162" s="1" t="e">
        <f t="shared" si="138"/>
        <v>#N/A</v>
      </c>
      <c r="F162" s="1" t="e">
        <f t="shared" si="139"/>
        <v>#N/A</v>
      </c>
      <c r="G162" s="1" t="e">
        <f t="shared" si="140"/>
        <v>#N/A</v>
      </c>
      <c r="H162" s="1" t="e">
        <f t="shared" si="141"/>
        <v>#N/A</v>
      </c>
      <c r="I162" s="1" t="e">
        <f t="shared" si="142"/>
        <v>#N/A</v>
      </c>
      <c r="J162" s="1" t="e">
        <f t="shared" si="143"/>
        <v>#N/A</v>
      </c>
      <c r="K162" s="1" t="e">
        <f t="shared" si="144"/>
        <v>#N/A</v>
      </c>
      <c r="L162" s="1" t="e">
        <f t="shared" si="145"/>
        <v>#N/A</v>
      </c>
      <c r="M162" s="1" t="e">
        <f t="shared" si="146"/>
        <v>#N/A</v>
      </c>
      <c r="N162" s="1" t="e">
        <f t="shared" si="147"/>
        <v>#N/A</v>
      </c>
      <c r="O162" s="1" t="e">
        <f t="shared" si="148"/>
        <v>#N/A</v>
      </c>
      <c r="P162" s="1" t="e">
        <f t="shared" si="149"/>
        <v>#N/A</v>
      </c>
      <c r="Q162" s="1" t="e">
        <f t="shared" si="150"/>
        <v>#N/A</v>
      </c>
      <c r="R162" s="1" t="e">
        <f t="shared" si="151"/>
        <v>#N/A</v>
      </c>
      <c r="S162" s="1" t="e">
        <f t="shared" si="152"/>
        <v>#N/A</v>
      </c>
      <c r="T162" s="1" t="e">
        <f t="shared" si="153"/>
        <v>#N/A</v>
      </c>
      <c r="U162" s="1" t="e">
        <f t="shared" si="154"/>
        <v>#N/A</v>
      </c>
      <c r="V162" s="1" t="e">
        <f t="shared" si="155"/>
        <v>#N/A</v>
      </c>
      <c r="W162" s="1" t="e">
        <f t="shared" si="156"/>
        <v>#N/A</v>
      </c>
      <c r="X162" s="1" t="e">
        <f t="shared" si="157"/>
        <v>#N/A</v>
      </c>
      <c r="Y162" s="1" t="e">
        <f t="shared" si="158"/>
        <v>#N/A</v>
      </c>
      <c r="Z162" s="1" t="e">
        <f t="shared" si="159"/>
        <v>#N/A</v>
      </c>
      <c r="AA162" s="1" t="e">
        <f t="shared" si="160"/>
        <v>#N/A</v>
      </c>
      <c r="AB162" s="1" t="e">
        <f t="shared" si="161"/>
        <v>#N/A</v>
      </c>
      <c r="AC162" s="1" t="e">
        <f t="shared" si="162"/>
        <v>#N/A</v>
      </c>
      <c r="AD162" s="1" t="e">
        <f t="shared" si="163"/>
        <v>#N/A</v>
      </c>
      <c r="AE162" s="1" t="e">
        <f t="shared" si="164"/>
        <v>#N/A</v>
      </c>
      <c r="AF162" s="1" t="e">
        <f t="shared" si="165"/>
        <v>#N/A</v>
      </c>
    </row>
    <row r="163" spans="2:32" hidden="1" x14ac:dyDescent="0.25">
      <c r="B163" s="5" t="str">
        <f t="shared" si="135"/>
        <v>X</v>
      </c>
      <c r="C163" s="1" t="e">
        <f t="shared" si="136"/>
        <v>#N/A</v>
      </c>
      <c r="D163" s="1" t="e">
        <f t="shared" si="137"/>
        <v>#N/A</v>
      </c>
      <c r="E163" s="1" t="e">
        <f t="shared" si="138"/>
        <v>#N/A</v>
      </c>
      <c r="F163" s="1" t="e">
        <f t="shared" si="139"/>
        <v>#N/A</v>
      </c>
      <c r="G163" s="1" t="e">
        <f t="shared" si="140"/>
        <v>#N/A</v>
      </c>
      <c r="H163" s="1" t="e">
        <f t="shared" si="141"/>
        <v>#N/A</v>
      </c>
      <c r="I163" s="1" t="e">
        <f t="shared" si="142"/>
        <v>#N/A</v>
      </c>
      <c r="J163" s="1" t="e">
        <f t="shared" si="143"/>
        <v>#N/A</v>
      </c>
      <c r="K163" s="1" t="e">
        <f t="shared" si="144"/>
        <v>#N/A</v>
      </c>
      <c r="L163" s="1" t="e">
        <f t="shared" si="145"/>
        <v>#N/A</v>
      </c>
      <c r="M163" s="1" t="e">
        <f t="shared" si="146"/>
        <v>#N/A</v>
      </c>
      <c r="N163" s="1" t="e">
        <f t="shared" si="147"/>
        <v>#N/A</v>
      </c>
      <c r="O163" s="1" t="e">
        <f t="shared" si="148"/>
        <v>#N/A</v>
      </c>
      <c r="P163" s="1" t="e">
        <f t="shared" si="149"/>
        <v>#N/A</v>
      </c>
      <c r="Q163" s="1" t="e">
        <f t="shared" si="150"/>
        <v>#N/A</v>
      </c>
      <c r="R163" s="1" t="e">
        <f t="shared" si="151"/>
        <v>#N/A</v>
      </c>
      <c r="S163" s="1" t="e">
        <f t="shared" si="152"/>
        <v>#N/A</v>
      </c>
      <c r="T163" s="1" t="e">
        <f t="shared" si="153"/>
        <v>#N/A</v>
      </c>
      <c r="U163" s="1" t="e">
        <f t="shared" si="154"/>
        <v>#N/A</v>
      </c>
      <c r="V163" s="1" t="e">
        <f t="shared" si="155"/>
        <v>#N/A</v>
      </c>
      <c r="W163" s="1" t="e">
        <f t="shared" si="156"/>
        <v>#N/A</v>
      </c>
      <c r="X163" s="1" t="e">
        <f t="shared" si="157"/>
        <v>#N/A</v>
      </c>
      <c r="Y163" s="1" t="e">
        <f t="shared" si="158"/>
        <v>#N/A</v>
      </c>
      <c r="Z163" s="1" t="e">
        <f t="shared" si="159"/>
        <v>#N/A</v>
      </c>
      <c r="AA163" s="1" t="e">
        <f t="shared" si="160"/>
        <v>#N/A</v>
      </c>
      <c r="AB163" s="1" t="e">
        <f t="shared" si="161"/>
        <v>#N/A</v>
      </c>
      <c r="AC163" s="1" t="e">
        <f t="shared" si="162"/>
        <v>#N/A</v>
      </c>
      <c r="AD163" s="1" t="e">
        <f t="shared" si="163"/>
        <v>#N/A</v>
      </c>
      <c r="AE163" s="1" t="e">
        <f t="shared" si="164"/>
        <v>#N/A</v>
      </c>
      <c r="AF163" s="1" t="e">
        <f t="shared" si="165"/>
        <v>#N/A</v>
      </c>
    </row>
    <row r="164" spans="2:32" hidden="1" x14ac:dyDescent="0.25">
      <c r="B164" s="5" t="str">
        <f t="shared" si="135"/>
        <v>X</v>
      </c>
      <c r="C164" s="1" t="e">
        <f t="shared" si="136"/>
        <v>#N/A</v>
      </c>
      <c r="D164" s="1" t="e">
        <f t="shared" si="137"/>
        <v>#N/A</v>
      </c>
      <c r="E164" s="1" t="e">
        <f t="shared" si="138"/>
        <v>#N/A</v>
      </c>
      <c r="F164" s="1" t="e">
        <f t="shared" si="139"/>
        <v>#N/A</v>
      </c>
      <c r="G164" s="1" t="e">
        <f t="shared" si="140"/>
        <v>#N/A</v>
      </c>
      <c r="H164" s="1" t="e">
        <f t="shared" si="141"/>
        <v>#N/A</v>
      </c>
      <c r="I164" s="1" t="e">
        <f t="shared" si="142"/>
        <v>#N/A</v>
      </c>
      <c r="J164" s="1" t="e">
        <f t="shared" si="143"/>
        <v>#N/A</v>
      </c>
      <c r="K164" s="1" t="e">
        <f t="shared" si="144"/>
        <v>#N/A</v>
      </c>
      <c r="L164" s="1" t="e">
        <f t="shared" si="145"/>
        <v>#N/A</v>
      </c>
      <c r="M164" s="1" t="e">
        <f t="shared" si="146"/>
        <v>#N/A</v>
      </c>
      <c r="N164" s="1" t="e">
        <f t="shared" si="147"/>
        <v>#N/A</v>
      </c>
      <c r="O164" s="1" t="e">
        <f t="shared" si="148"/>
        <v>#N/A</v>
      </c>
      <c r="P164" s="1" t="e">
        <f t="shared" si="149"/>
        <v>#N/A</v>
      </c>
      <c r="Q164" s="1" t="e">
        <f t="shared" si="150"/>
        <v>#N/A</v>
      </c>
      <c r="R164" s="1" t="e">
        <f t="shared" si="151"/>
        <v>#N/A</v>
      </c>
      <c r="S164" s="1" t="e">
        <f t="shared" si="152"/>
        <v>#N/A</v>
      </c>
      <c r="T164" s="1" t="e">
        <f t="shared" si="153"/>
        <v>#N/A</v>
      </c>
      <c r="U164" s="1" t="e">
        <f t="shared" si="154"/>
        <v>#N/A</v>
      </c>
      <c r="V164" s="1" t="e">
        <f t="shared" si="155"/>
        <v>#N/A</v>
      </c>
      <c r="W164" s="1" t="e">
        <f t="shared" si="156"/>
        <v>#N/A</v>
      </c>
      <c r="X164" s="1" t="e">
        <f t="shared" si="157"/>
        <v>#N/A</v>
      </c>
      <c r="Y164" s="1" t="e">
        <f t="shared" si="158"/>
        <v>#N/A</v>
      </c>
      <c r="Z164" s="1" t="e">
        <f t="shared" si="159"/>
        <v>#N/A</v>
      </c>
      <c r="AA164" s="1" t="e">
        <f t="shared" si="160"/>
        <v>#N/A</v>
      </c>
      <c r="AB164" s="1" t="e">
        <f t="shared" si="161"/>
        <v>#N/A</v>
      </c>
      <c r="AC164" s="1" t="e">
        <f t="shared" si="162"/>
        <v>#N/A</v>
      </c>
      <c r="AD164" s="1" t="e">
        <f t="shared" si="163"/>
        <v>#N/A</v>
      </c>
      <c r="AE164" s="1" t="e">
        <f t="shared" si="164"/>
        <v>#N/A</v>
      </c>
      <c r="AF164" s="1" t="e">
        <f t="shared" si="165"/>
        <v>#N/A</v>
      </c>
    </row>
    <row r="165" spans="2:32" hidden="1" x14ac:dyDescent="0.25">
      <c r="B165" s="5" t="str">
        <f t="shared" si="135"/>
        <v>X</v>
      </c>
      <c r="C165" s="1" t="e">
        <f t="shared" si="136"/>
        <v>#N/A</v>
      </c>
      <c r="D165" s="1" t="e">
        <f t="shared" si="137"/>
        <v>#N/A</v>
      </c>
      <c r="E165" s="1" t="e">
        <f t="shared" si="138"/>
        <v>#N/A</v>
      </c>
      <c r="F165" s="1" t="e">
        <f t="shared" si="139"/>
        <v>#N/A</v>
      </c>
      <c r="G165" s="1" t="e">
        <f t="shared" si="140"/>
        <v>#N/A</v>
      </c>
      <c r="H165" s="1" t="e">
        <f t="shared" si="141"/>
        <v>#N/A</v>
      </c>
      <c r="I165" s="1" t="e">
        <f t="shared" si="142"/>
        <v>#N/A</v>
      </c>
      <c r="J165" s="1" t="e">
        <f t="shared" si="143"/>
        <v>#N/A</v>
      </c>
      <c r="K165" s="1" t="e">
        <f t="shared" si="144"/>
        <v>#N/A</v>
      </c>
      <c r="L165" s="1" t="e">
        <f t="shared" si="145"/>
        <v>#N/A</v>
      </c>
      <c r="M165" s="1" t="e">
        <f t="shared" si="146"/>
        <v>#N/A</v>
      </c>
      <c r="N165" s="1" t="e">
        <f t="shared" si="147"/>
        <v>#N/A</v>
      </c>
      <c r="O165" s="1" t="e">
        <f t="shared" si="148"/>
        <v>#N/A</v>
      </c>
      <c r="P165" s="1" t="e">
        <f t="shared" si="149"/>
        <v>#N/A</v>
      </c>
      <c r="Q165" s="1" t="e">
        <f t="shared" si="150"/>
        <v>#N/A</v>
      </c>
      <c r="R165" s="1" t="e">
        <f t="shared" si="151"/>
        <v>#N/A</v>
      </c>
      <c r="S165" s="1" t="e">
        <f t="shared" si="152"/>
        <v>#N/A</v>
      </c>
      <c r="T165" s="1" t="e">
        <f t="shared" si="153"/>
        <v>#N/A</v>
      </c>
      <c r="U165" s="1" t="e">
        <f t="shared" si="154"/>
        <v>#N/A</v>
      </c>
      <c r="V165" s="1" t="e">
        <f t="shared" si="155"/>
        <v>#N/A</v>
      </c>
      <c r="W165" s="1" t="e">
        <f t="shared" si="156"/>
        <v>#N/A</v>
      </c>
      <c r="X165" s="1" t="e">
        <f t="shared" si="157"/>
        <v>#N/A</v>
      </c>
      <c r="Y165" s="1" t="e">
        <f t="shared" si="158"/>
        <v>#N/A</v>
      </c>
      <c r="Z165" s="1" t="e">
        <f t="shared" si="159"/>
        <v>#N/A</v>
      </c>
      <c r="AA165" s="1" t="e">
        <f t="shared" si="160"/>
        <v>#N/A</v>
      </c>
      <c r="AB165" s="1" t="e">
        <f t="shared" si="161"/>
        <v>#N/A</v>
      </c>
      <c r="AC165" s="1" t="e">
        <f t="shared" si="162"/>
        <v>#N/A</v>
      </c>
      <c r="AD165" s="1" t="e">
        <f t="shared" si="163"/>
        <v>#N/A</v>
      </c>
      <c r="AE165" s="1" t="e">
        <f t="shared" si="164"/>
        <v>#N/A</v>
      </c>
      <c r="AF165" s="1" t="e">
        <f t="shared" si="165"/>
        <v>#N/A</v>
      </c>
    </row>
    <row r="166" spans="2:32" hidden="1" x14ac:dyDescent="0.25">
      <c r="B166" s="5" t="str">
        <f t="shared" si="135"/>
        <v>X</v>
      </c>
      <c r="C166" s="1" t="e">
        <f t="shared" si="136"/>
        <v>#N/A</v>
      </c>
      <c r="D166" s="1" t="e">
        <f t="shared" si="137"/>
        <v>#N/A</v>
      </c>
      <c r="E166" s="1" t="e">
        <f t="shared" si="138"/>
        <v>#N/A</v>
      </c>
      <c r="F166" s="1" t="e">
        <f t="shared" si="139"/>
        <v>#N/A</v>
      </c>
      <c r="G166" s="1" t="e">
        <f t="shared" si="140"/>
        <v>#N/A</v>
      </c>
      <c r="H166" s="1" t="e">
        <f t="shared" si="141"/>
        <v>#N/A</v>
      </c>
      <c r="I166" s="1" t="e">
        <f t="shared" si="142"/>
        <v>#N/A</v>
      </c>
      <c r="J166" s="1" t="e">
        <f t="shared" si="143"/>
        <v>#N/A</v>
      </c>
      <c r="K166" s="1" t="e">
        <f t="shared" si="144"/>
        <v>#N/A</v>
      </c>
      <c r="L166" s="1" t="e">
        <f t="shared" si="145"/>
        <v>#N/A</v>
      </c>
      <c r="M166" s="1" t="e">
        <f t="shared" si="146"/>
        <v>#N/A</v>
      </c>
      <c r="N166" s="1" t="e">
        <f t="shared" si="147"/>
        <v>#N/A</v>
      </c>
      <c r="O166" s="1" t="e">
        <f t="shared" si="148"/>
        <v>#N/A</v>
      </c>
      <c r="P166" s="1" t="e">
        <f t="shared" si="149"/>
        <v>#N/A</v>
      </c>
      <c r="Q166" s="1" t="e">
        <f t="shared" si="150"/>
        <v>#N/A</v>
      </c>
      <c r="R166" s="1" t="e">
        <f t="shared" si="151"/>
        <v>#N/A</v>
      </c>
      <c r="S166" s="1" t="e">
        <f t="shared" si="152"/>
        <v>#N/A</v>
      </c>
      <c r="T166" s="1" t="e">
        <f t="shared" si="153"/>
        <v>#N/A</v>
      </c>
      <c r="U166" s="1" t="e">
        <f t="shared" si="154"/>
        <v>#N/A</v>
      </c>
      <c r="V166" s="1" t="e">
        <f t="shared" si="155"/>
        <v>#N/A</v>
      </c>
      <c r="W166" s="1" t="e">
        <f t="shared" si="156"/>
        <v>#N/A</v>
      </c>
      <c r="X166" s="1" t="e">
        <f t="shared" si="157"/>
        <v>#N/A</v>
      </c>
      <c r="Y166" s="1" t="e">
        <f t="shared" si="158"/>
        <v>#N/A</v>
      </c>
      <c r="Z166" s="1" t="e">
        <f t="shared" si="159"/>
        <v>#N/A</v>
      </c>
      <c r="AA166" s="1" t="e">
        <f t="shared" si="160"/>
        <v>#N/A</v>
      </c>
      <c r="AB166" s="1" t="e">
        <f t="shared" si="161"/>
        <v>#N/A</v>
      </c>
      <c r="AC166" s="1" t="e">
        <f t="shared" si="162"/>
        <v>#N/A</v>
      </c>
      <c r="AD166" s="1" t="e">
        <f t="shared" si="163"/>
        <v>#N/A</v>
      </c>
      <c r="AE166" s="1" t="e">
        <f t="shared" si="164"/>
        <v>#N/A</v>
      </c>
      <c r="AF166" s="1" t="e">
        <f t="shared" si="165"/>
        <v>#N/A</v>
      </c>
    </row>
    <row r="167" spans="2:32" hidden="1" x14ac:dyDescent="0.25">
      <c r="B167" s="5" t="str">
        <f t="shared" si="135"/>
        <v>X</v>
      </c>
      <c r="C167" s="1" t="e">
        <f t="shared" si="136"/>
        <v>#N/A</v>
      </c>
      <c r="D167" s="1" t="e">
        <f t="shared" si="137"/>
        <v>#N/A</v>
      </c>
      <c r="E167" s="1" t="e">
        <f t="shared" si="138"/>
        <v>#N/A</v>
      </c>
      <c r="F167" s="1" t="e">
        <f t="shared" si="139"/>
        <v>#N/A</v>
      </c>
      <c r="G167" s="1" t="e">
        <f t="shared" si="140"/>
        <v>#N/A</v>
      </c>
      <c r="H167" s="1" t="e">
        <f t="shared" si="141"/>
        <v>#N/A</v>
      </c>
      <c r="I167" s="1" t="e">
        <f t="shared" si="142"/>
        <v>#N/A</v>
      </c>
      <c r="J167" s="1" t="e">
        <f t="shared" si="143"/>
        <v>#N/A</v>
      </c>
      <c r="K167" s="1" t="e">
        <f t="shared" si="144"/>
        <v>#N/A</v>
      </c>
      <c r="L167" s="1" t="e">
        <f t="shared" si="145"/>
        <v>#N/A</v>
      </c>
      <c r="M167" s="1" t="e">
        <f t="shared" si="146"/>
        <v>#N/A</v>
      </c>
      <c r="N167" s="1" t="e">
        <f t="shared" si="147"/>
        <v>#N/A</v>
      </c>
      <c r="O167" s="1" t="e">
        <f t="shared" si="148"/>
        <v>#N/A</v>
      </c>
      <c r="P167" s="1" t="e">
        <f t="shared" si="149"/>
        <v>#N/A</v>
      </c>
      <c r="Q167" s="1" t="e">
        <f t="shared" si="150"/>
        <v>#N/A</v>
      </c>
      <c r="R167" s="1" t="e">
        <f t="shared" si="151"/>
        <v>#N/A</v>
      </c>
      <c r="S167" s="1" t="e">
        <f t="shared" si="152"/>
        <v>#N/A</v>
      </c>
      <c r="T167" s="1" t="e">
        <f t="shared" si="153"/>
        <v>#N/A</v>
      </c>
      <c r="U167" s="1" t="e">
        <f t="shared" si="154"/>
        <v>#N/A</v>
      </c>
      <c r="V167" s="1" t="e">
        <f t="shared" si="155"/>
        <v>#N/A</v>
      </c>
      <c r="W167" s="1" t="e">
        <f t="shared" si="156"/>
        <v>#N/A</v>
      </c>
      <c r="X167" s="1" t="e">
        <f t="shared" si="157"/>
        <v>#N/A</v>
      </c>
      <c r="Y167" s="1" t="e">
        <f t="shared" si="158"/>
        <v>#N/A</v>
      </c>
      <c r="Z167" s="1" t="e">
        <f t="shared" si="159"/>
        <v>#N/A</v>
      </c>
      <c r="AA167" s="1" t="e">
        <f t="shared" si="160"/>
        <v>#N/A</v>
      </c>
      <c r="AB167" s="1" t="e">
        <f t="shared" si="161"/>
        <v>#N/A</v>
      </c>
      <c r="AC167" s="1" t="e">
        <f t="shared" si="162"/>
        <v>#N/A</v>
      </c>
      <c r="AD167" s="1" t="e">
        <f t="shared" si="163"/>
        <v>#N/A</v>
      </c>
      <c r="AE167" s="1" t="e">
        <f t="shared" si="164"/>
        <v>#N/A</v>
      </c>
      <c r="AF167" s="1" t="e">
        <f t="shared" si="165"/>
        <v>#N/A</v>
      </c>
    </row>
  </sheetData>
  <phoneticPr fontId="5" type="noConversion"/>
  <conditionalFormatting sqref="AH6:BK35">
    <cfRule type="cellIs" dxfId="11" priority="5" operator="between">
      <formula>-0.1</formula>
      <formula>0.1</formula>
    </cfRule>
  </conditionalFormatting>
  <conditionalFormatting sqref="AH39:BK68">
    <cfRule type="cellIs" dxfId="10" priority="4" operator="between">
      <formula>-0.1</formula>
      <formula>0.1</formula>
    </cfRule>
  </conditionalFormatting>
  <conditionalFormatting sqref="AH72:BK101">
    <cfRule type="cellIs" dxfId="9" priority="3" operator="between">
      <formula>-0.1</formula>
      <formula>0.1</formula>
    </cfRule>
  </conditionalFormatting>
  <conditionalFormatting sqref="F7">
    <cfRule type="cellIs" dxfId="8" priority="1" operator="between">
      <formula>-0.1</formula>
      <formula>0.1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to">
                <anchor moveWithCells="1" sizeWithCells="1">
                  <from>
                    <xdr:col>4</xdr:col>
                    <xdr:colOff>19050</xdr:colOff>
                    <xdr:row>12</xdr:row>
                    <xdr:rowOff>9525</xdr:rowOff>
                  </from>
                  <to>
                    <xdr:col>4</xdr:col>
                    <xdr:colOff>809625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nuale">
                <anchor moveWithCells="1" sizeWithCells="1">
                  <from>
                    <xdr:col>4</xdr:col>
                    <xdr:colOff>19050</xdr:colOff>
                    <xdr:row>14</xdr:row>
                    <xdr:rowOff>19050</xdr:rowOff>
                  </from>
                  <to>
                    <xdr:col>4</xdr:col>
                    <xdr:colOff>809625</xdr:colOff>
                    <xdr:row>15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F14B8-B6DA-4E7B-BC39-310E5D4528C8}">
  <sheetPr codeName="Foglio4"/>
  <dimension ref="B2:BK167"/>
  <sheetViews>
    <sheetView zoomScaleNormal="100" workbookViewId="0">
      <selection activeCell="D8" sqref="D8"/>
    </sheetView>
  </sheetViews>
  <sheetFormatPr defaultRowHeight="15" x14ac:dyDescent="0.25"/>
  <cols>
    <col min="1" max="1" width="2.5703125" customWidth="1"/>
    <col min="3" max="3" width="10" bestFit="1" customWidth="1"/>
    <col min="4" max="4" width="12.42578125" bestFit="1" customWidth="1"/>
    <col min="5" max="5" width="12.42578125" customWidth="1"/>
    <col min="6" max="6" width="20" bestFit="1" customWidth="1"/>
    <col min="7" max="7" width="12.42578125" customWidth="1"/>
    <col min="8" max="8" width="2.5703125" customWidth="1"/>
    <col min="9" max="9" width="15.28515625" hidden="1" customWidth="1"/>
    <col min="10" max="10" width="8" hidden="1" customWidth="1"/>
    <col min="11" max="11" width="11.140625" hidden="1" customWidth="1"/>
    <col min="12" max="12" width="11.7109375" hidden="1" customWidth="1"/>
    <col min="13" max="13" width="11.140625" hidden="1" customWidth="1"/>
    <col min="14" max="14" width="9.140625" hidden="1" customWidth="1"/>
    <col min="15" max="15" width="11.140625" hidden="1" customWidth="1"/>
    <col min="16" max="16" width="13.85546875" hidden="1" customWidth="1"/>
    <col min="17" max="17" width="11.85546875" customWidth="1"/>
    <col min="18" max="21" width="11.7109375" bestFit="1" customWidth="1"/>
    <col min="22" max="22" width="12.140625" bestFit="1" customWidth="1"/>
    <col min="23" max="23" width="11.7109375" bestFit="1" customWidth="1"/>
    <col min="24" max="31" width="12.140625" bestFit="1" customWidth="1"/>
    <col min="32" max="32" width="2.5703125" customWidth="1"/>
    <col min="34" max="63" width="10.5703125" customWidth="1"/>
  </cols>
  <sheetData>
    <row r="2" spans="2:63" ht="46.5" x14ac:dyDescent="0.7">
      <c r="B2" s="31" t="s">
        <v>7</v>
      </c>
    </row>
    <row r="3" spans="2:63" ht="18" x14ac:dyDescent="0.35">
      <c r="I3" s="7" t="s">
        <v>8</v>
      </c>
      <c r="J3">
        <f>$C$5*(1+$C$9)</f>
        <v>1336.5</v>
      </c>
      <c r="K3">
        <f>$C$5*(1+$C$9)</f>
        <v>1336.5</v>
      </c>
    </row>
    <row r="4" spans="2:63" ht="18" x14ac:dyDescent="0.35">
      <c r="B4" s="4" t="s">
        <v>9</v>
      </c>
      <c r="F4" s="40" t="s">
        <v>10</v>
      </c>
      <c r="I4" s="7" t="s">
        <v>11</v>
      </c>
      <c r="J4">
        <f>$C$5</f>
        <v>1485</v>
      </c>
      <c r="K4">
        <f>$C$5</f>
        <v>1485</v>
      </c>
      <c r="AG4" s="21" t="s">
        <v>12</v>
      </c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3"/>
    </row>
    <row r="5" spans="2:63" ht="18" x14ac:dyDescent="0.35">
      <c r="B5" s="5" t="s">
        <v>11</v>
      </c>
      <c r="C5" s="38">
        <v>1485</v>
      </c>
      <c r="F5" s="38" t="s">
        <v>13</v>
      </c>
      <c r="I5" s="7" t="s">
        <v>14</v>
      </c>
      <c r="J5">
        <f>$C$5*(1+$C$10)</f>
        <v>1633.5000000000002</v>
      </c>
      <c r="K5">
        <f>$C$5*(1+$C$10)</f>
        <v>1633.5000000000002</v>
      </c>
      <c r="AG5" s="20"/>
      <c r="AH5" s="27" t="str">
        <f>$B$19</f>
        <v>fn_1</v>
      </c>
      <c r="AI5" s="27" t="str">
        <f>$B$20</f>
        <v>fn_2</v>
      </c>
      <c r="AJ5" s="27" t="str">
        <f>$B$21</f>
        <v>fn_3</v>
      </c>
      <c r="AK5" s="27" t="str">
        <f>$B$22</f>
        <v>fn_4</v>
      </c>
      <c r="AL5" s="27" t="str">
        <f>$B$23</f>
        <v>fn_5</v>
      </c>
      <c r="AM5" s="27" t="str">
        <f>$B$24</f>
        <v>fn_6</v>
      </c>
      <c r="AN5" s="27" t="str">
        <f>$B$25</f>
        <v>fn_7</v>
      </c>
      <c r="AO5" s="27" t="str">
        <f>$B$26</f>
        <v>fn_8</v>
      </c>
      <c r="AP5" s="27" t="str">
        <f>$B$27</f>
        <v>fn_9</v>
      </c>
      <c r="AQ5" s="27" t="str">
        <f>$B$28</f>
        <v>fn_10</v>
      </c>
      <c r="AR5" s="27" t="str">
        <f>$B$29</f>
        <v>fn_11</v>
      </c>
      <c r="AS5" s="27" t="str">
        <f>$B$30</f>
        <v>fn_12</v>
      </c>
      <c r="AT5" s="27" t="str">
        <f>$B$31</f>
        <v>fn_13</v>
      </c>
      <c r="AU5" s="27" t="str">
        <f>$B$32</f>
        <v>fn_14</v>
      </c>
      <c r="AV5" s="27" t="str">
        <f>$B$33</f>
        <v>fn_15</v>
      </c>
      <c r="AW5" s="27" t="str">
        <f>$B$34</f>
        <v>fn_16</v>
      </c>
      <c r="AX5" s="27" t="str">
        <f>$B$35</f>
        <v>fn_17</v>
      </c>
      <c r="AY5" s="27" t="str">
        <f>$B$36</f>
        <v>fn_18</v>
      </c>
      <c r="AZ5" s="27" t="str">
        <f>$B$37</f>
        <v>fn_19</v>
      </c>
      <c r="BA5" s="27" t="str">
        <f>$B$38</f>
        <v>fn_20</v>
      </c>
      <c r="BB5" s="27" t="str">
        <f>$B$39</f>
        <v>fn_21</v>
      </c>
      <c r="BC5" s="27" t="str">
        <f>$B$40</f>
        <v>fn_22</v>
      </c>
      <c r="BD5" s="27" t="str">
        <f>$B$41</f>
        <v>fn_23</v>
      </c>
      <c r="BE5" s="27" t="str">
        <f>$B$42</f>
        <v>fn_24</v>
      </c>
      <c r="BF5" s="27" t="str">
        <f>$B$43</f>
        <v>fn_25</v>
      </c>
      <c r="BG5" s="27" t="str">
        <f>$B$44</f>
        <v>fn_26</v>
      </c>
      <c r="BH5" s="27" t="str">
        <f>$B$45</f>
        <v>fn_27</v>
      </c>
      <c r="BI5" s="27" t="str">
        <f>$B$46</f>
        <v>fn_28</v>
      </c>
      <c r="BJ5" s="27" t="str">
        <f>$B$47</f>
        <v>fn_29</v>
      </c>
      <c r="BK5" s="27" t="str">
        <f>$B$48</f>
        <v>fn_30</v>
      </c>
    </row>
    <row r="6" spans="2:63" ht="18" x14ac:dyDescent="0.35">
      <c r="B6" s="5" t="s">
        <v>15</v>
      </c>
      <c r="C6" s="32">
        <f>C5</f>
        <v>1485</v>
      </c>
      <c r="F6" s="42" t="s">
        <v>16</v>
      </c>
      <c r="I6" s="7" t="s">
        <v>17</v>
      </c>
      <c r="J6">
        <f>$C$6*(1+$C$9)</f>
        <v>1336.5</v>
      </c>
      <c r="K6">
        <f>$C$6*(1+$C$9)</f>
        <v>1336.5</v>
      </c>
      <c r="AG6" s="24" t="str">
        <f>$M19</f>
        <v>1X</v>
      </c>
      <c r="AH6" s="28">
        <f t="shared" ref="AH6:AW21" si="0">(C138-$C$5)/$C$5</f>
        <v>1.4242424242424243</v>
      </c>
      <c r="AI6" s="28">
        <f t="shared" si="0"/>
        <v>2.3670033670033672</v>
      </c>
      <c r="AJ6" s="28" t="e">
        <f t="shared" si="0"/>
        <v>#N/A</v>
      </c>
      <c r="AK6" s="28" t="e">
        <f t="shared" si="0"/>
        <v>#N/A</v>
      </c>
      <c r="AL6" s="28" t="e">
        <f t="shared" si="0"/>
        <v>#N/A</v>
      </c>
      <c r="AM6" s="28" t="e">
        <f t="shared" si="0"/>
        <v>#N/A</v>
      </c>
      <c r="AN6" s="28" t="e">
        <f t="shared" si="0"/>
        <v>#N/A</v>
      </c>
      <c r="AO6" s="28" t="e">
        <f t="shared" si="0"/>
        <v>#N/A</v>
      </c>
      <c r="AP6" s="28" t="e">
        <f t="shared" si="0"/>
        <v>#N/A</v>
      </c>
      <c r="AQ6" s="28" t="e">
        <f t="shared" si="0"/>
        <v>#N/A</v>
      </c>
      <c r="AR6" s="28" t="e">
        <f t="shared" si="0"/>
        <v>#N/A</v>
      </c>
      <c r="AS6" s="28" t="e">
        <f t="shared" si="0"/>
        <v>#N/A</v>
      </c>
      <c r="AT6" s="28" t="e">
        <f t="shared" si="0"/>
        <v>#N/A</v>
      </c>
      <c r="AU6" s="28" t="e">
        <f t="shared" si="0"/>
        <v>#N/A</v>
      </c>
      <c r="AV6" s="28" t="e">
        <f t="shared" si="0"/>
        <v>#N/A</v>
      </c>
      <c r="AW6" s="28" t="e">
        <f t="shared" si="0"/>
        <v>#N/A</v>
      </c>
      <c r="AX6" s="28" t="e">
        <f t="shared" ref="AX6:BK24" si="1">(S138-$C$5)/$C$5</f>
        <v>#N/A</v>
      </c>
      <c r="AY6" s="28" t="e">
        <f t="shared" si="1"/>
        <v>#N/A</v>
      </c>
      <c r="AZ6" s="28" t="e">
        <f t="shared" si="1"/>
        <v>#N/A</v>
      </c>
      <c r="BA6" s="28" t="e">
        <f t="shared" si="1"/>
        <v>#N/A</v>
      </c>
      <c r="BB6" s="28" t="e">
        <f t="shared" si="1"/>
        <v>#N/A</v>
      </c>
      <c r="BC6" s="28" t="e">
        <f t="shared" si="1"/>
        <v>#N/A</v>
      </c>
      <c r="BD6" s="28" t="e">
        <f t="shared" si="1"/>
        <v>#N/A</v>
      </c>
      <c r="BE6" s="28" t="e">
        <f t="shared" si="1"/>
        <v>#N/A</v>
      </c>
      <c r="BF6" s="28" t="e">
        <f t="shared" si="1"/>
        <v>#N/A</v>
      </c>
      <c r="BG6" s="28" t="e">
        <f t="shared" si="1"/>
        <v>#N/A</v>
      </c>
      <c r="BH6" s="28" t="e">
        <f t="shared" si="1"/>
        <v>#N/A</v>
      </c>
      <c r="BI6" s="28" t="e">
        <f t="shared" si="1"/>
        <v>#N/A</v>
      </c>
      <c r="BJ6" s="28" t="e">
        <f t="shared" si="1"/>
        <v>#N/A</v>
      </c>
      <c r="BK6" s="28" t="e">
        <f t="shared" si="1"/>
        <v>#N/A</v>
      </c>
    </row>
    <row r="7" spans="2:63" ht="18" x14ac:dyDescent="0.35">
      <c r="C7" s="1"/>
      <c r="F7" s="41" t="s">
        <v>18</v>
      </c>
      <c r="I7" s="7" t="s">
        <v>15</v>
      </c>
      <c r="J7">
        <f>$C$6</f>
        <v>1485</v>
      </c>
      <c r="K7">
        <f>$C$6</f>
        <v>1485</v>
      </c>
      <c r="AG7" s="25" t="str">
        <f t="shared" ref="AG7:AG35" si="2">$M20</f>
        <v>2X</v>
      </c>
      <c r="AH7" s="29">
        <f t="shared" si="0"/>
        <v>0.21212121212121213</v>
      </c>
      <c r="AI7" s="29">
        <f t="shared" si="0"/>
        <v>0.6835016835016835</v>
      </c>
      <c r="AJ7" s="29">
        <f t="shared" si="0"/>
        <v>1.861952861952862</v>
      </c>
      <c r="AK7" s="29" t="e">
        <f t="shared" si="0"/>
        <v>#N/A</v>
      </c>
      <c r="AL7" s="29" t="e">
        <f t="shared" si="0"/>
        <v>#N/A</v>
      </c>
      <c r="AM7" s="29" t="e">
        <f t="shared" si="0"/>
        <v>#N/A</v>
      </c>
      <c r="AN7" s="29" t="e">
        <f t="shared" si="0"/>
        <v>#N/A</v>
      </c>
      <c r="AO7" s="29" t="e">
        <f t="shared" si="0"/>
        <v>#N/A</v>
      </c>
      <c r="AP7" s="29" t="e">
        <f t="shared" si="0"/>
        <v>#N/A</v>
      </c>
      <c r="AQ7" s="29" t="e">
        <f t="shared" si="0"/>
        <v>#N/A</v>
      </c>
      <c r="AR7" s="29" t="e">
        <f t="shared" si="0"/>
        <v>#N/A</v>
      </c>
      <c r="AS7" s="29" t="e">
        <f t="shared" si="0"/>
        <v>#N/A</v>
      </c>
      <c r="AT7" s="29" t="e">
        <f t="shared" si="0"/>
        <v>#N/A</v>
      </c>
      <c r="AU7" s="29" t="e">
        <f t="shared" si="0"/>
        <v>#N/A</v>
      </c>
      <c r="AV7" s="29" t="e">
        <f t="shared" si="0"/>
        <v>#N/A</v>
      </c>
      <c r="AW7" s="29" t="e">
        <f t="shared" si="0"/>
        <v>#N/A</v>
      </c>
      <c r="AX7" s="29" t="e">
        <f t="shared" si="1"/>
        <v>#N/A</v>
      </c>
      <c r="AY7" s="29" t="e">
        <f t="shared" si="1"/>
        <v>#N/A</v>
      </c>
      <c r="AZ7" s="29" t="e">
        <f t="shared" si="1"/>
        <v>#N/A</v>
      </c>
      <c r="BA7" s="29" t="e">
        <f t="shared" si="1"/>
        <v>#N/A</v>
      </c>
      <c r="BB7" s="29" t="e">
        <f t="shared" si="1"/>
        <v>#N/A</v>
      </c>
      <c r="BC7" s="29" t="e">
        <f t="shared" si="1"/>
        <v>#N/A</v>
      </c>
      <c r="BD7" s="29" t="e">
        <f t="shared" si="1"/>
        <v>#N/A</v>
      </c>
      <c r="BE7" s="29" t="e">
        <f t="shared" si="1"/>
        <v>#N/A</v>
      </c>
      <c r="BF7" s="29" t="e">
        <f t="shared" si="1"/>
        <v>#N/A</v>
      </c>
      <c r="BG7" s="29" t="e">
        <f t="shared" si="1"/>
        <v>#N/A</v>
      </c>
      <c r="BH7" s="29" t="e">
        <f t="shared" si="1"/>
        <v>#N/A</v>
      </c>
      <c r="BI7" s="29" t="e">
        <f t="shared" si="1"/>
        <v>#N/A</v>
      </c>
      <c r="BJ7" s="29" t="e">
        <f t="shared" si="1"/>
        <v>#N/A</v>
      </c>
      <c r="BK7" s="29" t="e">
        <f t="shared" si="1"/>
        <v>#N/A</v>
      </c>
    </row>
    <row r="8" spans="2:63" ht="18" x14ac:dyDescent="0.35">
      <c r="B8" s="4" t="s">
        <v>19</v>
      </c>
      <c r="I8" s="7" t="s">
        <v>20</v>
      </c>
      <c r="J8">
        <f>$C$6*(1+$C$10)</f>
        <v>1633.5000000000002</v>
      </c>
      <c r="K8">
        <f>$C$6*(1+$C$10)</f>
        <v>1633.5000000000002</v>
      </c>
      <c r="AG8" s="25" t="str">
        <f t="shared" si="2"/>
        <v>5X</v>
      </c>
      <c r="AH8" s="29">
        <f t="shared" si="0"/>
        <v>-0.51515151515151514</v>
      </c>
      <c r="AI8" s="29">
        <f t="shared" si="0"/>
        <v>-0.32659932659932661</v>
      </c>
      <c r="AJ8" s="29">
        <f t="shared" si="0"/>
        <v>0.14478114478114479</v>
      </c>
      <c r="AK8" s="29">
        <f t="shared" si="0"/>
        <v>0.41414141414141414</v>
      </c>
      <c r="AL8" s="29">
        <f t="shared" si="0"/>
        <v>0.6835016835016835</v>
      </c>
      <c r="AM8" s="29" t="e">
        <f t="shared" si="0"/>
        <v>#N/A</v>
      </c>
      <c r="AN8" s="29" t="e">
        <f t="shared" si="0"/>
        <v>#N/A</v>
      </c>
      <c r="AO8" s="29" t="e">
        <f t="shared" si="0"/>
        <v>#N/A</v>
      </c>
      <c r="AP8" s="29" t="e">
        <f t="shared" si="0"/>
        <v>#N/A</v>
      </c>
      <c r="AQ8" s="29" t="e">
        <f t="shared" si="0"/>
        <v>#N/A</v>
      </c>
      <c r="AR8" s="29" t="e">
        <f t="shared" si="0"/>
        <v>#N/A</v>
      </c>
      <c r="AS8" s="29" t="e">
        <f t="shared" si="0"/>
        <v>#N/A</v>
      </c>
      <c r="AT8" s="29" t="e">
        <f t="shared" si="0"/>
        <v>#N/A</v>
      </c>
      <c r="AU8" s="29" t="e">
        <f t="shared" si="0"/>
        <v>#N/A</v>
      </c>
      <c r="AV8" s="29" t="e">
        <f t="shared" si="0"/>
        <v>#N/A</v>
      </c>
      <c r="AW8" s="29" t="e">
        <f t="shared" si="0"/>
        <v>#N/A</v>
      </c>
      <c r="AX8" s="29" t="e">
        <f t="shared" si="1"/>
        <v>#N/A</v>
      </c>
      <c r="AY8" s="29" t="e">
        <f t="shared" si="1"/>
        <v>#N/A</v>
      </c>
      <c r="AZ8" s="29" t="e">
        <f t="shared" si="1"/>
        <v>#N/A</v>
      </c>
      <c r="BA8" s="29" t="e">
        <f t="shared" si="1"/>
        <v>#N/A</v>
      </c>
      <c r="BB8" s="29" t="e">
        <f t="shared" si="1"/>
        <v>#N/A</v>
      </c>
      <c r="BC8" s="29" t="e">
        <f t="shared" si="1"/>
        <v>#N/A</v>
      </c>
      <c r="BD8" s="29" t="e">
        <f t="shared" si="1"/>
        <v>#N/A</v>
      </c>
      <c r="BE8" s="29" t="e">
        <f t="shared" si="1"/>
        <v>#N/A</v>
      </c>
      <c r="BF8" s="29" t="e">
        <f t="shared" si="1"/>
        <v>#N/A</v>
      </c>
      <c r="BG8" s="29" t="e">
        <f t="shared" si="1"/>
        <v>#N/A</v>
      </c>
      <c r="BH8" s="29" t="e">
        <f t="shared" si="1"/>
        <v>#N/A</v>
      </c>
      <c r="BI8" s="29" t="e">
        <f t="shared" si="1"/>
        <v>#N/A</v>
      </c>
      <c r="BJ8" s="29" t="e">
        <f t="shared" si="1"/>
        <v>#N/A</v>
      </c>
      <c r="BK8" s="29" t="e">
        <f t="shared" si="1"/>
        <v>#N/A</v>
      </c>
    </row>
    <row r="9" spans="2:63" x14ac:dyDescent="0.25">
      <c r="B9" s="5" t="s">
        <v>21</v>
      </c>
      <c r="C9" s="39">
        <v>-0.1</v>
      </c>
      <c r="AG9" s="25" t="str">
        <f t="shared" si="2"/>
        <v>X</v>
      </c>
      <c r="AH9" s="29" t="e">
        <f t="shared" si="0"/>
        <v>#N/A</v>
      </c>
      <c r="AI9" s="29" t="e">
        <f t="shared" si="0"/>
        <v>#N/A</v>
      </c>
      <c r="AJ9" s="29" t="e">
        <f t="shared" si="0"/>
        <v>#N/A</v>
      </c>
      <c r="AK9" s="29" t="e">
        <f t="shared" si="0"/>
        <v>#N/A</v>
      </c>
      <c r="AL9" s="29" t="e">
        <f t="shared" si="0"/>
        <v>#N/A</v>
      </c>
      <c r="AM9" s="29" t="e">
        <f t="shared" si="0"/>
        <v>#N/A</v>
      </c>
      <c r="AN9" s="29" t="e">
        <f t="shared" si="0"/>
        <v>#N/A</v>
      </c>
      <c r="AO9" s="29" t="e">
        <f t="shared" si="0"/>
        <v>#N/A</v>
      </c>
      <c r="AP9" s="29" t="e">
        <f t="shared" si="0"/>
        <v>#N/A</v>
      </c>
      <c r="AQ9" s="29" t="e">
        <f t="shared" si="0"/>
        <v>#N/A</v>
      </c>
      <c r="AR9" s="29" t="e">
        <f t="shared" si="0"/>
        <v>#N/A</v>
      </c>
      <c r="AS9" s="29" t="e">
        <f t="shared" si="0"/>
        <v>#N/A</v>
      </c>
      <c r="AT9" s="29" t="e">
        <f t="shared" si="0"/>
        <v>#N/A</v>
      </c>
      <c r="AU9" s="29" t="e">
        <f t="shared" si="0"/>
        <v>#N/A</v>
      </c>
      <c r="AV9" s="29" t="e">
        <f t="shared" si="0"/>
        <v>#N/A</v>
      </c>
      <c r="AW9" s="29" t="e">
        <f t="shared" si="0"/>
        <v>#N/A</v>
      </c>
      <c r="AX9" s="29" t="e">
        <f t="shared" si="1"/>
        <v>#N/A</v>
      </c>
      <c r="AY9" s="29" t="e">
        <f t="shared" si="1"/>
        <v>#N/A</v>
      </c>
      <c r="AZ9" s="29" t="e">
        <f t="shared" si="1"/>
        <v>#N/A</v>
      </c>
      <c r="BA9" s="29" t="e">
        <f t="shared" si="1"/>
        <v>#N/A</v>
      </c>
      <c r="BB9" s="29" t="e">
        <f t="shared" si="1"/>
        <v>#N/A</v>
      </c>
      <c r="BC9" s="29" t="e">
        <f t="shared" si="1"/>
        <v>#N/A</v>
      </c>
      <c r="BD9" s="29" t="e">
        <f t="shared" si="1"/>
        <v>#N/A</v>
      </c>
      <c r="BE9" s="29" t="e">
        <f t="shared" si="1"/>
        <v>#N/A</v>
      </c>
      <c r="BF9" s="29" t="e">
        <f t="shared" si="1"/>
        <v>#N/A</v>
      </c>
      <c r="BG9" s="29" t="e">
        <f t="shared" si="1"/>
        <v>#N/A</v>
      </c>
      <c r="BH9" s="29" t="e">
        <f t="shared" si="1"/>
        <v>#N/A</v>
      </c>
      <c r="BI9" s="29" t="e">
        <f t="shared" si="1"/>
        <v>#N/A</v>
      </c>
      <c r="BJ9" s="29" t="e">
        <f t="shared" si="1"/>
        <v>#N/A</v>
      </c>
      <c r="BK9" s="29" t="e">
        <f t="shared" si="1"/>
        <v>#N/A</v>
      </c>
    </row>
    <row r="10" spans="2:63" x14ac:dyDescent="0.25">
      <c r="B10" s="5" t="s">
        <v>22</v>
      </c>
      <c r="C10" s="39">
        <v>0.1</v>
      </c>
      <c r="AG10" s="25" t="str">
        <f t="shared" si="2"/>
        <v>X</v>
      </c>
      <c r="AH10" s="29" t="e">
        <f t="shared" si="0"/>
        <v>#N/A</v>
      </c>
      <c r="AI10" s="29" t="e">
        <f t="shared" si="0"/>
        <v>#N/A</v>
      </c>
      <c r="AJ10" s="29" t="e">
        <f t="shared" si="0"/>
        <v>#N/A</v>
      </c>
      <c r="AK10" s="29" t="e">
        <f t="shared" si="0"/>
        <v>#N/A</v>
      </c>
      <c r="AL10" s="29" t="e">
        <f t="shared" si="0"/>
        <v>#N/A</v>
      </c>
      <c r="AM10" s="29" t="e">
        <f t="shared" si="0"/>
        <v>#N/A</v>
      </c>
      <c r="AN10" s="29" t="e">
        <f t="shared" si="0"/>
        <v>#N/A</v>
      </c>
      <c r="AO10" s="29" t="e">
        <f t="shared" si="0"/>
        <v>#N/A</v>
      </c>
      <c r="AP10" s="29" t="e">
        <f t="shared" si="0"/>
        <v>#N/A</v>
      </c>
      <c r="AQ10" s="29" t="e">
        <f t="shared" si="0"/>
        <v>#N/A</v>
      </c>
      <c r="AR10" s="29" t="e">
        <f t="shared" si="0"/>
        <v>#N/A</v>
      </c>
      <c r="AS10" s="29" t="e">
        <f t="shared" si="0"/>
        <v>#N/A</v>
      </c>
      <c r="AT10" s="29" t="e">
        <f t="shared" si="0"/>
        <v>#N/A</v>
      </c>
      <c r="AU10" s="29" t="e">
        <f t="shared" si="0"/>
        <v>#N/A</v>
      </c>
      <c r="AV10" s="29" t="e">
        <f t="shared" si="0"/>
        <v>#N/A</v>
      </c>
      <c r="AW10" s="29" t="e">
        <f t="shared" si="0"/>
        <v>#N/A</v>
      </c>
      <c r="AX10" s="29" t="e">
        <f t="shared" si="1"/>
        <v>#N/A</v>
      </c>
      <c r="AY10" s="29" t="e">
        <f t="shared" si="1"/>
        <v>#N/A</v>
      </c>
      <c r="AZ10" s="29" t="e">
        <f t="shared" si="1"/>
        <v>#N/A</v>
      </c>
      <c r="BA10" s="29" t="e">
        <f t="shared" si="1"/>
        <v>#N/A</v>
      </c>
      <c r="BB10" s="29" t="e">
        <f t="shared" si="1"/>
        <v>#N/A</v>
      </c>
      <c r="BC10" s="29" t="e">
        <f t="shared" si="1"/>
        <v>#N/A</v>
      </c>
      <c r="BD10" s="29" t="e">
        <f t="shared" si="1"/>
        <v>#N/A</v>
      </c>
      <c r="BE10" s="29" t="e">
        <f t="shared" si="1"/>
        <v>#N/A</v>
      </c>
      <c r="BF10" s="29" t="e">
        <f t="shared" si="1"/>
        <v>#N/A</v>
      </c>
      <c r="BG10" s="29" t="e">
        <f t="shared" si="1"/>
        <v>#N/A</v>
      </c>
      <c r="BH10" s="29" t="e">
        <f t="shared" si="1"/>
        <v>#N/A</v>
      </c>
      <c r="BI10" s="29" t="e">
        <f t="shared" si="1"/>
        <v>#N/A</v>
      </c>
      <c r="BJ10" s="29" t="e">
        <f t="shared" si="1"/>
        <v>#N/A</v>
      </c>
      <c r="BK10" s="29" t="e">
        <f t="shared" si="1"/>
        <v>#N/A</v>
      </c>
    </row>
    <row r="11" spans="2:63" x14ac:dyDescent="0.25">
      <c r="M11" s="7" t="s">
        <v>23</v>
      </c>
      <c r="N11" s="8">
        <f>$G$15*(1+$C$9)</f>
        <v>2295</v>
      </c>
      <c r="O11" s="8">
        <f>$G$15*(1+$C$9)</f>
        <v>2295</v>
      </c>
      <c r="AG11" s="25" t="str">
        <f t="shared" si="2"/>
        <v>X</v>
      </c>
      <c r="AH11" s="29" t="e">
        <f t="shared" si="0"/>
        <v>#N/A</v>
      </c>
      <c r="AI11" s="29" t="e">
        <f t="shared" si="0"/>
        <v>#N/A</v>
      </c>
      <c r="AJ11" s="29" t="e">
        <f t="shared" si="0"/>
        <v>#N/A</v>
      </c>
      <c r="AK11" s="29" t="e">
        <f t="shared" si="0"/>
        <v>#N/A</v>
      </c>
      <c r="AL11" s="29" t="e">
        <f t="shared" si="0"/>
        <v>#N/A</v>
      </c>
      <c r="AM11" s="29" t="e">
        <f t="shared" si="0"/>
        <v>#N/A</v>
      </c>
      <c r="AN11" s="29" t="e">
        <f t="shared" si="0"/>
        <v>#N/A</v>
      </c>
      <c r="AO11" s="29" t="e">
        <f t="shared" si="0"/>
        <v>#N/A</v>
      </c>
      <c r="AP11" s="29" t="e">
        <f t="shared" si="0"/>
        <v>#N/A</v>
      </c>
      <c r="AQ11" s="29" t="e">
        <f t="shared" si="0"/>
        <v>#N/A</v>
      </c>
      <c r="AR11" s="29" t="e">
        <f t="shared" si="0"/>
        <v>#N/A</v>
      </c>
      <c r="AS11" s="29" t="e">
        <f t="shared" si="0"/>
        <v>#N/A</v>
      </c>
      <c r="AT11" s="29" t="e">
        <f t="shared" si="0"/>
        <v>#N/A</v>
      </c>
      <c r="AU11" s="29" t="e">
        <f t="shared" si="0"/>
        <v>#N/A</v>
      </c>
      <c r="AV11" s="29" t="e">
        <f t="shared" si="0"/>
        <v>#N/A</v>
      </c>
      <c r="AW11" s="29" t="e">
        <f t="shared" si="0"/>
        <v>#N/A</v>
      </c>
      <c r="AX11" s="29" t="e">
        <f t="shared" si="1"/>
        <v>#N/A</v>
      </c>
      <c r="AY11" s="29" t="e">
        <f t="shared" si="1"/>
        <v>#N/A</v>
      </c>
      <c r="AZ11" s="29" t="e">
        <f t="shared" si="1"/>
        <v>#N/A</v>
      </c>
      <c r="BA11" s="29" t="e">
        <f t="shared" si="1"/>
        <v>#N/A</v>
      </c>
      <c r="BB11" s="29" t="e">
        <f t="shared" si="1"/>
        <v>#N/A</v>
      </c>
      <c r="BC11" s="29" t="e">
        <f t="shared" si="1"/>
        <v>#N/A</v>
      </c>
      <c r="BD11" s="29" t="e">
        <f t="shared" si="1"/>
        <v>#N/A</v>
      </c>
      <c r="BE11" s="29" t="e">
        <f t="shared" si="1"/>
        <v>#N/A</v>
      </c>
      <c r="BF11" s="29" t="e">
        <f t="shared" si="1"/>
        <v>#N/A</v>
      </c>
      <c r="BG11" s="29" t="e">
        <f t="shared" si="1"/>
        <v>#N/A</v>
      </c>
      <c r="BH11" s="29" t="e">
        <f t="shared" si="1"/>
        <v>#N/A</v>
      </c>
      <c r="BI11" s="29" t="e">
        <f t="shared" si="1"/>
        <v>#N/A</v>
      </c>
      <c r="BJ11" s="29" t="e">
        <f t="shared" si="1"/>
        <v>#N/A</v>
      </c>
      <c r="BK11" s="29" t="e">
        <f t="shared" si="1"/>
        <v>#N/A</v>
      </c>
    </row>
    <row r="12" spans="2:63" x14ac:dyDescent="0.25">
      <c r="B12" s="4" t="s">
        <v>24</v>
      </c>
      <c r="M12" s="7" t="s">
        <v>25</v>
      </c>
      <c r="N12" s="8">
        <f>$G$15</f>
        <v>2550</v>
      </c>
      <c r="O12" s="8">
        <f>$G$15</f>
        <v>2550</v>
      </c>
      <c r="AG12" s="25" t="str">
        <f t="shared" si="2"/>
        <v>X</v>
      </c>
      <c r="AH12" s="29" t="e">
        <f t="shared" si="0"/>
        <v>#N/A</v>
      </c>
      <c r="AI12" s="29" t="e">
        <f t="shared" si="0"/>
        <v>#N/A</v>
      </c>
      <c r="AJ12" s="29" t="e">
        <f t="shared" si="0"/>
        <v>#N/A</v>
      </c>
      <c r="AK12" s="29" t="e">
        <f t="shared" si="0"/>
        <v>#N/A</v>
      </c>
      <c r="AL12" s="29" t="e">
        <f t="shared" si="0"/>
        <v>#N/A</v>
      </c>
      <c r="AM12" s="29" t="e">
        <f t="shared" si="0"/>
        <v>#N/A</v>
      </c>
      <c r="AN12" s="29" t="e">
        <f t="shared" si="0"/>
        <v>#N/A</v>
      </c>
      <c r="AO12" s="29" t="e">
        <f t="shared" si="0"/>
        <v>#N/A</v>
      </c>
      <c r="AP12" s="29" t="e">
        <f t="shared" si="0"/>
        <v>#N/A</v>
      </c>
      <c r="AQ12" s="29" t="e">
        <f t="shared" si="0"/>
        <v>#N/A</v>
      </c>
      <c r="AR12" s="29" t="e">
        <f t="shared" si="0"/>
        <v>#N/A</v>
      </c>
      <c r="AS12" s="29" t="e">
        <f t="shared" si="0"/>
        <v>#N/A</v>
      </c>
      <c r="AT12" s="29" t="e">
        <f t="shared" si="0"/>
        <v>#N/A</v>
      </c>
      <c r="AU12" s="29" t="e">
        <f t="shared" si="0"/>
        <v>#N/A</v>
      </c>
      <c r="AV12" s="29" t="e">
        <f t="shared" si="0"/>
        <v>#N/A</v>
      </c>
      <c r="AW12" s="29" t="e">
        <f t="shared" si="0"/>
        <v>#N/A</v>
      </c>
      <c r="AX12" s="29" t="e">
        <f t="shared" si="1"/>
        <v>#N/A</v>
      </c>
      <c r="AY12" s="29" t="e">
        <f t="shared" si="1"/>
        <v>#N/A</v>
      </c>
      <c r="AZ12" s="29" t="e">
        <f t="shared" si="1"/>
        <v>#N/A</v>
      </c>
      <c r="BA12" s="29" t="e">
        <f t="shared" si="1"/>
        <v>#N/A</v>
      </c>
      <c r="BB12" s="29" t="e">
        <f t="shared" si="1"/>
        <v>#N/A</v>
      </c>
      <c r="BC12" s="29" t="e">
        <f t="shared" si="1"/>
        <v>#N/A</v>
      </c>
      <c r="BD12" s="29" t="e">
        <f t="shared" si="1"/>
        <v>#N/A</v>
      </c>
      <c r="BE12" s="29" t="e">
        <f t="shared" si="1"/>
        <v>#N/A</v>
      </c>
      <c r="BF12" s="29" t="e">
        <f t="shared" si="1"/>
        <v>#N/A</v>
      </c>
      <c r="BG12" s="29" t="e">
        <f t="shared" si="1"/>
        <v>#N/A</v>
      </c>
      <c r="BH12" s="29" t="e">
        <f t="shared" si="1"/>
        <v>#N/A</v>
      </c>
      <c r="BI12" s="29" t="e">
        <f t="shared" si="1"/>
        <v>#N/A</v>
      </c>
      <c r="BJ12" s="29" t="e">
        <f t="shared" si="1"/>
        <v>#N/A</v>
      </c>
      <c r="BK12" s="29" t="e">
        <f t="shared" si="1"/>
        <v>#N/A</v>
      </c>
    </row>
    <row r="13" spans="2:63" ht="18" x14ac:dyDescent="0.35">
      <c r="B13" s="5" t="s">
        <v>26</v>
      </c>
      <c r="C13" s="38">
        <v>0</v>
      </c>
      <c r="M13" s="7" t="s">
        <v>27</v>
      </c>
      <c r="N13" s="9">
        <f>$G$15*(1+$C$10)</f>
        <v>2805</v>
      </c>
      <c r="O13" s="9">
        <f>$G$15*(1+$C$10)</f>
        <v>2805</v>
      </c>
      <c r="AG13" s="25" t="str">
        <f t="shared" si="2"/>
        <v>X</v>
      </c>
      <c r="AH13" s="29" t="e">
        <f t="shared" si="0"/>
        <v>#N/A</v>
      </c>
      <c r="AI13" s="29" t="e">
        <f t="shared" si="0"/>
        <v>#N/A</v>
      </c>
      <c r="AJ13" s="29" t="e">
        <f t="shared" si="0"/>
        <v>#N/A</v>
      </c>
      <c r="AK13" s="29" t="e">
        <f t="shared" si="0"/>
        <v>#N/A</v>
      </c>
      <c r="AL13" s="29" t="e">
        <f t="shared" si="0"/>
        <v>#N/A</v>
      </c>
      <c r="AM13" s="29" t="e">
        <f t="shared" si="0"/>
        <v>#N/A</v>
      </c>
      <c r="AN13" s="29" t="e">
        <f t="shared" si="0"/>
        <v>#N/A</v>
      </c>
      <c r="AO13" s="29" t="e">
        <f t="shared" si="0"/>
        <v>#N/A</v>
      </c>
      <c r="AP13" s="29" t="e">
        <f t="shared" si="0"/>
        <v>#N/A</v>
      </c>
      <c r="AQ13" s="29" t="e">
        <f t="shared" si="0"/>
        <v>#N/A</v>
      </c>
      <c r="AR13" s="29" t="e">
        <f t="shared" si="0"/>
        <v>#N/A</v>
      </c>
      <c r="AS13" s="29" t="e">
        <f t="shared" si="0"/>
        <v>#N/A</v>
      </c>
      <c r="AT13" s="29" t="e">
        <f t="shared" si="0"/>
        <v>#N/A</v>
      </c>
      <c r="AU13" s="29" t="e">
        <f t="shared" si="0"/>
        <v>#N/A</v>
      </c>
      <c r="AV13" s="29" t="e">
        <f t="shared" si="0"/>
        <v>#N/A</v>
      </c>
      <c r="AW13" s="29" t="e">
        <f t="shared" si="0"/>
        <v>#N/A</v>
      </c>
      <c r="AX13" s="29" t="e">
        <f t="shared" si="1"/>
        <v>#N/A</v>
      </c>
      <c r="AY13" s="29" t="e">
        <f t="shared" si="1"/>
        <v>#N/A</v>
      </c>
      <c r="AZ13" s="29" t="e">
        <f t="shared" si="1"/>
        <v>#N/A</v>
      </c>
      <c r="BA13" s="29" t="e">
        <f t="shared" si="1"/>
        <v>#N/A</v>
      </c>
      <c r="BB13" s="29" t="e">
        <f t="shared" si="1"/>
        <v>#N/A</v>
      </c>
      <c r="BC13" s="29" t="e">
        <f t="shared" si="1"/>
        <v>#N/A</v>
      </c>
      <c r="BD13" s="29" t="e">
        <f t="shared" si="1"/>
        <v>#N/A</v>
      </c>
      <c r="BE13" s="29" t="e">
        <f t="shared" si="1"/>
        <v>#N/A</v>
      </c>
      <c r="BF13" s="29" t="e">
        <f t="shared" si="1"/>
        <v>#N/A</v>
      </c>
      <c r="BG13" s="29" t="e">
        <f t="shared" si="1"/>
        <v>#N/A</v>
      </c>
      <c r="BH13" s="29" t="e">
        <f t="shared" si="1"/>
        <v>#N/A</v>
      </c>
      <c r="BI13" s="29" t="e">
        <f t="shared" si="1"/>
        <v>#N/A</v>
      </c>
      <c r="BJ13" s="29" t="e">
        <f t="shared" si="1"/>
        <v>#N/A</v>
      </c>
      <c r="BK13" s="29" t="e">
        <f t="shared" si="1"/>
        <v>#N/A</v>
      </c>
    </row>
    <row r="14" spans="2:63" ht="18" x14ac:dyDescent="0.35">
      <c r="B14" s="5" t="s">
        <v>28</v>
      </c>
      <c r="C14" s="38">
        <v>5000</v>
      </c>
      <c r="D14" s="12" t="s">
        <v>29</v>
      </c>
      <c r="F14" s="4" t="s">
        <v>30</v>
      </c>
      <c r="G14" s="4"/>
      <c r="M14" s="7" t="s">
        <v>31</v>
      </c>
      <c r="N14" s="8">
        <f>$G$16*(1+$C$9)</f>
        <v>5400</v>
      </c>
      <c r="O14" s="8">
        <f>$G$16*(1+$C$9)</f>
        <v>5400</v>
      </c>
      <c r="AG14" s="25" t="str">
        <f t="shared" si="2"/>
        <v>X</v>
      </c>
      <c r="AH14" s="29" t="e">
        <f t="shared" si="0"/>
        <v>#N/A</v>
      </c>
      <c r="AI14" s="29" t="e">
        <f t="shared" si="0"/>
        <v>#N/A</v>
      </c>
      <c r="AJ14" s="29" t="e">
        <f t="shared" si="0"/>
        <v>#N/A</v>
      </c>
      <c r="AK14" s="29" t="e">
        <f t="shared" si="0"/>
        <v>#N/A</v>
      </c>
      <c r="AL14" s="29" t="e">
        <f t="shared" si="0"/>
        <v>#N/A</v>
      </c>
      <c r="AM14" s="29" t="e">
        <f t="shared" si="0"/>
        <v>#N/A</v>
      </c>
      <c r="AN14" s="29" t="e">
        <f t="shared" si="0"/>
        <v>#N/A</v>
      </c>
      <c r="AO14" s="29" t="e">
        <f t="shared" si="0"/>
        <v>#N/A</v>
      </c>
      <c r="AP14" s="29" t="e">
        <f t="shared" si="0"/>
        <v>#N/A</v>
      </c>
      <c r="AQ14" s="29" t="e">
        <f t="shared" si="0"/>
        <v>#N/A</v>
      </c>
      <c r="AR14" s="29" t="e">
        <f t="shared" si="0"/>
        <v>#N/A</v>
      </c>
      <c r="AS14" s="29" t="e">
        <f t="shared" si="0"/>
        <v>#N/A</v>
      </c>
      <c r="AT14" s="29" t="e">
        <f t="shared" si="0"/>
        <v>#N/A</v>
      </c>
      <c r="AU14" s="29" t="e">
        <f t="shared" si="0"/>
        <v>#N/A</v>
      </c>
      <c r="AV14" s="29" t="e">
        <f t="shared" si="0"/>
        <v>#N/A</v>
      </c>
      <c r="AW14" s="29" t="e">
        <f t="shared" si="0"/>
        <v>#N/A</v>
      </c>
      <c r="AX14" s="29" t="e">
        <f t="shared" si="1"/>
        <v>#N/A</v>
      </c>
      <c r="AY14" s="29" t="e">
        <f t="shared" si="1"/>
        <v>#N/A</v>
      </c>
      <c r="AZ14" s="29" t="e">
        <f t="shared" si="1"/>
        <v>#N/A</v>
      </c>
      <c r="BA14" s="29" t="e">
        <f t="shared" si="1"/>
        <v>#N/A</v>
      </c>
      <c r="BB14" s="29" t="e">
        <f t="shared" si="1"/>
        <v>#N/A</v>
      </c>
      <c r="BC14" s="29" t="e">
        <f t="shared" si="1"/>
        <v>#N/A</v>
      </c>
      <c r="BD14" s="29" t="e">
        <f t="shared" si="1"/>
        <v>#N/A</v>
      </c>
      <c r="BE14" s="29" t="e">
        <f t="shared" si="1"/>
        <v>#N/A</v>
      </c>
      <c r="BF14" s="29" t="e">
        <f t="shared" si="1"/>
        <v>#N/A</v>
      </c>
      <c r="BG14" s="29" t="e">
        <f t="shared" si="1"/>
        <v>#N/A</v>
      </c>
      <c r="BH14" s="29" t="e">
        <f t="shared" si="1"/>
        <v>#N/A</v>
      </c>
      <c r="BI14" s="29" t="e">
        <f t="shared" si="1"/>
        <v>#N/A</v>
      </c>
      <c r="BJ14" s="29" t="e">
        <f t="shared" si="1"/>
        <v>#N/A</v>
      </c>
      <c r="BK14" s="29" t="e">
        <f t="shared" si="1"/>
        <v>#N/A</v>
      </c>
    </row>
    <row r="15" spans="2:63" ht="18" x14ac:dyDescent="0.35">
      <c r="B15" s="5" t="s">
        <v>32</v>
      </c>
      <c r="C15" s="38">
        <v>0</v>
      </c>
      <c r="D15" s="1"/>
      <c r="E15" s="6"/>
      <c r="F15" s="5" t="s">
        <v>25</v>
      </c>
      <c r="G15" s="38">
        <v>2550</v>
      </c>
      <c r="I15" t="s">
        <v>33</v>
      </c>
      <c r="J15">
        <v>0</v>
      </c>
      <c r="K15">
        <f>C14</f>
        <v>5000</v>
      </c>
      <c r="M15" s="7" t="s">
        <v>34</v>
      </c>
      <c r="N15" s="8">
        <f>$G$16</f>
        <v>6000</v>
      </c>
      <c r="O15" s="8">
        <f>$G$16</f>
        <v>6000</v>
      </c>
      <c r="AG15" s="25" t="str">
        <f t="shared" si="2"/>
        <v>X</v>
      </c>
      <c r="AH15" s="29" t="e">
        <f t="shared" si="0"/>
        <v>#N/A</v>
      </c>
      <c r="AI15" s="29" t="e">
        <f t="shared" si="0"/>
        <v>#N/A</v>
      </c>
      <c r="AJ15" s="29" t="e">
        <f t="shared" si="0"/>
        <v>#N/A</v>
      </c>
      <c r="AK15" s="29" t="e">
        <f t="shared" si="0"/>
        <v>#N/A</v>
      </c>
      <c r="AL15" s="29" t="e">
        <f t="shared" si="0"/>
        <v>#N/A</v>
      </c>
      <c r="AM15" s="29" t="e">
        <f t="shared" si="0"/>
        <v>#N/A</v>
      </c>
      <c r="AN15" s="29" t="e">
        <f t="shared" si="0"/>
        <v>#N/A</v>
      </c>
      <c r="AO15" s="29" t="e">
        <f t="shared" si="0"/>
        <v>#N/A</v>
      </c>
      <c r="AP15" s="29" t="e">
        <f t="shared" si="0"/>
        <v>#N/A</v>
      </c>
      <c r="AQ15" s="29" t="e">
        <f t="shared" si="0"/>
        <v>#N/A</v>
      </c>
      <c r="AR15" s="29" t="e">
        <f t="shared" si="0"/>
        <v>#N/A</v>
      </c>
      <c r="AS15" s="29" t="e">
        <f t="shared" si="0"/>
        <v>#N/A</v>
      </c>
      <c r="AT15" s="29" t="e">
        <f t="shared" si="0"/>
        <v>#N/A</v>
      </c>
      <c r="AU15" s="29" t="e">
        <f t="shared" si="0"/>
        <v>#N/A</v>
      </c>
      <c r="AV15" s="29" t="e">
        <f t="shared" si="0"/>
        <v>#N/A</v>
      </c>
      <c r="AW15" s="29" t="e">
        <f t="shared" si="0"/>
        <v>#N/A</v>
      </c>
      <c r="AX15" s="29" t="e">
        <f t="shared" si="1"/>
        <v>#N/A</v>
      </c>
      <c r="AY15" s="29" t="e">
        <f t="shared" si="1"/>
        <v>#N/A</v>
      </c>
      <c r="AZ15" s="29" t="e">
        <f t="shared" si="1"/>
        <v>#N/A</v>
      </c>
      <c r="BA15" s="29" t="e">
        <f t="shared" si="1"/>
        <v>#N/A</v>
      </c>
      <c r="BB15" s="29" t="e">
        <f t="shared" si="1"/>
        <v>#N/A</v>
      </c>
      <c r="BC15" s="29" t="e">
        <f t="shared" si="1"/>
        <v>#N/A</v>
      </c>
      <c r="BD15" s="29" t="e">
        <f t="shared" si="1"/>
        <v>#N/A</v>
      </c>
      <c r="BE15" s="29" t="e">
        <f t="shared" si="1"/>
        <v>#N/A</v>
      </c>
      <c r="BF15" s="29" t="e">
        <f t="shared" si="1"/>
        <v>#N/A</v>
      </c>
      <c r="BG15" s="29" t="e">
        <f t="shared" si="1"/>
        <v>#N/A</v>
      </c>
      <c r="BH15" s="29" t="e">
        <f t="shared" si="1"/>
        <v>#N/A</v>
      </c>
      <c r="BI15" s="29" t="e">
        <f t="shared" si="1"/>
        <v>#N/A</v>
      </c>
      <c r="BJ15" s="29" t="e">
        <f t="shared" si="1"/>
        <v>#N/A</v>
      </c>
      <c r="BK15" s="29" t="e">
        <f t="shared" si="1"/>
        <v>#N/A</v>
      </c>
    </row>
    <row r="16" spans="2:63" ht="18" x14ac:dyDescent="0.35">
      <c r="B16" s="5" t="s">
        <v>35</v>
      </c>
      <c r="C16" s="38">
        <v>42000</v>
      </c>
      <c r="D16" s="12" t="s">
        <v>36</v>
      </c>
      <c r="E16" s="6"/>
      <c r="F16" s="5" t="s">
        <v>34</v>
      </c>
      <c r="G16" s="38">
        <v>6000</v>
      </c>
      <c r="I16" t="s">
        <v>37</v>
      </c>
      <c r="J16">
        <v>0</v>
      </c>
      <c r="K16">
        <f>C16</f>
        <v>42000</v>
      </c>
      <c r="M16" s="7" t="s">
        <v>38</v>
      </c>
      <c r="N16" s="9">
        <f>$G$16*(1+$C$10)</f>
        <v>6600.0000000000009</v>
      </c>
      <c r="O16" s="9">
        <f>$G$16*(1+$C$10)</f>
        <v>6600.0000000000009</v>
      </c>
      <c r="AG16" s="25" t="str">
        <f t="shared" si="2"/>
        <v>X</v>
      </c>
      <c r="AH16" s="29" t="e">
        <f t="shared" si="0"/>
        <v>#N/A</v>
      </c>
      <c r="AI16" s="29" t="e">
        <f t="shared" si="0"/>
        <v>#N/A</v>
      </c>
      <c r="AJ16" s="29" t="e">
        <f t="shared" si="0"/>
        <v>#N/A</v>
      </c>
      <c r="AK16" s="29" t="e">
        <f t="shared" si="0"/>
        <v>#N/A</v>
      </c>
      <c r="AL16" s="29" t="e">
        <f t="shared" si="0"/>
        <v>#N/A</v>
      </c>
      <c r="AM16" s="29" t="e">
        <f t="shared" si="0"/>
        <v>#N/A</v>
      </c>
      <c r="AN16" s="29" t="e">
        <f t="shared" si="0"/>
        <v>#N/A</v>
      </c>
      <c r="AO16" s="29" t="e">
        <f t="shared" si="0"/>
        <v>#N/A</v>
      </c>
      <c r="AP16" s="29" t="e">
        <f t="shared" si="0"/>
        <v>#N/A</v>
      </c>
      <c r="AQ16" s="29" t="e">
        <f t="shared" si="0"/>
        <v>#N/A</v>
      </c>
      <c r="AR16" s="29" t="e">
        <f t="shared" si="0"/>
        <v>#N/A</v>
      </c>
      <c r="AS16" s="29" t="e">
        <f t="shared" si="0"/>
        <v>#N/A</v>
      </c>
      <c r="AT16" s="29" t="e">
        <f t="shared" si="0"/>
        <v>#N/A</v>
      </c>
      <c r="AU16" s="29" t="e">
        <f t="shared" si="0"/>
        <v>#N/A</v>
      </c>
      <c r="AV16" s="29" t="e">
        <f t="shared" si="0"/>
        <v>#N/A</v>
      </c>
      <c r="AW16" s="29" t="e">
        <f t="shared" si="0"/>
        <v>#N/A</v>
      </c>
      <c r="AX16" s="29" t="e">
        <f t="shared" si="1"/>
        <v>#N/A</v>
      </c>
      <c r="AY16" s="29" t="e">
        <f t="shared" si="1"/>
        <v>#N/A</v>
      </c>
      <c r="AZ16" s="29" t="e">
        <f t="shared" si="1"/>
        <v>#N/A</v>
      </c>
      <c r="BA16" s="29" t="e">
        <f t="shared" si="1"/>
        <v>#N/A</v>
      </c>
      <c r="BB16" s="29" t="e">
        <f t="shared" si="1"/>
        <v>#N/A</v>
      </c>
      <c r="BC16" s="29" t="e">
        <f t="shared" si="1"/>
        <v>#N/A</v>
      </c>
      <c r="BD16" s="29" t="e">
        <f t="shared" si="1"/>
        <v>#N/A</v>
      </c>
      <c r="BE16" s="29" t="e">
        <f t="shared" si="1"/>
        <v>#N/A</v>
      </c>
      <c r="BF16" s="29" t="e">
        <f t="shared" si="1"/>
        <v>#N/A</v>
      </c>
      <c r="BG16" s="29" t="e">
        <f t="shared" si="1"/>
        <v>#N/A</v>
      </c>
      <c r="BH16" s="29" t="e">
        <f t="shared" si="1"/>
        <v>#N/A</v>
      </c>
      <c r="BI16" s="29" t="e">
        <f t="shared" si="1"/>
        <v>#N/A</v>
      </c>
      <c r="BJ16" s="29" t="e">
        <f t="shared" si="1"/>
        <v>#N/A</v>
      </c>
      <c r="BK16" s="29" t="e">
        <f t="shared" si="1"/>
        <v>#N/A</v>
      </c>
    </row>
    <row r="17" spans="2:63" x14ac:dyDescent="0.25">
      <c r="AG17" s="25" t="str">
        <f t="shared" si="2"/>
        <v>X</v>
      </c>
      <c r="AH17" s="29" t="e">
        <f t="shared" si="0"/>
        <v>#N/A</v>
      </c>
      <c r="AI17" s="29" t="e">
        <f t="shared" si="0"/>
        <v>#N/A</v>
      </c>
      <c r="AJ17" s="29" t="e">
        <f t="shared" si="0"/>
        <v>#N/A</v>
      </c>
      <c r="AK17" s="29" t="e">
        <f t="shared" si="0"/>
        <v>#N/A</v>
      </c>
      <c r="AL17" s="29" t="e">
        <f t="shared" si="0"/>
        <v>#N/A</v>
      </c>
      <c r="AM17" s="29" t="e">
        <f t="shared" si="0"/>
        <v>#N/A</v>
      </c>
      <c r="AN17" s="29" t="e">
        <f t="shared" si="0"/>
        <v>#N/A</v>
      </c>
      <c r="AO17" s="29" t="e">
        <f t="shared" si="0"/>
        <v>#N/A</v>
      </c>
      <c r="AP17" s="29" t="e">
        <f t="shared" si="0"/>
        <v>#N/A</v>
      </c>
      <c r="AQ17" s="29" t="e">
        <f t="shared" si="0"/>
        <v>#N/A</v>
      </c>
      <c r="AR17" s="29" t="e">
        <f t="shared" si="0"/>
        <v>#N/A</v>
      </c>
      <c r="AS17" s="29" t="e">
        <f t="shared" si="0"/>
        <v>#N/A</v>
      </c>
      <c r="AT17" s="29" t="e">
        <f t="shared" si="0"/>
        <v>#N/A</v>
      </c>
      <c r="AU17" s="29" t="e">
        <f t="shared" si="0"/>
        <v>#N/A</v>
      </c>
      <c r="AV17" s="29" t="e">
        <f t="shared" si="0"/>
        <v>#N/A</v>
      </c>
      <c r="AW17" s="29" t="e">
        <f t="shared" si="0"/>
        <v>#N/A</v>
      </c>
      <c r="AX17" s="29" t="e">
        <f t="shared" si="1"/>
        <v>#N/A</v>
      </c>
      <c r="AY17" s="29" t="e">
        <f t="shared" si="1"/>
        <v>#N/A</v>
      </c>
      <c r="AZ17" s="29" t="e">
        <f t="shared" si="1"/>
        <v>#N/A</v>
      </c>
      <c r="BA17" s="29" t="e">
        <f t="shared" si="1"/>
        <v>#N/A</v>
      </c>
      <c r="BB17" s="29" t="e">
        <f t="shared" si="1"/>
        <v>#N/A</v>
      </c>
      <c r="BC17" s="29" t="e">
        <f t="shared" si="1"/>
        <v>#N/A</v>
      </c>
      <c r="BD17" s="29" t="e">
        <f t="shared" si="1"/>
        <v>#N/A</v>
      </c>
      <c r="BE17" s="29" t="e">
        <f t="shared" si="1"/>
        <v>#N/A</v>
      </c>
      <c r="BF17" s="29" t="e">
        <f t="shared" si="1"/>
        <v>#N/A</v>
      </c>
      <c r="BG17" s="29" t="e">
        <f t="shared" si="1"/>
        <v>#N/A</v>
      </c>
      <c r="BH17" s="29" t="e">
        <f t="shared" si="1"/>
        <v>#N/A</v>
      </c>
      <c r="BI17" s="29" t="e">
        <f t="shared" si="1"/>
        <v>#N/A</v>
      </c>
      <c r="BJ17" s="29" t="e">
        <f t="shared" si="1"/>
        <v>#N/A</v>
      </c>
      <c r="BK17" s="29" t="e">
        <f t="shared" si="1"/>
        <v>#N/A</v>
      </c>
    </row>
    <row r="18" spans="2:63" x14ac:dyDescent="0.25">
      <c r="B18" s="4" t="s">
        <v>39</v>
      </c>
      <c r="C18" s="4"/>
      <c r="F18" s="4" t="s">
        <v>40</v>
      </c>
      <c r="AG18" s="25" t="str">
        <f t="shared" si="2"/>
        <v>X</v>
      </c>
      <c r="AH18" s="29" t="e">
        <f t="shared" si="0"/>
        <v>#N/A</v>
      </c>
      <c r="AI18" s="29" t="e">
        <f t="shared" si="0"/>
        <v>#N/A</v>
      </c>
      <c r="AJ18" s="29" t="e">
        <f t="shared" si="0"/>
        <v>#N/A</v>
      </c>
      <c r="AK18" s="29" t="e">
        <f t="shared" si="0"/>
        <v>#N/A</v>
      </c>
      <c r="AL18" s="29" t="e">
        <f t="shared" si="0"/>
        <v>#N/A</v>
      </c>
      <c r="AM18" s="29" t="e">
        <f t="shared" si="0"/>
        <v>#N/A</v>
      </c>
      <c r="AN18" s="29" t="e">
        <f t="shared" si="0"/>
        <v>#N/A</v>
      </c>
      <c r="AO18" s="29" t="e">
        <f t="shared" si="0"/>
        <v>#N/A</v>
      </c>
      <c r="AP18" s="29" t="e">
        <f t="shared" si="0"/>
        <v>#N/A</v>
      </c>
      <c r="AQ18" s="29" t="e">
        <f t="shared" si="0"/>
        <v>#N/A</v>
      </c>
      <c r="AR18" s="29" t="e">
        <f t="shared" si="0"/>
        <v>#N/A</v>
      </c>
      <c r="AS18" s="29" t="e">
        <f t="shared" si="0"/>
        <v>#N/A</v>
      </c>
      <c r="AT18" s="29" t="e">
        <f t="shared" si="0"/>
        <v>#N/A</v>
      </c>
      <c r="AU18" s="29" t="e">
        <f t="shared" si="0"/>
        <v>#N/A</v>
      </c>
      <c r="AV18" s="29" t="e">
        <f t="shared" si="0"/>
        <v>#N/A</v>
      </c>
      <c r="AW18" s="29" t="e">
        <f t="shared" si="0"/>
        <v>#N/A</v>
      </c>
      <c r="AX18" s="29" t="e">
        <f t="shared" si="1"/>
        <v>#N/A</v>
      </c>
      <c r="AY18" s="29" t="e">
        <f t="shared" si="1"/>
        <v>#N/A</v>
      </c>
      <c r="AZ18" s="29" t="e">
        <f t="shared" si="1"/>
        <v>#N/A</v>
      </c>
      <c r="BA18" s="29" t="e">
        <f t="shared" si="1"/>
        <v>#N/A</v>
      </c>
      <c r="BB18" s="29" t="e">
        <f t="shared" si="1"/>
        <v>#N/A</v>
      </c>
      <c r="BC18" s="29" t="e">
        <f t="shared" si="1"/>
        <v>#N/A</v>
      </c>
      <c r="BD18" s="29" t="e">
        <f t="shared" si="1"/>
        <v>#N/A</v>
      </c>
      <c r="BE18" s="29" t="e">
        <f t="shared" si="1"/>
        <v>#N/A</v>
      </c>
      <c r="BF18" s="29" t="e">
        <f t="shared" si="1"/>
        <v>#N/A</v>
      </c>
      <c r="BG18" s="29" t="e">
        <f t="shared" si="1"/>
        <v>#N/A</v>
      </c>
      <c r="BH18" s="29" t="e">
        <f t="shared" si="1"/>
        <v>#N/A</v>
      </c>
      <c r="BI18" s="29" t="e">
        <f t="shared" si="1"/>
        <v>#N/A</v>
      </c>
      <c r="BJ18" s="29" t="e">
        <f t="shared" si="1"/>
        <v>#N/A</v>
      </c>
      <c r="BK18" s="29" t="e">
        <f t="shared" si="1"/>
        <v>#N/A</v>
      </c>
    </row>
    <row r="19" spans="2:63" x14ac:dyDescent="0.25">
      <c r="B19" s="5" t="s">
        <v>41</v>
      </c>
      <c r="C19" s="38">
        <v>3600</v>
      </c>
      <c r="D19" s="1"/>
      <c r="E19" s="1"/>
      <c r="F19" s="5" t="str">
        <f>G19&amp;"X"</f>
        <v>1X</v>
      </c>
      <c r="G19" s="38">
        <v>1</v>
      </c>
      <c r="H19" s="1"/>
      <c r="I19" t="s">
        <v>41</v>
      </c>
      <c r="J19">
        <f t="shared" ref="J19:J48" si="3">IF(C19&gt;0,ROUND(C19,1),#N/A)</f>
        <v>3600</v>
      </c>
      <c r="K19">
        <f t="shared" ref="K19:K48" si="4">IF(C19&gt;0,ROUND(C19,1),#N/A)</f>
        <v>3600</v>
      </c>
      <c r="M19" t="str">
        <f t="shared" ref="M19:M48" si="5">F19</f>
        <v>1X</v>
      </c>
      <c r="N19">
        <f t="shared" ref="N19:N48" si="6">IF(G19&gt;0,G19,#N/A)</f>
        <v>1</v>
      </c>
      <c r="O19">
        <v>0</v>
      </c>
      <c r="P19">
        <f t="shared" ref="P19:P48" si="7">N19*$C$14</f>
        <v>5000</v>
      </c>
      <c r="AG19" s="25" t="str">
        <f t="shared" si="2"/>
        <v>X</v>
      </c>
      <c r="AH19" s="29" t="e">
        <f t="shared" si="0"/>
        <v>#N/A</v>
      </c>
      <c r="AI19" s="29" t="e">
        <f t="shared" si="0"/>
        <v>#N/A</v>
      </c>
      <c r="AJ19" s="29" t="e">
        <f t="shared" si="0"/>
        <v>#N/A</v>
      </c>
      <c r="AK19" s="29" t="e">
        <f t="shared" si="0"/>
        <v>#N/A</v>
      </c>
      <c r="AL19" s="29" t="e">
        <f t="shared" si="0"/>
        <v>#N/A</v>
      </c>
      <c r="AM19" s="29" t="e">
        <f t="shared" si="0"/>
        <v>#N/A</v>
      </c>
      <c r="AN19" s="29" t="e">
        <f t="shared" si="0"/>
        <v>#N/A</v>
      </c>
      <c r="AO19" s="29" t="e">
        <f t="shared" si="0"/>
        <v>#N/A</v>
      </c>
      <c r="AP19" s="29" t="e">
        <f t="shared" si="0"/>
        <v>#N/A</v>
      </c>
      <c r="AQ19" s="29" t="e">
        <f t="shared" si="0"/>
        <v>#N/A</v>
      </c>
      <c r="AR19" s="29" t="e">
        <f t="shared" si="0"/>
        <v>#N/A</v>
      </c>
      <c r="AS19" s="29" t="e">
        <f t="shared" si="0"/>
        <v>#N/A</v>
      </c>
      <c r="AT19" s="29" t="e">
        <f t="shared" si="0"/>
        <v>#N/A</v>
      </c>
      <c r="AU19" s="29" t="e">
        <f t="shared" si="0"/>
        <v>#N/A</v>
      </c>
      <c r="AV19" s="29" t="e">
        <f t="shared" si="0"/>
        <v>#N/A</v>
      </c>
      <c r="AW19" s="29" t="e">
        <f t="shared" si="0"/>
        <v>#N/A</v>
      </c>
      <c r="AX19" s="29" t="e">
        <f t="shared" si="1"/>
        <v>#N/A</v>
      </c>
      <c r="AY19" s="29" t="e">
        <f t="shared" si="1"/>
        <v>#N/A</v>
      </c>
      <c r="AZ19" s="29" t="e">
        <f t="shared" si="1"/>
        <v>#N/A</v>
      </c>
      <c r="BA19" s="29" t="e">
        <f t="shared" si="1"/>
        <v>#N/A</v>
      </c>
      <c r="BB19" s="29" t="e">
        <f t="shared" si="1"/>
        <v>#N/A</v>
      </c>
      <c r="BC19" s="29" t="e">
        <f t="shared" si="1"/>
        <v>#N/A</v>
      </c>
      <c r="BD19" s="29" t="e">
        <f t="shared" si="1"/>
        <v>#N/A</v>
      </c>
      <c r="BE19" s="29" t="e">
        <f t="shared" si="1"/>
        <v>#N/A</v>
      </c>
      <c r="BF19" s="29" t="e">
        <f t="shared" si="1"/>
        <v>#N/A</v>
      </c>
      <c r="BG19" s="29" t="e">
        <f t="shared" si="1"/>
        <v>#N/A</v>
      </c>
      <c r="BH19" s="29" t="e">
        <f t="shared" si="1"/>
        <v>#N/A</v>
      </c>
      <c r="BI19" s="29" t="e">
        <f t="shared" si="1"/>
        <v>#N/A</v>
      </c>
      <c r="BJ19" s="29" t="e">
        <f t="shared" si="1"/>
        <v>#N/A</v>
      </c>
      <c r="BK19" s="29" t="e">
        <f t="shared" si="1"/>
        <v>#N/A</v>
      </c>
    </row>
    <row r="20" spans="2:63" x14ac:dyDescent="0.25">
      <c r="B20" s="5" t="s">
        <v>42</v>
      </c>
      <c r="C20" s="38">
        <v>5000</v>
      </c>
      <c r="D20" s="1"/>
      <c r="E20" s="1"/>
      <c r="F20" s="5" t="str">
        <f t="shared" ref="F20:F48" si="8">G20&amp;"X"</f>
        <v>2X</v>
      </c>
      <c r="G20" s="38">
        <v>2</v>
      </c>
      <c r="H20" s="1"/>
      <c r="I20" t="s">
        <v>42</v>
      </c>
      <c r="J20">
        <f t="shared" si="3"/>
        <v>5000</v>
      </c>
      <c r="K20">
        <f t="shared" si="4"/>
        <v>5000</v>
      </c>
      <c r="M20" t="str">
        <f t="shared" si="5"/>
        <v>2X</v>
      </c>
      <c r="N20">
        <f t="shared" si="6"/>
        <v>2</v>
      </c>
      <c r="O20">
        <v>0</v>
      </c>
      <c r="P20">
        <f t="shared" si="7"/>
        <v>10000</v>
      </c>
      <c r="AG20" s="25" t="str">
        <f t="shared" si="2"/>
        <v>X</v>
      </c>
      <c r="AH20" s="29" t="e">
        <f t="shared" si="0"/>
        <v>#N/A</v>
      </c>
      <c r="AI20" s="29" t="e">
        <f t="shared" si="0"/>
        <v>#N/A</v>
      </c>
      <c r="AJ20" s="29" t="e">
        <f t="shared" si="0"/>
        <v>#N/A</v>
      </c>
      <c r="AK20" s="29" t="e">
        <f t="shared" si="0"/>
        <v>#N/A</v>
      </c>
      <c r="AL20" s="29" t="e">
        <f t="shared" si="0"/>
        <v>#N/A</v>
      </c>
      <c r="AM20" s="29" t="e">
        <f t="shared" si="0"/>
        <v>#N/A</v>
      </c>
      <c r="AN20" s="29" t="e">
        <f t="shared" si="0"/>
        <v>#N/A</v>
      </c>
      <c r="AO20" s="29" t="e">
        <f t="shared" si="0"/>
        <v>#N/A</v>
      </c>
      <c r="AP20" s="29" t="e">
        <f t="shared" si="0"/>
        <v>#N/A</v>
      </c>
      <c r="AQ20" s="29" t="e">
        <f t="shared" si="0"/>
        <v>#N/A</v>
      </c>
      <c r="AR20" s="29" t="e">
        <f t="shared" si="0"/>
        <v>#N/A</v>
      </c>
      <c r="AS20" s="29" t="e">
        <f t="shared" si="0"/>
        <v>#N/A</v>
      </c>
      <c r="AT20" s="29" t="e">
        <f t="shared" si="0"/>
        <v>#N/A</v>
      </c>
      <c r="AU20" s="29" t="e">
        <f t="shared" si="0"/>
        <v>#N/A</v>
      </c>
      <c r="AV20" s="29" t="e">
        <f t="shared" si="0"/>
        <v>#N/A</v>
      </c>
      <c r="AW20" s="29" t="e">
        <f t="shared" si="0"/>
        <v>#N/A</v>
      </c>
      <c r="AX20" s="29" t="e">
        <f t="shared" si="1"/>
        <v>#N/A</v>
      </c>
      <c r="AY20" s="29" t="e">
        <f t="shared" si="1"/>
        <v>#N/A</v>
      </c>
      <c r="AZ20" s="29" t="e">
        <f t="shared" si="1"/>
        <v>#N/A</v>
      </c>
      <c r="BA20" s="29" t="e">
        <f t="shared" si="1"/>
        <v>#N/A</v>
      </c>
      <c r="BB20" s="29" t="e">
        <f t="shared" si="1"/>
        <v>#N/A</v>
      </c>
      <c r="BC20" s="29" t="e">
        <f t="shared" si="1"/>
        <v>#N/A</v>
      </c>
      <c r="BD20" s="29" t="e">
        <f t="shared" si="1"/>
        <v>#N/A</v>
      </c>
      <c r="BE20" s="29" t="e">
        <f t="shared" si="1"/>
        <v>#N/A</v>
      </c>
      <c r="BF20" s="29" t="e">
        <f t="shared" si="1"/>
        <v>#N/A</v>
      </c>
      <c r="BG20" s="29" t="e">
        <f t="shared" si="1"/>
        <v>#N/A</v>
      </c>
      <c r="BH20" s="29" t="e">
        <f t="shared" si="1"/>
        <v>#N/A</v>
      </c>
      <c r="BI20" s="29" t="e">
        <f t="shared" si="1"/>
        <v>#N/A</v>
      </c>
      <c r="BJ20" s="29" t="e">
        <f t="shared" si="1"/>
        <v>#N/A</v>
      </c>
      <c r="BK20" s="29" t="e">
        <f t="shared" si="1"/>
        <v>#N/A</v>
      </c>
    </row>
    <row r="21" spans="2:63" x14ac:dyDescent="0.25">
      <c r="B21" s="5" t="s">
        <v>43</v>
      </c>
      <c r="C21" s="38">
        <v>8500</v>
      </c>
      <c r="F21" s="5" t="str">
        <f t="shared" si="8"/>
        <v>5X</v>
      </c>
      <c r="G21" s="38">
        <v>5</v>
      </c>
      <c r="I21" t="s">
        <v>43</v>
      </c>
      <c r="J21">
        <f t="shared" si="3"/>
        <v>8500</v>
      </c>
      <c r="K21">
        <f t="shared" si="4"/>
        <v>8500</v>
      </c>
      <c r="M21" t="str">
        <f t="shared" si="5"/>
        <v>5X</v>
      </c>
      <c r="N21">
        <f t="shared" si="6"/>
        <v>5</v>
      </c>
      <c r="O21">
        <v>0</v>
      </c>
      <c r="P21">
        <f t="shared" si="7"/>
        <v>25000</v>
      </c>
      <c r="AG21" s="25" t="str">
        <f t="shared" si="2"/>
        <v>X</v>
      </c>
      <c r="AH21" s="29" t="e">
        <f t="shared" si="0"/>
        <v>#N/A</v>
      </c>
      <c r="AI21" s="29" t="e">
        <f t="shared" si="0"/>
        <v>#N/A</v>
      </c>
      <c r="AJ21" s="29" t="e">
        <f t="shared" si="0"/>
        <v>#N/A</v>
      </c>
      <c r="AK21" s="29" t="e">
        <f t="shared" si="0"/>
        <v>#N/A</v>
      </c>
      <c r="AL21" s="29" t="e">
        <f t="shared" si="0"/>
        <v>#N/A</v>
      </c>
      <c r="AM21" s="29" t="e">
        <f t="shared" si="0"/>
        <v>#N/A</v>
      </c>
      <c r="AN21" s="29" t="e">
        <f t="shared" si="0"/>
        <v>#N/A</v>
      </c>
      <c r="AO21" s="29" t="e">
        <f t="shared" si="0"/>
        <v>#N/A</v>
      </c>
      <c r="AP21" s="29" t="e">
        <f t="shared" si="0"/>
        <v>#N/A</v>
      </c>
      <c r="AQ21" s="29" t="e">
        <f t="shared" si="0"/>
        <v>#N/A</v>
      </c>
      <c r="AR21" s="29" t="e">
        <f t="shared" si="0"/>
        <v>#N/A</v>
      </c>
      <c r="AS21" s="29" t="e">
        <f t="shared" si="0"/>
        <v>#N/A</v>
      </c>
      <c r="AT21" s="29" t="e">
        <f t="shared" si="0"/>
        <v>#N/A</v>
      </c>
      <c r="AU21" s="29" t="e">
        <f t="shared" si="0"/>
        <v>#N/A</v>
      </c>
      <c r="AV21" s="29" t="e">
        <f t="shared" si="0"/>
        <v>#N/A</v>
      </c>
      <c r="AW21" s="29" t="e">
        <f t="shared" ref="AW21:AZ35" si="9">(R153-$C$5)/$C$5</f>
        <v>#N/A</v>
      </c>
      <c r="AX21" s="29" t="e">
        <f t="shared" si="1"/>
        <v>#N/A</v>
      </c>
      <c r="AY21" s="29" t="e">
        <f t="shared" si="1"/>
        <v>#N/A</v>
      </c>
      <c r="AZ21" s="29" t="e">
        <f t="shared" si="1"/>
        <v>#N/A</v>
      </c>
      <c r="BA21" s="29" t="e">
        <f t="shared" si="1"/>
        <v>#N/A</v>
      </c>
      <c r="BB21" s="29" t="e">
        <f t="shared" si="1"/>
        <v>#N/A</v>
      </c>
      <c r="BC21" s="29" t="e">
        <f t="shared" si="1"/>
        <v>#N/A</v>
      </c>
      <c r="BD21" s="29" t="e">
        <f t="shared" si="1"/>
        <v>#N/A</v>
      </c>
      <c r="BE21" s="29" t="e">
        <f t="shared" si="1"/>
        <v>#N/A</v>
      </c>
      <c r="BF21" s="29" t="e">
        <f t="shared" si="1"/>
        <v>#N/A</v>
      </c>
      <c r="BG21" s="29" t="e">
        <f t="shared" si="1"/>
        <v>#N/A</v>
      </c>
      <c r="BH21" s="29" t="e">
        <f t="shared" si="1"/>
        <v>#N/A</v>
      </c>
      <c r="BI21" s="29" t="e">
        <f t="shared" si="1"/>
        <v>#N/A</v>
      </c>
      <c r="BJ21" s="29" t="e">
        <f t="shared" si="1"/>
        <v>#N/A</v>
      </c>
      <c r="BK21" s="29" t="e">
        <f t="shared" si="1"/>
        <v>#N/A</v>
      </c>
    </row>
    <row r="22" spans="2:63" x14ac:dyDescent="0.25">
      <c r="B22" s="5" t="s">
        <v>44</v>
      </c>
      <c r="C22" s="38">
        <v>10500</v>
      </c>
      <c r="F22" s="5" t="str">
        <f>G22&amp;"X"</f>
        <v>X</v>
      </c>
      <c r="G22" s="38"/>
      <c r="I22" t="s">
        <v>44</v>
      </c>
      <c r="J22">
        <f t="shared" si="3"/>
        <v>10500</v>
      </c>
      <c r="K22">
        <f t="shared" si="4"/>
        <v>10500</v>
      </c>
      <c r="M22" t="str">
        <f t="shared" si="5"/>
        <v>X</v>
      </c>
      <c r="N22" t="e">
        <f t="shared" si="6"/>
        <v>#N/A</v>
      </c>
      <c r="O22">
        <v>0</v>
      </c>
      <c r="P22" t="e">
        <f t="shared" si="7"/>
        <v>#N/A</v>
      </c>
      <c r="AG22" s="25" t="str">
        <f t="shared" si="2"/>
        <v>X</v>
      </c>
      <c r="AH22" s="29" t="e">
        <f t="shared" ref="AH22:AV35" si="10">(C154-$C$5)/$C$5</f>
        <v>#N/A</v>
      </c>
      <c r="AI22" s="29" t="e">
        <f t="shared" si="10"/>
        <v>#N/A</v>
      </c>
      <c r="AJ22" s="29" t="e">
        <f t="shared" si="10"/>
        <v>#N/A</v>
      </c>
      <c r="AK22" s="29" t="e">
        <f t="shared" si="10"/>
        <v>#N/A</v>
      </c>
      <c r="AL22" s="29" t="e">
        <f t="shared" si="10"/>
        <v>#N/A</v>
      </c>
      <c r="AM22" s="29" t="e">
        <f t="shared" si="10"/>
        <v>#N/A</v>
      </c>
      <c r="AN22" s="29" t="e">
        <f t="shared" si="10"/>
        <v>#N/A</v>
      </c>
      <c r="AO22" s="29" t="e">
        <f t="shared" si="10"/>
        <v>#N/A</v>
      </c>
      <c r="AP22" s="29" t="e">
        <f t="shared" si="10"/>
        <v>#N/A</v>
      </c>
      <c r="AQ22" s="29" t="e">
        <f t="shared" si="10"/>
        <v>#N/A</v>
      </c>
      <c r="AR22" s="29" t="e">
        <f t="shared" si="10"/>
        <v>#N/A</v>
      </c>
      <c r="AS22" s="29" t="e">
        <f t="shared" si="10"/>
        <v>#N/A</v>
      </c>
      <c r="AT22" s="29" t="e">
        <f t="shared" si="10"/>
        <v>#N/A</v>
      </c>
      <c r="AU22" s="29" t="e">
        <f t="shared" si="10"/>
        <v>#N/A</v>
      </c>
      <c r="AV22" s="29" t="e">
        <f t="shared" si="10"/>
        <v>#N/A</v>
      </c>
      <c r="AW22" s="29" t="e">
        <f t="shared" si="9"/>
        <v>#N/A</v>
      </c>
      <c r="AX22" s="29" t="e">
        <f t="shared" si="1"/>
        <v>#N/A</v>
      </c>
      <c r="AY22" s="29" t="e">
        <f t="shared" si="1"/>
        <v>#N/A</v>
      </c>
      <c r="AZ22" s="29" t="e">
        <f t="shared" si="1"/>
        <v>#N/A</v>
      </c>
      <c r="BA22" s="29" t="e">
        <f t="shared" si="1"/>
        <v>#N/A</v>
      </c>
      <c r="BB22" s="29" t="e">
        <f t="shared" si="1"/>
        <v>#N/A</v>
      </c>
      <c r="BC22" s="29" t="e">
        <f t="shared" si="1"/>
        <v>#N/A</v>
      </c>
      <c r="BD22" s="29" t="e">
        <f t="shared" si="1"/>
        <v>#N/A</v>
      </c>
      <c r="BE22" s="29" t="e">
        <f t="shared" si="1"/>
        <v>#N/A</v>
      </c>
      <c r="BF22" s="29" t="e">
        <f t="shared" si="1"/>
        <v>#N/A</v>
      </c>
      <c r="BG22" s="29" t="e">
        <f t="shared" si="1"/>
        <v>#N/A</v>
      </c>
      <c r="BH22" s="29" t="e">
        <f t="shared" si="1"/>
        <v>#N/A</v>
      </c>
      <c r="BI22" s="29" t="e">
        <f t="shared" si="1"/>
        <v>#N/A</v>
      </c>
      <c r="BJ22" s="29" t="e">
        <f t="shared" si="1"/>
        <v>#N/A</v>
      </c>
      <c r="BK22" s="29" t="e">
        <f t="shared" si="1"/>
        <v>#N/A</v>
      </c>
    </row>
    <row r="23" spans="2:63" x14ac:dyDescent="0.25">
      <c r="B23" s="5" t="s">
        <v>45</v>
      </c>
      <c r="C23" s="38">
        <v>12500</v>
      </c>
      <c r="F23" s="5" t="str">
        <f t="shared" si="8"/>
        <v>X</v>
      </c>
      <c r="G23" s="38"/>
      <c r="I23" t="s">
        <v>45</v>
      </c>
      <c r="J23">
        <f t="shared" si="3"/>
        <v>12500</v>
      </c>
      <c r="K23">
        <f t="shared" si="4"/>
        <v>12500</v>
      </c>
      <c r="M23" t="str">
        <f t="shared" si="5"/>
        <v>X</v>
      </c>
      <c r="N23" t="e">
        <f t="shared" si="6"/>
        <v>#N/A</v>
      </c>
      <c r="O23">
        <v>0</v>
      </c>
      <c r="P23" t="e">
        <f t="shared" si="7"/>
        <v>#N/A</v>
      </c>
      <c r="AG23" s="25" t="str">
        <f t="shared" si="2"/>
        <v>X</v>
      </c>
      <c r="AH23" s="29" t="e">
        <f t="shared" si="10"/>
        <v>#N/A</v>
      </c>
      <c r="AI23" s="29" t="e">
        <f t="shared" si="10"/>
        <v>#N/A</v>
      </c>
      <c r="AJ23" s="29" t="e">
        <f t="shared" si="10"/>
        <v>#N/A</v>
      </c>
      <c r="AK23" s="29" t="e">
        <f t="shared" si="10"/>
        <v>#N/A</v>
      </c>
      <c r="AL23" s="29" t="e">
        <f t="shared" si="10"/>
        <v>#N/A</v>
      </c>
      <c r="AM23" s="29" t="e">
        <f t="shared" si="10"/>
        <v>#N/A</v>
      </c>
      <c r="AN23" s="29" t="e">
        <f t="shared" si="10"/>
        <v>#N/A</v>
      </c>
      <c r="AO23" s="29" t="e">
        <f t="shared" si="10"/>
        <v>#N/A</v>
      </c>
      <c r="AP23" s="29" t="e">
        <f t="shared" si="10"/>
        <v>#N/A</v>
      </c>
      <c r="AQ23" s="29" t="e">
        <f t="shared" si="10"/>
        <v>#N/A</v>
      </c>
      <c r="AR23" s="29" t="e">
        <f t="shared" si="10"/>
        <v>#N/A</v>
      </c>
      <c r="AS23" s="29" t="e">
        <f t="shared" si="10"/>
        <v>#N/A</v>
      </c>
      <c r="AT23" s="29" t="e">
        <f t="shared" si="10"/>
        <v>#N/A</v>
      </c>
      <c r="AU23" s="29" t="e">
        <f t="shared" si="10"/>
        <v>#N/A</v>
      </c>
      <c r="AV23" s="29" t="e">
        <f t="shared" si="10"/>
        <v>#N/A</v>
      </c>
      <c r="AW23" s="29" t="e">
        <f t="shared" si="9"/>
        <v>#N/A</v>
      </c>
      <c r="AX23" s="29" t="e">
        <f t="shared" si="1"/>
        <v>#N/A</v>
      </c>
      <c r="AY23" s="29" t="e">
        <f t="shared" si="1"/>
        <v>#N/A</v>
      </c>
      <c r="AZ23" s="29" t="e">
        <f t="shared" si="1"/>
        <v>#N/A</v>
      </c>
      <c r="BA23" s="29" t="e">
        <f t="shared" si="1"/>
        <v>#N/A</v>
      </c>
      <c r="BB23" s="29" t="e">
        <f t="shared" si="1"/>
        <v>#N/A</v>
      </c>
      <c r="BC23" s="29" t="e">
        <f t="shared" si="1"/>
        <v>#N/A</v>
      </c>
      <c r="BD23" s="29" t="e">
        <f t="shared" si="1"/>
        <v>#N/A</v>
      </c>
      <c r="BE23" s="29" t="e">
        <f t="shared" si="1"/>
        <v>#N/A</v>
      </c>
      <c r="BF23" s="29" t="e">
        <f t="shared" si="1"/>
        <v>#N/A</v>
      </c>
      <c r="BG23" s="29" t="e">
        <f t="shared" si="1"/>
        <v>#N/A</v>
      </c>
      <c r="BH23" s="29" t="e">
        <f t="shared" si="1"/>
        <v>#N/A</v>
      </c>
      <c r="BI23" s="29" t="e">
        <f t="shared" si="1"/>
        <v>#N/A</v>
      </c>
      <c r="BJ23" s="29" t="e">
        <f t="shared" si="1"/>
        <v>#N/A</v>
      </c>
      <c r="BK23" s="29" t="e">
        <f t="shared" si="1"/>
        <v>#N/A</v>
      </c>
    </row>
    <row r="24" spans="2:63" x14ac:dyDescent="0.25">
      <c r="B24" s="5" t="s">
        <v>46</v>
      </c>
      <c r="C24" s="38"/>
      <c r="F24" s="5" t="str">
        <f t="shared" si="8"/>
        <v>X</v>
      </c>
      <c r="G24" s="38"/>
      <c r="I24" t="s">
        <v>46</v>
      </c>
      <c r="J24" t="e">
        <f t="shared" si="3"/>
        <v>#N/A</v>
      </c>
      <c r="K24" t="e">
        <f t="shared" si="4"/>
        <v>#N/A</v>
      </c>
      <c r="M24" t="str">
        <f t="shared" si="5"/>
        <v>X</v>
      </c>
      <c r="N24" t="e">
        <f t="shared" si="6"/>
        <v>#N/A</v>
      </c>
      <c r="O24">
        <v>0</v>
      </c>
      <c r="P24" t="e">
        <f t="shared" si="7"/>
        <v>#N/A</v>
      </c>
      <c r="AG24" s="25" t="str">
        <f t="shared" si="2"/>
        <v>X</v>
      </c>
      <c r="AH24" s="29" t="e">
        <f t="shared" si="10"/>
        <v>#N/A</v>
      </c>
      <c r="AI24" s="29" t="e">
        <f t="shared" si="10"/>
        <v>#N/A</v>
      </c>
      <c r="AJ24" s="29" t="e">
        <f t="shared" si="10"/>
        <v>#N/A</v>
      </c>
      <c r="AK24" s="29" t="e">
        <f t="shared" si="10"/>
        <v>#N/A</v>
      </c>
      <c r="AL24" s="29" t="e">
        <f t="shared" si="10"/>
        <v>#N/A</v>
      </c>
      <c r="AM24" s="29" t="e">
        <f t="shared" si="10"/>
        <v>#N/A</v>
      </c>
      <c r="AN24" s="29" t="e">
        <f t="shared" si="10"/>
        <v>#N/A</v>
      </c>
      <c r="AO24" s="29" t="e">
        <f t="shared" si="10"/>
        <v>#N/A</v>
      </c>
      <c r="AP24" s="29" t="e">
        <f t="shared" si="10"/>
        <v>#N/A</v>
      </c>
      <c r="AQ24" s="29" t="e">
        <f t="shared" si="10"/>
        <v>#N/A</v>
      </c>
      <c r="AR24" s="29" t="e">
        <f t="shared" si="10"/>
        <v>#N/A</v>
      </c>
      <c r="AS24" s="29" t="e">
        <f t="shared" si="10"/>
        <v>#N/A</v>
      </c>
      <c r="AT24" s="29" t="e">
        <f t="shared" si="10"/>
        <v>#N/A</v>
      </c>
      <c r="AU24" s="29" t="e">
        <f t="shared" si="10"/>
        <v>#N/A</v>
      </c>
      <c r="AV24" s="29" t="e">
        <f t="shared" si="10"/>
        <v>#N/A</v>
      </c>
      <c r="AW24" s="29" t="e">
        <f t="shared" si="9"/>
        <v>#N/A</v>
      </c>
      <c r="AX24" s="29" t="e">
        <f t="shared" si="1"/>
        <v>#N/A</v>
      </c>
      <c r="AY24" s="29" t="e">
        <f t="shared" si="1"/>
        <v>#N/A</v>
      </c>
      <c r="AZ24" s="29" t="e">
        <f t="shared" si="1"/>
        <v>#N/A</v>
      </c>
      <c r="BA24" s="29" t="e">
        <f t="shared" ref="BA24:BK35" si="11">(V156-$C$5)/$C$5</f>
        <v>#N/A</v>
      </c>
      <c r="BB24" s="29" t="e">
        <f t="shared" si="11"/>
        <v>#N/A</v>
      </c>
      <c r="BC24" s="29" t="e">
        <f t="shared" si="11"/>
        <v>#N/A</v>
      </c>
      <c r="BD24" s="29" t="e">
        <f t="shared" si="11"/>
        <v>#N/A</v>
      </c>
      <c r="BE24" s="29" t="e">
        <f t="shared" si="11"/>
        <v>#N/A</v>
      </c>
      <c r="BF24" s="29" t="e">
        <f t="shared" si="11"/>
        <v>#N/A</v>
      </c>
      <c r="BG24" s="29" t="e">
        <f t="shared" si="11"/>
        <v>#N/A</v>
      </c>
      <c r="BH24" s="29" t="e">
        <f t="shared" si="11"/>
        <v>#N/A</v>
      </c>
      <c r="BI24" s="29" t="e">
        <f t="shared" si="11"/>
        <v>#N/A</v>
      </c>
      <c r="BJ24" s="29" t="e">
        <f t="shared" si="11"/>
        <v>#N/A</v>
      </c>
      <c r="BK24" s="29" t="e">
        <f t="shared" si="11"/>
        <v>#N/A</v>
      </c>
    </row>
    <row r="25" spans="2:63" x14ac:dyDescent="0.25">
      <c r="B25" s="5" t="s">
        <v>47</v>
      </c>
      <c r="C25" s="38"/>
      <c r="F25" s="5" t="str">
        <f t="shared" si="8"/>
        <v>X</v>
      </c>
      <c r="G25" s="38"/>
      <c r="I25" t="s">
        <v>47</v>
      </c>
      <c r="J25" t="e">
        <f t="shared" si="3"/>
        <v>#N/A</v>
      </c>
      <c r="K25" t="e">
        <f t="shared" si="4"/>
        <v>#N/A</v>
      </c>
      <c r="M25" t="str">
        <f t="shared" si="5"/>
        <v>X</v>
      </c>
      <c r="N25" t="e">
        <f t="shared" si="6"/>
        <v>#N/A</v>
      </c>
      <c r="O25">
        <v>0</v>
      </c>
      <c r="P25" t="e">
        <f t="shared" si="7"/>
        <v>#N/A</v>
      </c>
      <c r="AG25" s="25" t="str">
        <f t="shared" si="2"/>
        <v>X</v>
      </c>
      <c r="AH25" s="29" t="e">
        <f t="shared" si="10"/>
        <v>#N/A</v>
      </c>
      <c r="AI25" s="29" t="e">
        <f t="shared" si="10"/>
        <v>#N/A</v>
      </c>
      <c r="AJ25" s="29" t="e">
        <f t="shared" si="10"/>
        <v>#N/A</v>
      </c>
      <c r="AK25" s="29" t="e">
        <f t="shared" si="10"/>
        <v>#N/A</v>
      </c>
      <c r="AL25" s="29" t="e">
        <f t="shared" si="10"/>
        <v>#N/A</v>
      </c>
      <c r="AM25" s="29" t="e">
        <f t="shared" si="10"/>
        <v>#N/A</v>
      </c>
      <c r="AN25" s="29" t="e">
        <f t="shared" si="10"/>
        <v>#N/A</v>
      </c>
      <c r="AO25" s="29" t="e">
        <f t="shared" si="10"/>
        <v>#N/A</v>
      </c>
      <c r="AP25" s="29" t="e">
        <f t="shared" si="10"/>
        <v>#N/A</v>
      </c>
      <c r="AQ25" s="29" t="e">
        <f t="shared" si="10"/>
        <v>#N/A</v>
      </c>
      <c r="AR25" s="29" t="e">
        <f t="shared" si="10"/>
        <v>#N/A</v>
      </c>
      <c r="AS25" s="29" t="e">
        <f t="shared" si="10"/>
        <v>#N/A</v>
      </c>
      <c r="AT25" s="29" t="e">
        <f t="shared" si="10"/>
        <v>#N/A</v>
      </c>
      <c r="AU25" s="29" t="e">
        <f t="shared" si="10"/>
        <v>#N/A</v>
      </c>
      <c r="AV25" s="29" t="e">
        <f t="shared" si="10"/>
        <v>#N/A</v>
      </c>
      <c r="AW25" s="29" t="e">
        <f t="shared" si="9"/>
        <v>#N/A</v>
      </c>
      <c r="AX25" s="29" t="e">
        <f t="shared" si="9"/>
        <v>#N/A</v>
      </c>
      <c r="AY25" s="29" t="e">
        <f t="shared" si="9"/>
        <v>#N/A</v>
      </c>
      <c r="AZ25" s="29" t="e">
        <f t="shared" si="9"/>
        <v>#N/A</v>
      </c>
      <c r="BA25" s="29" t="e">
        <f t="shared" si="11"/>
        <v>#N/A</v>
      </c>
      <c r="BB25" s="29" t="e">
        <f t="shared" si="11"/>
        <v>#N/A</v>
      </c>
      <c r="BC25" s="29" t="e">
        <f t="shared" si="11"/>
        <v>#N/A</v>
      </c>
      <c r="BD25" s="29" t="e">
        <f t="shared" si="11"/>
        <v>#N/A</v>
      </c>
      <c r="BE25" s="29" t="e">
        <f t="shared" si="11"/>
        <v>#N/A</v>
      </c>
      <c r="BF25" s="29" t="e">
        <f t="shared" si="11"/>
        <v>#N/A</v>
      </c>
      <c r="BG25" s="29" t="e">
        <f t="shared" si="11"/>
        <v>#N/A</v>
      </c>
      <c r="BH25" s="29" t="e">
        <f t="shared" si="11"/>
        <v>#N/A</v>
      </c>
      <c r="BI25" s="29" t="e">
        <f t="shared" si="11"/>
        <v>#N/A</v>
      </c>
      <c r="BJ25" s="29" t="e">
        <f t="shared" si="11"/>
        <v>#N/A</v>
      </c>
      <c r="BK25" s="29" t="e">
        <f t="shared" si="11"/>
        <v>#N/A</v>
      </c>
    </row>
    <row r="26" spans="2:63" x14ac:dyDescent="0.25">
      <c r="B26" s="5" t="s">
        <v>48</v>
      </c>
      <c r="C26" s="38"/>
      <c r="F26" s="5" t="str">
        <f t="shared" si="8"/>
        <v>X</v>
      </c>
      <c r="G26" s="38"/>
      <c r="I26" t="s">
        <v>48</v>
      </c>
      <c r="J26" t="e">
        <f t="shared" si="3"/>
        <v>#N/A</v>
      </c>
      <c r="K26" t="e">
        <f t="shared" si="4"/>
        <v>#N/A</v>
      </c>
      <c r="M26" t="str">
        <f t="shared" si="5"/>
        <v>X</v>
      </c>
      <c r="N26" t="e">
        <f t="shared" si="6"/>
        <v>#N/A</v>
      </c>
      <c r="O26">
        <v>0</v>
      </c>
      <c r="P26" t="e">
        <f t="shared" si="7"/>
        <v>#N/A</v>
      </c>
      <c r="AG26" s="25" t="str">
        <f t="shared" si="2"/>
        <v>X</v>
      </c>
      <c r="AH26" s="29" t="e">
        <f t="shared" si="10"/>
        <v>#N/A</v>
      </c>
      <c r="AI26" s="29" t="e">
        <f t="shared" si="10"/>
        <v>#N/A</v>
      </c>
      <c r="AJ26" s="29" t="e">
        <f t="shared" si="10"/>
        <v>#N/A</v>
      </c>
      <c r="AK26" s="29" t="e">
        <f t="shared" si="10"/>
        <v>#N/A</v>
      </c>
      <c r="AL26" s="29" t="e">
        <f t="shared" si="10"/>
        <v>#N/A</v>
      </c>
      <c r="AM26" s="29" t="e">
        <f t="shared" si="10"/>
        <v>#N/A</v>
      </c>
      <c r="AN26" s="29" t="e">
        <f t="shared" si="10"/>
        <v>#N/A</v>
      </c>
      <c r="AO26" s="29" t="e">
        <f t="shared" si="10"/>
        <v>#N/A</v>
      </c>
      <c r="AP26" s="29" t="e">
        <f t="shared" si="10"/>
        <v>#N/A</v>
      </c>
      <c r="AQ26" s="29" t="e">
        <f t="shared" si="10"/>
        <v>#N/A</v>
      </c>
      <c r="AR26" s="29" t="e">
        <f t="shared" si="10"/>
        <v>#N/A</v>
      </c>
      <c r="AS26" s="29" t="e">
        <f t="shared" si="10"/>
        <v>#N/A</v>
      </c>
      <c r="AT26" s="29" t="e">
        <f t="shared" si="10"/>
        <v>#N/A</v>
      </c>
      <c r="AU26" s="29" t="e">
        <f t="shared" si="10"/>
        <v>#N/A</v>
      </c>
      <c r="AV26" s="29" t="e">
        <f t="shared" si="10"/>
        <v>#N/A</v>
      </c>
      <c r="AW26" s="29" t="e">
        <f t="shared" si="9"/>
        <v>#N/A</v>
      </c>
      <c r="AX26" s="29" t="e">
        <f t="shared" si="9"/>
        <v>#N/A</v>
      </c>
      <c r="AY26" s="29" t="e">
        <f t="shared" si="9"/>
        <v>#N/A</v>
      </c>
      <c r="AZ26" s="29" t="e">
        <f t="shared" si="9"/>
        <v>#N/A</v>
      </c>
      <c r="BA26" s="29" t="e">
        <f t="shared" si="11"/>
        <v>#N/A</v>
      </c>
      <c r="BB26" s="29" t="e">
        <f t="shared" si="11"/>
        <v>#N/A</v>
      </c>
      <c r="BC26" s="29" t="e">
        <f t="shared" si="11"/>
        <v>#N/A</v>
      </c>
      <c r="BD26" s="29" t="e">
        <f t="shared" si="11"/>
        <v>#N/A</v>
      </c>
      <c r="BE26" s="29" t="e">
        <f t="shared" si="11"/>
        <v>#N/A</v>
      </c>
      <c r="BF26" s="29" t="e">
        <f t="shared" si="11"/>
        <v>#N/A</v>
      </c>
      <c r="BG26" s="29" t="e">
        <f t="shared" si="11"/>
        <v>#N/A</v>
      </c>
      <c r="BH26" s="29" t="e">
        <f t="shared" si="11"/>
        <v>#N/A</v>
      </c>
      <c r="BI26" s="29" t="e">
        <f t="shared" si="11"/>
        <v>#N/A</v>
      </c>
      <c r="BJ26" s="29" t="e">
        <f t="shared" si="11"/>
        <v>#N/A</v>
      </c>
      <c r="BK26" s="29" t="e">
        <f t="shared" si="11"/>
        <v>#N/A</v>
      </c>
    </row>
    <row r="27" spans="2:63" x14ac:dyDescent="0.25">
      <c r="B27" s="5" t="s">
        <v>49</v>
      </c>
      <c r="C27" s="38"/>
      <c r="F27" s="5" t="str">
        <f t="shared" si="8"/>
        <v>X</v>
      </c>
      <c r="G27" s="38"/>
      <c r="I27" t="s">
        <v>49</v>
      </c>
      <c r="J27" t="e">
        <f t="shared" si="3"/>
        <v>#N/A</v>
      </c>
      <c r="K27" t="e">
        <f t="shared" si="4"/>
        <v>#N/A</v>
      </c>
      <c r="M27" t="str">
        <f t="shared" si="5"/>
        <v>X</v>
      </c>
      <c r="N27" t="e">
        <f t="shared" si="6"/>
        <v>#N/A</v>
      </c>
      <c r="O27">
        <v>0</v>
      </c>
      <c r="P27" t="e">
        <f t="shared" si="7"/>
        <v>#N/A</v>
      </c>
      <c r="AG27" s="25" t="str">
        <f t="shared" si="2"/>
        <v>X</v>
      </c>
      <c r="AH27" s="29" t="e">
        <f t="shared" si="10"/>
        <v>#N/A</v>
      </c>
      <c r="AI27" s="29" t="e">
        <f t="shared" si="10"/>
        <v>#N/A</v>
      </c>
      <c r="AJ27" s="29" t="e">
        <f t="shared" si="10"/>
        <v>#N/A</v>
      </c>
      <c r="AK27" s="29" t="e">
        <f t="shared" si="10"/>
        <v>#N/A</v>
      </c>
      <c r="AL27" s="29" t="e">
        <f t="shared" si="10"/>
        <v>#N/A</v>
      </c>
      <c r="AM27" s="29" t="e">
        <f t="shared" si="10"/>
        <v>#N/A</v>
      </c>
      <c r="AN27" s="29" t="e">
        <f t="shared" si="10"/>
        <v>#N/A</v>
      </c>
      <c r="AO27" s="29" t="e">
        <f t="shared" si="10"/>
        <v>#N/A</v>
      </c>
      <c r="AP27" s="29" t="e">
        <f t="shared" si="10"/>
        <v>#N/A</v>
      </c>
      <c r="AQ27" s="29" t="e">
        <f t="shared" si="10"/>
        <v>#N/A</v>
      </c>
      <c r="AR27" s="29" t="e">
        <f t="shared" si="10"/>
        <v>#N/A</v>
      </c>
      <c r="AS27" s="29" t="e">
        <f t="shared" si="10"/>
        <v>#N/A</v>
      </c>
      <c r="AT27" s="29" t="e">
        <f t="shared" si="10"/>
        <v>#N/A</v>
      </c>
      <c r="AU27" s="29" t="e">
        <f t="shared" si="10"/>
        <v>#N/A</v>
      </c>
      <c r="AV27" s="29" t="e">
        <f t="shared" si="10"/>
        <v>#N/A</v>
      </c>
      <c r="AW27" s="29" t="e">
        <f t="shared" si="9"/>
        <v>#N/A</v>
      </c>
      <c r="AX27" s="29" t="e">
        <f t="shared" si="9"/>
        <v>#N/A</v>
      </c>
      <c r="AY27" s="29" t="e">
        <f t="shared" si="9"/>
        <v>#N/A</v>
      </c>
      <c r="AZ27" s="29" t="e">
        <f t="shared" si="9"/>
        <v>#N/A</v>
      </c>
      <c r="BA27" s="29" t="e">
        <f t="shared" si="11"/>
        <v>#N/A</v>
      </c>
      <c r="BB27" s="29" t="e">
        <f t="shared" si="11"/>
        <v>#N/A</v>
      </c>
      <c r="BC27" s="29" t="e">
        <f t="shared" si="11"/>
        <v>#N/A</v>
      </c>
      <c r="BD27" s="29" t="e">
        <f t="shared" si="11"/>
        <v>#N/A</v>
      </c>
      <c r="BE27" s="29" t="e">
        <f t="shared" si="11"/>
        <v>#N/A</v>
      </c>
      <c r="BF27" s="29" t="e">
        <f t="shared" si="11"/>
        <v>#N/A</v>
      </c>
      <c r="BG27" s="29" t="e">
        <f t="shared" si="11"/>
        <v>#N/A</v>
      </c>
      <c r="BH27" s="29" t="e">
        <f t="shared" si="11"/>
        <v>#N/A</v>
      </c>
      <c r="BI27" s="29" t="e">
        <f t="shared" si="11"/>
        <v>#N/A</v>
      </c>
      <c r="BJ27" s="29" t="e">
        <f t="shared" si="11"/>
        <v>#N/A</v>
      </c>
      <c r="BK27" s="29" t="e">
        <f t="shared" si="11"/>
        <v>#N/A</v>
      </c>
    </row>
    <row r="28" spans="2:63" x14ac:dyDescent="0.25">
      <c r="B28" s="5" t="s">
        <v>50</v>
      </c>
      <c r="C28" s="38"/>
      <c r="F28" s="5" t="str">
        <f t="shared" si="8"/>
        <v>X</v>
      </c>
      <c r="G28" s="38"/>
      <c r="I28" t="s">
        <v>50</v>
      </c>
      <c r="J28" t="e">
        <f t="shared" si="3"/>
        <v>#N/A</v>
      </c>
      <c r="K28" t="e">
        <f t="shared" si="4"/>
        <v>#N/A</v>
      </c>
      <c r="M28" t="str">
        <f t="shared" si="5"/>
        <v>X</v>
      </c>
      <c r="N28" t="e">
        <f t="shared" si="6"/>
        <v>#N/A</v>
      </c>
      <c r="O28">
        <v>0</v>
      </c>
      <c r="P28" t="e">
        <f t="shared" si="7"/>
        <v>#N/A</v>
      </c>
      <c r="AG28" s="25" t="str">
        <f t="shared" si="2"/>
        <v>X</v>
      </c>
      <c r="AH28" s="29" t="e">
        <f t="shared" si="10"/>
        <v>#N/A</v>
      </c>
      <c r="AI28" s="29" t="e">
        <f t="shared" si="10"/>
        <v>#N/A</v>
      </c>
      <c r="AJ28" s="29" t="e">
        <f t="shared" si="10"/>
        <v>#N/A</v>
      </c>
      <c r="AK28" s="29" t="e">
        <f t="shared" si="10"/>
        <v>#N/A</v>
      </c>
      <c r="AL28" s="29" t="e">
        <f t="shared" si="10"/>
        <v>#N/A</v>
      </c>
      <c r="AM28" s="29" t="e">
        <f t="shared" si="10"/>
        <v>#N/A</v>
      </c>
      <c r="AN28" s="29" t="e">
        <f t="shared" si="10"/>
        <v>#N/A</v>
      </c>
      <c r="AO28" s="29" t="e">
        <f t="shared" si="10"/>
        <v>#N/A</v>
      </c>
      <c r="AP28" s="29" t="e">
        <f t="shared" si="10"/>
        <v>#N/A</v>
      </c>
      <c r="AQ28" s="29" t="e">
        <f t="shared" si="10"/>
        <v>#N/A</v>
      </c>
      <c r="AR28" s="29" t="e">
        <f t="shared" si="10"/>
        <v>#N/A</v>
      </c>
      <c r="AS28" s="29" t="e">
        <f t="shared" si="10"/>
        <v>#N/A</v>
      </c>
      <c r="AT28" s="29" t="e">
        <f t="shared" si="10"/>
        <v>#N/A</v>
      </c>
      <c r="AU28" s="29" t="e">
        <f t="shared" si="10"/>
        <v>#N/A</v>
      </c>
      <c r="AV28" s="29" t="e">
        <f t="shared" si="10"/>
        <v>#N/A</v>
      </c>
      <c r="AW28" s="29" t="e">
        <f t="shared" si="9"/>
        <v>#N/A</v>
      </c>
      <c r="AX28" s="29" t="e">
        <f t="shared" si="9"/>
        <v>#N/A</v>
      </c>
      <c r="AY28" s="29" t="e">
        <f t="shared" si="9"/>
        <v>#N/A</v>
      </c>
      <c r="AZ28" s="29" t="e">
        <f t="shared" si="9"/>
        <v>#N/A</v>
      </c>
      <c r="BA28" s="29" t="e">
        <f t="shared" si="11"/>
        <v>#N/A</v>
      </c>
      <c r="BB28" s="29" t="e">
        <f t="shared" si="11"/>
        <v>#N/A</v>
      </c>
      <c r="BC28" s="29" t="e">
        <f t="shared" si="11"/>
        <v>#N/A</v>
      </c>
      <c r="BD28" s="29" t="e">
        <f t="shared" si="11"/>
        <v>#N/A</v>
      </c>
      <c r="BE28" s="29" t="e">
        <f t="shared" si="11"/>
        <v>#N/A</v>
      </c>
      <c r="BF28" s="29" t="e">
        <f t="shared" si="11"/>
        <v>#N/A</v>
      </c>
      <c r="BG28" s="29" t="e">
        <f t="shared" si="11"/>
        <v>#N/A</v>
      </c>
      <c r="BH28" s="29" t="e">
        <f t="shared" si="11"/>
        <v>#N/A</v>
      </c>
      <c r="BI28" s="29" t="e">
        <f t="shared" si="11"/>
        <v>#N/A</v>
      </c>
      <c r="BJ28" s="29" t="e">
        <f t="shared" si="11"/>
        <v>#N/A</v>
      </c>
      <c r="BK28" s="29" t="e">
        <f t="shared" si="11"/>
        <v>#N/A</v>
      </c>
    </row>
    <row r="29" spans="2:63" x14ac:dyDescent="0.25">
      <c r="B29" s="5" t="s">
        <v>51</v>
      </c>
      <c r="C29" s="38"/>
      <c r="F29" s="5" t="str">
        <f t="shared" si="8"/>
        <v>X</v>
      </c>
      <c r="G29" s="38"/>
      <c r="I29" t="s">
        <v>51</v>
      </c>
      <c r="J29" t="e">
        <f t="shared" si="3"/>
        <v>#N/A</v>
      </c>
      <c r="K29" t="e">
        <f t="shared" si="4"/>
        <v>#N/A</v>
      </c>
      <c r="M29" t="str">
        <f t="shared" si="5"/>
        <v>X</v>
      </c>
      <c r="N29" t="e">
        <f t="shared" si="6"/>
        <v>#N/A</v>
      </c>
      <c r="O29">
        <v>0</v>
      </c>
      <c r="P29" t="e">
        <f t="shared" si="7"/>
        <v>#N/A</v>
      </c>
      <c r="AG29" s="25" t="str">
        <f t="shared" si="2"/>
        <v>X</v>
      </c>
      <c r="AH29" s="29" t="e">
        <f t="shared" si="10"/>
        <v>#N/A</v>
      </c>
      <c r="AI29" s="29" t="e">
        <f t="shared" si="10"/>
        <v>#N/A</v>
      </c>
      <c r="AJ29" s="29" t="e">
        <f t="shared" si="10"/>
        <v>#N/A</v>
      </c>
      <c r="AK29" s="29" t="e">
        <f t="shared" si="10"/>
        <v>#N/A</v>
      </c>
      <c r="AL29" s="29" t="e">
        <f t="shared" si="10"/>
        <v>#N/A</v>
      </c>
      <c r="AM29" s="29" t="e">
        <f t="shared" si="10"/>
        <v>#N/A</v>
      </c>
      <c r="AN29" s="29" t="e">
        <f t="shared" si="10"/>
        <v>#N/A</v>
      </c>
      <c r="AO29" s="29" t="e">
        <f t="shared" si="10"/>
        <v>#N/A</v>
      </c>
      <c r="AP29" s="29" t="e">
        <f t="shared" si="10"/>
        <v>#N/A</v>
      </c>
      <c r="AQ29" s="29" t="e">
        <f t="shared" si="10"/>
        <v>#N/A</v>
      </c>
      <c r="AR29" s="29" t="e">
        <f t="shared" si="10"/>
        <v>#N/A</v>
      </c>
      <c r="AS29" s="29" t="e">
        <f t="shared" si="10"/>
        <v>#N/A</v>
      </c>
      <c r="AT29" s="29" t="e">
        <f t="shared" si="10"/>
        <v>#N/A</v>
      </c>
      <c r="AU29" s="29" t="e">
        <f t="shared" si="10"/>
        <v>#N/A</v>
      </c>
      <c r="AV29" s="29" t="e">
        <f t="shared" si="10"/>
        <v>#N/A</v>
      </c>
      <c r="AW29" s="29" t="e">
        <f t="shared" si="9"/>
        <v>#N/A</v>
      </c>
      <c r="AX29" s="29" t="e">
        <f t="shared" si="9"/>
        <v>#N/A</v>
      </c>
      <c r="AY29" s="29" t="e">
        <f t="shared" si="9"/>
        <v>#N/A</v>
      </c>
      <c r="AZ29" s="29" t="e">
        <f t="shared" si="9"/>
        <v>#N/A</v>
      </c>
      <c r="BA29" s="29" t="e">
        <f t="shared" si="11"/>
        <v>#N/A</v>
      </c>
      <c r="BB29" s="29" t="e">
        <f t="shared" si="11"/>
        <v>#N/A</v>
      </c>
      <c r="BC29" s="29" t="e">
        <f t="shared" si="11"/>
        <v>#N/A</v>
      </c>
      <c r="BD29" s="29" t="e">
        <f t="shared" si="11"/>
        <v>#N/A</v>
      </c>
      <c r="BE29" s="29" t="e">
        <f t="shared" si="11"/>
        <v>#N/A</v>
      </c>
      <c r="BF29" s="29" t="e">
        <f t="shared" si="11"/>
        <v>#N/A</v>
      </c>
      <c r="BG29" s="29" t="e">
        <f t="shared" si="11"/>
        <v>#N/A</v>
      </c>
      <c r="BH29" s="29" t="e">
        <f t="shared" si="11"/>
        <v>#N/A</v>
      </c>
      <c r="BI29" s="29" t="e">
        <f t="shared" si="11"/>
        <v>#N/A</v>
      </c>
      <c r="BJ29" s="29" t="e">
        <f t="shared" si="11"/>
        <v>#N/A</v>
      </c>
      <c r="BK29" s="29" t="e">
        <f t="shared" si="11"/>
        <v>#N/A</v>
      </c>
    </row>
    <row r="30" spans="2:63" x14ac:dyDescent="0.25">
      <c r="B30" s="5" t="s">
        <v>52</v>
      </c>
      <c r="C30" s="38"/>
      <c r="F30" s="5" t="str">
        <f t="shared" si="8"/>
        <v>X</v>
      </c>
      <c r="G30" s="38"/>
      <c r="I30" t="s">
        <v>52</v>
      </c>
      <c r="J30" t="e">
        <f t="shared" si="3"/>
        <v>#N/A</v>
      </c>
      <c r="K30" t="e">
        <f t="shared" si="4"/>
        <v>#N/A</v>
      </c>
      <c r="M30" t="str">
        <f t="shared" si="5"/>
        <v>X</v>
      </c>
      <c r="N30" t="e">
        <f t="shared" si="6"/>
        <v>#N/A</v>
      </c>
      <c r="O30">
        <v>0</v>
      </c>
      <c r="P30" t="e">
        <f t="shared" si="7"/>
        <v>#N/A</v>
      </c>
      <c r="AG30" s="25" t="str">
        <f t="shared" si="2"/>
        <v>X</v>
      </c>
      <c r="AH30" s="29" t="e">
        <f t="shared" si="10"/>
        <v>#N/A</v>
      </c>
      <c r="AI30" s="29" t="e">
        <f t="shared" si="10"/>
        <v>#N/A</v>
      </c>
      <c r="AJ30" s="29" t="e">
        <f t="shared" si="10"/>
        <v>#N/A</v>
      </c>
      <c r="AK30" s="29" t="e">
        <f t="shared" si="10"/>
        <v>#N/A</v>
      </c>
      <c r="AL30" s="29" t="e">
        <f t="shared" si="10"/>
        <v>#N/A</v>
      </c>
      <c r="AM30" s="29" t="e">
        <f t="shared" si="10"/>
        <v>#N/A</v>
      </c>
      <c r="AN30" s="29" t="e">
        <f t="shared" si="10"/>
        <v>#N/A</v>
      </c>
      <c r="AO30" s="29" t="e">
        <f t="shared" si="10"/>
        <v>#N/A</v>
      </c>
      <c r="AP30" s="29" t="e">
        <f t="shared" si="10"/>
        <v>#N/A</v>
      </c>
      <c r="AQ30" s="29" t="e">
        <f t="shared" si="10"/>
        <v>#N/A</v>
      </c>
      <c r="AR30" s="29" t="e">
        <f t="shared" si="10"/>
        <v>#N/A</v>
      </c>
      <c r="AS30" s="29" t="e">
        <f t="shared" si="10"/>
        <v>#N/A</v>
      </c>
      <c r="AT30" s="29" t="e">
        <f t="shared" si="10"/>
        <v>#N/A</v>
      </c>
      <c r="AU30" s="29" t="e">
        <f t="shared" si="10"/>
        <v>#N/A</v>
      </c>
      <c r="AV30" s="29" t="e">
        <f t="shared" si="10"/>
        <v>#N/A</v>
      </c>
      <c r="AW30" s="29" t="e">
        <f t="shared" si="9"/>
        <v>#N/A</v>
      </c>
      <c r="AX30" s="29" t="e">
        <f t="shared" si="9"/>
        <v>#N/A</v>
      </c>
      <c r="AY30" s="29" t="e">
        <f t="shared" si="9"/>
        <v>#N/A</v>
      </c>
      <c r="AZ30" s="29" t="e">
        <f t="shared" si="9"/>
        <v>#N/A</v>
      </c>
      <c r="BA30" s="29" t="e">
        <f t="shared" si="11"/>
        <v>#N/A</v>
      </c>
      <c r="BB30" s="29" t="e">
        <f t="shared" si="11"/>
        <v>#N/A</v>
      </c>
      <c r="BC30" s="29" t="e">
        <f t="shared" si="11"/>
        <v>#N/A</v>
      </c>
      <c r="BD30" s="29" t="e">
        <f t="shared" si="11"/>
        <v>#N/A</v>
      </c>
      <c r="BE30" s="29" t="e">
        <f t="shared" si="11"/>
        <v>#N/A</v>
      </c>
      <c r="BF30" s="29" t="e">
        <f t="shared" si="11"/>
        <v>#N/A</v>
      </c>
      <c r="BG30" s="29" t="e">
        <f t="shared" si="11"/>
        <v>#N/A</v>
      </c>
      <c r="BH30" s="29" t="e">
        <f t="shared" si="11"/>
        <v>#N/A</v>
      </c>
      <c r="BI30" s="29" t="e">
        <f t="shared" si="11"/>
        <v>#N/A</v>
      </c>
      <c r="BJ30" s="29" t="e">
        <f t="shared" si="11"/>
        <v>#N/A</v>
      </c>
      <c r="BK30" s="29" t="e">
        <f t="shared" si="11"/>
        <v>#N/A</v>
      </c>
    </row>
    <row r="31" spans="2:63" x14ac:dyDescent="0.25">
      <c r="B31" s="5" t="s">
        <v>53</v>
      </c>
      <c r="C31" s="38"/>
      <c r="F31" s="5" t="str">
        <f t="shared" si="8"/>
        <v>X</v>
      </c>
      <c r="G31" s="38"/>
      <c r="I31" t="s">
        <v>53</v>
      </c>
      <c r="J31" t="e">
        <f t="shared" si="3"/>
        <v>#N/A</v>
      </c>
      <c r="K31" t="e">
        <f t="shared" si="4"/>
        <v>#N/A</v>
      </c>
      <c r="M31" t="str">
        <f t="shared" si="5"/>
        <v>X</v>
      </c>
      <c r="N31" t="e">
        <f t="shared" si="6"/>
        <v>#N/A</v>
      </c>
      <c r="O31">
        <v>0</v>
      </c>
      <c r="P31" t="e">
        <f t="shared" si="7"/>
        <v>#N/A</v>
      </c>
      <c r="AG31" s="25" t="str">
        <f t="shared" si="2"/>
        <v>X</v>
      </c>
      <c r="AH31" s="29" t="e">
        <f t="shared" si="10"/>
        <v>#N/A</v>
      </c>
      <c r="AI31" s="29" t="e">
        <f t="shared" si="10"/>
        <v>#N/A</v>
      </c>
      <c r="AJ31" s="29" t="e">
        <f t="shared" si="10"/>
        <v>#N/A</v>
      </c>
      <c r="AK31" s="29" t="e">
        <f t="shared" si="10"/>
        <v>#N/A</v>
      </c>
      <c r="AL31" s="29" t="e">
        <f t="shared" si="10"/>
        <v>#N/A</v>
      </c>
      <c r="AM31" s="29" t="e">
        <f t="shared" si="10"/>
        <v>#N/A</v>
      </c>
      <c r="AN31" s="29" t="e">
        <f t="shared" si="10"/>
        <v>#N/A</v>
      </c>
      <c r="AO31" s="29" t="e">
        <f t="shared" si="10"/>
        <v>#N/A</v>
      </c>
      <c r="AP31" s="29" t="e">
        <f t="shared" si="10"/>
        <v>#N/A</v>
      </c>
      <c r="AQ31" s="29" t="e">
        <f t="shared" si="10"/>
        <v>#N/A</v>
      </c>
      <c r="AR31" s="29" t="e">
        <f t="shared" si="10"/>
        <v>#N/A</v>
      </c>
      <c r="AS31" s="29" t="e">
        <f t="shared" si="10"/>
        <v>#N/A</v>
      </c>
      <c r="AT31" s="29" t="e">
        <f t="shared" si="10"/>
        <v>#N/A</v>
      </c>
      <c r="AU31" s="29" t="e">
        <f t="shared" si="10"/>
        <v>#N/A</v>
      </c>
      <c r="AV31" s="29" t="e">
        <f t="shared" si="10"/>
        <v>#N/A</v>
      </c>
      <c r="AW31" s="29" t="e">
        <f t="shared" si="9"/>
        <v>#N/A</v>
      </c>
      <c r="AX31" s="29" t="e">
        <f t="shared" si="9"/>
        <v>#N/A</v>
      </c>
      <c r="AY31" s="29" t="e">
        <f t="shared" si="9"/>
        <v>#N/A</v>
      </c>
      <c r="AZ31" s="29" t="e">
        <f t="shared" si="9"/>
        <v>#N/A</v>
      </c>
      <c r="BA31" s="29" t="e">
        <f t="shared" si="11"/>
        <v>#N/A</v>
      </c>
      <c r="BB31" s="29" t="e">
        <f t="shared" si="11"/>
        <v>#N/A</v>
      </c>
      <c r="BC31" s="29" t="e">
        <f t="shared" si="11"/>
        <v>#N/A</v>
      </c>
      <c r="BD31" s="29" t="e">
        <f t="shared" si="11"/>
        <v>#N/A</v>
      </c>
      <c r="BE31" s="29" t="e">
        <f t="shared" si="11"/>
        <v>#N/A</v>
      </c>
      <c r="BF31" s="29" t="e">
        <f t="shared" si="11"/>
        <v>#N/A</v>
      </c>
      <c r="BG31" s="29" t="e">
        <f t="shared" si="11"/>
        <v>#N/A</v>
      </c>
      <c r="BH31" s="29" t="e">
        <f t="shared" si="11"/>
        <v>#N/A</v>
      </c>
      <c r="BI31" s="29" t="e">
        <f t="shared" si="11"/>
        <v>#N/A</v>
      </c>
      <c r="BJ31" s="29" t="e">
        <f t="shared" si="11"/>
        <v>#N/A</v>
      </c>
      <c r="BK31" s="29" t="e">
        <f t="shared" si="11"/>
        <v>#N/A</v>
      </c>
    </row>
    <row r="32" spans="2:63" x14ac:dyDescent="0.25">
      <c r="B32" s="5" t="s">
        <v>54</v>
      </c>
      <c r="C32" s="38"/>
      <c r="F32" s="5" t="str">
        <f t="shared" si="8"/>
        <v>X</v>
      </c>
      <c r="G32" s="38"/>
      <c r="I32" t="s">
        <v>54</v>
      </c>
      <c r="J32" t="e">
        <f t="shared" si="3"/>
        <v>#N/A</v>
      </c>
      <c r="K32" t="e">
        <f t="shared" si="4"/>
        <v>#N/A</v>
      </c>
      <c r="M32" t="str">
        <f t="shared" si="5"/>
        <v>X</v>
      </c>
      <c r="N32" t="e">
        <f t="shared" si="6"/>
        <v>#N/A</v>
      </c>
      <c r="O32">
        <v>0</v>
      </c>
      <c r="P32" t="e">
        <f t="shared" si="7"/>
        <v>#N/A</v>
      </c>
      <c r="AG32" s="25" t="str">
        <f t="shared" si="2"/>
        <v>X</v>
      </c>
      <c r="AH32" s="29" t="e">
        <f t="shared" si="10"/>
        <v>#N/A</v>
      </c>
      <c r="AI32" s="29" t="e">
        <f t="shared" si="10"/>
        <v>#N/A</v>
      </c>
      <c r="AJ32" s="29" t="e">
        <f t="shared" si="10"/>
        <v>#N/A</v>
      </c>
      <c r="AK32" s="29" t="e">
        <f t="shared" si="10"/>
        <v>#N/A</v>
      </c>
      <c r="AL32" s="29" t="e">
        <f t="shared" si="10"/>
        <v>#N/A</v>
      </c>
      <c r="AM32" s="29" t="e">
        <f t="shared" si="10"/>
        <v>#N/A</v>
      </c>
      <c r="AN32" s="29" t="e">
        <f t="shared" si="10"/>
        <v>#N/A</v>
      </c>
      <c r="AO32" s="29" t="e">
        <f t="shared" si="10"/>
        <v>#N/A</v>
      </c>
      <c r="AP32" s="29" t="e">
        <f t="shared" si="10"/>
        <v>#N/A</v>
      </c>
      <c r="AQ32" s="29" t="e">
        <f t="shared" si="10"/>
        <v>#N/A</v>
      </c>
      <c r="AR32" s="29" t="e">
        <f t="shared" si="10"/>
        <v>#N/A</v>
      </c>
      <c r="AS32" s="29" t="e">
        <f t="shared" si="10"/>
        <v>#N/A</v>
      </c>
      <c r="AT32" s="29" t="e">
        <f t="shared" si="10"/>
        <v>#N/A</v>
      </c>
      <c r="AU32" s="29" t="e">
        <f t="shared" si="10"/>
        <v>#N/A</v>
      </c>
      <c r="AV32" s="29" t="e">
        <f t="shared" si="10"/>
        <v>#N/A</v>
      </c>
      <c r="AW32" s="29" t="e">
        <f t="shared" si="9"/>
        <v>#N/A</v>
      </c>
      <c r="AX32" s="29" t="e">
        <f t="shared" si="9"/>
        <v>#N/A</v>
      </c>
      <c r="AY32" s="29" t="e">
        <f t="shared" si="9"/>
        <v>#N/A</v>
      </c>
      <c r="AZ32" s="29" t="e">
        <f t="shared" si="9"/>
        <v>#N/A</v>
      </c>
      <c r="BA32" s="29" t="e">
        <f t="shared" si="11"/>
        <v>#N/A</v>
      </c>
      <c r="BB32" s="29" t="e">
        <f t="shared" si="11"/>
        <v>#N/A</v>
      </c>
      <c r="BC32" s="29" t="e">
        <f t="shared" si="11"/>
        <v>#N/A</v>
      </c>
      <c r="BD32" s="29" t="e">
        <f t="shared" si="11"/>
        <v>#N/A</v>
      </c>
      <c r="BE32" s="29" t="e">
        <f t="shared" si="11"/>
        <v>#N/A</v>
      </c>
      <c r="BF32" s="29" t="e">
        <f t="shared" si="11"/>
        <v>#N/A</v>
      </c>
      <c r="BG32" s="29" t="e">
        <f t="shared" si="11"/>
        <v>#N/A</v>
      </c>
      <c r="BH32" s="29" t="e">
        <f t="shared" si="11"/>
        <v>#N/A</v>
      </c>
      <c r="BI32" s="29" t="e">
        <f t="shared" si="11"/>
        <v>#N/A</v>
      </c>
      <c r="BJ32" s="29" t="e">
        <f t="shared" si="11"/>
        <v>#N/A</v>
      </c>
      <c r="BK32" s="29" t="e">
        <f t="shared" si="11"/>
        <v>#N/A</v>
      </c>
    </row>
    <row r="33" spans="2:63" x14ac:dyDescent="0.25">
      <c r="B33" s="5" t="s">
        <v>55</v>
      </c>
      <c r="C33" s="38"/>
      <c r="F33" s="5" t="str">
        <f t="shared" si="8"/>
        <v>X</v>
      </c>
      <c r="G33" s="38"/>
      <c r="I33" t="s">
        <v>55</v>
      </c>
      <c r="J33" t="e">
        <f t="shared" si="3"/>
        <v>#N/A</v>
      </c>
      <c r="K33" t="e">
        <f t="shared" si="4"/>
        <v>#N/A</v>
      </c>
      <c r="M33" t="str">
        <f t="shared" si="5"/>
        <v>X</v>
      </c>
      <c r="N33" t="e">
        <f t="shared" si="6"/>
        <v>#N/A</v>
      </c>
      <c r="O33">
        <v>0</v>
      </c>
      <c r="P33" t="e">
        <f t="shared" si="7"/>
        <v>#N/A</v>
      </c>
      <c r="AG33" s="25" t="str">
        <f t="shared" si="2"/>
        <v>X</v>
      </c>
      <c r="AH33" s="29" t="e">
        <f t="shared" si="10"/>
        <v>#N/A</v>
      </c>
      <c r="AI33" s="29" t="e">
        <f t="shared" si="10"/>
        <v>#N/A</v>
      </c>
      <c r="AJ33" s="29" t="e">
        <f t="shared" si="10"/>
        <v>#N/A</v>
      </c>
      <c r="AK33" s="29" t="e">
        <f t="shared" si="10"/>
        <v>#N/A</v>
      </c>
      <c r="AL33" s="29" t="e">
        <f t="shared" si="10"/>
        <v>#N/A</v>
      </c>
      <c r="AM33" s="29" t="e">
        <f t="shared" si="10"/>
        <v>#N/A</v>
      </c>
      <c r="AN33" s="29" t="e">
        <f t="shared" si="10"/>
        <v>#N/A</v>
      </c>
      <c r="AO33" s="29" t="e">
        <f t="shared" si="10"/>
        <v>#N/A</v>
      </c>
      <c r="AP33" s="29" t="e">
        <f t="shared" si="10"/>
        <v>#N/A</v>
      </c>
      <c r="AQ33" s="29" t="e">
        <f t="shared" si="10"/>
        <v>#N/A</v>
      </c>
      <c r="AR33" s="29" t="e">
        <f t="shared" si="10"/>
        <v>#N/A</v>
      </c>
      <c r="AS33" s="29" t="e">
        <f t="shared" si="10"/>
        <v>#N/A</v>
      </c>
      <c r="AT33" s="29" t="e">
        <f t="shared" si="10"/>
        <v>#N/A</v>
      </c>
      <c r="AU33" s="29" t="e">
        <f t="shared" si="10"/>
        <v>#N/A</v>
      </c>
      <c r="AV33" s="29" t="e">
        <f t="shared" si="10"/>
        <v>#N/A</v>
      </c>
      <c r="AW33" s="29" t="e">
        <f t="shared" si="9"/>
        <v>#N/A</v>
      </c>
      <c r="AX33" s="29" t="e">
        <f t="shared" si="9"/>
        <v>#N/A</v>
      </c>
      <c r="AY33" s="29" t="e">
        <f t="shared" si="9"/>
        <v>#N/A</v>
      </c>
      <c r="AZ33" s="29" t="e">
        <f t="shared" si="9"/>
        <v>#N/A</v>
      </c>
      <c r="BA33" s="29" t="e">
        <f t="shared" si="11"/>
        <v>#N/A</v>
      </c>
      <c r="BB33" s="29" t="e">
        <f t="shared" si="11"/>
        <v>#N/A</v>
      </c>
      <c r="BC33" s="29" t="e">
        <f t="shared" si="11"/>
        <v>#N/A</v>
      </c>
      <c r="BD33" s="29" t="e">
        <f t="shared" si="11"/>
        <v>#N/A</v>
      </c>
      <c r="BE33" s="29" t="e">
        <f t="shared" si="11"/>
        <v>#N/A</v>
      </c>
      <c r="BF33" s="29" t="e">
        <f t="shared" si="11"/>
        <v>#N/A</v>
      </c>
      <c r="BG33" s="29" t="e">
        <f t="shared" si="11"/>
        <v>#N/A</v>
      </c>
      <c r="BH33" s="29" t="e">
        <f t="shared" si="11"/>
        <v>#N/A</v>
      </c>
      <c r="BI33" s="29" t="e">
        <f t="shared" si="11"/>
        <v>#N/A</v>
      </c>
      <c r="BJ33" s="29" t="e">
        <f t="shared" si="11"/>
        <v>#N/A</v>
      </c>
      <c r="BK33" s="29" t="e">
        <f t="shared" si="11"/>
        <v>#N/A</v>
      </c>
    </row>
    <row r="34" spans="2:63" x14ac:dyDescent="0.25">
      <c r="B34" s="5" t="s">
        <v>56</v>
      </c>
      <c r="C34" s="38"/>
      <c r="F34" s="5" t="str">
        <f t="shared" si="8"/>
        <v>X</v>
      </c>
      <c r="G34" s="38"/>
      <c r="I34" t="s">
        <v>56</v>
      </c>
      <c r="J34" t="e">
        <f t="shared" si="3"/>
        <v>#N/A</v>
      </c>
      <c r="K34" t="e">
        <f t="shared" si="4"/>
        <v>#N/A</v>
      </c>
      <c r="M34" t="str">
        <f t="shared" si="5"/>
        <v>X</v>
      </c>
      <c r="N34" t="e">
        <f t="shared" si="6"/>
        <v>#N/A</v>
      </c>
      <c r="O34">
        <v>0</v>
      </c>
      <c r="P34" t="e">
        <f t="shared" si="7"/>
        <v>#N/A</v>
      </c>
      <c r="AG34" s="25" t="str">
        <f t="shared" si="2"/>
        <v>X</v>
      </c>
      <c r="AH34" s="29" t="e">
        <f t="shared" si="10"/>
        <v>#N/A</v>
      </c>
      <c r="AI34" s="29" t="e">
        <f t="shared" si="10"/>
        <v>#N/A</v>
      </c>
      <c r="AJ34" s="29" t="e">
        <f t="shared" si="10"/>
        <v>#N/A</v>
      </c>
      <c r="AK34" s="29" t="e">
        <f t="shared" si="10"/>
        <v>#N/A</v>
      </c>
      <c r="AL34" s="29" t="e">
        <f t="shared" si="10"/>
        <v>#N/A</v>
      </c>
      <c r="AM34" s="29" t="e">
        <f t="shared" si="10"/>
        <v>#N/A</v>
      </c>
      <c r="AN34" s="29" t="e">
        <f t="shared" si="10"/>
        <v>#N/A</v>
      </c>
      <c r="AO34" s="29" t="e">
        <f t="shared" si="10"/>
        <v>#N/A</v>
      </c>
      <c r="AP34" s="29" t="e">
        <f t="shared" si="10"/>
        <v>#N/A</v>
      </c>
      <c r="AQ34" s="29" t="e">
        <f t="shared" si="10"/>
        <v>#N/A</v>
      </c>
      <c r="AR34" s="29" t="e">
        <f t="shared" si="10"/>
        <v>#N/A</v>
      </c>
      <c r="AS34" s="29" t="e">
        <f t="shared" si="10"/>
        <v>#N/A</v>
      </c>
      <c r="AT34" s="29" t="e">
        <f t="shared" si="10"/>
        <v>#N/A</v>
      </c>
      <c r="AU34" s="29" t="e">
        <f t="shared" si="10"/>
        <v>#N/A</v>
      </c>
      <c r="AV34" s="29" t="e">
        <f t="shared" si="10"/>
        <v>#N/A</v>
      </c>
      <c r="AW34" s="29" t="e">
        <f t="shared" si="9"/>
        <v>#N/A</v>
      </c>
      <c r="AX34" s="29" t="e">
        <f t="shared" si="9"/>
        <v>#N/A</v>
      </c>
      <c r="AY34" s="29" t="e">
        <f t="shared" si="9"/>
        <v>#N/A</v>
      </c>
      <c r="AZ34" s="29" t="e">
        <f t="shared" si="9"/>
        <v>#N/A</v>
      </c>
      <c r="BA34" s="29" t="e">
        <f t="shared" si="11"/>
        <v>#N/A</v>
      </c>
      <c r="BB34" s="29" t="e">
        <f t="shared" si="11"/>
        <v>#N/A</v>
      </c>
      <c r="BC34" s="29" t="e">
        <f t="shared" si="11"/>
        <v>#N/A</v>
      </c>
      <c r="BD34" s="29" t="e">
        <f t="shared" si="11"/>
        <v>#N/A</v>
      </c>
      <c r="BE34" s="29" t="e">
        <f t="shared" si="11"/>
        <v>#N/A</v>
      </c>
      <c r="BF34" s="29" t="e">
        <f t="shared" si="11"/>
        <v>#N/A</v>
      </c>
      <c r="BG34" s="29" t="e">
        <f t="shared" si="11"/>
        <v>#N/A</v>
      </c>
      <c r="BH34" s="29" t="e">
        <f t="shared" si="11"/>
        <v>#N/A</v>
      </c>
      <c r="BI34" s="29" t="e">
        <f t="shared" si="11"/>
        <v>#N/A</v>
      </c>
      <c r="BJ34" s="29" t="e">
        <f t="shared" si="11"/>
        <v>#N/A</v>
      </c>
      <c r="BK34" s="29" t="e">
        <f t="shared" si="11"/>
        <v>#N/A</v>
      </c>
    </row>
    <row r="35" spans="2:63" x14ac:dyDescent="0.25">
      <c r="B35" s="5" t="s">
        <v>57</v>
      </c>
      <c r="C35" s="38"/>
      <c r="F35" s="5" t="str">
        <f t="shared" si="8"/>
        <v>X</v>
      </c>
      <c r="G35" s="38"/>
      <c r="I35" t="s">
        <v>57</v>
      </c>
      <c r="J35" t="e">
        <f t="shared" si="3"/>
        <v>#N/A</v>
      </c>
      <c r="K35" t="e">
        <f t="shared" si="4"/>
        <v>#N/A</v>
      </c>
      <c r="M35" t="str">
        <f t="shared" si="5"/>
        <v>X</v>
      </c>
      <c r="N35" t="e">
        <f t="shared" si="6"/>
        <v>#N/A</v>
      </c>
      <c r="O35">
        <v>0</v>
      </c>
      <c r="P35" t="e">
        <f t="shared" si="7"/>
        <v>#N/A</v>
      </c>
      <c r="AG35" s="26" t="str">
        <f t="shared" si="2"/>
        <v>X</v>
      </c>
      <c r="AH35" s="30" t="e">
        <f t="shared" si="10"/>
        <v>#N/A</v>
      </c>
      <c r="AI35" s="30" t="e">
        <f t="shared" si="10"/>
        <v>#N/A</v>
      </c>
      <c r="AJ35" s="30" t="e">
        <f t="shared" si="10"/>
        <v>#N/A</v>
      </c>
      <c r="AK35" s="30" t="e">
        <f t="shared" si="10"/>
        <v>#N/A</v>
      </c>
      <c r="AL35" s="30" t="e">
        <f t="shared" si="10"/>
        <v>#N/A</v>
      </c>
      <c r="AM35" s="30" t="e">
        <f t="shared" si="10"/>
        <v>#N/A</v>
      </c>
      <c r="AN35" s="30" t="e">
        <f t="shared" si="10"/>
        <v>#N/A</v>
      </c>
      <c r="AO35" s="30" t="e">
        <f t="shared" si="10"/>
        <v>#N/A</v>
      </c>
      <c r="AP35" s="30" t="e">
        <f t="shared" si="10"/>
        <v>#N/A</v>
      </c>
      <c r="AQ35" s="30" t="e">
        <f t="shared" si="10"/>
        <v>#N/A</v>
      </c>
      <c r="AR35" s="30" t="e">
        <f t="shared" si="10"/>
        <v>#N/A</v>
      </c>
      <c r="AS35" s="30" t="e">
        <f t="shared" si="10"/>
        <v>#N/A</v>
      </c>
      <c r="AT35" s="30" t="e">
        <f t="shared" si="10"/>
        <v>#N/A</v>
      </c>
      <c r="AU35" s="30" t="e">
        <f t="shared" si="10"/>
        <v>#N/A</v>
      </c>
      <c r="AV35" s="30" t="e">
        <f t="shared" si="10"/>
        <v>#N/A</v>
      </c>
      <c r="AW35" s="30" t="e">
        <f t="shared" si="9"/>
        <v>#N/A</v>
      </c>
      <c r="AX35" s="30" t="e">
        <f t="shared" si="9"/>
        <v>#N/A</v>
      </c>
      <c r="AY35" s="30" t="e">
        <f t="shared" si="9"/>
        <v>#N/A</v>
      </c>
      <c r="AZ35" s="30" t="e">
        <f t="shared" si="9"/>
        <v>#N/A</v>
      </c>
      <c r="BA35" s="30" t="e">
        <f t="shared" si="11"/>
        <v>#N/A</v>
      </c>
      <c r="BB35" s="30" t="e">
        <f t="shared" si="11"/>
        <v>#N/A</v>
      </c>
      <c r="BC35" s="30" t="e">
        <f t="shared" si="11"/>
        <v>#N/A</v>
      </c>
      <c r="BD35" s="30" t="e">
        <f t="shared" si="11"/>
        <v>#N/A</v>
      </c>
      <c r="BE35" s="30" t="e">
        <f t="shared" si="11"/>
        <v>#N/A</v>
      </c>
      <c r="BF35" s="30" t="e">
        <f t="shared" si="11"/>
        <v>#N/A</v>
      </c>
      <c r="BG35" s="30" t="e">
        <f t="shared" si="11"/>
        <v>#N/A</v>
      </c>
      <c r="BH35" s="30" t="e">
        <f t="shared" si="11"/>
        <v>#N/A</v>
      </c>
      <c r="BI35" s="30" t="e">
        <f t="shared" si="11"/>
        <v>#N/A</v>
      </c>
      <c r="BJ35" s="30" t="e">
        <f t="shared" si="11"/>
        <v>#N/A</v>
      </c>
      <c r="BK35" s="30" t="e">
        <f t="shared" si="11"/>
        <v>#N/A</v>
      </c>
    </row>
    <row r="36" spans="2:63" x14ac:dyDescent="0.25">
      <c r="B36" s="5" t="s">
        <v>58</v>
      </c>
      <c r="C36" s="38"/>
      <c r="F36" s="5" t="str">
        <f t="shared" si="8"/>
        <v>X</v>
      </c>
      <c r="G36" s="38"/>
      <c r="I36" t="s">
        <v>58</v>
      </c>
      <c r="J36" t="e">
        <f t="shared" si="3"/>
        <v>#N/A</v>
      </c>
      <c r="K36" t="e">
        <f t="shared" si="4"/>
        <v>#N/A</v>
      </c>
      <c r="M36" t="str">
        <f t="shared" si="5"/>
        <v>X</v>
      </c>
      <c r="N36" t="e">
        <f t="shared" si="6"/>
        <v>#N/A</v>
      </c>
      <c r="O36">
        <v>0</v>
      </c>
      <c r="P36" t="e">
        <f t="shared" si="7"/>
        <v>#N/A</v>
      </c>
      <c r="AG36" s="5"/>
    </row>
    <row r="37" spans="2:63" x14ac:dyDescent="0.25">
      <c r="B37" s="5" t="s">
        <v>59</v>
      </c>
      <c r="C37" s="38"/>
      <c r="F37" s="5" t="str">
        <f t="shared" si="8"/>
        <v>X</v>
      </c>
      <c r="G37" s="38"/>
      <c r="I37" t="s">
        <v>59</v>
      </c>
      <c r="J37" t="e">
        <f t="shared" si="3"/>
        <v>#N/A</v>
      </c>
      <c r="K37" t="e">
        <f t="shared" si="4"/>
        <v>#N/A</v>
      </c>
      <c r="M37" t="str">
        <f t="shared" si="5"/>
        <v>X</v>
      </c>
      <c r="N37" t="e">
        <f t="shared" si="6"/>
        <v>#N/A</v>
      </c>
      <c r="O37">
        <v>0</v>
      </c>
      <c r="P37" t="e">
        <f t="shared" si="7"/>
        <v>#N/A</v>
      </c>
    </row>
    <row r="38" spans="2:63" x14ac:dyDescent="0.25">
      <c r="B38" s="5" t="s">
        <v>61</v>
      </c>
      <c r="C38" s="38"/>
      <c r="F38" s="5" t="str">
        <f t="shared" si="8"/>
        <v>X</v>
      </c>
      <c r="G38" s="38"/>
      <c r="I38" t="s">
        <v>61</v>
      </c>
      <c r="J38" t="e">
        <f t="shared" si="3"/>
        <v>#N/A</v>
      </c>
      <c r="K38" t="e">
        <f t="shared" si="4"/>
        <v>#N/A</v>
      </c>
      <c r="M38" t="str">
        <f t="shared" si="5"/>
        <v>X</v>
      </c>
      <c r="N38" t="e">
        <f t="shared" si="6"/>
        <v>#N/A</v>
      </c>
      <c r="O38">
        <v>0</v>
      </c>
      <c r="P38" t="e">
        <f t="shared" si="7"/>
        <v>#N/A</v>
      </c>
    </row>
    <row r="39" spans="2:63" x14ac:dyDescent="0.25">
      <c r="B39" s="5" t="s">
        <v>62</v>
      </c>
      <c r="C39" s="38"/>
      <c r="F39" s="5" t="str">
        <f t="shared" si="8"/>
        <v>X</v>
      </c>
      <c r="G39" s="38"/>
      <c r="I39" t="s">
        <v>62</v>
      </c>
      <c r="J39" t="e">
        <f t="shared" si="3"/>
        <v>#N/A</v>
      </c>
      <c r="K39" t="e">
        <f t="shared" si="4"/>
        <v>#N/A</v>
      </c>
      <c r="M39" t="str">
        <f t="shared" si="5"/>
        <v>X</v>
      </c>
      <c r="N39" t="e">
        <f t="shared" si="6"/>
        <v>#N/A</v>
      </c>
      <c r="O39">
        <v>0</v>
      </c>
      <c r="P39" t="e">
        <f t="shared" si="7"/>
        <v>#N/A</v>
      </c>
    </row>
    <row r="40" spans="2:63" x14ac:dyDescent="0.25">
      <c r="B40" s="5" t="s">
        <v>63</v>
      </c>
      <c r="C40" s="38"/>
      <c r="D40" s="2"/>
      <c r="E40" s="2"/>
      <c r="F40" s="5" t="str">
        <f t="shared" si="8"/>
        <v>X</v>
      </c>
      <c r="G40" s="38"/>
      <c r="H40" s="2"/>
      <c r="I40" t="s">
        <v>63</v>
      </c>
      <c r="J40" t="e">
        <f t="shared" si="3"/>
        <v>#N/A</v>
      </c>
      <c r="K40" t="e">
        <f t="shared" si="4"/>
        <v>#N/A</v>
      </c>
      <c r="M40" t="str">
        <f t="shared" si="5"/>
        <v>X</v>
      </c>
      <c r="N40" t="e">
        <f t="shared" si="6"/>
        <v>#N/A</v>
      </c>
      <c r="O40">
        <v>0</v>
      </c>
      <c r="P40" t="e">
        <f t="shared" si="7"/>
        <v>#N/A</v>
      </c>
    </row>
    <row r="41" spans="2:63" x14ac:dyDescent="0.25">
      <c r="B41" s="5" t="s">
        <v>64</v>
      </c>
      <c r="C41" s="38"/>
      <c r="D41" s="2"/>
      <c r="E41" s="2"/>
      <c r="F41" s="5" t="str">
        <f t="shared" si="8"/>
        <v>X</v>
      </c>
      <c r="G41" s="38"/>
      <c r="H41" s="2"/>
      <c r="I41" t="s">
        <v>64</v>
      </c>
      <c r="J41" t="e">
        <f t="shared" si="3"/>
        <v>#N/A</v>
      </c>
      <c r="K41" t="e">
        <f t="shared" si="4"/>
        <v>#N/A</v>
      </c>
      <c r="M41" t="str">
        <f t="shared" si="5"/>
        <v>X</v>
      </c>
      <c r="N41" t="e">
        <f t="shared" si="6"/>
        <v>#N/A</v>
      </c>
      <c r="O41">
        <v>0</v>
      </c>
      <c r="P41" t="e">
        <f t="shared" si="7"/>
        <v>#N/A</v>
      </c>
    </row>
    <row r="42" spans="2:63" x14ac:dyDescent="0.25">
      <c r="B42" s="5" t="s">
        <v>65</v>
      </c>
      <c r="C42" s="38"/>
      <c r="D42" s="2"/>
      <c r="E42" s="2"/>
      <c r="F42" s="5" t="str">
        <f t="shared" si="8"/>
        <v>X</v>
      </c>
      <c r="G42" s="38"/>
      <c r="H42" s="2"/>
      <c r="I42" t="s">
        <v>65</v>
      </c>
      <c r="J42" t="e">
        <f t="shared" si="3"/>
        <v>#N/A</v>
      </c>
      <c r="K42" t="e">
        <f t="shared" si="4"/>
        <v>#N/A</v>
      </c>
      <c r="M42" t="str">
        <f t="shared" si="5"/>
        <v>X</v>
      </c>
      <c r="N42" t="e">
        <f t="shared" si="6"/>
        <v>#N/A</v>
      </c>
      <c r="O42">
        <v>0</v>
      </c>
      <c r="P42" t="e">
        <f t="shared" si="7"/>
        <v>#N/A</v>
      </c>
    </row>
    <row r="43" spans="2:63" x14ac:dyDescent="0.25">
      <c r="B43" s="5" t="s">
        <v>66</v>
      </c>
      <c r="C43" s="38"/>
      <c r="D43" s="2"/>
      <c r="E43" s="2"/>
      <c r="F43" s="5" t="str">
        <f t="shared" si="8"/>
        <v>X</v>
      </c>
      <c r="G43" s="38"/>
      <c r="H43" s="2"/>
      <c r="I43" t="s">
        <v>66</v>
      </c>
      <c r="J43" t="e">
        <f t="shared" si="3"/>
        <v>#N/A</v>
      </c>
      <c r="K43" t="e">
        <f t="shared" si="4"/>
        <v>#N/A</v>
      </c>
      <c r="M43" t="str">
        <f t="shared" si="5"/>
        <v>X</v>
      </c>
      <c r="N43" t="e">
        <f t="shared" si="6"/>
        <v>#N/A</v>
      </c>
      <c r="O43">
        <v>0</v>
      </c>
      <c r="P43" t="e">
        <f t="shared" si="7"/>
        <v>#N/A</v>
      </c>
    </row>
    <row r="44" spans="2:63" x14ac:dyDescent="0.25">
      <c r="B44" s="5" t="s">
        <v>67</v>
      </c>
      <c r="C44" s="38"/>
      <c r="D44" s="2"/>
      <c r="E44" s="2"/>
      <c r="F44" s="5" t="str">
        <f t="shared" si="8"/>
        <v>X</v>
      </c>
      <c r="G44" s="38"/>
      <c r="H44" s="2"/>
      <c r="I44" t="s">
        <v>67</v>
      </c>
      <c r="J44" t="e">
        <f t="shared" si="3"/>
        <v>#N/A</v>
      </c>
      <c r="K44" t="e">
        <f t="shared" si="4"/>
        <v>#N/A</v>
      </c>
      <c r="M44" t="str">
        <f t="shared" si="5"/>
        <v>X</v>
      </c>
      <c r="N44" t="e">
        <f t="shared" si="6"/>
        <v>#N/A</v>
      </c>
      <c r="O44">
        <v>0</v>
      </c>
      <c r="P44" t="e">
        <f t="shared" si="7"/>
        <v>#N/A</v>
      </c>
    </row>
    <row r="45" spans="2:63" x14ac:dyDescent="0.25">
      <c r="B45" s="5" t="s">
        <v>68</v>
      </c>
      <c r="C45" s="38"/>
      <c r="D45" s="2"/>
      <c r="E45" s="2"/>
      <c r="F45" s="5" t="str">
        <f t="shared" si="8"/>
        <v>X</v>
      </c>
      <c r="G45" s="38"/>
      <c r="H45" s="2"/>
      <c r="I45" t="s">
        <v>68</v>
      </c>
      <c r="J45" t="e">
        <f t="shared" si="3"/>
        <v>#N/A</v>
      </c>
      <c r="K45" t="e">
        <f t="shared" si="4"/>
        <v>#N/A</v>
      </c>
      <c r="M45" t="str">
        <f t="shared" si="5"/>
        <v>X</v>
      </c>
      <c r="N45" t="e">
        <f t="shared" si="6"/>
        <v>#N/A</v>
      </c>
      <c r="O45">
        <v>0</v>
      </c>
      <c r="P45" t="e">
        <f t="shared" si="7"/>
        <v>#N/A</v>
      </c>
    </row>
    <row r="46" spans="2:63" x14ac:dyDescent="0.25">
      <c r="B46" s="5" t="s">
        <v>69</v>
      </c>
      <c r="C46" s="38"/>
      <c r="D46" s="2"/>
      <c r="E46" s="2"/>
      <c r="F46" s="5" t="str">
        <f t="shared" si="8"/>
        <v>X</v>
      </c>
      <c r="G46" s="38"/>
      <c r="H46" s="2"/>
      <c r="I46" t="s">
        <v>69</v>
      </c>
      <c r="J46" t="e">
        <f t="shared" si="3"/>
        <v>#N/A</v>
      </c>
      <c r="K46" t="e">
        <f t="shared" si="4"/>
        <v>#N/A</v>
      </c>
      <c r="M46" t="str">
        <f t="shared" si="5"/>
        <v>X</v>
      </c>
      <c r="N46" t="e">
        <f t="shared" si="6"/>
        <v>#N/A</v>
      </c>
      <c r="O46">
        <v>0</v>
      </c>
      <c r="P46" t="e">
        <f t="shared" si="7"/>
        <v>#N/A</v>
      </c>
    </row>
    <row r="47" spans="2:63" x14ac:dyDescent="0.25">
      <c r="B47" s="5" t="s">
        <v>70</v>
      </c>
      <c r="C47" s="38"/>
      <c r="D47" s="2"/>
      <c r="E47" s="2"/>
      <c r="F47" s="5" t="str">
        <f t="shared" si="8"/>
        <v>X</v>
      </c>
      <c r="G47" s="38"/>
      <c r="H47" s="2"/>
      <c r="I47" t="s">
        <v>70</v>
      </c>
      <c r="J47" t="e">
        <f t="shared" si="3"/>
        <v>#N/A</v>
      </c>
      <c r="K47" t="e">
        <f t="shared" si="4"/>
        <v>#N/A</v>
      </c>
      <c r="M47" t="str">
        <f t="shared" si="5"/>
        <v>X</v>
      </c>
      <c r="N47" t="e">
        <f t="shared" si="6"/>
        <v>#N/A</v>
      </c>
      <c r="O47">
        <v>0</v>
      </c>
      <c r="P47" t="e">
        <f t="shared" si="7"/>
        <v>#N/A</v>
      </c>
    </row>
    <row r="48" spans="2:63" x14ac:dyDescent="0.25">
      <c r="B48" s="5" t="s">
        <v>71</v>
      </c>
      <c r="C48" s="38"/>
      <c r="D48" s="2"/>
      <c r="E48" s="2"/>
      <c r="F48" s="5" t="str">
        <f t="shared" si="8"/>
        <v>X</v>
      </c>
      <c r="G48" s="38"/>
      <c r="H48" s="2"/>
      <c r="I48" t="s">
        <v>71</v>
      </c>
      <c r="J48" t="e">
        <f t="shared" si="3"/>
        <v>#N/A</v>
      </c>
      <c r="K48" t="e">
        <f t="shared" si="4"/>
        <v>#N/A</v>
      </c>
      <c r="M48" t="str">
        <f t="shared" si="5"/>
        <v>X</v>
      </c>
      <c r="N48" t="e">
        <f t="shared" si="6"/>
        <v>#N/A</v>
      </c>
      <c r="O48">
        <v>0</v>
      </c>
      <c r="P48" t="e">
        <f t="shared" si="7"/>
        <v>#N/A</v>
      </c>
    </row>
    <row r="49" spans="2:10" x14ac:dyDescent="0.25">
      <c r="B49" s="5"/>
      <c r="C49" s="1"/>
      <c r="D49" s="2"/>
      <c r="E49" s="2"/>
      <c r="F49" s="2"/>
      <c r="G49" s="2"/>
      <c r="H49" s="2"/>
      <c r="I49" s="7"/>
      <c r="J49" s="3"/>
    </row>
    <row r="51" spans="2:10" ht="15" customHeight="1" x14ac:dyDescent="0.25">
      <c r="B51" s="33"/>
      <c r="C51" s="33"/>
      <c r="D51" s="33"/>
      <c r="E51" s="33"/>
      <c r="F51" s="36"/>
      <c r="G51" s="36"/>
    </row>
    <row r="52" spans="2:10" x14ac:dyDescent="0.25">
      <c r="B52" s="34"/>
      <c r="C52" s="34"/>
      <c r="D52" s="34"/>
      <c r="E52" s="35"/>
      <c r="F52" s="37"/>
      <c r="G52" s="37"/>
    </row>
    <row r="53" spans="2:10" x14ac:dyDescent="0.25">
      <c r="B53" s="34"/>
      <c r="C53" s="34"/>
      <c r="D53" s="34"/>
      <c r="E53" s="34"/>
      <c r="F53" s="37"/>
      <c r="G53" s="37"/>
    </row>
    <row r="54" spans="2:10" x14ac:dyDescent="0.25">
      <c r="B54" s="34"/>
      <c r="C54" s="34"/>
      <c r="D54" s="34"/>
      <c r="E54" s="34"/>
      <c r="F54" s="37"/>
      <c r="G54" s="37"/>
    </row>
    <row r="55" spans="2:10" x14ac:dyDescent="0.25">
      <c r="B55" s="34"/>
      <c r="C55" s="34"/>
      <c r="D55" s="34"/>
      <c r="E55" s="34"/>
      <c r="F55" s="37"/>
      <c r="G55" s="37"/>
    </row>
    <row r="56" spans="2:10" x14ac:dyDescent="0.25">
      <c r="B56" s="34"/>
      <c r="C56" s="34"/>
      <c r="D56" s="34"/>
      <c r="E56" s="34"/>
      <c r="F56" s="37"/>
      <c r="G56" s="37"/>
    </row>
    <row r="101" spans="2:32" hidden="1" x14ac:dyDescent="0.25">
      <c r="C101" s="11" t="s">
        <v>73</v>
      </c>
      <c r="D101" s="11" t="s">
        <v>74</v>
      </c>
      <c r="E101" s="11" t="s">
        <v>75</v>
      </c>
      <c r="F101" s="11" t="s">
        <v>76</v>
      </c>
      <c r="G101" s="11" t="s">
        <v>77</v>
      </c>
      <c r="H101" s="11" t="s">
        <v>78</v>
      </c>
      <c r="I101" s="11" t="s">
        <v>79</v>
      </c>
      <c r="J101" s="11" t="s">
        <v>80</v>
      </c>
      <c r="K101" s="11" t="s">
        <v>81</v>
      </c>
      <c r="L101" s="11" t="s">
        <v>82</v>
      </c>
      <c r="M101" s="11" t="s">
        <v>83</v>
      </c>
      <c r="N101" s="11" t="s">
        <v>84</v>
      </c>
      <c r="O101" s="11" t="s">
        <v>85</v>
      </c>
      <c r="P101" s="11" t="s">
        <v>86</v>
      </c>
      <c r="Q101" s="11" t="s">
        <v>87</v>
      </c>
      <c r="R101" s="11" t="s">
        <v>88</v>
      </c>
      <c r="S101" s="11" t="s">
        <v>89</v>
      </c>
      <c r="T101" s="11" t="s">
        <v>90</v>
      </c>
      <c r="U101" s="11" t="s">
        <v>91</v>
      </c>
      <c r="V101" s="11" t="s">
        <v>92</v>
      </c>
      <c r="W101" s="11" t="s">
        <v>93</v>
      </c>
      <c r="X101" s="11" t="s">
        <v>94</v>
      </c>
      <c r="Y101" s="11" t="s">
        <v>95</v>
      </c>
      <c r="Z101" s="11" t="s">
        <v>96</v>
      </c>
      <c r="AA101" s="11" t="s">
        <v>97</v>
      </c>
      <c r="AB101" s="11" t="s">
        <v>98</v>
      </c>
      <c r="AC101" s="11" t="s">
        <v>99</v>
      </c>
      <c r="AD101" s="11" t="s">
        <v>100</v>
      </c>
      <c r="AE101" s="11" t="s">
        <v>101</v>
      </c>
      <c r="AF101" s="11" t="s">
        <v>102</v>
      </c>
    </row>
    <row r="102" spans="2:32" hidden="1" x14ac:dyDescent="0.25"/>
    <row r="103" spans="2:32" hidden="1" x14ac:dyDescent="0.25">
      <c r="B103" s="10" t="s">
        <v>39</v>
      </c>
      <c r="D103" s="5"/>
      <c r="F103" s="5"/>
    </row>
    <row r="104" spans="2:32" hidden="1" x14ac:dyDescent="0.25">
      <c r="C104" s="5" t="str">
        <f>$B$19</f>
        <v>fn_1</v>
      </c>
      <c r="D104" s="5" t="str">
        <f>$B$20</f>
        <v>fn_2</v>
      </c>
      <c r="E104" s="5" t="str">
        <f>$B$21</f>
        <v>fn_3</v>
      </c>
      <c r="F104" s="5" t="str">
        <f>$B$22</f>
        <v>fn_4</v>
      </c>
      <c r="G104" s="5" t="str">
        <f>$B$23</f>
        <v>fn_5</v>
      </c>
      <c r="H104" s="5" t="str">
        <f>$B$24</f>
        <v>fn_6</v>
      </c>
      <c r="I104" s="5" t="str">
        <f>$B$25</f>
        <v>fn_7</v>
      </c>
      <c r="J104" s="5" t="str">
        <f>$B$26</f>
        <v>fn_8</v>
      </c>
      <c r="K104" s="5" t="str">
        <f>$B$27</f>
        <v>fn_9</v>
      </c>
      <c r="L104" s="5" t="str">
        <f>$B$28</f>
        <v>fn_10</v>
      </c>
      <c r="M104" s="5" t="str">
        <f>$B$29</f>
        <v>fn_11</v>
      </c>
      <c r="N104" s="5" t="str">
        <f>$B$30</f>
        <v>fn_12</v>
      </c>
      <c r="O104" s="5" t="str">
        <f>$B$31</f>
        <v>fn_13</v>
      </c>
      <c r="P104" s="5" t="str">
        <f>$B$32</f>
        <v>fn_14</v>
      </c>
      <c r="Q104" s="5" t="str">
        <f>$B$33</f>
        <v>fn_15</v>
      </c>
      <c r="R104" s="5" t="str">
        <f>$B$34</f>
        <v>fn_16</v>
      </c>
      <c r="S104" s="5" t="str">
        <f>$B$35</f>
        <v>fn_17</v>
      </c>
      <c r="T104" s="5" t="str">
        <f>$B$36</f>
        <v>fn_18</v>
      </c>
      <c r="U104" s="5" t="str">
        <f>$B$37</f>
        <v>fn_19</v>
      </c>
      <c r="V104" s="5" t="str">
        <f>$B$38</f>
        <v>fn_20</v>
      </c>
      <c r="W104" s="5" t="str">
        <f>$B$39</f>
        <v>fn_21</v>
      </c>
      <c r="X104" s="5" t="str">
        <f>$B$40</f>
        <v>fn_22</v>
      </c>
      <c r="Y104" s="5" t="str">
        <f>$B$41</f>
        <v>fn_23</v>
      </c>
      <c r="Z104" s="5" t="str">
        <f>$B$42</f>
        <v>fn_24</v>
      </c>
      <c r="AA104" s="5" t="str">
        <f>$B$43</f>
        <v>fn_25</v>
      </c>
      <c r="AB104" s="5" t="str">
        <f>$B$44</f>
        <v>fn_26</v>
      </c>
      <c r="AC104" s="5" t="str">
        <f>$B$45</f>
        <v>fn_27</v>
      </c>
      <c r="AD104" s="5" t="str">
        <f>$B$46</f>
        <v>fn_28</v>
      </c>
      <c r="AE104" s="5" t="str">
        <f>$B$47</f>
        <v>fn_29</v>
      </c>
      <c r="AF104" s="5" t="str">
        <f>$B$48</f>
        <v>fn_30</v>
      </c>
    </row>
    <row r="105" spans="2:32" hidden="1" x14ac:dyDescent="0.25">
      <c r="B105" s="5" t="str">
        <f t="shared" ref="B105:B134" si="12">$M19</f>
        <v>1X</v>
      </c>
      <c r="C105" s="1">
        <f>$J$19</f>
        <v>3600</v>
      </c>
      <c r="D105" s="1">
        <f>$J$20</f>
        <v>5000</v>
      </c>
      <c r="E105" s="1">
        <f>$J$21</f>
        <v>8500</v>
      </c>
      <c r="F105" s="1">
        <f>$J$22</f>
        <v>10500</v>
      </c>
      <c r="G105" s="1">
        <f>$J$23</f>
        <v>12500</v>
      </c>
      <c r="H105" s="1" t="e">
        <f>$J$24</f>
        <v>#N/A</v>
      </c>
      <c r="I105" s="1" t="e">
        <f>$J$25</f>
        <v>#N/A</v>
      </c>
      <c r="J105" s="1" t="e">
        <f>$J$26</f>
        <v>#N/A</v>
      </c>
      <c r="K105" s="1" t="e">
        <f>$J$27</f>
        <v>#N/A</v>
      </c>
      <c r="L105" s="1" t="e">
        <f>$J$28</f>
        <v>#N/A</v>
      </c>
      <c r="M105" s="1" t="e">
        <f>$J$29</f>
        <v>#N/A</v>
      </c>
      <c r="N105" s="1" t="e">
        <f>$J$30</f>
        <v>#N/A</v>
      </c>
      <c r="O105" s="1" t="e">
        <f>$J$31</f>
        <v>#N/A</v>
      </c>
      <c r="P105" s="1" t="e">
        <f>$J$32</f>
        <v>#N/A</v>
      </c>
      <c r="Q105" s="1" t="e">
        <f>$J$33</f>
        <v>#N/A</v>
      </c>
      <c r="R105" s="1" t="e">
        <f>$J$34</f>
        <v>#N/A</v>
      </c>
      <c r="S105" s="1" t="e">
        <f>$J$35</f>
        <v>#N/A</v>
      </c>
      <c r="T105" s="1" t="e">
        <f>$J$36</f>
        <v>#N/A</v>
      </c>
      <c r="U105" s="1" t="e">
        <f>$J$37</f>
        <v>#N/A</v>
      </c>
      <c r="V105" s="1" t="e">
        <f>$J$38</f>
        <v>#N/A</v>
      </c>
      <c r="W105" s="1" t="e">
        <f>$J$39</f>
        <v>#N/A</v>
      </c>
      <c r="X105" s="1" t="e">
        <f>$J$40</f>
        <v>#N/A</v>
      </c>
      <c r="Y105" s="1" t="e">
        <f>$J$41</f>
        <v>#N/A</v>
      </c>
      <c r="Z105" s="1" t="e">
        <f>$J$42</f>
        <v>#N/A</v>
      </c>
      <c r="AA105" s="1" t="e">
        <f>$J$43</f>
        <v>#N/A</v>
      </c>
      <c r="AB105" s="1" t="e">
        <f>$J$44</f>
        <v>#N/A</v>
      </c>
      <c r="AC105" s="1" t="e">
        <f>$J$45</f>
        <v>#N/A</v>
      </c>
      <c r="AD105" s="1" t="e">
        <f>$J$46</f>
        <v>#N/A</v>
      </c>
      <c r="AE105" s="1" t="e">
        <f>$J$47</f>
        <v>#N/A</v>
      </c>
      <c r="AF105" s="1" t="e">
        <f>$J$48</f>
        <v>#N/A</v>
      </c>
    </row>
    <row r="106" spans="2:32" hidden="1" x14ac:dyDescent="0.25">
      <c r="B106" s="5" t="str">
        <f t="shared" si="12"/>
        <v>2X</v>
      </c>
      <c r="C106" s="1">
        <f t="shared" ref="C106:C134" si="13">$J$19</f>
        <v>3600</v>
      </c>
      <c r="D106" s="1">
        <f t="shared" ref="D106:D134" si="14">$J$20</f>
        <v>5000</v>
      </c>
      <c r="E106" s="1">
        <f t="shared" ref="E106:E134" si="15">$J$21</f>
        <v>8500</v>
      </c>
      <c r="F106" s="1">
        <f t="shared" ref="F106:F134" si="16">$J$22</f>
        <v>10500</v>
      </c>
      <c r="G106" s="1">
        <f t="shared" ref="G106:G134" si="17">$J$23</f>
        <v>12500</v>
      </c>
      <c r="H106" s="1" t="e">
        <f t="shared" ref="H106:H134" si="18">$J$24</f>
        <v>#N/A</v>
      </c>
      <c r="I106" s="1" t="e">
        <f t="shared" ref="I106:I134" si="19">$J$25</f>
        <v>#N/A</v>
      </c>
      <c r="J106" s="1" t="e">
        <f t="shared" ref="J106:J134" si="20">$J$26</f>
        <v>#N/A</v>
      </c>
      <c r="K106" s="1" t="e">
        <f t="shared" ref="K106:K134" si="21">$J$27</f>
        <v>#N/A</v>
      </c>
      <c r="L106" s="1" t="e">
        <f t="shared" ref="L106:L134" si="22">$J$28</f>
        <v>#N/A</v>
      </c>
      <c r="M106" s="1" t="e">
        <f t="shared" ref="M106:M134" si="23">$J$29</f>
        <v>#N/A</v>
      </c>
      <c r="N106" s="1" t="e">
        <f t="shared" ref="N106:N134" si="24">$J$30</f>
        <v>#N/A</v>
      </c>
      <c r="O106" s="1" t="e">
        <f t="shared" ref="O106:O134" si="25">$J$31</f>
        <v>#N/A</v>
      </c>
      <c r="P106" s="1" t="e">
        <f t="shared" ref="P106:P134" si="26">$J$32</f>
        <v>#N/A</v>
      </c>
      <c r="Q106" s="1" t="e">
        <f t="shared" ref="Q106:Q134" si="27">$J$33</f>
        <v>#N/A</v>
      </c>
      <c r="R106" s="1" t="e">
        <f t="shared" ref="R106:R134" si="28">$J$34</f>
        <v>#N/A</v>
      </c>
      <c r="S106" s="1" t="e">
        <f t="shared" ref="S106:S134" si="29">$J$35</f>
        <v>#N/A</v>
      </c>
      <c r="T106" s="1" t="e">
        <f t="shared" ref="T106:T134" si="30">$J$36</f>
        <v>#N/A</v>
      </c>
      <c r="U106" s="1" t="e">
        <f t="shared" ref="U106:U134" si="31">$J$37</f>
        <v>#N/A</v>
      </c>
      <c r="V106" s="1" t="e">
        <f t="shared" ref="V106:V134" si="32">$J$38</f>
        <v>#N/A</v>
      </c>
      <c r="W106" s="1" t="e">
        <f t="shared" ref="W106:W134" si="33">$J$39</f>
        <v>#N/A</v>
      </c>
      <c r="X106" s="1" t="e">
        <f t="shared" ref="X106:X134" si="34">$J$40</f>
        <v>#N/A</v>
      </c>
      <c r="Y106" s="1" t="e">
        <f t="shared" ref="Y106:Y134" si="35">$J$41</f>
        <v>#N/A</v>
      </c>
      <c r="Z106" s="1" t="e">
        <f t="shared" ref="Z106:Z134" si="36">$J$42</f>
        <v>#N/A</v>
      </c>
      <c r="AA106" s="1" t="e">
        <f t="shared" ref="AA106:AA134" si="37">$J$43</f>
        <v>#N/A</v>
      </c>
      <c r="AB106" s="1" t="e">
        <f t="shared" ref="AB106:AB134" si="38">$J$44</f>
        <v>#N/A</v>
      </c>
      <c r="AC106" s="1" t="e">
        <f t="shared" ref="AC106:AC134" si="39">$J$45</f>
        <v>#N/A</v>
      </c>
      <c r="AD106" s="1" t="e">
        <f t="shared" ref="AD106:AD134" si="40">$J$46</f>
        <v>#N/A</v>
      </c>
      <c r="AE106" s="1" t="e">
        <f t="shared" ref="AE106:AE134" si="41">$J$47</f>
        <v>#N/A</v>
      </c>
      <c r="AF106" s="1" t="e">
        <f t="shared" ref="AF106:AF134" si="42">$J$48</f>
        <v>#N/A</v>
      </c>
    </row>
    <row r="107" spans="2:32" hidden="1" x14ac:dyDescent="0.25">
      <c r="B107" s="5" t="str">
        <f t="shared" si="12"/>
        <v>5X</v>
      </c>
      <c r="C107" s="1">
        <f t="shared" si="13"/>
        <v>3600</v>
      </c>
      <c r="D107" s="1">
        <f t="shared" si="14"/>
        <v>5000</v>
      </c>
      <c r="E107" s="1">
        <f t="shared" si="15"/>
        <v>8500</v>
      </c>
      <c r="F107" s="1">
        <f t="shared" si="16"/>
        <v>10500</v>
      </c>
      <c r="G107" s="1">
        <f t="shared" si="17"/>
        <v>12500</v>
      </c>
      <c r="H107" s="1" t="e">
        <f t="shared" si="18"/>
        <v>#N/A</v>
      </c>
      <c r="I107" s="1" t="e">
        <f t="shared" si="19"/>
        <v>#N/A</v>
      </c>
      <c r="J107" s="1" t="e">
        <f t="shared" si="20"/>
        <v>#N/A</v>
      </c>
      <c r="K107" s="1" t="e">
        <f t="shared" si="21"/>
        <v>#N/A</v>
      </c>
      <c r="L107" s="1" t="e">
        <f t="shared" si="22"/>
        <v>#N/A</v>
      </c>
      <c r="M107" s="1" t="e">
        <f t="shared" si="23"/>
        <v>#N/A</v>
      </c>
      <c r="N107" s="1" t="e">
        <f t="shared" si="24"/>
        <v>#N/A</v>
      </c>
      <c r="O107" s="1" t="e">
        <f t="shared" si="25"/>
        <v>#N/A</v>
      </c>
      <c r="P107" s="1" t="e">
        <f t="shared" si="26"/>
        <v>#N/A</v>
      </c>
      <c r="Q107" s="1" t="e">
        <f t="shared" si="27"/>
        <v>#N/A</v>
      </c>
      <c r="R107" s="1" t="e">
        <f t="shared" si="28"/>
        <v>#N/A</v>
      </c>
      <c r="S107" s="1" t="e">
        <f t="shared" si="29"/>
        <v>#N/A</v>
      </c>
      <c r="T107" s="1" t="e">
        <f t="shared" si="30"/>
        <v>#N/A</v>
      </c>
      <c r="U107" s="1" t="e">
        <f t="shared" si="31"/>
        <v>#N/A</v>
      </c>
      <c r="V107" s="1" t="e">
        <f t="shared" si="32"/>
        <v>#N/A</v>
      </c>
      <c r="W107" s="1" t="e">
        <f t="shared" si="33"/>
        <v>#N/A</v>
      </c>
      <c r="X107" s="1" t="e">
        <f t="shared" si="34"/>
        <v>#N/A</v>
      </c>
      <c r="Y107" s="1" t="e">
        <f t="shared" si="35"/>
        <v>#N/A</v>
      </c>
      <c r="Z107" s="1" t="e">
        <f t="shared" si="36"/>
        <v>#N/A</v>
      </c>
      <c r="AA107" s="1" t="e">
        <f t="shared" si="37"/>
        <v>#N/A</v>
      </c>
      <c r="AB107" s="1" t="e">
        <f t="shared" si="38"/>
        <v>#N/A</v>
      </c>
      <c r="AC107" s="1" t="e">
        <f t="shared" si="39"/>
        <v>#N/A</v>
      </c>
      <c r="AD107" s="1" t="e">
        <f t="shared" si="40"/>
        <v>#N/A</v>
      </c>
      <c r="AE107" s="1" t="e">
        <f t="shared" si="41"/>
        <v>#N/A</v>
      </c>
      <c r="AF107" s="1" t="e">
        <f t="shared" si="42"/>
        <v>#N/A</v>
      </c>
    </row>
    <row r="108" spans="2:32" hidden="1" x14ac:dyDescent="0.25">
      <c r="B108" s="5" t="str">
        <f t="shared" si="12"/>
        <v>X</v>
      </c>
      <c r="C108" s="1">
        <f t="shared" si="13"/>
        <v>3600</v>
      </c>
      <c r="D108" s="1">
        <f t="shared" si="14"/>
        <v>5000</v>
      </c>
      <c r="E108" s="1">
        <f t="shared" si="15"/>
        <v>8500</v>
      </c>
      <c r="F108" s="1">
        <f t="shared" si="16"/>
        <v>10500</v>
      </c>
      <c r="G108" s="1">
        <f t="shared" si="17"/>
        <v>12500</v>
      </c>
      <c r="H108" s="1" t="e">
        <f t="shared" si="18"/>
        <v>#N/A</v>
      </c>
      <c r="I108" s="1" t="e">
        <f t="shared" si="19"/>
        <v>#N/A</v>
      </c>
      <c r="J108" s="1" t="e">
        <f t="shared" si="20"/>
        <v>#N/A</v>
      </c>
      <c r="K108" s="1" t="e">
        <f t="shared" si="21"/>
        <v>#N/A</v>
      </c>
      <c r="L108" s="1" t="e">
        <f t="shared" si="22"/>
        <v>#N/A</v>
      </c>
      <c r="M108" s="1" t="e">
        <f t="shared" si="23"/>
        <v>#N/A</v>
      </c>
      <c r="N108" s="1" t="e">
        <f t="shared" si="24"/>
        <v>#N/A</v>
      </c>
      <c r="O108" s="1" t="e">
        <f t="shared" si="25"/>
        <v>#N/A</v>
      </c>
      <c r="P108" s="1" t="e">
        <f t="shared" si="26"/>
        <v>#N/A</v>
      </c>
      <c r="Q108" s="1" t="e">
        <f t="shared" si="27"/>
        <v>#N/A</v>
      </c>
      <c r="R108" s="1" t="e">
        <f t="shared" si="28"/>
        <v>#N/A</v>
      </c>
      <c r="S108" s="1" t="e">
        <f t="shared" si="29"/>
        <v>#N/A</v>
      </c>
      <c r="T108" s="1" t="e">
        <f t="shared" si="30"/>
        <v>#N/A</v>
      </c>
      <c r="U108" s="1" t="e">
        <f t="shared" si="31"/>
        <v>#N/A</v>
      </c>
      <c r="V108" s="1" t="e">
        <f t="shared" si="32"/>
        <v>#N/A</v>
      </c>
      <c r="W108" s="1" t="e">
        <f t="shared" si="33"/>
        <v>#N/A</v>
      </c>
      <c r="X108" s="1" t="e">
        <f t="shared" si="34"/>
        <v>#N/A</v>
      </c>
      <c r="Y108" s="1" t="e">
        <f t="shared" si="35"/>
        <v>#N/A</v>
      </c>
      <c r="Z108" s="1" t="e">
        <f t="shared" si="36"/>
        <v>#N/A</v>
      </c>
      <c r="AA108" s="1" t="e">
        <f t="shared" si="37"/>
        <v>#N/A</v>
      </c>
      <c r="AB108" s="1" t="e">
        <f t="shared" si="38"/>
        <v>#N/A</v>
      </c>
      <c r="AC108" s="1" t="e">
        <f t="shared" si="39"/>
        <v>#N/A</v>
      </c>
      <c r="AD108" s="1" t="e">
        <f t="shared" si="40"/>
        <v>#N/A</v>
      </c>
      <c r="AE108" s="1" t="e">
        <f t="shared" si="41"/>
        <v>#N/A</v>
      </c>
      <c r="AF108" s="1" t="e">
        <f t="shared" si="42"/>
        <v>#N/A</v>
      </c>
    </row>
    <row r="109" spans="2:32" hidden="1" x14ac:dyDescent="0.25">
      <c r="B109" s="5" t="str">
        <f t="shared" si="12"/>
        <v>X</v>
      </c>
      <c r="C109" s="1">
        <f t="shared" si="13"/>
        <v>3600</v>
      </c>
      <c r="D109" s="1">
        <f t="shared" si="14"/>
        <v>5000</v>
      </c>
      <c r="E109" s="1">
        <f t="shared" si="15"/>
        <v>8500</v>
      </c>
      <c r="F109" s="1">
        <f t="shared" si="16"/>
        <v>10500</v>
      </c>
      <c r="G109" s="1">
        <f t="shared" si="17"/>
        <v>12500</v>
      </c>
      <c r="H109" s="1" t="e">
        <f t="shared" si="18"/>
        <v>#N/A</v>
      </c>
      <c r="I109" s="1" t="e">
        <f t="shared" si="19"/>
        <v>#N/A</v>
      </c>
      <c r="J109" s="1" t="e">
        <f t="shared" si="20"/>
        <v>#N/A</v>
      </c>
      <c r="K109" s="1" t="e">
        <f t="shared" si="21"/>
        <v>#N/A</v>
      </c>
      <c r="L109" s="1" t="e">
        <f t="shared" si="22"/>
        <v>#N/A</v>
      </c>
      <c r="M109" s="1" t="e">
        <f t="shared" si="23"/>
        <v>#N/A</v>
      </c>
      <c r="N109" s="1" t="e">
        <f t="shared" si="24"/>
        <v>#N/A</v>
      </c>
      <c r="O109" s="1" t="e">
        <f t="shared" si="25"/>
        <v>#N/A</v>
      </c>
      <c r="P109" s="1" t="e">
        <f t="shared" si="26"/>
        <v>#N/A</v>
      </c>
      <c r="Q109" s="1" t="e">
        <f t="shared" si="27"/>
        <v>#N/A</v>
      </c>
      <c r="R109" s="1" t="e">
        <f t="shared" si="28"/>
        <v>#N/A</v>
      </c>
      <c r="S109" s="1" t="e">
        <f t="shared" si="29"/>
        <v>#N/A</v>
      </c>
      <c r="T109" s="1" t="e">
        <f t="shared" si="30"/>
        <v>#N/A</v>
      </c>
      <c r="U109" s="1" t="e">
        <f t="shared" si="31"/>
        <v>#N/A</v>
      </c>
      <c r="V109" s="1" t="e">
        <f t="shared" si="32"/>
        <v>#N/A</v>
      </c>
      <c r="W109" s="1" t="e">
        <f t="shared" si="33"/>
        <v>#N/A</v>
      </c>
      <c r="X109" s="1" t="e">
        <f t="shared" si="34"/>
        <v>#N/A</v>
      </c>
      <c r="Y109" s="1" t="e">
        <f t="shared" si="35"/>
        <v>#N/A</v>
      </c>
      <c r="Z109" s="1" t="e">
        <f t="shared" si="36"/>
        <v>#N/A</v>
      </c>
      <c r="AA109" s="1" t="e">
        <f t="shared" si="37"/>
        <v>#N/A</v>
      </c>
      <c r="AB109" s="1" t="e">
        <f t="shared" si="38"/>
        <v>#N/A</v>
      </c>
      <c r="AC109" s="1" t="e">
        <f t="shared" si="39"/>
        <v>#N/A</v>
      </c>
      <c r="AD109" s="1" t="e">
        <f t="shared" si="40"/>
        <v>#N/A</v>
      </c>
      <c r="AE109" s="1" t="e">
        <f t="shared" si="41"/>
        <v>#N/A</v>
      </c>
      <c r="AF109" s="1" t="e">
        <f t="shared" si="42"/>
        <v>#N/A</v>
      </c>
    </row>
    <row r="110" spans="2:32" hidden="1" x14ac:dyDescent="0.25">
      <c r="B110" s="5" t="str">
        <f t="shared" si="12"/>
        <v>X</v>
      </c>
      <c r="C110" s="1">
        <f t="shared" si="13"/>
        <v>3600</v>
      </c>
      <c r="D110" s="1">
        <f t="shared" si="14"/>
        <v>5000</v>
      </c>
      <c r="E110" s="1">
        <f t="shared" si="15"/>
        <v>8500</v>
      </c>
      <c r="F110" s="1">
        <f t="shared" si="16"/>
        <v>10500</v>
      </c>
      <c r="G110" s="1">
        <f t="shared" si="17"/>
        <v>12500</v>
      </c>
      <c r="H110" s="1" t="e">
        <f t="shared" si="18"/>
        <v>#N/A</v>
      </c>
      <c r="I110" s="1" t="e">
        <f t="shared" si="19"/>
        <v>#N/A</v>
      </c>
      <c r="J110" s="1" t="e">
        <f t="shared" si="20"/>
        <v>#N/A</v>
      </c>
      <c r="K110" s="1" t="e">
        <f t="shared" si="21"/>
        <v>#N/A</v>
      </c>
      <c r="L110" s="1" t="e">
        <f t="shared" si="22"/>
        <v>#N/A</v>
      </c>
      <c r="M110" s="1" t="e">
        <f t="shared" si="23"/>
        <v>#N/A</v>
      </c>
      <c r="N110" s="1" t="e">
        <f t="shared" si="24"/>
        <v>#N/A</v>
      </c>
      <c r="O110" s="1" t="e">
        <f t="shared" si="25"/>
        <v>#N/A</v>
      </c>
      <c r="P110" s="1" t="e">
        <f t="shared" si="26"/>
        <v>#N/A</v>
      </c>
      <c r="Q110" s="1" t="e">
        <f t="shared" si="27"/>
        <v>#N/A</v>
      </c>
      <c r="R110" s="1" t="e">
        <f t="shared" si="28"/>
        <v>#N/A</v>
      </c>
      <c r="S110" s="1" t="e">
        <f t="shared" si="29"/>
        <v>#N/A</v>
      </c>
      <c r="T110" s="1" t="e">
        <f t="shared" si="30"/>
        <v>#N/A</v>
      </c>
      <c r="U110" s="1" t="e">
        <f t="shared" si="31"/>
        <v>#N/A</v>
      </c>
      <c r="V110" s="1" t="e">
        <f t="shared" si="32"/>
        <v>#N/A</v>
      </c>
      <c r="W110" s="1" t="e">
        <f t="shared" si="33"/>
        <v>#N/A</v>
      </c>
      <c r="X110" s="1" t="e">
        <f t="shared" si="34"/>
        <v>#N/A</v>
      </c>
      <c r="Y110" s="1" t="e">
        <f t="shared" si="35"/>
        <v>#N/A</v>
      </c>
      <c r="Z110" s="1" t="e">
        <f t="shared" si="36"/>
        <v>#N/A</v>
      </c>
      <c r="AA110" s="1" t="e">
        <f t="shared" si="37"/>
        <v>#N/A</v>
      </c>
      <c r="AB110" s="1" t="e">
        <f t="shared" si="38"/>
        <v>#N/A</v>
      </c>
      <c r="AC110" s="1" t="e">
        <f t="shared" si="39"/>
        <v>#N/A</v>
      </c>
      <c r="AD110" s="1" t="e">
        <f t="shared" si="40"/>
        <v>#N/A</v>
      </c>
      <c r="AE110" s="1" t="e">
        <f t="shared" si="41"/>
        <v>#N/A</v>
      </c>
      <c r="AF110" s="1" t="e">
        <f t="shared" si="42"/>
        <v>#N/A</v>
      </c>
    </row>
    <row r="111" spans="2:32" hidden="1" x14ac:dyDescent="0.25">
      <c r="B111" s="5" t="str">
        <f t="shared" si="12"/>
        <v>X</v>
      </c>
      <c r="C111" s="1">
        <f t="shared" si="13"/>
        <v>3600</v>
      </c>
      <c r="D111" s="1">
        <f t="shared" si="14"/>
        <v>5000</v>
      </c>
      <c r="E111" s="1">
        <f t="shared" si="15"/>
        <v>8500</v>
      </c>
      <c r="F111" s="1">
        <f t="shared" si="16"/>
        <v>10500</v>
      </c>
      <c r="G111" s="1">
        <f t="shared" si="17"/>
        <v>12500</v>
      </c>
      <c r="H111" s="1" t="e">
        <f t="shared" si="18"/>
        <v>#N/A</v>
      </c>
      <c r="I111" s="1" t="e">
        <f t="shared" si="19"/>
        <v>#N/A</v>
      </c>
      <c r="J111" s="1" t="e">
        <f t="shared" si="20"/>
        <v>#N/A</v>
      </c>
      <c r="K111" s="1" t="e">
        <f t="shared" si="21"/>
        <v>#N/A</v>
      </c>
      <c r="L111" s="1" t="e">
        <f t="shared" si="22"/>
        <v>#N/A</v>
      </c>
      <c r="M111" s="1" t="e">
        <f t="shared" si="23"/>
        <v>#N/A</v>
      </c>
      <c r="N111" s="1" t="e">
        <f t="shared" si="24"/>
        <v>#N/A</v>
      </c>
      <c r="O111" s="1" t="e">
        <f t="shared" si="25"/>
        <v>#N/A</v>
      </c>
      <c r="P111" s="1" t="e">
        <f t="shared" si="26"/>
        <v>#N/A</v>
      </c>
      <c r="Q111" s="1" t="e">
        <f t="shared" si="27"/>
        <v>#N/A</v>
      </c>
      <c r="R111" s="1" t="e">
        <f t="shared" si="28"/>
        <v>#N/A</v>
      </c>
      <c r="S111" s="1" t="e">
        <f t="shared" si="29"/>
        <v>#N/A</v>
      </c>
      <c r="T111" s="1" t="e">
        <f t="shared" si="30"/>
        <v>#N/A</v>
      </c>
      <c r="U111" s="1" t="e">
        <f t="shared" si="31"/>
        <v>#N/A</v>
      </c>
      <c r="V111" s="1" t="e">
        <f t="shared" si="32"/>
        <v>#N/A</v>
      </c>
      <c r="W111" s="1" t="e">
        <f t="shared" si="33"/>
        <v>#N/A</v>
      </c>
      <c r="X111" s="1" t="e">
        <f t="shared" si="34"/>
        <v>#N/A</v>
      </c>
      <c r="Y111" s="1" t="e">
        <f t="shared" si="35"/>
        <v>#N/A</v>
      </c>
      <c r="Z111" s="1" t="e">
        <f t="shared" si="36"/>
        <v>#N/A</v>
      </c>
      <c r="AA111" s="1" t="e">
        <f t="shared" si="37"/>
        <v>#N/A</v>
      </c>
      <c r="AB111" s="1" t="e">
        <f t="shared" si="38"/>
        <v>#N/A</v>
      </c>
      <c r="AC111" s="1" t="e">
        <f t="shared" si="39"/>
        <v>#N/A</v>
      </c>
      <c r="AD111" s="1" t="e">
        <f t="shared" si="40"/>
        <v>#N/A</v>
      </c>
      <c r="AE111" s="1" t="e">
        <f t="shared" si="41"/>
        <v>#N/A</v>
      </c>
      <c r="AF111" s="1" t="e">
        <f t="shared" si="42"/>
        <v>#N/A</v>
      </c>
    </row>
    <row r="112" spans="2:32" hidden="1" x14ac:dyDescent="0.25">
      <c r="B112" s="5" t="str">
        <f t="shared" si="12"/>
        <v>X</v>
      </c>
      <c r="C112" s="1">
        <f t="shared" si="13"/>
        <v>3600</v>
      </c>
      <c r="D112" s="1">
        <f t="shared" si="14"/>
        <v>5000</v>
      </c>
      <c r="E112" s="1">
        <f t="shared" si="15"/>
        <v>8500</v>
      </c>
      <c r="F112" s="1">
        <f t="shared" si="16"/>
        <v>10500</v>
      </c>
      <c r="G112" s="1">
        <f t="shared" si="17"/>
        <v>12500</v>
      </c>
      <c r="H112" s="1" t="e">
        <f t="shared" si="18"/>
        <v>#N/A</v>
      </c>
      <c r="I112" s="1" t="e">
        <f t="shared" si="19"/>
        <v>#N/A</v>
      </c>
      <c r="J112" s="1" t="e">
        <f t="shared" si="20"/>
        <v>#N/A</v>
      </c>
      <c r="K112" s="1" t="e">
        <f t="shared" si="21"/>
        <v>#N/A</v>
      </c>
      <c r="L112" s="1" t="e">
        <f t="shared" si="22"/>
        <v>#N/A</v>
      </c>
      <c r="M112" s="1" t="e">
        <f t="shared" si="23"/>
        <v>#N/A</v>
      </c>
      <c r="N112" s="1" t="e">
        <f t="shared" si="24"/>
        <v>#N/A</v>
      </c>
      <c r="O112" s="1" t="e">
        <f t="shared" si="25"/>
        <v>#N/A</v>
      </c>
      <c r="P112" s="1" t="e">
        <f t="shared" si="26"/>
        <v>#N/A</v>
      </c>
      <c r="Q112" s="1" t="e">
        <f t="shared" si="27"/>
        <v>#N/A</v>
      </c>
      <c r="R112" s="1" t="e">
        <f t="shared" si="28"/>
        <v>#N/A</v>
      </c>
      <c r="S112" s="1" t="e">
        <f t="shared" si="29"/>
        <v>#N/A</v>
      </c>
      <c r="T112" s="1" t="e">
        <f t="shared" si="30"/>
        <v>#N/A</v>
      </c>
      <c r="U112" s="1" t="e">
        <f t="shared" si="31"/>
        <v>#N/A</v>
      </c>
      <c r="V112" s="1" t="e">
        <f t="shared" si="32"/>
        <v>#N/A</v>
      </c>
      <c r="W112" s="1" t="e">
        <f t="shared" si="33"/>
        <v>#N/A</v>
      </c>
      <c r="X112" s="1" t="e">
        <f t="shared" si="34"/>
        <v>#N/A</v>
      </c>
      <c r="Y112" s="1" t="e">
        <f t="shared" si="35"/>
        <v>#N/A</v>
      </c>
      <c r="Z112" s="1" t="e">
        <f t="shared" si="36"/>
        <v>#N/A</v>
      </c>
      <c r="AA112" s="1" t="e">
        <f t="shared" si="37"/>
        <v>#N/A</v>
      </c>
      <c r="AB112" s="1" t="e">
        <f t="shared" si="38"/>
        <v>#N/A</v>
      </c>
      <c r="AC112" s="1" t="e">
        <f t="shared" si="39"/>
        <v>#N/A</v>
      </c>
      <c r="AD112" s="1" t="e">
        <f t="shared" si="40"/>
        <v>#N/A</v>
      </c>
      <c r="AE112" s="1" t="e">
        <f t="shared" si="41"/>
        <v>#N/A</v>
      </c>
      <c r="AF112" s="1" t="e">
        <f t="shared" si="42"/>
        <v>#N/A</v>
      </c>
    </row>
    <row r="113" spans="2:32" hidden="1" x14ac:dyDescent="0.25">
      <c r="B113" s="5" t="str">
        <f t="shared" si="12"/>
        <v>X</v>
      </c>
      <c r="C113" s="1">
        <f t="shared" si="13"/>
        <v>3600</v>
      </c>
      <c r="D113" s="1">
        <f t="shared" si="14"/>
        <v>5000</v>
      </c>
      <c r="E113" s="1">
        <f t="shared" si="15"/>
        <v>8500</v>
      </c>
      <c r="F113" s="1">
        <f t="shared" si="16"/>
        <v>10500</v>
      </c>
      <c r="G113" s="1">
        <f t="shared" si="17"/>
        <v>12500</v>
      </c>
      <c r="H113" s="1" t="e">
        <f t="shared" si="18"/>
        <v>#N/A</v>
      </c>
      <c r="I113" s="1" t="e">
        <f t="shared" si="19"/>
        <v>#N/A</v>
      </c>
      <c r="J113" s="1" t="e">
        <f t="shared" si="20"/>
        <v>#N/A</v>
      </c>
      <c r="K113" s="1" t="e">
        <f t="shared" si="21"/>
        <v>#N/A</v>
      </c>
      <c r="L113" s="1" t="e">
        <f t="shared" si="22"/>
        <v>#N/A</v>
      </c>
      <c r="M113" s="1" t="e">
        <f t="shared" si="23"/>
        <v>#N/A</v>
      </c>
      <c r="N113" s="1" t="e">
        <f t="shared" si="24"/>
        <v>#N/A</v>
      </c>
      <c r="O113" s="1" t="e">
        <f t="shared" si="25"/>
        <v>#N/A</v>
      </c>
      <c r="P113" s="1" t="e">
        <f t="shared" si="26"/>
        <v>#N/A</v>
      </c>
      <c r="Q113" s="1" t="e">
        <f t="shared" si="27"/>
        <v>#N/A</v>
      </c>
      <c r="R113" s="1" t="e">
        <f t="shared" si="28"/>
        <v>#N/A</v>
      </c>
      <c r="S113" s="1" t="e">
        <f t="shared" si="29"/>
        <v>#N/A</v>
      </c>
      <c r="T113" s="1" t="e">
        <f t="shared" si="30"/>
        <v>#N/A</v>
      </c>
      <c r="U113" s="1" t="e">
        <f t="shared" si="31"/>
        <v>#N/A</v>
      </c>
      <c r="V113" s="1" t="e">
        <f t="shared" si="32"/>
        <v>#N/A</v>
      </c>
      <c r="W113" s="1" t="e">
        <f t="shared" si="33"/>
        <v>#N/A</v>
      </c>
      <c r="X113" s="1" t="e">
        <f t="shared" si="34"/>
        <v>#N/A</v>
      </c>
      <c r="Y113" s="1" t="e">
        <f t="shared" si="35"/>
        <v>#N/A</v>
      </c>
      <c r="Z113" s="1" t="e">
        <f t="shared" si="36"/>
        <v>#N/A</v>
      </c>
      <c r="AA113" s="1" t="e">
        <f t="shared" si="37"/>
        <v>#N/A</v>
      </c>
      <c r="AB113" s="1" t="e">
        <f t="shared" si="38"/>
        <v>#N/A</v>
      </c>
      <c r="AC113" s="1" t="e">
        <f t="shared" si="39"/>
        <v>#N/A</v>
      </c>
      <c r="AD113" s="1" t="e">
        <f t="shared" si="40"/>
        <v>#N/A</v>
      </c>
      <c r="AE113" s="1" t="e">
        <f t="shared" si="41"/>
        <v>#N/A</v>
      </c>
      <c r="AF113" s="1" t="e">
        <f t="shared" si="42"/>
        <v>#N/A</v>
      </c>
    </row>
    <row r="114" spans="2:32" hidden="1" x14ac:dyDescent="0.25">
      <c r="B114" s="5" t="str">
        <f t="shared" si="12"/>
        <v>X</v>
      </c>
      <c r="C114" s="1">
        <f t="shared" si="13"/>
        <v>3600</v>
      </c>
      <c r="D114" s="1">
        <f t="shared" si="14"/>
        <v>5000</v>
      </c>
      <c r="E114" s="1">
        <f t="shared" si="15"/>
        <v>8500</v>
      </c>
      <c r="F114" s="1">
        <f t="shared" si="16"/>
        <v>10500</v>
      </c>
      <c r="G114" s="1">
        <f t="shared" si="17"/>
        <v>12500</v>
      </c>
      <c r="H114" s="1" t="e">
        <f t="shared" si="18"/>
        <v>#N/A</v>
      </c>
      <c r="I114" s="1" t="e">
        <f t="shared" si="19"/>
        <v>#N/A</v>
      </c>
      <c r="J114" s="1" t="e">
        <f t="shared" si="20"/>
        <v>#N/A</v>
      </c>
      <c r="K114" s="1" t="e">
        <f t="shared" si="21"/>
        <v>#N/A</v>
      </c>
      <c r="L114" s="1" t="e">
        <f t="shared" si="22"/>
        <v>#N/A</v>
      </c>
      <c r="M114" s="1" t="e">
        <f t="shared" si="23"/>
        <v>#N/A</v>
      </c>
      <c r="N114" s="1" t="e">
        <f t="shared" si="24"/>
        <v>#N/A</v>
      </c>
      <c r="O114" s="1" t="e">
        <f t="shared" si="25"/>
        <v>#N/A</v>
      </c>
      <c r="P114" s="1" t="e">
        <f t="shared" si="26"/>
        <v>#N/A</v>
      </c>
      <c r="Q114" s="1" t="e">
        <f t="shared" si="27"/>
        <v>#N/A</v>
      </c>
      <c r="R114" s="1" t="e">
        <f t="shared" si="28"/>
        <v>#N/A</v>
      </c>
      <c r="S114" s="1" t="e">
        <f t="shared" si="29"/>
        <v>#N/A</v>
      </c>
      <c r="T114" s="1" t="e">
        <f t="shared" si="30"/>
        <v>#N/A</v>
      </c>
      <c r="U114" s="1" t="e">
        <f t="shared" si="31"/>
        <v>#N/A</v>
      </c>
      <c r="V114" s="1" t="e">
        <f t="shared" si="32"/>
        <v>#N/A</v>
      </c>
      <c r="W114" s="1" t="e">
        <f t="shared" si="33"/>
        <v>#N/A</v>
      </c>
      <c r="X114" s="1" t="e">
        <f t="shared" si="34"/>
        <v>#N/A</v>
      </c>
      <c r="Y114" s="1" t="e">
        <f t="shared" si="35"/>
        <v>#N/A</v>
      </c>
      <c r="Z114" s="1" t="e">
        <f t="shared" si="36"/>
        <v>#N/A</v>
      </c>
      <c r="AA114" s="1" t="e">
        <f t="shared" si="37"/>
        <v>#N/A</v>
      </c>
      <c r="AB114" s="1" t="e">
        <f t="shared" si="38"/>
        <v>#N/A</v>
      </c>
      <c r="AC114" s="1" t="e">
        <f t="shared" si="39"/>
        <v>#N/A</v>
      </c>
      <c r="AD114" s="1" t="e">
        <f t="shared" si="40"/>
        <v>#N/A</v>
      </c>
      <c r="AE114" s="1" t="e">
        <f t="shared" si="41"/>
        <v>#N/A</v>
      </c>
      <c r="AF114" s="1" t="e">
        <f t="shared" si="42"/>
        <v>#N/A</v>
      </c>
    </row>
    <row r="115" spans="2:32" hidden="1" x14ac:dyDescent="0.25">
      <c r="B115" s="5" t="str">
        <f t="shared" si="12"/>
        <v>X</v>
      </c>
      <c r="C115" s="1">
        <f t="shared" si="13"/>
        <v>3600</v>
      </c>
      <c r="D115" s="1">
        <f t="shared" si="14"/>
        <v>5000</v>
      </c>
      <c r="E115" s="1">
        <f t="shared" si="15"/>
        <v>8500</v>
      </c>
      <c r="F115" s="1">
        <f t="shared" si="16"/>
        <v>10500</v>
      </c>
      <c r="G115" s="1">
        <f t="shared" si="17"/>
        <v>12500</v>
      </c>
      <c r="H115" s="1" t="e">
        <f t="shared" si="18"/>
        <v>#N/A</v>
      </c>
      <c r="I115" s="1" t="e">
        <f t="shared" si="19"/>
        <v>#N/A</v>
      </c>
      <c r="J115" s="1" t="e">
        <f t="shared" si="20"/>
        <v>#N/A</v>
      </c>
      <c r="K115" s="1" t="e">
        <f t="shared" si="21"/>
        <v>#N/A</v>
      </c>
      <c r="L115" s="1" t="e">
        <f t="shared" si="22"/>
        <v>#N/A</v>
      </c>
      <c r="M115" s="1" t="e">
        <f t="shared" si="23"/>
        <v>#N/A</v>
      </c>
      <c r="N115" s="1" t="e">
        <f t="shared" si="24"/>
        <v>#N/A</v>
      </c>
      <c r="O115" s="1" t="e">
        <f t="shared" si="25"/>
        <v>#N/A</v>
      </c>
      <c r="P115" s="1" t="e">
        <f t="shared" si="26"/>
        <v>#N/A</v>
      </c>
      <c r="Q115" s="1" t="e">
        <f t="shared" si="27"/>
        <v>#N/A</v>
      </c>
      <c r="R115" s="1" t="e">
        <f t="shared" si="28"/>
        <v>#N/A</v>
      </c>
      <c r="S115" s="1" t="e">
        <f t="shared" si="29"/>
        <v>#N/A</v>
      </c>
      <c r="T115" s="1" t="e">
        <f t="shared" si="30"/>
        <v>#N/A</v>
      </c>
      <c r="U115" s="1" t="e">
        <f t="shared" si="31"/>
        <v>#N/A</v>
      </c>
      <c r="V115" s="1" t="e">
        <f t="shared" si="32"/>
        <v>#N/A</v>
      </c>
      <c r="W115" s="1" t="e">
        <f t="shared" si="33"/>
        <v>#N/A</v>
      </c>
      <c r="X115" s="1" t="e">
        <f t="shared" si="34"/>
        <v>#N/A</v>
      </c>
      <c r="Y115" s="1" t="e">
        <f t="shared" si="35"/>
        <v>#N/A</v>
      </c>
      <c r="Z115" s="1" t="e">
        <f t="shared" si="36"/>
        <v>#N/A</v>
      </c>
      <c r="AA115" s="1" t="e">
        <f t="shared" si="37"/>
        <v>#N/A</v>
      </c>
      <c r="AB115" s="1" t="e">
        <f t="shared" si="38"/>
        <v>#N/A</v>
      </c>
      <c r="AC115" s="1" t="e">
        <f t="shared" si="39"/>
        <v>#N/A</v>
      </c>
      <c r="AD115" s="1" t="e">
        <f t="shared" si="40"/>
        <v>#N/A</v>
      </c>
      <c r="AE115" s="1" t="e">
        <f t="shared" si="41"/>
        <v>#N/A</v>
      </c>
      <c r="AF115" s="1" t="e">
        <f t="shared" si="42"/>
        <v>#N/A</v>
      </c>
    </row>
    <row r="116" spans="2:32" hidden="1" x14ac:dyDescent="0.25">
      <c r="B116" s="5" t="str">
        <f t="shared" si="12"/>
        <v>X</v>
      </c>
      <c r="C116" s="1">
        <f t="shared" si="13"/>
        <v>3600</v>
      </c>
      <c r="D116" s="1">
        <f t="shared" si="14"/>
        <v>5000</v>
      </c>
      <c r="E116" s="1">
        <f t="shared" si="15"/>
        <v>8500</v>
      </c>
      <c r="F116" s="1">
        <f t="shared" si="16"/>
        <v>10500</v>
      </c>
      <c r="G116" s="1">
        <f t="shared" si="17"/>
        <v>12500</v>
      </c>
      <c r="H116" s="1" t="e">
        <f t="shared" si="18"/>
        <v>#N/A</v>
      </c>
      <c r="I116" s="1" t="e">
        <f t="shared" si="19"/>
        <v>#N/A</v>
      </c>
      <c r="J116" s="1" t="e">
        <f t="shared" si="20"/>
        <v>#N/A</v>
      </c>
      <c r="K116" s="1" t="e">
        <f t="shared" si="21"/>
        <v>#N/A</v>
      </c>
      <c r="L116" s="1" t="e">
        <f t="shared" si="22"/>
        <v>#N/A</v>
      </c>
      <c r="M116" s="1" t="e">
        <f t="shared" si="23"/>
        <v>#N/A</v>
      </c>
      <c r="N116" s="1" t="e">
        <f t="shared" si="24"/>
        <v>#N/A</v>
      </c>
      <c r="O116" s="1" t="e">
        <f t="shared" si="25"/>
        <v>#N/A</v>
      </c>
      <c r="P116" s="1" t="e">
        <f t="shared" si="26"/>
        <v>#N/A</v>
      </c>
      <c r="Q116" s="1" t="e">
        <f t="shared" si="27"/>
        <v>#N/A</v>
      </c>
      <c r="R116" s="1" t="e">
        <f t="shared" si="28"/>
        <v>#N/A</v>
      </c>
      <c r="S116" s="1" t="e">
        <f t="shared" si="29"/>
        <v>#N/A</v>
      </c>
      <c r="T116" s="1" t="e">
        <f t="shared" si="30"/>
        <v>#N/A</v>
      </c>
      <c r="U116" s="1" t="e">
        <f t="shared" si="31"/>
        <v>#N/A</v>
      </c>
      <c r="V116" s="1" t="e">
        <f t="shared" si="32"/>
        <v>#N/A</v>
      </c>
      <c r="W116" s="1" t="e">
        <f t="shared" si="33"/>
        <v>#N/A</v>
      </c>
      <c r="X116" s="1" t="e">
        <f t="shared" si="34"/>
        <v>#N/A</v>
      </c>
      <c r="Y116" s="1" t="e">
        <f t="shared" si="35"/>
        <v>#N/A</v>
      </c>
      <c r="Z116" s="1" t="e">
        <f t="shared" si="36"/>
        <v>#N/A</v>
      </c>
      <c r="AA116" s="1" t="e">
        <f t="shared" si="37"/>
        <v>#N/A</v>
      </c>
      <c r="AB116" s="1" t="e">
        <f t="shared" si="38"/>
        <v>#N/A</v>
      </c>
      <c r="AC116" s="1" t="e">
        <f t="shared" si="39"/>
        <v>#N/A</v>
      </c>
      <c r="AD116" s="1" t="e">
        <f t="shared" si="40"/>
        <v>#N/A</v>
      </c>
      <c r="AE116" s="1" t="e">
        <f t="shared" si="41"/>
        <v>#N/A</v>
      </c>
      <c r="AF116" s="1" t="e">
        <f t="shared" si="42"/>
        <v>#N/A</v>
      </c>
    </row>
    <row r="117" spans="2:32" hidden="1" x14ac:dyDescent="0.25">
      <c r="B117" s="5" t="str">
        <f t="shared" si="12"/>
        <v>X</v>
      </c>
      <c r="C117" s="1">
        <f t="shared" si="13"/>
        <v>3600</v>
      </c>
      <c r="D117" s="1">
        <f t="shared" si="14"/>
        <v>5000</v>
      </c>
      <c r="E117" s="1">
        <f t="shared" si="15"/>
        <v>8500</v>
      </c>
      <c r="F117" s="1">
        <f t="shared" si="16"/>
        <v>10500</v>
      </c>
      <c r="G117" s="1">
        <f t="shared" si="17"/>
        <v>12500</v>
      </c>
      <c r="H117" s="1" t="e">
        <f t="shared" si="18"/>
        <v>#N/A</v>
      </c>
      <c r="I117" s="1" t="e">
        <f t="shared" si="19"/>
        <v>#N/A</v>
      </c>
      <c r="J117" s="1" t="e">
        <f t="shared" si="20"/>
        <v>#N/A</v>
      </c>
      <c r="K117" s="1" t="e">
        <f t="shared" si="21"/>
        <v>#N/A</v>
      </c>
      <c r="L117" s="1" t="e">
        <f t="shared" si="22"/>
        <v>#N/A</v>
      </c>
      <c r="M117" s="1" t="e">
        <f t="shared" si="23"/>
        <v>#N/A</v>
      </c>
      <c r="N117" s="1" t="e">
        <f t="shared" si="24"/>
        <v>#N/A</v>
      </c>
      <c r="O117" s="1" t="e">
        <f t="shared" si="25"/>
        <v>#N/A</v>
      </c>
      <c r="P117" s="1" t="e">
        <f t="shared" si="26"/>
        <v>#N/A</v>
      </c>
      <c r="Q117" s="1" t="e">
        <f t="shared" si="27"/>
        <v>#N/A</v>
      </c>
      <c r="R117" s="1" t="e">
        <f t="shared" si="28"/>
        <v>#N/A</v>
      </c>
      <c r="S117" s="1" t="e">
        <f t="shared" si="29"/>
        <v>#N/A</v>
      </c>
      <c r="T117" s="1" t="e">
        <f t="shared" si="30"/>
        <v>#N/A</v>
      </c>
      <c r="U117" s="1" t="e">
        <f t="shared" si="31"/>
        <v>#N/A</v>
      </c>
      <c r="V117" s="1" t="e">
        <f t="shared" si="32"/>
        <v>#N/A</v>
      </c>
      <c r="W117" s="1" t="e">
        <f t="shared" si="33"/>
        <v>#N/A</v>
      </c>
      <c r="X117" s="1" t="e">
        <f t="shared" si="34"/>
        <v>#N/A</v>
      </c>
      <c r="Y117" s="1" t="e">
        <f t="shared" si="35"/>
        <v>#N/A</v>
      </c>
      <c r="Z117" s="1" t="e">
        <f t="shared" si="36"/>
        <v>#N/A</v>
      </c>
      <c r="AA117" s="1" t="e">
        <f t="shared" si="37"/>
        <v>#N/A</v>
      </c>
      <c r="AB117" s="1" t="e">
        <f t="shared" si="38"/>
        <v>#N/A</v>
      </c>
      <c r="AC117" s="1" t="e">
        <f t="shared" si="39"/>
        <v>#N/A</v>
      </c>
      <c r="AD117" s="1" t="e">
        <f t="shared" si="40"/>
        <v>#N/A</v>
      </c>
      <c r="AE117" s="1" t="e">
        <f t="shared" si="41"/>
        <v>#N/A</v>
      </c>
      <c r="AF117" s="1" t="e">
        <f t="shared" si="42"/>
        <v>#N/A</v>
      </c>
    </row>
    <row r="118" spans="2:32" hidden="1" x14ac:dyDescent="0.25">
      <c r="B118" s="5" t="str">
        <f t="shared" si="12"/>
        <v>X</v>
      </c>
      <c r="C118" s="1">
        <f t="shared" si="13"/>
        <v>3600</v>
      </c>
      <c r="D118" s="1">
        <f t="shared" si="14"/>
        <v>5000</v>
      </c>
      <c r="E118" s="1">
        <f t="shared" si="15"/>
        <v>8500</v>
      </c>
      <c r="F118" s="1">
        <f t="shared" si="16"/>
        <v>10500</v>
      </c>
      <c r="G118" s="1">
        <f t="shared" si="17"/>
        <v>12500</v>
      </c>
      <c r="H118" s="1" t="e">
        <f t="shared" si="18"/>
        <v>#N/A</v>
      </c>
      <c r="I118" s="1" t="e">
        <f t="shared" si="19"/>
        <v>#N/A</v>
      </c>
      <c r="J118" s="1" t="e">
        <f t="shared" si="20"/>
        <v>#N/A</v>
      </c>
      <c r="K118" s="1" t="e">
        <f t="shared" si="21"/>
        <v>#N/A</v>
      </c>
      <c r="L118" s="1" t="e">
        <f t="shared" si="22"/>
        <v>#N/A</v>
      </c>
      <c r="M118" s="1" t="e">
        <f t="shared" si="23"/>
        <v>#N/A</v>
      </c>
      <c r="N118" s="1" t="e">
        <f t="shared" si="24"/>
        <v>#N/A</v>
      </c>
      <c r="O118" s="1" t="e">
        <f t="shared" si="25"/>
        <v>#N/A</v>
      </c>
      <c r="P118" s="1" t="e">
        <f t="shared" si="26"/>
        <v>#N/A</v>
      </c>
      <c r="Q118" s="1" t="e">
        <f t="shared" si="27"/>
        <v>#N/A</v>
      </c>
      <c r="R118" s="1" t="e">
        <f t="shared" si="28"/>
        <v>#N/A</v>
      </c>
      <c r="S118" s="1" t="e">
        <f t="shared" si="29"/>
        <v>#N/A</v>
      </c>
      <c r="T118" s="1" t="e">
        <f t="shared" si="30"/>
        <v>#N/A</v>
      </c>
      <c r="U118" s="1" t="e">
        <f t="shared" si="31"/>
        <v>#N/A</v>
      </c>
      <c r="V118" s="1" t="e">
        <f t="shared" si="32"/>
        <v>#N/A</v>
      </c>
      <c r="W118" s="1" t="e">
        <f t="shared" si="33"/>
        <v>#N/A</v>
      </c>
      <c r="X118" s="1" t="e">
        <f t="shared" si="34"/>
        <v>#N/A</v>
      </c>
      <c r="Y118" s="1" t="e">
        <f t="shared" si="35"/>
        <v>#N/A</v>
      </c>
      <c r="Z118" s="1" t="e">
        <f t="shared" si="36"/>
        <v>#N/A</v>
      </c>
      <c r="AA118" s="1" t="e">
        <f t="shared" si="37"/>
        <v>#N/A</v>
      </c>
      <c r="AB118" s="1" t="e">
        <f t="shared" si="38"/>
        <v>#N/A</v>
      </c>
      <c r="AC118" s="1" t="e">
        <f t="shared" si="39"/>
        <v>#N/A</v>
      </c>
      <c r="AD118" s="1" t="e">
        <f t="shared" si="40"/>
        <v>#N/A</v>
      </c>
      <c r="AE118" s="1" t="e">
        <f t="shared" si="41"/>
        <v>#N/A</v>
      </c>
      <c r="AF118" s="1" t="e">
        <f t="shared" si="42"/>
        <v>#N/A</v>
      </c>
    </row>
    <row r="119" spans="2:32" hidden="1" x14ac:dyDescent="0.25">
      <c r="B119" s="5" t="str">
        <f t="shared" si="12"/>
        <v>X</v>
      </c>
      <c r="C119" s="1">
        <f t="shared" si="13"/>
        <v>3600</v>
      </c>
      <c r="D119" s="1">
        <f t="shared" si="14"/>
        <v>5000</v>
      </c>
      <c r="E119" s="1">
        <f t="shared" si="15"/>
        <v>8500</v>
      </c>
      <c r="F119" s="1">
        <f t="shared" si="16"/>
        <v>10500</v>
      </c>
      <c r="G119" s="1">
        <f t="shared" si="17"/>
        <v>12500</v>
      </c>
      <c r="H119" s="1" t="e">
        <f t="shared" si="18"/>
        <v>#N/A</v>
      </c>
      <c r="I119" s="1" t="e">
        <f t="shared" si="19"/>
        <v>#N/A</v>
      </c>
      <c r="J119" s="1" t="e">
        <f t="shared" si="20"/>
        <v>#N/A</v>
      </c>
      <c r="K119" s="1" t="e">
        <f t="shared" si="21"/>
        <v>#N/A</v>
      </c>
      <c r="L119" s="1" t="e">
        <f t="shared" si="22"/>
        <v>#N/A</v>
      </c>
      <c r="M119" s="1" t="e">
        <f t="shared" si="23"/>
        <v>#N/A</v>
      </c>
      <c r="N119" s="1" t="e">
        <f t="shared" si="24"/>
        <v>#N/A</v>
      </c>
      <c r="O119" s="1" t="e">
        <f t="shared" si="25"/>
        <v>#N/A</v>
      </c>
      <c r="P119" s="1" t="e">
        <f t="shared" si="26"/>
        <v>#N/A</v>
      </c>
      <c r="Q119" s="1" t="e">
        <f t="shared" si="27"/>
        <v>#N/A</v>
      </c>
      <c r="R119" s="1" t="e">
        <f t="shared" si="28"/>
        <v>#N/A</v>
      </c>
      <c r="S119" s="1" t="e">
        <f t="shared" si="29"/>
        <v>#N/A</v>
      </c>
      <c r="T119" s="1" t="e">
        <f t="shared" si="30"/>
        <v>#N/A</v>
      </c>
      <c r="U119" s="1" t="e">
        <f t="shared" si="31"/>
        <v>#N/A</v>
      </c>
      <c r="V119" s="1" t="e">
        <f t="shared" si="32"/>
        <v>#N/A</v>
      </c>
      <c r="W119" s="1" t="e">
        <f t="shared" si="33"/>
        <v>#N/A</v>
      </c>
      <c r="X119" s="1" t="e">
        <f t="shared" si="34"/>
        <v>#N/A</v>
      </c>
      <c r="Y119" s="1" t="e">
        <f t="shared" si="35"/>
        <v>#N/A</v>
      </c>
      <c r="Z119" s="1" t="e">
        <f t="shared" si="36"/>
        <v>#N/A</v>
      </c>
      <c r="AA119" s="1" t="e">
        <f t="shared" si="37"/>
        <v>#N/A</v>
      </c>
      <c r="AB119" s="1" t="e">
        <f t="shared" si="38"/>
        <v>#N/A</v>
      </c>
      <c r="AC119" s="1" t="e">
        <f t="shared" si="39"/>
        <v>#N/A</v>
      </c>
      <c r="AD119" s="1" t="e">
        <f t="shared" si="40"/>
        <v>#N/A</v>
      </c>
      <c r="AE119" s="1" t="e">
        <f t="shared" si="41"/>
        <v>#N/A</v>
      </c>
      <c r="AF119" s="1" t="e">
        <f t="shared" si="42"/>
        <v>#N/A</v>
      </c>
    </row>
    <row r="120" spans="2:32" hidden="1" x14ac:dyDescent="0.25">
      <c r="B120" s="5" t="str">
        <f t="shared" si="12"/>
        <v>X</v>
      </c>
      <c r="C120" s="1">
        <f t="shared" si="13"/>
        <v>3600</v>
      </c>
      <c r="D120" s="1">
        <f t="shared" si="14"/>
        <v>5000</v>
      </c>
      <c r="E120" s="1">
        <f t="shared" si="15"/>
        <v>8500</v>
      </c>
      <c r="F120" s="1">
        <f t="shared" si="16"/>
        <v>10500</v>
      </c>
      <c r="G120" s="1">
        <f t="shared" si="17"/>
        <v>12500</v>
      </c>
      <c r="H120" s="1" t="e">
        <f t="shared" si="18"/>
        <v>#N/A</v>
      </c>
      <c r="I120" s="1" t="e">
        <f t="shared" si="19"/>
        <v>#N/A</v>
      </c>
      <c r="J120" s="1" t="e">
        <f t="shared" si="20"/>
        <v>#N/A</v>
      </c>
      <c r="K120" s="1" t="e">
        <f t="shared" si="21"/>
        <v>#N/A</v>
      </c>
      <c r="L120" s="1" t="e">
        <f t="shared" si="22"/>
        <v>#N/A</v>
      </c>
      <c r="M120" s="1" t="e">
        <f t="shared" si="23"/>
        <v>#N/A</v>
      </c>
      <c r="N120" s="1" t="e">
        <f t="shared" si="24"/>
        <v>#N/A</v>
      </c>
      <c r="O120" s="1" t="e">
        <f t="shared" si="25"/>
        <v>#N/A</v>
      </c>
      <c r="P120" s="1" t="e">
        <f t="shared" si="26"/>
        <v>#N/A</v>
      </c>
      <c r="Q120" s="1" t="e">
        <f t="shared" si="27"/>
        <v>#N/A</v>
      </c>
      <c r="R120" s="1" t="e">
        <f t="shared" si="28"/>
        <v>#N/A</v>
      </c>
      <c r="S120" s="1" t="e">
        <f t="shared" si="29"/>
        <v>#N/A</v>
      </c>
      <c r="T120" s="1" t="e">
        <f t="shared" si="30"/>
        <v>#N/A</v>
      </c>
      <c r="U120" s="1" t="e">
        <f t="shared" si="31"/>
        <v>#N/A</v>
      </c>
      <c r="V120" s="1" t="e">
        <f t="shared" si="32"/>
        <v>#N/A</v>
      </c>
      <c r="W120" s="1" t="e">
        <f t="shared" si="33"/>
        <v>#N/A</v>
      </c>
      <c r="X120" s="1" t="e">
        <f t="shared" si="34"/>
        <v>#N/A</v>
      </c>
      <c r="Y120" s="1" t="e">
        <f t="shared" si="35"/>
        <v>#N/A</v>
      </c>
      <c r="Z120" s="1" t="e">
        <f t="shared" si="36"/>
        <v>#N/A</v>
      </c>
      <c r="AA120" s="1" t="e">
        <f t="shared" si="37"/>
        <v>#N/A</v>
      </c>
      <c r="AB120" s="1" t="e">
        <f t="shared" si="38"/>
        <v>#N/A</v>
      </c>
      <c r="AC120" s="1" t="e">
        <f t="shared" si="39"/>
        <v>#N/A</v>
      </c>
      <c r="AD120" s="1" t="e">
        <f t="shared" si="40"/>
        <v>#N/A</v>
      </c>
      <c r="AE120" s="1" t="e">
        <f t="shared" si="41"/>
        <v>#N/A</v>
      </c>
      <c r="AF120" s="1" t="e">
        <f t="shared" si="42"/>
        <v>#N/A</v>
      </c>
    </row>
    <row r="121" spans="2:32" hidden="1" x14ac:dyDescent="0.25">
      <c r="B121" s="5" t="str">
        <f t="shared" si="12"/>
        <v>X</v>
      </c>
      <c r="C121" s="1">
        <f t="shared" si="13"/>
        <v>3600</v>
      </c>
      <c r="D121" s="1">
        <f t="shared" si="14"/>
        <v>5000</v>
      </c>
      <c r="E121" s="1">
        <f t="shared" si="15"/>
        <v>8500</v>
      </c>
      <c r="F121" s="1">
        <f t="shared" si="16"/>
        <v>10500</v>
      </c>
      <c r="G121" s="1">
        <f t="shared" si="17"/>
        <v>12500</v>
      </c>
      <c r="H121" s="1" t="e">
        <f t="shared" si="18"/>
        <v>#N/A</v>
      </c>
      <c r="I121" s="1" t="e">
        <f t="shared" si="19"/>
        <v>#N/A</v>
      </c>
      <c r="J121" s="1" t="e">
        <f t="shared" si="20"/>
        <v>#N/A</v>
      </c>
      <c r="K121" s="1" t="e">
        <f t="shared" si="21"/>
        <v>#N/A</v>
      </c>
      <c r="L121" s="1" t="e">
        <f t="shared" si="22"/>
        <v>#N/A</v>
      </c>
      <c r="M121" s="1" t="e">
        <f t="shared" si="23"/>
        <v>#N/A</v>
      </c>
      <c r="N121" s="1" t="e">
        <f t="shared" si="24"/>
        <v>#N/A</v>
      </c>
      <c r="O121" s="1" t="e">
        <f t="shared" si="25"/>
        <v>#N/A</v>
      </c>
      <c r="P121" s="1" t="e">
        <f t="shared" si="26"/>
        <v>#N/A</v>
      </c>
      <c r="Q121" s="1" t="e">
        <f t="shared" si="27"/>
        <v>#N/A</v>
      </c>
      <c r="R121" s="1" t="e">
        <f t="shared" si="28"/>
        <v>#N/A</v>
      </c>
      <c r="S121" s="1" t="e">
        <f t="shared" si="29"/>
        <v>#N/A</v>
      </c>
      <c r="T121" s="1" t="e">
        <f t="shared" si="30"/>
        <v>#N/A</v>
      </c>
      <c r="U121" s="1" t="e">
        <f t="shared" si="31"/>
        <v>#N/A</v>
      </c>
      <c r="V121" s="1" t="e">
        <f t="shared" si="32"/>
        <v>#N/A</v>
      </c>
      <c r="W121" s="1" t="e">
        <f t="shared" si="33"/>
        <v>#N/A</v>
      </c>
      <c r="X121" s="1" t="e">
        <f t="shared" si="34"/>
        <v>#N/A</v>
      </c>
      <c r="Y121" s="1" t="e">
        <f t="shared" si="35"/>
        <v>#N/A</v>
      </c>
      <c r="Z121" s="1" t="e">
        <f t="shared" si="36"/>
        <v>#N/A</v>
      </c>
      <c r="AA121" s="1" t="e">
        <f t="shared" si="37"/>
        <v>#N/A</v>
      </c>
      <c r="AB121" s="1" t="e">
        <f t="shared" si="38"/>
        <v>#N/A</v>
      </c>
      <c r="AC121" s="1" t="e">
        <f t="shared" si="39"/>
        <v>#N/A</v>
      </c>
      <c r="AD121" s="1" t="e">
        <f t="shared" si="40"/>
        <v>#N/A</v>
      </c>
      <c r="AE121" s="1" t="e">
        <f t="shared" si="41"/>
        <v>#N/A</v>
      </c>
      <c r="AF121" s="1" t="e">
        <f t="shared" si="42"/>
        <v>#N/A</v>
      </c>
    </row>
    <row r="122" spans="2:32" hidden="1" x14ac:dyDescent="0.25">
      <c r="B122" s="5" t="str">
        <f t="shared" si="12"/>
        <v>X</v>
      </c>
      <c r="C122" s="1">
        <f t="shared" si="13"/>
        <v>3600</v>
      </c>
      <c r="D122" s="1">
        <f t="shared" si="14"/>
        <v>5000</v>
      </c>
      <c r="E122" s="1">
        <f t="shared" si="15"/>
        <v>8500</v>
      </c>
      <c r="F122" s="1">
        <f t="shared" si="16"/>
        <v>10500</v>
      </c>
      <c r="G122" s="1">
        <f t="shared" si="17"/>
        <v>12500</v>
      </c>
      <c r="H122" s="1" t="e">
        <f t="shared" si="18"/>
        <v>#N/A</v>
      </c>
      <c r="I122" s="1" t="e">
        <f t="shared" si="19"/>
        <v>#N/A</v>
      </c>
      <c r="J122" s="1" t="e">
        <f t="shared" si="20"/>
        <v>#N/A</v>
      </c>
      <c r="K122" s="1" t="e">
        <f t="shared" si="21"/>
        <v>#N/A</v>
      </c>
      <c r="L122" s="1" t="e">
        <f t="shared" si="22"/>
        <v>#N/A</v>
      </c>
      <c r="M122" s="1" t="e">
        <f t="shared" si="23"/>
        <v>#N/A</v>
      </c>
      <c r="N122" s="1" t="e">
        <f t="shared" si="24"/>
        <v>#N/A</v>
      </c>
      <c r="O122" s="1" t="e">
        <f t="shared" si="25"/>
        <v>#N/A</v>
      </c>
      <c r="P122" s="1" t="e">
        <f t="shared" si="26"/>
        <v>#N/A</v>
      </c>
      <c r="Q122" s="1" t="e">
        <f t="shared" si="27"/>
        <v>#N/A</v>
      </c>
      <c r="R122" s="1" t="e">
        <f t="shared" si="28"/>
        <v>#N/A</v>
      </c>
      <c r="S122" s="1" t="e">
        <f t="shared" si="29"/>
        <v>#N/A</v>
      </c>
      <c r="T122" s="1" t="e">
        <f t="shared" si="30"/>
        <v>#N/A</v>
      </c>
      <c r="U122" s="1" t="e">
        <f t="shared" si="31"/>
        <v>#N/A</v>
      </c>
      <c r="V122" s="1" t="e">
        <f t="shared" si="32"/>
        <v>#N/A</v>
      </c>
      <c r="W122" s="1" t="e">
        <f t="shared" si="33"/>
        <v>#N/A</v>
      </c>
      <c r="X122" s="1" t="e">
        <f t="shared" si="34"/>
        <v>#N/A</v>
      </c>
      <c r="Y122" s="1" t="e">
        <f t="shared" si="35"/>
        <v>#N/A</v>
      </c>
      <c r="Z122" s="1" t="e">
        <f t="shared" si="36"/>
        <v>#N/A</v>
      </c>
      <c r="AA122" s="1" t="e">
        <f t="shared" si="37"/>
        <v>#N/A</v>
      </c>
      <c r="AB122" s="1" t="e">
        <f t="shared" si="38"/>
        <v>#N/A</v>
      </c>
      <c r="AC122" s="1" t="e">
        <f t="shared" si="39"/>
        <v>#N/A</v>
      </c>
      <c r="AD122" s="1" t="e">
        <f t="shared" si="40"/>
        <v>#N/A</v>
      </c>
      <c r="AE122" s="1" t="e">
        <f t="shared" si="41"/>
        <v>#N/A</v>
      </c>
      <c r="AF122" s="1" t="e">
        <f t="shared" si="42"/>
        <v>#N/A</v>
      </c>
    </row>
    <row r="123" spans="2:32" hidden="1" x14ac:dyDescent="0.25">
      <c r="B123" s="5" t="str">
        <f t="shared" si="12"/>
        <v>X</v>
      </c>
      <c r="C123" s="1">
        <f t="shared" si="13"/>
        <v>3600</v>
      </c>
      <c r="D123" s="1">
        <f t="shared" si="14"/>
        <v>5000</v>
      </c>
      <c r="E123" s="1">
        <f t="shared" si="15"/>
        <v>8500</v>
      </c>
      <c r="F123" s="1">
        <f t="shared" si="16"/>
        <v>10500</v>
      </c>
      <c r="G123" s="1">
        <f t="shared" si="17"/>
        <v>12500</v>
      </c>
      <c r="H123" s="1" t="e">
        <f t="shared" si="18"/>
        <v>#N/A</v>
      </c>
      <c r="I123" s="1" t="e">
        <f t="shared" si="19"/>
        <v>#N/A</v>
      </c>
      <c r="J123" s="1" t="e">
        <f t="shared" si="20"/>
        <v>#N/A</v>
      </c>
      <c r="K123" s="1" t="e">
        <f t="shared" si="21"/>
        <v>#N/A</v>
      </c>
      <c r="L123" s="1" t="e">
        <f t="shared" si="22"/>
        <v>#N/A</v>
      </c>
      <c r="M123" s="1" t="e">
        <f t="shared" si="23"/>
        <v>#N/A</v>
      </c>
      <c r="N123" s="1" t="e">
        <f t="shared" si="24"/>
        <v>#N/A</v>
      </c>
      <c r="O123" s="1" t="e">
        <f t="shared" si="25"/>
        <v>#N/A</v>
      </c>
      <c r="P123" s="1" t="e">
        <f t="shared" si="26"/>
        <v>#N/A</v>
      </c>
      <c r="Q123" s="1" t="e">
        <f t="shared" si="27"/>
        <v>#N/A</v>
      </c>
      <c r="R123" s="1" t="e">
        <f t="shared" si="28"/>
        <v>#N/A</v>
      </c>
      <c r="S123" s="1" t="e">
        <f t="shared" si="29"/>
        <v>#N/A</v>
      </c>
      <c r="T123" s="1" t="e">
        <f t="shared" si="30"/>
        <v>#N/A</v>
      </c>
      <c r="U123" s="1" t="e">
        <f t="shared" si="31"/>
        <v>#N/A</v>
      </c>
      <c r="V123" s="1" t="e">
        <f t="shared" si="32"/>
        <v>#N/A</v>
      </c>
      <c r="W123" s="1" t="e">
        <f t="shared" si="33"/>
        <v>#N/A</v>
      </c>
      <c r="X123" s="1" t="e">
        <f t="shared" si="34"/>
        <v>#N/A</v>
      </c>
      <c r="Y123" s="1" t="e">
        <f t="shared" si="35"/>
        <v>#N/A</v>
      </c>
      <c r="Z123" s="1" t="e">
        <f t="shared" si="36"/>
        <v>#N/A</v>
      </c>
      <c r="AA123" s="1" t="e">
        <f t="shared" si="37"/>
        <v>#N/A</v>
      </c>
      <c r="AB123" s="1" t="e">
        <f t="shared" si="38"/>
        <v>#N/A</v>
      </c>
      <c r="AC123" s="1" t="e">
        <f t="shared" si="39"/>
        <v>#N/A</v>
      </c>
      <c r="AD123" s="1" t="e">
        <f t="shared" si="40"/>
        <v>#N/A</v>
      </c>
      <c r="AE123" s="1" t="e">
        <f t="shared" si="41"/>
        <v>#N/A</v>
      </c>
      <c r="AF123" s="1" t="e">
        <f t="shared" si="42"/>
        <v>#N/A</v>
      </c>
    </row>
    <row r="124" spans="2:32" hidden="1" x14ac:dyDescent="0.25">
      <c r="B124" s="5" t="str">
        <f t="shared" si="12"/>
        <v>X</v>
      </c>
      <c r="C124" s="1">
        <f t="shared" si="13"/>
        <v>3600</v>
      </c>
      <c r="D124" s="1">
        <f t="shared" si="14"/>
        <v>5000</v>
      </c>
      <c r="E124" s="1">
        <f t="shared" si="15"/>
        <v>8500</v>
      </c>
      <c r="F124" s="1">
        <f t="shared" si="16"/>
        <v>10500</v>
      </c>
      <c r="G124" s="1">
        <f t="shared" si="17"/>
        <v>12500</v>
      </c>
      <c r="H124" s="1" t="e">
        <f t="shared" si="18"/>
        <v>#N/A</v>
      </c>
      <c r="I124" s="1" t="e">
        <f t="shared" si="19"/>
        <v>#N/A</v>
      </c>
      <c r="J124" s="1" t="e">
        <f t="shared" si="20"/>
        <v>#N/A</v>
      </c>
      <c r="K124" s="1" t="e">
        <f t="shared" si="21"/>
        <v>#N/A</v>
      </c>
      <c r="L124" s="1" t="e">
        <f t="shared" si="22"/>
        <v>#N/A</v>
      </c>
      <c r="M124" s="1" t="e">
        <f t="shared" si="23"/>
        <v>#N/A</v>
      </c>
      <c r="N124" s="1" t="e">
        <f t="shared" si="24"/>
        <v>#N/A</v>
      </c>
      <c r="O124" s="1" t="e">
        <f t="shared" si="25"/>
        <v>#N/A</v>
      </c>
      <c r="P124" s="1" t="e">
        <f t="shared" si="26"/>
        <v>#N/A</v>
      </c>
      <c r="Q124" s="1" t="e">
        <f t="shared" si="27"/>
        <v>#N/A</v>
      </c>
      <c r="R124" s="1" t="e">
        <f t="shared" si="28"/>
        <v>#N/A</v>
      </c>
      <c r="S124" s="1" t="e">
        <f t="shared" si="29"/>
        <v>#N/A</v>
      </c>
      <c r="T124" s="1" t="e">
        <f t="shared" si="30"/>
        <v>#N/A</v>
      </c>
      <c r="U124" s="1" t="e">
        <f t="shared" si="31"/>
        <v>#N/A</v>
      </c>
      <c r="V124" s="1" t="e">
        <f t="shared" si="32"/>
        <v>#N/A</v>
      </c>
      <c r="W124" s="1" t="e">
        <f t="shared" si="33"/>
        <v>#N/A</v>
      </c>
      <c r="X124" s="1" t="e">
        <f t="shared" si="34"/>
        <v>#N/A</v>
      </c>
      <c r="Y124" s="1" t="e">
        <f t="shared" si="35"/>
        <v>#N/A</v>
      </c>
      <c r="Z124" s="1" t="e">
        <f t="shared" si="36"/>
        <v>#N/A</v>
      </c>
      <c r="AA124" s="1" t="e">
        <f t="shared" si="37"/>
        <v>#N/A</v>
      </c>
      <c r="AB124" s="1" t="e">
        <f t="shared" si="38"/>
        <v>#N/A</v>
      </c>
      <c r="AC124" s="1" t="e">
        <f t="shared" si="39"/>
        <v>#N/A</v>
      </c>
      <c r="AD124" s="1" t="e">
        <f t="shared" si="40"/>
        <v>#N/A</v>
      </c>
      <c r="AE124" s="1" t="e">
        <f t="shared" si="41"/>
        <v>#N/A</v>
      </c>
      <c r="AF124" s="1" t="e">
        <f t="shared" si="42"/>
        <v>#N/A</v>
      </c>
    </row>
    <row r="125" spans="2:32" hidden="1" x14ac:dyDescent="0.25">
      <c r="B125" s="5" t="str">
        <f t="shared" si="12"/>
        <v>X</v>
      </c>
      <c r="C125" s="1">
        <f t="shared" si="13"/>
        <v>3600</v>
      </c>
      <c r="D125" s="1">
        <f t="shared" si="14"/>
        <v>5000</v>
      </c>
      <c r="E125" s="1">
        <f t="shared" si="15"/>
        <v>8500</v>
      </c>
      <c r="F125" s="1">
        <f t="shared" si="16"/>
        <v>10500</v>
      </c>
      <c r="G125" s="1">
        <f t="shared" si="17"/>
        <v>12500</v>
      </c>
      <c r="H125" s="1" t="e">
        <f t="shared" si="18"/>
        <v>#N/A</v>
      </c>
      <c r="I125" s="1" t="e">
        <f t="shared" si="19"/>
        <v>#N/A</v>
      </c>
      <c r="J125" s="1" t="e">
        <f t="shared" si="20"/>
        <v>#N/A</v>
      </c>
      <c r="K125" s="1" t="e">
        <f t="shared" si="21"/>
        <v>#N/A</v>
      </c>
      <c r="L125" s="1" t="e">
        <f t="shared" si="22"/>
        <v>#N/A</v>
      </c>
      <c r="M125" s="1" t="e">
        <f t="shared" si="23"/>
        <v>#N/A</v>
      </c>
      <c r="N125" s="1" t="e">
        <f t="shared" si="24"/>
        <v>#N/A</v>
      </c>
      <c r="O125" s="1" t="e">
        <f t="shared" si="25"/>
        <v>#N/A</v>
      </c>
      <c r="P125" s="1" t="e">
        <f t="shared" si="26"/>
        <v>#N/A</v>
      </c>
      <c r="Q125" s="1" t="e">
        <f t="shared" si="27"/>
        <v>#N/A</v>
      </c>
      <c r="R125" s="1" t="e">
        <f t="shared" si="28"/>
        <v>#N/A</v>
      </c>
      <c r="S125" s="1" t="e">
        <f t="shared" si="29"/>
        <v>#N/A</v>
      </c>
      <c r="T125" s="1" t="e">
        <f t="shared" si="30"/>
        <v>#N/A</v>
      </c>
      <c r="U125" s="1" t="e">
        <f t="shared" si="31"/>
        <v>#N/A</v>
      </c>
      <c r="V125" s="1" t="e">
        <f t="shared" si="32"/>
        <v>#N/A</v>
      </c>
      <c r="W125" s="1" t="e">
        <f t="shared" si="33"/>
        <v>#N/A</v>
      </c>
      <c r="X125" s="1" t="e">
        <f t="shared" si="34"/>
        <v>#N/A</v>
      </c>
      <c r="Y125" s="1" t="e">
        <f t="shared" si="35"/>
        <v>#N/A</v>
      </c>
      <c r="Z125" s="1" t="e">
        <f t="shared" si="36"/>
        <v>#N/A</v>
      </c>
      <c r="AA125" s="1" t="e">
        <f t="shared" si="37"/>
        <v>#N/A</v>
      </c>
      <c r="AB125" s="1" t="e">
        <f t="shared" si="38"/>
        <v>#N/A</v>
      </c>
      <c r="AC125" s="1" t="e">
        <f t="shared" si="39"/>
        <v>#N/A</v>
      </c>
      <c r="AD125" s="1" t="e">
        <f t="shared" si="40"/>
        <v>#N/A</v>
      </c>
      <c r="AE125" s="1" t="e">
        <f t="shared" si="41"/>
        <v>#N/A</v>
      </c>
      <c r="AF125" s="1" t="e">
        <f t="shared" si="42"/>
        <v>#N/A</v>
      </c>
    </row>
    <row r="126" spans="2:32" hidden="1" x14ac:dyDescent="0.25">
      <c r="B126" s="5" t="str">
        <f t="shared" si="12"/>
        <v>X</v>
      </c>
      <c r="C126" s="1">
        <f t="shared" si="13"/>
        <v>3600</v>
      </c>
      <c r="D126" s="1">
        <f t="shared" si="14"/>
        <v>5000</v>
      </c>
      <c r="E126" s="1">
        <f t="shared" si="15"/>
        <v>8500</v>
      </c>
      <c r="F126" s="1">
        <f t="shared" si="16"/>
        <v>10500</v>
      </c>
      <c r="G126" s="1">
        <f t="shared" si="17"/>
        <v>12500</v>
      </c>
      <c r="H126" s="1" t="e">
        <f t="shared" si="18"/>
        <v>#N/A</v>
      </c>
      <c r="I126" s="1" t="e">
        <f t="shared" si="19"/>
        <v>#N/A</v>
      </c>
      <c r="J126" s="1" t="e">
        <f t="shared" si="20"/>
        <v>#N/A</v>
      </c>
      <c r="K126" s="1" t="e">
        <f t="shared" si="21"/>
        <v>#N/A</v>
      </c>
      <c r="L126" s="1" t="e">
        <f t="shared" si="22"/>
        <v>#N/A</v>
      </c>
      <c r="M126" s="1" t="e">
        <f t="shared" si="23"/>
        <v>#N/A</v>
      </c>
      <c r="N126" s="1" t="e">
        <f t="shared" si="24"/>
        <v>#N/A</v>
      </c>
      <c r="O126" s="1" t="e">
        <f t="shared" si="25"/>
        <v>#N/A</v>
      </c>
      <c r="P126" s="1" t="e">
        <f t="shared" si="26"/>
        <v>#N/A</v>
      </c>
      <c r="Q126" s="1" t="e">
        <f t="shared" si="27"/>
        <v>#N/A</v>
      </c>
      <c r="R126" s="1" t="e">
        <f t="shared" si="28"/>
        <v>#N/A</v>
      </c>
      <c r="S126" s="1" t="e">
        <f t="shared" si="29"/>
        <v>#N/A</v>
      </c>
      <c r="T126" s="1" t="e">
        <f t="shared" si="30"/>
        <v>#N/A</v>
      </c>
      <c r="U126" s="1" t="e">
        <f t="shared" si="31"/>
        <v>#N/A</v>
      </c>
      <c r="V126" s="1" t="e">
        <f t="shared" si="32"/>
        <v>#N/A</v>
      </c>
      <c r="W126" s="1" t="e">
        <f t="shared" si="33"/>
        <v>#N/A</v>
      </c>
      <c r="X126" s="1" t="e">
        <f t="shared" si="34"/>
        <v>#N/A</v>
      </c>
      <c r="Y126" s="1" t="e">
        <f t="shared" si="35"/>
        <v>#N/A</v>
      </c>
      <c r="Z126" s="1" t="e">
        <f t="shared" si="36"/>
        <v>#N/A</v>
      </c>
      <c r="AA126" s="1" t="e">
        <f t="shared" si="37"/>
        <v>#N/A</v>
      </c>
      <c r="AB126" s="1" t="e">
        <f t="shared" si="38"/>
        <v>#N/A</v>
      </c>
      <c r="AC126" s="1" t="e">
        <f t="shared" si="39"/>
        <v>#N/A</v>
      </c>
      <c r="AD126" s="1" t="e">
        <f t="shared" si="40"/>
        <v>#N/A</v>
      </c>
      <c r="AE126" s="1" t="e">
        <f t="shared" si="41"/>
        <v>#N/A</v>
      </c>
      <c r="AF126" s="1" t="e">
        <f t="shared" si="42"/>
        <v>#N/A</v>
      </c>
    </row>
    <row r="127" spans="2:32" hidden="1" x14ac:dyDescent="0.25">
      <c r="B127" s="5" t="str">
        <f t="shared" si="12"/>
        <v>X</v>
      </c>
      <c r="C127" s="1">
        <f t="shared" si="13"/>
        <v>3600</v>
      </c>
      <c r="D127" s="1">
        <f t="shared" si="14"/>
        <v>5000</v>
      </c>
      <c r="E127" s="1">
        <f t="shared" si="15"/>
        <v>8500</v>
      </c>
      <c r="F127" s="1">
        <f t="shared" si="16"/>
        <v>10500</v>
      </c>
      <c r="G127" s="1">
        <f t="shared" si="17"/>
        <v>12500</v>
      </c>
      <c r="H127" s="1" t="e">
        <f t="shared" si="18"/>
        <v>#N/A</v>
      </c>
      <c r="I127" s="1" t="e">
        <f t="shared" si="19"/>
        <v>#N/A</v>
      </c>
      <c r="J127" s="1" t="e">
        <f t="shared" si="20"/>
        <v>#N/A</v>
      </c>
      <c r="K127" s="1" t="e">
        <f t="shared" si="21"/>
        <v>#N/A</v>
      </c>
      <c r="L127" s="1" t="e">
        <f t="shared" si="22"/>
        <v>#N/A</v>
      </c>
      <c r="M127" s="1" t="e">
        <f t="shared" si="23"/>
        <v>#N/A</v>
      </c>
      <c r="N127" s="1" t="e">
        <f t="shared" si="24"/>
        <v>#N/A</v>
      </c>
      <c r="O127" s="1" t="e">
        <f t="shared" si="25"/>
        <v>#N/A</v>
      </c>
      <c r="P127" s="1" t="e">
        <f t="shared" si="26"/>
        <v>#N/A</v>
      </c>
      <c r="Q127" s="1" t="e">
        <f t="shared" si="27"/>
        <v>#N/A</v>
      </c>
      <c r="R127" s="1" t="e">
        <f t="shared" si="28"/>
        <v>#N/A</v>
      </c>
      <c r="S127" s="1" t="e">
        <f t="shared" si="29"/>
        <v>#N/A</v>
      </c>
      <c r="T127" s="1" t="e">
        <f t="shared" si="30"/>
        <v>#N/A</v>
      </c>
      <c r="U127" s="1" t="e">
        <f t="shared" si="31"/>
        <v>#N/A</v>
      </c>
      <c r="V127" s="1" t="e">
        <f t="shared" si="32"/>
        <v>#N/A</v>
      </c>
      <c r="W127" s="1" t="e">
        <f t="shared" si="33"/>
        <v>#N/A</v>
      </c>
      <c r="X127" s="1" t="e">
        <f t="shared" si="34"/>
        <v>#N/A</v>
      </c>
      <c r="Y127" s="1" t="e">
        <f t="shared" si="35"/>
        <v>#N/A</v>
      </c>
      <c r="Z127" s="1" t="e">
        <f t="shared" si="36"/>
        <v>#N/A</v>
      </c>
      <c r="AA127" s="1" t="e">
        <f t="shared" si="37"/>
        <v>#N/A</v>
      </c>
      <c r="AB127" s="1" t="e">
        <f t="shared" si="38"/>
        <v>#N/A</v>
      </c>
      <c r="AC127" s="1" t="e">
        <f t="shared" si="39"/>
        <v>#N/A</v>
      </c>
      <c r="AD127" s="1" t="e">
        <f t="shared" si="40"/>
        <v>#N/A</v>
      </c>
      <c r="AE127" s="1" t="e">
        <f t="shared" si="41"/>
        <v>#N/A</v>
      </c>
      <c r="AF127" s="1" t="e">
        <f t="shared" si="42"/>
        <v>#N/A</v>
      </c>
    </row>
    <row r="128" spans="2:32" hidden="1" x14ac:dyDescent="0.25">
      <c r="B128" s="5" t="str">
        <f t="shared" si="12"/>
        <v>X</v>
      </c>
      <c r="C128" s="1">
        <f t="shared" si="13"/>
        <v>3600</v>
      </c>
      <c r="D128" s="1">
        <f t="shared" si="14"/>
        <v>5000</v>
      </c>
      <c r="E128" s="1">
        <f t="shared" si="15"/>
        <v>8500</v>
      </c>
      <c r="F128" s="1">
        <f t="shared" si="16"/>
        <v>10500</v>
      </c>
      <c r="G128" s="1">
        <f t="shared" si="17"/>
        <v>12500</v>
      </c>
      <c r="H128" s="1" t="e">
        <f t="shared" si="18"/>
        <v>#N/A</v>
      </c>
      <c r="I128" s="1" t="e">
        <f t="shared" si="19"/>
        <v>#N/A</v>
      </c>
      <c r="J128" s="1" t="e">
        <f t="shared" si="20"/>
        <v>#N/A</v>
      </c>
      <c r="K128" s="1" t="e">
        <f t="shared" si="21"/>
        <v>#N/A</v>
      </c>
      <c r="L128" s="1" t="e">
        <f t="shared" si="22"/>
        <v>#N/A</v>
      </c>
      <c r="M128" s="1" t="e">
        <f t="shared" si="23"/>
        <v>#N/A</v>
      </c>
      <c r="N128" s="1" t="e">
        <f t="shared" si="24"/>
        <v>#N/A</v>
      </c>
      <c r="O128" s="1" t="e">
        <f t="shared" si="25"/>
        <v>#N/A</v>
      </c>
      <c r="P128" s="1" t="e">
        <f t="shared" si="26"/>
        <v>#N/A</v>
      </c>
      <c r="Q128" s="1" t="e">
        <f t="shared" si="27"/>
        <v>#N/A</v>
      </c>
      <c r="R128" s="1" t="e">
        <f t="shared" si="28"/>
        <v>#N/A</v>
      </c>
      <c r="S128" s="1" t="e">
        <f t="shared" si="29"/>
        <v>#N/A</v>
      </c>
      <c r="T128" s="1" t="e">
        <f t="shared" si="30"/>
        <v>#N/A</v>
      </c>
      <c r="U128" s="1" t="e">
        <f t="shared" si="31"/>
        <v>#N/A</v>
      </c>
      <c r="V128" s="1" t="e">
        <f t="shared" si="32"/>
        <v>#N/A</v>
      </c>
      <c r="W128" s="1" t="e">
        <f t="shared" si="33"/>
        <v>#N/A</v>
      </c>
      <c r="X128" s="1" t="e">
        <f t="shared" si="34"/>
        <v>#N/A</v>
      </c>
      <c r="Y128" s="1" t="e">
        <f t="shared" si="35"/>
        <v>#N/A</v>
      </c>
      <c r="Z128" s="1" t="e">
        <f t="shared" si="36"/>
        <v>#N/A</v>
      </c>
      <c r="AA128" s="1" t="e">
        <f t="shared" si="37"/>
        <v>#N/A</v>
      </c>
      <c r="AB128" s="1" t="e">
        <f t="shared" si="38"/>
        <v>#N/A</v>
      </c>
      <c r="AC128" s="1" t="e">
        <f t="shared" si="39"/>
        <v>#N/A</v>
      </c>
      <c r="AD128" s="1" t="e">
        <f t="shared" si="40"/>
        <v>#N/A</v>
      </c>
      <c r="AE128" s="1" t="e">
        <f t="shared" si="41"/>
        <v>#N/A</v>
      </c>
      <c r="AF128" s="1" t="e">
        <f t="shared" si="42"/>
        <v>#N/A</v>
      </c>
    </row>
    <row r="129" spans="2:32" hidden="1" x14ac:dyDescent="0.25">
      <c r="B129" s="5" t="str">
        <f t="shared" si="12"/>
        <v>X</v>
      </c>
      <c r="C129" s="1">
        <f t="shared" si="13"/>
        <v>3600</v>
      </c>
      <c r="D129" s="1">
        <f t="shared" si="14"/>
        <v>5000</v>
      </c>
      <c r="E129" s="1">
        <f t="shared" si="15"/>
        <v>8500</v>
      </c>
      <c r="F129" s="1">
        <f t="shared" si="16"/>
        <v>10500</v>
      </c>
      <c r="G129" s="1">
        <f t="shared" si="17"/>
        <v>12500</v>
      </c>
      <c r="H129" s="1" t="e">
        <f t="shared" si="18"/>
        <v>#N/A</v>
      </c>
      <c r="I129" s="1" t="e">
        <f t="shared" si="19"/>
        <v>#N/A</v>
      </c>
      <c r="J129" s="1" t="e">
        <f t="shared" si="20"/>
        <v>#N/A</v>
      </c>
      <c r="K129" s="1" t="e">
        <f t="shared" si="21"/>
        <v>#N/A</v>
      </c>
      <c r="L129" s="1" t="e">
        <f t="shared" si="22"/>
        <v>#N/A</v>
      </c>
      <c r="M129" s="1" t="e">
        <f t="shared" si="23"/>
        <v>#N/A</v>
      </c>
      <c r="N129" s="1" t="e">
        <f t="shared" si="24"/>
        <v>#N/A</v>
      </c>
      <c r="O129" s="1" t="e">
        <f t="shared" si="25"/>
        <v>#N/A</v>
      </c>
      <c r="P129" s="1" t="e">
        <f t="shared" si="26"/>
        <v>#N/A</v>
      </c>
      <c r="Q129" s="1" t="e">
        <f t="shared" si="27"/>
        <v>#N/A</v>
      </c>
      <c r="R129" s="1" t="e">
        <f t="shared" si="28"/>
        <v>#N/A</v>
      </c>
      <c r="S129" s="1" t="e">
        <f t="shared" si="29"/>
        <v>#N/A</v>
      </c>
      <c r="T129" s="1" t="e">
        <f t="shared" si="30"/>
        <v>#N/A</v>
      </c>
      <c r="U129" s="1" t="e">
        <f t="shared" si="31"/>
        <v>#N/A</v>
      </c>
      <c r="V129" s="1" t="e">
        <f t="shared" si="32"/>
        <v>#N/A</v>
      </c>
      <c r="W129" s="1" t="e">
        <f t="shared" si="33"/>
        <v>#N/A</v>
      </c>
      <c r="X129" s="1" t="e">
        <f t="shared" si="34"/>
        <v>#N/A</v>
      </c>
      <c r="Y129" s="1" t="e">
        <f t="shared" si="35"/>
        <v>#N/A</v>
      </c>
      <c r="Z129" s="1" t="e">
        <f t="shared" si="36"/>
        <v>#N/A</v>
      </c>
      <c r="AA129" s="1" t="e">
        <f t="shared" si="37"/>
        <v>#N/A</v>
      </c>
      <c r="AB129" s="1" t="e">
        <f t="shared" si="38"/>
        <v>#N/A</v>
      </c>
      <c r="AC129" s="1" t="e">
        <f t="shared" si="39"/>
        <v>#N/A</v>
      </c>
      <c r="AD129" s="1" t="e">
        <f t="shared" si="40"/>
        <v>#N/A</v>
      </c>
      <c r="AE129" s="1" t="e">
        <f t="shared" si="41"/>
        <v>#N/A</v>
      </c>
      <c r="AF129" s="1" t="e">
        <f t="shared" si="42"/>
        <v>#N/A</v>
      </c>
    </row>
    <row r="130" spans="2:32" hidden="1" x14ac:dyDescent="0.25">
      <c r="B130" s="5" t="str">
        <f t="shared" si="12"/>
        <v>X</v>
      </c>
      <c r="C130" s="1">
        <f t="shared" si="13"/>
        <v>3600</v>
      </c>
      <c r="D130" s="1">
        <f t="shared" si="14"/>
        <v>5000</v>
      </c>
      <c r="E130" s="1">
        <f t="shared" si="15"/>
        <v>8500</v>
      </c>
      <c r="F130" s="1">
        <f t="shared" si="16"/>
        <v>10500</v>
      </c>
      <c r="G130" s="1">
        <f t="shared" si="17"/>
        <v>12500</v>
      </c>
      <c r="H130" s="1" t="e">
        <f t="shared" si="18"/>
        <v>#N/A</v>
      </c>
      <c r="I130" s="1" t="e">
        <f t="shared" si="19"/>
        <v>#N/A</v>
      </c>
      <c r="J130" s="1" t="e">
        <f t="shared" si="20"/>
        <v>#N/A</v>
      </c>
      <c r="K130" s="1" t="e">
        <f t="shared" si="21"/>
        <v>#N/A</v>
      </c>
      <c r="L130" s="1" t="e">
        <f t="shared" si="22"/>
        <v>#N/A</v>
      </c>
      <c r="M130" s="1" t="e">
        <f t="shared" si="23"/>
        <v>#N/A</v>
      </c>
      <c r="N130" s="1" t="e">
        <f t="shared" si="24"/>
        <v>#N/A</v>
      </c>
      <c r="O130" s="1" t="e">
        <f t="shared" si="25"/>
        <v>#N/A</v>
      </c>
      <c r="P130" s="1" t="e">
        <f t="shared" si="26"/>
        <v>#N/A</v>
      </c>
      <c r="Q130" s="1" t="e">
        <f t="shared" si="27"/>
        <v>#N/A</v>
      </c>
      <c r="R130" s="1" t="e">
        <f t="shared" si="28"/>
        <v>#N/A</v>
      </c>
      <c r="S130" s="1" t="e">
        <f t="shared" si="29"/>
        <v>#N/A</v>
      </c>
      <c r="T130" s="1" t="e">
        <f t="shared" si="30"/>
        <v>#N/A</v>
      </c>
      <c r="U130" s="1" t="e">
        <f t="shared" si="31"/>
        <v>#N/A</v>
      </c>
      <c r="V130" s="1" t="e">
        <f t="shared" si="32"/>
        <v>#N/A</v>
      </c>
      <c r="W130" s="1" t="e">
        <f t="shared" si="33"/>
        <v>#N/A</v>
      </c>
      <c r="X130" s="1" t="e">
        <f t="shared" si="34"/>
        <v>#N/A</v>
      </c>
      <c r="Y130" s="1" t="e">
        <f t="shared" si="35"/>
        <v>#N/A</v>
      </c>
      <c r="Z130" s="1" t="e">
        <f t="shared" si="36"/>
        <v>#N/A</v>
      </c>
      <c r="AA130" s="1" t="e">
        <f t="shared" si="37"/>
        <v>#N/A</v>
      </c>
      <c r="AB130" s="1" t="e">
        <f t="shared" si="38"/>
        <v>#N/A</v>
      </c>
      <c r="AC130" s="1" t="e">
        <f t="shared" si="39"/>
        <v>#N/A</v>
      </c>
      <c r="AD130" s="1" t="e">
        <f t="shared" si="40"/>
        <v>#N/A</v>
      </c>
      <c r="AE130" s="1" t="e">
        <f t="shared" si="41"/>
        <v>#N/A</v>
      </c>
      <c r="AF130" s="1" t="e">
        <f t="shared" si="42"/>
        <v>#N/A</v>
      </c>
    </row>
    <row r="131" spans="2:32" hidden="1" x14ac:dyDescent="0.25">
      <c r="B131" s="5" t="str">
        <f t="shared" si="12"/>
        <v>X</v>
      </c>
      <c r="C131" s="1">
        <f t="shared" si="13"/>
        <v>3600</v>
      </c>
      <c r="D131" s="1">
        <f t="shared" si="14"/>
        <v>5000</v>
      </c>
      <c r="E131" s="1">
        <f t="shared" si="15"/>
        <v>8500</v>
      </c>
      <c r="F131" s="1">
        <f t="shared" si="16"/>
        <v>10500</v>
      </c>
      <c r="G131" s="1">
        <f t="shared" si="17"/>
        <v>12500</v>
      </c>
      <c r="H131" s="1" t="e">
        <f t="shared" si="18"/>
        <v>#N/A</v>
      </c>
      <c r="I131" s="1" t="e">
        <f t="shared" si="19"/>
        <v>#N/A</v>
      </c>
      <c r="J131" s="1" t="e">
        <f t="shared" si="20"/>
        <v>#N/A</v>
      </c>
      <c r="K131" s="1" t="e">
        <f t="shared" si="21"/>
        <v>#N/A</v>
      </c>
      <c r="L131" s="1" t="e">
        <f t="shared" si="22"/>
        <v>#N/A</v>
      </c>
      <c r="M131" s="1" t="e">
        <f t="shared" si="23"/>
        <v>#N/A</v>
      </c>
      <c r="N131" s="1" t="e">
        <f t="shared" si="24"/>
        <v>#N/A</v>
      </c>
      <c r="O131" s="1" t="e">
        <f t="shared" si="25"/>
        <v>#N/A</v>
      </c>
      <c r="P131" s="1" t="e">
        <f t="shared" si="26"/>
        <v>#N/A</v>
      </c>
      <c r="Q131" s="1" t="e">
        <f t="shared" si="27"/>
        <v>#N/A</v>
      </c>
      <c r="R131" s="1" t="e">
        <f t="shared" si="28"/>
        <v>#N/A</v>
      </c>
      <c r="S131" s="1" t="e">
        <f t="shared" si="29"/>
        <v>#N/A</v>
      </c>
      <c r="T131" s="1" t="e">
        <f t="shared" si="30"/>
        <v>#N/A</v>
      </c>
      <c r="U131" s="1" t="e">
        <f t="shared" si="31"/>
        <v>#N/A</v>
      </c>
      <c r="V131" s="1" t="e">
        <f t="shared" si="32"/>
        <v>#N/A</v>
      </c>
      <c r="W131" s="1" t="e">
        <f t="shared" si="33"/>
        <v>#N/A</v>
      </c>
      <c r="X131" s="1" t="e">
        <f t="shared" si="34"/>
        <v>#N/A</v>
      </c>
      <c r="Y131" s="1" t="e">
        <f t="shared" si="35"/>
        <v>#N/A</v>
      </c>
      <c r="Z131" s="1" t="e">
        <f t="shared" si="36"/>
        <v>#N/A</v>
      </c>
      <c r="AA131" s="1" t="e">
        <f t="shared" si="37"/>
        <v>#N/A</v>
      </c>
      <c r="AB131" s="1" t="e">
        <f t="shared" si="38"/>
        <v>#N/A</v>
      </c>
      <c r="AC131" s="1" t="e">
        <f t="shared" si="39"/>
        <v>#N/A</v>
      </c>
      <c r="AD131" s="1" t="e">
        <f t="shared" si="40"/>
        <v>#N/A</v>
      </c>
      <c r="AE131" s="1" t="e">
        <f t="shared" si="41"/>
        <v>#N/A</v>
      </c>
      <c r="AF131" s="1" t="e">
        <f t="shared" si="42"/>
        <v>#N/A</v>
      </c>
    </row>
    <row r="132" spans="2:32" hidden="1" x14ac:dyDescent="0.25">
      <c r="B132" s="5" t="str">
        <f t="shared" si="12"/>
        <v>X</v>
      </c>
      <c r="C132" s="1">
        <f t="shared" si="13"/>
        <v>3600</v>
      </c>
      <c r="D132" s="1">
        <f t="shared" si="14"/>
        <v>5000</v>
      </c>
      <c r="E132" s="1">
        <f t="shared" si="15"/>
        <v>8500</v>
      </c>
      <c r="F132" s="1">
        <f t="shared" si="16"/>
        <v>10500</v>
      </c>
      <c r="G132" s="1">
        <f t="shared" si="17"/>
        <v>12500</v>
      </c>
      <c r="H132" s="1" t="e">
        <f t="shared" si="18"/>
        <v>#N/A</v>
      </c>
      <c r="I132" s="1" t="e">
        <f t="shared" si="19"/>
        <v>#N/A</v>
      </c>
      <c r="J132" s="1" t="e">
        <f t="shared" si="20"/>
        <v>#N/A</v>
      </c>
      <c r="K132" s="1" t="e">
        <f t="shared" si="21"/>
        <v>#N/A</v>
      </c>
      <c r="L132" s="1" t="e">
        <f t="shared" si="22"/>
        <v>#N/A</v>
      </c>
      <c r="M132" s="1" t="e">
        <f t="shared" si="23"/>
        <v>#N/A</v>
      </c>
      <c r="N132" s="1" t="e">
        <f t="shared" si="24"/>
        <v>#N/A</v>
      </c>
      <c r="O132" s="1" t="e">
        <f t="shared" si="25"/>
        <v>#N/A</v>
      </c>
      <c r="P132" s="1" t="e">
        <f t="shared" si="26"/>
        <v>#N/A</v>
      </c>
      <c r="Q132" s="1" t="e">
        <f t="shared" si="27"/>
        <v>#N/A</v>
      </c>
      <c r="R132" s="1" t="e">
        <f t="shared" si="28"/>
        <v>#N/A</v>
      </c>
      <c r="S132" s="1" t="e">
        <f t="shared" si="29"/>
        <v>#N/A</v>
      </c>
      <c r="T132" s="1" t="e">
        <f t="shared" si="30"/>
        <v>#N/A</v>
      </c>
      <c r="U132" s="1" t="e">
        <f t="shared" si="31"/>
        <v>#N/A</v>
      </c>
      <c r="V132" s="1" t="e">
        <f t="shared" si="32"/>
        <v>#N/A</v>
      </c>
      <c r="W132" s="1" t="e">
        <f t="shared" si="33"/>
        <v>#N/A</v>
      </c>
      <c r="X132" s="1" t="e">
        <f t="shared" si="34"/>
        <v>#N/A</v>
      </c>
      <c r="Y132" s="1" t="e">
        <f t="shared" si="35"/>
        <v>#N/A</v>
      </c>
      <c r="Z132" s="1" t="e">
        <f t="shared" si="36"/>
        <v>#N/A</v>
      </c>
      <c r="AA132" s="1" t="e">
        <f t="shared" si="37"/>
        <v>#N/A</v>
      </c>
      <c r="AB132" s="1" t="e">
        <f t="shared" si="38"/>
        <v>#N/A</v>
      </c>
      <c r="AC132" s="1" t="e">
        <f t="shared" si="39"/>
        <v>#N/A</v>
      </c>
      <c r="AD132" s="1" t="e">
        <f t="shared" si="40"/>
        <v>#N/A</v>
      </c>
      <c r="AE132" s="1" t="e">
        <f t="shared" si="41"/>
        <v>#N/A</v>
      </c>
      <c r="AF132" s="1" t="e">
        <f t="shared" si="42"/>
        <v>#N/A</v>
      </c>
    </row>
    <row r="133" spans="2:32" hidden="1" x14ac:dyDescent="0.25">
      <c r="B133" s="5" t="str">
        <f t="shared" si="12"/>
        <v>X</v>
      </c>
      <c r="C133" s="1">
        <f t="shared" si="13"/>
        <v>3600</v>
      </c>
      <c r="D133" s="1">
        <f t="shared" si="14"/>
        <v>5000</v>
      </c>
      <c r="E133" s="1">
        <f t="shared" si="15"/>
        <v>8500</v>
      </c>
      <c r="F133" s="1">
        <f t="shared" si="16"/>
        <v>10500</v>
      </c>
      <c r="G133" s="1">
        <f t="shared" si="17"/>
        <v>12500</v>
      </c>
      <c r="H133" s="1" t="e">
        <f t="shared" si="18"/>
        <v>#N/A</v>
      </c>
      <c r="I133" s="1" t="e">
        <f t="shared" si="19"/>
        <v>#N/A</v>
      </c>
      <c r="J133" s="1" t="e">
        <f t="shared" si="20"/>
        <v>#N/A</v>
      </c>
      <c r="K133" s="1" t="e">
        <f t="shared" si="21"/>
        <v>#N/A</v>
      </c>
      <c r="L133" s="1" t="e">
        <f t="shared" si="22"/>
        <v>#N/A</v>
      </c>
      <c r="M133" s="1" t="e">
        <f t="shared" si="23"/>
        <v>#N/A</v>
      </c>
      <c r="N133" s="1" t="e">
        <f t="shared" si="24"/>
        <v>#N/A</v>
      </c>
      <c r="O133" s="1" t="e">
        <f t="shared" si="25"/>
        <v>#N/A</v>
      </c>
      <c r="P133" s="1" t="e">
        <f t="shared" si="26"/>
        <v>#N/A</v>
      </c>
      <c r="Q133" s="1" t="e">
        <f t="shared" si="27"/>
        <v>#N/A</v>
      </c>
      <c r="R133" s="1" t="e">
        <f t="shared" si="28"/>
        <v>#N/A</v>
      </c>
      <c r="S133" s="1" t="e">
        <f t="shared" si="29"/>
        <v>#N/A</v>
      </c>
      <c r="T133" s="1" t="e">
        <f t="shared" si="30"/>
        <v>#N/A</v>
      </c>
      <c r="U133" s="1" t="e">
        <f t="shared" si="31"/>
        <v>#N/A</v>
      </c>
      <c r="V133" s="1" t="e">
        <f t="shared" si="32"/>
        <v>#N/A</v>
      </c>
      <c r="W133" s="1" t="e">
        <f t="shared" si="33"/>
        <v>#N/A</v>
      </c>
      <c r="X133" s="1" t="e">
        <f t="shared" si="34"/>
        <v>#N/A</v>
      </c>
      <c r="Y133" s="1" t="e">
        <f t="shared" si="35"/>
        <v>#N/A</v>
      </c>
      <c r="Z133" s="1" t="e">
        <f t="shared" si="36"/>
        <v>#N/A</v>
      </c>
      <c r="AA133" s="1" t="e">
        <f t="shared" si="37"/>
        <v>#N/A</v>
      </c>
      <c r="AB133" s="1" t="e">
        <f t="shared" si="38"/>
        <v>#N/A</v>
      </c>
      <c r="AC133" s="1" t="e">
        <f t="shared" si="39"/>
        <v>#N/A</v>
      </c>
      <c r="AD133" s="1" t="e">
        <f t="shared" si="40"/>
        <v>#N/A</v>
      </c>
      <c r="AE133" s="1" t="e">
        <f t="shared" si="41"/>
        <v>#N/A</v>
      </c>
      <c r="AF133" s="1" t="e">
        <f t="shared" si="42"/>
        <v>#N/A</v>
      </c>
    </row>
    <row r="134" spans="2:32" hidden="1" x14ac:dyDescent="0.25">
      <c r="B134" s="5" t="str">
        <f t="shared" si="12"/>
        <v>X</v>
      </c>
      <c r="C134" s="1">
        <f t="shared" si="13"/>
        <v>3600</v>
      </c>
      <c r="D134" s="1">
        <f t="shared" si="14"/>
        <v>5000</v>
      </c>
      <c r="E134" s="1">
        <f t="shared" si="15"/>
        <v>8500</v>
      </c>
      <c r="F134" s="1">
        <f t="shared" si="16"/>
        <v>10500</v>
      </c>
      <c r="G134" s="1">
        <f t="shared" si="17"/>
        <v>12500</v>
      </c>
      <c r="H134" s="1" t="e">
        <f t="shared" si="18"/>
        <v>#N/A</v>
      </c>
      <c r="I134" s="1" t="e">
        <f t="shared" si="19"/>
        <v>#N/A</v>
      </c>
      <c r="J134" s="1" t="e">
        <f t="shared" si="20"/>
        <v>#N/A</v>
      </c>
      <c r="K134" s="1" t="e">
        <f t="shared" si="21"/>
        <v>#N/A</v>
      </c>
      <c r="L134" s="1" t="e">
        <f t="shared" si="22"/>
        <v>#N/A</v>
      </c>
      <c r="M134" s="1" t="e">
        <f t="shared" si="23"/>
        <v>#N/A</v>
      </c>
      <c r="N134" s="1" t="e">
        <f t="shared" si="24"/>
        <v>#N/A</v>
      </c>
      <c r="O134" s="1" t="e">
        <f t="shared" si="25"/>
        <v>#N/A</v>
      </c>
      <c r="P134" s="1" t="e">
        <f t="shared" si="26"/>
        <v>#N/A</v>
      </c>
      <c r="Q134" s="1" t="e">
        <f t="shared" si="27"/>
        <v>#N/A</v>
      </c>
      <c r="R134" s="1" t="e">
        <f t="shared" si="28"/>
        <v>#N/A</v>
      </c>
      <c r="S134" s="1" t="e">
        <f t="shared" si="29"/>
        <v>#N/A</v>
      </c>
      <c r="T134" s="1" t="e">
        <f t="shared" si="30"/>
        <v>#N/A</v>
      </c>
      <c r="U134" s="1" t="e">
        <f t="shared" si="31"/>
        <v>#N/A</v>
      </c>
      <c r="V134" s="1" t="e">
        <f t="shared" si="32"/>
        <v>#N/A</v>
      </c>
      <c r="W134" s="1" t="e">
        <f t="shared" si="33"/>
        <v>#N/A</v>
      </c>
      <c r="X134" s="1" t="e">
        <f t="shared" si="34"/>
        <v>#N/A</v>
      </c>
      <c r="Y134" s="1" t="e">
        <f t="shared" si="35"/>
        <v>#N/A</v>
      </c>
      <c r="Z134" s="1" t="e">
        <f t="shared" si="36"/>
        <v>#N/A</v>
      </c>
      <c r="AA134" s="1" t="e">
        <f t="shared" si="37"/>
        <v>#N/A</v>
      </c>
      <c r="AB134" s="1" t="e">
        <f t="shared" si="38"/>
        <v>#N/A</v>
      </c>
      <c r="AC134" s="1" t="e">
        <f t="shared" si="39"/>
        <v>#N/A</v>
      </c>
      <c r="AD134" s="1" t="e">
        <f t="shared" si="40"/>
        <v>#N/A</v>
      </c>
      <c r="AE134" s="1" t="e">
        <f t="shared" si="41"/>
        <v>#N/A</v>
      </c>
      <c r="AF134" s="1" t="e">
        <f t="shared" si="42"/>
        <v>#N/A</v>
      </c>
    </row>
    <row r="135" spans="2:32" hidden="1" x14ac:dyDescent="0.25">
      <c r="B135" s="5"/>
    </row>
    <row r="136" spans="2:32" hidden="1" x14ac:dyDescent="0.25">
      <c r="B136" s="10" t="s">
        <v>103</v>
      </c>
    </row>
    <row r="137" spans="2:32" hidden="1" x14ac:dyDescent="0.25">
      <c r="C137" s="5" t="str">
        <f>$B$19</f>
        <v>fn_1</v>
      </c>
      <c r="D137" s="5" t="str">
        <f>$B$20</f>
        <v>fn_2</v>
      </c>
      <c r="E137" s="5" t="str">
        <f>$B$21</f>
        <v>fn_3</v>
      </c>
      <c r="F137" s="5" t="str">
        <f>$B$22</f>
        <v>fn_4</v>
      </c>
      <c r="G137" s="5" t="str">
        <f>$B$23</f>
        <v>fn_5</v>
      </c>
      <c r="H137" s="5" t="str">
        <f>$B$24</f>
        <v>fn_6</v>
      </c>
      <c r="I137" s="5" t="str">
        <f>$B$25</f>
        <v>fn_7</v>
      </c>
      <c r="J137" s="5" t="str">
        <f>$B$26</f>
        <v>fn_8</v>
      </c>
      <c r="K137" s="5" t="str">
        <f>$B$27</f>
        <v>fn_9</v>
      </c>
      <c r="L137" s="5" t="str">
        <f>$B$28</f>
        <v>fn_10</v>
      </c>
      <c r="M137" s="5" t="str">
        <f>$B$29</f>
        <v>fn_11</v>
      </c>
      <c r="N137" s="5" t="str">
        <f>$B$30</f>
        <v>fn_12</v>
      </c>
      <c r="O137" s="5" t="str">
        <f>$B$31</f>
        <v>fn_13</v>
      </c>
      <c r="P137" s="5" t="str">
        <f>$B$32</f>
        <v>fn_14</v>
      </c>
      <c r="Q137" s="5" t="str">
        <f>$B$33</f>
        <v>fn_15</v>
      </c>
      <c r="R137" s="5" t="str">
        <f>$B$34</f>
        <v>fn_16</v>
      </c>
      <c r="S137" s="5" t="str">
        <f>$B$35</f>
        <v>fn_17</v>
      </c>
      <c r="T137" s="5" t="str">
        <f>$B$36</f>
        <v>fn_18</v>
      </c>
      <c r="U137" s="5" t="str">
        <f>$B$37</f>
        <v>fn_19</v>
      </c>
      <c r="V137" s="5" t="str">
        <f>$B$38</f>
        <v>fn_20</v>
      </c>
      <c r="W137" s="5" t="str">
        <f>$B$39</f>
        <v>fn_21</v>
      </c>
      <c r="X137" s="5" t="str">
        <f>$B$40</f>
        <v>fn_22</v>
      </c>
      <c r="Y137" s="5" t="str">
        <f>$B$41</f>
        <v>fn_23</v>
      </c>
      <c r="Z137" s="5" t="str">
        <f>$B$42</f>
        <v>fn_24</v>
      </c>
      <c r="AA137" s="5" t="str">
        <f>$B$43</f>
        <v>fn_25</v>
      </c>
      <c r="AB137" s="5" t="str">
        <f>$B$44</f>
        <v>fn_26</v>
      </c>
      <c r="AC137" s="5" t="str">
        <f>$B$45</f>
        <v>fn_27</v>
      </c>
      <c r="AD137" s="5" t="str">
        <f>$B$46</f>
        <v>fn_28</v>
      </c>
      <c r="AE137" s="5" t="str">
        <f>$B$47</f>
        <v>fn_29</v>
      </c>
      <c r="AF137" s="5" t="str">
        <f>$B$48</f>
        <v>fn_30</v>
      </c>
    </row>
    <row r="138" spans="2:32" hidden="1" x14ac:dyDescent="0.25">
      <c r="B138" s="5" t="str">
        <f t="shared" ref="B138:B167" si="43">$M19</f>
        <v>1X</v>
      </c>
      <c r="C138" s="1">
        <f t="shared" ref="C138:C167" si="44">IF($J$19/$N19&gt;$K$15,#N/A,$J$19/$N19)</f>
        <v>3600</v>
      </c>
      <c r="D138" s="1">
        <f t="shared" ref="D138:D167" si="45">IF($J$20/$N19&gt;$K$15,#N/A,$J$20/$N19)</f>
        <v>5000</v>
      </c>
      <c r="E138" s="1" t="e">
        <f t="shared" ref="E138:E167" si="46">IF($J$21/$N19&gt;$K$15,#N/A,$J$21/$N19)</f>
        <v>#N/A</v>
      </c>
      <c r="F138" s="1" t="e">
        <f t="shared" ref="F138:F167" si="47">IF($J$22/$N19&gt;$K$15,#N/A,$J$22/$N19)</f>
        <v>#N/A</v>
      </c>
      <c r="G138" s="1" t="e">
        <f t="shared" ref="G138:G167" si="48">IF($J$23/$N19&gt;$K$15,#N/A,$J$23/$N19)</f>
        <v>#N/A</v>
      </c>
      <c r="H138" s="1" t="e">
        <f t="shared" ref="H138:H167" si="49">IF($J$24/$N19&gt;$K$15,#N/A,$J$24/$N19)</f>
        <v>#N/A</v>
      </c>
      <c r="I138" s="1" t="e">
        <f t="shared" ref="I138:I167" si="50">IF($J$25/$N19&gt;$K$15,#N/A,$J$25/$N19)</f>
        <v>#N/A</v>
      </c>
      <c r="J138" s="1" t="e">
        <f t="shared" ref="J138:J167" si="51">IF($J$26/$N19&gt;$K$15,#N/A,$J$26/$N19)</f>
        <v>#N/A</v>
      </c>
      <c r="K138" s="1" t="e">
        <f t="shared" ref="K138:K167" si="52">IF($J$27/$N19&gt;$K$15,#N/A,$J$27/$N19)</f>
        <v>#N/A</v>
      </c>
      <c r="L138" s="1" t="e">
        <f t="shared" ref="L138:L167" si="53">IF($J$28/$N19&gt;$K$15,#N/A,$J$28/$N19)</f>
        <v>#N/A</v>
      </c>
      <c r="M138" s="1" t="e">
        <f t="shared" ref="M138:M167" si="54">IF($J$29/$N19&gt;$K$15,#N/A,$J$29/$N19)</f>
        <v>#N/A</v>
      </c>
      <c r="N138" s="1" t="e">
        <f t="shared" ref="N138:N167" si="55">IF($J$30/$N19&gt;$K$15,#N/A,$J$30/$N19)</f>
        <v>#N/A</v>
      </c>
      <c r="O138" s="1" t="e">
        <f t="shared" ref="O138:O167" si="56">IF($J$31/$N19&gt;$K$15,#N/A,$J$31/$N19)</f>
        <v>#N/A</v>
      </c>
      <c r="P138" s="1" t="e">
        <f t="shared" ref="P138:P167" si="57">IF($J$32/$N19&gt;$K$15,#N/A,$J$32/$N19)</f>
        <v>#N/A</v>
      </c>
      <c r="Q138" s="1" t="e">
        <f t="shared" ref="Q138:Q167" si="58">IF($J$33/$N19&gt;$K$15,#N/A,$J$33/$N19)</f>
        <v>#N/A</v>
      </c>
      <c r="R138" s="1" t="e">
        <f t="shared" ref="R138:R167" si="59">IF($J$34/$N19&gt;$K$15,#N/A,$J$34/$N19)</f>
        <v>#N/A</v>
      </c>
      <c r="S138" s="1" t="e">
        <f t="shared" ref="S138:S167" si="60">IF($J$35/$N19&gt;$K$15,#N/A,$J$35/$N19)</f>
        <v>#N/A</v>
      </c>
      <c r="T138" s="1" t="e">
        <f t="shared" ref="T138:T167" si="61">IF($J$36/$N19&gt;$K$15,#N/A,$J$36/$N19)</f>
        <v>#N/A</v>
      </c>
      <c r="U138" s="1" t="e">
        <f t="shared" ref="U138:U167" si="62">IF($J$37/$N19&gt;$K$15,#N/A,$J$37/$N19)</f>
        <v>#N/A</v>
      </c>
      <c r="V138" s="1" t="e">
        <f t="shared" ref="V138:V167" si="63">IF($J$38/$N19&gt;$K$15,#N/A,$J$38/$N19)</f>
        <v>#N/A</v>
      </c>
      <c r="W138" s="1" t="e">
        <f t="shared" ref="W138:W167" si="64">IF($J$39/$N19&gt;$K$15,#N/A,$J$39/$N19)</f>
        <v>#N/A</v>
      </c>
      <c r="X138" s="1" t="e">
        <f t="shared" ref="X138:X167" si="65">IF($J$40/$N19&gt;$K$15,#N/A,$J$40/$N19)</f>
        <v>#N/A</v>
      </c>
      <c r="Y138" s="1" t="e">
        <f t="shared" ref="Y138:Y167" si="66">IF($J$41/$N19&gt;$K$15,#N/A,$J$41/$N19)</f>
        <v>#N/A</v>
      </c>
      <c r="Z138" s="1" t="e">
        <f t="shared" ref="Z138:Z167" si="67">IF($J$42/$N19&gt;$K$15,#N/A,$J$42/$N19)</f>
        <v>#N/A</v>
      </c>
      <c r="AA138" s="1" t="e">
        <f t="shared" ref="AA138:AA167" si="68">IF($J$43/$N19&gt;$K$15,#N/A,$J$43/$N19)</f>
        <v>#N/A</v>
      </c>
      <c r="AB138" s="1" t="e">
        <f t="shared" ref="AB138:AB167" si="69">IF($J$44/$N19&gt;$K$15,#N/A,$J$44/$N19)</f>
        <v>#N/A</v>
      </c>
      <c r="AC138" s="1" t="e">
        <f t="shared" ref="AC138:AC167" si="70">IF($J$45/$N19&gt;$K$15,#N/A,$J$45/$N19)</f>
        <v>#N/A</v>
      </c>
      <c r="AD138" s="1" t="e">
        <f t="shared" ref="AD138:AD167" si="71">IF($J$46/$N19&gt;$K$15,#N/A,$J$46/$N19)</f>
        <v>#N/A</v>
      </c>
      <c r="AE138" s="1" t="e">
        <f t="shared" ref="AE138:AE167" si="72">IF($J$47/$N19&gt;$K$15,#N/A,$J$47/$N19)</f>
        <v>#N/A</v>
      </c>
      <c r="AF138" s="1" t="e">
        <f t="shared" ref="AF138:AF167" si="73">IF($J$48/$N19&gt;$K$15,#N/A,$J$48/$N19)</f>
        <v>#N/A</v>
      </c>
    </row>
    <row r="139" spans="2:32" hidden="1" x14ac:dyDescent="0.25">
      <c r="B139" s="5" t="str">
        <f t="shared" si="43"/>
        <v>2X</v>
      </c>
      <c r="C139" s="1">
        <f t="shared" si="44"/>
        <v>1800</v>
      </c>
      <c r="D139" s="1">
        <f t="shared" si="45"/>
        <v>2500</v>
      </c>
      <c r="E139" s="1">
        <f t="shared" si="46"/>
        <v>4250</v>
      </c>
      <c r="F139" s="1" t="e">
        <f t="shared" si="47"/>
        <v>#N/A</v>
      </c>
      <c r="G139" s="1" t="e">
        <f t="shared" si="48"/>
        <v>#N/A</v>
      </c>
      <c r="H139" s="1" t="e">
        <f t="shared" si="49"/>
        <v>#N/A</v>
      </c>
      <c r="I139" s="1" t="e">
        <f t="shared" si="50"/>
        <v>#N/A</v>
      </c>
      <c r="J139" s="1" t="e">
        <f t="shared" si="51"/>
        <v>#N/A</v>
      </c>
      <c r="K139" s="1" t="e">
        <f t="shared" si="52"/>
        <v>#N/A</v>
      </c>
      <c r="L139" s="1" t="e">
        <f t="shared" si="53"/>
        <v>#N/A</v>
      </c>
      <c r="M139" s="1" t="e">
        <f t="shared" si="54"/>
        <v>#N/A</v>
      </c>
      <c r="N139" s="1" t="e">
        <f t="shared" si="55"/>
        <v>#N/A</v>
      </c>
      <c r="O139" s="1" t="e">
        <f t="shared" si="56"/>
        <v>#N/A</v>
      </c>
      <c r="P139" s="1" t="e">
        <f t="shared" si="57"/>
        <v>#N/A</v>
      </c>
      <c r="Q139" s="1" t="e">
        <f t="shared" si="58"/>
        <v>#N/A</v>
      </c>
      <c r="R139" s="1" t="e">
        <f t="shared" si="59"/>
        <v>#N/A</v>
      </c>
      <c r="S139" s="1" t="e">
        <f t="shared" si="60"/>
        <v>#N/A</v>
      </c>
      <c r="T139" s="1" t="e">
        <f t="shared" si="61"/>
        <v>#N/A</v>
      </c>
      <c r="U139" s="1" t="e">
        <f t="shared" si="62"/>
        <v>#N/A</v>
      </c>
      <c r="V139" s="1" t="e">
        <f t="shared" si="63"/>
        <v>#N/A</v>
      </c>
      <c r="W139" s="1" t="e">
        <f t="shared" si="64"/>
        <v>#N/A</v>
      </c>
      <c r="X139" s="1" t="e">
        <f t="shared" si="65"/>
        <v>#N/A</v>
      </c>
      <c r="Y139" s="1" t="e">
        <f t="shared" si="66"/>
        <v>#N/A</v>
      </c>
      <c r="Z139" s="1" t="e">
        <f t="shared" si="67"/>
        <v>#N/A</v>
      </c>
      <c r="AA139" s="1" t="e">
        <f t="shared" si="68"/>
        <v>#N/A</v>
      </c>
      <c r="AB139" s="1" t="e">
        <f t="shared" si="69"/>
        <v>#N/A</v>
      </c>
      <c r="AC139" s="1" t="e">
        <f t="shared" si="70"/>
        <v>#N/A</v>
      </c>
      <c r="AD139" s="1" t="e">
        <f t="shared" si="71"/>
        <v>#N/A</v>
      </c>
      <c r="AE139" s="1" t="e">
        <f t="shared" si="72"/>
        <v>#N/A</v>
      </c>
      <c r="AF139" s="1" t="e">
        <f t="shared" si="73"/>
        <v>#N/A</v>
      </c>
    </row>
    <row r="140" spans="2:32" hidden="1" x14ac:dyDescent="0.25">
      <c r="B140" s="5" t="str">
        <f t="shared" si="43"/>
        <v>5X</v>
      </c>
      <c r="C140" s="1">
        <f t="shared" si="44"/>
        <v>720</v>
      </c>
      <c r="D140" s="1">
        <f t="shared" si="45"/>
        <v>1000</v>
      </c>
      <c r="E140" s="1">
        <f t="shared" si="46"/>
        <v>1700</v>
      </c>
      <c r="F140" s="1">
        <f t="shared" si="47"/>
        <v>2100</v>
      </c>
      <c r="G140" s="1">
        <f t="shared" si="48"/>
        <v>2500</v>
      </c>
      <c r="H140" s="1" t="e">
        <f t="shared" si="49"/>
        <v>#N/A</v>
      </c>
      <c r="I140" s="1" t="e">
        <f t="shared" si="50"/>
        <v>#N/A</v>
      </c>
      <c r="J140" s="1" t="e">
        <f t="shared" si="51"/>
        <v>#N/A</v>
      </c>
      <c r="K140" s="1" t="e">
        <f t="shared" si="52"/>
        <v>#N/A</v>
      </c>
      <c r="L140" s="1" t="e">
        <f t="shared" si="53"/>
        <v>#N/A</v>
      </c>
      <c r="M140" s="1" t="e">
        <f t="shared" si="54"/>
        <v>#N/A</v>
      </c>
      <c r="N140" s="1" t="e">
        <f t="shared" si="55"/>
        <v>#N/A</v>
      </c>
      <c r="O140" s="1" t="e">
        <f t="shared" si="56"/>
        <v>#N/A</v>
      </c>
      <c r="P140" s="1" t="e">
        <f t="shared" si="57"/>
        <v>#N/A</v>
      </c>
      <c r="Q140" s="1" t="e">
        <f t="shared" si="58"/>
        <v>#N/A</v>
      </c>
      <c r="R140" s="1" t="e">
        <f t="shared" si="59"/>
        <v>#N/A</v>
      </c>
      <c r="S140" s="1" t="e">
        <f t="shared" si="60"/>
        <v>#N/A</v>
      </c>
      <c r="T140" s="1" t="e">
        <f t="shared" si="61"/>
        <v>#N/A</v>
      </c>
      <c r="U140" s="1" t="e">
        <f t="shared" si="62"/>
        <v>#N/A</v>
      </c>
      <c r="V140" s="1" t="e">
        <f t="shared" si="63"/>
        <v>#N/A</v>
      </c>
      <c r="W140" s="1" t="e">
        <f t="shared" si="64"/>
        <v>#N/A</v>
      </c>
      <c r="X140" s="1" t="e">
        <f t="shared" si="65"/>
        <v>#N/A</v>
      </c>
      <c r="Y140" s="1" t="e">
        <f t="shared" si="66"/>
        <v>#N/A</v>
      </c>
      <c r="Z140" s="1" t="e">
        <f t="shared" si="67"/>
        <v>#N/A</v>
      </c>
      <c r="AA140" s="1" t="e">
        <f t="shared" si="68"/>
        <v>#N/A</v>
      </c>
      <c r="AB140" s="1" t="e">
        <f t="shared" si="69"/>
        <v>#N/A</v>
      </c>
      <c r="AC140" s="1" t="e">
        <f t="shared" si="70"/>
        <v>#N/A</v>
      </c>
      <c r="AD140" s="1" t="e">
        <f t="shared" si="71"/>
        <v>#N/A</v>
      </c>
      <c r="AE140" s="1" t="e">
        <f t="shared" si="72"/>
        <v>#N/A</v>
      </c>
      <c r="AF140" s="1" t="e">
        <f t="shared" si="73"/>
        <v>#N/A</v>
      </c>
    </row>
    <row r="141" spans="2:32" hidden="1" x14ac:dyDescent="0.25">
      <c r="B141" s="5" t="str">
        <f t="shared" si="43"/>
        <v>X</v>
      </c>
      <c r="C141" s="1" t="e">
        <f t="shared" si="44"/>
        <v>#N/A</v>
      </c>
      <c r="D141" s="1" t="e">
        <f t="shared" si="45"/>
        <v>#N/A</v>
      </c>
      <c r="E141" s="1" t="e">
        <f t="shared" si="46"/>
        <v>#N/A</v>
      </c>
      <c r="F141" s="1" t="e">
        <f t="shared" si="47"/>
        <v>#N/A</v>
      </c>
      <c r="G141" s="1" t="e">
        <f t="shared" si="48"/>
        <v>#N/A</v>
      </c>
      <c r="H141" s="1" t="e">
        <f t="shared" si="49"/>
        <v>#N/A</v>
      </c>
      <c r="I141" s="1" t="e">
        <f t="shared" si="50"/>
        <v>#N/A</v>
      </c>
      <c r="J141" s="1" t="e">
        <f t="shared" si="51"/>
        <v>#N/A</v>
      </c>
      <c r="K141" s="1" t="e">
        <f t="shared" si="52"/>
        <v>#N/A</v>
      </c>
      <c r="L141" s="1" t="e">
        <f t="shared" si="53"/>
        <v>#N/A</v>
      </c>
      <c r="M141" s="1" t="e">
        <f t="shared" si="54"/>
        <v>#N/A</v>
      </c>
      <c r="N141" s="1" t="e">
        <f t="shared" si="55"/>
        <v>#N/A</v>
      </c>
      <c r="O141" s="1" t="e">
        <f t="shared" si="56"/>
        <v>#N/A</v>
      </c>
      <c r="P141" s="1" t="e">
        <f t="shared" si="57"/>
        <v>#N/A</v>
      </c>
      <c r="Q141" s="1" t="e">
        <f t="shared" si="58"/>
        <v>#N/A</v>
      </c>
      <c r="R141" s="1" t="e">
        <f t="shared" si="59"/>
        <v>#N/A</v>
      </c>
      <c r="S141" s="1" t="e">
        <f t="shared" si="60"/>
        <v>#N/A</v>
      </c>
      <c r="T141" s="1" t="e">
        <f t="shared" si="61"/>
        <v>#N/A</v>
      </c>
      <c r="U141" s="1" t="e">
        <f t="shared" si="62"/>
        <v>#N/A</v>
      </c>
      <c r="V141" s="1" t="e">
        <f t="shared" si="63"/>
        <v>#N/A</v>
      </c>
      <c r="W141" s="1" t="e">
        <f t="shared" si="64"/>
        <v>#N/A</v>
      </c>
      <c r="X141" s="1" t="e">
        <f t="shared" si="65"/>
        <v>#N/A</v>
      </c>
      <c r="Y141" s="1" t="e">
        <f t="shared" si="66"/>
        <v>#N/A</v>
      </c>
      <c r="Z141" s="1" t="e">
        <f t="shared" si="67"/>
        <v>#N/A</v>
      </c>
      <c r="AA141" s="1" t="e">
        <f t="shared" si="68"/>
        <v>#N/A</v>
      </c>
      <c r="AB141" s="1" t="e">
        <f t="shared" si="69"/>
        <v>#N/A</v>
      </c>
      <c r="AC141" s="1" t="e">
        <f t="shared" si="70"/>
        <v>#N/A</v>
      </c>
      <c r="AD141" s="1" t="e">
        <f t="shared" si="71"/>
        <v>#N/A</v>
      </c>
      <c r="AE141" s="1" t="e">
        <f t="shared" si="72"/>
        <v>#N/A</v>
      </c>
      <c r="AF141" s="1" t="e">
        <f t="shared" si="73"/>
        <v>#N/A</v>
      </c>
    </row>
    <row r="142" spans="2:32" hidden="1" x14ac:dyDescent="0.25">
      <c r="B142" s="5" t="str">
        <f t="shared" si="43"/>
        <v>X</v>
      </c>
      <c r="C142" s="1" t="e">
        <f t="shared" si="44"/>
        <v>#N/A</v>
      </c>
      <c r="D142" s="1" t="e">
        <f t="shared" si="45"/>
        <v>#N/A</v>
      </c>
      <c r="E142" s="1" t="e">
        <f t="shared" si="46"/>
        <v>#N/A</v>
      </c>
      <c r="F142" s="1" t="e">
        <f t="shared" si="47"/>
        <v>#N/A</v>
      </c>
      <c r="G142" s="1" t="e">
        <f t="shared" si="48"/>
        <v>#N/A</v>
      </c>
      <c r="H142" s="1" t="e">
        <f t="shared" si="49"/>
        <v>#N/A</v>
      </c>
      <c r="I142" s="1" t="e">
        <f t="shared" si="50"/>
        <v>#N/A</v>
      </c>
      <c r="J142" s="1" t="e">
        <f t="shared" si="51"/>
        <v>#N/A</v>
      </c>
      <c r="K142" s="1" t="e">
        <f t="shared" si="52"/>
        <v>#N/A</v>
      </c>
      <c r="L142" s="1" t="e">
        <f t="shared" si="53"/>
        <v>#N/A</v>
      </c>
      <c r="M142" s="1" t="e">
        <f t="shared" si="54"/>
        <v>#N/A</v>
      </c>
      <c r="N142" s="1" t="e">
        <f t="shared" si="55"/>
        <v>#N/A</v>
      </c>
      <c r="O142" s="1" t="e">
        <f t="shared" si="56"/>
        <v>#N/A</v>
      </c>
      <c r="P142" s="1" t="e">
        <f t="shared" si="57"/>
        <v>#N/A</v>
      </c>
      <c r="Q142" s="1" t="e">
        <f t="shared" si="58"/>
        <v>#N/A</v>
      </c>
      <c r="R142" s="1" t="e">
        <f t="shared" si="59"/>
        <v>#N/A</v>
      </c>
      <c r="S142" s="1" t="e">
        <f t="shared" si="60"/>
        <v>#N/A</v>
      </c>
      <c r="T142" s="1" t="e">
        <f t="shared" si="61"/>
        <v>#N/A</v>
      </c>
      <c r="U142" s="1" t="e">
        <f t="shared" si="62"/>
        <v>#N/A</v>
      </c>
      <c r="V142" s="1" t="e">
        <f t="shared" si="63"/>
        <v>#N/A</v>
      </c>
      <c r="W142" s="1" t="e">
        <f t="shared" si="64"/>
        <v>#N/A</v>
      </c>
      <c r="X142" s="1" t="e">
        <f t="shared" si="65"/>
        <v>#N/A</v>
      </c>
      <c r="Y142" s="1" t="e">
        <f t="shared" si="66"/>
        <v>#N/A</v>
      </c>
      <c r="Z142" s="1" t="e">
        <f t="shared" si="67"/>
        <v>#N/A</v>
      </c>
      <c r="AA142" s="1" t="e">
        <f t="shared" si="68"/>
        <v>#N/A</v>
      </c>
      <c r="AB142" s="1" t="e">
        <f t="shared" si="69"/>
        <v>#N/A</v>
      </c>
      <c r="AC142" s="1" t="e">
        <f t="shared" si="70"/>
        <v>#N/A</v>
      </c>
      <c r="AD142" s="1" t="e">
        <f t="shared" si="71"/>
        <v>#N/A</v>
      </c>
      <c r="AE142" s="1" t="e">
        <f t="shared" si="72"/>
        <v>#N/A</v>
      </c>
      <c r="AF142" s="1" t="e">
        <f t="shared" si="73"/>
        <v>#N/A</v>
      </c>
    </row>
    <row r="143" spans="2:32" hidden="1" x14ac:dyDescent="0.25">
      <c r="B143" s="5" t="str">
        <f t="shared" si="43"/>
        <v>X</v>
      </c>
      <c r="C143" s="1" t="e">
        <f t="shared" si="44"/>
        <v>#N/A</v>
      </c>
      <c r="D143" s="1" t="e">
        <f t="shared" si="45"/>
        <v>#N/A</v>
      </c>
      <c r="E143" s="1" t="e">
        <f t="shared" si="46"/>
        <v>#N/A</v>
      </c>
      <c r="F143" s="1" t="e">
        <f t="shared" si="47"/>
        <v>#N/A</v>
      </c>
      <c r="G143" s="1" t="e">
        <f t="shared" si="48"/>
        <v>#N/A</v>
      </c>
      <c r="H143" s="1" t="e">
        <f t="shared" si="49"/>
        <v>#N/A</v>
      </c>
      <c r="I143" s="1" t="e">
        <f t="shared" si="50"/>
        <v>#N/A</v>
      </c>
      <c r="J143" s="1" t="e">
        <f t="shared" si="51"/>
        <v>#N/A</v>
      </c>
      <c r="K143" s="1" t="e">
        <f t="shared" si="52"/>
        <v>#N/A</v>
      </c>
      <c r="L143" s="1" t="e">
        <f t="shared" si="53"/>
        <v>#N/A</v>
      </c>
      <c r="M143" s="1" t="e">
        <f t="shared" si="54"/>
        <v>#N/A</v>
      </c>
      <c r="N143" s="1" t="e">
        <f t="shared" si="55"/>
        <v>#N/A</v>
      </c>
      <c r="O143" s="1" t="e">
        <f t="shared" si="56"/>
        <v>#N/A</v>
      </c>
      <c r="P143" s="1" t="e">
        <f t="shared" si="57"/>
        <v>#N/A</v>
      </c>
      <c r="Q143" s="1" t="e">
        <f t="shared" si="58"/>
        <v>#N/A</v>
      </c>
      <c r="R143" s="1" t="e">
        <f t="shared" si="59"/>
        <v>#N/A</v>
      </c>
      <c r="S143" s="1" t="e">
        <f t="shared" si="60"/>
        <v>#N/A</v>
      </c>
      <c r="T143" s="1" t="e">
        <f t="shared" si="61"/>
        <v>#N/A</v>
      </c>
      <c r="U143" s="1" t="e">
        <f t="shared" si="62"/>
        <v>#N/A</v>
      </c>
      <c r="V143" s="1" t="e">
        <f t="shared" si="63"/>
        <v>#N/A</v>
      </c>
      <c r="W143" s="1" t="e">
        <f t="shared" si="64"/>
        <v>#N/A</v>
      </c>
      <c r="X143" s="1" t="e">
        <f t="shared" si="65"/>
        <v>#N/A</v>
      </c>
      <c r="Y143" s="1" t="e">
        <f t="shared" si="66"/>
        <v>#N/A</v>
      </c>
      <c r="Z143" s="1" t="e">
        <f t="shared" si="67"/>
        <v>#N/A</v>
      </c>
      <c r="AA143" s="1" t="e">
        <f t="shared" si="68"/>
        <v>#N/A</v>
      </c>
      <c r="AB143" s="1" t="e">
        <f t="shared" si="69"/>
        <v>#N/A</v>
      </c>
      <c r="AC143" s="1" t="e">
        <f t="shared" si="70"/>
        <v>#N/A</v>
      </c>
      <c r="AD143" s="1" t="e">
        <f t="shared" si="71"/>
        <v>#N/A</v>
      </c>
      <c r="AE143" s="1" t="e">
        <f t="shared" si="72"/>
        <v>#N/A</v>
      </c>
      <c r="AF143" s="1" t="e">
        <f t="shared" si="73"/>
        <v>#N/A</v>
      </c>
    </row>
    <row r="144" spans="2:32" hidden="1" x14ac:dyDescent="0.25">
      <c r="B144" s="5" t="str">
        <f t="shared" si="43"/>
        <v>X</v>
      </c>
      <c r="C144" s="1" t="e">
        <f t="shared" si="44"/>
        <v>#N/A</v>
      </c>
      <c r="D144" s="1" t="e">
        <f t="shared" si="45"/>
        <v>#N/A</v>
      </c>
      <c r="E144" s="1" t="e">
        <f t="shared" si="46"/>
        <v>#N/A</v>
      </c>
      <c r="F144" s="1" t="e">
        <f t="shared" si="47"/>
        <v>#N/A</v>
      </c>
      <c r="G144" s="1" t="e">
        <f t="shared" si="48"/>
        <v>#N/A</v>
      </c>
      <c r="H144" s="1" t="e">
        <f t="shared" si="49"/>
        <v>#N/A</v>
      </c>
      <c r="I144" s="1" t="e">
        <f t="shared" si="50"/>
        <v>#N/A</v>
      </c>
      <c r="J144" s="1" t="e">
        <f t="shared" si="51"/>
        <v>#N/A</v>
      </c>
      <c r="K144" s="1" t="e">
        <f t="shared" si="52"/>
        <v>#N/A</v>
      </c>
      <c r="L144" s="1" t="e">
        <f t="shared" si="53"/>
        <v>#N/A</v>
      </c>
      <c r="M144" s="1" t="e">
        <f t="shared" si="54"/>
        <v>#N/A</v>
      </c>
      <c r="N144" s="1" t="e">
        <f t="shared" si="55"/>
        <v>#N/A</v>
      </c>
      <c r="O144" s="1" t="e">
        <f t="shared" si="56"/>
        <v>#N/A</v>
      </c>
      <c r="P144" s="1" t="e">
        <f t="shared" si="57"/>
        <v>#N/A</v>
      </c>
      <c r="Q144" s="1" t="e">
        <f t="shared" si="58"/>
        <v>#N/A</v>
      </c>
      <c r="R144" s="1" t="e">
        <f t="shared" si="59"/>
        <v>#N/A</v>
      </c>
      <c r="S144" s="1" t="e">
        <f t="shared" si="60"/>
        <v>#N/A</v>
      </c>
      <c r="T144" s="1" t="e">
        <f t="shared" si="61"/>
        <v>#N/A</v>
      </c>
      <c r="U144" s="1" t="e">
        <f t="shared" si="62"/>
        <v>#N/A</v>
      </c>
      <c r="V144" s="1" t="e">
        <f t="shared" si="63"/>
        <v>#N/A</v>
      </c>
      <c r="W144" s="1" t="e">
        <f t="shared" si="64"/>
        <v>#N/A</v>
      </c>
      <c r="X144" s="1" t="e">
        <f t="shared" si="65"/>
        <v>#N/A</v>
      </c>
      <c r="Y144" s="1" t="e">
        <f t="shared" si="66"/>
        <v>#N/A</v>
      </c>
      <c r="Z144" s="1" t="e">
        <f t="shared" si="67"/>
        <v>#N/A</v>
      </c>
      <c r="AA144" s="1" t="e">
        <f t="shared" si="68"/>
        <v>#N/A</v>
      </c>
      <c r="AB144" s="1" t="e">
        <f t="shared" si="69"/>
        <v>#N/A</v>
      </c>
      <c r="AC144" s="1" t="e">
        <f t="shared" si="70"/>
        <v>#N/A</v>
      </c>
      <c r="AD144" s="1" t="e">
        <f t="shared" si="71"/>
        <v>#N/A</v>
      </c>
      <c r="AE144" s="1" t="e">
        <f t="shared" si="72"/>
        <v>#N/A</v>
      </c>
      <c r="AF144" s="1" t="e">
        <f t="shared" si="73"/>
        <v>#N/A</v>
      </c>
    </row>
    <row r="145" spans="2:32" hidden="1" x14ac:dyDescent="0.25">
      <c r="B145" s="5" t="str">
        <f t="shared" si="43"/>
        <v>X</v>
      </c>
      <c r="C145" s="1" t="e">
        <f t="shared" si="44"/>
        <v>#N/A</v>
      </c>
      <c r="D145" s="1" t="e">
        <f t="shared" si="45"/>
        <v>#N/A</v>
      </c>
      <c r="E145" s="1" t="e">
        <f t="shared" si="46"/>
        <v>#N/A</v>
      </c>
      <c r="F145" s="1" t="e">
        <f t="shared" si="47"/>
        <v>#N/A</v>
      </c>
      <c r="G145" s="1" t="e">
        <f t="shared" si="48"/>
        <v>#N/A</v>
      </c>
      <c r="H145" s="1" t="e">
        <f t="shared" si="49"/>
        <v>#N/A</v>
      </c>
      <c r="I145" s="1" t="e">
        <f t="shared" si="50"/>
        <v>#N/A</v>
      </c>
      <c r="J145" s="1" t="e">
        <f t="shared" si="51"/>
        <v>#N/A</v>
      </c>
      <c r="K145" s="1" t="e">
        <f t="shared" si="52"/>
        <v>#N/A</v>
      </c>
      <c r="L145" s="1" t="e">
        <f t="shared" si="53"/>
        <v>#N/A</v>
      </c>
      <c r="M145" s="1" t="e">
        <f t="shared" si="54"/>
        <v>#N/A</v>
      </c>
      <c r="N145" s="1" t="e">
        <f t="shared" si="55"/>
        <v>#N/A</v>
      </c>
      <c r="O145" s="1" t="e">
        <f t="shared" si="56"/>
        <v>#N/A</v>
      </c>
      <c r="P145" s="1" t="e">
        <f t="shared" si="57"/>
        <v>#N/A</v>
      </c>
      <c r="Q145" s="1" t="e">
        <f t="shared" si="58"/>
        <v>#N/A</v>
      </c>
      <c r="R145" s="1" t="e">
        <f t="shared" si="59"/>
        <v>#N/A</v>
      </c>
      <c r="S145" s="1" t="e">
        <f t="shared" si="60"/>
        <v>#N/A</v>
      </c>
      <c r="T145" s="1" t="e">
        <f t="shared" si="61"/>
        <v>#N/A</v>
      </c>
      <c r="U145" s="1" t="e">
        <f t="shared" si="62"/>
        <v>#N/A</v>
      </c>
      <c r="V145" s="1" t="e">
        <f t="shared" si="63"/>
        <v>#N/A</v>
      </c>
      <c r="W145" s="1" t="e">
        <f t="shared" si="64"/>
        <v>#N/A</v>
      </c>
      <c r="X145" s="1" t="e">
        <f t="shared" si="65"/>
        <v>#N/A</v>
      </c>
      <c r="Y145" s="1" t="e">
        <f t="shared" si="66"/>
        <v>#N/A</v>
      </c>
      <c r="Z145" s="1" t="e">
        <f t="shared" si="67"/>
        <v>#N/A</v>
      </c>
      <c r="AA145" s="1" t="e">
        <f t="shared" si="68"/>
        <v>#N/A</v>
      </c>
      <c r="AB145" s="1" t="e">
        <f t="shared" si="69"/>
        <v>#N/A</v>
      </c>
      <c r="AC145" s="1" t="e">
        <f t="shared" si="70"/>
        <v>#N/A</v>
      </c>
      <c r="AD145" s="1" t="e">
        <f t="shared" si="71"/>
        <v>#N/A</v>
      </c>
      <c r="AE145" s="1" t="e">
        <f t="shared" si="72"/>
        <v>#N/A</v>
      </c>
      <c r="AF145" s="1" t="e">
        <f t="shared" si="73"/>
        <v>#N/A</v>
      </c>
    </row>
    <row r="146" spans="2:32" hidden="1" x14ac:dyDescent="0.25">
      <c r="B146" s="5" t="str">
        <f t="shared" si="43"/>
        <v>X</v>
      </c>
      <c r="C146" s="1" t="e">
        <f t="shared" si="44"/>
        <v>#N/A</v>
      </c>
      <c r="D146" s="1" t="e">
        <f t="shared" si="45"/>
        <v>#N/A</v>
      </c>
      <c r="E146" s="1" t="e">
        <f t="shared" si="46"/>
        <v>#N/A</v>
      </c>
      <c r="F146" s="1" t="e">
        <f t="shared" si="47"/>
        <v>#N/A</v>
      </c>
      <c r="G146" s="1" t="e">
        <f t="shared" si="48"/>
        <v>#N/A</v>
      </c>
      <c r="H146" s="1" t="e">
        <f t="shared" si="49"/>
        <v>#N/A</v>
      </c>
      <c r="I146" s="1" t="e">
        <f t="shared" si="50"/>
        <v>#N/A</v>
      </c>
      <c r="J146" s="1" t="e">
        <f t="shared" si="51"/>
        <v>#N/A</v>
      </c>
      <c r="K146" s="1" t="e">
        <f t="shared" si="52"/>
        <v>#N/A</v>
      </c>
      <c r="L146" s="1" t="e">
        <f t="shared" si="53"/>
        <v>#N/A</v>
      </c>
      <c r="M146" s="1" t="e">
        <f t="shared" si="54"/>
        <v>#N/A</v>
      </c>
      <c r="N146" s="1" t="e">
        <f t="shared" si="55"/>
        <v>#N/A</v>
      </c>
      <c r="O146" s="1" t="e">
        <f t="shared" si="56"/>
        <v>#N/A</v>
      </c>
      <c r="P146" s="1" t="e">
        <f t="shared" si="57"/>
        <v>#N/A</v>
      </c>
      <c r="Q146" s="1" t="e">
        <f t="shared" si="58"/>
        <v>#N/A</v>
      </c>
      <c r="R146" s="1" t="e">
        <f t="shared" si="59"/>
        <v>#N/A</v>
      </c>
      <c r="S146" s="1" t="e">
        <f t="shared" si="60"/>
        <v>#N/A</v>
      </c>
      <c r="T146" s="1" t="e">
        <f t="shared" si="61"/>
        <v>#N/A</v>
      </c>
      <c r="U146" s="1" t="e">
        <f t="shared" si="62"/>
        <v>#N/A</v>
      </c>
      <c r="V146" s="1" t="e">
        <f t="shared" si="63"/>
        <v>#N/A</v>
      </c>
      <c r="W146" s="1" t="e">
        <f t="shared" si="64"/>
        <v>#N/A</v>
      </c>
      <c r="X146" s="1" t="e">
        <f t="shared" si="65"/>
        <v>#N/A</v>
      </c>
      <c r="Y146" s="1" t="e">
        <f t="shared" si="66"/>
        <v>#N/A</v>
      </c>
      <c r="Z146" s="1" t="e">
        <f t="shared" si="67"/>
        <v>#N/A</v>
      </c>
      <c r="AA146" s="1" t="e">
        <f t="shared" si="68"/>
        <v>#N/A</v>
      </c>
      <c r="AB146" s="1" t="e">
        <f t="shared" si="69"/>
        <v>#N/A</v>
      </c>
      <c r="AC146" s="1" t="e">
        <f t="shared" si="70"/>
        <v>#N/A</v>
      </c>
      <c r="AD146" s="1" t="e">
        <f t="shared" si="71"/>
        <v>#N/A</v>
      </c>
      <c r="AE146" s="1" t="e">
        <f t="shared" si="72"/>
        <v>#N/A</v>
      </c>
      <c r="AF146" s="1" t="e">
        <f t="shared" si="73"/>
        <v>#N/A</v>
      </c>
    </row>
    <row r="147" spans="2:32" hidden="1" x14ac:dyDescent="0.25">
      <c r="B147" s="5" t="str">
        <f t="shared" si="43"/>
        <v>X</v>
      </c>
      <c r="C147" s="1" t="e">
        <f t="shared" si="44"/>
        <v>#N/A</v>
      </c>
      <c r="D147" s="1" t="e">
        <f t="shared" si="45"/>
        <v>#N/A</v>
      </c>
      <c r="E147" s="1" t="e">
        <f t="shared" si="46"/>
        <v>#N/A</v>
      </c>
      <c r="F147" s="1" t="e">
        <f t="shared" si="47"/>
        <v>#N/A</v>
      </c>
      <c r="G147" s="1" t="e">
        <f t="shared" si="48"/>
        <v>#N/A</v>
      </c>
      <c r="H147" s="1" t="e">
        <f t="shared" si="49"/>
        <v>#N/A</v>
      </c>
      <c r="I147" s="1" t="e">
        <f t="shared" si="50"/>
        <v>#N/A</v>
      </c>
      <c r="J147" s="1" t="e">
        <f t="shared" si="51"/>
        <v>#N/A</v>
      </c>
      <c r="K147" s="1" t="e">
        <f t="shared" si="52"/>
        <v>#N/A</v>
      </c>
      <c r="L147" s="1" t="e">
        <f t="shared" si="53"/>
        <v>#N/A</v>
      </c>
      <c r="M147" s="1" t="e">
        <f t="shared" si="54"/>
        <v>#N/A</v>
      </c>
      <c r="N147" s="1" t="e">
        <f t="shared" si="55"/>
        <v>#N/A</v>
      </c>
      <c r="O147" s="1" t="e">
        <f t="shared" si="56"/>
        <v>#N/A</v>
      </c>
      <c r="P147" s="1" t="e">
        <f t="shared" si="57"/>
        <v>#N/A</v>
      </c>
      <c r="Q147" s="1" t="e">
        <f t="shared" si="58"/>
        <v>#N/A</v>
      </c>
      <c r="R147" s="1" t="e">
        <f t="shared" si="59"/>
        <v>#N/A</v>
      </c>
      <c r="S147" s="1" t="e">
        <f t="shared" si="60"/>
        <v>#N/A</v>
      </c>
      <c r="T147" s="1" t="e">
        <f t="shared" si="61"/>
        <v>#N/A</v>
      </c>
      <c r="U147" s="1" t="e">
        <f t="shared" si="62"/>
        <v>#N/A</v>
      </c>
      <c r="V147" s="1" t="e">
        <f t="shared" si="63"/>
        <v>#N/A</v>
      </c>
      <c r="W147" s="1" t="e">
        <f t="shared" si="64"/>
        <v>#N/A</v>
      </c>
      <c r="X147" s="1" t="e">
        <f t="shared" si="65"/>
        <v>#N/A</v>
      </c>
      <c r="Y147" s="1" t="e">
        <f t="shared" si="66"/>
        <v>#N/A</v>
      </c>
      <c r="Z147" s="1" t="e">
        <f t="shared" si="67"/>
        <v>#N/A</v>
      </c>
      <c r="AA147" s="1" t="e">
        <f t="shared" si="68"/>
        <v>#N/A</v>
      </c>
      <c r="AB147" s="1" t="e">
        <f t="shared" si="69"/>
        <v>#N/A</v>
      </c>
      <c r="AC147" s="1" t="e">
        <f t="shared" si="70"/>
        <v>#N/A</v>
      </c>
      <c r="AD147" s="1" t="e">
        <f t="shared" si="71"/>
        <v>#N/A</v>
      </c>
      <c r="AE147" s="1" t="e">
        <f t="shared" si="72"/>
        <v>#N/A</v>
      </c>
      <c r="AF147" s="1" t="e">
        <f t="shared" si="73"/>
        <v>#N/A</v>
      </c>
    </row>
    <row r="148" spans="2:32" hidden="1" x14ac:dyDescent="0.25">
      <c r="B148" s="5" t="str">
        <f t="shared" si="43"/>
        <v>X</v>
      </c>
      <c r="C148" s="1" t="e">
        <f t="shared" si="44"/>
        <v>#N/A</v>
      </c>
      <c r="D148" s="1" t="e">
        <f t="shared" si="45"/>
        <v>#N/A</v>
      </c>
      <c r="E148" s="1" t="e">
        <f t="shared" si="46"/>
        <v>#N/A</v>
      </c>
      <c r="F148" s="1" t="e">
        <f t="shared" si="47"/>
        <v>#N/A</v>
      </c>
      <c r="G148" s="1" t="e">
        <f t="shared" si="48"/>
        <v>#N/A</v>
      </c>
      <c r="H148" s="1" t="e">
        <f t="shared" si="49"/>
        <v>#N/A</v>
      </c>
      <c r="I148" s="1" t="e">
        <f t="shared" si="50"/>
        <v>#N/A</v>
      </c>
      <c r="J148" s="1" t="e">
        <f t="shared" si="51"/>
        <v>#N/A</v>
      </c>
      <c r="K148" s="1" t="e">
        <f t="shared" si="52"/>
        <v>#N/A</v>
      </c>
      <c r="L148" s="1" t="e">
        <f t="shared" si="53"/>
        <v>#N/A</v>
      </c>
      <c r="M148" s="1" t="e">
        <f t="shared" si="54"/>
        <v>#N/A</v>
      </c>
      <c r="N148" s="1" t="e">
        <f t="shared" si="55"/>
        <v>#N/A</v>
      </c>
      <c r="O148" s="1" t="e">
        <f t="shared" si="56"/>
        <v>#N/A</v>
      </c>
      <c r="P148" s="1" t="e">
        <f t="shared" si="57"/>
        <v>#N/A</v>
      </c>
      <c r="Q148" s="1" t="e">
        <f t="shared" si="58"/>
        <v>#N/A</v>
      </c>
      <c r="R148" s="1" t="e">
        <f t="shared" si="59"/>
        <v>#N/A</v>
      </c>
      <c r="S148" s="1" t="e">
        <f t="shared" si="60"/>
        <v>#N/A</v>
      </c>
      <c r="T148" s="1" t="e">
        <f t="shared" si="61"/>
        <v>#N/A</v>
      </c>
      <c r="U148" s="1" t="e">
        <f t="shared" si="62"/>
        <v>#N/A</v>
      </c>
      <c r="V148" s="1" t="e">
        <f t="shared" si="63"/>
        <v>#N/A</v>
      </c>
      <c r="W148" s="1" t="e">
        <f t="shared" si="64"/>
        <v>#N/A</v>
      </c>
      <c r="X148" s="1" t="e">
        <f t="shared" si="65"/>
        <v>#N/A</v>
      </c>
      <c r="Y148" s="1" t="e">
        <f t="shared" si="66"/>
        <v>#N/A</v>
      </c>
      <c r="Z148" s="1" t="e">
        <f t="shared" si="67"/>
        <v>#N/A</v>
      </c>
      <c r="AA148" s="1" t="e">
        <f t="shared" si="68"/>
        <v>#N/A</v>
      </c>
      <c r="AB148" s="1" t="e">
        <f t="shared" si="69"/>
        <v>#N/A</v>
      </c>
      <c r="AC148" s="1" t="e">
        <f t="shared" si="70"/>
        <v>#N/A</v>
      </c>
      <c r="AD148" s="1" t="e">
        <f t="shared" si="71"/>
        <v>#N/A</v>
      </c>
      <c r="AE148" s="1" t="e">
        <f t="shared" si="72"/>
        <v>#N/A</v>
      </c>
      <c r="AF148" s="1" t="e">
        <f t="shared" si="73"/>
        <v>#N/A</v>
      </c>
    </row>
    <row r="149" spans="2:32" hidden="1" x14ac:dyDescent="0.25">
      <c r="B149" s="5" t="str">
        <f t="shared" si="43"/>
        <v>X</v>
      </c>
      <c r="C149" s="1" t="e">
        <f t="shared" si="44"/>
        <v>#N/A</v>
      </c>
      <c r="D149" s="1" t="e">
        <f t="shared" si="45"/>
        <v>#N/A</v>
      </c>
      <c r="E149" s="1" t="e">
        <f t="shared" si="46"/>
        <v>#N/A</v>
      </c>
      <c r="F149" s="1" t="e">
        <f t="shared" si="47"/>
        <v>#N/A</v>
      </c>
      <c r="G149" s="1" t="e">
        <f t="shared" si="48"/>
        <v>#N/A</v>
      </c>
      <c r="H149" s="1" t="e">
        <f t="shared" si="49"/>
        <v>#N/A</v>
      </c>
      <c r="I149" s="1" t="e">
        <f t="shared" si="50"/>
        <v>#N/A</v>
      </c>
      <c r="J149" s="1" t="e">
        <f t="shared" si="51"/>
        <v>#N/A</v>
      </c>
      <c r="K149" s="1" t="e">
        <f t="shared" si="52"/>
        <v>#N/A</v>
      </c>
      <c r="L149" s="1" t="e">
        <f t="shared" si="53"/>
        <v>#N/A</v>
      </c>
      <c r="M149" s="1" t="e">
        <f t="shared" si="54"/>
        <v>#N/A</v>
      </c>
      <c r="N149" s="1" t="e">
        <f t="shared" si="55"/>
        <v>#N/A</v>
      </c>
      <c r="O149" s="1" t="e">
        <f t="shared" si="56"/>
        <v>#N/A</v>
      </c>
      <c r="P149" s="1" t="e">
        <f t="shared" si="57"/>
        <v>#N/A</v>
      </c>
      <c r="Q149" s="1" t="e">
        <f t="shared" si="58"/>
        <v>#N/A</v>
      </c>
      <c r="R149" s="1" t="e">
        <f t="shared" si="59"/>
        <v>#N/A</v>
      </c>
      <c r="S149" s="1" t="e">
        <f t="shared" si="60"/>
        <v>#N/A</v>
      </c>
      <c r="T149" s="1" t="e">
        <f t="shared" si="61"/>
        <v>#N/A</v>
      </c>
      <c r="U149" s="1" t="e">
        <f t="shared" si="62"/>
        <v>#N/A</v>
      </c>
      <c r="V149" s="1" t="e">
        <f t="shared" si="63"/>
        <v>#N/A</v>
      </c>
      <c r="W149" s="1" t="e">
        <f t="shared" si="64"/>
        <v>#N/A</v>
      </c>
      <c r="X149" s="1" t="e">
        <f t="shared" si="65"/>
        <v>#N/A</v>
      </c>
      <c r="Y149" s="1" t="e">
        <f t="shared" si="66"/>
        <v>#N/A</v>
      </c>
      <c r="Z149" s="1" t="e">
        <f t="shared" si="67"/>
        <v>#N/A</v>
      </c>
      <c r="AA149" s="1" t="e">
        <f t="shared" si="68"/>
        <v>#N/A</v>
      </c>
      <c r="AB149" s="1" t="e">
        <f t="shared" si="69"/>
        <v>#N/A</v>
      </c>
      <c r="AC149" s="1" t="e">
        <f t="shared" si="70"/>
        <v>#N/A</v>
      </c>
      <c r="AD149" s="1" t="e">
        <f t="shared" si="71"/>
        <v>#N/A</v>
      </c>
      <c r="AE149" s="1" t="e">
        <f t="shared" si="72"/>
        <v>#N/A</v>
      </c>
      <c r="AF149" s="1" t="e">
        <f t="shared" si="73"/>
        <v>#N/A</v>
      </c>
    </row>
    <row r="150" spans="2:32" hidden="1" x14ac:dyDescent="0.25">
      <c r="B150" s="5" t="str">
        <f t="shared" si="43"/>
        <v>X</v>
      </c>
      <c r="C150" s="1" t="e">
        <f t="shared" si="44"/>
        <v>#N/A</v>
      </c>
      <c r="D150" s="1" t="e">
        <f t="shared" si="45"/>
        <v>#N/A</v>
      </c>
      <c r="E150" s="1" t="e">
        <f t="shared" si="46"/>
        <v>#N/A</v>
      </c>
      <c r="F150" s="1" t="e">
        <f t="shared" si="47"/>
        <v>#N/A</v>
      </c>
      <c r="G150" s="1" t="e">
        <f t="shared" si="48"/>
        <v>#N/A</v>
      </c>
      <c r="H150" s="1" t="e">
        <f t="shared" si="49"/>
        <v>#N/A</v>
      </c>
      <c r="I150" s="1" t="e">
        <f t="shared" si="50"/>
        <v>#N/A</v>
      </c>
      <c r="J150" s="1" t="e">
        <f t="shared" si="51"/>
        <v>#N/A</v>
      </c>
      <c r="K150" s="1" t="e">
        <f t="shared" si="52"/>
        <v>#N/A</v>
      </c>
      <c r="L150" s="1" t="e">
        <f t="shared" si="53"/>
        <v>#N/A</v>
      </c>
      <c r="M150" s="1" t="e">
        <f t="shared" si="54"/>
        <v>#N/A</v>
      </c>
      <c r="N150" s="1" t="e">
        <f t="shared" si="55"/>
        <v>#N/A</v>
      </c>
      <c r="O150" s="1" t="e">
        <f t="shared" si="56"/>
        <v>#N/A</v>
      </c>
      <c r="P150" s="1" t="e">
        <f t="shared" si="57"/>
        <v>#N/A</v>
      </c>
      <c r="Q150" s="1" t="e">
        <f t="shared" si="58"/>
        <v>#N/A</v>
      </c>
      <c r="R150" s="1" t="e">
        <f t="shared" si="59"/>
        <v>#N/A</v>
      </c>
      <c r="S150" s="1" t="e">
        <f t="shared" si="60"/>
        <v>#N/A</v>
      </c>
      <c r="T150" s="1" t="e">
        <f t="shared" si="61"/>
        <v>#N/A</v>
      </c>
      <c r="U150" s="1" t="e">
        <f t="shared" si="62"/>
        <v>#N/A</v>
      </c>
      <c r="V150" s="1" t="e">
        <f t="shared" si="63"/>
        <v>#N/A</v>
      </c>
      <c r="W150" s="1" t="e">
        <f t="shared" si="64"/>
        <v>#N/A</v>
      </c>
      <c r="X150" s="1" t="e">
        <f t="shared" si="65"/>
        <v>#N/A</v>
      </c>
      <c r="Y150" s="1" t="e">
        <f t="shared" si="66"/>
        <v>#N/A</v>
      </c>
      <c r="Z150" s="1" t="e">
        <f t="shared" si="67"/>
        <v>#N/A</v>
      </c>
      <c r="AA150" s="1" t="e">
        <f t="shared" si="68"/>
        <v>#N/A</v>
      </c>
      <c r="AB150" s="1" t="e">
        <f t="shared" si="69"/>
        <v>#N/A</v>
      </c>
      <c r="AC150" s="1" t="e">
        <f t="shared" si="70"/>
        <v>#N/A</v>
      </c>
      <c r="AD150" s="1" t="e">
        <f t="shared" si="71"/>
        <v>#N/A</v>
      </c>
      <c r="AE150" s="1" t="e">
        <f t="shared" si="72"/>
        <v>#N/A</v>
      </c>
      <c r="AF150" s="1" t="e">
        <f t="shared" si="73"/>
        <v>#N/A</v>
      </c>
    </row>
    <row r="151" spans="2:32" hidden="1" x14ac:dyDescent="0.25">
      <c r="B151" s="5" t="str">
        <f t="shared" si="43"/>
        <v>X</v>
      </c>
      <c r="C151" s="1" t="e">
        <f t="shared" si="44"/>
        <v>#N/A</v>
      </c>
      <c r="D151" s="1" t="e">
        <f t="shared" si="45"/>
        <v>#N/A</v>
      </c>
      <c r="E151" s="1" t="e">
        <f t="shared" si="46"/>
        <v>#N/A</v>
      </c>
      <c r="F151" s="1" t="e">
        <f t="shared" si="47"/>
        <v>#N/A</v>
      </c>
      <c r="G151" s="1" t="e">
        <f t="shared" si="48"/>
        <v>#N/A</v>
      </c>
      <c r="H151" s="1" t="e">
        <f t="shared" si="49"/>
        <v>#N/A</v>
      </c>
      <c r="I151" s="1" t="e">
        <f t="shared" si="50"/>
        <v>#N/A</v>
      </c>
      <c r="J151" s="1" t="e">
        <f t="shared" si="51"/>
        <v>#N/A</v>
      </c>
      <c r="K151" s="1" t="e">
        <f t="shared" si="52"/>
        <v>#N/A</v>
      </c>
      <c r="L151" s="1" t="e">
        <f t="shared" si="53"/>
        <v>#N/A</v>
      </c>
      <c r="M151" s="1" t="e">
        <f t="shared" si="54"/>
        <v>#N/A</v>
      </c>
      <c r="N151" s="1" t="e">
        <f t="shared" si="55"/>
        <v>#N/A</v>
      </c>
      <c r="O151" s="1" t="e">
        <f t="shared" si="56"/>
        <v>#N/A</v>
      </c>
      <c r="P151" s="1" t="e">
        <f t="shared" si="57"/>
        <v>#N/A</v>
      </c>
      <c r="Q151" s="1" t="e">
        <f t="shared" si="58"/>
        <v>#N/A</v>
      </c>
      <c r="R151" s="1" t="e">
        <f t="shared" si="59"/>
        <v>#N/A</v>
      </c>
      <c r="S151" s="1" t="e">
        <f t="shared" si="60"/>
        <v>#N/A</v>
      </c>
      <c r="T151" s="1" t="e">
        <f t="shared" si="61"/>
        <v>#N/A</v>
      </c>
      <c r="U151" s="1" t="e">
        <f t="shared" si="62"/>
        <v>#N/A</v>
      </c>
      <c r="V151" s="1" t="e">
        <f t="shared" si="63"/>
        <v>#N/A</v>
      </c>
      <c r="W151" s="1" t="e">
        <f t="shared" si="64"/>
        <v>#N/A</v>
      </c>
      <c r="X151" s="1" t="e">
        <f t="shared" si="65"/>
        <v>#N/A</v>
      </c>
      <c r="Y151" s="1" t="e">
        <f t="shared" si="66"/>
        <v>#N/A</v>
      </c>
      <c r="Z151" s="1" t="e">
        <f t="shared" si="67"/>
        <v>#N/A</v>
      </c>
      <c r="AA151" s="1" t="e">
        <f t="shared" si="68"/>
        <v>#N/A</v>
      </c>
      <c r="AB151" s="1" t="e">
        <f t="shared" si="69"/>
        <v>#N/A</v>
      </c>
      <c r="AC151" s="1" t="e">
        <f t="shared" si="70"/>
        <v>#N/A</v>
      </c>
      <c r="AD151" s="1" t="e">
        <f t="shared" si="71"/>
        <v>#N/A</v>
      </c>
      <c r="AE151" s="1" t="e">
        <f t="shared" si="72"/>
        <v>#N/A</v>
      </c>
      <c r="AF151" s="1" t="e">
        <f t="shared" si="73"/>
        <v>#N/A</v>
      </c>
    </row>
    <row r="152" spans="2:32" hidden="1" x14ac:dyDescent="0.25">
      <c r="B152" s="5" t="str">
        <f t="shared" si="43"/>
        <v>X</v>
      </c>
      <c r="C152" s="1" t="e">
        <f t="shared" si="44"/>
        <v>#N/A</v>
      </c>
      <c r="D152" s="1" t="e">
        <f t="shared" si="45"/>
        <v>#N/A</v>
      </c>
      <c r="E152" s="1" t="e">
        <f t="shared" si="46"/>
        <v>#N/A</v>
      </c>
      <c r="F152" s="1" t="e">
        <f t="shared" si="47"/>
        <v>#N/A</v>
      </c>
      <c r="G152" s="1" t="e">
        <f t="shared" si="48"/>
        <v>#N/A</v>
      </c>
      <c r="H152" s="1" t="e">
        <f t="shared" si="49"/>
        <v>#N/A</v>
      </c>
      <c r="I152" s="1" t="e">
        <f t="shared" si="50"/>
        <v>#N/A</v>
      </c>
      <c r="J152" s="1" t="e">
        <f t="shared" si="51"/>
        <v>#N/A</v>
      </c>
      <c r="K152" s="1" t="e">
        <f t="shared" si="52"/>
        <v>#N/A</v>
      </c>
      <c r="L152" s="1" t="e">
        <f t="shared" si="53"/>
        <v>#N/A</v>
      </c>
      <c r="M152" s="1" t="e">
        <f t="shared" si="54"/>
        <v>#N/A</v>
      </c>
      <c r="N152" s="1" t="e">
        <f t="shared" si="55"/>
        <v>#N/A</v>
      </c>
      <c r="O152" s="1" t="e">
        <f t="shared" si="56"/>
        <v>#N/A</v>
      </c>
      <c r="P152" s="1" t="e">
        <f t="shared" si="57"/>
        <v>#N/A</v>
      </c>
      <c r="Q152" s="1" t="e">
        <f t="shared" si="58"/>
        <v>#N/A</v>
      </c>
      <c r="R152" s="1" t="e">
        <f t="shared" si="59"/>
        <v>#N/A</v>
      </c>
      <c r="S152" s="1" t="e">
        <f t="shared" si="60"/>
        <v>#N/A</v>
      </c>
      <c r="T152" s="1" t="e">
        <f t="shared" si="61"/>
        <v>#N/A</v>
      </c>
      <c r="U152" s="1" t="e">
        <f t="shared" si="62"/>
        <v>#N/A</v>
      </c>
      <c r="V152" s="1" t="e">
        <f t="shared" si="63"/>
        <v>#N/A</v>
      </c>
      <c r="W152" s="1" t="e">
        <f t="shared" si="64"/>
        <v>#N/A</v>
      </c>
      <c r="X152" s="1" t="e">
        <f t="shared" si="65"/>
        <v>#N/A</v>
      </c>
      <c r="Y152" s="1" t="e">
        <f t="shared" si="66"/>
        <v>#N/A</v>
      </c>
      <c r="Z152" s="1" t="e">
        <f t="shared" si="67"/>
        <v>#N/A</v>
      </c>
      <c r="AA152" s="1" t="e">
        <f t="shared" si="68"/>
        <v>#N/A</v>
      </c>
      <c r="AB152" s="1" t="e">
        <f t="shared" si="69"/>
        <v>#N/A</v>
      </c>
      <c r="AC152" s="1" t="e">
        <f t="shared" si="70"/>
        <v>#N/A</v>
      </c>
      <c r="AD152" s="1" t="e">
        <f t="shared" si="71"/>
        <v>#N/A</v>
      </c>
      <c r="AE152" s="1" t="e">
        <f t="shared" si="72"/>
        <v>#N/A</v>
      </c>
      <c r="AF152" s="1" t="e">
        <f t="shared" si="73"/>
        <v>#N/A</v>
      </c>
    </row>
    <row r="153" spans="2:32" hidden="1" x14ac:dyDescent="0.25">
      <c r="B153" s="5" t="str">
        <f t="shared" si="43"/>
        <v>X</v>
      </c>
      <c r="C153" s="1" t="e">
        <f t="shared" si="44"/>
        <v>#N/A</v>
      </c>
      <c r="D153" s="1" t="e">
        <f t="shared" si="45"/>
        <v>#N/A</v>
      </c>
      <c r="E153" s="1" t="e">
        <f t="shared" si="46"/>
        <v>#N/A</v>
      </c>
      <c r="F153" s="1" t="e">
        <f t="shared" si="47"/>
        <v>#N/A</v>
      </c>
      <c r="G153" s="1" t="e">
        <f t="shared" si="48"/>
        <v>#N/A</v>
      </c>
      <c r="H153" s="1" t="e">
        <f t="shared" si="49"/>
        <v>#N/A</v>
      </c>
      <c r="I153" s="1" t="e">
        <f t="shared" si="50"/>
        <v>#N/A</v>
      </c>
      <c r="J153" s="1" t="e">
        <f t="shared" si="51"/>
        <v>#N/A</v>
      </c>
      <c r="K153" s="1" t="e">
        <f t="shared" si="52"/>
        <v>#N/A</v>
      </c>
      <c r="L153" s="1" t="e">
        <f t="shared" si="53"/>
        <v>#N/A</v>
      </c>
      <c r="M153" s="1" t="e">
        <f t="shared" si="54"/>
        <v>#N/A</v>
      </c>
      <c r="N153" s="1" t="e">
        <f t="shared" si="55"/>
        <v>#N/A</v>
      </c>
      <c r="O153" s="1" t="e">
        <f t="shared" si="56"/>
        <v>#N/A</v>
      </c>
      <c r="P153" s="1" t="e">
        <f t="shared" si="57"/>
        <v>#N/A</v>
      </c>
      <c r="Q153" s="1" t="e">
        <f t="shared" si="58"/>
        <v>#N/A</v>
      </c>
      <c r="R153" s="1" t="e">
        <f t="shared" si="59"/>
        <v>#N/A</v>
      </c>
      <c r="S153" s="1" t="e">
        <f t="shared" si="60"/>
        <v>#N/A</v>
      </c>
      <c r="T153" s="1" t="e">
        <f t="shared" si="61"/>
        <v>#N/A</v>
      </c>
      <c r="U153" s="1" t="e">
        <f t="shared" si="62"/>
        <v>#N/A</v>
      </c>
      <c r="V153" s="1" t="e">
        <f t="shared" si="63"/>
        <v>#N/A</v>
      </c>
      <c r="W153" s="1" t="e">
        <f t="shared" si="64"/>
        <v>#N/A</v>
      </c>
      <c r="X153" s="1" t="e">
        <f t="shared" si="65"/>
        <v>#N/A</v>
      </c>
      <c r="Y153" s="1" t="e">
        <f t="shared" si="66"/>
        <v>#N/A</v>
      </c>
      <c r="Z153" s="1" t="e">
        <f t="shared" si="67"/>
        <v>#N/A</v>
      </c>
      <c r="AA153" s="1" t="e">
        <f t="shared" si="68"/>
        <v>#N/A</v>
      </c>
      <c r="AB153" s="1" t="e">
        <f t="shared" si="69"/>
        <v>#N/A</v>
      </c>
      <c r="AC153" s="1" t="e">
        <f t="shared" si="70"/>
        <v>#N/A</v>
      </c>
      <c r="AD153" s="1" t="e">
        <f t="shared" si="71"/>
        <v>#N/A</v>
      </c>
      <c r="AE153" s="1" t="e">
        <f t="shared" si="72"/>
        <v>#N/A</v>
      </c>
      <c r="AF153" s="1" t="e">
        <f t="shared" si="73"/>
        <v>#N/A</v>
      </c>
    </row>
    <row r="154" spans="2:32" hidden="1" x14ac:dyDescent="0.25">
      <c r="B154" s="5" t="str">
        <f t="shared" si="43"/>
        <v>X</v>
      </c>
      <c r="C154" s="1" t="e">
        <f t="shared" si="44"/>
        <v>#N/A</v>
      </c>
      <c r="D154" s="1" t="e">
        <f t="shared" si="45"/>
        <v>#N/A</v>
      </c>
      <c r="E154" s="1" t="e">
        <f t="shared" si="46"/>
        <v>#N/A</v>
      </c>
      <c r="F154" s="1" t="e">
        <f t="shared" si="47"/>
        <v>#N/A</v>
      </c>
      <c r="G154" s="1" t="e">
        <f t="shared" si="48"/>
        <v>#N/A</v>
      </c>
      <c r="H154" s="1" t="e">
        <f t="shared" si="49"/>
        <v>#N/A</v>
      </c>
      <c r="I154" s="1" t="e">
        <f t="shared" si="50"/>
        <v>#N/A</v>
      </c>
      <c r="J154" s="1" t="e">
        <f t="shared" si="51"/>
        <v>#N/A</v>
      </c>
      <c r="K154" s="1" t="e">
        <f t="shared" si="52"/>
        <v>#N/A</v>
      </c>
      <c r="L154" s="1" t="e">
        <f t="shared" si="53"/>
        <v>#N/A</v>
      </c>
      <c r="M154" s="1" t="e">
        <f t="shared" si="54"/>
        <v>#N/A</v>
      </c>
      <c r="N154" s="1" t="e">
        <f t="shared" si="55"/>
        <v>#N/A</v>
      </c>
      <c r="O154" s="1" t="e">
        <f t="shared" si="56"/>
        <v>#N/A</v>
      </c>
      <c r="P154" s="1" t="e">
        <f t="shared" si="57"/>
        <v>#N/A</v>
      </c>
      <c r="Q154" s="1" t="e">
        <f t="shared" si="58"/>
        <v>#N/A</v>
      </c>
      <c r="R154" s="1" t="e">
        <f t="shared" si="59"/>
        <v>#N/A</v>
      </c>
      <c r="S154" s="1" t="e">
        <f t="shared" si="60"/>
        <v>#N/A</v>
      </c>
      <c r="T154" s="1" t="e">
        <f t="shared" si="61"/>
        <v>#N/A</v>
      </c>
      <c r="U154" s="1" t="e">
        <f t="shared" si="62"/>
        <v>#N/A</v>
      </c>
      <c r="V154" s="1" t="e">
        <f t="shared" si="63"/>
        <v>#N/A</v>
      </c>
      <c r="W154" s="1" t="e">
        <f t="shared" si="64"/>
        <v>#N/A</v>
      </c>
      <c r="X154" s="1" t="e">
        <f t="shared" si="65"/>
        <v>#N/A</v>
      </c>
      <c r="Y154" s="1" t="e">
        <f t="shared" si="66"/>
        <v>#N/A</v>
      </c>
      <c r="Z154" s="1" t="e">
        <f t="shared" si="67"/>
        <v>#N/A</v>
      </c>
      <c r="AA154" s="1" t="e">
        <f t="shared" si="68"/>
        <v>#N/A</v>
      </c>
      <c r="AB154" s="1" t="e">
        <f t="shared" si="69"/>
        <v>#N/A</v>
      </c>
      <c r="AC154" s="1" t="e">
        <f t="shared" si="70"/>
        <v>#N/A</v>
      </c>
      <c r="AD154" s="1" t="e">
        <f t="shared" si="71"/>
        <v>#N/A</v>
      </c>
      <c r="AE154" s="1" t="e">
        <f t="shared" si="72"/>
        <v>#N/A</v>
      </c>
      <c r="AF154" s="1" t="e">
        <f t="shared" si="73"/>
        <v>#N/A</v>
      </c>
    </row>
    <row r="155" spans="2:32" hidden="1" x14ac:dyDescent="0.25">
      <c r="B155" s="5" t="str">
        <f t="shared" si="43"/>
        <v>X</v>
      </c>
      <c r="C155" s="1" t="e">
        <f t="shared" si="44"/>
        <v>#N/A</v>
      </c>
      <c r="D155" s="1" t="e">
        <f t="shared" si="45"/>
        <v>#N/A</v>
      </c>
      <c r="E155" s="1" t="e">
        <f t="shared" si="46"/>
        <v>#N/A</v>
      </c>
      <c r="F155" s="1" t="e">
        <f t="shared" si="47"/>
        <v>#N/A</v>
      </c>
      <c r="G155" s="1" t="e">
        <f t="shared" si="48"/>
        <v>#N/A</v>
      </c>
      <c r="H155" s="1" t="e">
        <f t="shared" si="49"/>
        <v>#N/A</v>
      </c>
      <c r="I155" s="1" t="e">
        <f t="shared" si="50"/>
        <v>#N/A</v>
      </c>
      <c r="J155" s="1" t="e">
        <f t="shared" si="51"/>
        <v>#N/A</v>
      </c>
      <c r="K155" s="1" t="e">
        <f t="shared" si="52"/>
        <v>#N/A</v>
      </c>
      <c r="L155" s="1" t="e">
        <f t="shared" si="53"/>
        <v>#N/A</v>
      </c>
      <c r="M155" s="1" t="e">
        <f t="shared" si="54"/>
        <v>#N/A</v>
      </c>
      <c r="N155" s="1" t="e">
        <f t="shared" si="55"/>
        <v>#N/A</v>
      </c>
      <c r="O155" s="1" t="e">
        <f t="shared" si="56"/>
        <v>#N/A</v>
      </c>
      <c r="P155" s="1" t="e">
        <f t="shared" si="57"/>
        <v>#N/A</v>
      </c>
      <c r="Q155" s="1" t="e">
        <f t="shared" si="58"/>
        <v>#N/A</v>
      </c>
      <c r="R155" s="1" t="e">
        <f t="shared" si="59"/>
        <v>#N/A</v>
      </c>
      <c r="S155" s="1" t="e">
        <f t="shared" si="60"/>
        <v>#N/A</v>
      </c>
      <c r="T155" s="1" t="e">
        <f t="shared" si="61"/>
        <v>#N/A</v>
      </c>
      <c r="U155" s="1" t="e">
        <f t="shared" si="62"/>
        <v>#N/A</v>
      </c>
      <c r="V155" s="1" t="e">
        <f t="shared" si="63"/>
        <v>#N/A</v>
      </c>
      <c r="W155" s="1" t="e">
        <f t="shared" si="64"/>
        <v>#N/A</v>
      </c>
      <c r="X155" s="1" t="e">
        <f t="shared" si="65"/>
        <v>#N/A</v>
      </c>
      <c r="Y155" s="1" t="e">
        <f t="shared" si="66"/>
        <v>#N/A</v>
      </c>
      <c r="Z155" s="1" t="e">
        <f t="shared" si="67"/>
        <v>#N/A</v>
      </c>
      <c r="AA155" s="1" t="e">
        <f t="shared" si="68"/>
        <v>#N/A</v>
      </c>
      <c r="AB155" s="1" t="e">
        <f t="shared" si="69"/>
        <v>#N/A</v>
      </c>
      <c r="AC155" s="1" t="e">
        <f t="shared" si="70"/>
        <v>#N/A</v>
      </c>
      <c r="AD155" s="1" t="e">
        <f t="shared" si="71"/>
        <v>#N/A</v>
      </c>
      <c r="AE155" s="1" t="e">
        <f t="shared" si="72"/>
        <v>#N/A</v>
      </c>
      <c r="AF155" s="1" t="e">
        <f t="shared" si="73"/>
        <v>#N/A</v>
      </c>
    </row>
    <row r="156" spans="2:32" hidden="1" x14ac:dyDescent="0.25">
      <c r="B156" s="5" t="str">
        <f t="shared" si="43"/>
        <v>X</v>
      </c>
      <c r="C156" s="1" t="e">
        <f t="shared" si="44"/>
        <v>#N/A</v>
      </c>
      <c r="D156" s="1" t="e">
        <f t="shared" si="45"/>
        <v>#N/A</v>
      </c>
      <c r="E156" s="1" t="e">
        <f t="shared" si="46"/>
        <v>#N/A</v>
      </c>
      <c r="F156" s="1" t="e">
        <f t="shared" si="47"/>
        <v>#N/A</v>
      </c>
      <c r="G156" s="1" t="e">
        <f t="shared" si="48"/>
        <v>#N/A</v>
      </c>
      <c r="H156" s="1" t="e">
        <f t="shared" si="49"/>
        <v>#N/A</v>
      </c>
      <c r="I156" s="1" t="e">
        <f t="shared" si="50"/>
        <v>#N/A</v>
      </c>
      <c r="J156" s="1" t="e">
        <f t="shared" si="51"/>
        <v>#N/A</v>
      </c>
      <c r="K156" s="1" t="e">
        <f t="shared" si="52"/>
        <v>#N/A</v>
      </c>
      <c r="L156" s="1" t="e">
        <f t="shared" si="53"/>
        <v>#N/A</v>
      </c>
      <c r="M156" s="1" t="e">
        <f t="shared" si="54"/>
        <v>#N/A</v>
      </c>
      <c r="N156" s="1" t="e">
        <f t="shared" si="55"/>
        <v>#N/A</v>
      </c>
      <c r="O156" s="1" t="e">
        <f t="shared" si="56"/>
        <v>#N/A</v>
      </c>
      <c r="P156" s="1" t="e">
        <f t="shared" si="57"/>
        <v>#N/A</v>
      </c>
      <c r="Q156" s="1" t="e">
        <f t="shared" si="58"/>
        <v>#N/A</v>
      </c>
      <c r="R156" s="1" t="e">
        <f t="shared" si="59"/>
        <v>#N/A</v>
      </c>
      <c r="S156" s="1" t="e">
        <f t="shared" si="60"/>
        <v>#N/A</v>
      </c>
      <c r="T156" s="1" t="e">
        <f t="shared" si="61"/>
        <v>#N/A</v>
      </c>
      <c r="U156" s="1" t="e">
        <f t="shared" si="62"/>
        <v>#N/A</v>
      </c>
      <c r="V156" s="1" t="e">
        <f t="shared" si="63"/>
        <v>#N/A</v>
      </c>
      <c r="W156" s="1" t="e">
        <f t="shared" si="64"/>
        <v>#N/A</v>
      </c>
      <c r="X156" s="1" t="e">
        <f t="shared" si="65"/>
        <v>#N/A</v>
      </c>
      <c r="Y156" s="1" t="e">
        <f t="shared" si="66"/>
        <v>#N/A</v>
      </c>
      <c r="Z156" s="1" t="e">
        <f t="shared" si="67"/>
        <v>#N/A</v>
      </c>
      <c r="AA156" s="1" t="e">
        <f t="shared" si="68"/>
        <v>#N/A</v>
      </c>
      <c r="AB156" s="1" t="e">
        <f t="shared" si="69"/>
        <v>#N/A</v>
      </c>
      <c r="AC156" s="1" t="e">
        <f t="shared" si="70"/>
        <v>#N/A</v>
      </c>
      <c r="AD156" s="1" t="e">
        <f t="shared" si="71"/>
        <v>#N/A</v>
      </c>
      <c r="AE156" s="1" t="e">
        <f t="shared" si="72"/>
        <v>#N/A</v>
      </c>
      <c r="AF156" s="1" t="e">
        <f t="shared" si="73"/>
        <v>#N/A</v>
      </c>
    </row>
    <row r="157" spans="2:32" hidden="1" x14ac:dyDescent="0.25">
      <c r="B157" s="5" t="str">
        <f t="shared" si="43"/>
        <v>X</v>
      </c>
      <c r="C157" s="1" t="e">
        <f t="shared" si="44"/>
        <v>#N/A</v>
      </c>
      <c r="D157" s="1" t="e">
        <f t="shared" si="45"/>
        <v>#N/A</v>
      </c>
      <c r="E157" s="1" t="e">
        <f t="shared" si="46"/>
        <v>#N/A</v>
      </c>
      <c r="F157" s="1" t="e">
        <f t="shared" si="47"/>
        <v>#N/A</v>
      </c>
      <c r="G157" s="1" t="e">
        <f t="shared" si="48"/>
        <v>#N/A</v>
      </c>
      <c r="H157" s="1" t="e">
        <f t="shared" si="49"/>
        <v>#N/A</v>
      </c>
      <c r="I157" s="1" t="e">
        <f t="shared" si="50"/>
        <v>#N/A</v>
      </c>
      <c r="J157" s="1" t="e">
        <f t="shared" si="51"/>
        <v>#N/A</v>
      </c>
      <c r="K157" s="1" t="e">
        <f t="shared" si="52"/>
        <v>#N/A</v>
      </c>
      <c r="L157" s="1" t="e">
        <f t="shared" si="53"/>
        <v>#N/A</v>
      </c>
      <c r="M157" s="1" t="e">
        <f t="shared" si="54"/>
        <v>#N/A</v>
      </c>
      <c r="N157" s="1" t="e">
        <f t="shared" si="55"/>
        <v>#N/A</v>
      </c>
      <c r="O157" s="1" t="e">
        <f t="shared" si="56"/>
        <v>#N/A</v>
      </c>
      <c r="P157" s="1" t="e">
        <f t="shared" si="57"/>
        <v>#N/A</v>
      </c>
      <c r="Q157" s="1" t="e">
        <f t="shared" si="58"/>
        <v>#N/A</v>
      </c>
      <c r="R157" s="1" t="e">
        <f t="shared" si="59"/>
        <v>#N/A</v>
      </c>
      <c r="S157" s="1" t="e">
        <f t="shared" si="60"/>
        <v>#N/A</v>
      </c>
      <c r="T157" s="1" t="e">
        <f t="shared" si="61"/>
        <v>#N/A</v>
      </c>
      <c r="U157" s="1" t="e">
        <f t="shared" si="62"/>
        <v>#N/A</v>
      </c>
      <c r="V157" s="1" t="e">
        <f t="shared" si="63"/>
        <v>#N/A</v>
      </c>
      <c r="W157" s="1" t="e">
        <f t="shared" si="64"/>
        <v>#N/A</v>
      </c>
      <c r="X157" s="1" t="e">
        <f t="shared" si="65"/>
        <v>#N/A</v>
      </c>
      <c r="Y157" s="1" t="e">
        <f t="shared" si="66"/>
        <v>#N/A</v>
      </c>
      <c r="Z157" s="1" t="e">
        <f t="shared" si="67"/>
        <v>#N/A</v>
      </c>
      <c r="AA157" s="1" t="e">
        <f t="shared" si="68"/>
        <v>#N/A</v>
      </c>
      <c r="AB157" s="1" t="e">
        <f t="shared" si="69"/>
        <v>#N/A</v>
      </c>
      <c r="AC157" s="1" t="e">
        <f t="shared" si="70"/>
        <v>#N/A</v>
      </c>
      <c r="AD157" s="1" t="e">
        <f t="shared" si="71"/>
        <v>#N/A</v>
      </c>
      <c r="AE157" s="1" t="e">
        <f t="shared" si="72"/>
        <v>#N/A</v>
      </c>
      <c r="AF157" s="1" t="e">
        <f t="shared" si="73"/>
        <v>#N/A</v>
      </c>
    </row>
    <row r="158" spans="2:32" hidden="1" x14ac:dyDescent="0.25">
      <c r="B158" s="5" t="str">
        <f t="shared" si="43"/>
        <v>X</v>
      </c>
      <c r="C158" s="1" t="e">
        <f t="shared" si="44"/>
        <v>#N/A</v>
      </c>
      <c r="D158" s="1" t="e">
        <f t="shared" si="45"/>
        <v>#N/A</v>
      </c>
      <c r="E158" s="1" t="e">
        <f t="shared" si="46"/>
        <v>#N/A</v>
      </c>
      <c r="F158" s="1" t="e">
        <f t="shared" si="47"/>
        <v>#N/A</v>
      </c>
      <c r="G158" s="1" t="e">
        <f t="shared" si="48"/>
        <v>#N/A</v>
      </c>
      <c r="H158" s="1" t="e">
        <f t="shared" si="49"/>
        <v>#N/A</v>
      </c>
      <c r="I158" s="1" t="e">
        <f t="shared" si="50"/>
        <v>#N/A</v>
      </c>
      <c r="J158" s="1" t="e">
        <f t="shared" si="51"/>
        <v>#N/A</v>
      </c>
      <c r="K158" s="1" t="e">
        <f t="shared" si="52"/>
        <v>#N/A</v>
      </c>
      <c r="L158" s="1" t="e">
        <f t="shared" si="53"/>
        <v>#N/A</v>
      </c>
      <c r="M158" s="1" t="e">
        <f t="shared" si="54"/>
        <v>#N/A</v>
      </c>
      <c r="N158" s="1" t="e">
        <f t="shared" si="55"/>
        <v>#N/A</v>
      </c>
      <c r="O158" s="1" t="e">
        <f t="shared" si="56"/>
        <v>#N/A</v>
      </c>
      <c r="P158" s="1" t="e">
        <f t="shared" si="57"/>
        <v>#N/A</v>
      </c>
      <c r="Q158" s="1" t="e">
        <f t="shared" si="58"/>
        <v>#N/A</v>
      </c>
      <c r="R158" s="1" t="e">
        <f t="shared" si="59"/>
        <v>#N/A</v>
      </c>
      <c r="S158" s="1" t="e">
        <f t="shared" si="60"/>
        <v>#N/A</v>
      </c>
      <c r="T158" s="1" t="e">
        <f t="shared" si="61"/>
        <v>#N/A</v>
      </c>
      <c r="U158" s="1" t="e">
        <f t="shared" si="62"/>
        <v>#N/A</v>
      </c>
      <c r="V158" s="1" t="e">
        <f t="shared" si="63"/>
        <v>#N/A</v>
      </c>
      <c r="W158" s="1" t="e">
        <f t="shared" si="64"/>
        <v>#N/A</v>
      </c>
      <c r="X158" s="1" t="e">
        <f t="shared" si="65"/>
        <v>#N/A</v>
      </c>
      <c r="Y158" s="1" t="e">
        <f t="shared" si="66"/>
        <v>#N/A</v>
      </c>
      <c r="Z158" s="1" t="e">
        <f t="shared" si="67"/>
        <v>#N/A</v>
      </c>
      <c r="AA158" s="1" t="e">
        <f t="shared" si="68"/>
        <v>#N/A</v>
      </c>
      <c r="AB158" s="1" t="e">
        <f t="shared" si="69"/>
        <v>#N/A</v>
      </c>
      <c r="AC158" s="1" t="e">
        <f t="shared" si="70"/>
        <v>#N/A</v>
      </c>
      <c r="AD158" s="1" t="e">
        <f t="shared" si="71"/>
        <v>#N/A</v>
      </c>
      <c r="AE158" s="1" t="e">
        <f t="shared" si="72"/>
        <v>#N/A</v>
      </c>
      <c r="AF158" s="1" t="e">
        <f t="shared" si="73"/>
        <v>#N/A</v>
      </c>
    </row>
    <row r="159" spans="2:32" hidden="1" x14ac:dyDescent="0.25">
      <c r="B159" s="5" t="str">
        <f t="shared" si="43"/>
        <v>X</v>
      </c>
      <c r="C159" s="1" t="e">
        <f t="shared" si="44"/>
        <v>#N/A</v>
      </c>
      <c r="D159" s="1" t="e">
        <f t="shared" si="45"/>
        <v>#N/A</v>
      </c>
      <c r="E159" s="1" t="e">
        <f t="shared" si="46"/>
        <v>#N/A</v>
      </c>
      <c r="F159" s="1" t="e">
        <f t="shared" si="47"/>
        <v>#N/A</v>
      </c>
      <c r="G159" s="1" t="e">
        <f t="shared" si="48"/>
        <v>#N/A</v>
      </c>
      <c r="H159" s="1" t="e">
        <f t="shared" si="49"/>
        <v>#N/A</v>
      </c>
      <c r="I159" s="1" t="e">
        <f t="shared" si="50"/>
        <v>#N/A</v>
      </c>
      <c r="J159" s="1" t="e">
        <f t="shared" si="51"/>
        <v>#N/A</v>
      </c>
      <c r="K159" s="1" t="e">
        <f t="shared" si="52"/>
        <v>#N/A</v>
      </c>
      <c r="L159" s="1" t="e">
        <f t="shared" si="53"/>
        <v>#N/A</v>
      </c>
      <c r="M159" s="1" t="e">
        <f t="shared" si="54"/>
        <v>#N/A</v>
      </c>
      <c r="N159" s="1" t="e">
        <f t="shared" si="55"/>
        <v>#N/A</v>
      </c>
      <c r="O159" s="1" t="e">
        <f t="shared" si="56"/>
        <v>#N/A</v>
      </c>
      <c r="P159" s="1" t="e">
        <f t="shared" si="57"/>
        <v>#N/A</v>
      </c>
      <c r="Q159" s="1" t="e">
        <f t="shared" si="58"/>
        <v>#N/A</v>
      </c>
      <c r="R159" s="1" t="e">
        <f t="shared" si="59"/>
        <v>#N/A</v>
      </c>
      <c r="S159" s="1" t="e">
        <f t="shared" si="60"/>
        <v>#N/A</v>
      </c>
      <c r="T159" s="1" t="e">
        <f t="shared" si="61"/>
        <v>#N/A</v>
      </c>
      <c r="U159" s="1" t="e">
        <f t="shared" si="62"/>
        <v>#N/A</v>
      </c>
      <c r="V159" s="1" t="e">
        <f t="shared" si="63"/>
        <v>#N/A</v>
      </c>
      <c r="W159" s="1" t="e">
        <f t="shared" si="64"/>
        <v>#N/A</v>
      </c>
      <c r="X159" s="1" t="e">
        <f t="shared" si="65"/>
        <v>#N/A</v>
      </c>
      <c r="Y159" s="1" t="e">
        <f t="shared" si="66"/>
        <v>#N/A</v>
      </c>
      <c r="Z159" s="1" t="e">
        <f t="shared" si="67"/>
        <v>#N/A</v>
      </c>
      <c r="AA159" s="1" t="e">
        <f t="shared" si="68"/>
        <v>#N/A</v>
      </c>
      <c r="AB159" s="1" t="e">
        <f t="shared" si="69"/>
        <v>#N/A</v>
      </c>
      <c r="AC159" s="1" t="e">
        <f t="shared" si="70"/>
        <v>#N/A</v>
      </c>
      <c r="AD159" s="1" t="e">
        <f t="shared" si="71"/>
        <v>#N/A</v>
      </c>
      <c r="AE159" s="1" t="e">
        <f t="shared" si="72"/>
        <v>#N/A</v>
      </c>
      <c r="AF159" s="1" t="e">
        <f t="shared" si="73"/>
        <v>#N/A</v>
      </c>
    </row>
    <row r="160" spans="2:32" hidden="1" x14ac:dyDescent="0.25">
      <c r="B160" s="5" t="str">
        <f t="shared" si="43"/>
        <v>X</v>
      </c>
      <c r="C160" s="1" t="e">
        <f t="shared" si="44"/>
        <v>#N/A</v>
      </c>
      <c r="D160" s="1" t="e">
        <f t="shared" si="45"/>
        <v>#N/A</v>
      </c>
      <c r="E160" s="1" t="e">
        <f t="shared" si="46"/>
        <v>#N/A</v>
      </c>
      <c r="F160" s="1" t="e">
        <f t="shared" si="47"/>
        <v>#N/A</v>
      </c>
      <c r="G160" s="1" t="e">
        <f t="shared" si="48"/>
        <v>#N/A</v>
      </c>
      <c r="H160" s="1" t="e">
        <f t="shared" si="49"/>
        <v>#N/A</v>
      </c>
      <c r="I160" s="1" t="e">
        <f t="shared" si="50"/>
        <v>#N/A</v>
      </c>
      <c r="J160" s="1" t="e">
        <f t="shared" si="51"/>
        <v>#N/A</v>
      </c>
      <c r="K160" s="1" t="e">
        <f t="shared" si="52"/>
        <v>#N/A</v>
      </c>
      <c r="L160" s="1" t="e">
        <f t="shared" si="53"/>
        <v>#N/A</v>
      </c>
      <c r="M160" s="1" t="e">
        <f t="shared" si="54"/>
        <v>#N/A</v>
      </c>
      <c r="N160" s="1" t="e">
        <f t="shared" si="55"/>
        <v>#N/A</v>
      </c>
      <c r="O160" s="1" t="e">
        <f t="shared" si="56"/>
        <v>#N/A</v>
      </c>
      <c r="P160" s="1" t="e">
        <f t="shared" si="57"/>
        <v>#N/A</v>
      </c>
      <c r="Q160" s="1" t="e">
        <f t="shared" si="58"/>
        <v>#N/A</v>
      </c>
      <c r="R160" s="1" t="e">
        <f t="shared" si="59"/>
        <v>#N/A</v>
      </c>
      <c r="S160" s="1" t="e">
        <f t="shared" si="60"/>
        <v>#N/A</v>
      </c>
      <c r="T160" s="1" t="e">
        <f t="shared" si="61"/>
        <v>#N/A</v>
      </c>
      <c r="U160" s="1" t="e">
        <f t="shared" si="62"/>
        <v>#N/A</v>
      </c>
      <c r="V160" s="1" t="e">
        <f t="shared" si="63"/>
        <v>#N/A</v>
      </c>
      <c r="W160" s="1" t="e">
        <f t="shared" si="64"/>
        <v>#N/A</v>
      </c>
      <c r="X160" s="1" t="e">
        <f t="shared" si="65"/>
        <v>#N/A</v>
      </c>
      <c r="Y160" s="1" t="e">
        <f t="shared" si="66"/>
        <v>#N/A</v>
      </c>
      <c r="Z160" s="1" t="e">
        <f t="shared" si="67"/>
        <v>#N/A</v>
      </c>
      <c r="AA160" s="1" t="e">
        <f t="shared" si="68"/>
        <v>#N/A</v>
      </c>
      <c r="AB160" s="1" t="e">
        <f t="shared" si="69"/>
        <v>#N/A</v>
      </c>
      <c r="AC160" s="1" t="e">
        <f t="shared" si="70"/>
        <v>#N/A</v>
      </c>
      <c r="AD160" s="1" t="e">
        <f t="shared" si="71"/>
        <v>#N/A</v>
      </c>
      <c r="AE160" s="1" t="e">
        <f t="shared" si="72"/>
        <v>#N/A</v>
      </c>
      <c r="AF160" s="1" t="e">
        <f t="shared" si="73"/>
        <v>#N/A</v>
      </c>
    </row>
    <row r="161" spans="2:32" hidden="1" x14ac:dyDescent="0.25">
      <c r="B161" s="5" t="str">
        <f t="shared" si="43"/>
        <v>X</v>
      </c>
      <c r="C161" s="1" t="e">
        <f t="shared" si="44"/>
        <v>#N/A</v>
      </c>
      <c r="D161" s="1" t="e">
        <f t="shared" si="45"/>
        <v>#N/A</v>
      </c>
      <c r="E161" s="1" t="e">
        <f t="shared" si="46"/>
        <v>#N/A</v>
      </c>
      <c r="F161" s="1" t="e">
        <f t="shared" si="47"/>
        <v>#N/A</v>
      </c>
      <c r="G161" s="1" t="e">
        <f t="shared" si="48"/>
        <v>#N/A</v>
      </c>
      <c r="H161" s="1" t="e">
        <f t="shared" si="49"/>
        <v>#N/A</v>
      </c>
      <c r="I161" s="1" t="e">
        <f t="shared" si="50"/>
        <v>#N/A</v>
      </c>
      <c r="J161" s="1" t="e">
        <f t="shared" si="51"/>
        <v>#N/A</v>
      </c>
      <c r="K161" s="1" t="e">
        <f t="shared" si="52"/>
        <v>#N/A</v>
      </c>
      <c r="L161" s="1" t="e">
        <f t="shared" si="53"/>
        <v>#N/A</v>
      </c>
      <c r="M161" s="1" t="e">
        <f t="shared" si="54"/>
        <v>#N/A</v>
      </c>
      <c r="N161" s="1" t="e">
        <f t="shared" si="55"/>
        <v>#N/A</v>
      </c>
      <c r="O161" s="1" t="e">
        <f t="shared" si="56"/>
        <v>#N/A</v>
      </c>
      <c r="P161" s="1" t="e">
        <f t="shared" si="57"/>
        <v>#N/A</v>
      </c>
      <c r="Q161" s="1" t="e">
        <f t="shared" si="58"/>
        <v>#N/A</v>
      </c>
      <c r="R161" s="1" t="e">
        <f t="shared" si="59"/>
        <v>#N/A</v>
      </c>
      <c r="S161" s="1" t="e">
        <f t="shared" si="60"/>
        <v>#N/A</v>
      </c>
      <c r="T161" s="1" t="e">
        <f t="shared" si="61"/>
        <v>#N/A</v>
      </c>
      <c r="U161" s="1" t="e">
        <f t="shared" si="62"/>
        <v>#N/A</v>
      </c>
      <c r="V161" s="1" t="e">
        <f t="shared" si="63"/>
        <v>#N/A</v>
      </c>
      <c r="W161" s="1" t="e">
        <f t="shared" si="64"/>
        <v>#N/A</v>
      </c>
      <c r="X161" s="1" t="e">
        <f t="shared" si="65"/>
        <v>#N/A</v>
      </c>
      <c r="Y161" s="1" t="e">
        <f t="shared" si="66"/>
        <v>#N/A</v>
      </c>
      <c r="Z161" s="1" t="e">
        <f t="shared" si="67"/>
        <v>#N/A</v>
      </c>
      <c r="AA161" s="1" t="e">
        <f t="shared" si="68"/>
        <v>#N/A</v>
      </c>
      <c r="AB161" s="1" t="e">
        <f t="shared" si="69"/>
        <v>#N/A</v>
      </c>
      <c r="AC161" s="1" t="e">
        <f t="shared" si="70"/>
        <v>#N/A</v>
      </c>
      <c r="AD161" s="1" t="e">
        <f t="shared" si="71"/>
        <v>#N/A</v>
      </c>
      <c r="AE161" s="1" t="e">
        <f t="shared" si="72"/>
        <v>#N/A</v>
      </c>
      <c r="AF161" s="1" t="e">
        <f t="shared" si="73"/>
        <v>#N/A</v>
      </c>
    </row>
    <row r="162" spans="2:32" hidden="1" x14ac:dyDescent="0.25">
      <c r="B162" s="5" t="str">
        <f t="shared" si="43"/>
        <v>X</v>
      </c>
      <c r="C162" s="1" t="e">
        <f t="shared" si="44"/>
        <v>#N/A</v>
      </c>
      <c r="D162" s="1" t="e">
        <f t="shared" si="45"/>
        <v>#N/A</v>
      </c>
      <c r="E162" s="1" t="e">
        <f t="shared" si="46"/>
        <v>#N/A</v>
      </c>
      <c r="F162" s="1" t="e">
        <f t="shared" si="47"/>
        <v>#N/A</v>
      </c>
      <c r="G162" s="1" t="e">
        <f t="shared" si="48"/>
        <v>#N/A</v>
      </c>
      <c r="H162" s="1" t="e">
        <f t="shared" si="49"/>
        <v>#N/A</v>
      </c>
      <c r="I162" s="1" t="e">
        <f t="shared" si="50"/>
        <v>#N/A</v>
      </c>
      <c r="J162" s="1" t="e">
        <f t="shared" si="51"/>
        <v>#N/A</v>
      </c>
      <c r="K162" s="1" t="e">
        <f t="shared" si="52"/>
        <v>#N/A</v>
      </c>
      <c r="L162" s="1" t="e">
        <f t="shared" si="53"/>
        <v>#N/A</v>
      </c>
      <c r="M162" s="1" t="e">
        <f t="shared" si="54"/>
        <v>#N/A</v>
      </c>
      <c r="N162" s="1" t="e">
        <f t="shared" si="55"/>
        <v>#N/A</v>
      </c>
      <c r="O162" s="1" t="e">
        <f t="shared" si="56"/>
        <v>#N/A</v>
      </c>
      <c r="P162" s="1" t="e">
        <f t="shared" si="57"/>
        <v>#N/A</v>
      </c>
      <c r="Q162" s="1" t="e">
        <f t="shared" si="58"/>
        <v>#N/A</v>
      </c>
      <c r="R162" s="1" t="e">
        <f t="shared" si="59"/>
        <v>#N/A</v>
      </c>
      <c r="S162" s="1" t="e">
        <f t="shared" si="60"/>
        <v>#N/A</v>
      </c>
      <c r="T162" s="1" t="e">
        <f t="shared" si="61"/>
        <v>#N/A</v>
      </c>
      <c r="U162" s="1" t="e">
        <f t="shared" si="62"/>
        <v>#N/A</v>
      </c>
      <c r="V162" s="1" t="e">
        <f t="shared" si="63"/>
        <v>#N/A</v>
      </c>
      <c r="W162" s="1" t="e">
        <f t="shared" si="64"/>
        <v>#N/A</v>
      </c>
      <c r="X162" s="1" t="e">
        <f t="shared" si="65"/>
        <v>#N/A</v>
      </c>
      <c r="Y162" s="1" t="e">
        <f t="shared" si="66"/>
        <v>#N/A</v>
      </c>
      <c r="Z162" s="1" t="e">
        <f t="shared" si="67"/>
        <v>#N/A</v>
      </c>
      <c r="AA162" s="1" t="e">
        <f t="shared" si="68"/>
        <v>#N/A</v>
      </c>
      <c r="AB162" s="1" t="e">
        <f t="shared" si="69"/>
        <v>#N/A</v>
      </c>
      <c r="AC162" s="1" t="e">
        <f t="shared" si="70"/>
        <v>#N/A</v>
      </c>
      <c r="AD162" s="1" t="e">
        <f t="shared" si="71"/>
        <v>#N/A</v>
      </c>
      <c r="AE162" s="1" t="e">
        <f t="shared" si="72"/>
        <v>#N/A</v>
      </c>
      <c r="AF162" s="1" t="e">
        <f t="shared" si="73"/>
        <v>#N/A</v>
      </c>
    </row>
    <row r="163" spans="2:32" hidden="1" x14ac:dyDescent="0.25">
      <c r="B163" s="5" t="str">
        <f t="shared" si="43"/>
        <v>X</v>
      </c>
      <c r="C163" s="1" t="e">
        <f t="shared" si="44"/>
        <v>#N/A</v>
      </c>
      <c r="D163" s="1" t="e">
        <f t="shared" si="45"/>
        <v>#N/A</v>
      </c>
      <c r="E163" s="1" t="e">
        <f t="shared" si="46"/>
        <v>#N/A</v>
      </c>
      <c r="F163" s="1" t="e">
        <f t="shared" si="47"/>
        <v>#N/A</v>
      </c>
      <c r="G163" s="1" t="e">
        <f t="shared" si="48"/>
        <v>#N/A</v>
      </c>
      <c r="H163" s="1" t="e">
        <f t="shared" si="49"/>
        <v>#N/A</v>
      </c>
      <c r="I163" s="1" t="e">
        <f t="shared" si="50"/>
        <v>#N/A</v>
      </c>
      <c r="J163" s="1" t="e">
        <f t="shared" si="51"/>
        <v>#N/A</v>
      </c>
      <c r="K163" s="1" t="e">
        <f t="shared" si="52"/>
        <v>#N/A</v>
      </c>
      <c r="L163" s="1" t="e">
        <f t="shared" si="53"/>
        <v>#N/A</v>
      </c>
      <c r="M163" s="1" t="e">
        <f t="shared" si="54"/>
        <v>#N/A</v>
      </c>
      <c r="N163" s="1" t="e">
        <f t="shared" si="55"/>
        <v>#N/A</v>
      </c>
      <c r="O163" s="1" t="e">
        <f t="shared" si="56"/>
        <v>#N/A</v>
      </c>
      <c r="P163" s="1" t="e">
        <f t="shared" si="57"/>
        <v>#N/A</v>
      </c>
      <c r="Q163" s="1" t="e">
        <f t="shared" si="58"/>
        <v>#N/A</v>
      </c>
      <c r="R163" s="1" t="e">
        <f t="shared" si="59"/>
        <v>#N/A</v>
      </c>
      <c r="S163" s="1" t="e">
        <f t="shared" si="60"/>
        <v>#N/A</v>
      </c>
      <c r="T163" s="1" t="e">
        <f t="shared" si="61"/>
        <v>#N/A</v>
      </c>
      <c r="U163" s="1" t="e">
        <f t="shared" si="62"/>
        <v>#N/A</v>
      </c>
      <c r="V163" s="1" t="e">
        <f t="shared" si="63"/>
        <v>#N/A</v>
      </c>
      <c r="W163" s="1" t="e">
        <f t="shared" si="64"/>
        <v>#N/A</v>
      </c>
      <c r="X163" s="1" t="e">
        <f t="shared" si="65"/>
        <v>#N/A</v>
      </c>
      <c r="Y163" s="1" t="e">
        <f t="shared" si="66"/>
        <v>#N/A</v>
      </c>
      <c r="Z163" s="1" t="e">
        <f t="shared" si="67"/>
        <v>#N/A</v>
      </c>
      <c r="AA163" s="1" t="e">
        <f t="shared" si="68"/>
        <v>#N/A</v>
      </c>
      <c r="AB163" s="1" t="e">
        <f t="shared" si="69"/>
        <v>#N/A</v>
      </c>
      <c r="AC163" s="1" t="e">
        <f t="shared" si="70"/>
        <v>#N/A</v>
      </c>
      <c r="AD163" s="1" t="e">
        <f t="shared" si="71"/>
        <v>#N/A</v>
      </c>
      <c r="AE163" s="1" t="e">
        <f t="shared" si="72"/>
        <v>#N/A</v>
      </c>
      <c r="AF163" s="1" t="e">
        <f t="shared" si="73"/>
        <v>#N/A</v>
      </c>
    </row>
    <row r="164" spans="2:32" hidden="1" x14ac:dyDescent="0.25">
      <c r="B164" s="5" t="str">
        <f t="shared" si="43"/>
        <v>X</v>
      </c>
      <c r="C164" s="1" t="e">
        <f t="shared" si="44"/>
        <v>#N/A</v>
      </c>
      <c r="D164" s="1" t="e">
        <f t="shared" si="45"/>
        <v>#N/A</v>
      </c>
      <c r="E164" s="1" t="e">
        <f t="shared" si="46"/>
        <v>#N/A</v>
      </c>
      <c r="F164" s="1" t="e">
        <f t="shared" si="47"/>
        <v>#N/A</v>
      </c>
      <c r="G164" s="1" t="e">
        <f t="shared" si="48"/>
        <v>#N/A</v>
      </c>
      <c r="H164" s="1" t="e">
        <f t="shared" si="49"/>
        <v>#N/A</v>
      </c>
      <c r="I164" s="1" t="e">
        <f t="shared" si="50"/>
        <v>#N/A</v>
      </c>
      <c r="J164" s="1" t="e">
        <f t="shared" si="51"/>
        <v>#N/A</v>
      </c>
      <c r="K164" s="1" t="e">
        <f t="shared" si="52"/>
        <v>#N/A</v>
      </c>
      <c r="L164" s="1" t="e">
        <f t="shared" si="53"/>
        <v>#N/A</v>
      </c>
      <c r="M164" s="1" t="e">
        <f t="shared" si="54"/>
        <v>#N/A</v>
      </c>
      <c r="N164" s="1" t="e">
        <f t="shared" si="55"/>
        <v>#N/A</v>
      </c>
      <c r="O164" s="1" t="e">
        <f t="shared" si="56"/>
        <v>#N/A</v>
      </c>
      <c r="P164" s="1" t="e">
        <f t="shared" si="57"/>
        <v>#N/A</v>
      </c>
      <c r="Q164" s="1" t="e">
        <f t="shared" si="58"/>
        <v>#N/A</v>
      </c>
      <c r="R164" s="1" t="e">
        <f t="shared" si="59"/>
        <v>#N/A</v>
      </c>
      <c r="S164" s="1" t="e">
        <f t="shared" si="60"/>
        <v>#N/A</v>
      </c>
      <c r="T164" s="1" t="e">
        <f t="shared" si="61"/>
        <v>#N/A</v>
      </c>
      <c r="U164" s="1" t="e">
        <f t="shared" si="62"/>
        <v>#N/A</v>
      </c>
      <c r="V164" s="1" t="e">
        <f t="shared" si="63"/>
        <v>#N/A</v>
      </c>
      <c r="W164" s="1" t="e">
        <f t="shared" si="64"/>
        <v>#N/A</v>
      </c>
      <c r="X164" s="1" t="e">
        <f t="shared" si="65"/>
        <v>#N/A</v>
      </c>
      <c r="Y164" s="1" t="e">
        <f t="shared" si="66"/>
        <v>#N/A</v>
      </c>
      <c r="Z164" s="1" t="e">
        <f t="shared" si="67"/>
        <v>#N/A</v>
      </c>
      <c r="AA164" s="1" t="e">
        <f t="shared" si="68"/>
        <v>#N/A</v>
      </c>
      <c r="AB164" s="1" t="e">
        <f t="shared" si="69"/>
        <v>#N/A</v>
      </c>
      <c r="AC164" s="1" t="e">
        <f t="shared" si="70"/>
        <v>#N/A</v>
      </c>
      <c r="AD164" s="1" t="e">
        <f t="shared" si="71"/>
        <v>#N/A</v>
      </c>
      <c r="AE164" s="1" t="e">
        <f t="shared" si="72"/>
        <v>#N/A</v>
      </c>
      <c r="AF164" s="1" t="e">
        <f t="shared" si="73"/>
        <v>#N/A</v>
      </c>
    </row>
    <row r="165" spans="2:32" hidden="1" x14ac:dyDescent="0.25">
      <c r="B165" s="5" t="str">
        <f t="shared" si="43"/>
        <v>X</v>
      </c>
      <c r="C165" s="1" t="e">
        <f t="shared" si="44"/>
        <v>#N/A</v>
      </c>
      <c r="D165" s="1" t="e">
        <f t="shared" si="45"/>
        <v>#N/A</v>
      </c>
      <c r="E165" s="1" t="e">
        <f t="shared" si="46"/>
        <v>#N/A</v>
      </c>
      <c r="F165" s="1" t="e">
        <f t="shared" si="47"/>
        <v>#N/A</v>
      </c>
      <c r="G165" s="1" t="e">
        <f t="shared" si="48"/>
        <v>#N/A</v>
      </c>
      <c r="H165" s="1" t="e">
        <f t="shared" si="49"/>
        <v>#N/A</v>
      </c>
      <c r="I165" s="1" t="e">
        <f t="shared" si="50"/>
        <v>#N/A</v>
      </c>
      <c r="J165" s="1" t="e">
        <f t="shared" si="51"/>
        <v>#N/A</v>
      </c>
      <c r="K165" s="1" t="e">
        <f t="shared" si="52"/>
        <v>#N/A</v>
      </c>
      <c r="L165" s="1" t="e">
        <f t="shared" si="53"/>
        <v>#N/A</v>
      </c>
      <c r="M165" s="1" t="e">
        <f t="shared" si="54"/>
        <v>#N/A</v>
      </c>
      <c r="N165" s="1" t="e">
        <f t="shared" si="55"/>
        <v>#N/A</v>
      </c>
      <c r="O165" s="1" t="e">
        <f t="shared" si="56"/>
        <v>#N/A</v>
      </c>
      <c r="P165" s="1" t="e">
        <f t="shared" si="57"/>
        <v>#N/A</v>
      </c>
      <c r="Q165" s="1" t="e">
        <f t="shared" si="58"/>
        <v>#N/A</v>
      </c>
      <c r="R165" s="1" t="e">
        <f t="shared" si="59"/>
        <v>#N/A</v>
      </c>
      <c r="S165" s="1" t="e">
        <f t="shared" si="60"/>
        <v>#N/A</v>
      </c>
      <c r="T165" s="1" t="e">
        <f t="shared" si="61"/>
        <v>#N/A</v>
      </c>
      <c r="U165" s="1" t="e">
        <f t="shared" si="62"/>
        <v>#N/A</v>
      </c>
      <c r="V165" s="1" t="e">
        <f t="shared" si="63"/>
        <v>#N/A</v>
      </c>
      <c r="W165" s="1" t="e">
        <f t="shared" si="64"/>
        <v>#N/A</v>
      </c>
      <c r="X165" s="1" t="e">
        <f t="shared" si="65"/>
        <v>#N/A</v>
      </c>
      <c r="Y165" s="1" t="e">
        <f t="shared" si="66"/>
        <v>#N/A</v>
      </c>
      <c r="Z165" s="1" t="e">
        <f t="shared" si="67"/>
        <v>#N/A</v>
      </c>
      <c r="AA165" s="1" t="e">
        <f t="shared" si="68"/>
        <v>#N/A</v>
      </c>
      <c r="AB165" s="1" t="e">
        <f t="shared" si="69"/>
        <v>#N/A</v>
      </c>
      <c r="AC165" s="1" t="e">
        <f t="shared" si="70"/>
        <v>#N/A</v>
      </c>
      <c r="AD165" s="1" t="e">
        <f t="shared" si="71"/>
        <v>#N/A</v>
      </c>
      <c r="AE165" s="1" t="e">
        <f t="shared" si="72"/>
        <v>#N/A</v>
      </c>
      <c r="AF165" s="1" t="e">
        <f t="shared" si="73"/>
        <v>#N/A</v>
      </c>
    </row>
    <row r="166" spans="2:32" hidden="1" x14ac:dyDescent="0.25">
      <c r="B166" s="5" t="str">
        <f t="shared" si="43"/>
        <v>X</v>
      </c>
      <c r="C166" s="1" t="e">
        <f t="shared" si="44"/>
        <v>#N/A</v>
      </c>
      <c r="D166" s="1" t="e">
        <f t="shared" si="45"/>
        <v>#N/A</v>
      </c>
      <c r="E166" s="1" t="e">
        <f t="shared" si="46"/>
        <v>#N/A</v>
      </c>
      <c r="F166" s="1" t="e">
        <f t="shared" si="47"/>
        <v>#N/A</v>
      </c>
      <c r="G166" s="1" t="e">
        <f t="shared" si="48"/>
        <v>#N/A</v>
      </c>
      <c r="H166" s="1" t="e">
        <f t="shared" si="49"/>
        <v>#N/A</v>
      </c>
      <c r="I166" s="1" t="e">
        <f t="shared" si="50"/>
        <v>#N/A</v>
      </c>
      <c r="J166" s="1" t="e">
        <f t="shared" si="51"/>
        <v>#N/A</v>
      </c>
      <c r="K166" s="1" t="e">
        <f t="shared" si="52"/>
        <v>#N/A</v>
      </c>
      <c r="L166" s="1" t="e">
        <f t="shared" si="53"/>
        <v>#N/A</v>
      </c>
      <c r="M166" s="1" t="e">
        <f t="shared" si="54"/>
        <v>#N/A</v>
      </c>
      <c r="N166" s="1" t="e">
        <f t="shared" si="55"/>
        <v>#N/A</v>
      </c>
      <c r="O166" s="1" t="e">
        <f t="shared" si="56"/>
        <v>#N/A</v>
      </c>
      <c r="P166" s="1" t="e">
        <f t="shared" si="57"/>
        <v>#N/A</v>
      </c>
      <c r="Q166" s="1" t="e">
        <f t="shared" si="58"/>
        <v>#N/A</v>
      </c>
      <c r="R166" s="1" t="e">
        <f t="shared" si="59"/>
        <v>#N/A</v>
      </c>
      <c r="S166" s="1" t="e">
        <f t="shared" si="60"/>
        <v>#N/A</v>
      </c>
      <c r="T166" s="1" t="e">
        <f t="shared" si="61"/>
        <v>#N/A</v>
      </c>
      <c r="U166" s="1" t="e">
        <f t="shared" si="62"/>
        <v>#N/A</v>
      </c>
      <c r="V166" s="1" t="e">
        <f t="shared" si="63"/>
        <v>#N/A</v>
      </c>
      <c r="W166" s="1" t="e">
        <f t="shared" si="64"/>
        <v>#N/A</v>
      </c>
      <c r="X166" s="1" t="e">
        <f t="shared" si="65"/>
        <v>#N/A</v>
      </c>
      <c r="Y166" s="1" t="e">
        <f t="shared" si="66"/>
        <v>#N/A</v>
      </c>
      <c r="Z166" s="1" t="e">
        <f t="shared" si="67"/>
        <v>#N/A</v>
      </c>
      <c r="AA166" s="1" t="e">
        <f t="shared" si="68"/>
        <v>#N/A</v>
      </c>
      <c r="AB166" s="1" t="e">
        <f t="shared" si="69"/>
        <v>#N/A</v>
      </c>
      <c r="AC166" s="1" t="e">
        <f t="shared" si="70"/>
        <v>#N/A</v>
      </c>
      <c r="AD166" s="1" t="e">
        <f t="shared" si="71"/>
        <v>#N/A</v>
      </c>
      <c r="AE166" s="1" t="e">
        <f t="shared" si="72"/>
        <v>#N/A</v>
      </c>
      <c r="AF166" s="1" t="e">
        <f t="shared" si="73"/>
        <v>#N/A</v>
      </c>
    </row>
    <row r="167" spans="2:32" hidden="1" x14ac:dyDescent="0.25">
      <c r="B167" s="5" t="str">
        <f t="shared" si="43"/>
        <v>X</v>
      </c>
      <c r="C167" s="1" t="e">
        <f t="shared" si="44"/>
        <v>#N/A</v>
      </c>
      <c r="D167" s="1" t="e">
        <f t="shared" si="45"/>
        <v>#N/A</v>
      </c>
      <c r="E167" s="1" t="e">
        <f t="shared" si="46"/>
        <v>#N/A</v>
      </c>
      <c r="F167" s="1" t="e">
        <f t="shared" si="47"/>
        <v>#N/A</v>
      </c>
      <c r="G167" s="1" t="e">
        <f t="shared" si="48"/>
        <v>#N/A</v>
      </c>
      <c r="H167" s="1" t="e">
        <f t="shared" si="49"/>
        <v>#N/A</v>
      </c>
      <c r="I167" s="1" t="e">
        <f t="shared" si="50"/>
        <v>#N/A</v>
      </c>
      <c r="J167" s="1" t="e">
        <f t="shared" si="51"/>
        <v>#N/A</v>
      </c>
      <c r="K167" s="1" t="e">
        <f t="shared" si="52"/>
        <v>#N/A</v>
      </c>
      <c r="L167" s="1" t="e">
        <f t="shared" si="53"/>
        <v>#N/A</v>
      </c>
      <c r="M167" s="1" t="e">
        <f t="shared" si="54"/>
        <v>#N/A</v>
      </c>
      <c r="N167" s="1" t="e">
        <f t="shared" si="55"/>
        <v>#N/A</v>
      </c>
      <c r="O167" s="1" t="e">
        <f t="shared" si="56"/>
        <v>#N/A</v>
      </c>
      <c r="P167" s="1" t="e">
        <f t="shared" si="57"/>
        <v>#N/A</v>
      </c>
      <c r="Q167" s="1" t="e">
        <f t="shared" si="58"/>
        <v>#N/A</v>
      </c>
      <c r="R167" s="1" t="e">
        <f t="shared" si="59"/>
        <v>#N/A</v>
      </c>
      <c r="S167" s="1" t="e">
        <f t="shared" si="60"/>
        <v>#N/A</v>
      </c>
      <c r="T167" s="1" t="e">
        <f t="shared" si="61"/>
        <v>#N/A</v>
      </c>
      <c r="U167" s="1" t="e">
        <f t="shared" si="62"/>
        <v>#N/A</v>
      </c>
      <c r="V167" s="1" t="e">
        <f t="shared" si="63"/>
        <v>#N/A</v>
      </c>
      <c r="W167" s="1" t="e">
        <f t="shared" si="64"/>
        <v>#N/A</v>
      </c>
      <c r="X167" s="1" t="e">
        <f t="shared" si="65"/>
        <v>#N/A</v>
      </c>
      <c r="Y167" s="1" t="e">
        <f t="shared" si="66"/>
        <v>#N/A</v>
      </c>
      <c r="Z167" s="1" t="e">
        <f t="shared" si="67"/>
        <v>#N/A</v>
      </c>
      <c r="AA167" s="1" t="e">
        <f t="shared" si="68"/>
        <v>#N/A</v>
      </c>
      <c r="AB167" s="1" t="e">
        <f t="shared" si="69"/>
        <v>#N/A</v>
      </c>
      <c r="AC167" s="1" t="e">
        <f t="shared" si="70"/>
        <v>#N/A</v>
      </c>
      <c r="AD167" s="1" t="e">
        <f t="shared" si="71"/>
        <v>#N/A</v>
      </c>
      <c r="AE167" s="1" t="e">
        <f t="shared" si="72"/>
        <v>#N/A</v>
      </c>
      <c r="AF167" s="1" t="e">
        <f t="shared" si="73"/>
        <v>#N/A</v>
      </c>
    </row>
  </sheetData>
  <conditionalFormatting sqref="AH6:BK35">
    <cfRule type="cellIs" dxfId="7" priority="5" operator="between">
      <formula>-0.1</formula>
      <formula>0.1</formula>
    </cfRule>
  </conditionalFormatting>
  <conditionalFormatting sqref="F7">
    <cfRule type="cellIs" dxfId="6" priority="1" operator="between">
      <formula>-0.1</formula>
      <formula>0.1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uto">
                <anchor moveWithCells="1" sizeWithCells="1">
                  <from>
                    <xdr:col>4</xdr:col>
                    <xdr:colOff>19050</xdr:colOff>
                    <xdr:row>12</xdr:row>
                    <xdr:rowOff>9525</xdr:rowOff>
                  </from>
                  <to>
                    <xdr:col>4</xdr:col>
                    <xdr:colOff>809625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anuale">
                <anchor moveWithCells="1" sizeWithCells="1">
                  <from>
                    <xdr:col>4</xdr:col>
                    <xdr:colOff>19050</xdr:colOff>
                    <xdr:row>14</xdr:row>
                    <xdr:rowOff>19050</xdr:rowOff>
                  </from>
                  <to>
                    <xdr:col>4</xdr:col>
                    <xdr:colOff>809625</xdr:colOff>
                    <xdr:row>15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D072B-D9AA-4F3E-B39C-C9D545B4E560}">
  <sheetPr codeName="Foglio2"/>
  <dimension ref="B2:BK167"/>
  <sheetViews>
    <sheetView zoomScaleNormal="100" workbookViewId="0">
      <selection activeCell="D8" sqref="D8"/>
    </sheetView>
  </sheetViews>
  <sheetFormatPr defaultRowHeight="15" x14ac:dyDescent="0.25"/>
  <cols>
    <col min="1" max="1" width="2.5703125" customWidth="1"/>
    <col min="3" max="3" width="10" bestFit="1" customWidth="1"/>
    <col min="4" max="4" width="12.42578125" bestFit="1" customWidth="1"/>
    <col min="5" max="5" width="12.42578125" customWidth="1"/>
    <col min="6" max="6" width="20" bestFit="1" customWidth="1"/>
    <col min="7" max="7" width="12.42578125" customWidth="1"/>
    <col min="8" max="8" width="2.5703125" customWidth="1"/>
    <col min="9" max="9" width="15.28515625" hidden="1" customWidth="1"/>
    <col min="10" max="10" width="8" hidden="1" customWidth="1"/>
    <col min="11" max="11" width="11.140625" hidden="1" customWidth="1"/>
    <col min="12" max="12" width="11.7109375" hidden="1" customWidth="1"/>
    <col min="13" max="13" width="11.140625" hidden="1" customWidth="1"/>
    <col min="14" max="14" width="9.140625" hidden="1" customWidth="1"/>
    <col min="15" max="15" width="11.140625" hidden="1" customWidth="1"/>
    <col min="16" max="16" width="13.85546875" hidden="1" customWidth="1"/>
    <col min="17" max="17" width="11.85546875" customWidth="1"/>
    <col min="18" max="21" width="11.7109375" bestFit="1" customWidth="1"/>
    <col min="22" max="22" width="12.140625" bestFit="1" customWidth="1"/>
    <col min="23" max="23" width="11.7109375" bestFit="1" customWidth="1"/>
    <col min="24" max="31" width="12.140625" bestFit="1" customWidth="1"/>
    <col min="32" max="32" width="2.5703125" customWidth="1"/>
    <col min="34" max="63" width="10.5703125" customWidth="1"/>
  </cols>
  <sheetData>
    <row r="2" spans="2:63" ht="46.5" x14ac:dyDescent="0.7">
      <c r="B2" s="31" t="s">
        <v>7</v>
      </c>
    </row>
    <row r="3" spans="2:63" ht="18" x14ac:dyDescent="0.35">
      <c r="I3" s="7" t="s">
        <v>8</v>
      </c>
      <c r="J3">
        <f>$C$5*(1+$C$9)</f>
        <v>1336.5</v>
      </c>
      <c r="K3">
        <f>$C$5*(1+$C$9)</f>
        <v>1336.5</v>
      </c>
    </row>
    <row r="4" spans="2:63" ht="18" x14ac:dyDescent="0.35">
      <c r="B4" s="4" t="s">
        <v>9</v>
      </c>
      <c r="F4" s="40" t="s">
        <v>10</v>
      </c>
      <c r="I4" s="7" t="s">
        <v>11</v>
      </c>
      <c r="J4">
        <f>$C$5</f>
        <v>1485</v>
      </c>
      <c r="K4">
        <f>$C$5</f>
        <v>1485</v>
      </c>
      <c r="AG4" s="21" t="s">
        <v>12</v>
      </c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3"/>
    </row>
    <row r="5" spans="2:63" ht="18" x14ac:dyDescent="0.35">
      <c r="B5" s="5" t="s">
        <v>11</v>
      </c>
      <c r="C5" s="38">
        <v>1485</v>
      </c>
      <c r="F5" s="38" t="s">
        <v>13</v>
      </c>
      <c r="I5" s="7" t="s">
        <v>14</v>
      </c>
      <c r="J5">
        <f>$C$5*(1+$C$10)</f>
        <v>1633.5000000000002</v>
      </c>
      <c r="K5">
        <f>$C$5*(1+$C$10)</f>
        <v>1633.5000000000002</v>
      </c>
      <c r="AG5" s="20"/>
      <c r="AH5" s="27" t="str">
        <f>$B$19</f>
        <v>fn_1</v>
      </c>
      <c r="AI5" s="27" t="str">
        <f>$B$20</f>
        <v>fn_2</v>
      </c>
      <c r="AJ5" s="27" t="str">
        <f>$B$21</f>
        <v>fn_3</v>
      </c>
      <c r="AK5" s="27" t="str">
        <f>$B$22</f>
        <v>fn_4</v>
      </c>
      <c r="AL5" s="27" t="str">
        <f>$B$23</f>
        <v>fn_5</v>
      </c>
      <c r="AM5" s="27" t="str">
        <f>$B$24</f>
        <v>fn_6</v>
      </c>
      <c r="AN5" s="27" t="str">
        <f>$B$25</f>
        <v>fn_7</v>
      </c>
      <c r="AO5" s="27" t="str">
        <f>$B$26</f>
        <v>fn_8</v>
      </c>
      <c r="AP5" s="27" t="str">
        <f>$B$27</f>
        <v>fn_9</v>
      </c>
      <c r="AQ5" s="27" t="str">
        <f>$B$28</f>
        <v>fn_10</v>
      </c>
      <c r="AR5" s="27" t="str">
        <f>$B$29</f>
        <v>fn_11</v>
      </c>
      <c r="AS5" s="27" t="str">
        <f>$B$30</f>
        <v>fn_12</v>
      </c>
      <c r="AT5" s="27" t="str">
        <f>$B$31</f>
        <v>fn_13</v>
      </c>
      <c r="AU5" s="27" t="str">
        <f>$B$32</f>
        <v>fn_14</v>
      </c>
      <c r="AV5" s="27" t="str">
        <f>$B$33</f>
        <v>fn_15</v>
      </c>
      <c r="AW5" s="27" t="str">
        <f>$B$34</f>
        <v>fn_16</v>
      </c>
      <c r="AX5" s="27" t="str">
        <f>$B$35</f>
        <v>fn_17</v>
      </c>
      <c r="AY5" s="27" t="str">
        <f>$B$36</f>
        <v>fn_18</v>
      </c>
      <c r="AZ5" s="27" t="str">
        <f>$B$37</f>
        <v>fn_19</v>
      </c>
      <c r="BA5" s="27" t="str">
        <f>$B$38</f>
        <v>fn_20</v>
      </c>
      <c r="BB5" s="27" t="str">
        <f>$B$39</f>
        <v>fn_21</v>
      </c>
      <c r="BC5" s="27" t="str">
        <f>$B$40</f>
        <v>fn_22</v>
      </c>
      <c r="BD5" s="27" t="str">
        <f>$B$41</f>
        <v>fn_23</v>
      </c>
      <c r="BE5" s="27" t="str">
        <f>$B$42</f>
        <v>fn_24</v>
      </c>
      <c r="BF5" s="27" t="str">
        <f>$B$43</f>
        <v>fn_25</v>
      </c>
      <c r="BG5" s="27" t="str">
        <f>$B$44</f>
        <v>fn_26</v>
      </c>
      <c r="BH5" s="27" t="str">
        <f>$B$45</f>
        <v>fn_27</v>
      </c>
      <c r="BI5" s="27" t="str">
        <f>$B$46</f>
        <v>fn_28</v>
      </c>
      <c r="BJ5" s="27" t="str">
        <f>$B$47</f>
        <v>fn_29</v>
      </c>
      <c r="BK5" s="27" t="str">
        <f>$B$48</f>
        <v>fn_30</v>
      </c>
    </row>
    <row r="6" spans="2:63" ht="18" x14ac:dyDescent="0.35">
      <c r="B6" s="5" t="s">
        <v>15</v>
      </c>
      <c r="C6" s="38">
        <v>5017</v>
      </c>
      <c r="F6" s="42" t="s">
        <v>16</v>
      </c>
      <c r="I6" s="7" t="s">
        <v>17</v>
      </c>
      <c r="J6">
        <f>$C$6*(1+$C$9)</f>
        <v>4515.3</v>
      </c>
      <c r="K6">
        <f>$C$6*(1+$C$9)</f>
        <v>4515.3</v>
      </c>
      <c r="AG6" s="24" t="str">
        <f>$M19</f>
        <v>1X</v>
      </c>
      <c r="AH6" s="28">
        <f t="shared" ref="AH6:AW21" si="0">(C138-$C$5)/$C$5</f>
        <v>1.4242424242424243</v>
      </c>
      <c r="AI6" s="28">
        <f t="shared" si="0"/>
        <v>2.3670033670033672</v>
      </c>
      <c r="AJ6" s="28" t="e">
        <f t="shared" si="0"/>
        <v>#N/A</v>
      </c>
      <c r="AK6" s="28" t="e">
        <f t="shared" si="0"/>
        <v>#N/A</v>
      </c>
      <c r="AL6" s="28" t="e">
        <f t="shared" si="0"/>
        <v>#N/A</v>
      </c>
      <c r="AM6" s="28" t="e">
        <f t="shared" si="0"/>
        <v>#N/A</v>
      </c>
      <c r="AN6" s="28" t="e">
        <f t="shared" si="0"/>
        <v>#N/A</v>
      </c>
      <c r="AO6" s="28" t="e">
        <f t="shared" si="0"/>
        <v>#N/A</v>
      </c>
      <c r="AP6" s="28" t="e">
        <f t="shared" si="0"/>
        <v>#N/A</v>
      </c>
      <c r="AQ6" s="28" t="e">
        <f t="shared" si="0"/>
        <v>#N/A</v>
      </c>
      <c r="AR6" s="28" t="e">
        <f t="shared" si="0"/>
        <v>#N/A</v>
      </c>
      <c r="AS6" s="28" t="e">
        <f t="shared" si="0"/>
        <v>#N/A</v>
      </c>
      <c r="AT6" s="28" t="e">
        <f t="shared" si="0"/>
        <v>#N/A</v>
      </c>
      <c r="AU6" s="28" t="e">
        <f t="shared" si="0"/>
        <v>#N/A</v>
      </c>
      <c r="AV6" s="28" t="e">
        <f t="shared" si="0"/>
        <v>#N/A</v>
      </c>
      <c r="AW6" s="28" t="e">
        <f t="shared" si="0"/>
        <v>#N/A</v>
      </c>
      <c r="AX6" s="28" t="e">
        <f t="shared" ref="AX6:BK24" si="1">(S138-$C$5)/$C$5</f>
        <v>#N/A</v>
      </c>
      <c r="AY6" s="28" t="e">
        <f t="shared" si="1"/>
        <v>#N/A</v>
      </c>
      <c r="AZ6" s="28" t="e">
        <f t="shared" si="1"/>
        <v>#N/A</v>
      </c>
      <c r="BA6" s="28" t="e">
        <f t="shared" si="1"/>
        <v>#N/A</v>
      </c>
      <c r="BB6" s="28" t="e">
        <f t="shared" si="1"/>
        <v>#N/A</v>
      </c>
      <c r="BC6" s="28" t="e">
        <f t="shared" si="1"/>
        <v>#N/A</v>
      </c>
      <c r="BD6" s="28" t="e">
        <f t="shared" si="1"/>
        <v>#N/A</v>
      </c>
      <c r="BE6" s="28" t="e">
        <f t="shared" si="1"/>
        <v>#N/A</v>
      </c>
      <c r="BF6" s="28" t="e">
        <f t="shared" si="1"/>
        <v>#N/A</v>
      </c>
      <c r="BG6" s="28" t="e">
        <f t="shared" si="1"/>
        <v>#N/A</v>
      </c>
      <c r="BH6" s="28" t="e">
        <f t="shared" si="1"/>
        <v>#N/A</v>
      </c>
      <c r="BI6" s="28" t="e">
        <f t="shared" si="1"/>
        <v>#N/A</v>
      </c>
      <c r="BJ6" s="28" t="e">
        <f t="shared" si="1"/>
        <v>#N/A</v>
      </c>
      <c r="BK6" s="28" t="e">
        <f t="shared" si="1"/>
        <v>#N/A</v>
      </c>
    </row>
    <row r="7" spans="2:63" ht="18" x14ac:dyDescent="0.35">
      <c r="C7" s="1"/>
      <c r="F7" s="41" t="s">
        <v>18</v>
      </c>
      <c r="I7" s="7" t="s">
        <v>15</v>
      </c>
      <c r="J7">
        <f>$C$6</f>
        <v>5017</v>
      </c>
      <c r="K7">
        <f>$C$6</f>
        <v>5017</v>
      </c>
      <c r="AG7" s="25" t="str">
        <f t="shared" ref="AG7:AG35" si="2">$M20</f>
        <v>2X</v>
      </c>
      <c r="AH7" s="29">
        <f t="shared" si="0"/>
        <v>0.21212121212121213</v>
      </c>
      <c r="AI7" s="29">
        <f t="shared" si="0"/>
        <v>0.6835016835016835</v>
      </c>
      <c r="AJ7" s="29">
        <f t="shared" si="0"/>
        <v>1.861952861952862</v>
      </c>
      <c r="AK7" s="29">
        <f t="shared" si="0"/>
        <v>2.5353535353535355</v>
      </c>
      <c r="AL7" s="29" t="e">
        <f t="shared" si="0"/>
        <v>#N/A</v>
      </c>
      <c r="AM7" s="29" t="e">
        <f t="shared" si="0"/>
        <v>#N/A</v>
      </c>
      <c r="AN7" s="29" t="e">
        <f t="shared" si="0"/>
        <v>#N/A</v>
      </c>
      <c r="AO7" s="29" t="e">
        <f t="shared" si="0"/>
        <v>#N/A</v>
      </c>
      <c r="AP7" s="29" t="e">
        <f t="shared" si="0"/>
        <v>#N/A</v>
      </c>
      <c r="AQ7" s="29" t="e">
        <f t="shared" si="0"/>
        <v>#N/A</v>
      </c>
      <c r="AR7" s="29" t="e">
        <f t="shared" si="0"/>
        <v>#N/A</v>
      </c>
      <c r="AS7" s="29" t="e">
        <f t="shared" si="0"/>
        <v>#N/A</v>
      </c>
      <c r="AT7" s="29" t="e">
        <f t="shared" si="0"/>
        <v>#N/A</v>
      </c>
      <c r="AU7" s="29" t="e">
        <f t="shared" si="0"/>
        <v>#N/A</v>
      </c>
      <c r="AV7" s="29" t="e">
        <f t="shared" si="0"/>
        <v>#N/A</v>
      </c>
      <c r="AW7" s="29" t="e">
        <f t="shared" si="0"/>
        <v>#N/A</v>
      </c>
      <c r="AX7" s="29" t="e">
        <f t="shared" si="1"/>
        <v>#N/A</v>
      </c>
      <c r="AY7" s="29" t="e">
        <f t="shared" si="1"/>
        <v>#N/A</v>
      </c>
      <c r="AZ7" s="29" t="e">
        <f t="shared" si="1"/>
        <v>#N/A</v>
      </c>
      <c r="BA7" s="29" t="e">
        <f t="shared" si="1"/>
        <v>#N/A</v>
      </c>
      <c r="BB7" s="29" t="e">
        <f t="shared" si="1"/>
        <v>#N/A</v>
      </c>
      <c r="BC7" s="29" t="e">
        <f t="shared" si="1"/>
        <v>#N/A</v>
      </c>
      <c r="BD7" s="29" t="e">
        <f t="shared" si="1"/>
        <v>#N/A</v>
      </c>
      <c r="BE7" s="29" t="e">
        <f t="shared" si="1"/>
        <v>#N/A</v>
      </c>
      <c r="BF7" s="29" t="e">
        <f t="shared" si="1"/>
        <v>#N/A</v>
      </c>
      <c r="BG7" s="29" t="e">
        <f t="shared" si="1"/>
        <v>#N/A</v>
      </c>
      <c r="BH7" s="29" t="e">
        <f t="shared" si="1"/>
        <v>#N/A</v>
      </c>
      <c r="BI7" s="29" t="e">
        <f t="shared" si="1"/>
        <v>#N/A</v>
      </c>
      <c r="BJ7" s="29" t="e">
        <f t="shared" si="1"/>
        <v>#N/A</v>
      </c>
      <c r="BK7" s="29" t="e">
        <f t="shared" si="1"/>
        <v>#N/A</v>
      </c>
    </row>
    <row r="8" spans="2:63" ht="18" x14ac:dyDescent="0.35">
      <c r="B8" s="4" t="s">
        <v>19</v>
      </c>
      <c r="I8" s="7" t="s">
        <v>20</v>
      </c>
      <c r="J8">
        <f>$C$6*(1+$C$10)</f>
        <v>5518.7000000000007</v>
      </c>
      <c r="K8">
        <f>$C$6*(1+$C$10)</f>
        <v>5518.7000000000007</v>
      </c>
      <c r="AG8" s="25" t="str">
        <f t="shared" si="2"/>
        <v>5X</v>
      </c>
      <c r="AH8" s="29">
        <f t="shared" si="0"/>
        <v>-0.51515151515151514</v>
      </c>
      <c r="AI8" s="29">
        <f t="shared" si="0"/>
        <v>-0.32659932659932661</v>
      </c>
      <c r="AJ8" s="29">
        <f t="shared" si="0"/>
        <v>0.14478114478114479</v>
      </c>
      <c r="AK8" s="29">
        <f t="shared" si="0"/>
        <v>0.41414141414141414</v>
      </c>
      <c r="AL8" s="29">
        <f t="shared" si="0"/>
        <v>0.6835016835016835</v>
      </c>
      <c r="AM8" s="29" t="e">
        <f t="shared" si="0"/>
        <v>#N/A</v>
      </c>
      <c r="AN8" s="29" t="e">
        <f t="shared" si="0"/>
        <v>#N/A</v>
      </c>
      <c r="AO8" s="29" t="e">
        <f t="shared" si="0"/>
        <v>#N/A</v>
      </c>
      <c r="AP8" s="29" t="e">
        <f t="shared" si="0"/>
        <v>#N/A</v>
      </c>
      <c r="AQ8" s="29" t="e">
        <f t="shared" si="0"/>
        <v>#N/A</v>
      </c>
      <c r="AR8" s="29" t="e">
        <f t="shared" si="0"/>
        <v>#N/A</v>
      </c>
      <c r="AS8" s="29" t="e">
        <f t="shared" si="0"/>
        <v>#N/A</v>
      </c>
      <c r="AT8" s="29" t="e">
        <f t="shared" si="0"/>
        <v>#N/A</v>
      </c>
      <c r="AU8" s="29" t="e">
        <f t="shared" si="0"/>
        <v>#N/A</v>
      </c>
      <c r="AV8" s="29" t="e">
        <f t="shared" si="0"/>
        <v>#N/A</v>
      </c>
      <c r="AW8" s="29" t="e">
        <f t="shared" si="0"/>
        <v>#N/A</v>
      </c>
      <c r="AX8" s="29" t="e">
        <f t="shared" si="1"/>
        <v>#N/A</v>
      </c>
      <c r="AY8" s="29" t="e">
        <f t="shared" si="1"/>
        <v>#N/A</v>
      </c>
      <c r="AZ8" s="29" t="e">
        <f t="shared" si="1"/>
        <v>#N/A</v>
      </c>
      <c r="BA8" s="29" t="e">
        <f t="shared" si="1"/>
        <v>#N/A</v>
      </c>
      <c r="BB8" s="29" t="e">
        <f t="shared" si="1"/>
        <v>#N/A</v>
      </c>
      <c r="BC8" s="29" t="e">
        <f t="shared" si="1"/>
        <v>#N/A</v>
      </c>
      <c r="BD8" s="29" t="e">
        <f t="shared" si="1"/>
        <v>#N/A</v>
      </c>
      <c r="BE8" s="29" t="e">
        <f t="shared" si="1"/>
        <v>#N/A</v>
      </c>
      <c r="BF8" s="29" t="e">
        <f t="shared" si="1"/>
        <v>#N/A</v>
      </c>
      <c r="BG8" s="29" t="e">
        <f t="shared" si="1"/>
        <v>#N/A</v>
      </c>
      <c r="BH8" s="29" t="e">
        <f t="shared" si="1"/>
        <v>#N/A</v>
      </c>
      <c r="BI8" s="29" t="e">
        <f t="shared" si="1"/>
        <v>#N/A</v>
      </c>
      <c r="BJ8" s="29" t="e">
        <f t="shared" si="1"/>
        <v>#N/A</v>
      </c>
      <c r="BK8" s="29" t="e">
        <f t="shared" si="1"/>
        <v>#N/A</v>
      </c>
    </row>
    <row r="9" spans="2:63" x14ac:dyDescent="0.25">
      <c r="B9" s="5" t="s">
        <v>21</v>
      </c>
      <c r="C9" s="39">
        <v>-0.1</v>
      </c>
      <c r="AG9" s="25" t="str">
        <f t="shared" si="2"/>
        <v>X</v>
      </c>
      <c r="AH9" s="29" t="e">
        <f t="shared" si="0"/>
        <v>#N/A</v>
      </c>
      <c r="AI9" s="29" t="e">
        <f t="shared" si="0"/>
        <v>#N/A</v>
      </c>
      <c r="AJ9" s="29" t="e">
        <f t="shared" si="0"/>
        <v>#N/A</v>
      </c>
      <c r="AK9" s="29" t="e">
        <f t="shared" si="0"/>
        <v>#N/A</v>
      </c>
      <c r="AL9" s="29" t="e">
        <f t="shared" si="0"/>
        <v>#N/A</v>
      </c>
      <c r="AM9" s="29" t="e">
        <f t="shared" si="0"/>
        <v>#N/A</v>
      </c>
      <c r="AN9" s="29" t="e">
        <f t="shared" si="0"/>
        <v>#N/A</v>
      </c>
      <c r="AO9" s="29" t="e">
        <f t="shared" si="0"/>
        <v>#N/A</v>
      </c>
      <c r="AP9" s="29" t="e">
        <f t="shared" si="0"/>
        <v>#N/A</v>
      </c>
      <c r="AQ9" s="29" t="e">
        <f t="shared" si="0"/>
        <v>#N/A</v>
      </c>
      <c r="AR9" s="29" t="e">
        <f t="shared" si="0"/>
        <v>#N/A</v>
      </c>
      <c r="AS9" s="29" t="e">
        <f t="shared" si="0"/>
        <v>#N/A</v>
      </c>
      <c r="AT9" s="29" t="e">
        <f t="shared" si="0"/>
        <v>#N/A</v>
      </c>
      <c r="AU9" s="29" t="e">
        <f t="shared" si="0"/>
        <v>#N/A</v>
      </c>
      <c r="AV9" s="29" t="e">
        <f t="shared" si="0"/>
        <v>#N/A</v>
      </c>
      <c r="AW9" s="29" t="e">
        <f t="shared" si="0"/>
        <v>#N/A</v>
      </c>
      <c r="AX9" s="29" t="e">
        <f t="shared" si="1"/>
        <v>#N/A</v>
      </c>
      <c r="AY9" s="29" t="e">
        <f t="shared" si="1"/>
        <v>#N/A</v>
      </c>
      <c r="AZ9" s="29" t="e">
        <f t="shared" si="1"/>
        <v>#N/A</v>
      </c>
      <c r="BA9" s="29" t="e">
        <f t="shared" si="1"/>
        <v>#N/A</v>
      </c>
      <c r="BB9" s="29" t="e">
        <f t="shared" si="1"/>
        <v>#N/A</v>
      </c>
      <c r="BC9" s="29" t="e">
        <f t="shared" si="1"/>
        <v>#N/A</v>
      </c>
      <c r="BD9" s="29" t="e">
        <f t="shared" si="1"/>
        <v>#N/A</v>
      </c>
      <c r="BE9" s="29" t="e">
        <f t="shared" si="1"/>
        <v>#N/A</v>
      </c>
      <c r="BF9" s="29" t="e">
        <f t="shared" si="1"/>
        <v>#N/A</v>
      </c>
      <c r="BG9" s="29" t="e">
        <f t="shared" si="1"/>
        <v>#N/A</v>
      </c>
      <c r="BH9" s="29" t="e">
        <f t="shared" si="1"/>
        <v>#N/A</v>
      </c>
      <c r="BI9" s="29" t="e">
        <f t="shared" si="1"/>
        <v>#N/A</v>
      </c>
      <c r="BJ9" s="29" t="e">
        <f t="shared" si="1"/>
        <v>#N/A</v>
      </c>
      <c r="BK9" s="29" t="e">
        <f t="shared" si="1"/>
        <v>#N/A</v>
      </c>
    </row>
    <row r="10" spans="2:63" x14ac:dyDescent="0.25">
      <c r="B10" s="5" t="s">
        <v>22</v>
      </c>
      <c r="C10" s="39">
        <v>0.1</v>
      </c>
      <c r="AG10" s="25" t="str">
        <f t="shared" si="2"/>
        <v>X</v>
      </c>
      <c r="AH10" s="29" t="e">
        <f t="shared" si="0"/>
        <v>#N/A</v>
      </c>
      <c r="AI10" s="29" t="e">
        <f t="shared" si="0"/>
        <v>#N/A</v>
      </c>
      <c r="AJ10" s="29" t="e">
        <f t="shared" si="0"/>
        <v>#N/A</v>
      </c>
      <c r="AK10" s="29" t="e">
        <f t="shared" si="0"/>
        <v>#N/A</v>
      </c>
      <c r="AL10" s="29" t="e">
        <f t="shared" si="0"/>
        <v>#N/A</v>
      </c>
      <c r="AM10" s="29" t="e">
        <f t="shared" si="0"/>
        <v>#N/A</v>
      </c>
      <c r="AN10" s="29" t="e">
        <f t="shared" si="0"/>
        <v>#N/A</v>
      </c>
      <c r="AO10" s="29" t="e">
        <f t="shared" si="0"/>
        <v>#N/A</v>
      </c>
      <c r="AP10" s="29" t="e">
        <f t="shared" si="0"/>
        <v>#N/A</v>
      </c>
      <c r="AQ10" s="29" t="e">
        <f t="shared" si="0"/>
        <v>#N/A</v>
      </c>
      <c r="AR10" s="29" t="e">
        <f t="shared" si="0"/>
        <v>#N/A</v>
      </c>
      <c r="AS10" s="29" t="e">
        <f t="shared" si="0"/>
        <v>#N/A</v>
      </c>
      <c r="AT10" s="29" t="e">
        <f t="shared" si="0"/>
        <v>#N/A</v>
      </c>
      <c r="AU10" s="29" t="e">
        <f t="shared" si="0"/>
        <v>#N/A</v>
      </c>
      <c r="AV10" s="29" t="e">
        <f t="shared" si="0"/>
        <v>#N/A</v>
      </c>
      <c r="AW10" s="29" t="e">
        <f t="shared" si="0"/>
        <v>#N/A</v>
      </c>
      <c r="AX10" s="29" t="e">
        <f t="shared" si="1"/>
        <v>#N/A</v>
      </c>
      <c r="AY10" s="29" t="e">
        <f t="shared" si="1"/>
        <v>#N/A</v>
      </c>
      <c r="AZ10" s="29" t="e">
        <f t="shared" si="1"/>
        <v>#N/A</v>
      </c>
      <c r="BA10" s="29" t="e">
        <f t="shared" si="1"/>
        <v>#N/A</v>
      </c>
      <c r="BB10" s="29" t="e">
        <f t="shared" si="1"/>
        <v>#N/A</v>
      </c>
      <c r="BC10" s="29" t="e">
        <f t="shared" si="1"/>
        <v>#N/A</v>
      </c>
      <c r="BD10" s="29" t="e">
        <f t="shared" si="1"/>
        <v>#N/A</v>
      </c>
      <c r="BE10" s="29" t="e">
        <f t="shared" si="1"/>
        <v>#N/A</v>
      </c>
      <c r="BF10" s="29" t="e">
        <f t="shared" si="1"/>
        <v>#N/A</v>
      </c>
      <c r="BG10" s="29" t="e">
        <f t="shared" si="1"/>
        <v>#N/A</v>
      </c>
      <c r="BH10" s="29" t="e">
        <f t="shared" si="1"/>
        <v>#N/A</v>
      </c>
      <c r="BI10" s="29" t="e">
        <f t="shared" si="1"/>
        <v>#N/A</v>
      </c>
      <c r="BJ10" s="29" t="e">
        <f t="shared" si="1"/>
        <v>#N/A</v>
      </c>
      <c r="BK10" s="29" t="e">
        <f t="shared" si="1"/>
        <v>#N/A</v>
      </c>
    </row>
    <row r="11" spans="2:63" x14ac:dyDescent="0.25">
      <c r="M11" s="7" t="s">
        <v>23</v>
      </c>
      <c r="N11" s="8">
        <f>$G$15*(1+$C$9)</f>
        <v>2700</v>
      </c>
      <c r="O11" s="8">
        <f>$G$15*(1+$C$9)</f>
        <v>2700</v>
      </c>
      <c r="AG11" s="25" t="str">
        <f t="shared" si="2"/>
        <v>X</v>
      </c>
      <c r="AH11" s="29" t="e">
        <f t="shared" si="0"/>
        <v>#N/A</v>
      </c>
      <c r="AI11" s="29" t="e">
        <f t="shared" si="0"/>
        <v>#N/A</v>
      </c>
      <c r="AJ11" s="29" t="e">
        <f t="shared" si="0"/>
        <v>#N/A</v>
      </c>
      <c r="AK11" s="29" t="e">
        <f t="shared" si="0"/>
        <v>#N/A</v>
      </c>
      <c r="AL11" s="29" t="e">
        <f t="shared" si="0"/>
        <v>#N/A</v>
      </c>
      <c r="AM11" s="29" t="e">
        <f t="shared" si="0"/>
        <v>#N/A</v>
      </c>
      <c r="AN11" s="29" t="e">
        <f t="shared" si="0"/>
        <v>#N/A</v>
      </c>
      <c r="AO11" s="29" t="e">
        <f t="shared" si="0"/>
        <v>#N/A</v>
      </c>
      <c r="AP11" s="29" t="e">
        <f t="shared" si="0"/>
        <v>#N/A</v>
      </c>
      <c r="AQ11" s="29" t="e">
        <f t="shared" si="0"/>
        <v>#N/A</v>
      </c>
      <c r="AR11" s="29" t="e">
        <f t="shared" si="0"/>
        <v>#N/A</v>
      </c>
      <c r="AS11" s="29" t="e">
        <f t="shared" si="0"/>
        <v>#N/A</v>
      </c>
      <c r="AT11" s="29" t="e">
        <f t="shared" si="0"/>
        <v>#N/A</v>
      </c>
      <c r="AU11" s="29" t="e">
        <f t="shared" si="0"/>
        <v>#N/A</v>
      </c>
      <c r="AV11" s="29" t="e">
        <f t="shared" si="0"/>
        <v>#N/A</v>
      </c>
      <c r="AW11" s="29" t="e">
        <f t="shared" si="0"/>
        <v>#N/A</v>
      </c>
      <c r="AX11" s="29" t="e">
        <f t="shared" si="1"/>
        <v>#N/A</v>
      </c>
      <c r="AY11" s="29" t="e">
        <f t="shared" si="1"/>
        <v>#N/A</v>
      </c>
      <c r="AZ11" s="29" t="e">
        <f t="shared" si="1"/>
        <v>#N/A</v>
      </c>
      <c r="BA11" s="29" t="e">
        <f t="shared" si="1"/>
        <v>#N/A</v>
      </c>
      <c r="BB11" s="29" t="e">
        <f t="shared" si="1"/>
        <v>#N/A</v>
      </c>
      <c r="BC11" s="29" t="e">
        <f t="shared" si="1"/>
        <v>#N/A</v>
      </c>
      <c r="BD11" s="29" t="e">
        <f t="shared" si="1"/>
        <v>#N/A</v>
      </c>
      <c r="BE11" s="29" t="e">
        <f t="shared" si="1"/>
        <v>#N/A</v>
      </c>
      <c r="BF11" s="29" t="e">
        <f t="shared" si="1"/>
        <v>#N/A</v>
      </c>
      <c r="BG11" s="29" t="e">
        <f t="shared" si="1"/>
        <v>#N/A</v>
      </c>
      <c r="BH11" s="29" t="e">
        <f t="shared" si="1"/>
        <v>#N/A</v>
      </c>
      <c r="BI11" s="29" t="e">
        <f t="shared" si="1"/>
        <v>#N/A</v>
      </c>
      <c r="BJ11" s="29" t="e">
        <f t="shared" si="1"/>
        <v>#N/A</v>
      </c>
      <c r="BK11" s="29" t="e">
        <f t="shared" si="1"/>
        <v>#N/A</v>
      </c>
    </row>
    <row r="12" spans="2:63" x14ac:dyDescent="0.25">
      <c r="B12" s="4" t="s">
        <v>24</v>
      </c>
      <c r="M12" s="7" t="s">
        <v>25</v>
      </c>
      <c r="N12" s="8">
        <f>$G$15</f>
        <v>3000</v>
      </c>
      <c r="O12" s="8">
        <f>$G$15</f>
        <v>3000</v>
      </c>
      <c r="AG12" s="25" t="str">
        <f t="shared" si="2"/>
        <v>X</v>
      </c>
      <c r="AH12" s="29" t="e">
        <f t="shared" si="0"/>
        <v>#N/A</v>
      </c>
      <c r="AI12" s="29" t="e">
        <f t="shared" si="0"/>
        <v>#N/A</v>
      </c>
      <c r="AJ12" s="29" t="e">
        <f t="shared" si="0"/>
        <v>#N/A</v>
      </c>
      <c r="AK12" s="29" t="e">
        <f t="shared" si="0"/>
        <v>#N/A</v>
      </c>
      <c r="AL12" s="29" t="e">
        <f t="shared" si="0"/>
        <v>#N/A</v>
      </c>
      <c r="AM12" s="29" t="e">
        <f t="shared" si="0"/>
        <v>#N/A</v>
      </c>
      <c r="AN12" s="29" t="e">
        <f t="shared" si="0"/>
        <v>#N/A</v>
      </c>
      <c r="AO12" s="29" t="e">
        <f t="shared" si="0"/>
        <v>#N/A</v>
      </c>
      <c r="AP12" s="29" t="e">
        <f t="shared" si="0"/>
        <v>#N/A</v>
      </c>
      <c r="AQ12" s="29" t="e">
        <f t="shared" si="0"/>
        <v>#N/A</v>
      </c>
      <c r="AR12" s="29" t="e">
        <f t="shared" si="0"/>
        <v>#N/A</v>
      </c>
      <c r="AS12" s="29" t="e">
        <f t="shared" si="0"/>
        <v>#N/A</v>
      </c>
      <c r="AT12" s="29" t="e">
        <f t="shared" si="0"/>
        <v>#N/A</v>
      </c>
      <c r="AU12" s="29" t="e">
        <f t="shared" si="0"/>
        <v>#N/A</v>
      </c>
      <c r="AV12" s="29" t="e">
        <f t="shared" si="0"/>
        <v>#N/A</v>
      </c>
      <c r="AW12" s="29" t="e">
        <f t="shared" si="0"/>
        <v>#N/A</v>
      </c>
      <c r="AX12" s="29" t="e">
        <f t="shared" si="1"/>
        <v>#N/A</v>
      </c>
      <c r="AY12" s="29" t="e">
        <f t="shared" si="1"/>
        <v>#N/A</v>
      </c>
      <c r="AZ12" s="29" t="e">
        <f t="shared" si="1"/>
        <v>#N/A</v>
      </c>
      <c r="BA12" s="29" t="e">
        <f t="shared" si="1"/>
        <v>#N/A</v>
      </c>
      <c r="BB12" s="29" t="e">
        <f t="shared" si="1"/>
        <v>#N/A</v>
      </c>
      <c r="BC12" s="29" t="e">
        <f t="shared" si="1"/>
        <v>#N/A</v>
      </c>
      <c r="BD12" s="29" t="e">
        <f t="shared" si="1"/>
        <v>#N/A</v>
      </c>
      <c r="BE12" s="29" t="e">
        <f t="shared" si="1"/>
        <v>#N/A</v>
      </c>
      <c r="BF12" s="29" t="e">
        <f t="shared" si="1"/>
        <v>#N/A</v>
      </c>
      <c r="BG12" s="29" t="e">
        <f t="shared" si="1"/>
        <v>#N/A</v>
      </c>
      <c r="BH12" s="29" t="e">
        <f t="shared" si="1"/>
        <v>#N/A</v>
      </c>
      <c r="BI12" s="29" t="e">
        <f t="shared" si="1"/>
        <v>#N/A</v>
      </c>
      <c r="BJ12" s="29" t="e">
        <f t="shared" si="1"/>
        <v>#N/A</v>
      </c>
      <c r="BK12" s="29" t="e">
        <f t="shared" si="1"/>
        <v>#N/A</v>
      </c>
    </row>
    <row r="13" spans="2:63" ht="18" x14ac:dyDescent="0.35">
      <c r="B13" s="5" t="s">
        <v>26</v>
      </c>
      <c r="C13" s="38">
        <v>0</v>
      </c>
      <c r="M13" s="7" t="s">
        <v>27</v>
      </c>
      <c r="N13" s="9">
        <f>$G$15*(1+$C$10)</f>
        <v>3300.0000000000005</v>
      </c>
      <c r="O13" s="9">
        <f>$G$15*(1+$C$10)</f>
        <v>3300.0000000000005</v>
      </c>
      <c r="AG13" s="25" t="str">
        <f t="shared" si="2"/>
        <v>X</v>
      </c>
      <c r="AH13" s="29" t="e">
        <f t="shared" si="0"/>
        <v>#N/A</v>
      </c>
      <c r="AI13" s="29" t="e">
        <f t="shared" si="0"/>
        <v>#N/A</v>
      </c>
      <c r="AJ13" s="29" t="e">
        <f t="shared" si="0"/>
        <v>#N/A</v>
      </c>
      <c r="AK13" s="29" t="e">
        <f t="shared" si="0"/>
        <v>#N/A</v>
      </c>
      <c r="AL13" s="29" t="e">
        <f t="shared" si="0"/>
        <v>#N/A</v>
      </c>
      <c r="AM13" s="29" t="e">
        <f t="shared" si="0"/>
        <v>#N/A</v>
      </c>
      <c r="AN13" s="29" t="e">
        <f t="shared" si="0"/>
        <v>#N/A</v>
      </c>
      <c r="AO13" s="29" t="e">
        <f t="shared" si="0"/>
        <v>#N/A</v>
      </c>
      <c r="AP13" s="29" t="e">
        <f t="shared" si="0"/>
        <v>#N/A</v>
      </c>
      <c r="AQ13" s="29" t="e">
        <f t="shared" si="0"/>
        <v>#N/A</v>
      </c>
      <c r="AR13" s="29" t="e">
        <f t="shared" si="0"/>
        <v>#N/A</v>
      </c>
      <c r="AS13" s="29" t="e">
        <f t="shared" si="0"/>
        <v>#N/A</v>
      </c>
      <c r="AT13" s="29" t="e">
        <f t="shared" si="0"/>
        <v>#N/A</v>
      </c>
      <c r="AU13" s="29" t="e">
        <f t="shared" si="0"/>
        <v>#N/A</v>
      </c>
      <c r="AV13" s="29" t="e">
        <f t="shared" si="0"/>
        <v>#N/A</v>
      </c>
      <c r="AW13" s="29" t="e">
        <f t="shared" si="0"/>
        <v>#N/A</v>
      </c>
      <c r="AX13" s="29" t="e">
        <f t="shared" si="1"/>
        <v>#N/A</v>
      </c>
      <c r="AY13" s="29" t="e">
        <f t="shared" si="1"/>
        <v>#N/A</v>
      </c>
      <c r="AZ13" s="29" t="e">
        <f t="shared" si="1"/>
        <v>#N/A</v>
      </c>
      <c r="BA13" s="29" t="e">
        <f t="shared" si="1"/>
        <v>#N/A</v>
      </c>
      <c r="BB13" s="29" t="e">
        <f t="shared" si="1"/>
        <v>#N/A</v>
      </c>
      <c r="BC13" s="29" t="e">
        <f t="shared" si="1"/>
        <v>#N/A</v>
      </c>
      <c r="BD13" s="29" t="e">
        <f t="shared" si="1"/>
        <v>#N/A</v>
      </c>
      <c r="BE13" s="29" t="e">
        <f t="shared" si="1"/>
        <v>#N/A</v>
      </c>
      <c r="BF13" s="29" t="e">
        <f t="shared" si="1"/>
        <v>#N/A</v>
      </c>
      <c r="BG13" s="29" t="e">
        <f t="shared" si="1"/>
        <v>#N/A</v>
      </c>
      <c r="BH13" s="29" t="e">
        <f t="shared" si="1"/>
        <v>#N/A</v>
      </c>
      <c r="BI13" s="29" t="e">
        <f t="shared" si="1"/>
        <v>#N/A</v>
      </c>
      <c r="BJ13" s="29" t="e">
        <f t="shared" si="1"/>
        <v>#N/A</v>
      </c>
      <c r="BK13" s="29" t="e">
        <f t="shared" si="1"/>
        <v>#N/A</v>
      </c>
    </row>
    <row r="14" spans="2:63" ht="18" x14ac:dyDescent="0.35">
      <c r="B14" s="5" t="s">
        <v>28</v>
      </c>
      <c r="C14" s="38">
        <v>6000</v>
      </c>
      <c r="D14" s="12" t="s">
        <v>29</v>
      </c>
      <c r="F14" s="4" t="s">
        <v>30</v>
      </c>
      <c r="G14" s="4"/>
      <c r="M14" s="7" t="s">
        <v>31</v>
      </c>
      <c r="N14" s="8">
        <f>$G$16*(1+$C$9)</f>
        <v>5400</v>
      </c>
      <c r="O14" s="8">
        <f>$G$16*(1+$C$9)</f>
        <v>5400</v>
      </c>
      <c r="AG14" s="25" t="str">
        <f t="shared" si="2"/>
        <v>X</v>
      </c>
      <c r="AH14" s="29" t="e">
        <f t="shared" si="0"/>
        <v>#N/A</v>
      </c>
      <c r="AI14" s="29" t="e">
        <f t="shared" si="0"/>
        <v>#N/A</v>
      </c>
      <c r="AJ14" s="29" t="e">
        <f t="shared" si="0"/>
        <v>#N/A</v>
      </c>
      <c r="AK14" s="29" t="e">
        <f t="shared" si="0"/>
        <v>#N/A</v>
      </c>
      <c r="AL14" s="29" t="e">
        <f t="shared" si="0"/>
        <v>#N/A</v>
      </c>
      <c r="AM14" s="29" t="e">
        <f t="shared" si="0"/>
        <v>#N/A</v>
      </c>
      <c r="AN14" s="29" t="e">
        <f t="shared" si="0"/>
        <v>#N/A</v>
      </c>
      <c r="AO14" s="29" t="e">
        <f t="shared" si="0"/>
        <v>#N/A</v>
      </c>
      <c r="AP14" s="29" t="e">
        <f t="shared" si="0"/>
        <v>#N/A</v>
      </c>
      <c r="AQ14" s="29" t="e">
        <f t="shared" si="0"/>
        <v>#N/A</v>
      </c>
      <c r="AR14" s="29" t="e">
        <f t="shared" si="0"/>
        <v>#N/A</v>
      </c>
      <c r="AS14" s="29" t="e">
        <f t="shared" si="0"/>
        <v>#N/A</v>
      </c>
      <c r="AT14" s="29" t="e">
        <f t="shared" si="0"/>
        <v>#N/A</v>
      </c>
      <c r="AU14" s="29" t="e">
        <f t="shared" si="0"/>
        <v>#N/A</v>
      </c>
      <c r="AV14" s="29" t="e">
        <f t="shared" si="0"/>
        <v>#N/A</v>
      </c>
      <c r="AW14" s="29" t="e">
        <f t="shared" si="0"/>
        <v>#N/A</v>
      </c>
      <c r="AX14" s="29" t="e">
        <f t="shared" si="1"/>
        <v>#N/A</v>
      </c>
      <c r="AY14" s="29" t="e">
        <f t="shared" si="1"/>
        <v>#N/A</v>
      </c>
      <c r="AZ14" s="29" t="e">
        <f t="shared" si="1"/>
        <v>#N/A</v>
      </c>
      <c r="BA14" s="29" t="e">
        <f t="shared" si="1"/>
        <v>#N/A</v>
      </c>
      <c r="BB14" s="29" t="e">
        <f t="shared" si="1"/>
        <v>#N/A</v>
      </c>
      <c r="BC14" s="29" t="e">
        <f t="shared" si="1"/>
        <v>#N/A</v>
      </c>
      <c r="BD14" s="29" t="e">
        <f t="shared" si="1"/>
        <v>#N/A</v>
      </c>
      <c r="BE14" s="29" t="e">
        <f t="shared" si="1"/>
        <v>#N/A</v>
      </c>
      <c r="BF14" s="29" t="e">
        <f t="shared" si="1"/>
        <v>#N/A</v>
      </c>
      <c r="BG14" s="29" t="e">
        <f t="shared" si="1"/>
        <v>#N/A</v>
      </c>
      <c r="BH14" s="29" t="e">
        <f t="shared" si="1"/>
        <v>#N/A</v>
      </c>
      <c r="BI14" s="29" t="e">
        <f t="shared" si="1"/>
        <v>#N/A</v>
      </c>
      <c r="BJ14" s="29" t="e">
        <f t="shared" si="1"/>
        <v>#N/A</v>
      </c>
      <c r="BK14" s="29" t="e">
        <f t="shared" si="1"/>
        <v>#N/A</v>
      </c>
    </row>
    <row r="15" spans="2:63" ht="18" x14ac:dyDescent="0.35">
      <c r="B15" s="5" t="s">
        <v>32</v>
      </c>
      <c r="C15" s="38">
        <v>0</v>
      </c>
      <c r="D15" s="1"/>
      <c r="E15" s="6"/>
      <c r="F15" s="5" t="s">
        <v>25</v>
      </c>
      <c r="G15" s="38">
        <v>3000</v>
      </c>
      <c r="I15" t="s">
        <v>33</v>
      </c>
      <c r="J15">
        <v>0</v>
      </c>
      <c r="K15">
        <f>C14</f>
        <v>6000</v>
      </c>
      <c r="M15" s="7" t="s">
        <v>34</v>
      </c>
      <c r="N15" s="8">
        <f>$G$16</f>
        <v>6000</v>
      </c>
      <c r="O15" s="8">
        <f>$G$16</f>
        <v>6000</v>
      </c>
      <c r="AG15" s="25" t="str">
        <f t="shared" si="2"/>
        <v>X</v>
      </c>
      <c r="AH15" s="29" t="e">
        <f t="shared" si="0"/>
        <v>#N/A</v>
      </c>
      <c r="AI15" s="29" t="e">
        <f t="shared" si="0"/>
        <v>#N/A</v>
      </c>
      <c r="AJ15" s="29" t="e">
        <f t="shared" si="0"/>
        <v>#N/A</v>
      </c>
      <c r="AK15" s="29" t="e">
        <f t="shared" si="0"/>
        <v>#N/A</v>
      </c>
      <c r="AL15" s="29" t="e">
        <f t="shared" si="0"/>
        <v>#N/A</v>
      </c>
      <c r="AM15" s="29" t="e">
        <f t="shared" si="0"/>
        <v>#N/A</v>
      </c>
      <c r="AN15" s="29" t="e">
        <f t="shared" si="0"/>
        <v>#N/A</v>
      </c>
      <c r="AO15" s="29" t="e">
        <f t="shared" si="0"/>
        <v>#N/A</v>
      </c>
      <c r="AP15" s="29" t="e">
        <f t="shared" si="0"/>
        <v>#N/A</v>
      </c>
      <c r="AQ15" s="29" t="e">
        <f t="shared" si="0"/>
        <v>#N/A</v>
      </c>
      <c r="AR15" s="29" t="e">
        <f t="shared" si="0"/>
        <v>#N/A</v>
      </c>
      <c r="AS15" s="29" t="e">
        <f t="shared" si="0"/>
        <v>#N/A</v>
      </c>
      <c r="AT15" s="29" t="e">
        <f t="shared" si="0"/>
        <v>#N/A</v>
      </c>
      <c r="AU15" s="29" t="e">
        <f t="shared" si="0"/>
        <v>#N/A</v>
      </c>
      <c r="AV15" s="29" t="e">
        <f t="shared" si="0"/>
        <v>#N/A</v>
      </c>
      <c r="AW15" s="29" t="e">
        <f t="shared" si="0"/>
        <v>#N/A</v>
      </c>
      <c r="AX15" s="29" t="e">
        <f t="shared" si="1"/>
        <v>#N/A</v>
      </c>
      <c r="AY15" s="29" t="e">
        <f t="shared" si="1"/>
        <v>#N/A</v>
      </c>
      <c r="AZ15" s="29" t="e">
        <f t="shared" si="1"/>
        <v>#N/A</v>
      </c>
      <c r="BA15" s="29" t="e">
        <f t="shared" si="1"/>
        <v>#N/A</v>
      </c>
      <c r="BB15" s="29" t="e">
        <f t="shared" si="1"/>
        <v>#N/A</v>
      </c>
      <c r="BC15" s="29" t="e">
        <f t="shared" si="1"/>
        <v>#N/A</v>
      </c>
      <c r="BD15" s="29" t="e">
        <f t="shared" si="1"/>
        <v>#N/A</v>
      </c>
      <c r="BE15" s="29" t="e">
        <f t="shared" si="1"/>
        <v>#N/A</v>
      </c>
      <c r="BF15" s="29" t="e">
        <f t="shared" si="1"/>
        <v>#N/A</v>
      </c>
      <c r="BG15" s="29" t="e">
        <f t="shared" si="1"/>
        <v>#N/A</v>
      </c>
      <c r="BH15" s="29" t="e">
        <f t="shared" si="1"/>
        <v>#N/A</v>
      </c>
      <c r="BI15" s="29" t="e">
        <f t="shared" si="1"/>
        <v>#N/A</v>
      </c>
      <c r="BJ15" s="29" t="e">
        <f t="shared" si="1"/>
        <v>#N/A</v>
      </c>
      <c r="BK15" s="29" t="e">
        <f t="shared" si="1"/>
        <v>#N/A</v>
      </c>
    </row>
    <row r="16" spans="2:63" ht="18" x14ac:dyDescent="0.35">
      <c r="B16" s="5" t="s">
        <v>35</v>
      </c>
      <c r="C16" s="38">
        <v>42000</v>
      </c>
      <c r="D16" s="12" t="s">
        <v>36</v>
      </c>
      <c r="E16" s="6"/>
      <c r="F16" s="5" t="s">
        <v>34</v>
      </c>
      <c r="G16" s="38">
        <v>6000</v>
      </c>
      <c r="I16" t="s">
        <v>37</v>
      </c>
      <c r="J16">
        <v>0</v>
      </c>
      <c r="K16">
        <f>C16</f>
        <v>42000</v>
      </c>
      <c r="M16" s="7" t="s">
        <v>38</v>
      </c>
      <c r="N16" s="9">
        <f>$G$16*(1+$C$10)</f>
        <v>6600.0000000000009</v>
      </c>
      <c r="O16" s="9">
        <f>$G$16*(1+$C$10)</f>
        <v>6600.0000000000009</v>
      </c>
      <c r="AG16" s="25" t="str">
        <f t="shared" si="2"/>
        <v>X</v>
      </c>
      <c r="AH16" s="29" t="e">
        <f t="shared" si="0"/>
        <v>#N/A</v>
      </c>
      <c r="AI16" s="29" t="e">
        <f t="shared" si="0"/>
        <v>#N/A</v>
      </c>
      <c r="AJ16" s="29" t="e">
        <f t="shared" si="0"/>
        <v>#N/A</v>
      </c>
      <c r="AK16" s="29" t="e">
        <f t="shared" si="0"/>
        <v>#N/A</v>
      </c>
      <c r="AL16" s="29" t="e">
        <f t="shared" si="0"/>
        <v>#N/A</v>
      </c>
      <c r="AM16" s="29" t="e">
        <f t="shared" si="0"/>
        <v>#N/A</v>
      </c>
      <c r="AN16" s="29" t="e">
        <f t="shared" si="0"/>
        <v>#N/A</v>
      </c>
      <c r="AO16" s="29" t="e">
        <f t="shared" si="0"/>
        <v>#N/A</v>
      </c>
      <c r="AP16" s="29" t="e">
        <f t="shared" si="0"/>
        <v>#N/A</v>
      </c>
      <c r="AQ16" s="29" t="e">
        <f t="shared" si="0"/>
        <v>#N/A</v>
      </c>
      <c r="AR16" s="29" t="e">
        <f t="shared" si="0"/>
        <v>#N/A</v>
      </c>
      <c r="AS16" s="29" t="e">
        <f t="shared" si="0"/>
        <v>#N/A</v>
      </c>
      <c r="AT16" s="29" t="e">
        <f t="shared" si="0"/>
        <v>#N/A</v>
      </c>
      <c r="AU16" s="29" t="e">
        <f t="shared" si="0"/>
        <v>#N/A</v>
      </c>
      <c r="AV16" s="29" t="e">
        <f t="shared" si="0"/>
        <v>#N/A</v>
      </c>
      <c r="AW16" s="29" t="e">
        <f t="shared" si="0"/>
        <v>#N/A</v>
      </c>
      <c r="AX16" s="29" t="e">
        <f t="shared" si="1"/>
        <v>#N/A</v>
      </c>
      <c r="AY16" s="29" t="e">
        <f t="shared" si="1"/>
        <v>#N/A</v>
      </c>
      <c r="AZ16" s="29" t="e">
        <f t="shared" si="1"/>
        <v>#N/A</v>
      </c>
      <c r="BA16" s="29" t="e">
        <f t="shared" si="1"/>
        <v>#N/A</v>
      </c>
      <c r="BB16" s="29" t="e">
        <f t="shared" si="1"/>
        <v>#N/A</v>
      </c>
      <c r="BC16" s="29" t="e">
        <f t="shared" si="1"/>
        <v>#N/A</v>
      </c>
      <c r="BD16" s="29" t="e">
        <f t="shared" si="1"/>
        <v>#N/A</v>
      </c>
      <c r="BE16" s="29" t="e">
        <f t="shared" si="1"/>
        <v>#N/A</v>
      </c>
      <c r="BF16" s="29" t="e">
        <f t="shared" si="1"/>
        <v>#N/A</v>
      </c>
      <c r="BG16" s="29" t="e">
        <f t="shared" si="1"/>
        <v>#N/A</v>
      </c>
      <c r="BH16" s="29" t="e">
        <f t="shared" si="1"/>
        <v>#N/A</v>
      </c>
      <c r="BI16" s="29" t="e">
        <f t="shared" si="1"/>
        <v>#N/A</v>
      </c>
      <c r="BJ16" s="29" t="e">
        <f t="shared" si="1"/>
        <v>#N/A</v>
      </c>
      <c r="BK16" s="29" t="e">
        <f t="shared" si="1"/>
        <v>#N/A</v>
      </c>
    </row>
    <row r="17" spans="2:63" x14ac:dyDescent="0.25">
      <c r="AG17" s="25" t="str">
        <f t="shared" si="2"/>
        <v>X</v>
      </c>
      <c r="AH17" s="29" t="e">
        <f t="shared" si="0"/>
        <v>#N/A</v>
      </c>
      <c r="AI17" s="29" t="e">
        <f t="shared" si="0"/>
        <v>#N/A</v>
      </c>
      <c r="AJ17" s="29" t="e">
        <f t="shared" si="0"/>
        <v>#N/A</v>
      </c>
      <c r="AK17" s="29" t="e">
        <f t="shared" si="0"/>
        <v>#N/A</v>
      </c>
      <c r="AL17" s="29" t="e">
        <f t="shared" si="0"/>
        <v>#N/A</v>
      </c>
      <c r="AM17" s="29" t="e">
        <f t="shared" si="0"/>
        <v>#N/A</v>
      </c>
      <c r="AN17" s="29" t="e">
        <f t="shared" si="0"/>
        <v>#N/A</v>
      </c>
      <c r="AO17" s="29" t="e">
        <f t="shared" si="0"/>
        <v>#N/A</v>
      </c>
      <c r="AP17" s="29" t="e">
        <f t="shared" si="0"/>
        <v>#N/A</v>
      </c>
      <c r="AQ17" s="29" t="e">
        <f t="shared" si="0"/>
        <v>#N/A</v>
      </c>
      <c r="AR17" s="29" t="e">
        <f t="shared" si="0"/>
        <v>#N/A</v>
      </c>
      <c r="AS17" s="29" t="e">
        <f t="shared" si="0"/>
        <v>#N/A</v>
      </c>
      <c r="AT17" s="29" t="e">
        <f t="shared" si="0"/>
        <v>#N/A</v>
      </c>
      <c r="AU17" s="29" t="e">
        <f t="shared" si="0"/>
        <v>#N/A</v>
      </c>
      <c r="AV17" s="29" t="e">
        <f t="shared" si="0"/>
        <v>#N/A</v>
      </c>
      <c r="AW17" s="29" t="e">
        <f t="shared" si="0"/>
        <v>#N/A</v>
      </c>
      <c r="AX17" s="29" t="e">
        <f t="shared" si="1"/>
        <v>#N/A</v>
      </c>
      <c r="AY17" s="29" t="e">
        <f t="shared" si="1"/>
        <v>#N/A</v>
      </c>
      <c r="AZ17" s="29" t="e">
        <f t="shared" si="1"/>
        <v>#N/A</v>
      </c>
      <c r="BA17" s="29" t="e">
        <f t="shared" si="1"/>
        <v>#N/A</v>
      </c>
      <c r="BB17" s="29" t="e">
        <f t="shared" si="1"/>
        <v>#N/A</v>
      </c>
      <c r="BC17" s="29" t="e">
        <f t="shared" si="1"/>
        <v>#N/A</v>
      </c>
      <c r="BD17" s="29" t="e">
        <f t="shared" si="1"/>
        <v>#N/A</v>
      </c>
      <c r="BE17" s="29" t="e">
        <f t="shared" si="1"/>
        <v>#N/A</v>
      </c>
      <c r="BF17" s="29" t="e">
        <f t="shared" si="1"/>
        <v>#N/A</v>
      </c>
      <c r="BG17" s="29" t="e">
        <f t="shared" si="1"/>
        <v>#N/A</v>
      </c>
      <c r="BH17" s="29" t="e">
        <f t="shared" si="1"/>
        <v>#N/A</v>
      </c>
      <c r="BI17" s="29" t="e">
        <f t="shared" si="1"/>
        <v>#N/A</v>
      </c>
      <c r="BJ17" s="29" t="e">
        <f t="shared" si="1"/>
        <v>#N/A</v>
      </c>
      <c r="BK17" s="29" t="e">
        <f t="shared" si="1"/>
        <v>#N/A</v>
      </c>
    </row>
    <row r="18" spans="2:63" x14ac:dyDescent="0.25">
      <c r="B18" s="4" t="s">
        <v>39</v>
      </c>
      <c r="C18" s="4"/>
      <c r="F18" s="4" t="s">
        <v>40</v>
      </c>
      <c r="AG18" s="25" t="str">
        <f t="shared" si="2"/>
        <v>X</v>
      </c>
      <c r="AH18" s="29" t="e">
        <f t="shared" si="0"/>
        <v>#N/A</v>
      </c>
      <c r="AI18" s="29" t="e">
        <f t="shared" si="0"/>
        <v>#N/A</v>
      </c>
      <c r="AJ18" s="29" t="e">
        <f t="shared" si="0"/>
        <v>#N/A</v>
      </c>
      <c r="AK18" s="29" t="e">
        <f t="shared" si="0"/>
        <v>#N/A</v>
      </c>
      <c r="AL18" s="29" t="e">
        <f t="shared" si="0"/>
        <v>#N/A</v>
      </c>
      <c r="AM18" s="29" t="e">
        <f t="shared" si="0"/>
        <v>#N/A</v>
      </c>
      <c r="AN18" s="29" t="e">
        <f t="shared" si="0"/>
        <v>#N/A</v>
      </c>
      <c r="AO18" s="29" t="e">
        <f t="shared" si="0"/>
        <v>#N/A</v>
      </c>
      <c r="AP18" s="29" t="e">
        <f t="shared" si="0"/>
        <v>#N/A</v>
      </c>
      <c r="AQ18" s="29" t="e">
        <f t="shared" si="0"/>
        <v>#N/A</v>
      </c>
      <c r="AR18" s="29" t="e">
        <f t="shared" si="0"/>
        <v>#N/A</v>
      </c>
      <c r="AS18" s="29" t="e">
        <f t="shared" si="0"/>
        <v>#N/A</v>
      </c>
      <c r="AT18" s="29" t="e">
        <f t="shared" si="0"/>
        <v>#N/A</v>
      </c>
      <c r="AU18" s="29" t="e">
        <f t="shared" si="0"/>
        <v>#N/A</v>
      </c>
      <c r="AV18" s="29" t="e">
        <f t="shared" si="0"/>
        <v>#N/A</v>
      </c>
      <c r="AW18" s="29" t="e">
        <f t="shared" si="0"/>
        <v>#N/A</v>
      </c>
      <c r="AX18" s="29" t="e">
        <f t="shared" si="1"/>
        <v>#N/A</v>
      </c>
      <c r="AY18" s="29" t="e">
        <f t="shared" si="1"/>
        <v>#N/A</v>
      </c>
      <c r="AZ18" s="29" t="e">
        <f t="shared" si="1"/>
        <v>#N/A</v>
      </c>
      <c r="BA18" s="29" t="e">
        <f t="shared" si="1"/>
        <v>#N/A</v>
      </c>
      <c r="BB18" s="29" t="e">
        <f t="shared" si="1"/>
        <v>#N/A</v>
      </c>
      <c r="BC18" s="29" t="e">
        <f t="shared" si="1"/>
        <v>#N/A</v>
      </c>
      <c r="BD18" s="29" t="e">
        <f t="shared" si="1"/>
        <v>#N/A</v>
      </c>
      <c r="BE18" s="29" t="e">
        <f t="shared" si="1"/>
        <v>#N/A</v>
      </c>
      <c r="BF18" s="29" t="e">
        <f t="shared" si="1"/>
        <v>#N/A</v>
      </c>
      <c r="BG18" s="29" t="e">
        <f t="shared" si="1"/>
        <v>#N/A</v>
      </c>
      <c r="BH18" s="29" t="e">
        <f t="shared" si="1"/>
        <v>#N/A</v>
      </c>
      <c r="BI18" s="29" t="e">
        <f t="shared" si="1"/>
        <v>#N/A</v>
      </c>
      <c r="BJ18" s="29" t="e">
        <f t="shared" si="1"/>
        <v>#N/A</v>
      </c>
      <c r="BK18" s="29" t="e">
        <f t="shared" si="1"/>
        <v>#N/A</v>
      </c>
    </row>
    <row r="19" spans="2:63" x14ac:dyDescent="0.25">
      <c r="B19" s="5" t="s">
        <v>41</v>
      </c>
      <c r="C19" s="38">
        <v>3600</v>
      </c>
      <c r="D19" s="1"/>
      <c r="E19" s="1"/>
      <c r="F19" s="5" t="str">
        <f>G19&amp;"X"</f>
        <v>1X</v>
      </c>
      <c r="G19" s="38">
        <v>1</v>
      </c>
      <c r="H19" s="1"/>
      <c r="I19" t="s">
        <v>41</v>
      </c>
      <c r="J19">
        <f t="shared" ref="J19:J48" si="3">IF(C19&gt;0,ROUND(C19,1),#N/A)</f>
        <v>3600</v>
      </c>
      <c r="K19">
        <f t="shared" ref="K19:K48" si="4">IF(C19&gt;0,ROUND(C19,1),#N/A)</f>
        <v>3600</v>
      </c>
      <c r="M19" t="str">
        <f t="shared" ref="M19:M48" si="5">F19</f>
        <v>1X</v>
      </c>
      <c r="N19">
        <f t="shared" ref="N19:N48" si="6">IF(G19&gt;0,G19,#N/A)</f>
        <v>1</v>
      </c>
      <c r="O19">
        <v>0</v>
      </c>
      <c r="P19">
        <f t="shared" ref="P19:P48" si="7">N19*$C$14</f>
        <v>6000</v>
      </c>
      <c r="AG19" s="25" t="str">
        <f t="shared" si="2"/>
        <v>X</v>
      </c>
      <c r="AH19" s="29" t="e">
        <f t="shared" si="0"/>
        <v>#N/A</v>
      </c>
      <c r="AI19" s="29" t="e">
        <f t="shared" si="0"/>
        <v>#N/A</v>
      </c>
      <c r="AJ19" s="29" t="e">
        <f t="shared" si="0"/>
        <v>#N/A</v>
      </c>
      <c r="AK19" s="29" t="e">
        <f t="shared" si="0"/>
        <v>#N/A</v>
      </c>
      <c r="AL19" s="29" t="e">
        <f t="shared" si="0"/>
        <v>#N/A</v>
      </c>
      <c r="AM19" s="29" t="e">
        <f t="shared" si="0"/>
        <v>#N/A</v>
      </c>
      <c r="AN19" s="29" t="e">
        <f t="shared" si="0"/>
        <v>#N/A</v>
      </c>
      <c r="AO19" s="29" t="e">
        <f t="shared" si="0"/>
        <v>#N/A</v>
      </c>
      <c r="AP19" s="29" t="e">
        <f t="shared" si="0"/>
        <v>#N/A</v>
      </c>
      <c r="AQ19" s="29" t="e">
        <f t="shared" si="0"/>
        <v>#N/A</v>
      </c>
      <c r="AR19" s="29" t="e">
        <f t="shared" si="0"/>
        <v>#N/A</v>
      </c>
      <c r="AS19" s="29" t="e">
        <f t="shared" si="0"/>
        <v>#N/A</v>
      </c>
      <c r="AT19" s="29" t="e">
        <f t="shared" si="0"/>
        <v>#N/A</v>
      </c>
      <c r="AU19" s="29" t="e">
        <f t="shared" si="0"/>
        <v>#N/A</v>
      </c>
      <c r="AV19" s="29" t="e">
        <f t="shared" si="0"/>
        <v>#N/A</v>
      </c>
      <c r="AW19" s="29" t="e">
        <f t="shared" si="0"/>
        <v>#N/A</v>
      </c>
      <c r="AX19" s="29" t="e">
        <f t="shared" si="1"/>
        <v>#N/A</v>
      </c>
      <c r="AY19" s="29" t="e">
        <f t="shared" si="1"/>
        <v>#N/A</v>
      </c>
      <c r="AZ19" s="29" t="e">
        <f t="shared" si="1"/>
        <v>#N/A</v>
      </c>
      <c r="BA19" s="29" t="e">
        <f t="shared" si="1"/>
        <v>#N/A</v>
      </c>
      <c r="BB19" s="29" t="e">
        <f t="shared" si="1"/>
        <v>#N/A</v>
      </c>
      <c r="BC19" s="29" t="e">
        <f t="shared" si="1"/>
        <v>#N/A</v>
      </c>
      <c r="BD19" s="29" t="e">
        <f t="shared" si="1"/>
        <v>#N/A</v>
      </c>
      <c r="BE19" s="29" t="e">
        <f t="shared" si="1"/>
        <v>#N/A</v>
      </c>
      <c r="BF19" s="29" t="e">
        <f t="shared" si="1"/>
        <v>#N/A</v>
      </c>
      <c r="BG19" s="29" t="e">
        <f t="shared" si="1"/>
        <v>#N/A</v>
      </c>
      <c r="BH19" s="29" t="e">
        <f t="shared" si="1"/>
        <v>#N/A</v>
      </c>
      <c r="BI19" s="29" t="e">
        <f t="shared" si="1"/>
        <v>#N/A</v>
      </c>
      <c r="BJ19" s="29" t="e">
        <f t="shared" si="1"/>
        <v>#N/A</v>
      </c>
      <c r="BK19" s="29" t="e">
        <f t="shared" si="1"/>
        <v>#N/A</v>
      </c>
    </row>
    <row r="20" spans="2:63" x14ac:dyDescent="0.25">
      <c r="B20" s="5" t="s">
        <v>42</v>
      </c>
      <c r="C20" s="38">
        <v>5000</v>
      </c>
      <c r="D20" s="1"/>
      <c r="E20" s="1"/>
      <c r="F20" s="5" t="str">
        <f t="shared" ref="F20:F48" si="8">G20&amp;"X"</f>
        <v>2X</v>
      </c>
      <c r="G20" s="38">
        <v>2</v>
      </c>
      <c r="H20" s="1"/>
      <c r="I20" t="s">
        <v>42</v>
      </c>
      <c r="J20">
        <f t="shared" si="3"/>
        <v>5000</v>
      </c>
      <c r="K20">
        <f t="shared" si="4"/>
        <v>5000</v>
      </c>
      <c r="M20" t="str">
        <f t="shared" si="5"/>
        <v>2X</v>
      </c>
      <c r="N20">
        <f t="shared" si="6"/>
        <v>2</v>
      </c>
      <c r="O20">
        <v>0</v>
      </c>
      <c r="P20">
        <f t="shared" si="7"/>
        <v>12000</v>
      </c>
      <c r="AG20" s="25" t="str">
        <f t="shared" si="2"/>
        <v>X</v>
      </c>
      <c r="AH20" s="29" t="e">
        <f t="shared" si="0"/>
        <v>#N/A</v>
      </c>
      <c r="AI20" s="29" t="e">
        <f t="shared" si="0"/>
        <v>#N/A</v>
      </c>
      <c r="AJ20" s="29" t="e">
        <f t="shared" si="0"/>
        <v>#N/A</v>
      </c>
      <c r="AK20" s="29" t="e">
        <f t="shared" si="0"/>
        <v>#N/A</v>
      </c>
      <c r="AL20" s="29" t="e">
        <f t="shared" si="0"/>
        <v>#N/A</v>
      </c>
      <c r="AM20" s="29" t="e">
        <f t="shared" si="0"/>
        <v>#N/A</v>
      </c>
      <c r="AN20" s="29" t="e">
        <f t="shared" si="0"/>
        <v>#N/A</v>
      </c>
      <c r="AO20" s="29" t="e">
        <f t="shared" si="0"/>
        <v>#N/A</v>
      </c>
      <c r="AP20" s="29" t="e">
        <f t="shared" si="0"/>
        <v>#N/A</v>
      </c>
      <c r="AQ20" s="29" t="e">
        <f t="shared" si="0"/>
        <v>#N/A</v>
      </c>
      <c r="AR20" s="29" t="e">
        <f t="shared" si="0"/>
        <v>#N/A</v>
      </c>
      <c r="AS20" s="29" t="e">
        <f t="shared" si="0"/>
        <v>#N/A</v>
      </c>
      <c r="AT20" s="29" t="e">
        <f t="shared" si="0"/>
        <v>#N/A</v>
      </c>
      <c r="AU20" s="29" t="e">
        <f t="shared" si="0"/>
        <v>#N/A</v>
      </c>
      <c r="AV20" s="29" t="e">
        <f t="shared" si="0"/>
        <v>#N/A</v>
      </c>
      <c r="AW20" s="29" t="e">
        <f t="shared" si="0"/>
        <v>#N/A</v>
      </c>
      <c r="AX20" s="29" t="e">
        <f t="shared" si="1"/>
        <v>#N/A</v>
      </c>
      <c r="AY20" s="29" t="e">
        <f t="shared" si="1"/>
        <v>#N/A</v>
      </c>
      <c r="AZ20" s="29" t="e">
        <f t="shared" si="1"/>
        <v>#N/A</v>
      </c>
      <c r="BA20" s="29" t="e">
        <f t="shared" si="1"/>
        <v>#N/A</v>
      </c>
      <c r="BB20" s="29" t="e">
        <f t="shared" si="1"/>
        <v>#N/A</v>
      </c>
      <c r="BC20" s="29" t="e">
        <f t="shared" si="1"/>
        <v>#N/A</v>
      </c>
      <c r="BD20" s="29" t="e">
        <f t="shared" si="1"/>
        <v>#N/A</v>
      </c>
      <c r="BE20" s="29" t="e">
        <f t="shared" si="1"/>
        <v>#N/A</v>
      </c>
      <c r="BF20" s="29" t="e">
        <f t="shared" si="1"/>
        <v>#N/A</v>
      </c>
      <c r="BG20" s="29" t="e">
        <f t="shared" si="1"/>
        <v>#N/A</v>
      </c>
      <c r="BH20" s="29" t="e">
        <f t="shared" si="1"/>
        <v>#N/A</v>
      </c>
      <c r="BI20" s="29" t="e">
        <f t="shared" si="1"/>
        <v>#N/A</v>
      </c>
      <c r="BJ20" s="29" t="e">
        <f t="shared" si="1"/>
        <v>#N/A</v>
      </c>
      <c r="BK20" s="29" t="e">
        <f t="shared" si="1"/>
        <v>#N/A</v>
      </c>
    </row>
    <row r="21" spans="2:63" x14ac:dyDescent="0.25">
      <c r="B21" s="5" t="s">
        <v>43</v>
      </c>
      <c r="C21" s="38">
        <v>8500</v>
      </c>
      <c r="F21" s="5" t="str">
        <f t="shared" si="8"/>
        <v>5X</v>
      </c>
      <c r="G21" s="38">
        <v>5</v>
      </c>
      <c r="I21" t="s">
        <v>43</v>
      </c>
      <c r="J21">
        <f t="shared" si="3"/>
        <v>8500</v>
      </c>
      <c r="K21">
        <f t="shared" si="4"/>
        <v>8500</v>
      </c>
      <c r="M21" t="str">
        <f t="shared" si="5"/>
        <v>5X</v>
      </c>
      <c r="N21">
        <f t="shared" si="6"/>
        <v>5</v>
      </c>
      <c r="O21">
        <v>0</v>
      </c>
      <c r="P21">
        <f t="shared" si="7"/>
        <v>30000</v>
      </c>
      <c r="AG21" s="25" t="str">
        <f t="shared" si="2"/>
        <v>X</v>
      </c>
      <c r="AH21" s="29" t="e">
        <f t="shared" si="0"/>
        <v>#N/A</v>
      </c>
      <c r="AI21" s="29" t="e">
        <f t="shared" si="0"/>
        <v>#N/A</v>
      </c>
      <c r="AJ21" s="29" t="e">
        <f t="shared" si="0"/>
        <v>#N/A</v>
      </c>
      <c r="AK21" s="29" t="e">
        <f t="shared" si="0"/>
        <v>#N/A</v>
      </c>
      <c r="AL21" s="29" t="e">
        <f t="shared" si="0"/>
        <v>#N/A</v>
      </c>
      <c r="AM21" s="29" t="e">
        <f t="shared" si="0"/>
        <v>#N/A</v>
      </c>
      <c r="AN21" s="29" t="e">
        <f t="shared" si="0"/>
        <v>#N/A</v>
      </c>
      <c r="AO21" s="29" t="e">
        <f t="shared" si="0"/>
        <v>#N/A</v>
      </c>
      <c r="AP21" s="29" t="e">
        <f t="shared" si="0"/>
        <v>#N/A</v>
      </c>
      <c r="AQ21" s="29" t="e">
        <f t="shared" si="0"/>
        <v>#N/A</v>
      </c>
      <c r="AR21" s="29" t="e">
        <f t="shared" si="0"/>
        <v>#N/A</v>
      </c>
      <c r="AS21" s="29" t="e">
        <f t="shared" si="0"/>
        <v>#N/A</v>
      </c>
      <c r="AT21" s="29" t="e">
        <f t="shared" si="0"/>
        <v>#N/A</v>
      </c>
      <c r="AU21" s="29" t="e">
        <f t="shared" si="0"/>
        <v>#N/A</v>
      </c>
      <c r="AV21" s="29" t="e">
        <f t="shared" si="0"/>
        <v>#N/A</v>
      </c>
      <c r="AW21" s="29" t="e">
        <f t="shared" ref="AW21:AZ35" si="9">(R153-$C$5)/$C$5</f>
        <v>#N/A</v>
      </c>
      <c r="AX21" s="29" t="e">
        <f t="shared" si="1"/>
        <v>#N/A</v>
      </c>
      <c r="AY21" s="29" t="e">
        <f t="shared" si="1"/>
        <v>#N/A</v>
      </c>
      <c r="AZ21" s="29" t="e">
        <f t="shared" si="1"/>
        <v>#N/A</v>
      </c>
      <c r="BA21" s="29" t="e">
        <f t="shared" si="1"/>
        <v>#N/A</v>
      </c>
      <c r="BB21" s="29" t="e">
        <f t="shared" si="1"/>
        <v>#N/A</v>
      </c>
      <c r="BC21" s="29" t="e">
        <f t="shared" si="1"/>
        <v>#N/A</v>
      </c>
      <c r="BD21" s="29" t="e">
        <f t="shared" si="1"/>
        <v>#N/A</v>
      </c>
      <c r="BE21" s="29" t="e">
        <f t="shared" si="1"/>
        <v>#N/A</v>
      </c>
      <c r="BF21" s="29" t="e">
        <f t="shared" si="1"/>
        <v>#N/A</v>
      </c>
      <c r="BG21" s="29" t="e">
        <f t="shared" si="1"/>
        <v>#N/A</v>
      </c>
      <c r="BH21" s="29" t="e">
        <f t="shared" si="1"/>
        <v>#N/A</v>
      </c>
      <c r="BI21" s="29" t="e">
        <f t="shared" si="1"/>
        <v>#N/A</v>
      </c>
      <c r="BJ21" s="29" t="e">
        <f t="shared" si="1"/>
        <v>#N/A</v>
      </c>
      <c r="BK21" s="29" t="e">
        <f t="shared" si="1"/>
        <v>#N/A</v>
      </c>
    </row>
    <row r="22" spans="2:63" x14ac:dyDescent="0.25">
      <c r="B22" s="5" t="s">
        <v>44</v>
      </c>
      <c r="C22" s="38">
        <v>10500</v>
      </c>
      <c r="F22" s="5" t="str">
        <f>G22&amp;"X"</f>
        <v>X</v>
      </c>
      <c r="G22" s="38"/>
      <c r="I22" t="s">
        <v>44</v>
      </c>
      <c r="J22">
        <f t="shared" si="3"/>
        <v>10500</v>
      </c>
      <c r="K22">
        <f t="shared" si="4"/>
        <v>10500</v>
      </c>
      <c r="M22" t="str">
        <f t="shared" si="5"/>
        <v>X</v>
      </c>
      <c r="N22" t="e">
        <f t="shared" si="6"/>
        <v>#N/A</v>
      </c>
      <c r="O22">
        <v>0</v>
      </c>
      <c r="P22" t="e">
        <f t="shared" si="7"/>
        <v>#N/A</v>
      </c>
      <c r="AG22" s="25" t="str">
        <f t="shared" si="2"/>
        <v>X</v>
      </c>
      <c r="AH22" s="29" t="e">
        <f t="shared" ref="AH22:AV35" si="10">(C154-$C$5)/$C$5</f>
        <v>#N/A</v>
      </c>
      <c r="AI22" s="29" t="e">
        <f t="shared" si="10"/>
        <v>#N/A</v>
      </c>
      <c r="AJ22" s="29" t="e">
        <f t="shared" si="10"/>
        <v>#N/A</v>
      </c>
      <c r="AK22" s="29" t="e">
        <f t="shared" si="10"/>
        <v>#N/A</v>
      </c>
      <c r="AL22" s="29" t="e">
        <f t="shared" si="10"/>
        <v>#N/A</v>
      </c>
      <c r="AM22" s="29" t="e">
        <f t="shared" si="10"/>
        <v>#N/A</v>
      </c>
      <c r="AN22" s="29" t="e">
        <f t="shared" si="10"/>
        <v>#N/A</v>
      </c>
      <c r="AO22" s="29" t="e">
        <f t="shared" si="10"/>
        <v>#N/A</v>
      </c>
      <c r="AP22" s="29" t="e">
        <f t="shared" si="10"/>
        <v>#N/A</v>
      </c>
      <c r="AQ22" s="29" t="e">
        <f t="shared" si="10"/>
        <v>#N/A</v>
      </c>
      <c r="AR22" s="29" t="e">
        <f t="shared" si="10"/>
        <v>#N/A</v>
      </c>
      <c r="AS22" s="29" t="e">
        <f t="shared" si="10"/>
        <v>#N/A</v>
      </c>
      <c r="AT22" s="29" t="e">
        <f t="shared" si="10"/>
        <v>#N/A</v>
      </c>
      <c r="AU22" s="29" t="e">
        <f t="shared" si="10"/>
        <v>#N/A</v>
      </c>
      <c r="AV22" s="29" t="e">
        <f t="shared" si="10"/>
        <v>#N/A</v>
      </c>
      <c r="AW22" s="29" t="e">
        <f t="shared" si="9"/>
        <v>#N/A</v>
      </c>
      <c r="AX22" s="29" t="e">
        <f t="shared" si="1"/>
        <v>#N/A</v>
      </c>
      <c r="AY22" s="29" t="e">
        <f t="shared" si="1"/>
        <v>#N/A</v>
      </c>
      <c r="AZ22" s="29" t="e">
        <f t="shared" si="1"/>
        <v>#N/A</v>
      </c>
      <c r="BA22" s="29" t="e">
        <f t="shared" si="1"/>
        <v>#N/A</v>
      </c>
      <c r="BB22" s="29" t="e">
        <f t="shared" si="1"/>
        <v>#N/A</v>
      </c>
      <c r="BC22" s="29" t="e">
        <f t="shared" si="1"/>
        <v>#N/A</v>
      </c>
      <c r="BD22" s="29" t="e">
        <f t="shared" si="1"/>
        <v>#N/A</v>
      </c>
      <c r="BE22" s="29" t="e">
        <f t="shared" si="1"/>
        <v>#N/A</v>
      </c>
      <c r="BF22" s="29" t="e">
        <f t="shared" si="1"/>
        <v>#N/A</v>
      </c>
      <c r="BG22" s="29" t="e">
        <f t="shared" si="1"/>
        <v>#N/A</v>
      </c>
      <c r="BH22" s="29" t="e">
        <f t="shared" si="1"/>
        <v>#N/A</v>
      </c>
      <c r="BI22" s="29" t="e">
        <f t="shared" si="1"/>
        <v>#N/A</v>
      </c>
      <c r="BJ22" s="29" t="e">
        <f t="shared" si="1"/>
        <v>#N/A</v>
      </c>
      <c r="BK22" s="29" t="e">
        <f t="shared" si="1"/>
        <v>#N/A</v>
      </c>
    </row>
    <row r="23" spans="2:63" x14ac:dyDescent="0.25">
      <c r="B23" s="5" t="s">
        <v>45</v>
      </c>
      <c r="C23" s="38">
        <v>12500</v>
      </c>
      <c r="F23" s="5" t="str">
        <f t="shared" si="8"/>
        <v>X</v>
      </c>
      <c r="G23" s="38"/>
      <c r="I23" t="s">
        <v>45</v>
      </c>
      <c r="J23">
        <f t="shared" si="3"/>
        <v>12500</v>
      </c>
      <c r="K23">
        <f t="shared" si="4"/>
        <v>12500</v>
      </c>
      <c r="M23" t="str">
        <f t="shared" si="5"/>
        <v>X</v>
      </c>
      <c r="N23" t="e">
        <f t="shared" si="6"/>
        <v>#N/A</v>
      </c>
      <c r="O23">
        <v>0</v>
      </c>
      <c r="P23" t="e">
        <f t="shared" si="7"/>
        <v>#N/A</v>
      </c>
      <c r="AG23" s="25" t="str">
        <f t="shared" si="2"/>
        <v>X</v>
      </c>
      <c r="AH23" s="29" t="e">
        <f t="shared" si="10"/>
        <v>#N/A</v>
      </c>
      <c r="AI23" s="29" t="e">
        <f t="shared" si="10"/>
        <v>#N/A</v>
      </c>
      <c r="AJ23" s="29" t="e">
        <f t="shared" si="10"/>
        <v>#N/A</v>
      </c>
      <c r="AK23" s="29" t="e">
        <f t="shared" si="10"/>
        <v>#N/A</v>
      </c>
      <c r="AL23" s="29" t="e">
        <f t="shared" si="10"/>
        <v>#N/A</v>
      </c>
      <c r="AM23" s="29" t="e">
        <f t="shared" si="10"/>
        <v>#N/A</v>
      </c>
      <c r="AN23" s="29" t="e">
        <f t="shared" si="10"/>
        <v>#N/A</v>
      </c>
      <c r="AO23" s="29" t="e">
        <f t="shared" si="10"/>
        <v>#N/A</v>
      </c>
      <c r="AP23" s="29" t="e">
        <f t="shared" si="10"/>
        <v>#N/A</v>
      </c>
      <c r="AQ23" s="29" t="e">
        <f t="shared" si="10"/>
        <v>#N/A</v>
      </c>
      <c r="AR23" s="29" t="e">
        <f t="shared" si="10"/>
        <v>#N/A</v>
      </c>
      <c r="AS23" s="29" t="e">
        <f t="shared" si="10"/>
        <v>#N/A</v>
      </c>
      <c r="AT23" s="29" t="e">
        <f t="shared" si="10"/>
        <v>#N/A</v>
      </c>
      <c r="AU23" s="29" t="e">
        <f t="shared" si="10"/>
        <v>#N/A</v>
      </c>
      <c r="AV23" s="29" t="e">
        <f t="shared" si="10"/>
        <v>#N/A</v>
      </c>
      <c r="AW23" s="29" t="e">
        <f t="shared" si="9"/>
        <v>#N/A</v>
      </c>
      <c r="AX23" s="29" t="e">
        <f t="shared" si="1"/>
        <v>#N/A</v>
      </c>
      <c r="AY23" s="29" t="e">
        <f t="shared" si="1"/>
        <v>#N/A</v>
      </c>
      <c r="AZ23" s="29" t="e">
        <f t="shared" si="1"/>
        <v>#N/A</v>
      </c>
      <c r="BA23" s="29" t="e">
        <f t="shared" si="1"/>
        <v>#N/A</v>
      </c>
      <c r="BB23" s="29" t="e">
        <f t="shared" si="1"/>
        <v>#N/A</v>
      </c>
      <c r="BC23" s="29" t="e">
        <f t="shared" si="1"/>
        <v>#N/A</v>
      </c>
      <c r="BD23" s="29" t="e">
        <f t="shared" si="1"/>
        <v>#N/A</v>
      </c>
      <c r="BE23" s="29" t="e">
        <f t="shared" si="1"/>
        <v>#N/A</v>
      </c>
      <c r="BF23" s="29" t="e">
        <f t="shared" si="1"/>
        <v>#N/A</v>
      </c>
      <c r="BG23" s="29" t="e">
        <f t="shared" si="1"/>
        <v>#N/A</v>
      </c>
      <c r="BH23" s="29" t="e">
        <f t="shared" si="1"/>
        <v>#N/A</v>
      </c>
      <c r="BI23" s="29" t="e">
        <f t="shared" si="1"/>
        <v>#N/A</v>
      </c>
      <c r="BJ23" s="29" t="e">
        <f t="shared" si="1"/>
        <v>#N/A</v>
      </c>
      <c r="BK23" s="29" t="e">
        <f t="shared" si="1"/>
        <v>#N/A</v>
      </c>
    </row>
    <row r="24" spans="2:63" x14ac:dyDescent="0.25">
      <c r="B24" s="5" t="s">
        <v>46</v>
      </c>
      <c r="C24" s="38"/>
      <c r="F24" s="5" t="str">
        <f t="shared" si="8"/>
        <v>X</v>
      </c>
      <c r="G24" s="38"/>
      <c r="I24" t="s">
        <v>46</v>
      </c>
      <c r="J24" t="e">
        <f t="shared" si="3"/>
        <v>#N/A</v>
      </c>
      <c r="K24" t="e">
        <f t="shared" si="4"/>
        <v>#N/A</v>
      </c>
      <c r="M24" t="str">
        <f t="shared" si="5"/>
        <v>X</v>
      </c>
      <c r="N24" t="e">
        <f t="shared" si="6"/>
        <v>#N/A</v>
      </c>
      <c r="O24">
        <v>0</v>
      </c>
      <c r="P24" t="e">
        <f t="shared" si="7"/>
        <v>#N/A</v>
      </c>
      <c r="AG24" s="25" t="str">
        <f t="shared" si="2"/>
        <v>X</v>
      </c>
      <c r="AH24" s="29" t="e">
        <f t="shared" si="10"/>
        <v>#N/A</v>
      </c>
      <c r="AI24" s="29" t="e">
        <f t="shared" si="10"/>
        <v>#N/A</v>
      </c>
      <c r="AJ24" s="29" t="e">
        <f t="shared" si="10"/>
        <v>#N/A</v>
      </c>
      <c r="AK24" s="29" t="e">
        <f t="shared" si="10"/>
        <v>#N/A</v>
      </c>
      <c r="AL24" s="29" t="e">
        <f t="shared" si="10"/>
        <v>#N/A</v>
      </c>
      <c r="AM24" s="29" t="e">
        <f t="shared" si="10"/>
        <v>#N/A</v>
      </c>
      <c r="AN24" s="29" t="e">
        <f t="shared" si="10"/>
        <v>#N/A</v>
      </c>
      <c r="AO24" s="29" t="e">
        <f t="shared" si="10"/>
        <v>#N/A</v>
      </c>
      <c r="AP24" s="29" t="e">
        <f t="shared" si="10"/>
        <v>#N/A</v>
      </c>
      <c r="AQ24" s="29" t="e">
        <f t="shared" si="10"/>
        <v>#N/A</v>
      </c>
      <c r="AR24" s="29" t="e">
        <f t="shared" si="10"/>
        <v>#N/A</v>
      </c>
      <c r="AS24" s="29" t="e">
        <f t="shared" si="10"/>
        <v>#N/A</v>
      </c>
      <c r="AT24" s="29" t="e">
        <f t="shared" si="10"/>
        <v>#N/A</v>
      </c>
      <c r="AU24" s="29" t="e">
        <f t="shared" si="10"/>
        <v>#N/A</v>
      </c>
      <c r="AV24" s="29" t="e">
        <f t="shared" si="10"/>
        <v>#N/A</v>
      </c>
      <c r="AW24" s="29" t="e">
        <f t="shared" si="9"/>
        <v>#N/A</v>
      </c>
      <c r="AX24" s="29" t="e">
        <f t="shared" si="1"/>
        <v>#N/A</v>
      </c>
      <c r="AY24" s="29" t="e">
        <f t="shared" si="1"/>
        <v>#N/A</v>
      </c>
      <c r="AZ24" s="29" t="e">
        <f t="shared" si="1"/>
        <v>#N/A</v>
      </c>
      <c r="BA24" s="29" t="e">
        <f t="shared" ref="BA24:BK35" si="11">(V156-$C$5)/$C$5</f>
        <v>#N/A</v>
      </c>
      <c r="BB24" s="29" t="e">
        <f t="shared" si="11"/>
        <v>#N/A</v>
      </c>
      <c r="BC24" s="29" t="e">
        <f t="shared" si="11"/>
        <v>#N/A</v>
      </c>
      <c r="BD24" s="29" t="e">
        <f t="shared" si="11"/>
        <v>#N/A</v>
      </c>
      <c r="BE24" s="29" t="e">
        <f t="shared" si="11"/>
        <v>#N/A</v>
      </c>
      <c r="BF24" s="29" t="e">
        <f t="shared" si="11"/>
        <v>#N/A</v>
      </c>
      <c r="BG24" s="29" t="e">
        <f t="shared" si="11"/>
        <v>#N/A</v>
      </c>
      <c r="BH24" s="29" t="e">
        <f t="shared" si="11"/>
        <v>#N/A</v>
      </c>
      <c r="BI24" s="29" t="e">
        <f t="shared" si="11"/>
        <v>#N/A</v>
      </c>
      <c r="BJ24" s="29" t="e">
        <f t="shared" si="11"/>
        <v>#N/A</v>
      </c>
      <c r="BK24" s="29" t="e">
        <f t="shared" si="11"/>
        <v>#N/A</v>
      </c>
    </row>
    <row r="25" spans="2:63" x14ac:dyDescent="0.25">
      <c r="B25" s="5" t="s">
        <v>47</v>
      </c>
      <c r="C25" s="38"/>
      <c r="F25" s="5" t="str">
        <f t="shared" si="8"/>
        <v>X</v>
      </c>
      <c r="G25" s="38"/>
      <c r="I25" t="s">
        <v>47</v>
      </c>
      <c r="J25" t="e">
        <f t="shared" si="3"/>
        <v>#N/A</v>
      </c>
      <c r="K25" t="e">
        <f t="shared" si="4"/>
        <v>#N/A</v>
      </c>
      <c r="M25" t="str">
        <f t="shared" si="5"/>
        <v>X</v>
      </c>
      <c r="N25" t="e">
        <f t="shared" si="6"/>
        <v>#N/A</v>
      </c>
      <c r="O25">
        <v>0</v>
      </c>
      <c r="P25" t="e">
        <f t="shared" si="7"/>
        <v>#N/A</v>
      </c>
      <c r="AG25" s="25" t="str">
        <f t="shared" si="2"/>
        <v>X</v>
      </c>
      <c r="AH25" s="29" t="e">
        <f t="shared" si="10"/>
        <v>#N/A</v>
      </c>
      <c r="AI25" s="29" t="e">
        <f t="shared" si="10"/>
        <v>#N/A</v>
      </c>
      <c r="AJ25" s="29" t="e">
        <f t="shared" si="10"/>
        <v>#N/A</v>
      </c>
      <c r="AK25" s="29" t="e">
        <f t="shared" si="10"/>
        <v>#N/A</v>
      </c>
      <c r="AL25" s="29" t="e">
        <f t="shared" si="10"/>
        <v>#N/A</v>
      </c>
      <c r="AM25" s="29" t="e">
        <f t="shared" si="10"/>
        <v>#N/A</v>
      </c>
      <c r="AN25" s="29" t="e">
        <f t="shared" si="10"/>
        <v>#N/A</v>
      </c>
      <c r="AO25" s="29" t="e">
        <f t="shared" si="10"/>
        <v>#N/A</v>
      </c>
      <c r="AP25" s="29" t="e">
        <f t="shared" si="10"/>
        <v>#N/A</v>
      </c>
      <c r="AQ25" s="29" t="e">
        <f t="shared" si="10"/>
        <v>#N/A</v>
      </c>
      <c r="AR25" s="29" t="e">
        <f t="shared" si="10"/>
        <v>#N/A</v>
      </c>
      <c r="AS25" s="29" t="e">
        <f t="shared" si="10"/>
        <v>#N/A</v>
      </c>
      <c r="AT25" s="29" t="e">
        <f t="shared" si="10"/>
        <v>#N/A</v>
      </c>
      <c r="AU25" s="29" t="e">
        <f t="shared" si="10"/>
        <v>#N/A</v>
      </c>
      <c r="AV25" s="29" t="e">
        <f t="shared" si="10"/>
        <v>#N/A</v>
      </c>
      <c r="AW25" s="29" t="e">
        <f t="shared" si="9"/>
        <v>#N/A</v>
      </c>
      <c r="AX25" s="29" t="e">
        <f t="shared" si="9"/>
        <v>#N/A</v>
      </c>
      <c r="AY25" s="29" t="e">
        <f t="shared" si="9"/>
        <v>#N/A</v>
      </c>
      <c r="AZ25" s="29" t="e">
        <f t="shared" si="9"/>
        <v>#N/A</v>
      </c>
      <c r="BA25" s="29" t="e">
        <f t="shared" si="11"/>
        <v>#N/A</v>
      </c>
      <c r="BB25" s="29" t="e">
        <f t="shared" si="11"/>
        <v>#N/A</v>
      </c>
      <c r="BC25" s="29" t="e">
        <f t="shared" si="11"/>
        <v>#N/A</v>
      </c>
      <c r="BD25" s="29" t="e">
        <f t="shared" si="11"/>
        <v>#N/A</v>
      </c>
      <c r="BE25" s="29" t="e">
        <f t="shared" si="11"/>
        <v>#N/A</v>
      </c>
      <c r="BF25" s="29" t="e">
        <f t="shared" si="11"/>
        <v>#N/A</v>
      </c>
      <c r="BG25" s="29" t="e">
        <f t="shared" si="11"/>
        <v>#N/A</v>
      </c>
      <c r="BH25" s="29" t="e">
        <f t="shared" si="11"/>
        <v>#N/A</v>
      </c>
      <c r="BI25" s="29" t="e">
        <f t="shared" si="11"/>
        <v>#N/A</v>
      </c>
      <c r="BJ25" s="29" t="e">
        <f t="shared" si="11"/>
        <v>#N/A</v>
      </c>
      <c r="BK25" s="29" t="e">
        <f t="shared" si="11"/>
        <v>#N/A</v>
      </c>
    </row>
    <row r="26" spans="2:63" x14ac:dyDescent="0.25">
      <c r="B26" s="5" t="s">
        <v>48</v>
      </c>
      <c r="C26" s="38"/>
      <c r="F26" s="5" t="str">
        <f t="shared" si="8"/>
        <v>X</v>
      </c>
      <c r="G26" s="38"/>
      <c r="I26" t="s">
        <v>48</v>
      </c>
      <c r="J26" t="e">
        <f t="shared" si="3"/>
        <v>#N/A</v>
      </c>
      <c r="K26" t="e">
        <f t="shared" si="4"/>
        <v>#N/A</v>
      </c>
      <c r="M26" t="str">
        <f t="shared" si="5"/>
        <v>X</v>
      </c>
      <c r="N26" t="e">
        <f t="shared" si="6"/>
        <v>#N/A</v>
      </c>
      <c r="O26">
        <v>0</v>
      </c>
      <c r="P26" t="e">
        <f t="shared" si="7"/>
        <v>#N/A</v>
      </c>
      <c r="AG26" s="25" t="str">
        <f t="shared" si="2"/>
        <v>X</v>
      </c>
      <c r="AH26" s="29" t="e">
        <f t="shared" si="10"/>
        <v>#N/A</v>
      </c>
      <c r="AI26" s="29" t="e">
        <f t="shared" si="10"/>
        <v>#N/A</v>
      </c>
      <c r="AJ26" s="29" t="e">
        <f t="shared" si="10"/>
        <v>#N/A</v>
      </c>
      <c r="AK26" s="29" t="e">
        <f t="shared" si="10"/>
        <v>#N/A</v>
      </c>
      <c r="AL26" s="29" t="e">
        <f t="shared" si="10"/>
        <v>#N/A</v>
      </c>
      <c r="AM26" s="29" t="e">
        <f t="shared" si="10"/>
        <v>#N/A</v>
      </c>
      <c r="AN26" s="29" t="e">
        <f t="shared" si="10"/>
        <v>#N/A</v>
      </c>
      <c r="AO26" s="29" t="e">
        <f t="shared" si="10"/>
        <v>#N/A</v>
      </c>
      <c r="AP26" s="29" t="e">
        <f t="shared" si="10"/>
        <v>#N/A</v>
      </c>
      <c r="AQ26" s="29" t="e">
        <f t="shared" si="10"/>
        <v>#N/A</v>
      </c>
      <c r="AR26" s="29" t="e">
        <f t="shared" si="10"/>
        <v>#N/A</v>
      </c>
      <c r="AS26" s="29" t="e">
        <f t="shared" si="10"/>
        <v>#N/A</v>
      </c>
      <c r="AT26" s="29" t="e">
        <f t="shared" si="10"/>
        <v>#N/A</v>
      </c>
      <c r="AU26" s="29" t="e">
        <f t="shared" si="10"/>
        <v>#N/A</v>
      </c>
      <c r="AV26" s="29" t="e">
        <f t="shared" si="10"/>
        <v>#N/A</v>
      </c>
      <c r="AW26" s="29" t="e">
        <f t="shared" si="9"/>
        <v>#N/A</v>
      </c>
      <c r="AX26" s="29" t="e">
        <f t="shared" si="9"/>
        <v>#N/A</v>
      </c>
      <c r="AY26" s="29" t="e">
        <f t="shared" si="9"/>
        <v>#N/A</v>
      </c>
      <c r="AZ26" s="29" t="e">
        <f t="shared" si="9"/>
        <v>#N/A</v>
      </c>
      <c r="BA26" s="29" t="e">
        <f t="shared" si="11"/>
        <v>#N/A</v>
      </c>
      <c r="BB26" s="29" t="e">
        <f t="shared" si="11"/>
        <v>#N/A</v>
      </c>
      <c r="BC26" s="29" t="e">
        <f t="shared" si="11"/>
        <v>#N/A</v>
      </c>
      <c r="BD26" s="29" t="e">
        <f t="shared" si="11"/>
        <v>#N/A</v>
      </c>
      <c r="BE26" s="29" t="e">
        <f t="shared" si="11"/>
        <v>#N/A</v>
      </c>
      <c r="BF26" s="29" t="e">
        <f t="shared" si="11"/>
        <v>#N/A</v>
      </c>
      <c r="BG26" s="29" t="e">
        <f t="shared" si="11"/>
        <v>#N/A</v>
      </c>
      <c r="BH26" s="29" t="e">
        <f t="shared" si="11"/>
        <v>#N/A</v>
      </c>
      <c r="BI26" s="29" t="e">
        <f t="shared" si="11"/>
        <v>#N/A</v>
      </c>
      <c r="BJ26" s="29" t="e">
        <f t="shared" si="11"/>
        <v>#N/A</v>
      </c>
      <c r="BK26" s="29" t="e">
        <f t="shared" si="11"/>
        <v>#N/A</v>
      </c>
    </row>
    <row r="27" spans="2:63" x14ac:dyDescent="0.25">
      <c r="B27" s="5" t="s">
        <v>49</v>
      </c>
      <c r="C27" s="38"/>
      <c r="F27" s="5" t="str">
        <f t="shared" si="8"/>
        <v>X</v>
      </c>
      <c r="G27" s="38"/>
      <c r="I27" t="s">
        <v>49</v>
      </c>
      <c r="J27" t="e">
        <f t="shared" si="3"/>
        <v>#N/A</v>
      </c>
      <c r="K27" t="e">
        <f t="shared" si="4"/>
        <v>#N/A</v>
      </c>
      <c r="M27" t="str">
        <f t="shared" si="5"/>
        <v>X</v>
      </c>
      <c r="N27" t="e">
        <f t="shared" si="6"/>
        <v>#N/A</v>
      </c>
      <c r="O27">
        <v>0</v>
      </c>
      <c r="P27" t="e">
        <f t="shared" si="7"/>
        <v>#N/A</v>
      </c>
      <c r="AG27" s="25" t="str">
        <f t="shared" si="2"/>
        <v>X</v>
      </c>
      <c r="AH27" s="29" t="e">
        <f t="shared" si="10"/>
        <v>#N/A</v>
      </c>
      <c r="AI27" s="29" t="e">
        <f t="shared" si="10"/>
        <v>#N/A</v>
      </c>
      <c r="AJ27" s="29" t="e">
        <f t="shared" si="10"/>
        <v>#N/A</v>
      </c>
      <c r="AK27" s="29" t="e">
        <f t="shared" si="10"/>
        <v>#N/A</v>
      </c>
      <c r="AL27" s="29" t="e">
        <f t="shared" si="10"/>
        <v>#N/A</v>
      </c>
      <c r="AM27" s="29" t="e">
        <f t="shared" si="10"/>
        <v>#N/A</v>
      </c>
      <c r="AN27" s="29" t="e">
        <f t="shared" si="10"/>
        <v>#N/A</v>
      </c>
      <c r="AO27" s="29" t="e">
        <f t="shared" si="10"/>
        <v>#N/A</v>
      </c>
      <c r="AP27" s="29" t="e">
        <f t="shared" si="10"/>
        <v>#N/A</v>
      </c>
      <c r="AQ27" s="29" t="e">
        <f t="shared" si="10"/>
        <v>#N/A</v>
      </c>
      <c r="AR27" s="29" t="e">
        <f t="shared" si="10"/>
        <v>#N/A</v>
      </c>
      <c r="AS27" s="29" t="e">
        <f t="shared" si="10"/>
        <v>#N/A</v>
      </c>
      <c r="AT27" s="29" t="e">
        <f t="shared" si="10"/>
        <v>#N/A</v>
      </c>
      <c r="AU27" s="29" t="e">
        <f t="shared" si="10"/>
        <v>#N/A</v>
      </c>
      <c r="AV27" s="29" t="e">
        <f t="shared" si="10"/>
        <v>#N/A</v>
      </c>
      <c r="AW27" s="29" t="e">
        <f t="shared" si="9"/>
        <v>#N/A</v>
      </c>
      <c r="AX27" s="29" t="e">
        <f t="shared" si="9"/>
        <v>#N/A</v>
      </c>
      <c r="AY27" s="29" t="e">
        <f t="shared" si="9"/>
        <v>#N/A</v>
      </c>
      <c r="AZ27" s="29" t="e">
        <f t="shared" si="9"/>
        <v>#N/A</v>
      </c>
      <c r="BA27" s="29" t="e">
        <f t="shared" si="11"/>
        <v>#N/A</v>
      </c>
      <c r="BB27" s="29" t="e">
        <f t="shared" si="11"/>
        <v>#N/A</v>
      </c>
      <c r="BC27" s="29" t="e">
        <f t="shared" si="11"/>
        <v>#N/A</v>
      </c>
      <c r="BD27" s="29" t="e">
        <f t="shared" si="11"/>
        <v>#N/A</v>
      </c>
      <c r="BE27" s="29" t="e">
        <f t="shared" si="11"/>
        <v>#N/A</v>
      </c>
      <c r="BF27" s="29" t="e">
        <f t="shared" si="11"/>
        <v>#N/A</v>
      </c>
      <c r="BG27" s="29" t="e">
        <f t="shared" si="11"/>
        <v>#N/A</v>
      </c>
      <c r="BH27" s="29" t="e">
        <f t="shared" si="11"/>
        <v>#N/A</v>
      </c>
      <c r="BI27" s="29" t="e">
        <f t="shared" si="11"/>
        <v>#N/A</v>
      </c>
      <c r="BJ27" s="29" t="e">
        <f t="shared" si="11"/>
        <v>#N/A</v>
      </c>
      <c r="BK27" s="29" t="e">
        <f t="shared" si="11"/>
        <v>#N/A</v>
      </c>
    </row>
    <row r="28" spans="2:63" x14ac:dyDescent="0.25">
      <c r="B28" s="5" t="s">
        <v>50</v>
      </c>
      <c r="C28" s="38"/>
      <c r="F28" s="5" t="str">
        <f t="shared" si="8"/>
        <v>X</v>
      </c>
      <c r="G28" s="38"/>
      <c r="I28" t="s">
        <v>50</v>
      </c>
      <c r="J28" t="e">
        <f t="shared" si="3"/>
        <v>#N/A</v>
      </c>
      <c r="K28" t="e">
        <f t="shared" si="4"/>
        <v>#N/A</v>
      </c>
      <c r="M28" t="str">
        <f t="shared" si="5"/>
        <v>X</v>
      </c>
      <c r="N28" t="e">
        <f t="shared" si="6"/>
        <v>#N/A</v>
      </c>
      <c r="O28">
        <v>0</v>
      </c>
      <c r="P28" t="e">
        <f t="shared" si="7"/>
        <v>#N/A</v>
      </c>
      <c r="AG28" s="25" t="str">
        <f t="shared" si="2"/>
        <v>X</v>
      </c>
      <c r="AH28" s="29" t="e">
        <f t="shared" si="10"/>
        <v>#N/A</v>
      </c>
      <c r="AI28" s="29" t="e">
        <f t="shared" si="10"/>
        <v>#N/A</v>
      </c>
      <c r="AJ28" s="29" t="e">
        <f t="shared" si="10"/>
        <v>#N/A</v>
      </c>
      <c r="AK28" s="29" t="e">
        <f t="shared" si="10"/>
        <v>#N/A</v>
      </c>
      <c r="AL28" s="29" t="e">
        <f t="shared" si="10"/>
        <v>#N/A</v>
      </c>
      <c r="AM28" s="29" t="e">
        <f t="shared" si="10"/>
        <v>#N/A</v>
      </c>
      <c r="AN28" s="29" t="e">
        <f t="shared" si="10"/>
        <v>#N/A</v>
      </c>
      <c r="AO28" s="29" t="e">
        <f t="shared" si="10"/>
        <v>#N/A</v>
      </c>
      <c r="AP28" s="29" t="e">
        <f t="shared" si="10"/>
        <v>#N/A</v>
      </c>
      <c r="AQ28" s="29" t="e">
        <f t="shared" si="10"/>
        <v>#N/A</v>
      </c>
      <c r="AR28" s="29" t="e">
        <f t="shared" si="10"/>
        <v>#N/A</v>
      </c>
      <c r="AS28" s="29" t="e">
        <f t="shared" si="10"/>
        <v>#N/A</v>
      </c>
      <c r="AT28" s="29" t="e">
        <f t="shared" si="10"/>
        <v>#N/A</v>
      </c>
      <c r="AU28" s="29" t="e">
        <f t="shared" si="10"/>
        <v>#N/A</v>
      </c>
      <c r="AV28" s="29" t="e">
        <f t="shared" si="10"/>
        <v>#N/A</v>
      </c>
      <c r="AW28" s="29" t="e">
        <f t="shared" si="9"/>
        <v>#N/A</v>
      </c>
      <c r="AX28" s="29" t="e">
        <f t="shared" si="9"/>
        <v>#N/A</v>
      </c>
      <c r="AY28" s="29" t="e">
        <f t="shared" si="9"/>
        <v>#N/A</v>
      </c>
      <c r="AZ28" s="29" t="e">
        <f t="shared" si="9"/>
        <v>#N/A</v>
      </c>
      <c r="BA28" s="29" t="e">
        <f t="shared" si="11"/>
        <v>#N/A</v>
      </c>
      <c r="BB28" s="29" t="e">
        <f t="shared" si="11"/>
        <v>#N/A</v>
      </c>
      <c r="BC28" s="29" t="e">
        <f t="shared" si="11"/>
        <v>#N/A</v>
      </c>
      <c r="BD28" s="29" t="e">
        <f t="shared" si="11"/>
        <v>#N/A</v>
      </c>
      <c r="BE28" s="29" t="e">
        <f t="shared" si="11"/>
        <v>#N/A</v>
      </c>
      <c r="BF28" s="29" t="e">
        <f t="shared" si="11"/>
        <v>#N/A</v>
      </c>
      <c r="BG28" s="29" t="e">
        <f t="shared" si="11"/>
        <v>#N/A</v>
      </c>
      <c r="BH28" s="29" t="e">
        <f t="shared" si="11"/>
        <v>#N/A</v>
      </c>
      <c r="BI28" s="29" t="e">
        <f t="shared" si="11"/>
        <v>#N/A</v>
      </c>
      <c r="BJ28" s="29" t="e">
        <f t="shared" si="11"/>
        <v>#N/A</v>
      </c>
      <c r="BK28" s="29" t="e">
        <f t="shared" si="11"/>
        <v>#N/A</v>
      </c>
    </row>
    <row r="29" spans="2:63" x14ac:dyDescent="0.25">
      <c r="B29" s="5" t="s">
        <v>51</v>
      </c>
      <c r="C29" s="38"/>
      <c r="F29" s="5" t="str">
        <f t="shared" si="8"/>
        <v>X</v>
      </c>
      <c r="G29" s="38"/>
      <c r="I29" t="s">
        <v>51</v>
      </c>
      <c r="J29" t="e">
        <f t="shared" si="3"/>
        <v>#N/A</v>
      </c>
      <c r="K29" t="e">
        <f t="shared" si="4"/>
        <v>#N/A</v>
      </c>
      <c r="M29" t="str">
        <f t="shared" si="5"/>
        <v>X</v>
      </c>
      <c r="N29" t="e">
        <f t="shared" si="6"/>
        <v>#N/A</v>
      </c>
      <c r="O29">
        <v>0</v>
      </c>
      <c r="P29" t="e">
        <f t="shared" si="7"/>
        <v>#N/A</v>
      </c>
      <c r="AG29" s="25" t="str">
        <f t="shared" si="2"/>
        <v>X</v>
      </c>
      <c r="AH29" s="29" t="e">
        <f t="shared" si="10"/>
        <v>#N/A</v>
      </c>
      <c r="AI29" s="29" t="e">
        <f t="shared" si="10"/>
        <v>#N/A</v>
      </c>
      <c r="AJ29" s="29" t="e">
        <f t="shared" si="10"/>
        <v>#N/A</v>
      </c>
      <c r="AK29" s="29" t="e">
        <f t="shared" si="10"/>
        <v>#N/A</v>
      </c>
      <c r="AL29" s="29" t="e">
        <f t="shared" si="10"/>
        <v>#N/A</v>
      </c>
      <c r="AM29" s="29" t="e">
        <f t="shared" si="10"/>
        <v>#N/A</v>
      </c>
      <c r="AN29" s="29" t="e">
        <f t="shared" si="10"/>
        <v>#N/A</v>
      </c>
      <c r="AO29" s="29" t="e">
        <f t="shared" si="10"/>
        <v>#N/A</v>
      </c>
      <c r="AP29" s="29" t="e">
        <f t="shared" si="10"/>
        <v>#N/A</v>
      </c>
      <c r="AQ29" s="29" t="e">
        <f t="shared" si="10"/>
        <v>#N/A</v>
      </c>
      <c r="AR29" s="29" t="e">
        <f t="shared" si="10"/>
        <v>#N/A</v>
      </c>
      <c r="AS29" s="29" t="e">
        <f t="shared" si="10"/>
        <v>#N/A</v>
      </c>
      <c r="AT29" s="29" t="e">
        <f t="shared" si="10"/>
        <v>#N/A</v>
      </c>
      <c r="AU29" s="29" t="e">
        <f t="shared" si="10"/>
        <v>#N/A</v>
      </c>
      <c r="AV29" s="29" t="e">
        <f t="shared" si="10"/>
        <v>#N/A</v>
      </c>
      <c r="AW29" s="29" t="e">
        <f t="shared" si="9"/>
        <v>#N/A</v>
      </c>
      <c r="AX29" s="29" t="e">
        <f t="shared" si="9"/>
        <v>#N/A</v>
      </c>
      <c r="AY29" s="29" t="e">
        <f t="shared" si="9"/>
        <v>#N/A</v>
      </c>
      <c r="AZ29" s="29" t="e">
        <f t="shared" si="9"/>
        <v>#N/A</v>
      </c>
      <c r="BA29" s="29" t="e">
        <f t="shared" si="11"/>
        <v>#N/A</v>
      </c>
      <c r="BB29" s="29" t="e">
        <f t="shared" si="11"/>
        <v>#N/A</v>
      </c>
      <c r="BC29" s="29" t="e">
        <f t="shared" si="11"/>
        <v>#N/A</v>
      </c>
      <c r="BD29" s="29" t="e">
        <f t="shared" si="11"/>
        <v>#N/A</v>
      </c>
      <c r="BE29" s="29" t="e">
        <f t="shared" si="11"/>
        <v>#N/A</v>
      </c>
      <c r="BF29" s="29" t="e">
        <f t="shared" si="11"/>
        <v>#N/A</v>
      </c>
      <c r="BG29" s="29" t="e">
        <f t="shared" si="11"/>
        <v>#N/A</v>
      </c>
      <c r="BH29" s="29" t="e">
        <f t="shared" si="11"/>
        <v>#N/A</v>
      </c>
      <c r="BI29" s="29" t="e">
        <f t="shared" si="11"/>
        <v>#N/A</v>
      </c>
      <c r="BJ29" s="29" t="e">
        <f t="shared" si="11"/>
        <v>#N/A</v>
      </c>
      <c r="BK29" s="29" t="e">
        <f t="shared" si="11"/>
        <v>#N/A</v>
      </c>
    </row>
    <row r="30" spans="2:63" x14ac:dyDescent="0.25">
      <c r="B30" s="5" t="s">
        <v>52</v>
      </c>
      <c r="C30" s="38"/>
      <c r="F30" s="5" t="str">
        <f t="shared" si="8"/>
        <v>X</v>
      </c>
      <c r="G30" s="38"/>
      <c r="I30" t="s">
        <v>52</v>
      </c>
      <c r="J30" t="e">
        <f t="shared" si="3"/>
        <v>#N/A</v>
      </c>
      <c r="K30" t="e">
        <f t="shared" si="4"/>
        <v>#N/A</v>
      </c>
      <c r="M30" t="str">
        <f t="shared" si="5"/>
        <v>X</v>
      </c>
      <c r="N30" t="e">
        <f t="shared" si="6"/>
        <v>#N/A</v>
      </c>
      <c r="O30">
        <v>0</v>
      </c>
      <c r="P30" t="e">
        <f t="shared" si="7"/>
        <v>#N/A</v>
      </c>
      <c r="AG30" s="25" t="str">
        <f t="shared" si="2"/>
        <v>X</v>
      </c>
      <c r="AH30" s="29" t="e">
        <f t="shared" si="10"/>
        <v>#N/A</v>
      </c>
      <c r="AI30" s="29" t="e">
        <f t="shared" si="10"/>
        <v>#N/A</v>
      </c>
      <c r="AJ30" s="29" t="e">
        <f t="shared" si="10"/>
        <v>#N/A</v>
      </c>
      <c r="AK30" s="29" t="e">
        <f t="shared" si="10"/>
        <v>#N/A</v>
      </c>
      <c r="AL30" s="29" t="e">
        <f t="shared" si="10"/>
        <v>#N/A</v>
      </c>
      <c r="AM30" s="29" t="e">
        <f t="shared" si="10"/>
        <v>#N/A</v>
      </c>
      <c r="AN30" s="29" t="e">
        <f t="shared" si="10"/>
        <v>#N/A</v>
      </c>
      <c r="AO30" s="29" t="e">
        <f t="shared" si="10"/>
        <v>#N/A</v>
      </c>
      <c r="AP30" s="29" t="e">
        <f t="shared" si="10"/>
        <v>#N/A</v>
      </c>
      <c r="AQ30" s="29" t="e">
        <f t="shared" si="10"/>
        <v>#N/A</v>
      </c>
      <c r="AR30" s="29" t="e">
        <f t="shared" si="10"/>
        <v>#N/A</v>
      </c>
      <c r="AS30" s="29" t="e">
        <f t="shared" si="10"/>
        <v>#N/A</v>
      </c>
      <c r="AT30" s="29" t="e">
        <f t="shared" si="10"/>
        <v>#N/A</v>
      </c>
      <c r="AU30" s="29" t="e">
        <f t="shared" si="10"/>
        <v>#N/A</v>
      </c>
      <c r="AV30" s="29" t="e">
        <f t="shared" si="10"/>
        <v>#N/A</v>
      </c>
      <c r="AW30" s="29" t="e">
        <f t="shared" si="9"/>
        <v>#N/A</v>
      </c>
      <c r="AX30" s="29" t="e">
        <f t="shared" si="9"/>
        <v>#N/A</v>
      </c>
      <c r="AY30" s="29" t="e">
        <f t="shared" si="9"/>
        <v>#N/A</v>
      </c>
      <c r="AZ30" s="29" t="e">
        <f t="shared" si="9"/>
        <v>#N/A</v>
      </c>
      <c r="BA30" s="29" t="e">
        <f t="shared" si="11"/>
        <v>#N/A</v>
      </c>
      <c r="BB30" s="29" t="e">
        <f t="shared" si="11"/>
        <v>#N/A</v>
      </c>
      <c r="BC30" s="29" t="e">
        <f t="shared" si="11"/>
        <v>#N/A</v>
      </c>
      <c r="BD30" s="29" t="e">
        <f t="shared" si="11"/>
        <v>#N/A</v>
      </c>
      <c r="BE30" s="29" t="e">
        <f t="shared" si="11"/>
        <v>#N/A</v>
      </c>
      <c r="BF30" s="29" t="e">
        <f t="shared" si="11"/>
        <v>#N/A</v>
      </c>
      <c r="BG30" s="29" t="e">
        <f t="shared" si="11"/>
        <v>#N/A</v>
      </c>
      <c r="BH30" s="29" t="e">
        <f t="shared" si="11"/>
        <v>#N/A</v>
      </c>
      <c r="BI30" s="29" t="e">
        <f t="shared" si="11"/>
        <v>#N/A</v>
      </c>
      <c r="BJ30" s="29" t="e">
        <f t="shared" si="11"/>
        <v>#N/A</v>
      </c>
      <c r="BK30" s="29" t="e">
        <f t="shared" si="11"/>
        <v>#N/A</v>
      </c>
    </row>
    <row r="31" spans="2:63" x14ac:dyDescent="0.25">
      <c r="B31" s="5" t="s">
        <v>53</v>
      </c>
      <c r="C31" s="38"/>
      <c r="F31" s="5" t="str">
        <f t="shared" si="8"/>
        <v>X</v>
      </c>
      <c r="G31" s="38"/>
      <c r="I31" t="s">
        <v>53</v>
      </c>
      <c r="J31" t="e">
        <f t="shared" si="3"/>
        <v>#N/A</v>
      </c>
      <c r="K31" t="e">
        <f t="shared" si="4"/>
        <v>#N/A</v>
      </c>
      <c r="M31" t="str">
        <f t="shared" si="5"/>
        <v>X</v>
      </c>
      <c r="N31" t="e">
        <f t="shared" si="6"/>
        <v>#N/A</v>
      </c>
      <c r="O31">
        <v>0</v>
      </c>
      <c r="P31" t="e">
        <f t="shared" si="7"/>
        <v>#N/A</v>
      </c>
      <c r="AG31" s="25" t="str">
        <f t="shared" si="2"/>
        <v>X</v>
      </c>
      <c r="AH31" s="29" t="e">
        <f t="shared" si="10"/>
        <v>#N/A</v>
      </c>
      <c r="AI31" s="29" t="e">
        <f t="shared" si="10"/>
        <v>#N/A</v>
      </c>
      <c r="AJ31" s="29" t="e">
        <f t="shared" si="10"/>
        <v>#N/A</v>
      </c>
      <c r="AK31" s="29" t="e">
        <f t="shared" si="10"/>
        <v>#N/A</v>
      </c>
      <c r="AL31" s="29" t="e">
        <f t="shared" si="10"/>
        <v>#N/A</v>
      </c>
      <c r="AM31" s="29" t="e">
        <f t="shared" si="10"/>
        <v>#N/A</v>
      </c>
      <c r="AN31" s="29" t="e">
        <f t="shared" si="10"/>
        <v>#N/A</v>
      </c>
      <c r="AO31" s="29" t="e">
        <f t="shared" si="10"/>
        <v>#N/A</v>
      </c>
      <c r="AP31" s="29" t="e">
        <f t="shared" si="10"/>
        <v>#N/A</v>
      </c>
      <c r="AQ31" s="29" t="e">
        <f t="shared" si="10"/>
        <v>#N/A</v>
      </c>
      <c r="AR31" s="29" t="e">
        <f t="shared" si="10"/>
        <v>#N/A</v>
      </c>
      <c r="AS31" s="29" t="e">
        <f t="shared" si="10"/>
        <v>#N/A</v>
      </c>
      <c r="AT31" s="29" t="e">
        <f t="shared" si="10"/>
        <v>#N/A</v>
      </c>
      <c r="AU31" s="29" t="e">
        <f t="shared" si="10"/>
        <v>#N/A</v>
      </c>
      <c r="AV31" s="29" t="e">
        <f t="shared" si="10"/>
        <v>#N/A</v>
      </c>
      <c r="AW31" s="29" t="e">
        <f t="shared" si="9"/>
        <v>#N/A</v>
      </c>
      <c r="AX31" s="29" t="e">
        <f t="shared" si="9"/>
        <v>#N/A</v>
      </c>
      <c r="AY31" s="29" t="e">
        <f t="shared" si="9"/>
        <v>#N/A</v>
      </c>
      <c r="AZ31" s="29" t="e">
        <f t="shared" si="9"/>
        <v>#N/A</v>
      </c>
      <c r="BA31" s="29" t="e">
        <f t="shared" si="11"/>
        <v>#N/A</v>
      </c>
      <c r="BB31" s="29" t="e">
        <f t="shared" si="11"/>
        <v>#N/A</v>
      </c>
      <c r="BC31" s="29" t="e">
        <f t="shared" si="11"/>
        <v>#N/A</v>
      </c>
      <c r="BD31" s="29" t="e">
        <f t="shared" si="11"/>
        <v>#N/A</v>
      </c>
      <c r="BE31" s="29" t="e">
        <f t="shared" si="11"/>
        <v>#N/A</v>
      </c>
      <c r="BF31" s="29" t="e">
        <f t="shared" si="11"/>
        <v>#N/A</v>
      </c>
      <c r="BG31" s="29" t="e">
        <f t="shared" si="11"/>
        <v>#N/A</v>
      </c>
      <c r="BH31" s="29" t="e">
        <f t="shared" si="11"/>
        <v>#N/A</v>
      </c>
      <c r="BI31" s="29" t="e">
        <f t="shared" si="11"/>
        <v>#N/A</v>
      </c>
      <c r="BJ31" s="29" t="e">
        <f t="shared" si="11"/>
        <v>#N/A</v>
      </c>
      <c r="BK31" s="29" t="e">
        <f t="shared" si="11"/>
        <v>#N/A</v>
      </c>
    </row>
    <row r="32" spans="2:63" x14ac:dyDescent="0.25">
      <c r="B32" s="5" t="s">
        <v>54</v>
      </c>
      <c r="C32" s="38"/>
      <c r="F32" s="5" t="str">
        <f t="shared" si="8"/>
        <v>X</v>
      </c>
      <c r="G32" s="38"/>
      <c r="I32" t="s">
        <v>54</v>
      </c>
      <c r="J32" t="e">
        <f t="shared" si="3"/>
        <v>#N/A</v>
      </c>
      <c r="K32" t="e">
        <f t="shared" si="4"/>
        <v>#N/A</v>
      </c>
      <c r="M32" t="str">
        <f t="shared" si="5"/>
        <v>X</v>
      </c>
      <c r="N32" t="e">
        <f t="shared" si="6"/>
        <v>#N/A</v>
      </c>
      <c r="O32">
        <v>0</v>
      </c>
      <c r="P32" t="e">
        <f t="shared" si="7"/>
        <v>#N/A</v>
      </c>
      <c r="AG32" s="25" t="str">
        <f t="shared" si="2"/>
        <v>X</v>
      </c>
      <c r="AH32" s="29" t="e">
        <f t="shared" si="10"/>
        <v>#N/A</v>
      </c>
      <c r="AI32" s="29" t="e">
        <f t="shared" si="10"/>
        <v>#N/A</v>
      </c>
      <c r="AJ32" s="29" t="e">
        <f t="shared" si="10"/>
        <v>#N/A</v>
      </c>
      <c r="AK32" s="29" t="e">
        <f t="shared" si="10"/>
        <v>#N/A</v>
      </c>
      <c r="AL32" s="29" t="e">
        <f t="shared" si="10"/>
        <v>#N/A</v>
      </c>
      <c r="AM32" s="29" t="e">
        <f t="shared" si="10"/>
        <v>#N/A</v>
      </c>
      <c r="AN32" s="29" t="e">
        <f t="shared" si="10"/>
        <v>#N/A</v>
      </c>
      <c r="AO32" s="29" t="e">
        <f t="shared" si="10"/>
        <v>#N/A</v>
      </c>
      <c r="AP32" s="29" t="e">
        <f t="shared" si="10"/>
        <v>#N/A</v>
      </c>
      <c r="AQ32" s="29" t="e">
        <f t="shared" si="10"/>
        <v>#N/A</v>
      </c>
      <c r="AR32" s="29" t="e">
        <f t="shared" si="10"/>
        <v>#N/A</v>
      </c>
      <c r="AS32" s="29" t="e">
        <f t="shared" si="10"/>
        <v>#N/A</v>
      </c>
      <c r="AT32" s="29" t="e">
        <f t="shared" si="10"/>
        <v>#N/A</v>
      </c>
      <c r="AU32" s="29" t="e">
        <f t="shared" si="10"/>
        <v>#N/A</v>
      </c>
      <c r="AV32" s="29" t="e">
        <f t="shared" si="10"/>
        <v>#N/A</v>
      </c>
      <c r="AW32" s="29" t="e">
        <f t="shared" si="9"/>
        <v>#N/A</v>
      </c>
      <c r="AX32" s="29" t="e">
        <f t="shared" si="9"/>
        <v>#N/A</v>
      </c>
      <c r="AY32" s="29" t="e">
        <f t="shared" si="9"/>
        <v>#N/A</v>
      </c>
      <c r="AZ32" s="29" t="e">
        <f t="shared" si="9"/>
        <v>#N/A</v>
      </c>
      <c r="BA32" s="29" t="e">
        <f t="shared" si="11"/>
        <v>#N/A</v>
      </c>
      <c r="BB32" s="29" t="e">
        <f t="shared" si="11"/>
        <v>#N/A</v>
      </c>
      <c r="BC32" s="29" t="e">
        <f t="shared" si="11"/>
        <v>#N/A</v>
      </c>
      <c r="BD32" s="29" t="e">
        <f t="shared" si="11"/>
        <v>#N/A</v>
      </c>
      <c r="BE32" s="29" t="e">
        <f t="shared" si="11"/>
        <v>#N/A</v>
      </c>
      <c r="BF32" s="29" t="e">
        <f t="shared" si="11"/>
        <v>#N/A</v>
      </c>
      <c r="BG32" s="29" t="e">
        <f t="shared" si="11"/>
        <v>#N/A</v>
      </c>
      <c r="BH32" s="29" t="e">
        <f t="shared" si="11"/>
        <v>#N/A</v>
      </c>
      <c r="BI32" s="29" t="e">
        <f t="shared" si="11"/>
        <v>#N/A</v>
      </c>
      <c r="BJ32" s="29" t="e">
        <f t="shared" si="11"/>
        <v>#N/A</v>
      </c>
      <c r="BK32" s="29" t="e">
        <f t="shared" si="11"/>
        <v>#N/A</v>
      </c>
    </row>
    <row r="33" spans="2:63" x14ac:dyDescent="0.25">
      <c r="B33" s="5" t="s">
        <v>55</v>
      </c>
      <c r="C33" s="38"/>
      <c r="F33" s="5" t="str">
        <f t="shared" si="8"/>
        <v>X</v>
      </c>
      <c r="G33" s="38"/>
      <c r="I33" t="s">
        <v>55</v>
      </c>
      <c r="J33" t="e">
        <f t="shared" si="3"/>
        <v>#N/A</v>
      </c>
      <c r="K33" t="e">
        <f t="shared" si="4"/>
        <v>#N/A</v>
      </c>
      <c r="M33" t="str">
        <f t="shared" si="5"/>
        <v>X</v>
      </c>
      <c r="N33" t="e">
        <f t="shared" si="6"/>
        <v>#N/A</v>
      </c>
      <c r="O33">
        <v>0</v>
      </c>
      <c r="P33" t="e">
        <f t="shared" si="7"/>
        <v>#N/A</v>
      </c>
      <c r="AG33" s="25" t="str">
        <f t="shared" si="2"/>
        <v>X</v>
      </c>
      <c r="AH33" s="29" t="e">
        <f t="shared" si="10"/>
        <v>#N/A</v>
      </c>
      <c r="AI33" s="29" t="e">
        <f t="shared" si="10"/>
        <v>#N/A</v>
      </c>
      <c r="AJ33" s="29" t="e">
        <f t="shared" si="10"/>
        <v>#N/A</v>
      </c>
      <c r="AK33" s="29" t="e">
        <f t="shared" si="10"/>
        <v>#N/A</v>
      </c>
      <c r="AL33" s="29" t="e">
        <f t="shared" si="10"/>
        <v>#N/A</v>
      </c>
      <c r="AM33" s="29" t="e">
        <f t="shared" si="10"/>
        <v>#N/A</v>
      </c>
      <c r="AN33" s="29" t="e">
        <f t="shared" si="10"/>
        <v>#N/A</v>
      </c>
      <c r="AO33" s="29" t="e">
        <f t="shared" si="10"/>
        <v>#N/A</v>
      </c>
      <c r="AP33" s="29" t="e">
        <f t="shared" si="10"/>
        <v>#N/A</v>
      </c>
      <c r="AQ33" s="29" t="e">
        <f t="shared" si="10"/>
        <v>#N/A</v>
      </c>
      <c r="AR33" s="29" t="e">
        <f t="shared" si="10"/>
        <v>#N/A</v>
      </c>
      <c r="AS33" s="29" t="e">
        <f t="shared" si="10"/>
        <v>#N/A</v>
      </c>
      <c r="AT33" s="29" t="e">
        <f t="shared" si="10"/>
        <v>#N/A</v>
      </c>
      <c r="AU33" s="29" t="e">
        <f t="shared" si="10"/>
        <v>#N/A</v>
      </c>
      <c r="AV33" s="29" t="e">
        <f t="shared" si="10"/>
        <v>#N/A</v>
      </c>
      <c r="AW33" s="29" t="e">
        <f t="shared" si="9"/>
        <v>#N/A</v>
      </c>
      <c r="AX33" s="29" t="e">
        <f t="shared" si="9"/>
        <v>#N/A</v>
      </c>
      <c r="AY33" s="29" t="e">
        <f t="shared" si="9"/>
        <v>#N/A</v>
      </c>
      <c r="AZ33" s="29" t="e">
        <f t="shared" si="9"/>
        <v>#N/A</v>
      </c>
      <c r="BA33" s="29" t="e">
        <f t="shared" si="11"/>
        <v>#N/A</v>
      </c>
      <c r="BB33" s="29" t="e">
        <f t="shared" si="11"/>
        <v>#N/A</v>
      </c>
      <c r="BC33" s="29" t="e">
        <f t="shared" si="11"/>
        <v>#N/A</v>
      </c>
      <c r="BD33" s="29" t="e">
        <f t="shared" si="11"/>
        <v>#N/A</v>
      </c>
      <c r="BE33" s="29" t="e">
        <f t="shared" si="11"/>
        <v>#N/A</v>
      </c>
      <c r="BF33" s="29" t="e">
        <f t="shared" si="11"/>
        <v>#N/A</v>
      </c>
      <c r="BG33" s="29" t="e">
        <f t="shared" si="11"/>
        <v>#N/A</v>
      </c>
      <c r="BH33" s="29" t="e">
        <f t="shared" si="11"/>
        <v>#N/A</v>
      </c>
      <c r="BI33" s="29" t="e">
        <f t="shared" si="11"/>
        <v>#N/A</v>
      </c>
      <c r="BJ33" s="29" t="e">
        <f t="shared" si="11"/>
        <v>#N/A</v>
      </c>
      <c r="BK33" s="29" t="e">
        <f t="shared" si="11"/>
        <v>#N/A</v>
      </c>
    </row>
    <row r="34" spans="2:63" x14ac:dyDescent="0.25">
      <c r="B34" s="5" t="s">
        <v>56</v>
      </c>
      <c r="C34" s="38"/>
      <c r="F34" s="5" t="str">
        <f t="shared" si="8"/>
        <v>X</v>
      </c>
      <c r="G34" s="38"/>
      <c r="I34" t="s">
        <v>56</v>
      </c>
      <c r="J34" t="e">
        <f t="shared" si="3"/>
        <v>#N/A</v>
      </c>
      <c r="K34" t="e">
        <f t="shared" si="4"/>
        <v>#N/A</v>
      </c>
      <c r="M34" t="str">
        <f t="shared" si="5"/>
        <v>X</v>
      </c>
      <c r="N34" t="e">
        <f t="shared" si="6"/>
        <v>#N/A</v>
      </c>
      <c r="O34">
        <v>0</v>
      </c>
      <c r="P34" t="e">
        <f t="shared" si="7"/>
        <v>#N/A</v>
      </c>
      <c r="AG34" s="25" t="str">
        <f t="shared" si="2"/>
        <v>X</v>
      </c>
      <c r="AH34" s="29" t="e">
        <f t="shared" si="10"/>
        <v>#N/A</v>
      </c>
      <c r="AI34" s="29" t="e">
        <f t="shared" si="10"/>
        <v>#N/A</v>
      </c>
      <c r="AJ34" s="29" t="e">
        <f t="shared" si="10"/>
        <v>#N/A</v>
      </c>
      <c r="AK34" s="29" t="e">
        <f t="shared" si="10"/>
        <v>#N/A</v>
      </c>
      <c r="AL34" s="29" t="e">
        <f t="shared" si="10"/>
        <v>#N/A</v>
      </c>
      <c r="AM34" s="29" t="e">
        <f t="shared" si="10"/>
        <v>#N/A</v>
      </c>
      <c r="AN34" s="29" t="e">
        <f t="shared" si="10"/>
        <v>#N/A</v>
      </c>
      <c r="AO34" s="29" t="e">
        <f t="shared" si="10"/>
        <v>#N/A</v>
      </c>
      <c r="AP34" s="29" t="e">
        <f t="shared" si="10"/>
        <v>#N/A</v>
      </c>
      <c r="AQ34" s="29" t="e">
        <f t="shared" si="10"/>
        <v>#N/A</v>
      </c>
      <c r="AR34" s="29" t="e">
        <f t="shared" si="10"/>
        <v>#N/A</v>
      </c>
      <c r="AS34" s="29" t="e">
        <f t="shared" si="10"/>
        <v>#N/A</v>
      </c>
      <c r="AT34" s="29" t="e">
        <f t="shared" si="10"/>
        <v>#N/A</v>
      </c>
      <c r="AU34" s="29" t="e">
        <f t="shared" si="10"/>
        <v>#N/A</v>
      </c>
      <c r="AV34" s="29" t="e">
        <f t="shared" si="10"/>
        <v>#N/A</v>
      </c>
      <c r="AW34" s="29" t="e">
        <f t="shared" si="9"/>
        <v>#N/A</v>
      </c>
      <c r="AX34" s="29" t="e">
        <f t="shared" si="9"/>
        <v>#N/A</v>
      </c>
      <c r="AY34" s="29" t="e">
        <f t="shared" si="9"/>
        <v>#N/A</v>
      </c>
      <c r="AZ34" s="29" t="e">
        <f t="shared" si="9"/>
        <v>#N/A</v>
      </c>
      <c r="BA34" s="29" t="e">
        <f t="shared" si="11"/>
        <v>#N/A</v>
      </c>
      <c r="BB34" s="29" t="e">
        <f t="shared" si="11"/>
        <v>#N/A</v>
      </c>
      <c r="BC34" s="29" t="e">
        <f t="shared" si="11"/>
        <v>#N/A</v>
      </c>
      <c r="BD34" s="29" t="e">
        <f t="shared" si="11"/>
        <v>#N/A</v>
      </c>
      <c r="BE34" s="29" t="e">
        <f t="shared" si="11"/>
        <v>#N/A</v>
      </c>
      <c r="BF34" s="29" t="e">
        <f t="shared" si="11"/>
        <v>#N/A</v>
      </c>
      <c r="BG34" s="29" t="e">
        <f t="shared" si="11"/>
        <v>#N/A</v>
      </c>
      <c r="BH34" s="29" t="e">
        <f t="shared" si="11"/>
        <v>#N/A</v>
      </c>
      <c r="BI34" s="29" t="e">
        <f t="shared" si="11"/>
        <v>#N/A</v>
      </c>
      <c r="BJ34" s="29" t="e">
        <f t="shared" si="11"/>
        <v>#N/A</v>
      </c>
      <c r="BK34" s="29" t="e">
        <f t="shared" si="11"/>
        <v>#N/A</v>
      </c>
    </row>
    <row r="35" spans="2:63" x14ac:dyDescent="0.25">
      <c r="B35" s="5" t="s">
        <v>57</v>
      </c>
      <c r="C35" s="38"/>
      <c r="F35" s="5" t="str">
        <f t="shared" si="8"/>
        <v>X</v>
      </c>
      <c r="G35" s="38"/>
      <c r="I35" t="s">
        <v>57</v>
      </c>
      <c r="J35" t="e">
        <f t="shared" si="3"/>
        <v>#N/A</v>
      </c>
      <c r="K35" t="e">
        <f t="shared" si="4"/>
        <v>#N/A</v>
      </c>
      <c r="M35" t="str">
        <f t="shared" si="5"/>
        <v>X</v>
      </c>
      <c r="N35" t="e">
        <f t="shared" si="6"/>
        <v>#N/A</v>
      </c>
      <c r="O35">
        <v>0</v>
      </c>
      <c r="P35" t="e">
        <f t="shared" si="7"/>
        <v>#N/A</v>
      </c>
      <c r="AG35" s="26" t="str">
        <f t="shared" si="2"/>
        <v>X</v>
      </c>
      <c r="AH35" s="30" t="e">
        <f t="shared" si="10"/>
        <v>#N/A</v>
      </c>
      <c r="AI35" s="30" t="e">
        <f t="shared" si="10"/>
        <v>#N/A</v>
      </c>
      <c r="AJ35" s="30" t="e">
        <f t="shared" si="10"/>
        <v>#N/A</v>
      </c>
      <c r="AK35" s="30" t="e">
        <f t="shared" si="10"/>
        <v>#N/A</v>
      </c>
      <c r="AL35" s="30" t="e">
        <f t="shared" si="10"/>
        <v>#N/A</v>
      </c>
      <c r="AM35" s="30" t="e">
        <f t="shared" si="10"/>
        <v>#N/A</v>
      </c>
      <c r="AN35" s="30" t="e">
        <f t="shared" si="10"/>
        <v>#N/A</v>
      </c>
      <c r="AO35" s="30" t="e">
        <f t="shared" si="10"/>
        <v>#N/A</v>
      </c>
      <c r="AP35" s="30" t="e">
        <f t="shared" si="10"/>
        <v>#N/A</v>
      </c>
      <c r="AQ35" s="30" t="e">
        <f t="shared" si="10"/>
        <v>#N/A</v>
      </c>
      <c r="AR35" s="30" t="e">
        <f t="shared" si="10"/>
        <v>#N/A</v>
      </c>
      <c r="AS35" s="30" t="e">
        <f t="shared" si="10"/>
        <v>#N/A</v>
      </c>
      <c r="AT35" s="30" t="e">
        <f t="shared" si="10"/>
        <v>#N/A</v>
      </c>
      <c r="AU35" s="30" t="e">
        <f t="shared" si="10"/>
        <v>#N/A</v>
      </c>
      <c r="AV35" s="30" t="e">
        <f t="shared" si="10"/>
        <v>#N/A</v>
      </c>
      <c r="AW35" s="30" t="e">
        <f t="shared" si="9"/>
        <v>#N/A</v>
      </c>
      <c r="AX35" s="30" t="e">
        <f t="shared" si="9"/>
        <v>#N/A</v>
      </c>
      <c r="AY35" s="30" t="e">
        <f t="shared" si="9"/>
        <v>#N/A</v>
      </c>
      <c r="AZ35" s="30" t="e">
        <f t="shared" si="9"/>
        <v>#N/A</v>
      </c>
      <c r="BA35" s="30" t="e">
        <f t="shared" si="11"/>
        <v>#N/A</v>
      </c>
      <c r="BB35" s="30" t="e">
        <f t="shared" si="11"/>
        <v>#N/A</v>
      </c>
      <c r="BC35" s="30" t="e">
        <f t="shared" si="11"/>
        <v>#N/A</v>
      </c>
      <c r="BD35" s="30" t="e">
        <f t="shared" si="11"/>
        <v>#N/A</v>
      </c>
      <c r="BE35" s="30" t="e">
        <f t="shared" si="11"/>
        <v>#N/A</v>
      </c>
      <c r="BF35" s="30" t="e">
        <f t="shared" si="11"/>
        <v>#N/A</v>
      </c>
      <c r="BG35" s="30" t="e">
        <f t="shared" si="11"/>
        <v>#N/A</v>
      </c>
      <c r="BH35" s="30" t="e">
        <f t="shared" si="11"/>
        <v>#N/A</v>
      </c>
      <c r="BI35" s="30" t="e">
        <f t="shared" si="11"/>
        <v>#N/A</v>
      </c>
      <c r="BJ35" s="30" t="e">
        <f t="shared" si="11"/>
        <v>#N/A</v>
      </c>
      <c r="BK35" s="30" t="e">
        <f t="shared" si="11"/>
        <v>#N/A</v>
      </c>
    </row>
    <row r="36" spans="2:63" x14ac:dyDescent="0.25">
      <c r="B36" s="5" t="s">
        <v>58</v>
      </c>
      <c r="C36" s="38"/>
      <c r="F36" s="5" t="str">
        <f t="shared" si="8"/>
        <v>X</v>
      </c>
      <c r="G36" s="38"/>
      <c r="I36" t="s">
        <v>58</v>
      </c>
      <c r="J36" t="e">
        <f t="shared" si="3"/>
        <v>#N/A</v>
      </c>
      <c r="K36" t="e">
        <f t="shared" si="4"/>
        <v>#N/A</v>
      </c>
      <c r="M36" t="str">
        <f t="shared" si="5"/>
        <v>X</v>
      </c>
      <c r="N36" t="e">
        <f t="shared" si="6"/>
        <v>#N/A</v>
      </c>
      <c r="O36">
        <v>0</v>
      </c>
      <c r="P36" t="e">
        <f t="shared" si="7"/>
        <v>#N/A</v>
      </c>
      <c r="AG36" s="5"/>
    </row>
    <row r="37" spans="2:63" ht="18" x14ac:dyDescent="0.35">
      <c r="B37" s="5" t="s">
        <v>59</v>
      </c>
      <c r="C37" s="38"/>
      <c r="F37" s="5" t="str">
        <f t="shared" si="8"/>
        <v>X</v>
      </c>
      <c r="G37" s="38"/>
      <c r="I37" t="s">
        <v>59</v>
      </c>
      <c r="J37" t="e">
        <f t="shared" si="3"/>
        <v>#N/A</v>
      </c>
      <c r="K37" t="e">
        <f t="shared" si="4"/>
        <v>#N/A</v>
      </c>
      <c r="M37" t="str">
        <f t="shared" si="5"/>
        <v>X</v>
      </c>
      <c r="N37" t="e">
        <f t="shared" si="6"/>
        <v>#N/A</v>
      </c>
      <c r="O37">
        <v>0</v>
      </c>
      <c r="P37" t="e">
        <f t="shared" si="7"/>
        <v>#N/A</v>
      </c>
      <c r="AG37" s="21" t="s">
        <v>60</v>
      </c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3"/>
    </row>
    <row r="38" spans="2:63" x14ac:dyDescent="0.25">
      <c r="B38" s="5" t="s">
        <v>61</v>
      </c>
      <c r="C38" s="38"/>
      <c r="F38" s="5" t="str">
        <f t="shared" si="8"/>
        <v>X</v>
      </c>
      <c r="G38" s="38"/>
      <c r="I38" t="s">
        <v>61</v>
      </c>
      <c r="J38" t="e">
        <f t="shared" si="3"/>
        <v>#N/A</v>
      </c>
      <c r="K38" t="e">
        <f t="shared" si="4"/>
        <v>#N/A</v>
      </c>
      <c r="M38" t="str">
        <f t="shared" si="5"/>
        <v>X</v>
      </c>
      <c r="N38" t="e">
        <f t="shared" si="6"/>
        <v>#N/A</v>
      </c>
      <c r="O38">
        <v>0</v>
      </c>
      <c r="P38" t="e">
        <f t="shared" si="7"/>
        <v>#N/A</v>
      </c>
      <c r="AG38" s="20"/>
      <c r="AH38" s="27" t="str">
        <f>$B$19</f>
        <v>fn_1</v>
      </c>
      <c r="AI38" s="27" t="str">
        <f>$B$20</f>
        <v>fn_2</v>
      </c>
      <c r="AJ38" s="27" t="str">
        <f>$B$21</f>
        <v>fn_3</v>
      </c>
      <c r="AK38" s="27" t="str">
        <f>$B$22</f>
        <v>fn_4</v>
      </c>
      <c r="AL38" s="27" t="str">
        <f>$B$23</f>
        <v>fn_5</v>
      </c>
      <c r="AM38" s="27" t="str">
        <f>$B$24</f>
        <v>fn_6</v>
      </c>
      <c r="AN38" s="27" t="str">
        <f>$B$25</f>
        <v>fn_7</v>
      </c>
      <c r="AO38" s="27" t="str">
        <f>$B$26</f>
        <v>fn_8</v>
      </c>
      <c r="AP38" s="27" t="str">
        <f>$B$27</f>
        <v>fn_9</v>
      </c>
      <c r="AQ38" s="27" t="str">
        <f>$B$28</f>
        <v>fn_10</v>
      </c>
      <c r="AR38" s="27" t="str">
        <f>$B$29</f>
        <v>fn_11</v>
      </c>
      <c r="AS38" s="27" t="str">
        <f>$B$30</f>
        <v>fn_12</v>
      </c>
      <c r="AT38" s="27" t="str">
        <f>$B$31</f>
        <v>fn_13</v>
      </c>
      <c r="AU38" s="27" t="str">
        <f>$B$32</f>
        <v>fn_14</v>
      </c>
      <c r="AV38" s="27" t="str">
        <f>$B$33</f>
        <v>fn_15</v>
      </c>
      <c r="AW38" s="27" t="str">
        <f>$B$34</f>
        <v>fn_16</v>
      </c>
      <c r="AX38" s="27" t="str">
        <f>$B$35</f>
        <v>fn_17</v>
      </c>
      <c r="AY38" s="27" t="str">
        <f>$B$36</f>
        <v>fn_18</v>
      </c>
      <c r="AZ38" s="27" t="str">
        <f>$B$37</f>
        <v>fn_19</v>
      </c>
      <c r="BA38" s="27" t="str">
        <f>$B$38</f>
        <v>fn_20</v>
      </c>
      <c r="BB38" s="27" t="str">
        <f>$B$39</f>
        <v>fn_21</v>
      </c>
      <c r="BC38" s="27" t="str">
        <f>$B$40</f>
        <v>fn_22</v>
      </c>
      <c r="BD38" s="27" t="str">
        <f>$B$41</f>
        <v>fn_23</v>
      </c>
      <c r="BE38" s="27" t="str">
        <f>$B$42</f>
        <v>fn_24</v>
      </c>
      <c r="BF38" s="27" t="str">
        <f>$B$43</f>
        <v>fn_25</v>
      </c>
      <c r="BG38" s="27" t="str">
        <f>$B$44</f>
        <v>fn_26</v>
      </c>
      <c r="BH38" s="27" t="str">
        <f>$B$45</f>
        <v>fn_27</v>
      </c>
      <c r="BI38" s="27" t="str">
        <f>$B$46</f>
        <v>fn_28</v>
      </c>
      <c r="BJ38" s="27" t="str">
        <f>$B$47</f>
        <v>fn_29</v>
      </c>
      <c r="BK38" s="27" t="str">
        <f>$B$48</f>
        <v>fn_30</v>
      </c>
    </row>
    <row r="39" spans="2:63" x14ac:dyDescent="0.25">
      <c r="B39" s="5" t="s">
        <v>62</v>
      </c>
      <c r="C39" s="38"/>
      <c r="F39" s="5" t="str">
        <f t="shared" si="8"/>
        <v>X</v>
      </c>
      <c r="G39" s="38"/>
      <c r="I39" t="s">
        <v>62</v>
      </c>
      <c r="J39" t="e">
        <f t="shared" si="3"/>
        <v>#N/A</v>
      </c>
      <c r="K39" t="e">
        <f t="shared" si="4"/>
        <v>#N/A</v>
      </c>
      <c r="M39" t="str">
        <f t="shared" si="5"/>
        <v>X</v>
      </c>
      <c r="N39" t="e">
        <f t="shared" si="6"/>
        <v>#N/A</v>
      </c>
      <c r="O39">
        <v>0</v>
      </c>
      <c r="P39" t="e">
        <f t="shared" si="7"/>
        <v>#N/A</v>
      </c>
      <c r="AG39" s="24" t="str">
        <f>$M19</f>
        <v>1X</v>
      </c>
      <c r="AH39" s="28">
        <f t="shared" ref="AH39:AW54" si="12">(C138-$C$6)/$C$6</f>
        <v>-0.28243970500298982</v>
      </c>
      <c r="AI39" s="28">
        <f t="shared" si="12"/>
        <v>-3.3884791708192145E-3</v>
      </c>
      <c r="AJ39" s="28" t="e">
        <f t="shared" si="12"/>
        <v>#N/A</v>
      </c>
      <c r="AK39" s="28" t="e">
        <f t="shared" si="12"/>
        <v>#N/A</v>
      </c>
      <c r="AL39" s="28" t="e">
        <f t="shared" si="12"/>
        <v>#N/A</v>
      </c>
      <c r="AM39" s="28" t="e">
        <f t="shared" si="12"/>
        <v>#N/A</v>
      </c>
      <c r="AN39" s="28" t="e">
        <f t="shared" si="12"/>
        <v>#N/A</v>
      </c>
      <c r="AO39" s="28" t="e">
        <f t="shared" si="12"/>
        <v>#N/A</v>
      </c>
      <c r="AP39" s="28" t="e">
        <f t="shared" si="12"/>
        <v>#N/A</v>
      </c>
      <c r="AQ39" s="28" t="e">
        <f t="shared" si="12"/>
        <v>#N/A</v>
      </c>
      <c r="AR39" s="28" t="e">
        <f t="shared" si="12"/>
        <v>#N/A</v>
      </c>
      <c r="AS39" s="28" t="e">
        <f t="shared" si="12"/>
        <v>#N/A</v>
      </c>
      <c r="AT39" s="28" t="e">
        <f t="shared" si="12"/>
        <v>#N/A</v>
      </c>
      <c r="AU39" s="28" t="e">
        <f t="shared" si="12"/>
        <v>#N/A</v>
      </c>
      <c r="AV39" s="28" t="e">
        <f t="shared" si="12"/>
        <v>#N/A</v>
      </c>
      <c r="AW39" s="28" t="e">
        <f t="shared" si="12"/>
        <v>#N/A</v>
      </c>
      <c r="AX39" s="28" t="e">
        <f t="shared" ref="AX39:BK57" si="13">(S138-$C$6)/$C$6</f>
        <v>#N/A</v>
      </c>
      <c r="AY39" s="28" t="e">
        <f t="shared" si="13"/>
        <v>#N/A</v>
      </c>
      <c r="AZ39" s="28" t="e">
        <f t="shared" si="13"/>
        <v>#N/A</v>
      </c>
      <c r="BA39" s="28" t="e">
        <f t="shared" si="13"/>
        <v>#N/A</v>
      </c>
      <c r="BB39" s="28" t="e">
        <f t="shared" si="13"/>
        <v>#N/A</v>
      </c>
      <c r="BC39" s="28" t="e">
        <f t="shared" si="13"/>
        <v>#N/A</v>
      </c>
      <c r="BD39" s="28" t="e">
        <f t="shared" si="13"/>
        <v>#N/A</v>
      </c>
      <c r="BE39" s="28" t="e">
        <f t="shared" si="13"/>
        <v>#N/A</v>
      </c>
      <c r="BF39" s="28" t="e">
        <f t="shared" si="13"/>
        <v>#N/A</v>
      </c>
      <c r="BG39" s="28" t="e">
        <f t="shared" si="13"/>
        <v>#N/A</v>
      </c>
      <c r="BH39" s="28" t="e">
        <f t="shared" si="13"/>
        <v>#N/A</v>
      </c>
      <c r="BI39" s="28" t="e">
        <f t="shared" si="13"/>
        <v>#N/A</v>
      </c>
      <c r="BJ39" s="28" t="e">
        <f t="shared" si="13"/>
        <v>#N/A</v>
      </c>
      <c r="BK39" s="28" t="e">
        <f t="shared" si="13"/>
        <v>#N/A</v>
      </c>
    </row>
    <row r="40" spans="2:63" x14ac:dyDescent="0.25">
      <c r="B40" s="5" t="s">
        <v>63</v>
      </c>
      <c r="C40" s="38"/>
      <c r="D40" s="2"/>
      <c r="E40" s="2"/>
      <c r="F40" s="5" t="str">
        <f t="shared" si="8"/>
        <v>X</v>
      </c>
      <c r="G40" s="38"/>
      <c r="H40" s="2"/>
      <c r="I40" t="s">
        <v>63</v>
      </c>
      <c r="J40" t="e">
        <f t="shared" si="3"/>
        <v>#N/A</v>
      </c>
      <c r="K40" t="e">
        <f t="shared" si="4"/>
        <v>#N/A</v>
      </c>
      <c r="M40" t="str">
        <f t="shared" si="5"/>
        <v>X</v>
      </c>
      <c r="N40" t="e">
        <f t="shared" si="6"/>
        <v>#N/A</v>
      </c>
      <c r="O40">
        <v>0</v>
      </c>
      <c r="P40" t="e">
        <f t="shared" si="7"/>
        <v>#N/A</v>
      </c>
      <c r="AG40" s="25" t="str">
        <f t="shared" ref="AG40:AG68" si="14">$M20</f>
        <v>2X</v>
      </c>
      <c r="AH40" s="29">
        <f t="shared" si="12"/>
        <v>-0.64121985250149494</v>
      </c>
      <c r="AI40" s="29">
        <f t="shared" si="12"/>
        <v>-0.5016942395854096</v>
      </c>
      <c r="AJ40" s="29">
        <f t="shared" si="12"/>
        <v>-0.15288020729519633</v>
      </c>
      <c r="AK40" s="29">
        <f t="shared" si="12"/>
        <v>4.6442096870639826E-2</v>
      </c>
      <c r="AL40" s="29" t="e">
        <f t="shared" si="12"/>
        <v>#N/A</v>
      </c>
      <c r="AM40" s="29" t="e">
        <f t="shared" si="12"/>
        <v>#N/A</v>
      </c>
      <c r="AN40" s="29" t="e">
        <f t="shared" si="12"/>
        <v>#N/A</v>
      </c>
      <c r="AO40" s="29" t="e">
        <f t="shared" si="12"/>
        <v>#N/A</v>
      </c>
      <c r="AP40" s="29" t="e">
        <f t="shared" si="12"/>
        <v>#N/A</v>
      </c>
      <c r="AQ40" s="29" t="e">
        <f t="shared" si="12"/>
        <v>#N/A</v>
      </c>
      <c r="AR40" s="29" t="e">
        <f t="shared" si="12"/>
        <v>#N/A</v>
      </c>
      <c r="AS40" s="29" t="e">
        <f t="shared" si="12"/>
        <v>#N/A</v>
      </c>
      <c r="AT40" s="29" t="e">
        <f t="shared" si="12"/>
        <v>#N/A</v>
      </c>
      <c r="AU40" s="29" t="e">
        <f t="shared" si="12"/>
        <v>#N/A</v>
      </c>
      <c r="AV40" s="29" t="e">
        <f t="shared" si="12"/>
        <v>#N/A</v>
      </c>
      <c r="AW40" s="29" t="e">
        <f t="shared" si="12"/>
        <v>#N/A</v>
      </c>
      <c r="AX40" s="29" t="e">
        <f t="shared" si="13"/>
        <v>#N/A</v>
      </c>
      <c r="AY40" s="29" t="e">
        <f t="shared" si="13"/>
        <v>#N/A</v>
      </c>
      <c r="AZ40" s="29" t="e">
        <f t="shared" si="13"/>
        <v>#N/A</v>
      </c>
      <c r="BA40" s="29" t="e">
        <f t="shared" si="13"/>
        <v>#N/A</v>
      </c>
      <c r="BB40" s="29" t="e">
        <f t="shared" si="13"/>
        <v>#N/A</v>
      </c>
      <c r="BC40" s="29" t="e">
        <f t="shared" si="13"/>
        <v>#N/A</v>
      </c>
      <c r="BD40" s="29" t="e">
        <f t="shared" si="13"/>
        <v>#N/A</v>
      </c>
      <c r="BE40" s="29" t="e">
        <f t="shared" si="13"/>
        <v>#N/A</v>
      </c>
      <c r="BF40" s="29" t="e">
        <f t="shared" si="13"/>
        <v>#N/A</v>
      </c>
      <c r="BG40" s="29" t="e">
        <f t="shared" si="13"/>
        <v>#N/A</v>
      </c>
      <c r="BH40" s="29" t="e">
        <f t="shared" si="13"/>
        <v>#N/A</v>
      </c>
      <c r="BI40" s="29" t="e">
        <f t="shared" si="13"/>
        <v>#N/A</v>
      </c>
      <c r="BJ40" s="29" t="e">
        <f t="shared" si="13"/>
        <v>#N/A</v>
      </c>
      <c r="BK40" s="29" t="e">
        <f t="shared" si="13"/>
        <v>#N/A</v>
      </c>
    </row>
    <row r="41" spans="2:63" x14ac:dyDescent="0.25">
      <c r="B41" s="5" t="s">
        <v>64</v>
      </c>
      <c r="C41" s="38"/>
      <c r="D41" s="2"/>
      <c r="E41" s="2"/>
      <c r="F41" s="5" t="str">
        <f t="shared" si="8"/>
        <v>X</v>
      </c>
      <c r="G41" s="38"/>
      <c r="H41" s="2"/>
      <c r="I41" t="s">
        <v>64</v>
      </c>
      <c r="J41" t="e">
        <f t="shared" si="3"/>
        <v>#N/A</v>
      </c>
      <c r="K41" t="e">
        <f t="shared" si="4"/>
        <v>#N/A</v>
      </c>
      <c r="M41" t="str">
        <f t="shared" si="5"/>
        <v>X</v>
      </c>
      <c r="N41" t="e">
        <f t="shared" si="6"/>
        <v>#N/A</v>
      </c>
      <c r="O41">
        <v>0</v>
      </c>
      <c r="P41" t="e">
        <f t="shared" si="7"/>
        <v>#N/A</v>
      </c>
      <c r="AG41" s="25" t="str">
        <f t="shared" si="14"/>
        <v>5X</v>
      </c>
      <c r="AH41" s="29">
        <f t="shared" si="12"/>
        <v>-0.856487941000598</v>
      </c>
      <c r="AI41" s="29">
        <f t="shared" si="12"/>
        <v>-0.80067769583416382</v>
      </c>
      <c r="AJ41" s="29">
        <f t="shared" si="12"/>
        <v>-0.66115208291807859</v>
      </c>
      <c r="AK41" s="29">
        <f t="shared" si="12"/>
        <v>-0.58142316125174409</v>
      </c>
      <c r="AL41" s="29">
        <f t="shared" si="12"/>
        <v>-0.5016942395854096</v>
      </c>
      <c r="AM41" s="29" t="e">
        <f t="shared" si="12"/>
        <v>#N/A</v>
      </c>
      <c r="AN41" s="29" t="e">
        <f t="shared" si="12"/>
        <v>#N/A</v>
      </c>
      <c r="AO41" s="29" t="e">
        <f t="shared" si="12"/>
        <v>#N/A</v>
      </c>
      <c r="AP41" s="29" t="e">
        <f t="shared" si="12"/>
        <v>#N/A</v>
      </c>
      <c r="AQ41" s="29" t="e">
        <f t="shared" si="12"/>
        <v>#N/A</v>
      </c>
      <c r="AR41" s="29" t="e">
        <f t="shared" si="12"/>
        <v>#N/A</v>
      </c>
      <c r="AS41" s="29" t="e">
        <f t="shared" si="12"/>
        <v>#N/A</v>
      </c>
      <c r="AT41" s="29" t="e">
        <f t="shared" si="12"/>
        <v>#N/A</v>
      </c>
      <c r="AU41" s="29" t="e">
        <f t="shared" si="12"/>
        <v>#N/A</v>
      </c>
      <c r="AV41" s="29" t="e">
        <f t="shared" si="12"/>
        <v>#N/A</v>
      </c>
      <c r="AW41" s="29" t="e">
        <f t="shared" si="12"/>
        <v>#N/A</v>
      </c>
      <c r="AX41" s="29" t="e">
        <f t="shared" si="13"/>
        <v>#N/A</v>
      </c>
      <c r="AY41" s="29" t="e">
        <f t="shared" si="13"/>
        <v>#N/A</v>
      </c>
      <c r="AZ41" s="29" t="e">
        <f t="shared" si="13"/>
        <v>#N/A</v>
      </c>
      <c r="BA41" s="29" t="e">
        <f t="shared" si="13"/>
        <v>#N/A</v>
      </c>
      <c r="BB41" s="29" t="e">
        <f t="shared" si="13"/>
        <v>#N/A</v>
      </c>
      <c r="BC41" s="29" t="e">
        <f t="shared" si="13"/>
        <v>#N/A</v>
      </c>
      <c r="BD41" s="29" t="e">
        <f t="shared" si="13"/>
        <v>#N/A</v>
      </c>
      <c r="BE41" s="29" t="e">
        <f t="shared" si="13"/>
        <v>#N/A</v>
      </c>
      <c r="BF41" s="29" t="e">
        <f t="shared" si="13"/>
        <v>#N/A</v>
      </c>
      <c r="BG41" s="29" t="e">
        <f t="shared" si="13"/>
        <v>#N/A</v>
      </c>
      <c r="BH41" s="29" t="e">
        <f t="shared" si="13"/>
        <v>#N/A</v>
      </c>
      <c r="BI41" s="29" t="e">
        <f t="shared" si="13"/>
        <v>#N/A</v>
      </c>
      <c r="BJ41" s="29" t="e">
        <f t="shared" si="13"/>
        <v>#N/A</v>
      </c>
      <c r="BK41" s="29" t="e">
        <f t="shared" si="13"/>
        <v>#N/A</v>
      </c>
    </row>
    <row r="42" spans="2:63" x14ac:dyDescent="0.25">
      <c r="B42" s="5" t="s">
        <v>65</v>
      </c>
      <c r="C42" s="38"/>
      <c r="D42" s="2"/>
      <c r="E42" s="2"/>
      <c r="F42" s="5" t="str">
        <f t="shared" si="8"/>
        <v>X</v>
      </c>
      <c r="G42" s="38"/>
      <c r="H42" s="2"/>
      <c r="I42" t="s">
        <v>65</v>
      </c>
      <c r="J42" t="e">
        <f t="shared" si="3"/>
        <v>#N/A</v>
      </c>
      <c r="K42" t="e">
        <f t="shared" si="4"/>
        <v>#N/A</v>
      </c>
      <c r="M42" t="str">
        <f t="shared" si="5"/>
        <v>X</v>
      </c>
      <c r="N42" t="e">
        <f t="shared" si="6"/>
        <v>#N/A</v>
      </c>
      <c r="O42">
        <v>0</v>
      </c>
      <c r="P42" t="e">
        <f t="shared" si="7"/>
        <v>#N/A</v>
      </c>
      <c r="AG42" s="25" t="str">
        <f t="shared" si="14"/>
        <v>X</v>
      </c>
      <c r="AH42" s="29" t="e">
        <f t="shared" si="12"/>
        <v>#N/A</v>
      </c>
      <c r="AI42" s="29" t="e">
        <f t="shared" si="12"/>
        <v>#N/A</v>
      </c>
      <c r="AJ42" s="29" t="e">
        <f t="shared" si="12"/>
        <v>#N/A</v>
      </c>
      <c r="AK42" s="29" t="e">
        <f t="shared" si="12"/>
        <v>#N/A</v>
      </c>
      <c r="AL42" s="29" t="e">
        <f t="shared" si="12"/>
        <v>#N/A</v>
      </c>
      <c r="AM42" s="29" t="e">
        <f t="shared" si="12"/>
        <v>#N/A</v>
      </c>
      <c r="AN42" s="29" t="e">
        <f t="shared" si="12"/>
        <v>#N/A</v>
      </c>
      <c r="AO42" s="29" t="e">
        <f t="shared" si="12"/>
        <v>#N/A</v>
      </c>
      <c r="AP42" s="29" t="e">
        <f t="shared" si="12"/>
        <v>#N/A</v>
      </c>
      <c r="AQ42" s="29" t="e">
        <f t="shared" si="12"/>
        <v>#N/A</v>
      </c>
      <c r="AR42" s="29" t="e">
        <f t="shared" si="12"/>
        <v>#N/A</v>
      </c>
      <c r="AS42" s="29" t="e">
        <f t="shared" si="12"/>
        <v>#N/A</v>
      </c>
      <c r="AT42" s="29" t="e">
        <f t="shared" si="12"/>
        <v>#N/A</v>
      </c>
      <c r="AU42" s="29" t="e">
        <f t="shared" si="12"/>
        <v>#N/A</v>
      </c>
      <c r="AV42" s="29" t="e">
        <f t="shared" si="12"/>
        <v>#N/A</v>
      </c>
      <c r="AW42" s="29" t="e">
        <f t="shared" si="12"/>
        <v>#N/A</v>
      </c>
      <c r="AX42" s="29" t="e">
        <f t="shared" si="13"/>
        <v>#N/A</v>
      </c>
      <c r="AY42" s="29" t="e">
        <f t="shared" si="13"/>
        <v>#N/A</v>
      </c>
      <c r="AZ42" s="29" t="e">
        <f t="shared" si="13"/>
        <v>#N/A</v>
      </c>
      <c r="BA42" s="29" t="e">
        <f t="shared" si="13"/>
        <v>#N/A</v>
      </c>
      <c r="BB42" s="29" t="e">
        <f t="shared" si="13"/>
        <v>#N/A</v>
      </c>
      <c r="BC42" s="29" t="e">
        <f t="shared" si="13"/>
        <v>#N/A</v>
      </c>
      <c r="BD42" s="29" t="e">
        <f t="shared" si="13"/>
        <v>#N/A</v>
      </c>
      <c r="BE42" s="29" t="e">
        <f t="shared" si="13"/>
        <v>#N/A</v>
      </c>
      <c r="BF42" s="29" t="e">
        <f t="shared" si="13"/>
        <v>#N/A</v>
      </c>
      <c r="BG42" s="29" t="e">
        <f t="shared" si="13"/>
        <v>#N/A</v>
      </c>
      <c r="BH42" s="29" t="e">
        <f t="shared" si="13"/>
        <v>#N/A</v>
      </c>
      <c r="BI42" s="29" t="e">
        <f t="shared" si="13"/>
        <v>#N/A</v>
      </c>
      <c r="BJ42" s="29" t="e">
        <f t="shared" si="13"/>
        <v>#N/A</v>
      </c>
      <c r="BK42" s="29" t="e">
        <f t="shared" si="13"/>
        <v>#N/A</v>
      </c>
    </row>
    <row r="43" spans="2:63" x14ac:dyDescent="0.25">
      <c r="B43" s="5" t="s">
        <v>66</v>
      </c>
      <c r="C43" s="38"/>
      <c r="D43" s="2"/>
      <c r="E43" s="2"/>
      <c r="F43" s="5" t="str">
        <f t="shared" si="8"/>
        <v>X</v>
      </c>
      <c r="G43" s="38"/>
      <c r="H43" s="2"/>
      <c r="I43" t="s">
        <v>66</v>
      </c>
      <c r="J43" t="e">
        <f t="shared" si="3"/>
        <v>#N/A</v>
      </c>
      <c r="K43" t="e">
        <f t="shared" si="4"/>
        <v>#N/A</v>
      </c>
      <c r="M43" t="str">
        <f t="shared" si="5"/>
        <v>X</v>
      </c>
      <c r="N43" t="e">
        <f t="shared" si="6"/>
        <v>#N/A</v>
      </c>
      <c r="O43">
        <v>0</v>
      </c>
      <c r="P43" t="e">
        <f t="shared" si="7"/>
        <v>#N/A</v>
      </c>
      <c r="AG43" s="25" t="str">
        <f t="shared" si="14"/>
        <v>X</v>
      </c>
      <c r="AH43" s="29" t="e">
        <f t="shared" si="12"/>
        <v>#N/A</v>
      </c>
      <c r="AI43" s="29" t="e">
        <f t="shared" si="12"/>
        <v>#N/A</v>
      </c>
      <c r="AJ43" s="29" t="e">
        <f t="shared" si="12"/>
        <v>#N/A</v>
      </c>
      <c r="AK43" s="29" t="e">
        <f t="shared" si="12"/>
        <v>#N/A</v>
      </c>
      <c r="AL43" s="29" t="e">
        <f t="shared" si="12"/>
        <v>#N/A</v>
      </c>
      <c r="AM43" s="29" t="e">
        <f t="shared" si="12"/>
        <v>#N/A</v>
      </c>
      <c r="AN43" s="29" t="e">
        <f t="shared" si="12"/>
        <v>#N/A</v>
      </c>
      <c r="AO43" s="29" t="e">
        <f t="shared" si="12"/>
        <v>#N/A</v>
      </c>
      <c r="AP43" s="29" t="e">
        <f t="shared" si="12"/>
        <v>#N/A</v>
      </c>
      <c r="AQ43" s="29" t="e">
        <f t="shared" si="12"/>
        <v>#N/A</v>
      </c>
      <c r="AR43" s="29" t="e">
        <f t="shared" si="12"/>
        <v>#N/A</v>
      </c>
      <c r="AS43" s="29" t="e">
        <f t="shared" si="12"/>
        <v>#N/A</v>
      </c>
      <c r="AT43" s="29" t="e">
        <f t="shared" si="12"/>
        <v>#N/A</v>
      </c>
      <c r="AU43" s="29" t="e">
        <f t="shared" si="12"/>
        <v>#N/A</v>
      </c>
      <c r="AV43" s="29" t="e">
        <f t="shared" si="12"/>
        <v>#N/A</v>
      </c>
      <c r="AW43" s="29" t="e">
        <f t="shared" si="12"/>
        <v>#N/A</v>
      </c>
      <c r="AX43" s="29" t="e">
        <f t="shared" si="13"/>
        <v>#N/A</v>
      </c>
      <c r="AY43" s="29" t="e">
        <f t="shared" si="13"/>
        <v>#N/A</v>
      </c>
      <c r="AZ43" s="29" t="e">
        <f t="shared" si="13"/>
        <v>#N/A</v>
      </c>
      <c r="BA43" s="29" t="e">
        <f t="shared" si="13"/>
        <v>#N/A</v>
      </c>
      <c r="BB43" s="29" t="e">
        <f t="shared" si="13"/>
        <v>#N/A</v>
      </c>
      <c r="BC43" s="29" t="e">
        <f t="shared" si="13"/>
        <v>#N/A</v>
      </c>
      <c r="BD43" s="29" t="e">
        <f t="shared" si="13"/>
        <v>#N/A</v>
      </c>
      <c r="BE43" s="29" t="e">
        <f t="shared" si="13"/>
        <v>#N/A</v>
      </c>
      <c r="BF43" s="29" t="e">
        <f t="shared" si="13"/>
        <v>#N/A</v>
      </c>
      <c r="BG43" s="29" t="e">
        <f t="shared" si="13"/>
        <v>#N/A</v>
      </c>
      <c r="BH43" s="29" t="e">
        <f t="shared" si="13"/>
        <v>#N/A</v>
      </c>
      <c r="BI43" s="29" t="e">
        <f t="shared" si="13"/>
        <v>#N/A</v>
      </c>
      <c r="BJ43" s="29" t="e">
        <f t="shared" si="13"/>
        <v>#N/A</v>
      </c>
      <c r="BK43" s="29" t="e">
        <f t="shared" si="13"/>
        <v>#N/A</v>
      </c>
    </row>
    <row r="44" spans="2:63" x14ac:dyDescent="0.25">
      <c r="B44" s="5" t="s">
        <v>67</v>
      </c>
      <c r="C44" s="38"/>
      <c r="D44" s="2"/>
      <c r="E44" s="2"/>
      <c r="F44" s="5" t="str">
        <f t="shared" si="8"/>
        <v>X</v>
      </c>
      <c r="G44" s="38"/>
      <c r="H44" s="2"/>
      <c r="I44" t="s">
        <v>67</v>
      </c>
      <c r="J44" t="e">
        <f t="shared" si="3"/>
        <v>#N/A</v>
      </c>
      <c r="K44" t="e">
        <f t="shared" si="4"/>
        <v>#N/A</v>
      </c>
      <c r="M44" t="str">
        <f t="shared" si="5"/>
        <v>X</v>
      </c>
      <c r="N44" t="e">
        <f t="shared" si="6"/>
        <v>#N/A</v>
      </c>
      <c r="O44">
        <v>0</v>
      </c>
      <c r="P44" t="e">
        <f t="shared" si="7"/>
        <v>#N/A</v>
      </c>
      <c r="AG44" s="25" t="str">
        <f t="shared" si="14"/>
        <v>X</v>
      </c>
      <c r="AH44" s="29" t="e">
        <f t="shared" si="12"/>
        <v>#N/A</v>
      </c>
      <c r="AI44" s="29" t="e">
        <f t="shared" si="12"/>
        <v>#N/A</v>
      </c>
      <c r="AJ44" s="29" t="e">
        <f t="shared" si="12"/>
        <v>#N/A</v>
      </c>
      <c r="AK44" s="29" t="e">
        <f t="shared" si="12"/>
        <v>#N/A</v>
      </c>
      <c r="AL44" s="29" t="e">
        <f t="shared" si="12"/>
        <v>#N/A</v>
      </c>
      <c r="AM44" s="29" t="e">
        <f t="shared" si="12"/>
        <v>#N/A</v>
      </c>
      <c r="AN44" s="29" t="e">
        <f t="shared" si="12"/>
        <v>#N/A</v>
      </c>
      <c r="AO44" s="29" t="e">
        <f t="shared" si="12"/>
        <v>#N/A</v>
      </c>
      <c r="AP44" s="29" t="e">
        <f t="shared" si="12"/>
        <v>#N/A</v>
      </c>
      <c r="AQ44" s="29" t="e">
        <f t="shared" si="12"/>
        <v>#N/A</v>
      </c>
      <c r="AR44" s="29" t="e">
        <f t="shared" si="12"/>
        <v>#N/A</v>
      </c>
      <c r="AS44" s="29" t="e">
        <f t="shared" si="12"/>
        <v>#N/A</v>
      </c>
      <c r="AT44" s="29" t="e">
        <f t="shared" si="12"/>
        <v>#N/A</v>
      </c>
      <c r="AU44" s="29" t="e">
        <f t="shared" si="12"/>
        <v>#N/A</v>
      </c>
      <c r="AV44" s="29" t="e">
        <f t="shared" si="12"/>
        <v>#N/A</v>
      </c>
      <c r="AW44" s="29" t="e">
        <f t="shared" si="12"/>
        <v>#N/A</v>
      </c>
      <c r="AX44" s="29" t="e">
        <f t="shared" si="13"/>
        <v>#N/A</v>
      </c>
      <c r="AY44" s="29" t="e">
        <f t="shared" si="13"/>
        <v>#N/A</v>
      </c>
      <c r="AZ44" s="29" t="e">
        <f t="shared" si="13"/>
        <v>#N/A</v>
      </c>
      <c r="BA44" s="29" t="e">
        <f t="shared" si="13"/>
        <v>#N/A</v>
      </c>
      <c r="BB44" s="29" t="e">
        <f t="shared" si="13"/>
        <v>#N/A</v>
      </c>
      <c r="BC44" s="29" t="e">
        <f t="shared" si="13"/>
        <v>#N/A</v>
      </c>
      <c r="BD44" s="29" t="e">
        <f t="shared" si="13"/>
        <v>#N/A</v>
      </c>
      <c r="BE44" s="29" t="e">
        <f t="shared" si="13"/>
        <v>#N/A</v>
      </c>
      <c r="BF44" s="29" t="e">
        <f t="shared" si="13"/>
        <v>#N/A</v>
      </c>
      <c r="BG44" s="29" t="e">
        <f t="shared" si="13"/>
        <v>#N/A</v>
      </c>
      <c r="BH44" s="29" t="e">
        <f t="shared" si="13"/>
        <v>#N/A</v>
      </c>
      <c r="BI44" s="29" t="e">
        <f t="shared" si="13"/>
        <v>#N/A</v>
      </c>
      <c r="BJ44" s="29" t="e">
        <f t="shared" si="13"/>
        <v>#N/A</v>
      </c>
      <c r="BK44" s="29" t="e">
        <f t="shared" si="13"/>
        <v>#N/A</v>
      </c>
    </row>
    <row r="45" spans="2:63" x14ac:dyDescent="0.25">
      <c r="B45" s="5" t="s">
        <v>68</v>
      </c>
      <c r="C45" s="38"/>
      <c r="D45" s="2"/>
      <c r="E45" s="2"/>
      <c r="F45" s="5" t="str">
        <f t="shared" si="8"/>
        <v>X</v>
      </c>
      <c r="G45" s="38"/>
      <c r="H45" s="2"/>
      <c r="I45" t="s">
        <v>68</v>
      </c>
      <c r="J45" t="e">
        <f t="shared" si="3"/>
        <v>#N/A</v>
      </c>
      <c r="K45" t="e">
        <f t="shared" si="4"/>
        <v>#N/A</v>
      </c>
      <c r="M45" t="str">
        <f t="shared" si="5"/>
        <v>X</v>
      </c>
      <c r="N45" t="e">
        <f t="shared" si="6"/>
        <v>#N/A</v>
      </c>
      <c r="O45">
        <v>0</v>
      </c>
      <c r="P45" t="e">
        <f t="shared" si="7"/>
        <v>#N/A</v>
      </c>
      <c r="AG45" s="25" t="str">
        <f t="shared" si="14"/>
        <v>X</v>
      </c>
      <c r="AH45" s="29" t="e">
        <f t="shared" si="12"/>
        <v>#N/A</v>
      </c>
      <c r="AI45" s="29" t="e">
        <f t="shared" si="12"/>
        <v>#N/A</v>
      </c>
      <c r="AJ45" s="29" t="e">
        <f t="shared" si="12"/>
        <v>#N/A</v>
      </c>
      <c r="AK45" s="29" t="e">
        <f t="shared" si="12"/>
        <v>#N/A</v>
      </c>
      <c r="AL45" s="29" t="e">
        <f t="shared" si="12"/>
        <v>#N/A</v>
      </c>
      <c r="AM45" s="29" t="e">
        <f t="shared" si="12"/>
        <v>#N/A</v>
      </c>
      <c r="AN45" s="29" t="e">
        <f t="shared" si="12"/>
        <v>#N/A</v>
      </c>
      <c r="AO45" s="29" t="e">
        <f t="shared" si="12"/>
        <v>#N/A</v>
      </c>
      <c r="AP45" s="29" t="e">
        <f t="shared" si="12"/>
        <v>#N/A</v>
      </c>
      <c r="AQ45" s="29" t="e">
        <f t="shared" si="12"/>
        <v>#N/A</v>
      </c>
      <c r="AR45" s="29" t="e">
        <f t="shared" si="12"/>
        <v>#N/A</v>
      </c>
      <c r="AS45" s="29" t="e">
        <f t="shared" si="12"/>
        <v>#N/A</v>
      </c>
      <c r="AT45" s="29" t="e">
        <f t="shared" si="12"/>
        <v>#N/A</v>
      </c>
      <c r="AU45" s="29" t="e">
        <f t="shared" si="12"/>
        <v>#N/A</v>
      </c>
      <c r="AV45" s="29" t="e">
        <f t="shared" si="12"/>
        <v>#N/A</v>
      </c>
      <c r="AW45" s="29" t="e">
        <f t="shared" si="12"/>
        <v>#N/A</v>
      </c>
      <c r="AX45" s="29" t="e">
        <f t="shared" si="13"/>
        <v>#N/A</v>
      </c>
      <c r="AY45" s="29" t="e">
        <f t="shared" si="13"/>
        <v>#N/A</v>
      </c>
      <c r="AZ45" s="29" t="e">
        <f t="shared" si="13"/>
        <v>#N/A</v>
      </c>
      <c r="BA45" s="29" t="e">
        <f t="shared" si="13"/>
        <v>#N/A</v>
      </c>
      <c r="BB45" s="29" t="e">
        <f t="shared" si="13"/>
        <v>#N/A</v>
      </c>
      <c r="BC45" s="29" t="e">
        <f t="shared" si="13"/>
        <v>#N/A</v>
      </c>
      <c r="BD45" s="29" t="e">
        <f t="shared" si="13"/>
        <v>#N/A</v>
      </c>
      <c r="BE45" s="29" t="e">
        <f t="shared" si="13"/>
        <v>#N/A</v>
      </c>
      <c r="BF45" s="29" t="e">
        <f t="shared" si="13"/>
        <v>#N/A</v>
      </c>
      <c r="BG45" s="29" t="e">
        <f t="shared" si="13"/>
        <v>#N/A</v>
      </c>
      <c r="BH45" s="29" t="e">
        <f t="shared" si="13"/>
        <v>#N/A</v>
      </c>
      <c r="BI45" s="29" t="e">
        <f t="shared" si="13"/>
        <v>#N/A</v>
      </c>
      <c r="BJ45" s="29" t="e">
        <f t="shared" si="13"/>
        <v>#N/A</v>
      </c>
      <c r="BK45" s="29" t="e">
        <f t="shared" si="13"/>
        <v>#N/A</v>
      </c>
    </row>
    <row r="46" spans="2:63" x14ac:dyDescent="0.25">
      <c r="B46" s="5" t="s">
        <v>69</v>
      </c>
      <c r="C46" s="38"/>
      <c r="D46" s="2"/>
      <c r="E46" s="2"/>
      <c r="F46" s="5" t="str">
        <f t="shared" si="8"/>
        <v>X</v>
      </c>
      <c r="G46" s="38"/>
      <c r="H46" s="2"/>
      <c r="I46" t="s">
        <v>69</v>
      </c>
      <c r="J46" t="e">
        <f t="shared" si="3"/>
        <v>#N/A</v>
      </c>
      <c r="K46" t="e">
        <f t="shared" si="4"/>
        <v>#N/A</v>
      </c>
      <c r="M46" t="str">
        <f t="shared" si="5"/>
        <v>X</v>
      </c>
      <c r="N46" t="e">
        <f t="shared" si="6"/>
        <v>#N/A</v>
      </c>
      <c r="O46">
        <v>0</v>
      </c>
      <c r="P46" t="e">
        <f t="shared" si="7"/>
        <v>#N/A</v>
      </c>
      <c r="AG46" s="25" t="str">
        <f t="shared" si="14"/>
        <v>X</v>
      </c>
      <c r="AH46" s="29" t="e">
        <f t="shared" si="12"/>
        <v>#N/A</v>
      </c>
      <c r="AI46" s="29" t="e">
        <f t="shared" si="12"/>
        <v>#N/A</v>
      </c>
      <c r="AJ46" s="29" t="e">
        <f t="shared" si="12"/>
        <v>#N/A</v>
      </c>
      <c r="AK46" s="29" t="e">
        <f t="shared" si="12"/>
        <v>#N/A</v>
      </c>
      <c r="AL46" s="29" t="e">
        <f t="shared" si="12"/>
        <v>#N/A</v>
      </c>
      <c r="AM46" s="29" t="e">
        <f t="shared" si="12"/>
        <v>#N/A</v>
      </c>
      <c r="AN46" s="29" t="e">
        <f t="shared" si="12"/>
        <v>#N/A</v>
      </c>
      <c r="AO46" s="29" t="e">
        <f t="shared" si="12"/>
        <v>#N/A</v>
      </c>
      <c r="AP46" s="29" t="e">
        <f t="shared" si="12"/>
        <v>#N/A</v>
      </c>
      <c r="AQ46" s="29" t="e">
        <f t="shared" si="12"/>
        <v>#N/A</v>
      </c>
      <c r="AR46" s="29" t="e">
        <f t="shared" si="12"/>
        <v>#N/A</v>
      </c>
      <c r="AS46" s="29" t="e">
        <f t="shared" si="12"/>
        <v>#N/A</v>
      </c>
      <c r="AT46" s="29" t="e">
        <f t="shared" si="12"/>
        <v>#N/A</v>
      </c>
      <c r="AU46" s="29" t="e">
        <f t="shared" si="12"/>
        <v>#N/A</v>
      </c>
      <c r="AV46" s="29" t="e">
        <f t="shared" si="12"/>
        <v>#N/A</v>
      </c>
      <c r="AW46" s="29" t="e">
        <f t="shared" si="12"/>
        <v>#N/A</v>
      </c>
      <c r="AX46" s="29" t="e">
        <f t="shared" si="13"/>
        <v>#N/A</v>
      </c>
      <c r="AY46" s="29" t="e">
        <f t="shared" si="13"/>
        <v>#N/A</v>
      </c>
      <c r="AZ46" s="29" t="e">
        <f t="shared" si="13"/>
        <v>#N/A</v>
      </c>
      <c r="BA46" s="29" t="e">
        <f t="shared" si="13"/>
        <v>#N/A</v>
      </c>
      <c r="BB46" s="29" t="e">
        <f t="shared" si="13"/>
        <v>#N/A</v>
      </c>
      <c r="BC46" s="29" t="e">
        <f t="shared" si="13"/>
        <v>#N/A</v>
      </c>
      <c r="BD46" s="29" t="e">
        <f t="shared" si="13"/>
        <v>#N/A</v>
      </c>
      <c r="BE46" s="29" t="e">
        <f t="shared" si="13"/>
        <v>#N/A</v>
      </c>
      <c r="BF46" s="29" t="e">
        <f t="shared" si="13"/>
        <v>#N/A</v>
      </c>
      <c r="BG46" s="29" t="e">
        <f t="shared" si="13"/>
        <v>#N/A</v>
      </c>
      <c r="BH46" s="29" t="e">
        <f t="shared" si="13"/>
        <v>#N/A</v>
      </c>
      <c r="BI46" s="29" t="e">
        <f t="shared" si="13"/>
        <v>#N/A</v>
      </c>
      <c r="BJ46" s="29" t="e">
        <f t="shared" si="13"/>
        <v>#N/A</v>
      </c>
      <c r="BK46" s="29" t="e">
        <f t="shared" si="13"/>
        <v>#N/A</v>
      </c>
    </row>
    <row r="47" spans="2:63" x14ac:dyDescent="0.25">
      <c r="B47" s="5" t="s">
        <v>70</v>
      </c>
      <c r="C47" s="38"/>
      <c r="D47" s="2"/>
      <c r="E47" s="2"/>
      <c r="F47" s="5" t="str">
        <f t="shared" si="8"/>
        <v>X</v>
      </c>
      <c r="G47" s="38"/>
      <c r="H47" s="2"/>
      <c r="I47" t="s">
        <v>70</v>
      </c>
      <c r="J47" t="e">
        <f t="shared" si="3"/>
        <v>#N/A</v>
      </c>
      <c r="K47" t="e">
        <f t="shared" si="4"/>
        <v>#N/A</v>
      </c>
      <c r="M47" t="str">
        <f t="shared" si="5"/>
        <v>X</v>
      </c>
      <c r="N47" t="e">
        <f t="shared" si="6"/>
        <v>#N/A</v>
      </c>
      <c r="O47">
        <v>0</v>
      </c>
      <c r="P47" t="e">
        <f t="shared" si="7"/>
        <v>#N/A</v>
      </c>
      <c r="AG47" s="25" t="str">
        <f t="shared" si="14"/>
        <v>X</v>
      </c>
      <c r="AH47" s="29" t="e">
        <f t="shared" si="12"/>
        <v>#N/A</v>
      </c>
      <c r="AI47" s="29" t="e">
        <f t="shared" si="12"/>
        <v>#N/A</v>
      </c>
      <c r="AJ47" s="29" t="e">
        <f t="shared" si="12"/>
        <v>#N/A</v>
      </c>
      <c r="AK47" s="29" t="e">
        <f t="shared" si="12"/>
        <v>#N/A</v>
      </c>
      <c r="AL47" s="29" t="e">
        <f t="shared" si="12"/>
        <v>#N/A</v>
      </c>
      <c r="AM47" s="29" t="e">
        <f t="shared" si="12"/>
        <v>#N/A</v>
      </c>
      <c r="AN47" s="29" t="e">
        <f t="shared" si="12"/>
        <v>#N/A</v>
      </c>
      <c r="AO47" s="29" t="e">
        <f t="shared" si="12"/>
        <v>#N/A</v>
      </c>
      <c r="AP47" s="29" t="e">
        <f t="shared" si="12"/>
        <v>#N/A</v>
      </c>
      <c r="AQ47" s="29" t="e">
        <f t="shared" si="12"/>
        <v>#N/A</v>
      </c>
      <c r="AR47" s="29" t="e">
        <f t="shared" si="12"/>
        <v>#N/A</v>
      </c>
      <c r="AS47" s="29" t="e">
        <f t="shared" si="12"/>
        <v>#N/A</v>
      </c>
      <c r="AT47" s="29" t="e">
        <f t="shared" si="12"/>
        <v>#N/A</v>
      </c>
      <c r="AU47" s="29" t="e">
        <f t="shared" si="12"/>
        <v>#N/A</v>
      </c>
      <c r="AV47" s="29" t="e">
        <f t="shared" si="12"/>
        <v>#N/A</v>
      </c>
      <c r="AW47" s="29" t="e">
        <f t="shared" si="12"/>
        <v>#N/A</v>
      </c>
      <c r="AX47" s="29" t="e">
        <f t="shared" si="13"/>
        <v>#N/A</v>
      </c>
      <c r="AY47" s="29" t="e">
        <f t="shared" si="13"/>
        <v>#N/A</v>
      </c>
      <c r="AZ47" s="29" t="e">
        <f t="shared" si="13"/>
        <v>#N/A</v>
      </c>
      <c r="BA47" s="29" t="e">
        <f t="shared" si="13"/>
        <v>#N/A</v>
      </c>
      <c r="BB47" s="29" t="e">
        <f t="shared" si="13"/>
        <v>#N/A</v>
      </c>
      <c r="BC47" s="29" t="e">
        <f t="shared" si="13"/>
        <v>#N/A</v>
      </c>
      <c r="BD47" s="29" t="e">
        <f t="shared" si="13"/>
        <v>#N/A</v>
      </c>
      <c r="BE47" s="29" t="e">
        <f t="shared" si="13"/>
        <v>#N/A</v>
      </c>
      <c r="BF47" s="29" t="e">
        <f t="shared" si="13"/>
        <v>#N/A</v>
      </c>
      <c r="BG47" s="29" t="e">
        <f t="shared" si="13"/>
        <v>#N/A</v>
      </c>
      <c r="BH47" s="29" t="e">
        <f t="shared" si="13"/>
        <v>#N/A</v>
      </c>
      <c r="BI47" s="29" t="e">
        <f t="shared" si="13"/>
        <v>#N/A</v>
      </c>
      <c r="BJ47" s="29" t="e">
        <f t="shared" si="13"/>
        <v>#N/A</v>
      </c>
      <c r="BK47" s="29" t="e">
        <f t="shared" si="13"/>
        <v>#N/A</v>
      </c>
    </row>
    <row r="48" spans="2:63" x14ac:dyDescent="0.25">
      <c r="B48" s="5" t="s">
        <v>71</v>
      </c>
      <c r="C48" s="38"/>
      <c r="D48" s="2"/>
      <c r="E48" s="2"/>
      <c r="F48" s="5" t="str">
        <f t="shared" si="8"/>
        <v>X</v>
      </c>
      <c r="G48" s="38"/>
      <c r="H48" s="2"/>
      <c r="I48" t="s">
        <v>71</v>
      </c>
      <c r="J48" t="e">
        <f t="shared" si="3"/>
        <v>#N/A</v>
      </c>
      <c r="K48" t="e">
        <f t="shared" si="4"/>
        <v>#N/A</v>
      </c>
      <c r="M48" t="str">
        <f t="shared" si="5"/>
        <v>X</v>
      </c>
      <c r="N48" t="e">
        <f t="shared" si="6"/>
        <v>#N/A</v>
      </c>
      <c r="O48">
        <v>0</v>
      </c>
      <c r="P48" t="e">
        <f t="shared" si="7"/>
        <v>#N/A</v>
      </c>
      <c r="AG48" s="25" t="str">
        <f t="shared" si="14"/>
        <v>X</v>
      </c>
      <c r="AH48" s="29" t="e">
        <f t="shared" si="12"/>
        <v>#N/A</v>
      </c>
      <c r="AI48" s="29" t="e">
        <f t="shared" si="12"/>
        <v>#N/A</v>
      </c>
      <c r="AJ48" s="29" t="e">
        <f t="shared" si="12"/>
        <v>#N/A</v>
      </c>
      <c r="AK48" s="29" t="e">
        <f t="shared" si="12"/>
        <v>#N/A</v>
      </c>
      <c r="AL48" s="29" t="e">
        <f t="shared" si="12"/>
        <v>#N/A</v>
      </c>
      <c r="AM48" s="29" t="e">
        <f t="shared" si="12"/>
        <v>#N/A</v>
      </c>
      <c r="AN48" s="29" t="e">
        <f t="shared" si="12"/>
        <v>#N/A</v>
      </c>
      <c r="AO48" s="29" t="e">
        <f t="shared" si="12"/>
        <v>#N/A</v>
      </c>
      <c r="AP48" s="29" t="e">
        <f t="shared" si="12"/>
        <v>#N/A</v>
      </c>
      <c r="AQ48" s="29" t="e">
        <f t="shared" si="12"/>
        <v>#N/A</v>
      </c>
      <c r="AR48" s="29" t="e">
        <f t="shared" si="12"/>
        <v>#N/A</v>
      </c>
      <c r="AS48" s="29" t="e">
        <f t="shared" si="12"/>
        <v>#N/A</v>
      </c>
      <c r="AT48" s="29" t="e">
        <f t="shared" si="12"/>
        <v>#N/A</v>
      </c>
      <c r="AU48" s="29" t="e">
        <f t="shared" si="12"/>
        <v>#N/A</v>
      </c>
      <c r="AV48" s="29" t="e">
        <f t="shared" si="12"/>
        <v>#N/A</v>
      </c>
      <c r="AW48" s="29" t="e">
        <f t="shared" si="12"/>
        <v>#N/A</v>
      </c>
      <c r="AX48" s="29" t="e">
        <f t="shared" si="13"/>
        <v>#N/A</v>
      </c>
      <c r="AY48" s="29" t="e">
        <f t="shared" si="13"/>
        <v>#N/A</v>
      </c>
      <c r="AZ48" s="29" t="e">
        <f t="shared" si="13"/>
        <v>#N/A</v>
      </c>
      <c r="BA48" s="29" t="e">
        <f t="shared" si="13"/>
        <v>#N/A</v>
      </c>
      <c r="BB48" s="29" t="e">
        <f t="shared" si="13"/>
        <v>#N/A</v>
      </c>
      <c r="BC48" s="29" t="e">
        <f t="shared" si="13"/>
        <v>#N/A</v>
      </c>
      <c r="BD48" s="29" t="e">
        <f t="shared" si="13"/>
        <v>#N/A</v>
      </c>
      <c r="BE48" s="29" t="e">
        <f t="shared" si="13"/>
        <v>#N/A</v>
      </c>
      <c r="BF48" s="29" t="e">
        <f t="shared" si="13"/>
        <v>#N/A</v>
      </c>
      <c r="BG48" s="29" t="e">
        <f t="shared" si="13"/>
        <v>#N/A</v>
      </c>
      <c r="BH48" s="29" t="e">
        <f t="shared" si="13"/>
        <v>#N/A</v>
      </c>
      <c r="BI48" s="29" t="e">
        <f t="shared" si="13"/>
        <v>#N/A</v>
      </c>
      <c r="BJ48" s="29" t="e">
        <f t="shared" si="13"/>
        <v>#N/A</v>
      </c>
      <c r="BK48" s="29" t="e">
        <f t="shared" si="13"/>
        <v>#N/A</v>
      </c>
    </row>
    <row r="49" spans="2:63" x14ac:dyDescent="0.25">
      <c r="B49" s="5"/>
      <c r="C49" s="1"/>
      <c r="D49" s="2"/>
      <c r="E49" s="2"/>
      <c r="F49" s="2"/>
      <c r="G49" s="2"/>
      <c r="H49" s="2"/>
      <c r="I49" s="7"/>
      <c r="J49" s="3"/>
      <c r="AG49" s="25" t="str">
        <f t="shared" si="14"/>
        <v>X</v>
      </c>
      <c r="AH49" s="29" t="e">
        <f t="shared" si="12"/>
        <v>#N/A</v>
      </c>
      <c r="AI49" s="29" t="e">
        <f t="shared" si="12"/>
        <v>#N/A</v>
      </c>
      <c r="AJ49" s="29" t="e">
        <f t="shared" si="12"/>
        <v>#N/A</v>
      </c>
      <c r="AK49" s="29" t="e">
        <f t="shared" si="12"/>
        <v>#N/A</v>
      </c>
      <c r="AL49" s="29" t="e">
        <f t="shared" si="12"/>
        <v>#N/A</v>
      </c>
      <c r="AM49" s="29" t="e">
        <f t="shared" si="12"/>
        <v>#N/A</v>
      </c>
      <c r="AN49" s="29" t="e">
        <f t="shared" si="12"/>
        <v>#N/A</v>
      </c>
      <c r="AO49" s="29" t="e">
        <f t="shared" si="12"/>
        <v>#N/A</v>
      </c>
      <c r="AP49" s="29" t="e">
        <f t="shared" si="12"/>
        <v>#N/A</v>
      </c>
      <c r="AQ49" s="29" t="e">
        <f t="shared" si="12"/>
        <v>#N/A</v>
      </c>
      <c r="AR49" s="29" t="e">
        <f t="shared" si="12"/>
        <v>#N/A</v>
      </c>
      <c r="AS49" s="29" t="e">
        <f t="shared" si="12"/>
        <v>#N/A</v>
      </c>
      <c r="AT49" s="29" t="e">
        <f t="shared" si="12"/>
        <v>#N/A</v>
      </c>
      <c r="AU49" s="29" t="e">
        <f t="shared" si="12"/>
        <v>#N/A</v>
      </c>
      <c r="AV49" s="29" t="e">
        <f t="shared" si="12"/>
        <v>#N/A</v>
      </c>
      <c r="AW49" s="29" t="e">
        <f t="shared" si="12"/>
        <v>#N/A</v>
      </c>
      <c r="AX49" s="29" t="e">
        <f t="shared" si="13"/>
        <v>#N/A</v>
      </c>
      <c r="AY49" s="29" t="e">
        <f t="shared" si="13"/>
        <v>#N/A</v>
      </c>
      <c r="AZ49" s="29" t="e">
        <f t="shared" si="13"/>
        <v>#N/A</v>
      </c>
      <c r="BA49" s="29" t="e">
        <f t="shared" si="13"/>
        <v>#N/A</v>
      </c>
      <c r="BB49" s="29" t="e">
        <f t="shared" si="13"/>
        <v>#N/A</v>
      </c>
      <c r="BC49" s="29" t="e">
        <f t="shared" si="13"/>
        <v>#N/A</v>
      </c>
      <c r="BD49" s="29" t="e">
        <f t="shared" si="13"/>
        <v>#N/A</v>
      </c>
      <c r="BE49" s="29" t="e">
        <f t="shared" si="13"/>
        <v>#N/A</v>
      </c>
      <c r="BF49" s="29" t="e">
        <f t="shared" si="13"/>
        <v>#N/A</v>
      </c>
      <c r="BG49" s="29" t="e">
        <f t="shared" si="13"/>
        <v>#N/A</v>
      </c>
      <c r="BH49" s="29" t="e">
        <f t="shared" si="13"/>
        <v>#N/A</v>
      </c>
      <c r="BI49" s="29" t="e">
        <f t="shared" si="13"/>
        <v>#N/A</v>
      </c>
      <c r="BJ49" s="29" t="e">
        <f t="shared" si="13"/>
        <v>#N/A</v>
      </c>
      <c r="BK49" s="29" t="e">
        <f t="shared" si="13"/>
        <v>#N/A</v>
      </c>
    </row>
    <row r="50" spans="2:63" x14ac:dyDescent="0.25">
      <c r="AG50" s="25" t="str">
        <f t="shared" si="14"/>
        <v>X</v>
      </c>
      <c r="AH50" s="29" t="e">
        <f t="shared" si="12"/>
        <v>#N/A</v>
      </c>
      <c r="AI50" s="29" t="e">
        <f t="shared" si="12"/>
        <v>#N/A</v>
      </c>
      <c r="AJ50" s="29" t="e">
        <f t="shared" si="12"/>
        <v>#N/A</v>
      </c>
      <c r="AK50" s="29" t="e">
        <f t="shared" si="12"/>
        <v>#N/A</v>
      </c>
      <c r="AL50" s="29" t="e">
        <f t="shared" si="12"/>
        <v>#N/A</v>
      </c>
      <c r="AM50" s="29" t="e">
        <f t="shared" si="12"/>
        <v>#N/A</v>
      </c>
      <c r="AN50" s="29" t="e">
        <f t="shared" si="12"/>
        <v>#N/A</v>
      </c>
      <c r="AO50" s="29" t="e">
        <f t="shared" si="12"/>
        <v>#N/A</v>
      </c>
      <c r="AP50" s="29" t="e">
        <f t="shared" si="12"/>
        <v>#N/A</v>
      </c>
      <c r="AQ50" s="29" t="e">
        <f t="shared" si="12"/>
        <v>#N/A</v>
      </c>
      <c r="AR50" s="29" t="e">
        <f t="shared" si="12"/>
        <v>#N/A</v>
      </c>
      <c r="AS50" s="29" t="e">
        <f t="shared" si="12"/>
        <v>#N/A</v>
      </c>
      <c r="AT50" s="29" t="e">
        <f t="shared" si="12"/>
        <v>#N/A</v>
      </c>
      <c r="AU50" s="29" t="e">
        <f t="shared" si="12"/>
        <v>#N/A</v>
      </c>
      <c r="AV50" s="29" t="e">
        <f t="shared" si="12"/>
        <v>#N/A</v>
      </c>
      <c r="AW50" s="29" t="e">
        <f t="shared" si="12"/>
        <v>#N/A</v>
      </c>
      <c r="AX50" s="29" t="e">
        <f t="shared" si="13"/>
        <v>#N/A</v>
      </c>
      <c r="AY50" s="29" t="e">
        <f t="shared" si="13"/>
        <v>#N/A</v>
      </c>
      <c r="AZ50" s="29" t="e">
        <f t="shared" si="13"/>
        <v>#N/A</v>
      </c>
      <c r="BA50" s="29" t="e">
        <f t="shared" si="13"/>
        <v>#N/A</v>
      </c>
      <c r="BB50" s="29" t="e">
        <f t="shared" si="13"/>
        <v>#N/A</v>
      </c>
      <c r="BC50" s="29" t="e">
        <f t="shared" si="13"/>
        <v>#N/A</v>
      </c>
      <c r="BD50" s="29" t="e">
        <f t="shared" si="13"/>
        <v>#N/A</v>
      </c>
      <c r="BE50" s="29" t="e">
        <f t="shared" si="13"/>
        <v>#N/A</v>
      </c>
      <c r="BF50" s="29" t="e">
        <f t="shared" si="13"/>
        <v>#N/A</v>
      </c>
      <c r="BG50" s="29" t="e">
        <f t="shared" si="13"/>
        <v>#N/A</v>
      </c>
      <c r="BH50" s="29" t="e">
        <f t="shared" si="13"/>
        <v>#N/A</v>
      </c>
      <c r="BI50" s="29" t="e">
        <f t="shared" si="13"/>
        <v>#N/A</v>
      </c>
      <c r="BJ50" s="29" t="e">
        <f t="shared" si="13"/>
        <v>#N/A</v>
      </c>
      <c r="BK50" s="29" t="e">
        <f t="shared" si="13"/>
        <v>#N/A</v>
      </c>
    </row>
    <row r="51" spans="2:63" ht="15" customHeight="1" x14ac:dyDescent="0.25">
      <c r="B51" s="33"/>
      <c r="C51" s="33"/>
      <c r="D51" s="33"/>
      <c r="E51" s="33"/>
      <c r="F51" s="36"/>
      <c r="G51" s="36"/>
      <c r="AG51" s="25" t="str">
        <f t="shared" si="14"/>
        <v>X</v>
      </c>
      <c r="AH51" s="29" t="e">
        <f t="shared" si="12"/>
        <v>#N/A</v>
      </c>
      <c r="AI51" s="29" t="e">
        <f t="shared" si="12"/>
        <v>#N/A</v>
      </c>
      <c r="AJ51" s="29" t="e">
        <f t="shared" si="12"/>
        <v>#N/A</v>
      </c>
      <c r="AK51" s="29" t="e">
        <f t="shared" si="12"/>
        <v>#N/A</v>
      </c>
      <c r="AL51" s="29" t="e">
        <f t="shared" si="12"/>
        <v>#N/A</v>
      </c>
      <c r="AM51" s="29" t="e">
        <f t="shared" si="12"/>
        <v>#N/A</v>
      </c>
      <c r="AN51" s="29" t="e">
        <f t="shared" si="12"/>
        <v>#N/A</v>
      </c>
      <c r="AO51" s="29" t="e">
        <f t="shared" si="12"/>
        <v>#N/A</v>
      </c>
      <c r="AP51" s="29" t="e">
        <f t="shared" si="12"/>
        <v>#N/A</v>
      </c>
      <c r="AQ51" s="29" t="e">
        <f t="shared" si="12"/>
        <v>#N/A</v>
      </c>
      <c r="AR51" s="29" t="e">
        <f t="shared" si="12"/>
        <v>#N/A</v>
      </c>
      <c r="AS51" s="29" t="e">
        <f t="shared" si="12"/>
        <v>#N/A</v>
      </c>
      <c r="AT51" s="29" t="e">
        <f t="shared" si="12"/>
        <v>#N/A</v>
      </c>
      <c r="AU51" s="29" t="e">
        <f t="shared" si="12"/>
        <v>#N/A</v>
      </c>
      <c r="AV51" s="29" t="e">
        <f t="shared" si="12"/>
        <v>#N/A</v>
      </c>
      <c r="AW51" s="29" t="e">
        <f t="shared" si="12"/>
        <v>#N/A</v>
      </c>
      <c r="AX51" s="29" t="e">
        <f t="shared" si="13"/>
        <v>#N/A</v>
      </c>
      <c r="AY51" s="29" t="e">
        <f t="shared" si="13"/>
        <v>#N/A</v>
      </c>
      <c r="AZ51" s="29" t="e">
        <f t="shared" si="13"/>
        <v>#N/A</v>
      </c>
      <c r="BA51" s="29" t="e">
        <f t="shared" si="13"/>
        <v>#N/A</v>
      </c>
      <c r="BB51" s="29" t="e">
        <f t="shared" si="13"/>
        <v>#N/A</v>
      </c>
      <c r="BC51" s="29" t="e">
        <f t="shared" si="13"/>
        <v>#N/A</v>
      </c>
      <c r="BD51" s="29" t="e">
        <f t="shared" si="13"/>
        <v>#N/A</v>
      </c>
      <c r="BE51" s="29" t="e">
        <f t="shared" si="13"/>
        <v>#N/A</v>
      </c>
      <c r="BF51" s="29" t="e">
        <f t="shared" si="13"/>
        <v>#N/A</v>
      </c>
      <c r="BG51" s="29" t="e">
        <f t="shared" si="13"/>
        <v>#N/A</v>
      </c>
      <c r="BH51" s="29" t="e">
        <f t="shared" si="13"/>
        <v>#N/A</v>
      </c>
      <c r="BI51" s="29" t="e">
        <f t="shared" si="13"/>
        <v>#N/A</v>
      </c>
      <c r="BJ51" s="29" t="e">
        <f t="shared" si="13"/>
        <v>#N/A</v>
      </c>
      <c r="BK51" s="29" t="e">
        <f t="shared" si="13"/>
        <v>#N/A</v>
      </c>
    </row>
    <row r="52" spans="2:63" x14ac:dyDescent="0.25">
      <c r="B52" s="34"/>
      <c r="C52" s="34"/>
      <c r="D52" s="34"/>
      <c r="E52" s="35"/>
      <c r="F52" s="37"/>
      <c r="G52" s="37"/>
      <c r="AG52" s="25" t="str">
        <f t="shared" si="14"/>
        <v>X</v>
      </c>
      <c r="AH52" s="29" t="e">
        <f t="shared" si="12"/>
        <v>#N/A</v>
      </c>
      <c r="AI52" s="29" t="e">
        <f t="shared" si="12"/>
        <v>#N/A</v>
      </c>
      <c r="AJ52" s="29" t="e">
        <f t="shared" si="12"/>
        <v>#N/A</v>
      </c>
      <c r="AK52" s="29" t="e">
        <f t="shared" si="12"/>
        <v>#N/A</v>
      </c>
      <c r="AL52" s="29" t="e">
        <f t="shared" si="12"/>
        <v>#N/A</v>
      </c>
      <c r="AM52" s="29" t="e">
        <f t="shared" si="12"/>
        <v>#N/A</v>
      </c>
      <c r="AN52" s="29" t="e">
        <f t="shared" si="12"/>
        <v>#N/A</v>
      </c>
      <c r="AO52" s="29" t="e">
        <f t="shared" si="12"/>
        <v>#N/A</v>
      </c>
      <c r="AP52" s="29" t="e">
        <f t="shared" si="12"/>
        <v>#N/A</v>
      </c>
      <c r="AQ52" s="29" t="e">
        <f t="shared" si="12"/>
        <v>#N/A</v>
      </c>
      <c r="AR52" s="29" t="e">
        <f t="shared" si="12"/>
        <v>#N/A</v>
      </c>
      <c r="AS52" s="29" t="e">
        <f t="shared" si="12"/>
        <v>#N/A</v>
      </c>
      <c r="AT52" s="29" t="e">
        <f t="shared" si="12"/>
        <v>#N/A</v>
      </c>
      <c r="AU52" s="29" t="e">
        <f t="shared" si="12"/>
        <v>#N/A</v>
      </c>
      <c r="AV52" s="29" t="e">
        <f t="shared" si="12"/>
        <v>#N/A</v>
      </c>
      <c r="AW52" s="29" t="e">
        <f t="shared" si="12"/>
        <v>#N/A</v>
      </c>
      <c r="AX52" s="29" t="e">
        <f t="shared" si="13"/>
        <v>#N/A</v>
      </c>
      <c r="AY52" s="29" t="e">
        <f t="shared" si="13"/>
        <v>#N/A</v>
      </c>
      <c r="AZ52" s="29" t="e">
        <f t="shared" si="13"/>
        <v>#N/A</v>
      </c>
      <c r="BA52" s="29" t="e">
        <f t="shared" si="13"/>
        <v>#N/A</v>
      </c>
      <c r="BB52" s="29" t="e">
        <f t="shared" si="13"/>
        <v>#N/A</v>
      </c>
      <c r="BC52" s="29" t="e">
        <f t="shared" si="13"/>
        <v>#N/A</v>
      </c>
      <c r="BD52" s="29" t="e">
        <f t="shared" si="13"/>
        <v>#N/A</v>
      </c>
      <c r="BE52" s="29" t="e">
        <f t="shared" si="13"/>
        <v>#N/A</v>
      </c>
      <c r="BF52" s="29" t="e">
        <f t="shared" si="13"/>
        <v>#N/A</v>
      </c>
      <c r="BG52" s="29" t="e">
        <f t="shared" si="13"/>
        <v>#N/A</v>
      </c>
      <c r="BH52" s="29" t="e">
        <f t="shared" si="13"/>
        <v>#N/A</v>
      </c>
      <c r="BI52" s="29" t="e">
        <f t="shared" si="13"/>
        <v>#N/A</v>
      </c>
      <c r="BJ52" s="29" t="e">
        <f t="shared" si="13"/>
        <v>#N/A</v>
      </c>
      <c r="BK52" s="29" t="e">
        <f t="shared" si="13"/>
        <v>#N/A</v>
      </c>
    </row>
    <row r="53" spans="2:63" x14ac:dyDescent="0.25">
      <c r="B53" s="34"/>
      <c r="C53" s="34"/>
      <c r="D53" s="34"/>
      <c r="E53" s="34"/>
      <c r="F53" s="37"/>
      <c r="G53" s="37"/>
      <c r="AG53" s="25" t="str">
        <f t="shared" si="14"/>
        <v>X</v>
      </c>
      <c r="AH53" s="29" t="e">
        <f t="shared" si="12"/>
        <v>#N/A</v>
      </c>
      <c r="AI53" s="29" t="e">
        <f t="shared" si="12"/>
        <v>#N/A</v>
      </c>
      <c r="AJ53" s="29" t="e">
        <f t="shared" si="12"/>
        <v>#N/A</v>
      </c>
      <c r="AK53" s="29" t="e">
        <f t="shared" si="12"/>
        <v>#N/A</v>
      </c>
      <c r="AL53" s="29" t="e">
        <f t="shared" si="12"/>
        <v>#N/A</v>
      </c>
      <c r="AM53" s="29" t="e">
        <f t="shared" si="12"/>
        <v>#N/A</v>
      </c>
      <c r="AN53" s="29" t="e">
        <f t="shared" si="12"/>
        <v>#N/A</v>
      </c>
      <c r="AO53" s="29" t="e">
        <f t="shared" si="12"/>
        <v>#N/A</v>
      </c>
      <c r="AP53" s="29" t="e">
        <f t="shared" si="12"/>
        <v>#N/A</v>
      </c>
      <c r="AQ53" s="29" t="e">
        <f t="shared" si="12"/>
        <v>#N/A</v>
      </c>
      <c r="AR53" s="29" t="e">
        <f t="shared" si="12"/>
        <v>#N/A</v>
      </c>
      <c r="AS53" s="29" t="e">
        <f t="shared" si="12"/>
        <v>#N/A</v>
      </c>
      <c r="AT53" s="29" t="e">
        <f t="shared" si="12"/>
        <v>#N/A</v>
      </c>
      <c r="AU53" s="29" t="e">
        <f t="shared" si="12"/>
        <v>#N/A</v>
      </c>
      <c r="AV53" s="29" t="e">
        <f t="shared" si="12"/>
        <v>#N/A</v>
      </c>
      <c r="AW53" s="29" t="e">
        <f t="shared" si="12"/>
        <v>#N/A</v>
      </c>
      <c r="AX53" s="29" t="e">
        <f t="shared" si="13"/>
        <v>#N/A</v>
      </c>
      <c r="AY53" s="29" t="e">
        <f t="shared" si="13"/>
        <v>#N/A</v>
      </c>
      <c r="AZ53" s="29" t="e">
        <f t="shared" si="13"/>
        <v>#N/A</v>
      </c>
      <c r="BA53" s="29" t="e">
        <f t="shared" si="13"/>
        <v>#N/A</v>
      </c>
      <c r="BB53" s="29" t="e">
        <f t="shared" si="13"/>
        <v>#N/A</v>
      </c>
      <c r="BC53" s="29" t="e">
        <f t="shared" si="13"/>
        <v>#N/A</v>
      </c>
      <c r="BD53" s="29" t="e">
        <f t="shared" si="13"/>
        <v>#N/A</v>
      </c>
      <c r="BE53" s="29" t="e">
        <f t="shared" si="13"/>
        <v>#N/A</v>
      </c>
      <c r="BF53" s="29" t="e">
        <f t="shared" si="13"/>
        <v>#N/A</v>
      </c>
      <c r="BG53" s="29" t="e">
        <f t="shared" si="13"/>
        <v>#N/A</v>
      </c>
      <c r="BH53" s="29" t="e">
        <f t="shared" si="13"/>
        <v>#N/A</v>
      </c>
      <c r="BI53" s="29" t="e">
        <f t="shared" si="13"/>
        <v>#N/A</v>
      </c>
      <c r="BJ53" s="29" t="e">
        <f t="shared" si="13"/>
        <v>#N/A</v>
      </c>
      <c r="BK53" s="29" t="e">
        <f t="shared" si="13"/>
        <v>#N/A</v>
      </c>
    </row>
    <row r="54" spans="2:63" x14ac:dyDescent="0.25">
      <c r="B54" s="34"/>
      <c r="C54" s="34"/>
      <c r="D54" s="34"/>
      <c r="E54" s="34"/>
      <c r="F54" s="37"/>
      <c r="G54" s="37"/>
      <c r="AG54" s="25" t="str">
        <f t="shared" si="14"/>
        <v>X</v>
      </c>
      <c r="AH54" s="29" t="e">
        <f t="shared" si="12"/>
        <v>#N/A</v>
      </c>
      <c r="AI54" s="29" t="e">
        <f t="shared" si="12"/>
        <v>#N/A</v>
      </c>
      <c r="AJ54" s="29" t="e">
        <f t="shared" si="12"/>
        <v>#N/A</v>
      </c>
      <c r="AK54" s="29" t="e">
        <f t="shared" si="12"/>
        <v>#N/A</v>
      </c>
      <c r="AL54" s="29" t="e">
        <f t="shared" si="12"/>
        <v>#N/A</v>
      </c>
      <c r="AM54" s="29" t="e">
        <f t="shared" si="12"/>
        <v>#N/A</v>
      </c>
      <c r="AN54" s="29" t="e">
        <f t="shared" si="12"/>
        <v>#N/A</v>
      </c>
      <c r="AO54" s="29" t="e">
        <f t="shared" si="12"/>
        <v>#N/A</v>
      </c>
      <c r="AP54" s="29" t="e">
        <f t="shared" si="12"/>
        <v>#N/A</v>
      </c>
      <c r="AQ54" s="29" t="e">
        <f t="shared" si="12"/>
        <v>#N/A</v>
      </c>
      <c r="AR54" s="29" t="e">
        <f t="shared" si="12"/>
        <v>#N/A</v>
      </c>
      <c r="AS54" s="29" t="e">
        <f t="shared" si="12"/>
        <v>#N/A</v>
      </c>
      <c r="AT54" s="29" t="e">
        <f t="shared" si="12"/>
        <v>#N/A</v>
      </c>
      <c r="AU54" s="29" t="e">
        <f t="shared" si="12"/>
        <v>#N/A</v>
      </c>
      <c r="AV54" s="29" t="e">
        <f t="shared" si="12"/>
        <v>#N/A</v>
      </c>
      <c r="AW54" s="29" t="e">
        <f t="shared" ref="AW54:AZ68" si="15">(R153-$C$6)/$C$6</f>
        <v>#N/A</v>
      </c>
      <c r="AX54" s="29" t="e">
        <f t="shared" si="13"/>
        <v>#N/A</v>
      </c>
      <c r="AY54" s="29" t="e">
        <f t="shared" si="13"/>
        <v>#N/A</v>
      </c>
      <c r="AZ54" s="29" t="e">
        <f t="shared" si="13"/>
        <v>#N/A</v>
      </c>
      <c r="BA54" s="29" t="e">
        <f t="shared" si="13"/>
        <v>#N/A</v>
      </c>
      <c r="BB54" s="29" t="e">
        <f t="shared" si="13"/>
        <v>#N/A</v>
      </c>
      <c r="BC54" s="29" t="e">
        <f t="shared" si="13"/>
        <v>#N/A</v>
      </c>
      <c r="BD54" s="29" t="e">
        <f t="shared" si="13"/>
        <v>#N/A</v>
      </c>
      <c r="BE54" s="29" t="e">
        <f t="shared" si="13"/>
        <v>#N/A</v>
      </c>
      <c r="BF54" s="29" t="e">
        <f t="shared" si="13"/>
        <v>#N/A</v>
      </c>
      <c r="BG54" s="29" t="e">
        <f t="shared" si="13"/>
        <v>#N/A</v>
      </c>
      <c r="BH54" s="29" t="e">
        <f t="shared" si="13"/>
        <v>#N/A</v>
      </c>
      <c r="BI54" s="29" t="e">
        <f t="shared" si="13"/>
        <v>#N/A</v>
      </c>
      <c r="BJ54" s="29" t="e">
        <f t="shared" si="13"/>
        <v>#N/A</v>
      </c>
      <c r="BK54" s="29" t="e">
        <f t="shared" si="13"/>
        <v>#N/A</v>
      </c>
    </row>
    <row r="55" spans="2:63" x14ac:dyDescent="0.25">
      <c r="B55" s="34"/>
      <c r="C55" s="34"/>
      <c r="D55" s="34"/>
      <c r="E55" s="34"/>
      <c r="F55" s="37"/>
      <c r="G55" s="37"/>
      <c r="AG55" s="25" t="str">
        <f t="shared" si="14"/>
        <v>X</v>
      </c>
      <c r="AH55" s="29" t="e">
        <f t="shared" ref="AH55:AV68" si="16">(C154-$C$6)/$C$6</f>
        <v>#N/A</v>
      </c>
      <c r="AI55" s="29" t="e">
        <f t="shared" si="16"/>
        <v>#N/A</v>
      </c>
      <c r="AJ55" s="29" t="e">
        <f t="shared" si="16"/>
        <v>#N/A</v>
      </c>
      <c r="AK55" s="29" t="e">
        <f t="shared" si="16"/>
        <v>#N/A</v>
      </c>
      <c r="AL55" s="29" t="e">
        <f t="shared" si="16"/>
        <v>#N/A</v>
      </c>
      <c r="AM55" s="29" t="e">
        <f t="shared" si="16"/>
        <v>#N/A</v>
      </c>
      <c r="AN55" s="29" t="e">
        <f t="shared" si="16"/>
        <v>#N/A</v>
      </c>
      <c r="AO55" s="29" t="e">
        <f t="shared" si="16"/>
        <v>#N/A</v>
      </c>
      <c r="AP55" s="29" t="e">
        <f t="shared" si="16"/>
        <v>#N/A</v>
      </c>
      <c r="AQ55" s="29" t="e">
        <f t="shared" si="16"/>
        <v>#N/A</v>
      </c>
      <c r="AR55" s="29" t="e">
        <f t="shared" si="16"/>
        <v>#N/A</v>
      </c>
      <c r="AS55" s="29" t="e">
        <f t="shared" si="16"/>
        <v>#N/A</v>
      </c>
      <c r="AT55" s="29" t="e">
        <f t="shared" si="16"/>
        <v>#N/A</v>
      </c>
      <c r="AU55" s="29" t="e">
        <f t="shared" si="16"/>
        <v>#N/A</v>
      </c>
      <c r="AV55" s="29" t="e">
        <f t="shared" si="16"/>
        <v>#N/A</v>
      </c>
      <c r="AW55" s="29" t="e">
        <f t="shared" si="15"/>
        <v>#N/A</v>
      </c>
      <c r="AX55" s="29" t="e">
        <f t="shared" si="13"/>
        <v>#N/A</v>
      </c>
      <c r="AY55" s="29" t="e">
        <f t="shared" si="13"/>
        <v>#N/A</v>
      </c>
      <c r="AZ55" s="29" t="e">
        <f t="shared" si="13"/>
        <v>#N/A</v>
      </c>
      <c r="BA55" s="29" t="e">
        <f t="shared" si="13"/>
        <v>#N/A</v>
      </c>
      <c r="BB55" s="29" t="e">
        <f t="shared" si="13"/>
        <v>#N/A</v>
      </c>
      <c r="BC55" s="29" t="e">
        <f t="shared" si="13"/>
        <v>#N/A</v>
      </c>
      <c r="BD55" s="29" t="e">
        <f t="shared" si="13"/>
        <v>#N/A</v>
      </c>
      <c r="BE55" s="29" t="e">
        <f t="shared" si="13"/>
        <v>#N/A</v>
      </c>
      <c r="BF55" s="29" t="e">
        <f t="shared" si="13"/>
        <v>#N/A</v>
      </c>
      <c r="BG55" s="29" t="e">
        <f t="shared" si="13"/>
        <v>#N/A</v>
      </c>
      <c r="BH55" s="29" t="e">
        <f t="shared" si="13"/>
        <v>#N/A</v>
      </c>
      <c r="BI55" s="29" t="e">
        <f t="shared" si="13"/>
        <v>#N/A</v>
      </c>
      <c r="BJ55" s="29" t="e">
        <f t="shared" si="13"/>
        <v>#N/A</v>
      </c>
      <c r="BK55" s="29" t="e">
        <f t="shared" si="13"/>
        <v>#N/A</v>
      </c>
    </row>
    <row r="56" spans="2:63" x14ac:dyDescent="0.25">
      <c r="B56" s="34"/>
      <c r="C56" s="34"/>
      <c r="D56" s="34"/>
      <c r="E56" s="34"/>
      <c r="F56" s="37"/>
      <c r="G56" s="37"/>
      <c r="AG56" s="25" t="str">
        <f t="shared" si="14"/>
        <v>X</v>
      </c>
      <c r="AH56" s="29" t="e">
        <f t="shared" si="16"/>
        <v>#N/A</v>
      </c>
      <c r="AI56" s="29" t="e">
        <f t="shared" si="16"/>
        <v>#N/A</v>
      </c>
      <c r="AJ56" s="29" t="e">
        <f t="shared" si="16"/>
        <v>#N/A</v>
      </c>
      <c r="AK56" s="29" t="e">
        <f t="shared" si="16"/>
        <v>#N/A</v>
      </c>
      <c r="AL56" s="29" t="e">
        <f t="shared" si="16"/>
        <v>#N/A</v>
      </c>
      <c r="AM56" s="29" t="e">
        <f t="shared" si="16"/>
        <v>#N/A</v>
      </c>
      <c r="AN56" s="29" t="e">
        <f t="shared" si="16"/>
        <v>#N/A</v>
      </c>
      <c r="AO56" s="29" t="e">
        <f t="shared" si="16"/>
        <v>#N/A</v>
      </c>
      <c r="AP56" s="29" t="e">
        <f t="shared" si="16"/>
        <v>#N/A</v>
      </c>
      <c r="AQ56" s="29" t="e">
        <f t="shared" si="16"/>
        <v>#N/A</v>
      </c>
      <c r="AR56" s="29" t="e">
        <f t="shared" si="16"/>
        <v>#N/A</v>
      </c>
      <c r="AS56" s="29" t="e">
        <f t="shared" si="16"/>
        <v>#N/A</v>
      </c>
      <c r="AT56" s="29" t="e">
        <f t="shared" si="16"/>
        <v>#N/A</v>
      </c>
      <c r="AU56" s="29" t="e">
        <f t="shared" si="16"/>
        <v>#N/A</v>
      </c>
      <c r="AV56" s="29" t="e">
        <f t="shared" si="16"/>
        <v>#N/A</v>
      </c>
      <c r="AW56" s="29" t="e">
        <f t="shared" si="15"/>
        <v>#N/A</v>
      </c>
      <c r="AX56" s="29" t="e">
        <f t="shared" si="13"/>
        <v>#N/A</v>
      </c>
      <c r="AY56" s="29" t="e">
        <f t="shared" si="13"/>
        <v>#N/A</v>
      </c>
      <c r="AZ56" s="29" t="e">
        <f t="shared" si="13"/>
        <v>#N/A</v>
      </c>
      <c r="BA56" s="29" t="e">
        <f t="shared" si="13"/>
        <v>#N/A</v>
      </c>
      <c r="BB56" s="29" t="e">
        <f t="shared" si="13"/>
        <v>#N/A</v>
      </c>
      <c r="BC56" s="29" t="e">
        <f t="shared" si="13"/>
        <v>#N/A</v>
      </c>
      <c r="BD56" s="29" t="e">
        <f t="shared" si="13"/>
        <v>#N/A</v>
      </c>
      <c r="BE56" s="29" t="e">
        <f t="shared" si="13"/>
        <v>#N/A</v>
      </c>
      <c r="BF56" s="29" t="e">
        <f t="shared" si="13"/>
        <v>#N/A</v>
      </c>
      <c r="BG56" s="29" t="e">
        <f t="shared" si="13"/>
        <v>#N/A</v>
      </c>
      <c r="BH56" s="29" t="e">
        <f t="shared" si="13"/>
        <v>#N/A</v>
      </c>
      <c r="BI56" s="29" t="e">
        <f t="shared" si="13"/>
        <v>#N/A</v>
      </c>
      <c r="BJ56" s="29" t="e">
        <f t="shared" si="13"/>
        <v>#N/A</v>
      </c>
      <c r="BK56" s="29" t="e">
        <f t="shared" si="13"/>
        <v>#N/A</v>
      </c>
    </row>
    <row r="57" spans="2:63" x14ac:dyDescent="0.25">
      <c r="AG57" s="25" t="str">
        <f t="shared" si="14"/>
        <v>X</v>
      </c>
      <c r="AH57" s="29" t="e">
        <f t="shared" si="16"/>
        <v>#N/A</v>
      </c>
      <c r="AI57" s="29" t="e">
        <f t="shared" si="16"/>
        <v>#N/A</v>
      </c>
      <c r="AJ57" s="29" t="e">
        <f t="shared" si="16"/>
        <v>#N/A</v>
      </c>
      <c r="AK57" s="29" t="e">
        <f t="shared" si="16"/>
        <v>#N/A</v>
      </c>
      <c r="AL57" s="29" t="e">
        <f t="shared" si="16"/>
        <v>#N/A</v>
      </c>
      <c r="AM57" s="29" t="e">
        <f t="shared" si="16"/>
        <v>#N/A</v>
      </c>
      <c r="AN57" s="29" t="e">
        <f t="shared" si="16"/>
        <v>#N/A</v>
      </c>
      <c r="AO57" s="29" t="e">
        <f t="shared" si="16"/>
        <v>#N/A</v>
      </c>
      <c r="AP57" s="29" t="e">
        <f t="shared" si="16"/>
        <v>#N/A</v>
      </c>
      <c r="AQ57" s="29" t="e">
        <f t="shared" si="16"/>
        <v>#N/A</v>
      </c>
      <c r="AR57" s="29" t="e">
        <f t="shared" si="16"/>
        <v>#N/A</v>
      </c>
      <c r="AS57" s="29" t="e">
        <f t="shared" si="16"/>
        <v>#N/A</v>
      </c>
      <c r="AT57" s="29" t="e">
        <f t="shared" si="16"/>
        <v>#N/A</v>
      </c>
      <c r="AU57" s="29" t="e">
        <f t="shared" si="16"/>
        <v>#N/A</v>
      </c>
      <c r="AV57" s="29" t="e">
        <f t="shared" si="16"/>
        <v>#N/A</v>
      </c>
      <c r="AW57" s="29" t="e">
        <f t="shared" si="15"/>
        <v>#N/A</v>
      </c>
      <c r="AX57" s="29" t="e">
        <f t="shared" si="13"/>
        <v>#N/A</v>
      </c>
      <c r="AY57" s="29" t="e">
        <f t="shared" si="13"/>
        <v>#N/A</v>
      </c>
      <c r="AZ57" s="29" t="e">
        <f t="shared" si="13"/>
        <v>#N/A</v>
      </c>
      <c r="BA57" s="29" t="e">
        <f t="shared" ref="BA57:BK68" si="17">(V156-$C$6)/$C$6</f>
        <v>#N/A</v>
      </c>
      <c r="BB57" s="29" t="e">
        <f t="shared" si="17"/>
        <v>#N/A</v>
      </c>
      <c r="BC57" s="29" t="e">
        <f t="shared" si="17"/>
        <v>#N/A</v>
      </c>
      <c r="BD57" s="29" t="e">
        <f t="shared" si="17"/>
        <v>#N/A</v>
      </c>
      <c r="BE57" s="29" t="e">
        <f t="shared" si="17"/>
        <v>#N/A</v>
      </c>
      <c r="BF57" s="29" t="e">
        <f t="shared" si="17"/>
        <v>#N/A</v>
      </c>
      <c r="BG57" s="29" t="e">
        <f t="shared" si="17"/>
        <v>#N/A</v>
      </c>
      <c r="BH57" s="29" t="e">
        <f t="shared" si="17"/>
        <v>#N/A</v>
      </c>
      <c r="BI57" s="29" t="e">
        <f t="shared" si="17"/>
        <v>#N/A</v>
      </c>
      <c r="BJ57" s="29" t="e">
        <f t="shared" si="17"/>
        <v>#N/A</v>
      </c>
      <c r="BK57" s="29" t="e">
        <f t="shared" si="17"/>
        <v>#N/A</v>
      </c>
    </row>
    <row r="58" spans="2:63" x14ac:dyDescent="0.25">
      <c r="AG58" s="25" t="str">
        <f t="shared" si="14"/>
        <v>X</v>
      </c>
      <c r="AH58" s="29" t="e">
        <f t="shared" si="16"/>
        <v>#N/A</v>
      </c>
      <c r="AI58" s="29" t="e">
        <f t="shared" si="16"/>
        <v>#N/A</v>
      </c>
      <c r="AJ58" s="29" t="e">
        <f t="shared" si="16"/>
        <v>#N/A</v>
      </c>
      <c r="AK58" s="29" t="e">
        <f t="shared" si="16"/>
        <v>#N/A</v>
      </c>
      <c r="AL58" s="29" t="e">
        <f t="shared" si="16"/>
        <v>#N/A</v>
      </c>
      <c r="AM58" s="29" t="e">
        <f t="shared" si="16"/>
        <v>#N/A</v>
      </c>
      <c r="AN58" s="29" t="e">
        <f t="shared" si="16"/>
        <v>#N/A</v>
      </c>
      <c r="AO58" s="29" t="e">
        <f t="shared" si="16"/>
        <v>#N/A</v>
      </c>
      <c r="AP58" s="29" t="e">
        <f t="shared" si="16"/>
        <v>#N/A</v>
      </c>
      <c r="AQ58" s="29" t="e">
        <f t="shared" si="16"/>
        <v>#N/A</v>
      </c>
      <c r="AR58" s="29" t="e">
        <f t="shared" si="16"/>
        <v>#N/A</v>
      </c>
      <c r="AS58" s="29" t="e">
        <f t="shared" si="16"/>
        <v>#N/A</v>
      </c>
      <c r="AT58" s="29" t="e">
        <f t="shared" si="16"/>
        <v>#N/A</v>
      </c>
      <c r="AU58" s="29" t="e">
        <f t="shared" si="16"/>
        <v>#N/A</v>
      </c>
      <c r="AV58" s="29" t="e">
        <f t="shared" si="16"/>
        <v>#N/A</v>
      </c>
      <c r="AW58" s="29" t="e">
        <f t="shared" si="15"/>
        <v>#N/A</v>
      </c>
      <c r="AX58" s="29" t="e">
        <f t="shared" si="15"/>
        <v>#N/A</v>
      </c>
      <c r="AY58" s="29" t="e">
        <f t="shared" si="15"/>
        <v>#N/A</v>
      </c>
      <c r="AZ58" s="29" t="e">
        <f t="shared" si="15"/>
        <v>#N/A</v>
      </c>
      <c r="BA58" s="29" t="e">
        <f t="shared" si="17"/>
        <v>#N/A</v>
      </c>
      <c r="BB58" s="29" t="e">
        <f t="shared" si="17"/>
        <v>#N/A</v>
      </c>
      <c r="BC58" s="29" t="e">
        <f t="shared" si="17"/>
        <v>#N/A</v>
      </c>
      <c r="BD58" s="29" t="e">
        <f t="shared" si="17"/>
        <v>#N/A</v>
      </c>
      <c r="BE58" s="29" t="e">
        <f t="shared" si="17"/>
        <v>#N/A</v>
      </c>
      <c r="BF58" s="29" t="e">
        <f t="shared" si="17"/>
        <v>#N/A</v>
      </c>
      <c r="BG58" s="29" t="e">
        <f t="shared" si="17"/>
        <v>#N/A</v>
      </c>
      <c r="BH58" s="29" t="e">
        <f t="shared" si="17"/>
        <v>#N/A</v>
      </c>
      <c r="BI58" s="29" t="e">
        <f t="shared" si="17"/>
        <v>#N/A</v>
      </c>
      <c r="BJ58" s="29" t="e">
        <f t="shared" si="17"/>
        <v>#N/A</v>
      </c>
      <c r="BK58" s="29" t="e">
        <f t="shared" si="17"/>
        <v>#N/A</v>
      </c>
    </row>
    <row r="59" spans="2:63" x14ac:dyDescent="0.25">
      <c r="AG59" s="25" t="str">
        <f>$M39</f>
        <v>X</v>
      </c>
      <c r="AH59" s="29" t="e">
        <f t="shared" si="16"/>
        <v>#N/A</v>
      </c>
      <c r="AI59" s="29" t="e">
        <f t="shared" si="16"/>
        <v>#N/A</v>
      </c>
      <c r="AJ59" s="29" t="e">
        <f t="shared" si="16"/>
        <v>#N/A</v>
      </c>
      <c r="AK59" s="29" t="e">
        <f t="shared" si="16"/>
        <v>#N/A</v>
      </c>
      <c r="AL59" s="29" t="e">
        <f t="shared" si="16"/>
        <v>#N/A</v>
      </c>
      <c r="AM59" s="29" t="e">
        <f t="shared" si="16"/>
        <v>#N/A</v>
      </c>
      <c r="AN59" s="29" t="e">
        <f t="shared" si="16"/>
        <v>#N/A</v>
      </c>
      <c r="AO59" s="29" t="e">
        <f t="shared" si="16"/>
        <v>#N/A</v>
      </c>
      <c r="AP59" s="29" t="e">
        <f t="shared" si="16"/>
        <v>#N/A</v>
      </c>
      <c r="AQ59" s="29" t="e">
        <f t="shared" si="16"/>
        <v>#N/A</v>
      </c>
      <c r="AR59" s="29" t="e">
        <f t="shared" si="16"/>
        <v>#N/A</v>
      </c>
      <c r="AS59" s="29" t="e">
        <f t="shared" si="16"/>
        <v>#N/A</v>
      </c>
      <c r="AT59" s="29" t="e">
        <f t="shared" si="16"/>
        <v>#N/A</v>
      </c>
      <c r="AU59" s="29" t="e">
        <f t="shared" si="16"/>
        <v>#N/A</v>
      </c>
      <c r="AV59" s="29" t="e">
        <f t="shared" si="16"/>
        <v>#N/A</v>
      </c>
      <c r="AW59" s="29" t="e">
        <f t="shared" si="15"/>
        <v>#N/A</v>
      </c>
      <c r="AX59" s="29" t="e">
        <f t="shared" si="15"/>
        <v>#N/A</v>
      </c>
      <c r="AY59" s="29" t="e">
        <f t="shared" si="15"/>
        <v>#N/A</v>
      </c>
      <c r="AZ59" s="29" t="e">
        <f t="shared" si="15"/>
        <v>#N/A</v>
      </c>
      <c r="BA59" s="29" t="e">
        <f t="shared" si="17"/>
        <v>#N/A</v>
      </c>
      <c r="BB59" s="29" t="e">
        <f t="shared" si="17"/>
        <v>#N/A</v>
      </c>
      <c r="BC59" s="29" t="e">
        <f t="shared" si="17"/>
        <v>#N/A</v>
      </c>
      <c r="BD59" s="29" t="e">
        <f t="shared" si="17"/>
        <v>#N/A</v>
      </c>
      <c r="BE59" s="29" t="e">
        <f t="shared" si="17"/>
        <v>#N/A</v>
      </c>
      <c r="BF59" s="29" t="e">
        <f t="shared" si="17"/>
        <v>#N/A</v>
      </c>
      <c r="BG59" s="29" t="e">
        <f t="shared" si="17"/>
        <v>#N/A</v>
      </c>
      <c r="BH59" s="29" t="e">
        <f t="shared" si="17"/>
        <v>#N/A</v>
      </c>
      <c r="BI59" s="29" t="e">
        <f t="shared" si="17"/>
        <v>#N/A</v>
      </c>
      <c r="BJ59" s="29" t="e">
        <f t="shared" si="17"/>
        <v>#N/A</v>
      </c>
      <c r="BK59" s="29" t="e">
        <f t="shared" si="17"/>
        <v>#N/A</v>
      </c>
    </row>
    <row r="60" spans="2:63" x14ac:dyDescent="0.25">
      <c r="AG60" s="25" t="str">
        <f t="shared" si="14"/>
        <v>X</v>
      </c>
      <c r="AH60" s="29" t="e">
        <f t="shared" si="16"/>
        <v>#N/A</v>
      </c>
      <c r="AI60" s="29" t="e">
        <f t="shared" si="16"/>
        <v>#N/A</v>
      </c>
      <c r="AJ60" s="29" t="e">
        <f t="shared" si="16"/>
        <v>#N/A</v>
      </c>
      <c r="AK60" s="29" t="e">
        <f t="shared" si="16"/>
        <v>#N/A</v>
      </c>
      <c r="AL60" s="29" t="e">
        <f t="shared" si="16"/>
        <v>#N/A</v>
      </c>
      <c r="AM60" s="29" t="e">
        <f t="shared" si="16"/>
        <v>#N/A</v>
      </c>
      <c r="AN60" s="29" t="e">
        <f t="shared" si="16"/>
        <v>#N/A</v>
      </c>
      <c r="AO60" s="29" t="e">
        <f t="shared" si="16"/>
        <v>#N/A</v>
      </c>
      <c r="AP60" s="29" t="e">
        <f t="shared" si="16"/>
        <v>#N/A</v>
      </c>
      <c r="AQ60" s="29" t="e">
        <f t="shared" si="16"/>
        <v>#N/A</v>
      </c>
      <c r="AR60" s="29" t="e">
        <f t="shared" si="16"/>
        <v>#N/A</v>
      </c>
      <c r="AS60" s="29" t="e">
        <f t="shared" si="16"/>
        <v>#N/A</v>
      </c>
      <c r="AT60" s="29" t="e">
        <f t="shared" si="16"/>
        <v>#N/A</v>
      </c>
      <c r="AU60" s="29" t="e">
        <f t="shared" si="16"/>
        <v>#N/A</v>
      </c>
      <c r="AV60" s="29" t="e">
        <f t="shared" si="16"/>
        <v>#N/A</v>
      </c>
      <c r="AW60" s="29" t="e">
        <f t="shared" si="15"/>
        <v>#N/A</v>
      </c>
      <c r="AX60" s="29" t="e">
        <f t="shared" si="15"/>
        <v>#N/A</v>
      </c>
      <c r="AY60" s="29" t="e">
        <f t="shared" si="15"/>
        <v>#N/A</v>
      </c>
      <c r="AZ60" s="29" t="e">
        <f t="shared" si="15"/>
        <v>#N/A</v>
      </c>
      <c r="BA60" s="29" t="e">
        <f t="shared" si="17"/>
        <v>#N/A</v>
      </c>
      <c r="BB60" s="29" t="e">
        <f t="shared" si="17"/>
        <v>#N/A</v>
      </c>
      <c r="BC60" s="29" t="e">
        <f t="shared" si="17"/>
        <v>#N/A</v>
      </c>
      <c r="BD60" s="29" t="e">
        <f t="shared" si="17"/>
        <v>#N/A</v>
      </c>
      <c r="BE60" s="29" t="e">
        <f t="shared" si="17"/>
        <v>#N/A</v>
      </c>
      <c r="BF60" s="29" t="e">
        <f t="shared" si="17"/>
        <v>#N/A</v>
      </c>
      <c r="BG60" s="29" t="e">
        <f t="shared" si="17"/>
        <v>#N/A</v>
      </c>
      <c r="BH60" s="29" t="e">
        <f t="shared" si="17"/>
        <v>#N/A</v>
      </c>
      <c r="BI60" s="29" t="e">
        <f t="shared" si="17"/>
        <v>#N/A</v>
      </c>
      <c r="BJ60" s="29" t="e">
        <f t="shared" si="17"/>
        <v>#N/A</v>
      </c>
      <c r="BK60" s="29" t="e">
        <f t="shared" si="17"/>
        <v>#N/A</v>
      </c>
    </row>
    <row r="61" spans="2:63" x14ac:dyDescent="0.25">
      <c r="AG61" s="25" t="str">
        <f t="shared" si="14"/>
        <v>X</v>
      </c>
      <c r="AH61" s="29" t="e">
        <f t="shared" si="16"/>
        <v>#N/A</v>
      </c>
      <c r="AI61" s="29" t="e">
        <f t="shared" si="16"/>
        <v>#N/A</v>
      </c>
      <c r="AJ61" s="29" t="e">
        <f t="shared" si="16"/>
        <v>#N/A</v>
      </c>
      <c r="AK61" s="29" t="e">
        <f t="shared" si="16"/>
        <v>#N/A</v>
      </c>
      <c r="AL61" s="29" t="e">
        <f t="shared" si="16"/>
        <v>#N/A</v>
      </c>
      <c r="AM61" s="29" t="e">
        <f t="shared" si="16"/>
        <v>#N/A</v>
      </c>
      <c r="AN61" s="29" t="e">
        <f t="shared" si="16"/>
        <v>#N/A</v>
      </c>
      <c r="AO61" s="29" t="e">
        <f t="shared" si="16"/>
        <v>#N/A</v>
      </c>
      <c r="AP61" s="29" t="e">
        <f t="shared" si="16"/>
        <v>#N/A</v>
      </c>
      <c r="AQ61" s="29" t="e">
        <f t="shared" si="16"/>
        <v>#N/A</v>
      </c>
      <c r="AR61" s="29" t="e">
        <f t="shared" si="16"/>
        <v>#N/A</v>
      </c>
      <c r="AS61" s="29" t="e">
        <f t="shared" si="16"/>
        <v>#N/A</v>
      </c>
      <c r="AT61" s="29" t="e">
        <f t="shared" si="16"/>
        <v>#N/A</v>
      </c>
      <c r="AU61" s="29" t="e">
        <f t="shared" si="16"/>
        <v>#N/A</v>
      </c>
      <c r="AV61" s="29" t="e">
        <f t="shared" si="16"/>
        <v>#N/A</v>
      </c>
      <c r="AW61" s="29" t="e">
        <f t="shared" si="15"/>
        <v>#N/A</v>
      </c>
      <c r="AX61" s="29" t="e">
        <f t="shared" si="15"/>
        <v>#N/A</v>
      </c>
      <c r="AY61" s="29" t="e">
        <f t="shared" si="15"/>
        <v>#N/A</v>
      </c>
      <c r="AZ61" s="29" t="e">
        <f t="shared" si="15"/>
        <v>#N/A</v>
      </c>
      <c r="BA61" s="29" t="e">
        <f t="shared" si="17"/>
        <v>#N/A</v>
      </c>
      <c r="BB61" s="29" t="e">
        <f t="shared" si="17"/>
        <v>#N/A</v>
      </c>
      <c r="BC61" s="29" t="e">
        <f t="shared" si="17"/>
        <v>#N/A</v>
      </c>
      <c r="BD61" s="29" t="e">
        <f t="shared" si="17"/>
        <v>#N/A</v>
      </c>
      <c r="BE61" s="29" t="e">
        <f t="shared" si="17"/>
        <v>#N/A</v>
      </c>
      <c r="BF61" s="29" t="e">
        <f t="shared" si="17"/>
        <v>#N/A</v>
      </c>
      <c r="BG61" s="29" t="e">
        <f t="shared" si="17"/>
        <v>#N/A</v>
      </c>
      <c r="BH61" s="29" t="e">
        <f t="shared" si="17"/>
        <v>#N/A</v>
      </c>
      <c r="BI61" s="29" t="e">
        <f t="shared" si="17"/>
        <v>#N/A</v>
      </c>
      <c r="BJ61" s="29" t="e">
        <f t="shared" si="17"/>
        <v>#N/A</v>
      </c>
      <c r="BK61" s="29" t="e">
        <f t="shared" si="17"/>
        <v>#N/A</v>
      </c>
    </row>
    <row r="62" spans="2:63" x14ac:dyDescent="0.25">
      <c r="AG62" s="25" t="str">
        <f t="shared" si="14"/>
        <v>X</v>
      </c>
      <c r="AH62" s="29" t="e">
        <f t="shared" si="16"/>
        <v>#N/A</v>
      </c>
      <c r="AI62" s="29" t="e">
        <f t="shared" si="16"/>
        <v>#N/A</v>
      </c>
      <c r="AJ62" s="29" t="e">
        <f t="shared" si="16"/>
        <v>#N/A</v>
      </c>
      <c r="AK62" s="29" t="e">
        <f t="shared" si="16"/>
        <v>#N/A</v>
      </c>
      <c r="AL62" s="29" t="e">
        <f t="shared" si="16"/>
        <v>#N/A</v>
      </c>
      <c r="AM62" s="29" t="e">
        <f t="shared" si="16"/>
        <v>#N/A</v>
      </c>
      <c r="AN62" s="29" t="e">
        <f t="shared" si="16"/>
        <v>#N/A</v>
      </c>
      <c r="AO62" s="29" t="e">
        <f t="shared" si="16"/>
        <v>#N/A</v>
      </c>
      <c r="AP62" s="29" t="e">
        <f t="shared" si="16"/>
        <v>#N/A</v>
      </c>
      <c r="AQ62" s="29" t="e">
        <f t="shared" si="16"/>
        <v>#N/A</v>
      </c>
      <c r="AR62" s="29" t="e">
        <f t="shared" si="16"/>
        <v>#N/A</v>
      </c>
      <c r="AS62" s="29" t="e">
        <f t="shared" si="16"/>
        <v>#N/A</v>
      </c>
      <c r="AT62" s="29" t="e">
        <f t="shared" si="16"/>
        <v>#N/A</v>
      </c>
      <c r="AU62" s="29" t="e">
        <f t="shared" si="16"/>
        <v>#N/A</v>
      </c>
      <c r="AV62" s="29" t="e">
        <f t="shared" si="16"/>
        <v>#N/A</v>
      </c>
      <c r="AW62" s="29" t="e">
        <f t="shared" si="15"/>
        <v>#N/A</v>
      </c>
      <c r="AX62" s="29" t="e">
        <f t="shared" si="15"/>
        <v>#N/A</v>
      </c>
      <c r="AY62" s="29" t="e">
        <f t="shared" si="15"/>
        <v>#N/A</v>
      </c>
      <c r="AZ62" s="29" t="e">
        <f t="shared" si="15"/>
        <v>#N/A</v>
      </c>
      <c r="BA62" s="29" t="e">
        <f t="shared" si="17"/>
        <v>#N/A</v>
      </c>
      <c r="BB62" s="29" t="e">
        <f t="shared" si="17"/>
        <v>#N/A</v>
      </c>
      <c r="BC62" s="29" t="e">
        <f t="shared" si="17"/>
        <v>#N/A</v>
      </c>
      <c r="BD62" s="29" t="e">
        <f t="shared" si="17"/>
        <v>#N/A</v>
      </c>
      <c r="BE62" s="29" t="e">
        <f t="shared" si="17"/>
        <v>#N/A</v>
      </c>
      <c r="BF62" s="29" t="e">
        <f t="shared" si="17"/>
        <v>#N/A</v>
      </c>
      <c r="BG62" s="29" t="e">
        <f t="shared" si="17"/>
        <v>#N/A</v>
      </c>
      <c r="BH62" s="29" t="e">
        <f t="shared" si="17"/>
        <v>#N/A</v>
      </c>
      <c r="BI62" s="29" t="e">
        <f t="shared" si="17"/>
        <v>#N/A</v>
      </c>
      <c r="BJ62" s="29" t="e">
        <f t="shared" si="17"/>
        <v>#N/A</v>
      </c>
      <c r="BK62" s="29" t="e">
        <f t="shared" si="17"/>
        <v>#N/A</v>
      </c>
    </row>
    <row r="63" spans="2:63" x14ac:dyDescent="0.25">
      <c r="AG63" s="25" t="str">
        <f t="shared" si="14"/>
        <v>X</v>
      </c>
      <c r="AH63" s="29" t="e">
        <f t="shared" si="16"/>
        <v>#N/A</v>
      </c>
      <c r="AI63" s="29" t="e">
        <f t="shared" si="16"/>
        <v>#N/A</v>
      </c>
      <c r="AJ63" s="29" t="e">
        <f t="shared" si="16"/>
        <v>#N/A</v>
      </c>
      <c r="AK63" s="29" t="e">
        <f t="shared" si="16"/>
        <v>#N/A</v>
      </c>
      <c r="AL63" s="29" t="e">
        <f t="shared" si="16"/>
        <v>#N/A</v>
      </c>
      <c r="AM63" s="29" t="e">
        <f t="shared" si="16"/>
        <v>#N/A</v>
      </c>
      <c r="AN63" s="29" t="e">
        <f t="shared" si="16"/>
        <v>#N/A</v>
      </c>
      <c r="AO63" s="29" t="e">
        <f t="shared" si="16"/>
        <v>#N/A</v>
      </c>
      <c r="AP63" s="29" t="e">
        <f t="shared" si="16"/>
        <v>#N/A</v>
      </c>
      <c r="AQ63" s="29" t="e">
        <f t="shared" si="16"/>
        <v>#N/A</v>
      </c>
      <c r="AR63" s="29" t="e">
        <f t="shared" si="16"/>
        <v>#N/A</v>
      </c>
      <c r="AS63" s="29" t="e">
        <f t="shared" si="16"/>
        <v>#N/A</v>
      </c>
      <c r="AT63" s="29" t="e">
        <f t="shared" si="16"/>
        <v>#N/A</v>
      </c>
      <c r="AU63" s="29" t="e">
        <f t="shared" si="16"/>
        <v>#N/A</v>
      </c>
      <c r="AV63" s="29" t="e">
        <f t="shared" si="16"/>
        <v>#N/A</v>
      </c>
      <c r="AW63" s="29" t="e">
        <f t="shared" si="15"/>
        <v>#N/A</v>
      </c>
      <c r="AX63" s="29" t="e">
        <f t="shared" si="15"/>
        <v>#N/A</v>
      </c>
      <c r="AY63" s="29" t="e">
        <f t="shared" si="15"/>
        <v>#N/A</v>
      </c>
      <c r="AZ63" s="29" t="e">
        <f t="shared" si="15"/>
        <v>#N/A</v>
      </c>
      <c r="BA63" s="29" t="e">
        <f t="shared" si="17"/>
        <v>#N/A</v>
      </c>
      <c r="BB63" s="29" t="e">
        <f t="shared" si="17"/>
        <v>#N/A</v>
      </c>
      <c r="BC63" s="29" t="e">
        <f t="shared" si="17"/>
        <v>#N/A</v>
      </c>
      <c r="BD63" s="29" t="e">
        <f t="shared" si="17"/>
        <v>#N/A</v>
      </c>
      <c r="BE63" s="29" t="e">
        <f t="shared" si="17"/>
        <v>#N/A</v>
      </c>
      <c r="BF63" s="29" t="e">
        <f t="shared" si="17"/>
        <v>#N/A</v>
      </c>
      <c r="BG63" s="29" t="e">
        <f t="shared" si="17"/>
        <v>#N/A</v>
      </c>
      <c r="BH63" s="29" t="e">
        <f t="shared" si="17"/>
        <v>#N/A</v>
      </c>
      <c r="BI63" s="29" t="e">
        <f t="shared" si="17"/>
        <v>#N/A</v>
      </c>
      <c r="BJ63" s="29" t="e">
        <f t="shared" si="17"/>
        <v>#N/A</v>
      </c>
      <c r="BK63" s="29" t="e">
        <f t="shared" si="17"/>
        <v>#N/A</v>
      </c>
    </row>
    <row r="64" spans="2:63" x14ac:dyDescent="0.25">
      <c r="AG64" s="25" t="str">
        <f t="shared" si="14"/>
        <v>X</v>
      </c>
      <c r="AH64" s="29" t="e">
        <f t="shared" si="16"/>
        <v>#N/A</v>
      </c>
      <c r="AI64" s="29" t="e">
        <f t="shared" si="16"/>
        <v>#N/A</v>
      </c>
      <c r="AJ64" s="29" t="e">
        <f t="shared" si="16"/>
        <v>#N/A</v>
      </c>
      <c r="AK64" s="29" t="e">
        <f t="shared" si="16"/>
        <v>#N/A</v>
      </c>
      <c r="AL64" s="29" t="e">
        <f t="shared" si="16"/>
        <v>#N/A</v>
      </c>
      <c r="AM64" s="29" t="e">
        <f t="shared" si="16"/>
        <v>#N/A</v>
      </c>
      <c r="AN64" s="29" t="e">
        <f t="shared" si="16"/>
        <v>#N/A</v>
      </c>
      <c r="AO64" s="29" t="e">
        <f t="shared" si="16"/>
        <v>#N/A</v>
      </c>
      <c r="AP64" s="29" t="e">
        <f t="shared" si="16"/>
        <v>#N/A</v>
      </c>
      <c r="AQ64" s="29" t="e">
        <f t="shared" si="16"/>
        <v>#N/A</v>
      </c>
      <c r="AR64" s="29" t="e">
        <f t="shared" si="16"/>
        <v>#N/A</v>
      </c>
      <c r="AS64" s="29" t="e">
        <f t="shared" si="16"/>
        <v>#N/A</v>
      </c>
      <c r="AT64" s="29" t="e">
        <f t="shared" si="16"/>
        <v>#N/A</v>
      </c>
      <c r="AU64" s="29" t="e">
        <f t="shared" si="16"/>
        <v>#N/A</v>
      </c>
      <c r="AV64" s="29" t="e">
        <f t="shared" si="16"/>
        <v>#N/A</v>
      </c>
      <c r="AW64" s="29" t="e">
        <f t="shared" si="15"/>
        <v>#N/A</v>
      </c>
      <c r="AX64" s="29" t="e">
        <f t="shared" si="15"/>
        <v>#N/A</v>
      </c>
      <c r="AY64" s="29" t="e">
        <f t="shared" si="15"/>
        <v>#N/A</v>
      </c>
      <c r="AZ64" s="29" t="e">
        <f t="shared" si="15"/>
        <v>#N/A</v>
      </c>
      <c r="BA64" s="29" t="e">
        <f t="shared" si="17"/>
        <v>#N/A</v>
      </c>
      <c r="BB64" s="29" t="e">
        <f t="shared" si="17"/>
        <v>#N/A</v>
      </c>
      <c r="BC64" s="29" t="e">
        <f t="shared" si="17"/>
        <v>#N/A</v>
      </c>
      <c r="BD64" s="29" t="e">
        <f t="shared" si="17"/>
        <v>#N/A</v>
      </c>
      <c r="BE64" s="29" t="e">
        <f t="shared" si="17"/>
        <v>#N/A</v>
      </c>
      <c r="BF64" s="29" t="e">
        <f t="shared" si="17"/>
        <v>#N/A</v>
      </c>
      <c r="BG64" s="29" t="e">
        <f t="shared" si="17"/>
        <v>#N/A</v>
      </c>
      <c r="BH64" s="29" t="e">
        <f t="shared" si="17"/>
        <v>#N/A</v>
      </c>
      <c r="BI64" s="29" t="e">
        <f t="shared" si="17"/>
        <v>#N/A</v>
      </c>
      <c r="BJ64" s="29" t="e">
        <f t="shared" si="17"/>
        <v>#N/A</v>
      </c>
      <c r="BK64" s="29" t="e">
        <f t="shared" si="17"/>
        <v>#N/A</v>
      </c>
    </row>
    <row r="65" spans="33:63" x14ac:dyDescent="0.25">
      <c r="AG65" s="25" t="str">
        <f t="shared" si="14"/>
        <v>X</v>
      </c>
      <c r="AH65" s="29" t="e">
        <f t="shared" si="16"/>
        <v>#N/A</v>
      </c>
      <c r="AI65" s="29" t="e">
        <f t="shared" si="16"/>
        <v>#N/A</v>
      </c>
      <c r="AJ65" s="29" t="e">
        <f t="shared" si="16"/>
        <v>#N/A</v>
      </c>
      <c r="AK65" s="29" t="e">
        <f t="shared" si="16"/>
        <v>#N/A</v>
      </c>
      <c r="AL65" s="29" t="e">
        <f t="shared" si="16"/>
        <v>#N/A</v>
      </c>
      <c r="AM65" s="29" t="e">
        <f t="shared" si="16"/>
        <v>#N/A</v>
      </c>
      <c r="AN65" s="29" t="e">
        <f t="shared" si="16"/>
        <v>#N/A</v>
      </c>
      <c r="AO65" s="29" t="e">
        <f t="shared" si="16"/>
        <v>#N/A</v>
      </c>
      <c r="AP65" s="29" t="e">
        <f t="shared" si="16"/>
        <v>#N/A</v>
      </c>
      <c r="AQ65" s="29" t="e">
        <f t="shared" si="16"/>
        <v>#N/A</v>
      </c>
      <c r="AR65" s="29" t="e">
        <f t="shared" si="16"/>
        <v>#N/A</v>
      </c>
      <c r="AS65" s="29" t="e">
        <f t="shared" si="16"/>
        <v>#N/A</v>
      </c>
      <c r="AT65" s="29" t="e">
        <f t="shared" si="16"/>
        <v>#N/A</v>
      </c>
      <c r="AU65" s="29" t="e">
        <f t="shared" si="16"/>
        <v>#N/A</v>
      </c>
      <c r="AV65" s="29" t="e">
        <f t="shared" si="16"/>
        <v>#N/A</v>
      </c>
      <c r="AW65" s="29" t="e">
        <f t="shared" si="15"/>
        <v>#N/A</v>
      </c>
      <c r="AX65" s="29" t="e">
        <f t="shared" si="15"/>
        <v>#N/A</v>
      </c>
      <c r="AY65" s="29" t="e">
        <f t="shared" si="15"/>
        <v>#N/A</v>
      </c>
      <c r="AZ65" s="29" t="e">
        <f t="shared" si="15"/>
        <v>#N/A</v>
      </c>
      <c r="BA65" s="29" t="e">
        <f t="shared" si="17"/>
        <v>#N/A</v>
      </c>
      <c r="BB65" s="29" t="e">
        <f t="shared" si="17"/>
        <v>#N/A</v>
      </c>
      <c r="BC65" s="29" t="e">
        <f t="shared" si="17"/>
        <v>#N/A</v>
      </c>
      <c r="BD65" s="29" t="e">
        <f t="shared" si="17"/>
        <v>#N/A</v>
      </c>
      <c r="BE65" s="29" t="e">
        <f t="shared" si="17"/>
        <v>#N/A</v>
      </c>
      <c r="BF65" s="29" t="e">
        <f t="shared" si="17"/>
        <v>#N/A</v>
      </c>
      <c r="BG65" s="29" t="e">
        <f t="shared" si="17"/>
        <v>#N/A</v>
      </c>
      <c r="BH65" s="29" t="e">
        <f t="shared" si="17"/>
        <v>#N/A</v>
      </c>
      <c r="BI65" s="29" t="e">
        <f t="shared" si="17"/>
        <v>#N/A</v>
      </c>
      <c r="BJ65" s="29" t="e">
        <f t="shared" si="17"/>
        <v>#N/A</v>
      </c>
      <c r="BK65" s="29" t="e">
        <f t="shared" si="17"/>
        <v>#N/A</v>
      </c>
    </row>
    <row r="66" spans="33:63" x14ac:dyDescent="0.25">
      <c r="AG66" s="25" t="str">
        <f t="shared" si="14"/>
        <v>X</v>
      </c>
      <c r="AH66" s="29" t="e">
        <f t="shared" si="16"/>
        <v>#N/A</v>
      </c>
      <c r="AI66" s="29" t="e">
        <f t="shared" si="16"/>
        <v>#N/A</v>
      </c>
      <c r="AJ66" s="29" t="e">
        <f t="shared" si="16"/>
        <v>#N/A</v>
      </c>
      <c r="AK66" s="29" t="e">
        <f t="shared" si="16"/>
        <v>#N/A</v>
      </c>
      <c r="AL66" s="29" t="e">
        <f t="shared" si="16"/>
        <v>#N/A</v>
      </c>
      <c r="AM66" s="29" t="e">
        <f t="shared" si="16"/>
        <v>#N/A</v>
      </c>
      <c r="AN66" s="29" t="e">
        <f t="shared" si="16"/>
        <v>#N/A</v>
      </c>
      <c r="AO66" s="29" t="e">
        <f t="shared" si="16"/>
        <v>#N/A</v>
      </c>
      <c r="AP66" s="29" t="e">
        <f t="shared" si="16"/>
        <v>#N/A</v>
      </c>
      <c r="AQ66" s="29" t="e">
        <f t="shared" si="16"/>
        <v>#N/A</v>
      </c>
      <c r="AR66" s="29" t="e">
        <f t="shared" si="16"/>
        <v>#N/A</v>
      </c>
      <c r="AS66" s="29" t="e">
        <f t="shared" si="16"/>
        <v>#N/A</v>
      </c>
      <c r="AT66" s="29" t="e">
        <f t="shared" si="16"/>
        <v>#N/A</v>
      </c>
      <c r="AU66" s="29" t="e">
        <f t="shared" si="16"/>
        <v>#N/A</v>
      </c>
      <c r="AV66" s="29" t="e">
        <f t="shared" si="16"/>
        <v>#N/A</v>
      </c>
      <c r="AW66" s="29" t="e">
        <f t="shared" si="15"/>
        <v>#N/A</v>
      </c>
      <c r="AX66" s="29" t="e">
        <f t="shared" si="15"/>
        <v>#N/A</v>
      </c>
      <c r="AY66" s="29" t="e">
        <f t="shared" si="15"/>
        <v>#N/A</v>
      </c>
      <c r="AZ66" s="29" t="e">
        <f t="shared" si="15"/>
        <v>#N/A</v>
      </c>
      <c r="BA66" s="29" t="e">
        <f t="shared" si="17"/>
        <v>#N/A</v>
      </c>
      <c r="BB66" s="29" t="e">
        <f t="shared" si="17"/>
        <v>#N/A</v>
      </c>
      <c r="BC66" s="29" t="e">
        <f t="shared" si="17"/>
        <v>#N/A</v>
      </c>
      <c r="BD66" s="29" t="e">
        <f t="shared" si="17"/>
        <v>#N/A</v>
      </c>
      <c r="BE66" s="29" t="e">
        <f t="shared" si="17"/>
        <v>#N/A</v>
      </c>
      <c r="BF66" s="29" t="e">
        <f t="shared" si="17"/>
        <v>#N/A</v>
      </c>
      <c r="BG66" s="29" t="e">
        <f t="shared" si="17"/>
        <v>#N/A</v>
      </c>
      <c r="BH66" s="29" t="e">
        <f t="shared" si="17"/>
        <v>#N/A</v>
      </c>
      <c r="BI66" s="29" t="e">
        <f t="shared" si="17"/>
        <v>#N/A</v>
      </c>
      <c r="BJ66" s="29" t="e">
        <f t="shared" si="17"/>
        <v>#N/A</v>
      </c>
      <c r="BK66" s="29" t="e">
        <f t="shared" si="17"/>
        <v>#N/A</v>
      </c>
    </row>
    <row r="67" spans="33:63" x14ac:dyDescent="0.25">
      <c r="AG67" s="25" t="str">
        <f t="shared" si="14"/>
        <v>X</v>
      </c>
      <c r="AH67" s="29" t="e">
        <f t="shared" si="16"/>
        <v>#N/A</v>
      </c>
      <c r="AI67" s="29" t="e">
        <f t="shared" si="16"/>
        <v>#N/A</v>
      </c>
      <c r="AJ67" s="29" t="e">
        <f t="shared" si="16"/>
        <v>#N/A</v>
      </c>
      <c r="AK67" s="29" t="e">
        <f t="shared" si="16"/>
        <v>#N/A</v>
      </c>
      <c r="AL67" s="29" t="e">
        <f t="shared" si="16"/>
        <v>#N/A</v>
      </c>
      <c r="AM67" s="29" t="e">
        <f t="shared" si="16"/>
        <v>#N/A</v>
      </c>
      <c r="AN67" s="29" t="e">
        <f t="shared" si="16"/>
        <v>#N/A</v>
      </c>
      <c r="AO67" s="29" t="e">
        <f t="shared" si="16"/>
        <v>#N/A</v>
      </c>
      <c r="AP67" s="29" t="e">
        <f t="shared" si="16"/>
        <v>#N/A</v>
      </c>
      <c r="AQ67" s="29" t="e">
        <f t="shared" si="16"/>
        <v>#N/A</v>
      </c>
      <c r="AR67" s="29" t="e">
        <f t="shared" si="16"/>
        <v>#N/A</v>
      </c>
      <c r="AS67" s="29" t="e">
        <f t="shared" si="16"/>
        <v>#N/A</v>
      </c>
      <c r="AT67" s="29" t="e">
        <f t="shared" si="16"/>
        <v>#N/A</v>
      </c>
      <c r="AU67" s="29" t="e">
        <f t="shared" si="16"/>
        <v>#N/A</v>
      </c>
      <c r="AV67" s="29" t="e">
        <f t="shared" si="16"/>
        <v>#N/A</v>
      </c>
      <c r="AW67" s="29" t="e">
        <f t="shared" si="15"/>
        <v>#N/A</v>
      </c>
      <c r="AX67" s="29" t="e">
        <f t="shared" si="15"/>
        <v>#N/A</v>
      </c>
      <c r="AY67" s="29" t="e">
        <f t="shared" si="15"/>
        <v>#N/A</v>
      </c>
      <c r="AZ67" s="29" t="e">
        <f t="shared" si="15"/>
        <v>#N/A</v>
      </c>
      <c r="BA67" s="29" t="e">
        <f t="shared" si="17"/>
        <v>#N/A</v>
      </c>
      <c r="BB67" s="29" t="e">
        <f t="shared" si="17"/>
        <v>#N/A</v>
      </c>
      <c r="BC67" s="29" t="e">
        <f t="shared" si="17"/>
        <v>#N/A</v>
      </c>
      <c r="BD67" s="29" t="e">
        <f t="shared" si="17"/>
        <v>#N/A</v>
      </c>
      <c r="BE67" s="29" t="e">
        <f t="shared" si="17"/>
        <v>#N/A</v>
      </c>
      <c r="BF67" s="29" t="e">
        <f t="shared" si="17"/>
        <v>#N/A</v>
      </c>
      <c r="BG67" s="29" t="e">
        <f t="shared" si="17"/>
        <v>#N/A</v>
      </c>
      <c r="BH67" s="29" t="e">
        <f t="shared" si="17"/>
        <v>#N/A</v>
      </c>
      <c r="BI67" s="29" t="e">
        <f t="shared" si="17"/>
        <v>#N/A</v>
      </c>
      <c r="BJ67" s="29" t="e">
        <f t="shared" si="17"/>
        <v>#N/A</v>
      </c>
      <c r="BK67" s="29" t="e">
        <f t="shared" si="17"/>
        <v>#N/A</v>
      </c>
    </row>
    <row r="68" spans="33:63" x14ac:dyDescent="0.25">
      <c r="AG68" s="26" t="str">
        <f t="shared" si="14"/>
        <v>X</v>
      </c>
      <c r="AH68" s="30" t="e">
        <f t="shared" si="16"/>
        <v>#N/A</v>
      </c>
      <c r="AI68" s="30" t="e">
        <f t="shared" si="16"/>
        <v>#N/A</v>
      </c>
      <c r="AJ68" s="30" t="e">
        <f t="shared" si="16"/>
        <v>#N/A</v>
      </c>
      <c r="AK68" s="30" t="e">
        <f t="shared" si="16"/>
        <v>#N/A</v>
      </c>
      <c r="AL68" s="30" t="e">
        <f t="shared" si="16"/>
        <v>#N/A</v>
      </c>
      <c r="AM68" s="30" t="e">
        <f t="shared" si="16"/>
        <v>#N/A</v>
      </c>
      <c r="AN68" s="30" t="e">
        <f t="shared" si="16"/>
        <v>#N/A</v>
      </c>
      <c r="AO68" s="30" t="e">
        <f t="shared" si="16"/>
        <v>#N/A</v>
      </c>
      <c r="AP68" s="30" t="e">
        <f t="shared" si="16"/>
        <v>#N/A</v>
      </c>
      <c r="AQ68" s="30" t="e">
        <f t="shared" si="16"/>
        <v>#N/A</v>
      </c>
      <c r="AR68" s="30" t="e">
        <f t="shared" si="16"/>
        <v>#N/A</v>
      </c>
      <c r="AS68" s="30" t="e">
        <f t="shared" si="16"/>
        <v>#N/A</v>
      </c>
      <c r="AT68" s="30" t="e">
        <f t="shared" si="16"/>
        <v>#N/A</v>
      </c>
      <c r="AU68" s="30" t="e">
        <f t="shared" si="16"/>
        <v>#N/A</v>
      </c>
      <c r="AV68" s="30" t="e">
        <f t="shared" si="16"/>
        <v>#N/A</v>
      </c>
      <c r="AW68" s="30" t="e">
        <f t="shared" si="15"/>
        <v>#N/A</v>
      </c>
      <c r="AX68" s="30" t="e">
        <f t="shared" si="15"/>
        <v>#N/A</v>
      </c>
      <c r="AY68" s="30" t="e">
        <f t="shared" si="15"/>
        <v>#N/A</v>
      </c>
      <c r="AZ68" s="30" t="e">
        <f t="shared" si="15"/>
        <v>#N/A</v>
      </c>
      <c r="BA68" s="30" t="e">
        <f t="shared" si="17"/>
        <v>#N/A</v>
      </c>
      <c r="BB68" s="30" t="e">
        <f t="shared" si="17"/>
        <v>#N/A</v>
      </c>
      <c r="BC68" s="30" t="e">
        <f t="shared" si="17"/>
        <v>#N/A</v>
      </c>
      <c r="BD68" s="30" t="e">
        <f t="shared" si="17"/>
        <v>#N/A</v>
      </c>
      <c r="BE68" s="30" t="e">
        <f t="shared" si="17"/>
        <v>#N/A</v>
      </c>
      <c r="BF68" s="30" t="e">
        <f t="shared" si="17"/>
        <v>#N/A</v>
      </c>
      <c r="BG68" s="30" t="e">
        <f t="shared" si="17"/>
        <v>#N/A</v>
      </c>
      <c r="BH68" s="30" t="e">
        <f t="shared" si="17"/>
        <v>#N/A</v>
      </c>
      <c r="BI68" s="30" t="e">
        <f t="shared" si="17"/>
        <v>#N/A</v>
      </c>
      <c r="BJ68" s="30" t="e">
        <f t="shared" si="17"/>
        <v>#N/A</v>
      </c>
      <c r="BK68" s="30" t="e">
        <f t="shared" si="17"/>
        <v>#N/A</v>
      </c>
    </row>
    <row r="69" spans="33:63" x14ac:dyDescent="0.25">
      <c r="AG69" s="5"/>
    </row>
    <row r="101" spans="2:63" hidden="1" x14ac:dyDescent="0.25">
      <c r="C101" s="11" t="s">
        <v>73</v>
      </c>
      <c r="D101" s="11" t="s">
        <v>74</v>
      </c>
      <c r="E101" s="11" t="s">
        <v>75</v>
      </c>
      <c r="F101" s="11" t="s">
        <v>76</v>
      </c>
      <c r="G101" s="11" t="s">
        <v>77</v>
      </c>
      <c r="H101" s="11" t="s">
        <v>78</v>
      </c>
      <c r="I101" s="11" t="s">
        <v>79</v>
      </c>
      <c r="J101" s="11" t="s">
        <v>80</v>
      </c>
      <c r="K101" s="11" t="s">
        <v>81</v>
      </c>
      <c r="L101" s="11" t="s">
        <v>82</v>
      </c>
      <c r="M101" s="11" t="s">
        <v>83</v>
      </c>
      <c r="N101" s="11" t="s">
        <v>84</v>
      </c>
      <c r="O101" s="11" t="s">
        <v>85</v>
      </c>
      <c r="P101" s="11" t="s">
        <v>86</v>
      </c>
      <c r="Q101" s="11" t="s">
        <v>87</v>
      </c>
      <c r="R101" s="11" t="s">
        <v>88</v>
      </c>
      <c r="S101" s="11" t="s">
        <v>89</v>
      </c>
      <c r="T101" s="11" t="s">
        <v>90</v>
      </c>
      <c r="U101" s="11" t="s">
        <v>91</v>
      </c>
      <c r="V101" s="11" t="s">
        <v>92</v>
      </c>
      <c r="W101" s="11" t="s">
        <v>93</v>
      </c>
      <c r="X101" s="11" t="s">
        <v>94</v>
      </c>
      <c r="Y101" s="11" t="s">
        <v>95</v>
      </c>
      <c r="Z101" s="11" t="s">
        <v>96</v>
      </c>
      <c r="AA101" s="11" t="s">
        <v>97</v>
      </c>
      <c r="AB101" s="11" t="s">
        <v>98</v>
      </c>
      <c r="AC101" s="11" t="s">
        <v>99</v>
      </c>
      <c r="AD101" s="11" t="s">
        <v>100</v>
      </c>
      <c r="AE101" s="11" t="s">
        <v>101</v>
      </c>
      <c r="AF101" s="11" t="s">
        <v>102</v>
      </c>
      <c r="AG101" s="26" t="str">
        <f t="shared" ref="AG101" si="18">$M48</f>
        <v>X</v>
      </c>
      <c r="AH101" s="30" t="e">
        <f t="shared" ref="AH101:AV101" si="19">IF(C167&lt;$C$5,(C167-$C$5)/$C$5,IF(C167&gt;$C$6,(C167-$C$6)/$C$6,0))</f>
        <v>#N/A</v>
      </c>
      <c r="AI101" s="30" t="e">
        <f t="shared" si="19"/>
        <v>#N/A</v>
      </c>
      <c r="AJ101" s="30" t="e">
        <f t="shared" si="19"/>
        <v>#N/A</v>
      </c>
      <c r="AK101" s="30" t="e">
        <f t="shared" si="19"/>
        <v>#N/A</v>
      </c>
      <c r="AL101" s="30" t="e">
        <f t="shared" si="19"/>
        <v>#N/A</v>
      </c>
      <c r="AM101" s="30" t="e">
        <f t="shared" si="19"/>
        <v>#N/A</v>
      </c>
      <c r="AN101" s="30" t="e">
        <f t="shared" si="19"/>
        <v>#N/A</v>
      </c>
      <c r="AO101" s="30" t="e">
        <f t="shared" si="19"/>
        <v>#N/A</v>
      </c>
      <c r="AP101" s="30" t="e">
        <f t="shared" si="19"/>
        <v>#N/A</v>
      </c>
      <c r="AQ101" s="30" t="e">
        <f t="shared" si="19"/>
        <v>#N/A</v>
      </c>
      <c r="AR101" s="30" t="e">
        <f t="shared" si="19"/>
        <v>#N/A</v>
      </c>
      <c r="AS101" s="30" t="e">
        <f t="shared" si="19"/>
        <v>#N/A</v>
      </c>
      <c r="AT101" s="30" t="e">
        <f t="shared" si="19"/>
        <v>#N/A</v>
      </c>
      <c r="AU101" s="30" t="e">
        <f t="shared" si="19"/>
        <v>#N/A</v>
      </c>
      <c r="AV101" s="30" t="e">
        <f t="shared" si="19"/>
        <v>#N/A</v>
      </c>
      <c r="AW101" s="30" t="e">
        <f t="shared" ref="AW101:AZ101" si="20">IF(R167&lt;$C$5,(R167-$C$5)/$C$5,IF(R167&gt;$C$6,(R167-$C$6)/$C$6,0))</f>
        <v>#N/A</v>
      </c>
      <c r="AX101" s="30" t="e">
        <f t="shared" si="20"/>
        <v>#N/A</v>
      </c>
      <c r="AY101" s="30" t="e">
        <f t="shared" si="20"/>
        <v>#N/A</v>
      </c>
      <c r="AZ101" s="30" t="e">
        <f t="shared" si="20"/>
        <v>#N/A</v>
      </c>
      <c r="BA101" s="30" t="e">
        <f t="shared" ref="BA101:BK101" si="21">IF(V167&lt;$C$5,(V167-$C$5)/$C$5,IF(V167&gt;$C$6,(V167-$C$6)/$C$6,0))</f>
        <v>#N/A</v>
      </c>
      <c r="BB101" s="30" t="e">
        <f t="shared" si="21"/>
        <v>#N/A</v>
      </c>
      <c r="BC101" s="30" t="e">
        <f t="shared" si="21"/>
        <v>#N/A</v>
      </c>
      <c r="BD101" s="30" t="e">
        <f t="shared" si="21"/>
        <v>#N/A</v>
      </c>
      <c r="BE101" s="30" t="e">
        <f t="shared" si="21"/>
        <v>#N/A</v>
      </c>
      <c r="BF101" s="30" t="e">
        <f t="shared" si="21"/>
        <v>#N/A</v>
      </c>
      <c r="BG101" s="30" t="e">
        <f t="shared" si="21"/>
        <v>#N/A</v>
      </c>
      <c r="BH101" s="30" t="e">
        <f t="shared" si="21"/>
        <v>#N/A</v>
      </c>
      <c r="BI101" s="30" t="e">
        <f t="shared" si="21"/>
        <v>#N/A</v>
      </c>
      <c r="BJ101" s="30" t="e">
        <f t="shared" si="21"/>
        <v>#N/A</v>
      </c>
      <c r="BK101" s="30" t="e">
        <f t="shared" si="21"/>
        <v>#N/A</v>
      </c>
    </row>
    <row r="102" spans="2:63" hidden="1" x14ac:dyDescent="0.25">
      <c r="AG102" s="5"/>
    </row>
    <row r="103" spans="2:63" hidden="1" x14ac:dyDescent="0.25">
      <c r="B103" s="10" t="s">
        <v>39</v>
      </c>
      <c r="D103" s="5"/>
      <c r="F103" s="5"/>
      <c r="AG103" s="5"/>
    </row>
    <row r="104" spans="2:63" hidden="1" x14ac:dyDescent="0.25">
      <c r="C104" s="5" t="str">
        <f>$B$19</f>
        <v>fn_1</v>
      </c>
      <c r="D104" s="5" t="str">
        <f>$B$20</f>
        <v>fn_2</v>
      </c>
      <c r="E104" s="5" t="str">
        <f>$B$21</f>
        <v>fn_3</v>
      </c>
      <c r="F104" s="5" t="str">
        <f>$B$22</f>
        <v>fn_4</v>
      </c>
      <c r="G104" s="5" t="str">
        <f>$B$23</f>
        <v>fn_5</v>
      </c>
      <c r="H104" s="5" t="str">
        <f>$B$24</f>
        <v>fn_6</v>
      </c>
      <c r="I104" s="5" t="str">
        <f>$B$25</f>
        <v>fn_7</v>
      </c>
      <c r="J104" s="5" t="str">
        <f>$B$26</f>
        <v>fn_8</v>
      </c>
      <c r="K104" s="5" t="str">
        <f>$B$27</f>
        <v>fn_9</v>
      </c>
      <c r="L104" s="5" t="str">
        <f>$B$28</f>
        <v>fn_10</v>
      </c>
      <c r="M104" s="5" t="str">
        <f>$B$29</f>
        <v>fn_11</v>
      </c>
      <c r="N104" s="5" t="str">
        <f>$B$30</f>
        <v>fn_12</v>
      </c>
      <c r="O104" s="5" t="str">
        <f>$B$31</f>
        <v>fn_13</v>
      </c>
      <c r="P104" s="5" t="str">
        <f>$B$32</f>
        <v>fn_14</v>
      </c>
      <c r="Q104" s="5" t="str">
        <f>$B$33</f>
        <v>fn_15</v>
      </c>
      <c r="R104" s="5" t="str">
        <f>$B$34</f>
        <v>fn_16</v>
      </c>
      <c r="S104" s="5" t="str">
        <f>$B$35</f>
        <v>fn_17</v>
      </c>
      <c r="T104" s="5" t="str">
        <f>$B$36</f>
        <v>fn_18</v>
      </c>
      <c r="U104" s="5" t="str">
        <f>$B$37</f>
        <v>fn_19</v>
      </c>
      <c r="V104" s="5" t="str">
        <f>$B$38</f>
        <v>fn_20</v>
      </c>
      <c r="W104" s="5" t="str">
        <f>$B$39</f>
        <v>fn_21</v>
      </c>
      <c r="X104" s="5" t="str">
        <f>$B$40</f>
        <v>fn_22</v>
      </c>
      <c r="Y104" s="5" t="str">
        <f>$B$41</f>
        <v>fn_23</v>
      </c>
      <c r="Z104" s="5" t="str">
        <f>$B$42</f>
        <v>fn_24</v>
      </c>
      <c r="AA104" s="5" t="str">
        <f>$B$43</f>
        <v>fn_25</v>
      </c>
      <c r="AB104" s="5" t="str">
        <f>$B$44</f>
        <v>fn_26</v>
      </c>
      <c r="AC104" s="5" t="str">
        <f>$B$45</f>
        <v>fn_27</v>
      </c>
      <c r="AD104" s="5" t="str">
        <f>$B$46</f>
        <v>fn_28</v>
      </c>
      <c r="AE104" s="5" t="str">
        <f>$B$47</f>
        <v>fn_29</v>
      </c>
      <c r="AF104" s="5" t="str">
        <f>$B$48</f>
        <v>fn_30</v>
      </c>
      <c r="AG104" s="5"/>
    </row>
    <row r="105" spans="2:63" hidden="1" x14ac:dyDescent="0.25">
      <c r="B105" s="5" t="str">
        <f t="shared" ref="B105:B134" si="22">$M19</f>
        <v>1X</v>
      </c>
      <c r="C105" s="1">
        <f>$J$19</f>
        <v>3600</v>
      </c>
      <c r="D105" s="1">
        <f>$J$20</f>
        <v>5000</v>
      </c>
      <c r="E105" s="1">
        <f>$J$21</f>
        <v>8500</v>
      </c>
      <c r="F105" s="1">
        <f>$J$22</f>
        <v>10500</v>
      </c>
      <c r="G105" s="1">
        <f>$J$23</f>
        <v>12500</v>
      </c>
      <c r="H105" s="1" t="e">
        <f>$J$24</f>
        <v>#N/A</v>
      </c>
      <c r="I105" s="1" t="e">
        <f>$J$25</f>
        <v>#N/A</v>
      </c>
      <c r="J105" s="1" t="e">
        <f>$J$26</f>
        <v>#N/A</v>
      </c>
      <c r="K105" s="1" t="e">
        <f>$J$27</f>
        <v>#N/A</v>
      </c>
      <c r="L105" s="1" t="e">
        <f>$J$28</f>
        <v>#N/A</v>
      </c>
      <c r="M105" s="1" t="e">
        <f>$J$29</f>
        <v>#N/A</v>
      </c>
      <c r="N105" s="1" t="e">
        <f>$J$30</f>
        <v>#N/A</v>
      </c>
      <c r="O105" s="1" t="e">
        <f>$J$31</f>
        <v>#N/A</v>
      </c>
      <c r="P105" s="1" t="e">
        <f>$J$32</f>
        <v>#N/A</v>
      </c>
      <c r="Q105" s="1" t="e">
        <f>$J$33</f>
        <v>#N/A</v>
      </c>
      <c r="R105" s="1" t="e">
        <f>$J$34</f>
        <v>#N/A</v>
      </c>
      <c r="S105" s="1" t="e">
        <f>$J$35</f>
        <v>#N/A</v>
      </c>
      <c r="T105" s="1" t="e">
        <f>$J$36</f>
        <v>#N/A</v>
      </c>
      <c r="U105" s="1" t="e">
        <f>$J$37</f>
        <v>#N/A</v>
      </c>
      <c r="V105" s="1" t="e">
        <f>$J$38</f>
        <v>#N/A</v>
      </c>
      <c r="W105" s="1" t="e">
        <f>$J$39</f>
        <v>#N/A</v>
      </c>
      <c r="X105" s="1" t="e">
        <f>$J$40</f>
        <v>#N/A</v>
      </c>
      <c r="Y105" s="1" t="e">
        <f>$J$41</f>
        <v>#N/A</v>
      </c>
      <c r="Z105" s="1" t="e">
        <f>$J$42</f>
        <v>#N/A</v>
      </c>
      <c r="AA105" s="1" t="e">
        <f>$J$43</f>
        <v>#N/A</v>
      </c>
      <c r="AB105" s="1" t="e">
        <f>$J$44</f>
        <v>#N/A</v>
      </c>
      <c r="AC105" s="1" t="e">
        <f>$J$45</f>
        <v>#N/A</v>
      </c>
      <c r="AD105" s="1" t="e">
        <f>$J$46</f>
        <v>#N/A</v>
      </c>
      <c r="AE105" s="1" t="e">
        <f>$J$47</f>
        <v>#N/A</v>
      </c>
      <c r="AF105" s="1" t="e">
        <f>$J$48</f>
        <v>#N/A</v>
      </c>
      <c r="AG105" s="5"/>
    </row>
    <row r="106" spans="2:63" hidden="1" x14ac:dyDescent="0.25">
      <c r="B106" s="5" t="str">
        <f t="shared" si="22"/>
        <v>2X</v>
      </c>
      <c r="C106" s="1">
        <f t="shared" ref="C106:C134" si="23">$J$19</f>
        <v>3600</v>
      </c>
      <c r="D106" s="1">
        <f t="shared" ref="D106:D134" si="24">$J$20</f>
        <v>5000</v>
      </c>
      <c r="E106" s="1">
        <f t="shared" ref="E106:E134" si="25">$J$21</f>
        <v>8500</v>
      </c>
      <c r="F106" s="1">
        <f t="shared" ref="F106:F134" si="26">$J$22</f>
        <v>10500</v>
      </c>
      <c r="G106" s="1">
        <f t="shared" ref="G106:G134" si="27">$J$23</f>
        <v>12500</v>
      </c>
      <c r="H106" s="1" t="e">
        <f t="shared" ref="H106:H134" si="28">$J$24</f>
        <v>#N/A</v>
      </c>
      <c r="I106" s="1" t="e">
        <f t="shared" ref="I106:I134" si="29">$J$25</f>
        <v>#N/A</v>
      </c>
      <c r="J106" s="1" t="e">
        <f t="shared" ref="J106:J134" si="30">$J$26</f>
        <v>#N/A</v>
      </c>
      <c r="K106" s="1" t="e">
        <f t="shared" ref="K106:K134" si="31">$J$27</f>
        <v>#N/A</v>
      </c>
      <c r="L106" s="1" t="e">
        <f t="shared" ref="L106:L134" si="32">$J$28</f>
        <v>#N/A</v>
      </c>
      <c r="M106" s="1" t="e">
        <f t="shared" ref="M106:M134" si="33">$J$29</f>
        <v>#N/A</v>
      </c>
      <c r="N106" s="1" t="e">
        <f t="shared" ref="N106:N134" si="34">$J$30</f>
        <v>#N/A</v>
      </c>
      <c r="O106" s="1" t="e">
        <f t="shared" ref="O106:O134" si="35">$J$31</f>
        <v>#N/A</v>
      </c>
      <c r="P106" s="1" t="e">
        <f t="shared" ref="P106:P134" si="36">$J$32</f>
        <v>#N/A</v>
      </c>
      <c r="Q106" s="1" t="e">
        <f t="shared" ref="Q106:Q134" si="37">$J$33</f>
        <v>#N/A</v>
      </c>
      <c r="R106" s="1" t="e">
        <f t="shared" ref="R106:R134" si="38">$J$34</f>
        <v>#N/A</v>
      </c>
      <c r="S106" s="1" t="e">
        <f t="shared" ref="S106:S134" si="39">$J$35</f>
        <v>#N/A</v>
      </c>
      <c r="T106" s="1" t="e">
        <f t="shared" ref="T106:T134" si="40">$J$36</f>
        <v>#N/A</v>
      </c>
      <c r="U106" s="1" t="e">
        <f t="shared" ref="U106:U134" si="41">$J$37</f>
        <v>#N/A</v>
      </c>
      <c r="V106" s="1" t="e">
        <f t="shared" ref="V106:V134" si="42">$J$38</f>
        <v>#N/A</v>
      </c>
      <c r="W106" s="1" t="e">
        <f t="shared" ref="W106:W134" si="43">$J$39</f>
        <v>#N/A</v>
      </c>
      <c r="X106" s="1" t="e">
        <f t="shared" ref="X106:X134" si="44">$J$40</f>
        <v>#N/A</v>
      </c>
      <c r="Y106" s="1" t="e">
        <f t="shared" ref="Y106:Y134" si="45">$J$41</f>
        <v>#N/A</v>
      </c>
      <c r="Z106" s="1" t="e">
        <f t="shared" ref="Z106:Z134" si="46">$J$42</f>
        <v>#N/A</v>
      </c>
      <c r="AA106" s="1" t="e">
        <f t="shared" ref="AA106:AA134" si="47">$J$43</f>
        <v>#N/A</v>
      </c>
      <c r="AB106" s="1" t="e">
        <f t="shared" ref="AB106:AB134" si="48">$J$44</f>
        <v>#N/A</v>
      </c>
      <c r="AC106" s="1" t="e">
        <f t="shared" ref="AC106:AC134" si="49">$J$45</f>
        <v>#N/A</v>
      </c>
      <c r="AD106" s="1" t="e">
        <f t="shared" ref="AD106:AD134" si="50">$J$46</f>
        <v>#N/A</v>
      </c>
      <c r="AE106" s="1" t="e">
        <f t="shared" ref="AE106:AE134" si="51">$J$47</f>
        <v>#N/A</v>
      </c>
      <c r="AF106" s="1" t="e">
        <f t="shared" ref="AF106:AF134" si="52">$J$48</f>
        <v>#N/A</v>
      </c>
      <c r="AG106" s="5"/>
    </row>
    <row r="107" spans="2:63" hidden="1" x14ac:dyDescent="0.25">
      <c r="B107" s="5" t="str">
        <f t="shared" si="22"/>
        <v>5X</v>
      </c>
      <c r="C107" s="1">
        <f t="shared" si="23"/>
        <v>3600</v>
      </c>
      <c r="D107" s="1">
        <f t="shared" si="24"/>
        <v>5000</v>
      </c>
      <c r="E107" s="1">
        <f t="shared" si="25"/>
        <v>8500</v>
      </c>
      <c r="F107" s="1">
        <f t="shared" si="26"/>
        <v>10500</v>
      </c>
      <c r="G107" s="1">
        <f t="shared" si="27"/>
        <v>12500</v>
      </c>
      <c r="H107" s="1" t="e">
        <f t="shared" si="28"/>
        <v>#N/A</v>
      </c>
      <c r="I107" s="1" t="e">
        <f t="shared" si="29"/>
        <v>#N/A</v>
      </c>
      <c r="J107" s="1" t="e">
        <f t="shared" si="30"/>
        <v>#N/A</v>
      </c>
      <c r="K107" s="1" t="e">
        <f t="shared" si="31"/>
        <v>#N/A</v>
      </c>
      <c r="L107" s="1" t="e">
        <f t="shared" si="32"/>
        <v>#N/A</v>
      </c>
      <c r="M107" s="1" t="e">
        <f t="shared" si="33"/>
        <v>#N/A</v>
      </c>
      <c r="N107" s="1" t="e">
        <f t="shared" si="34"/>
        <v>#N/A</v>
      </c>
      <c r="O107" s="1" t="e">
        <f t="shared" si="35"/>
        <v>#N/A</v>
      </c>
      <c r="P107" s="1" t="e">
        <f t="shared" si="36"/>
        <v>#N/A</v>
      </c>
      <c r="Q107" s="1" t="e">
        <f t="shared" si="37"/>
        <v>#N/A</v>
      </c>
      <c r="R107" s="1" t="e">
        <f t="shared" si="38"/>
        <v>#N/A</v>
      </c>
      <c r="S107" s="1" t="e">
        <f t="shared" si="39"/>
        <v>#N/A</v>
      </c>
      <c r="T107" s="1" t="e">
        <f t="shared" si="40"/>
        <v>#N/A</v>
      </c>
      <c r="U107" s="1" t="e">
        <f t="shared" si="41"/>
        <v>#N/A</v>
      </c>
      <c r="V107" s="1" t="e">
        <f t="shared" si="42"/>
        <v>#N/A</v>
      </c>
      <c r="W107" s="1" t="e">
        <f t="shared" si="43"/>
        <v>#N/A</v>
      </c>
      <c r="X107" s="1" t="e">
        <f t="shared" si="44"/>
        <v>#N/A</v>
      </c>
      <c r="Y107" s="1" t="e">
        <f t="shared" si="45"/>
        <v>#N/A</v>
      </c>
      <c r="Z107" s="1" t="e">
        <f t="shared" si="46"/>
        <v>#N/A</v>
      </c>
      <c r="AA107" s="1" t="e">
        <f t="shared" si="47"/>
        <v>#N/A</v>
      </c>
      <c r="AB107" s="1" t="e">
        <f t="shared" si="48"/>
        <v>#N/A</v>
      </c>
      <c r="AC107" s="1" t="e">
        <f t="shared" si="49"/>
        <v>#N/A</v>
      </c>
      <c r="AD107" s="1" t="e">
        <f t="shared" si="50"/>
        <v>#N/A</v>
      </c>
      <c r="AE107" s="1" t="e">
        <f t="shared" si="51"/>
        <v>#N/A</v>
      </c>
      <c r="AF107" s="1" t="e">
        <f t="shared" si="52"/>
        <v>#N/A</v>
      </c>
    </row>
    <row r="108" spans="2:63" hidden="1" x14ac:dyDescent="0.25">
      <c r="B108" s="5" t="str">
        <f t="shared" si="22"/>
        <v>X</v>
      </c>
      <c r="C108" s="1">
        <f t="shared" si="23"/>
        <v>3600</v>
      </c>
      <c r="D108" s="1">
        <f t="shared" si="24"/>
        <v>5000</v>
      </c>
      <c r="E108" s="1">
        <f t="shared" si="25"/>
        <v>8500</v>
      </c>
      <c r="F108" s="1">
        <f t="shared" si="26"/>
        <v>10500</v>
      </c>
      <c r="G108" s="1">
        <f t="shared" si="27"/>
        <v>12500</v>
      </c>
      <c r="H108" s="1" t="e">
        <f t="shared" si="28"/>
        <v>#N/A</v>
      </c>
      <c r="I108" s="1" t="e">
        <f t="shared" si="29"/>
        <v>#N/A</v>
      </c>
      <c r="J108" s="1" t="e">
        <f t="shared" si="30"/>
        <v>#N/A</v>
      </c>
      <c r="K108" s="1" t="e">
        <f t="shared" si="31"/>
        <v>#N/A</v>
      </c>
      <c r="L108" s="1" t="e">
        <f t="shared" si="32"/>
        <v>#N/A</v>
      </c>
      <c r="M108" s="1" t="e">
        <f t="shared" si="33"/>
        <v>#N/A</v>
      </c>
      <c r="N108" s="1" t="e">
        <f t="shared" si="34"/>
        <v>#N/A</v>
      </c>
      <c r="O108" s="1" t="e">
        <f t="shared" si="35"/>
        <v>#N/A</v>
      </c>
      <c r="P108" s="1" t="e">
        <f t="shared" si="36"/>
        <v>#N/A</v>
      </c>
      <c r="Q108" s="1" t="e">
        <f t="shared" si="37"/>
        <v>#N/A</v>
      </c>
      <c r="R108" s="1" t="e">
        <f t="shared" si="38"/>
        <v>#N/A</v>
      </c>
      <c r="S108" s="1" t="e">
        <f t="shared" si="39"/>
        <v>#N/A</v>
      </c>
      <c r="T108" s="1" t="e">
        <f t="shared" si="40"/>
        <v>#N/A</v>
      </c>
      <c r="U108" s="1" t="e">
        <f t="shared" si="41"/>
        <v>#N/A</v>
      </c>
      <c r="V108" s="1" t="e">
        <f t="shared" si="42"/>
        <v>#N/A</v>
      </c>
      <c r="W108" s="1" t="e">
        <f t="shared" si="43"/>
        <v>#N/A</v>
      </c>
      <c r="X108" s="1" t="e">
        <f t="shared" si="44"/>
        <v>#N/A</v>
      </c>
      <c r="Y108" s="1" t="e">
        <f t="shared" si="45"/>
        <v>#N/A</v>
      </c>
      <c r="Z108" s="1" t="e">
        <f t="shared" si="46"/>
        <v>#N/A</v>
      </c>
      <c r="AA108" s="1" t="e">
        <f t="shared" si="47"/>
        <v>#N/A</v>
      </c>
      <c r="AB108" s="1" t="e">
        <f t="shared" si="48"/>
        <v>#N/A</v>
      </c>
      <c r="AC108" s="1" t="e">
        <f t="shared" si="49"/>
        <v>#N/A</v>
      </c>
      <c r="AD108" s="1" t="e">
        <f t="shared" si="50"/>
        <v>#N/A</v>
      </c>
      <c r="AE108" s="1" t="e">
        <f t="shared" si="51"/>
        <v>#N/A</v>
      </c>
      <c r="AF108" s="1" t="e">
        <f t="shared" si="52"/>
        <v>#N/A</v>
      </c>
    </row>
    <row r="109" spans="2:63" hidden="1" x14ac:dyDescent="0.25">
      <c r="B109" s="5" t="str">
        <f t="shared" si="22"/>
        <v>X</v>
      </c>
      <c r="C109" s="1">
        <f t="shared" si="23"/>
        <v>3600</v>
      </c>
      <c r="D109" s="1">
        <f t="shared" si="24"/>
        <v>5000</v>
      </c>
      <c r="E109" s="1">
        <f t="shared" si="25"/>
        <v>8500</v>
      </c>
      <c r="F109" s="1">
        <f t="shared" si="26"/>
        <v>10500</v>
      </c>
      <c r="G109" s="1">
        <f t="shared" si="27"/>
        <v>12500</v>
      </c>
      <c r="H109" s="1" t="e">
        <f t="shared" si="28"/>
        <v>#N/A</v>
      </c>
      <c r="I109" s="1" t="e">
        <f t="shared" si="29"/>
        <v>#N/A</v>
      </c>
      <c r="J109" s="1" t="e">
        <f t="shared" si="30"/>
        <v>#N/A</v>
      </c>
      <c r="K109" s="1" t="e">
        <f t="shared" si="31"/>
        <v>#N/A</v>
      </c>
      <c r="L109" s="1" t="e">
        <f t="shared" si="32"/>
        <v>#N/A</v>
      </c>
      <c r="M109" s="1" t="e">
        <f t="shared" si="33"/>
        <v>#N/A</v>
      </c>
      <c r="N109" s="1" t="e">
        <f t="shared" si="34"/>
        <v>#N/A</v>
      </c>
      <c r="O109" s="1" t="e">
        <f t="shared" si="35"/>
        <v>#N/A</v>
      </c>
      <c r="P109" s="1" t="e">
        <f t="shared" si="36"/>
        <v>#N/A</v>
      </c>
      <c r="Q109" s="1" t="e">
        <f t="shared" si="37"/>
        <v>#N/A</v>
      </c>
      <c r="R109" s="1" t="e">
        <f t="shared" si="38"/>
        <v>#N/A</v>
      </c>
      <c r="S109" s="1" t="e">
        <f t="shared" si="39"/>
        <v>#N/A</v>
      </c>
      <c r="T109" s="1" t="e">
        <f t="shared" si="40"/>
        <v>#N/A</v>
      </c>
      <c r="U109" s="1" t="e">
        <f t="shared" si="41"/>
        <v>#N/A</v>
      </c>
      <c r="V109" s="1" t="e">
        <f t="shared" si="42"/>
        <v>#N/A</v>
      </c>
      <c r="W109" s="1" t="e">
        <f t="shared" si="43"/>
        <v>#N/A</v>
      </c>
      <c r="X109" s="1" t="e">
        <f t="shared" si="44"/>
        <v>#N/A</v>
      </c>
      <c r="Y109" s="1" t="e">
        <f t="shared" si="45"/>
        <v>#N/A</v>
      </c>
      <c r="Z109" s="1" t="e">
        <f t="shared" si="46"/>
        <v>#N/A</v>
      </c>
      <c r="AA109" s="1" t="e">
        <f t="shared" si="47"/>
        <v>#N/A</v>
      </c>
      <c r="AB109" s="1" t="e">
        <f t="shared" si="48"/>
        <v>#N/A</v>
      </c>
      <c r="AC109" s="1" t="e">
        <f t="shared" si="49"/>
        <v>#N/A</v>
      </c>
      <c r="AD109" s="1" t="e">
        <f t="shared" si="50"/>
        <v>#N/A</v>
      </c>
      <c r="AE109" s="1" t="e">
        <f t="shared" si="51"/>
        <v>#N/A</v>
      </c>
      <c r="AF109" s="1" t="e">
        <f t="shared" si="52"/>
        <v>#N/A</v>
      </c>
    </row>
    <row r="110" spans="2:63" hidden="1" x14ac:dyDescent="0.25">
      <c r="B110" s="5" t="str">
        <f t="shared" si="22"/>
        <v>X</v>
      </c>
      <c r="C110" s="1">
        <f t="shared" si="23"/>
        <v>3600</v>
      </c>
      <c r="D110" s="1">
        <f t="shared" si="24"/>
        <v>5000</v>
      </c>
      <c r="E110" s="1">
        <f t="shared" si="25"/>
        <v>8500</v>
      </c>
      <c r="F110" s="1">
        <f t="shared" si="26"/>
        <v>10500</v>
      </c>
      <c r="G110" s="1">
        <f t="shared" si="27"/>
        <v>12500</v>
      </c>
      <c r="H110" s="1" t="e">
        <f t="shared" si="28"/>
        <v>#N/A</v>
      </c>
      <c r="I110" s="1" t="e">
        <f t="shared" si="29"/>
        <v>#N/A</v>
      </c>
      <c r="J110" s="1" t="e">
        <f t="shared" si="30"/>
        <v>#N/A</v>
      </c>
      <c r="K110" s="1" t="e">
        <f t="shared" si="31"/>
        <v>#N/A</v>
      </c>
      <c r="L110" s="1" t="e">
        <f t="shared" si="32"/>
        <v>#N/A</v>
      </c>
      <c r="M110" s="1" t="e">
        <f t="shared" si="33"/>
        <v>#N/A</v>
      </c>
      <c r="N110" s="1" t="e">
        <f t="shared" si="34"/>
        <v>#N/A</v>
      </c>
      <c r="O110" s="1" t="e">
        <f t="shared" si="35"/>
        <v>#N/A</v>
      </c>
      <c r="P110" s="1" t="e">
        <f t="shared" si="36"/>
        <v>#N/A</v>
      </c>
      <c r="Q110" s="1" t="e">
        <f t="shared" si="37"/>
        <v>#N/A</v>
      </c>
      <c r="R110" s="1" t="e">
        <f t="shared" si="38"/>
        <v>#N/A</v>
      </c>
      <c r="S110" s="1" t="e">
        <f t="shared" si="39"/>
        <v>#N/A</v>
      </c>
      <c r="T110" s="1" t="e">
        <f t="shared" si="40"/>
        <v>#N/A</v>
      </c>
      <c r="U110" s="1" t="e">
        <f t="shared" si="41"/>
        <v>#N/A</v>
      </c>
      <c r="V110" s="1" t="e">
        <f t="shared" si="42"/>
        <v>#N/A</v>
      </c>
      <c r="W110" s="1" t="e">
        <f t="shared" si="43"/>
        <v>#N/A</v>
      </c>
      <c r="X110" s="1" t="e">
        <f t="shared" si="44"/>
        <v>#N/A</v>
      </c>
      <c r="Y110" s="1" t="e">
        <f t="shared" si="45"/>
        <v>#N/A</v>
      </c>
      <c r="Z110" s="1" t="e">
        <f t="shared" si="46"/>
        <v>#N/A</v>
      </c>
      <c r="AA110" s="1" t="e">
        <f t="shared" si="47"/>
        <v>#N/A</v>
      </c>
      <c r="AB110" s="1" t="e">
        <f t="shared" si="48"/>
        <v>#N/A</v>
      </c>
      <c r="AC110" s="1" t="e">
        <f t="shared" si="49"/>
        <v>#N/A</v>
      </c>
      <c r="AD110" s="1" t="e">
        <f t="shared" si="50"/>
        <v>#N/A</v>
      </c>
      <c r="AE110" s="1" t="e">
        <f t="shared" si="51"/>
        <v>#N/A</v>
      </c>
      <c r="AF110" s="1" t="e">
        <f t="shared" si="52"/>
        <v>#N/A</v>
      </c>
    </row>
    <row r="111" spans="2:63" hidden="1" x14ac:dyDescent="0.25">
      <c r="B111" s="5" t="str">
        <f t="shared" si="22"/>
        <v>X</v>
      </c>
      <c r="C111" s="1">
        <f t="shared" si="23"/>
        <v>3600</v>
      </c>
      <c r="D111" s="1">
        <f t="shared" si="24"/>
        <v>5000</v>
      </c>
      <c r="E111" s="1">
        <f t="shared" si="25"/>
        <v>8500</v>
      </c>
      <c r="F111" s="1">
        <f t="shared" si="26"/>
        <v>10500</v>
      </c>
      <c r="G111" s="1">
        <f t="shared" si="27"/>
        <v>12500</v>
      </c>
      <c r="H111" s="1" t="e">
        <f t="shared" si="28"/>
        <v>#N/A</v>
      </c>
      <c r="I111" s="1" t="e">
        <f t="shared" si="29"/>
        <v>#N/A</v>
      </c>
      <c r="J111" s="1" t="e">
        <f t="shared" si="30"/>
        <v>#N/A</v>
      </c>
      <c r="K111" s="1" t="e">
        <f t="shared" si="31"/>
        <v>#N/A</v>
      </c>
      <c r="L111" s="1" t="e">
        <f t="shared" si="32"/>
        <v>#N/A</v>
      </c>
      <c r="M111" s="1" t="e">
        <f t="shared" si="33"/>
        <v>#N/A</v>
      </c>
      <c r="N111" s="1" t="e">
        <f t="shared" si="34"/>
        <v>#N/A</v>
      </c>
      <c r="O111" s="1" t="e">
        <f t="shared" si="35"/>
        <v>#N/A</v>
      </c>
      <c r="P111" s="1" t="e">
        <f t="shared" si="36"/>
        <v>#N/A</v>
      </c>
      <c r="Q111" s="1" t="e">
        <f t="shared" si="37"/>
        <v>#N/A</v>
      </c>
      <c r="R111" s="1" t="e">
        <f t="shared" si="38"/>
        <v>#N/A</v>
      </c>
      <c r="S111" s="1" t="e">
        <f t="shared" si="39"/>
        <v>#N/A</v>
      </c>
      <c r="T111" s="1" t="e">
        <f t="shared" si="40"/>
        <v>#N/A</v>
      </c>
      <c r="U111" s="1" t="e">
        <f t="shared" si="41"/>
        <v>#N/A</v>
      </c>
      <c r="V111" s="1" t="e">
        <f t="shared" si="42"/>
        <v>#N/A</v>
      </c>
      <c r="W111" s="1" t="e">
        <f t="shared" si="43"/>
        <v>#N/A</v>
      </c>
      <c r="X111" s="1" t="e">
        <f t="shared" si="44"/>
        <v>#N/A</v>
      </c>
      <c r="Y111" s="1" t="e">
        <f t="shared" si="45"/>
        <v>#N/A</v>
      </c>
      <c r="Z111" s="1" t="e">
        <f t="shared" si="46"/>
        <v>#N/A</v>
      </c>
      <c r="AA111" s="1" t="e">
        <f t="shared" si="47"/>
        <v>#N/A</v>
      </c>
      <c r="AB111" s="1" t="e">
        <f t="shared" si="48"/>
        <v>#N/A</v>
      </c>
      <c r="AC111" s="1" t="e">
        <f t="shared" si="49"/>
        <v>#N/A</v>
      </c>
      <c r="AD111" s="1" t="e">
        <f t="shared" si="50"/>
        <v>#N/A</v>
      </c>
      <c r="AE111" s="1" t="e">
        <f t="shared" si="51"/>
        <v>#N/A</v>
      </c>
      <c r="AF111" s="1" t="e">
        <f t="shared" si="52"/>
        <v>#N/A</v>
      </c>
    </row>
    <row r="112" spans="2:63" hidden="1" x14ac:dyDescent="0.25">
      <c r="B112" s="5" t="str">
        <f t="shared" si="22"/>
        <v>X</v>
      </c>
      <c r="C112" s="1">
        <f t="shared" si="23"/>
        <v>3600</v>
      </c>
      <c r="D112" s="1">
        <f t="shared" si="24"/>
        <v>5000</v>
      </c>
      <c r="E112" s="1">
        <f t="shared" si="25"/>
        <v>8500</v>
      </c>
      <c r="F112" s="1">
        <f t="shared" si="26"/>
        <v>10500</v>
      </c>
      <c r="G112" s="1">
        <f t="shared" si="27"/>
        <v>12500</v>
      </c>
      <c r="H112" s="1" t="e">
        <f t="shared" si="28"/>
        <v>#N/A</v>
      </c>
      <c r="I112" s="1" t="e">
        <f t="shared" si="29"/>
        <v>#N/A</v>
      </c>
      <c r="J112" s="1" t="e">
        <f t="shared" si="30"/>
        <v>#N/A</v>
      </c>
      <c r="K112" s="1" t="e">
        <f t="shared" si="31"/>
        <v>#N/A</v>
      </c>
      <c r="L112" s="1" t="e">
        <f t="shared" si="32"/>
        <v>#N/A</v>
      </c>
      <c r="M112" s="1" t="e">
        <f t="shared" si="33"/>
        <v>#N/A</v>
      </c>
      <c r="N112" s="1" t="e">
        <f t="shared" si="34"/>
        <v>#N/A</v>
      </c>
      <c r="O112" s="1" t="e">
        <f t="shared" si="35"/>
        <v>#N/A</v>
      </c>
      <c r="P112" s="1" t="e">
        <f t="shared" si="36"/>
        <v>#N/A</v>
      </c>
      <c r="Q112" s="1" t="e">
        <f t="shared" si="37"/>
        <v>#N/A</v>
      </c>
      <c r="R112" s="1" t="e">
        <f t="shared" si="38"/>
        <v>#N/A</v>
      </c>
      <c r="S112" s="1" t="e">
        <f t="shared" si="39"/>
        <v>#N/A</v>
      </c>
      <c r="T112" s="1" t="e">
        <f t="shared" si="40"/>
        <v>#N/A</v>
      </c>
      <c r="U112" s="1" t="e">
        <f t="shared" si="41"/>
        <v>#N/A</v>
      </c>
      <c r="V112" s="1" t="e">
        <f t="shared" si="42"/>
        <v>#N/A</v>
      </c>
      <c r="W112" s="1" t="e">
        <f t="shared" si="43"/>
        <v>#N/A</v>
      </c>
      <c r="X112" s="1" t="e">
        <f t="shared" si="44"/>
        <v>#N/A</v>
      </c>
      <c r="Y112" s="1" t="e">
        <f t="shared" si="45"/>
        <v>#N/A</v>
      </c>
      <c r="Z112" s="1" t="e">
        <f t="shared" si="46"/>
        <v>#N/A</v>
      </c>
      <c r="AA112" s="1" t="e">
        <f t="shared" si="47"/>
        <v>#N/A</v>
      </c>
      <c r="AB112" s="1" t="e">
        <f t="shared" si="48"/>
        <v>#N/A</v>
      </c>
      <c r="AC112" s="1" t="e">
        <f t="shared" si="49"/>
        <v>#N/A</v>
      </c>
      <c r="AD112" s="1" t="e">
        <f t="shared" si="50"/>
        <v>#N/A</v>
      </c>
      <c r="AE112" s="1" t="e">
        <f t="shared" si="51"/>
        <v>#N/A</v>
      </c>
      <c r="AF112" s="1" t="e">
        <f t="shared" si="52"/>
        <v>#N/A</v>
      </c>
    </row>
    <row r="113" spans="2:32" hidden="1" x14ac:dyDescent="0.25">
      <c r="B113" s="5" t="str">
        <f t="shared" si="22"/>
        <v>X</v>
      </c>
      <c r="C113" s="1">
        <f t="shared" si="23"/>
        <v>3600</v>
      </c>
      <c r="D113" s="1">
        <f t="shared" si="24"/>
        <v>5000</v>
      </c>
      <c r="E113" s="1">
        <f t="shared" si="25"/>
        <v>8500</v>
      </c>
      <c r="F113" s="1">
        <f t="shared" si="26"/>
        <v>10500</v>
      </c>
      <c r="G113" s="1">
        <f t="shared" si="27"/>
        <v>12500</v>
      </c>
      <c r="H113" s="1" t="e">
        <f t="shared" si="28"/>
        <v>#N/A</v>
      </c>
      <c r="I113" s="1" t="e">
        <f t="shared" si="29"/>
        <v>#N/A</v>
      </c>
      <c r="J113" s="1" t="e">
        <f t="shared" si="30"/>
        <v>#N/A</v>
      </c>
      <c r="K113" s="1" t="e">
        <f t="shared" si="31"/>
        <v>#N/A</v>
      </c>
      <c r="L113" s="1" t="e">
        <f t="shared" si="32"/>
        <v>#N/A</v>
      </c>
      <c r="M113" s="1" t="e">
        <f t="shared" si="33"/>
        <v>#N/A</v>
      </c>
      <c r="N113" s="1" t="e">
        <f t="shared" si="34"/>
        <v>#N/A</v>
      </c>
      <c r="O113" s="1" t="e">
        <f t="shared" si="35"/>
        <v>#N/A</v>
      </c>
      <c r="P113" s="1" t="e">
        <f t="shared" si="36"/>
        <v>#N/A</v>
      </c>
      <c r="Q113" s="1" t="e">
        <f t="shared" si="37"/>
        <v>#N/A</v>
      </c>
      <c r="R113" s="1" t="e">
        <f t="shared" si="38"/>
        <v>#N/A</v>
      </c>
      <c r="S113" s="1" t="e">
        <f t="shared" si="39"/>
        <v>#N/A</v>
      </c>
      <c r="T113" s="1" t="e">
        <f t="shared" si="40"/>
        <v>#N/A</v>
      </c>
      <c r="U113" s="1" t="e">
        <f t="shared" si="41"/>
        <v>#N/A</v>
      </c>
      <c r="V113" s="1" t="e">
        <f t="shared" si="42"/>
        <v>#N/A</v>
      </c>
      <c r="W113" s="1" t="e">
        <f t="shared" si="43"/>
        <v>#N/A</v>
      </c>
      <c r="X113" s="1" t="e">
        <f t="shared" si="44"/>
        <v>#N/A</v>
      </c>
      <c r="Y113" s="1" t="e">
        <f t="shared" si="45"/>
        <v>#N/A</v>
      </c>
      <c r="Z113" s="1" t="e">
        <f t="shared" si="46"/>
        <v>#N/A</v>
      </c>
      <c r="AA113" s="1" t="e">
        <f t="shared" si="47"/>
        <v>#N/A</v>
      </c>
      <c r="AB113" s="1" t="e">
        <f t="shared" si="48"/>
        <v>#N/A</v>
      </c>
      <c r="AC113" s="1" t="e">
        <f t="shared" si="49"/>
        <v>#N/A</v>
      </c>
      <c r="AD113" s="1" t="e">
        <f t="shared" si="50"/>
        <v>#N/A</v>
      </c>
      <c r="AE113" s="1" t="e">
        <f t="shared" si="51"/>
        <v>#N/A</v>
      </c>
      <c r="AF113" s="1" t="e">
        <f t="shared" si="52"/>
        <v>#N/A</v>
      </c>
    </row>
    <row r="114" spans="2:32" hidden="1" x14ac:dyDescent="0.25">
      <c r="B114" s="5" t="str">
        <f t="shared" si="22"/>
        <v>X</v>
      </c>
      <c r="C114" s="1">
        <f t="shared" si="23"/>
        <v>3600</v>
      </c>
      <c r="D114" s="1">
        <f t="shared" si="24"/>
        <v>5000</v>
      </c>
      <c r="E114" s="1">
        <f t="shared" si="25"/>
        <v>8500</v>
      </c>
      <c r="F114" s="1">
        <f t="shared" si="26"/>
        <v>10500</v>
      </c>
      <c r="G114" s="1">
        <f t="shared" si="27"/>
        <v>12500</v>
      </c>
      <c r="H114" s="1" t="e">
        <f t="shared" si="28"/>
        <v>#N/A</v>
      </c>
      <c r="I114" s="1" t="e">
        <f t="shared" si="29"/>
        <v>#N/A</v>
      </c>
      <c r="J114" s="1" t="e">
        <f t="shared" si="30"/>
        <v>#N/A</v>
      </c>
      <c r="K114" s="1" t="e">
        <f t="shared" si="31"/>
        <v>#N/A</v>
      </c>
      <c r="L114" s="1" t="e">
        <f t="shared" si="32"/>
        <v>#N/A</v>
      </c>
      <c r="M114" s="1" t="e">
        <f t="shared" si="33"/>
        <v>#N/A</v>
      </c>
      <c r="N114" s="1" t="e">
        <f t="shared" si="34"/>
        <v>#N/A</v>
      </c>
      <c r="O114" s="1" t="e">
        <f t="shared" si="35"/>
        <v>#N/A</v>
      </c>
      <c r="P114" s="1" t="e">
        <f t="shared" si="36"/>
        <v>#N/A</v>
      </c>
      <c r="Q114" s="1" t="e">
        <f t="shared" si="37"/>
        <v>#N/A</v>
      </c>
      <c r="R114" s="1" t="e">
        <f t="shared" si="38"/>
        <v>#N/A</v>
      </c>
      <c r="S114" s="1" t="e">
        <f t="shared" si="39"/>
        <v>#N/A</v>
      </c>
      <c r="T114" s="1" t="e">
        <f t="shared" si="40"/>
        <v>#N/A</v>
      </c>
      <c r="U114" s="1" t="e">
        <f t="shared" si="41"/>
        <v>#N/A</v>
      </c>
      <c r="V114" s="1" t="e">
        <f t="shared" si="42"/>
        <v>#N/A</v>
      </c>
      <c r="W114" s="1" t="e">
        <f t="shared" si="43"/>
        <v>#N/A</v>
      </c>
      <c r="X114" s="1" t="e">
        <f t="shared" si="44"/>
        <v>#N/A</v>
      </c>
      <c r="Y114" s="1" t="e">
        <f t="shared" si="45"/>
        <v>#N/A</v>
      </c>
      <c r="Z114" s="1" t="e">
        <f t="shared" si="46"/>
        <v>#N/A</v>
      </c>
      <c r="AA114" s="1" t="e">
        <f t="shared" si="47"/>
        <v>#N/A</v>
      </c>
      <c r="AB114" s="1" t="e">
        <f t="shared" si="48"/>
        <v>#N/A</v>
      </c>
      <c r="AC114" s="1" t="e">
        <f t="shared" si="49"/>
        <v>#N/A</v>
      </c>
      <c r="AD114" s="1" t="e">
        <f t="shared" si="50"/>
        <v>#N/A</v>
      </c>
      <c r="AE114" s="1" t="e">
        <f t="shared" si="51"/>
        <v>#N/A</v>
      </c>
      <c r="AF114" s="1" t="e">
        <f t="shared" si="52"/>
        <v>#N/A</v>
      </c>
    </row>
    <row r="115" spans="2:32" hidden="1" x14ac:dyDescent="0.25">
      <c r="B115" s="5" t="str">
        <f t="shared" si="22"/>
        <v>X</v>
      </c>
      <c r="C115" s="1">
        <f t="shared" si="23"/>
        <v>3600</v>
      </c>
      <c r="D115" s="1">
        <f t="shared" si="24"/>
        <v>5000</v>
      </c>
      <c r="E115" s="1">
        <f t="shared" si="25"/>
        <v>8500</v>
      </c>
      <c r="F115" s="1">
        <f t="shared" si="26"/>
        <v>10500</v>
      </c>
      <c r="G115" s="1">
        <f t="shared" si="27"/>
        <v>12500</v>
      </c>
      <c r="H115" s="1" t="e">
        <f t="shared" si="28"/>
        <v>#N/A</v>
      </c>
      <c r="I115" s="1" t="e">
        <f t="shared" si="29"/>
        <v>#N/A</v>
      </c>
      <c r="J115" s="1" t="e">
        <f t="shared" si="30"/>
        <v>#N/A</v>
      </c>
      <c r="K115" s="1" t="e">
        <f t="shared" si="31"/>
        <v>#N/A</v>
      </c>
      <c r="L115" s="1" t="e">
        <f t="shared" si="32"/>
        <v>#N/A</v>
      </c>
      <c r="M115" s="1" t="e">
        <f t="shared" si="33"/>
        <v>#N/A</v>
      </c>
      <c r="N115" s="1" t="e">
        <f t="shared" si="34"/>
        <v>#N/A</v>
      </c>
      <c r="O115" s="1" t="e">
        <f t="shared" si="35"/>
        <v>#N/A</v>
      </c>
      <c r="P115" s="1" t="e">
        <f t="shared" si="36"/>
        <v>#N/A</v>
      </c>
      <c r="Q115" s="1" t="e">
        <f t="shared" si="37"/>
        <v>#N/A</v>
      </c>
      <c r="R115" s="1" t="e">
        <f t="shared" si="38"/>
        <v>#N/A</v>
      </c>
      <c r="S115" s="1" t="e">
        <f t="shared" si="39"/>
        <v>#N/A</v>
      </c>
      <c r="T115" s="1" t="e">
        <f t="shared" si="40"/>
        <v>#N/A</v>
      </c>
      <c r="U115" s="1" t="e">
        <f t="shared" si="41"/>
        <v>#N/A</v>
      </c>
      <c r="V115" s="1" t="e">
        <f t="shared" si="42"/>
        <v>#N/A</v>
      </c>
      <c r="W115" s="1" t="e">
        <f t="shared" si="43"/>
        <v>#N/A</v>
      </c>
      <c r="X115" s="1" t="e">
        <f t="shared" si="44"/>
        <v>#N/A</v>
      </c>
      <c r="Y115" s="1" t="e">
        <f t="shared" si="45"/>
        <v>#N/A</v>
      </c>
      <c r="Z115" s="1" t="e">
        <f t="shared" si="46"/>
        <v>#N/A</v>
      </c>
      <c r="AA115" s="1" t="e">
        <f t="shared" si="47"/>
        <v>#N/A</v>
      </c>
      <c r="AB115" s="1" t="e">
        <f t="shared" si="48"/>
        <v>#N/A</v>
      </c>
      <c r="AC115" s="1" t="e">
        <f t="shared" si="49"/>
        <v>#N/A</v>
      </c>
      <c r="AD115" s="1" t="e">
        <f t="shared" si="50"/>
        <v>#N/A</v>
      </c>
      <c r="AE115" s="1" t="e">
        <f t="shared" si="51"/>
        <v>#N/A</v>
      </c>
      <c r="AF115" s="1" t="e">
        <f t="shared" si="52"/>
        <v>#N/A</v>
      </c>
    </row>
    <row r="116" spans="2:32" hidden="1" x14ac:dyDescent="0.25">
      <c r="B116" s="5" t="str">
        <f t="shared" si="22"/>
        <v>X</v>
      </c>
      <c r="C116" s="1">
        <f t="shared" si="23"/>
        <v>3600</v>
      </c>
      <c r="D116" s="1">
        <f t="shared" si="24"/>
        <v>5000</v>
      </c>
      <c r="E116" s="1">
        <f t="shared" si="25"/>
        <v>8500</v>
      </c>
      <c r="F116" s="1">
        <f t="shared" si="26"/>
        <v>10500</v>
      </c>
      <c r="G116" s="1">
        <f t="shared" si="27"/>
        <v>12500</v>
      </c>
      <c r="H116" s="1" t="e">
        <f t="shared" si="28"/>
        <v>#N/A</v>
      </c>
      <c r="I116" s="1" t="e">
        <f t="shared" si="29"/>
        <v>#N/A</v>
      </c>
      <c r="J116" s="1" t="e">
        <f t="shared" si="30"/>
        <v>#N/A</v>
      </c>
      <c r="K116" s="1" t="e">
        <f t="shared" si="31"/>
        <v>#N/A</v>
      </c>
      <c r="L116" s="1" t="e">
        <f t="shared" si="32"/>
        <v>#N/A</v>
      </c>
      <c r="M116" s="1" t="e">
        <f t="shared" si="33"/>
        <v>#N/A</v>
      </c>
      <c r="N116" s="1" t="e">
        <f t="shared" si="34"/>
        <v>#N/A</v>
      </c>
      <c r="O116" s="1" t="e">
        <f t="shared" si="35"/>
        <v>#N/A</v>
      </c>
      <c r="P116" s="1" t="e">
        <f t="shared" si="36"/>
        <v>#N/A</v>
      </c>
      <c r="Q116" s="1" t="e">
        <f t="shared" si="37"/>
        <v>#N/A</v>
      </c>
      <c r="R116" s="1" t="e">
        <f t="shared" si="38"/>
        <v>#N/A</v>
      </c>
      <c r="S116" s="1" t="e">
        <f t="shared" si="39"/>
        <v>#N/A</v>
      </c>
      <c r="T116" s="1" t="e">
        <f t="shared" si="40"/>
        <v>#N/A</v>
      </c>
      <c r="U116" s="1" t="e">
        <f t="shared" si="41"/>
        <v>#N/A</v>
      </c>
      <c r="V116" s="1" t="e">
        <f t="shared" si="42"/>
        <v>#N/A</v>
      </c>
      <c r="W116" s="1" t="e">
        <f t="shared" si="43"/>
        <v>#N/A</v>
      </c>
      <c r="X116" s="1" t="e">
        <f t="shared" si="44"/>
        <v>#N/A</v>
      </c>
      <c r="Y116" s="1" t="e">
        <f t="shared" si="45"/>
        <v>#N/A</v>
      </c>
      <c r="Z116" s="1" t="e">
        <f t="shared" si="46"/>
        <v>#N/A</v>
      </c>
      <c r="AA116" s="1" t="e">
        <f t="shared" si="47"/>
        <v>#N/A</v>
      </c>
      <c r="AB116" s="1" t="e">
        <f t="shared" si="48"/>
        <v>#N/A</v>
      </c>
      <c r="AC116" s="1" t="e">
        <f t="shared" si="49"/>
        <v>#N/A</v>
      </c>
      <c r="AD116" s="1" t="e">
        <f t="shared" si="50"/>
        <v>#N/A</v>
      </c>
      <c r="AE116" s="1" t="e">
        <f t="shared" si="51"/>
        <v>#N/A</v>
      </c>
      <c r="AF116" s="1" t="e">
        <f t="shared" si="52"/>
        <v>#N/A</v>
      </c>
    </row>
    <row r="117" spans="2:32" hidden="1" x14ac:dyDescent="0.25">
      <c r="B117" s="5" t="str">
        <f t="shared" si="22"/>
        <v>X</v>
      </c>
      <c r="C117" s="1">
        <f t="shared" si="23"/>
        <v>3600</v>
      </c>
      <c r="D117" s="1">
        <f t="shared" si="24"/>
        <v>5000</v>
      </c>
      <c r="E117" s="1">
        <f t="shared" si="25"/>
        <v>8500</v>
      </c>
      <c r="F117" s="1">
        <f t="shared" si="26"/>
        <v>10500</v>
      </c>
      <c r="G117" s="1">
        <f t="shared" si="27"/>
        <v>12500</v>
      </c>
      <c r="H117" s="1" t="e">
        <f t="shared" si="28"/>
        <v>#N/A</v>
      </c>
      <c r="I117" s="1" t="e">
        <f t="shared" si="29"/>
        <v>#N/A</v>
      </c>
      <c r="J117" s="1" t="e">
        <f t="shared" si="30"/>
        <v>#N/A</v>
      </c>
      <c r="K117" s="1" t="e">
        <f t="shared" si="31"/>
        <v>#N/A</v>
      </c>
      <c r="L117" s="1" t="e">
        <f t="shared" si="32"/>
        <v>#N/A</v>
      </c>
      <c r="M117" s="1" t="e">
        <f t="shared" si="33"/>
        <v>#N/A</v>
      </c>
      <c r="N117" s="1" t="e">
        <f t="shared" si="34"/>
        <v>#N/A</v>
      </c>
      <c r="O117" s="1" t="e">
        <f t="shared" si="35"/>
        <v>#N/A</v>
      </c>
      <c r="P117" s="1" t="e">
        <f t="shared" si="36"/>
        <v>#N/A</v>
      </c>
      <c r="Q117" s="1" t="e">
        <f t="shared" si="37"/>
        <v>#N/A</v>
      </c>
      <c r="R117" s="1" t="e">
        <f t="shared" si="38"/>
        <v>#N/A</v>
      </c>
      <c r="S117" s="1" t="e">
        <f t="shared" si="39"/>
        <v>#N/A</v>
      </c>
      <c r="T117" s="1" t="e">
        <f t="shared" si="40"/>
        <v>#N/A</v>
      </c>
      <c r="U117" s="1" t="e">
        <f t="shared" si="41"/>
        <v>#N/A</v>
      </c>
      <c r="V117" s="1" t="e">
        <f t="shared" si="42"/>
        <v>#N/A</v>
      </c>
      <c r="W117" s="1" t="e">
        <f t="shared" si="43"/>
        <v>#N/A</v>
      </c>
      <c r="X117" s="1" t="e">
        <f t="shared" si="44"/>
        <v>#N/A</v>
      </c>
      <c r="Y117" s="1" t="e">
        <f t="shared" si="45"/>
        <v>#N/A</v>
      </c>
      <c r="Z117" s="1" t="e">
        <f t="shared" si="46"/>
        <v>#N/A</v>
      </c>
      <c r="AA117" s="1" t="e">
        <f t="shared" si="47"/>
        <v>#N/A</v>
      </c>
      <c r="AB117" s="1" t="e">
        <f t="shared" si="48"/>
        <v>#N/A</v>
      </c>
      <c r="AC117" s="1" t="e">
        <f t="shared" si="49"/>
        <v>#N/A</v>
      </c>
      <c r="AD117" s="1" t="e">
        <f t="shared" si="50"/>
        <v>#N/A</v>
      </c>
      <c r="AE117" s="1" t="e">
        <f t="shared" si="51"/>
        <v>#N/A</v>
      </c>
      <c r="AF117" s="1" t="e">
        <f t="shared" si="52"/>
        <v>#N/A</v>
      </c>
    </row>
    <row r="118" spans="2:32" hidden="1" x14ac:dyDescent="0.25">
      <c r="B118" s="5" t="str">
        <f t="shared" si="22"/>
        <v>X</v>
      </c>
      <c r="C118" s="1">
        <f t="shared" si="23"/>
        <v>3600</v>
      </c>
      <c r="D118" s="1">
        <f t="shared" si="24"/>
        <v>5000</v>
      </c>
      <c r="E118" s="1">
        <f t="shared" si="25"/>
        <v>8500</v>
      </c>
      <c r="F118" s="1">
        <f t="shared" si="26"/>
        <v>10500</v>
      </c>
      <c r="G118" s="1">
        <f t="shared" si="27"/>
        <v>12500</v>
      </c>
      <c r="H118" s="1" t="e">
        <f t="shared" si="28"/>
        <v>#N/A</v>
      </c>
      <c r="I118" s="1" t="e">
        <f t="shared" si="29"/>
        <v>#N/A</v>
      </c>
      <c r="J118" s="1" t="e">
        <f t="shared" si="30"/>
        <v>#N/A</v>
      </c>
      <c r="K118" s="1" t="e">
        <f t="shared" si="31"/>
        <v>#N/A</v>
      </c>
      <c r="L118" s="1" t="e">
        <f t="shared" si="32"/>
        <v>#N/A</v>
      </c>
      <c r="M118" s="1" t="e">
        <f t="shared" si="33"/>
        <v>#N/A</v>
      </c>
      <c r="N118" s="1" t="e">
        <f t="shared" si="34"/>
        <v>#N/A</v>
      </c>
      <c r="O118" s="1" t="e">
        <f t="shared" si="35"/>
        <v>#N/A</v>
      </c>
      <c r="P118" s="1" t="e">
        <f t="shared" si="36"/>
        <v>#N/A</v>
      </c>
      <c r="Q118" s="1" t="e">
        <f t="shared" si="37"/>
        <v>#N/A</v>
      </c>
      <c r="R118" s="1" t="e">
        <f t="shared" si="38"/>
        <v>#N/A</v>
      </c>
      <c r="S118" s="1" t="e">
        <f t="shared" si="39"/>
        <v>#N/A</v>
      </c>
      <c r="T118" s="1" t="e">
        <f t="shared" si="40"/>
        <v>#N/A</v>
      </c>
      <c r="U118" s="1" t="e">
        <f t="shared" si="41"/>
        <v>#N/A</v>
      </c>
      <c r="V118" s="1" t="e">
        <f t="shared" si="42"/>
        <v>#N/A</v>
      </c>
      <c r="W118" s="1" t="e">
        <f t="shared" si="43"/>
        <v>#N/A</v>
      </c>
      <c r="X118" s="1" t="e">
        <f t="shared" si="44"/>
        <v>#N/A</v>
      </c>
      <c r="Y118" s="1" t="e">
        <f t="shared" si="45"/>
        <v>#N/A</v>
      </c>
      <c r="Z118" s="1" t="e">
        <f t="shared" si="46"/>
        <v>#N/A</v>
      </c>
      <c r="AA118" s="1" t="e">
        <f t="shared" si="47"/>
        <v>#N/A</v>
      </c>
      <c r="AB118" s="1" t="e">
        <f t="shared" si="48"/>
        <v>#N/A</v>
      </c>
      <c r="AC118" s="1" t="e">
        <f t="shared" si="49"/>
        <v>#N/A</v>
      </c>
      <c r="AD118" s="1" t="e">
        <f t="shared" si="50"/>
        <v>#N/A</v>
      </c>
      <c r="AE118" s="1" t="e">
        <f t="shared" si="51"/>
        <v>#N/A</v>
      </c>
      <c r="AF118" s="1" t="e">
        <f t="shared" si="52"/>
        <v>#N/A</v>
      </c>
    </row>
    <row r="119" spans="2:32" hidden="1" x14ac:dyDescent="0.25">
      <c r="B119" s="5" t="str">
        <f t="shared" si="22"/>
        <v>X</v>
      </c>
      <c r="C119" s="1">
        <f t="shared" si="23"/>
        <v>3600</v>
      </c>
      <c r="D119" s="1">
        <f t="shared" si="24"/>
        <v>5000</v>
      </c>
      <c r="E119" s="1">
        <f t="shared" si="25"/>
        <v>8500</v>
      </c>
      <c r="F119" s="1">
        <f t="shared" si="26"/>
        <v>10500</v>
      </c>
      <c r="G119" s="1">
        <f t="shared" si="27"/>
        <v>12500</v>
      </c>
      <c r="H119" s="1" t="e">
        <f t="shared" si="28"/>
        <v>#N/A</v>
      </c>
      <c r="I119" s="1" t="e">
        <f t="shared" si="29"/>
        <v>#N/A</v>
      </c>
      <c r="J119" s="1" t="e">
        <f t="shared" si="30"/>
        <v>#N/A</v>
      </c>
      <c r="K119" s="1" t="e">
        <f t="shared" si="31"/>
        <v>#N/A</v>
      </c>
      <c r="L119" s="1" t="e">
        <f t="shared" si="32"/>
        <v>#N/A</v>
      </c>
      <c r="M119" s="1" t="e">
        <f t="shared" si="33"/>
        <v>#N/A</v>
      </c>
      <c r="N119" s="1" t="e">
        <f t="shared" si="34"/>
        <v>#N/A</v>
      </c>
      <c r="O119" s="1" t="e">
        <f t="shared" si="35"/>
        <v>#N/A</v>
      </c>
      <c r="P119" s="1" t="e">
        <f t="shared" si="36"/>
        <v>#N/A</v>
      </c>
      <c r="Q119" s="1" t="e">
        <f t="shared" si="37"/>
        <v>#N/A</v>
      </c>
      <c r="R119" s="1" t="e">
        <f t="shared" si="38"/>
        <v>#N/A</v>
      </c>
      <c r="S119" s="1" t="e">
        <f t="shared" si="39"/>
        <v>#N/A</v>
      </c>
      <c r="T119" s="1" t="e">
        <f t="shared" si="40"/>
        <v>#N/A</v>
      </c>
      <c r="U119" s="1" t="e">
        <f t="shared" si="41"/>
        <v>#N/A</v>
      </c>
      <c r="V119" s="1" t="e">
        <f t="shared" si="42"/>
        <v>#N/A</v>
      </c>
      <c r="W119" s="1" t="e">
        <f t="shared" si="43"/>
        <v>#N/A</v>
      </c>
      <c r="X119" s="1" t="e">
        <f t="shared" si="44"/>
        <v>#N/A</v>
      </c>
      <c r="Y119" s="1" t="e">
        <f t="shared" si="45"/>
        <v>#N/A</v>
      </c>
      <c r="Z119" s="1" t="e">
        <f t="shared" si="46"/>
        <v>#N/A</v>
      </c>
      <c r="AA119" s="1" t="e">
        <f t="shared" si="47"/>
        <v>#N/A</v>
      </c>
      <c r="AB119" s="1" t="e">
        <f t="shared" si="48"/>
        <v>#N/A</v>
      </c>
      <c r="AC119" s="1" t="e">
        <f t="shared" si="49"/>
        <v>#N/A</v>
      </c>
      <c r="AD119" s="1" t="e">
        <f t="shared" si="50"/>
        <v>#N/A</v>
      </c>
      <c r="AE119" s="1" t="e">
        <f t="shared" si="51"/>
        <v>#N/A</v>
      </c>
      <c r="AF119" s="1" t="e">
        <f t="shared" si="52"/>
        <v>#N/A</v>
      </c>
    </row>
    <row r="120" spans="2:32" hidden="1" x14ac:dyDescent="0.25">
      <c r="B120" s="5" t="str">
        <f t="shared" si="22"/>
        <v>X</v>
      </c>
      <c r="C120" s="1">
        <f t="shared" si="23"/>
        <v>3600</v>
      </c>
      <c r="D120" s="1">
        <f t="shared" si="24"/>
        <v>5000</v>
      </c>
      <c r="E120" s="1">
        <f t="shared" si="25"/>
        <v>8500</v>
      </c>
      <c r="F120" s="1">
        <f t="shared" si="26"/>
        <v>10500</v>
      </c>
      <c r="G120" s="1">
        <f t="shared" si="27"/>
        <v>12500</v>
      </c>
      <c r="H120" s="1" t="e">
        <f t="shared" si="28"/>
        <v>#N/A</v>
      </c>
      <c r="I120" s="1" t="e">
        <f t="shared" si="29"/>
        <v>#N/A</v>
      </c>
      <c r="J120" s="1" t="e">
        <f t="shared" si="30"/>
        <v>#N/A</v>
      </c>
      <c r="K120" s="1" t="e">
        <f t="shared" si="31"/>
        <v>#N/A</v>
      </c>
      <c r="L120" s="1" t="e">
        <f t="shared" si="32"/>
        <v>#N/A</v>
      </c>
      <c r="M120" s="1" t="e">
        <f t="shared" si="33"/>
        <v>#N/A</v>
      </c>
      <c r="N120" s="1" t="e">
        <f t="shared" si="34"/>
        <v>#N/A</v>
      </c>
      <c r="O120" s="1" t="e">
        <f t="shared" si="35"/>
        <v>#N/A</v>
      </c>
      <c r="P120" s="1" t="e">
        <f t="shared" si="36"/>
        <v>#N/A</v>
      </c>
      <c r="Q120" s="1" t="e">
        <f t="shared" si="37"/>
        <v>#N/A</v>
      </c>
      <c r="R120" s="1" t="e">
        <f t="shared" si="38"/>
        <v>#N/A</v>
      </c>
      <c r="S120" s="1" t="e">
        <f t="shared" si="39"/>
        <v>#N/A</v>
      </c>
      <c r="T120" s="1" t="e">
        <f t="shared" si="40"/>
        <v>#N/A</v>
      </c>
      <c r="U120" s="1" t="e">
        <f t="shared" si="41"/>
        <v>#N/A</v>
      </c>
      <c r="V120" s="1" t="e">
        <f t="shared" si="42"/>
        <v>#N/A</v>
      </c>
      <c r="W120" s="1" t="e">
        <f t="shared" si="43"/>
        <v>#N/A</v>
      </c>
      <c r="X120" s="1" t="e">
        <f t="shared" si="44"/>
        <v>#N/A</v>
      </c>
      <c r="Y120" s="1" t="e">
        <f t="shared" si="45"/>
        <v>#N/A</v>
      </c>
      <c r="Z120" s="1" t="e">
        <f t="shared" si="46"/>
        <v>#N/A</v>
      </c>
      <c r="AA120" s="1" t="e">
        <f t="shared" si="47"/>
        <v>#N/A</v>
      </c>
      <c r="AB120" s="1" t="e">
        <f t="shared" si="48"/>
        <v>#N/A</v>
      </c>
      <c r="AC120" s="1" t="e">
        <f t="shared" si="49"/>
        <v>#N/A</v>
      </c>
      <c r="AD120" s="1" t="e">
        <f t="shared" si="50"/>
        <v>#N/A</v>
      </c>
      <c r="AE120" s="1" t="e">
        <f t="shared" si="51"/>
        <v>#N/A</v>
      </c>
      <c r="AF120" s="1" t="e">
        <f t="shared" si="52"/>
        <v>#N/A</v>
      </c>
    </row>
    <row r="121" spans="2:32" hidden="1" x14ac:dyDescent="0.25">
      <c r="B121" s="5" t="str">
        <f t="shared" si="22"/>
        <v>X</v>
      </c>
      <c r="C121" s="1">
        <f t="shared" si="23"/>
        <v>3600</v>
      </c>
      <c r="D121" s="1">
        <f t="shared" si="24"/>
        <v>5000</v>
      </c>
      <c r="E121" s="1">
        <f t="shared" si="25"/>
        <v>8500</v>
      </c>
      <c r="F121" s="1">
        <f t="shared" si="26"/>
        <v>10500</v>
      </c>
      <c r="G121" s="1">
        <f t="shared" si="27"/>
        <v>12500</v>
      </c>
      <c r="H121" s="1" t="e">
        <f t="shared" si="28"/>
        <v>#N/A</v>
      </c>
      <c r="I121" s="1" t="e">
        <f t="shared" si="29"/>
        <v>#N/A</v>
      </c>
      <c r="J121" s="1" t="e">
        <f t="shared" si="30"/>
        <v>#N/A</v>
      </c>
      <c r="K121" s="1" t="e">
        <f t="shared" si="31"/>
        <v>#N/A</v>
      </c>
      <c r="L121" s="1" t="e">
        <f t="shared" si="32"/>
        <v>#N/A</v>
      </c>
      <c r="M121" s="1" t="e">
        <f t="shared" si="33"/>
        <v>#N/A</v>
      </c>
      <c r="N121" s="1" t="e">
        <f t="shared" si="34"/>
        <v>#N/A</v>
      </c>
      <c r="O121" s="1" t="e">
        <f t="shared" si="35"/>
        <v>#N/A</v>
      </c>
      <c r="P121" s="1" t="e">
        <f t="shared" si="36"/>
        <v>#N/A</v>
      </c>
      <c r="Q121" s="1" t="e">
        <f t="shared" si="37"/>
        <v>#N/A</v>
      </c>
      <c r="R121" s="1" t="e">
        <f t="shared" si="38"/>
        <v>#N/A</v>
      </c>
      <c r="S121" s="1" t="e">
        <f t="shared" si="39"/>
        <v>#N/A</v>
      </c>
      <c r="T121" s="1" t="e">
        <f t="shared" si="40"/>
        <v>#N/A</v>
      </c>
      <c r="U121" s="1" t="e">
        <f t="shared" si="41"/>
        <v>#N/A</v>
      </c>
      <c r="V121" s="1" t="e">
        <f t="shared" si="42"/>
        <v>#N/A</v>
      </c>
      <c r="W121" s="1" t="e">
        <f t="shared" si="43"/>
        <v>#N/A</v>
      </c>
      <c r="X121" s="1" t="e">
        <f t="shared" si="44"/>
        <v>#N/A</v>
      </c>
      <c r="Y121" s="1" t="e">
        <f t="shared" si="45"/>
        <v>#N/A</v>
      </c>
      <c r="Z121" s="1" t="e">
        <f t="shared" si="46"/>
        <v>#N/A</v>
      </c>
      <c r="AA121" s="1" t="e">
        <f t="shared" si="47"/>
        <v>#N/A</v>
      </c>
      <c r="AB121" s="1" t="e">
        <f t="shared" si="48"/>
        <v>#N/A</v>
      </c>
      <c r="AC121" s="1" t="e">
        <f t="shared" si="49"/>
        <v>#N/A</v>
      </c>
      <c r="AD121" s="1" t="e">
        <f t="shared" si="50"/>
        <v>#N/A</v>
      </c>
      <c r="AE121" s="1" t="e">
        <f t="shared" si="51"/>
        <v>#N/A</v>
      </c>
      <c r="AF121" s="1" t="e">
        <f t="shared" si="52"/>
        <v>#N/A</v>
      </c>
    </row>
    <row r="122" spans="2:32" hidden="1" x14ac:dyDescent="0.25">
      <c r="B122" s="5" t="str">
        <f t="shared" si="22"/>
        <v>X</v>
      </c>
      <c r="C122" s="1">
        <f t="shared" si="23"/>
        <v>3600</v>
      </c>
      <c r="D122" s="1">
        <f t="shared" si="24"/>
        <v>5000</v>
      </c>
      <c r="E122" s="1">
        <f t="shared" si="25"/>
        <v>8500</v>
      </c>
      <c r="F122" s="1">
        <f t="shared" si="26"/>
        <v>10500</v>
      </c>
      <c r="G122" s="1">
        <f t="shared" si="27"/>
        <v>12500</v>
      </c>
      <c r="H122" s="1" t="e">
        <f t="shared" si="28"/>
        <v>#N/A</v>
      </c>
      <c r="I122" s="1" t="e">
        <f t="shared" si="29"/>
        <v>#N/A</v>
      </c>
      <c r="J122" s="1" t="e">
        <f t="shared" si="30"/>
        <v>#N/A</v>
      </c>
      <c r="K122" s="1" t="e">
        <f t="shared" si="31"/>
        <v>#N/A</v>
      </c>
      <c r="L122" s="1" t="e">
        <f t="shared" si="32"/>
        <v>#N/A</v>
      </c>
      <c r="M122" s="1" t="e">
        <f t="shared" si="33"/>
        <v>#N/A</v>
      </c>
      <c r="N122" s="1" t="e">
        <f t="shared" si="34"/>
        <v>#N/A</v>
      </c>
      <c r="O122" s="1" t="e">
        <f t="shared" si="35"/>
        <v>#N/A</v>
      </c>
      <c r="P122" s="1" t="e">
        <f t="shared" si="36"/>
        <v>#N/A</v>
      </c>
      <c r="Q122" s="1" t="e">
        <f t="shared" si="37"/>
        <v>#N/A</v>
      </c>
      <c r="R122" s="1" t="e">
        <f t="shared" si="38"/>
        <v>#N/A</v>
      </c>
      <c r="S122" s="1" t="e">
        <f t="shared" si="39"/>
        <v>#N/A</v>
      </c>
      <c r="T122" s="1" t="e">
        <f t="shared" si="40"/>
        <v>#N/A</v>
      </c>
      <c r="U122" s="1" t="e">
        <f t="shared" si="41"/>
        <v>#N/A</v>
      </c>
      <c r="V122" s="1" t="e">
        <f t="shared" si="42"/>
        <v>#N/A</v>
      </c>
      <c r="W122" s="1" t="e">
        <f t="shared" si="43"/>
        <v>#N/A</v>
      </c>
      <c r="X122" s="1" t="e">
        <f t="shared" si="44"/>
        <v>#N/A</v>
      </c>
      <c r="Y122" s="1" t="e">
        <f t="shared" si="45"/>
        <v>#N/A</v>
      </c>
      <c r="Z122" s="1" t="e">
        <f t="shared" si="46"/>
        <v>#N/A</v>
      </c>
      <c r="AA122" s="1" t="e">
        <f t="shared" si="47"/>
        <v>#N/A</v>
      </c>
      <c r="AB122" s="1" t="e">
        <f t="shared" si="48"/>
        <v>#N/A</v>
      </c>
      <c r="AC122" s="1" t="e">
        <f t="shared" si="49"/>
        <v>#N/A</v>
      </c>
      <c r="AD122" s="1" t="e">
        <f t="shared" si="50"/>
        <v>#N/A</v>
      </c>
      <c r="AE122" s="1" t="e">
        <f t="shared" si="51"/>
        <v>#N/A</v>
      </c>
      <c r="AF122" s="1" t="e">
        <f t="shared" si="52"/>
        <v>#N/A</v>
      </c>
    </row>
    <row r="123" spans="2:32" hidden="1" x14ac:dyDescent="0.25">
      <c r="B123" s="5" t="str">
        <f t="shared" si="22"/>
        <v>X</v>
      </c>
      <c r="C123" s="1">
        <f t="shared" si="23"/>
        <v>3600</v>
      </c>
      <c r="D123" s="1">
        <f t="shared" si="24"/>
        <v>5000</v>
      </c>
      <c r="E123" s="1">
        <f t="shared" si="25"/>
        <v>8500</v>
      </c>
      <c r="F123" s="1">
        <f t="shared" si="26"/>
        <v>10500</v>
      </c>
      <c r="G123" s="1">
        <f t="shared" si="27"/>
        <v>12500</v>
      </c>
      <c r="H123" s="1" t="e">
        <f t="shared" si="28"/>
        <v>#N/A</v>
      </c>
      <c r="I123" s="1" t="e">
        <f t="shared" si="29"/>
        <v>#N/A</v>
      </c>
      <c r="J123" s="1" t="e">
        <f t="shared" si="30"/>
        <v>#N/A</v>
      </c>
      <c r="K123" s="1" t="e">
        <f t="shared" si="31"/>
        <v>#N/A</v>
      </c>
      <c r="L123" s="1" t="e">
        <f t="shared" si="32"/>
        <v>#N/A</v>
      </c>
      <c r="M123" s="1" t="e">
        <f t="shared" si="33"/>
        <v>#N/A</v>
      </c>
      <c r="N123" s="1" t="e">
        <f t="shared" si="34"/>
        <v>#N/A</v>
      </c>
      <c r="O123" s="1" t="e">
        <f t="shared" si="35"/>
        <v>#N/A</v>
      </c>
      <c r="P123" s="1" t="e">
        <f t="shared" si="36"/>
        <v>#N/A</v>
      </c>
      <c r="Q123" s="1" t="e">
        <f t="shared" si="37"/>
        <v>#N/A</v>
      </c>
      <c r="R123" s="1" t="e">
        <f t="shared" si="38"/>
        <v>#N/A</v>
      </c>
      <c r="S123" s="1" t="e">
        <f t="shared" si="39"/>
        <v>#N/A</v>
      </c>
      <c r="T123" s="1" t="e">
        <f t="shared" si="40"/>
        <v>#N/A</v>
      </c>
      <c r="U123" s="1" t="e">
        <f t="shared" si="41"/>
        <v>#N/A</v>
      </c>
      <c r="V123" s="1" t="e">
        <f t="shared" si="42"/>
        <v>#N/A</v>
      </c>
      <c r="W123" s="1" t="e">
        <f t="shared" si="43"/>
        <v>#N/A</v>
      </c>
      <c r="X123" s="1" t="e">
        <f t="shared" si="44"/>
        <v>#N/A</v>
      </c>
      <c r="Y123" s="1" t="e">
        <f t="shared" si="45"/>
        <v>#N/A</v>
      </c>
      <c r="Z123" s="1" t="e">
        <f t="shared" si="46"/>
        <v>#N/A</v>
      </c>
      <c r="AA123" s="1" t="e">
        <f t="shared" si="47"/>
        <v>#N/A</v>
      </c>
      <c r="AB123" s="1" t="e">
        <f t="shared" si="48"/>
        <v>#N/A</v>
      </c>
      <c r="AC123" s="1" t="e">
        <f t="shared" si="49"/>
        <v>#N/A</v>
      </c>
      <c r="AD123" s="1" t="e">
        <f t="shared" si="50"/>
        <v>#N/A</v>
      </c>
      <c r="AE123" s="1" t="e">
        <f t="shared" si="51"/>
        <v>#N/A</v>
      </c>
      <c r="AF123" s="1" t="e">
        <f t="shared" si="52"/>
        <v>#N/A</v>
      </c>
    </row>
    <row r="124" spans="2:32" hidden="1" x14ac:dyDescent="0.25">
      <c r="B124" s="5" t="str">
        <f t="shared" si="22"/>
        <v>X</v>
      </c>
      <c r="C124" s="1">
        <f t="shared" si="23"/>
        <v>3600</v>
      </c>
      <c r="D124" s="1">
        <f t="shared" si="24"/>
        <v>5000</v>
      </c>
      <c r="E124" s="1">
        <f t="shared" si="25"/>
        <v>8500</v>
      </c>
      <c r="F124" s="1">
        <f t="shared" si="26"/>
        <v>10500</v>
      </c>
      <c r="G124" s="1">
        <f t="shared" si="27"/>
        <v>12500</v>
      </c>
      <c r="H124" s="1" t="e">
        <f t="shared" si="28"/>
        <v>#N/A</v>
      </c>
      <c r="I124" s="1" t="e">
        <f t="shared" si="29"/>
        <v>#N/A</v>
      </c>
      <c r="J124" s="1" t="e">
        <f t="shared" si="30"/>
        <v>#N/A</v>
      </c>
      <c r="K124" s="1" t="e">
        <f t="shared" si="31"/>
        <v>#N/A</v>
      </c>
      <c r="L124" s="1" t="e">
        <f t="shared" si="32"/>
        <v>#N/A</v>
      </c>
      <c r="M124" s="1" t="e">
        <f t="shared" si="33"/>
        <v>#N/A</v>
      </c>
      <c r="N124" s="1" t="e">
        <f t="shared" si="34"/>
        <v>#N/A</v>
      </c>
      <c r="O124" s="1" t="e">
        <f t="shared" si="35"/>
        <v>#N/A</v>
      </c>
      <c r="P124" s="1" t="e">
        <f t="shared" si="36"/>
        <v>#N/A</v>
      </c>
      <c r="Q124" s="1" t="e">
        <f t="shared" si="37"/>
        <v>#N/A</v>
      </c>
      <c r="R124" s="1" t="e">
        <f t="shared" si="38"/>
        <v>#N/A</v>
      </c>
      <c r="S124" s="1" t="e">
        <f t="shared" si="39"/>
        <v>#N/A</v>
      </c>
      <c r="T124" s="1" t="e">
        <f t="shared" si="40"/>
        <v>#N/A</v>
      </c>
      <c r="U124" s="1" t="e">
        <f t="shared" si="41"/>
        <v>#N/A</v>
      </c>
      <c r="V124" s="1" t="e">
        <f t="shared" si="42"/>
        <v>#N/A</v>
      </c>
      <c r="W124" s="1" t="e">
        <f t="shared" si="43"/>
        <v>#N/A</v>
      </c>
      <c r="X124" s="1" t="e">
        <f t="shared" si="44"/>
        <v>#N/A</v>
      </c>
      <c r="Y124" s="1" t="e">
        <f t="shared" si="45"/>
        <v>#N/A</v>
      </c>
      <c r="Z124" s="1" t="e">
        <f t="shared" si="46"/>
        <v>#N/A</v>
      </c>
      <c r="AA124" s="1" t="e">
        <f t="shared" si="47"/>
        <v>#N/A</v>
      </c>
      <c r="AB124" s="1" t="e">
        <f t="shared" si="48"/>
        <v>#N/A</v>
      </c>
      <c r="AC124" s="1" t="e">
        <f t="shared" si="49"/>
        <v>#N/A</v>
      </c>
      <c r="AD124" s="1" t="e">
        <f t="shared" si="50"/>
        <v>#N/A</v>
      </c>
      <c r="AE124" s="1" t="e">
        <f t="shared" si="51"/>
        <v>#N/A</v>
      </c>
      <c r="AF124" s="1" t="e">
        <f t="shared" si="52"/>
        <v>#N/A</v>
      </c>
    </row>
    <row r="125" spans="2:32" hidden="1" x14ac:dyDescent="0.25">
      <c r="B125" s="5" t="str">
        <f t="shared" si="22"/>
        <v>X</v>
      </c>
      <c r="C125" s="1">
        <f t="shared" si="23"/>
        <v>3600</v>
      </c>
      <c r="D125" s="1">
        <f t="shared" si="24"/>
        <v>5000</v>
      </c>
      <c r="E125" s="1">
        <f t="shared" si="25"/>
        <v>8500</v>
      </c>
      <c r="F125" s="1">
        <f t="shared" si="26"/>
        <v>10500</v>
      </c>
      <c r="G125" s="1">
        <f t="shared" si="27"/>
        <v>12500</v>
      </c>
      <c r="H125" s="1" t="e">
        <f t="shared" si="28"/>
        <v>#N/A</v>
      </c>
      <c r="I125" s="1" t="e">
        <f t="shared" si="29"/>
        <v>#N/A</v>
      </c>
      <c r="J125" s="1" t="e">
        <f t="shared" si="30"/>
        <v>#N/A</v>
      </c>
      <c r="K125" s="1" t="e">
        <f t="shared" si="31"/>
        <v>#N/A</v>
      </c>
      <c r="L125" s="1" t="e">
        <f t="shared" si="32"/>
        <v>#N/A</v>
      </c>
      <c r="M125" s="1" t="e">
        <f t="shared" si="33"/>
        <v>#N/A</v>
      </c>
      <c r="N125" s="1" t="e">
        <f t="shared" si="34"/>
        <v>#N/A</v>
      </c>
      <c r="O125" s="1" t="e">
        <f t="shared" si="35"/>
        <v>#N/A</v>
      </c>
      <c r="P125" s="1" t="e">
        <f t="shared" si="36"/>
        <v>#N/A</v>
      </c>
      <c r="Q125" s="1" t="e">
        <f t="shared" si="37"/>
        <v>#N/A</v>
      </c>
      <c r="R125" s="1" t="e">
        <f t="shared" si="38"/>
        <v>#N/A</v>
      </c>
      <c r="S125" s="1" t="e">
        <f t="shared" si="39"/>
        <v>#N/A</v>
      </c>
      <c r="T125" s="1" t="e">
        <f t="shared" si="40"/>
        <v>#N/A</v>
      </c>
      <c r="U125" s="1" t="e">
        <f t="shared" si="41"/>
        <v>#N/A</v>
      </c>
      <c r="V125" s="1" t="e">
        <f t="shared" si="42"/>
        <v>#N/A</v>
      </c>
      <c r="W125" s="1" t="e">
        <f t="shared" si="43"/>
        <v>#N/A</v>
      </c>
      <c r="X125" s="1" t="e">
        <f t="shared" si="44"/>
        <v>#N/A</v>
      </c>
      <c r="Y125" s="1" t="e">
        <f t="shared" si="45"/>
        <v>#N/A</v>
      </c>
      <c r="Z125" s="1" t="e">
        <f t="shared" si="46"/>
        <v>#N/A</v>
      </c>
      <c r="AA125" s="1" t="e">
        <f t="shared" si="47"/>
        <v>#N/A</v>
      </c>
      <c r="AB125" s="1" t="e">
        <f t="shared" si="48"/>
        <v>#N/A</v>
      </c>
      <c r="AC125" s="1" t="e">
        <f t="shared" si="49"/>
        <v>#N/A</v>
      </c>
      <c r="AD125" s="1" t="e">
        <f t="shared" si="50"/>
        <v>#N/A</v>
      </c>
      <c r="AE125" s="1" t="e">
        <f t="shared" si="51"/>
        <v>#N/A</v>
      </c>
      <c r="AF125" s="1" t="e">
        <f t="shared" si="52"/>
        <v>#N/A</v>
      </c>
    </row>
    <row r="126" spans="2:32" hidden="1" x14ac:dyDescent="0.25">
      <c r="B126" s="5" t="str">
        <f t="shared" si="22"/>
        <v>X</v>
      </c>
      <c r="C126" s="1">
        <f t="shared" si="23"/>
        <v>3600</v>
      </c>
      <c r="D126" s="1">
        <f t="shared" si="24"/>
        <v>5000</v>
      </c>
      <c r="E126" s="1">
        <f t="shared" si="25"/>
        <v>8500</v>
      </c>
      <c r="F126" s="1">
        <f t="shared" si="26"/>
        <v>10500</v>
      </c>
      <c r="G126" s="1">
        <f t="shared" si="27"/>
        <v>12500</v>
      </c>
      <c r="H126" s="1" t="e">
        <f t="shared" si="28"/>
        <v>#N/A</v>
      </c>
      <c r="I126" s="1" t="e">
        <f t="shared" si="29"/>
        <v>#N/A</v>
      </c>
      <c r="J126" s="1" t="e">
        <f t="shared" si="30"/>
        <v>#N/A</v>
      </c>
      <c r="K126" s="1" t="e">
        <f t="shared" si="31"/>
        <v>#N/A</v>
      </c>
      <c r="L126" s="1" t="e">
        <f t="shared" si="32"/>
        <v>#N/A</v>
      </c>
      <c r="M126" s="1" t="e">
        <f t="shared" si="33"/>
        <v>#N/A</v>
      </c>
      <c r="N126" s="1" t="e">
        <f t="shared" si="34"/>
        <v>#N/A</v>
      </c>
      <c r="O126" s="1" t="e">
        <f t="shared" si="35"/>
        <v>#N/A</v>
      </c>
      <c r="P126" s="1" t="e">
        <f t="shared" si="36"/>
        <v>#N/A</v>
      </c>
      <c r="Q126" s="1" t="e">
        <f t="shared" si="37"/>
        <v>#N/A</v>
      </c>
      <c r="R126" s="1" t="e">
        <f t="shared" si="38"/>
        <v>#N/A</v>
      </c>
      <c r="S126" s="1" t="e">
        <f t="shared" si="39"/>
        <v>#N/A</v>
      </c>
      <c r="T126" s="1" t="e">
        <f t="shared" si="40"/>
        <v>#N/A</v>
      </c>
      <c r="U126" s="1" t="e">
        <f t="shared" si="41"/>
        <v>#N/A</v>
      </c>
      <c r="V126" s="1" t="e">
        <f t="shared" si="42"/>
        <v>#N/A</v>
      </c>
      <c r="W126" s="1" t="e">
        <f t="shared" si="43"/>
        <v>#N/A</v>
      </c>
      <c r="X126" s="1" t="e">
        <f t="shared" si="44"/>
        <v>#N/A</v>
      </c>
      <c r="Y126" s="1" t="e">
        <f t="shared" si="45"/>
        <v>#N/A</v>
      </c>
      <c r="Z126" s="1" t="e">
        <f t="shared" si="46"/>
        <v>#N/A</v>
      </c>
      <c r="AA126" s="1" t="e">
        <f t="shared" si="47"/>
        <v>#N/A</v>
      </c>
      <c r="AB126" s="1" t="e">
        <f t="shared" si="48"/>
        <v>#N/A</v>
      </c>
      <c r="AC126" s="1" t="e">
        <f t="shared" si="49"/>
        <v>#N/A</v>
      </c>
      <c r="AD126" s="1" t="e">
        <f t="shared" si="50"/>
        <v>#N/A</v>
      </c>
      <c r="AE126" s="1" t="e">
        <f t="shared" si="51"/>
        <v>#N/A</v>
      </c>
      <c r="AF126" s="1" t="e">
        <f t="shared" si="52"/>
        <v>#N/A</v>
      </c>
    </row>
    <row r="127" spans="2:32" hidden="1" x14ac:dyDescent="0.25">
      <c r="B127" s="5" t="str">
        <f t="shared" si="22"/>
        <v>X</v>
      </c>
      <c r="C127" s="1">
        <f t="shared" si="23"/>
        <v>3600</v>
      </c>
      <c r="D127" s="1">
        <f t="shared" si="24"/>
        <v>5000</v>
      </c>
      <c r="E127" s="1">
        <f t="shared" si="25"/>
        <v>8500</v>
      </c>
      <c r="F127" s="1">
        <f t="shared" si="26"/>
        <v>10500</v>
      </c>
      <c r="G127" s="1">
        <f t="shared" si="27"/>
        <v>12500</v>
      </c>
      <c r="H127" s="1" t="e">
        <f t="shared" si="28"/>
        <v>#N/A</v>
      </c>
      <c r="I127" s="1" t="e">
        <f t="shared" si="29"/>
        <v>#N/A</v>
      </c>
      <c r="J127" s="1" t="e">
        <f t="shared" si="30"/>
        <v>#N/A</v>
      </c>
      <c r="K127" s="1" t="e">
        <f t="shared" si="31"/>
        <v>#N/A</v>
      </c>
      <c r="L127" s="1" t="e">
        <f t="shared" si="32"/>
        <v>#N/A</v>
      </c>
      <c r="M127" s="1" t="e">
        <f t="shared" si="33"/>
        <v>#N/A</v>
      </c>
      <c r="N127" s="1" t="e">
        <f t="shared" si="34"/>
        <v>#N/A</v>
      </c>
      <c r="O127" s="1" t="e">
        <f t="shared" si="35"/>
        <v>#N/A</v>
      </c>
      <c r="P127" s="1" t="e">
        <f t="shared" si="36"/>
        <v>#N/A</v>
      </c>
      <c r="Q127" s="1" t="e">
        <f t="shared" si="37"/>
        <v>#N/A</v>
      </c>
      <c r="R127" s="1" t="e">
        <f t="shared" si="38"/>
        <v>#N/A</v>
      </c>
      <c r="S127" s="1" t="e">
        <f t="shared" si="39"/>
        <v>#N/A</v>
      </c>
      <c r="T127" s="1" t="e">
        <f t="shared" si="40"/>
        <v>#N/A</v>
      </c>
      <c r="U127" s="1" t="e">
        <f t="shared" si="41"/>
        <v>#N/A</v>
      </c>
      <c r="V127" s="1" t="e">
        <f t="shared" si="42"/>
        <v>#N/A</v>
      </c>
      <c r="W127" s="1" t="e">
        <f t="shared" si="43"/>
        <v>#N/A</v>
      </c>
      <c r="X127" s="1" t="e">
        <f t="shared" si="44"/>
        <v>#N/A</v>
      </c>
      <c r="Y127" s="1" t="e">
        <f t="shared" si="45"/>
        <v>#N/A</v>
      </c>
      <c r="Z127" s="1" t="e">
        <f t="shared" si="46"/>
        <v>#N/A</v>
      </c>
      <c r="AA127" s="1" t="e">
        <f t="shared" si="47"/>
        <v>#N/A</v>
      </c>
      <c r="AB127" s="1" t="e">
        <f t="shared" si="48"/>
        <v>#N/A</v>
      </c>
      <c r="AC127" s="1" t="e">
        <f t="shared" si="49"/>
        <v>#N/A</v>
      </c>
      <c r="AD127" s="1" t="e">
        <f t="shared" si="50"/>
        <v>#N/A</v>
      </c>
      <c r="AE127" s="1" t="e">
        <f t="shared" si="51"/>
        <v>#N/A</v>
      </c>
      <c r="AF127" s="1" t="e">
        <f t="shared" si="52"/>
        <v>#N/A</v>
      </c>
    </row>
    <row r="128" spans="2:32" hidden="1" x14ac:dyDescent="0.25">
      <c r="B128" s="5" t="str">
        <f t="shared" si="22"/>
        <v>X</v>
      </c>
      <c r="C128" s="1">
        <f t="shared" si="23"/>
        <v>3600</v>
      </c>
      <c r="D128" s="1">
        <f t="shared" si="24"/>
        <v>5000</v>
      </c>
      <c r="E128" s="1">
        <f t="shared" si="25"/>
        <v>8500</v>
      </c>
      <c r="F128" s="1">
        <f t="shared" si="26"/>
        <v>10500</v>
      </c>
      <c r="G128" s="1">
        <f t="shared" si="27"/>
        <v>12500</v>
      </c>
      <c r="H128" s="1" t="e">
        <f t="shared" si="28"/>
        <v>#N/A</v>
      </c>
      <c r="I128" s="1" t="e">
        <f t="shared" si="29"/>
        <v>#N/A</v>
      </c>
      <c r="J128" s="1" t="e">
        <f t="shared" si="30"/>
        <v>#N/A</v>
      </c>
      <c r="K128" s="1" t="e">
        <f t="shared" si="31"/>
        <v>#N/A</v>
      </c>
      <c r="L128" s="1" t="e">
        <f t="shared" si="32"/>
        <v>#N/A</v>
      </c>
      <c r="M128" s="1" t="e">
        <f t="shared" si="33"/>
        <v>#N/A</v>
      </c>
      <c r="N128" s="1" t="e">
        <f t="shared" si="34"/>
        <v>#N/A</v>
      </c>
      <c r="O128" s="1" t="e">
        <f t="shared" si="35"/>
        <v>#N/A</v>
      </c>
      <c r="P128" s="1" t="e">
        <f t="shared" si="36"/>
        <v>#N/A</v>
      </c>
      <c r="Q128" s="1" t="e">
        <f t="shared" si="37"/>
        <v>#N/A</v>
      </c>
      <c r="R128" s="1" t="e">
        <f t="shared" si="38"/>
        <v>#N/A</v>
      </c>
      <c r="S128" s="1" t="e">
        <f t="shared" si="39"/>
        <v>#N/A</v>
      </c>
      <c r="T128" s="1" t="e">
        <f t="shared" si="40"/>
        <v>#N/A</v>
      </c>
      <c r="U128" s="1" t="e">
        <f t="shared" si="41"/>
        <v>#N/A</v>
      </c>
      <c r="V128" s="1" t="e">
        <f t="shared" si="42"/>
        <v>#N/A</v>
      </c>
      <c r="W128" s="1" t="e">
        <f t="shared" si="43"/>
        <v>#N/A</v>
      </c>
      <c r="X128" s="1" t="e">
        <f t="shared" si="44"/>
        <v>#N/A</v>
      </c>
      <c r="Y128" s="1" t="e">
        <f t="shared" si="45"/>
        <v>#N/A</v>
      </c>
      <c r="Z128" s="1" t="e">
        <f t="shared" si="46"/>
        <v>#N/A</v>
      </c>
      <c r="AA128" s="1" t="e">
        <f t="shared" si="47"/>
        <v>#N/A</v>
      </c>
      <c r="AB128" s="1" t="e">
        <f t="shared" si="48"/>
        <v>#N/A</v>
      </c>
      <c r="AC128" s="1" t="e">
        <f t="shared" si="49"/>
        <v>#N/A</v>
      </c>
      <c r="AD128" s="1" t="e">
        <f t="shared" si="50"/>
        <v>#N/A</v>
      </c>
      <c r="AE128" s="1" t="e">
        <f t="shared" si="51"/>
        <v>#N/A</v>
      </c>
      <c r="AF128" s="1" t="e">
        <f t="shared" si="52"/>
        <v>#N/A</v>
      </c>
    </row>
    <row r="129" spans="2:32" hidden="1" x14ac:dyDescent="0.25">
      <c r="B129" s="5" t="str">
        <f t="shared" si="22"/>
        <v>X</v>
      </c>
      <c r="C129" s="1">
        <f t="shared" si="23"/>
        <v>3600</v>
      </c>
      <c r="D129" s="1">
        <f t="shared" si="24"/>
        <v>5000</v>
      </c>
      <c r="E129" s="1">
        <f t="shared" si="25"/>
        <v>8500</v>
      </c>
      <c r="F129" s="1">
        <f t="shared" si="26"/>
        <v>10500</v>
      </c>
      <c r="G129" s="1">
        <f t="shared" si="27"/>
        <v>12500</v>
      </c>
      <c r="H129" s="1" t="e">
        <f t="shared" si="28"/>
        <v>#N/A</v>
      </c>
      <c r="I129" s="1" t="e">
        <f t="shared" si="29"/>
        <v>#N/A</v>
      </c>
      <c r="J129" s="1" t="e">
        <f t="shared" si="30"/>
        <v>#N/A</v>
      </c>
      <c r="K129" s="1" t="e">
        <f t="shared" si="31"/>
        <v>#N/A</v>
      </c>
      <c r="L129" s="1" t="e">
        <f t="shared" si="32"/>
        <v>#N/A</v>
      </c>
      <c r="M129" s="1" t="e">
        <f t="shared" si="33"/>
        <v>#N/A</v>
      </c>
      <c r="N129" s="1" t="e">
        <f t="shared" si="34"/>
        <v>#N/A</v>
      </c>
      <c r="O129" s="1" t="e">
        <f t="shared" si="35"/>
        <v>#N/A</v>
      </c>
      <c r="P129" s="1" t="e">
        <f t="shared" si="36"/>
        <v>#N/A</v>
      </c>
      <c r="Q129" s="1" t="e">
        <f t="shared" si="37"/>
        <v>#N/A</v>
      </c>
      <c r="R129" s="1" t="e">
        <f t="shared" si="38"/>
        <v>#N/A</v>
      </c>
      <c r="S129" s="1" t="e">
        <f t="shared" si="39"/>
        <v>#N/A</v>
      </c>
      <c r="T129" s="1" t="e">
        <f t="shared" si="40"/>
        <v>#N/A</v>
      </c>
      <c r="U129" s="1" t="e">
        <f t="shared" si="41"/>
        <v>#N/A</v>
      </c>
      <c r="V129" s="1" t="e">
        <f t="shared" si="42"/>
        <v>#N/A</v>
      </c>
      <c r="W129" s="1" t="e">
        <f t="shared" si="43"/>
        <v>#N/A</v>
      </c>
      <c r="X129" s="1" t="e">
        <f t="shared" si="44"/>
        <v>#N/A</v>
      </c>
      <c r="Y129" s="1" t="e">
        <f t="shared" si="45"/>
        <v>#N/A</v>
      </c>
      <c r="Z129" s="1" t="e">
        <f t="shared" si="46"/>
        <v>#N/A</v>
      </c>
      <c r="AA129" s="1" t="e">
        <f t="shared" si="47"/>
        <v>#N/A</v>
      </c>
      <c r="AB129" s="1" t="e">
        <f t="shared" si="48"/>
        <v>#N/A</v>
      </c>
      <c r="AC129" s="1" t="e">
        <f t="shared" si="49"/>
        <v>#N/A</v>
      </c>
      <c r="AD129" s="1" t="e">
        <f t="shared" si="50"/>
        <v>#N/A</v>
      </c>
      <c r="AE129" s="1" t="e">
        <f t="shared" si="51"/>
        <v>#N/A</v>
      </c>
      <c r="AF129" s="1" t="e">
        <f t="shared" si="52"/>
        <v>#N/A</v>
      </c>
    </row>
    <row r="130" spans="2:32" hidden="1" x14ac:dyDescent="0.25">
      <c r="B130" s="5" t="str">
        <f t="shared" si="22"/>
        <v>X</v>
      </c>
      <c r="C130" s="1">
        <f t="shared" si="23"/>
        <v>3600</v>
      </c>
      <c r="D130" s="1">
        <f t="shared" si="24"/>
        <v>5000</v>
      </c>
      <c r="E130" s="1">
        <f t="shared" si="25"/>
        <v>8500</v>
      </c>
      <c r="F130" s="1">
        <f t="shared" si="26"/>
        <v>10500</v>
      </c>
      <c r="G130" s="1">
        <f t="shared" si="27"/>
        <v>12500</v>
      </c>
      <c r="H130" s="1" t="e">
        <f t="shared" si="28"/>
        <v>#N/A</v>
      </c>
      <c r="I130" s="1" t="e">
        <f t="shared" si="29"/>
        <v>#N/A</v>
      </c>
      <c r="J130" s="1" t="e">
        <f t="shared" si="30"/>
        <v>#N/A</v>
      </c>
      <c r="K130" s="1" t="e">
        <f t="shared" si="31"/>
        <v>#N/A</v>
      </c>
      <c r="L130" s="1" t="e">
        <f t="shared" si="32"/>
        <v>#N/A</v>
      </c>
      <c r="M130" s="1" t="e">
        <f t="shared" si="33"/>
        <v>#N/A</v>
      </c>
      <c r="N130" s="1" t="e">
        <f t="shared" si="34"/>
        <v>#N/A</v>
      </c>
      <c r="O130" s="1" t="e">
        <f t="shared" si="35"/>
        <v>#N/A</v>
      </c>
      <c r="P130" s="1" t="e">
        <f t="shared" si="36"/>
        <v>#N/A</v>
      </c>
      <c r="Q130" s="1" t="e">
        <f t="shared" si="37"/>
        <v>#N/A</v>
      </c>
      <c r="R130" s="1" t="e">
        <f t="shared" si="38"/>
        <v>#N/A</v>
      </c>
      <c r="S130" s="1" t="e">
        <f t="shared" si="39"/>
        <v>#N/A</v>
      </c>
      <c r="T130" s="1" t="e">
        <f t="shared" si="40"/>
        <v>#N/A</v>
      </c>
      <c r="U130" s="1" t="e">
        <f t="shared" si="41"/>
        <v>#N/A</v>
      </c>
      <c r="V130" s="1" t="e">
        <f t="shared" si="42"/>
        <v>#N/A</v>
      </c>
      <c r="W130" s="1" t="e">
        <f t="shared" si="43"/>
        <v>#N/A</v>
      </c>
      <c r="X130" s="1" t="e">
        <f t="shared" si="44"/>
        <v>#N/A</v>
      </c>
      <c r="Y130" s="1" t="e">
        <f t="shared" si="45"/>
        <v>#N/A</v>
      </c>
      <c r="Z130" s="1" t="e">
        <f t="shared" si="46"/>
        <v>#N/A</v>
      </c>
      <c r="AA130" s="1" t="e">
        <f t="shared" si="47"/>
        <v>#N/A</v>
      </c>
      <c r="AB130" s="1" t="e">
        <f t="shared" si="48"/>
        <v>#N/A</v>
      </c>
      <c r="AC130" s="1" t="e">
        <f t="shared" si="49"/>
        <v>#N/A</v>
      </c>
      <c r="AD130" s="1" t="e">
        <f t="shared" si="50"/>
        <v>#N/A</v>
      </c>
      <c r="AE130" s="1" t="e">
        <f t="shared" si="51"/>
        <v>#N/A</v>
      </c>
      <c r="AF130" s="1" t="e">
        <f t="shared" si="52"/>
        <v>#N/A</v>
      </c>
    </row>
    <row r="131" spans="2:32" hidden="1" x14ac:dyDescent="0.25">
      <c r="B131" s="5" t="str">
        <f t="shared" si="22"/>
        <v>X</v>
      </c>
      <c r="C131" s="1">
        <f t="shared" si="23"/>
        <v>3600</v>
      </c>
      <c r="D131" s="1">
        <f t="shared" si="24"/>
        <v>5000</v>
      </c>
      <c r="E131" s="1">
        <f t="shared" si="25"/>
        <v>8500</v>
      </c>
      <c r="F131" s="1">
        <f t="shared" si="26"/>
        <v>10500</v>
      </c>
      <c r="G131" s="1">
        <f t="shared" si="27"/>
        <v>12500</v>
      </c>
      <c r="H131" s="1" t="e">
        <f t="shared" si="28"/>
        <v>#N/A</v>
      </c>
      <c r="I131" s="1" t="e">
        <f t="shared" si="29"/>
        <v>#N/A</v>
      </c>
      <c r="J131" s="1" t="e">
        <f t="shared" si="30"/>
        <v>#N/A</v>
      </c>
      <c r="K131" s="1" t="e">
        <f t="shared" si="31"/>
        <v>#N/A</v>
      </c>
      <c r="L131" s="1" t="e">
        <f t="shared" si="32"/>
        <v>#N/A</v>
      </c>
      <c r="M131" s="1" t="e">
        <f t="shared" si="33"/>
        <v>#N/A</v>
      </c>
      <c r="N131" s="1" t="e">
        <f t="shared" si="34"/>
        <v>#N/A</v>
      </c>
      <c r="O131" s="1" t="e">
        <f t="shared" si="35"/>
        <v>#N/A</v>
      </c>
      <c r="P131" s="1" t="e">
        <f t="shared" si="36"/>
        <v>#N/A</v>
      </c>
      <c r="Q131" s="1" t="e">
        <f t="shared" si="37"/>
        <v>#N/A</v>
      </c>
      <c r="R131" s="1" t="e">
        <f t="shared" si="38"/>
        <v>#N/A</v>
      </c>
      <c r="S131" s="1" t="e">
        <f t="shared" si="39"/>
        <v>#N/A</v>
      </c>
      <c r="T131" s="1" t="e">
        <f t="shared" si="40"/>
        <v>#N/A</v>
      </c>
      <c r="U131" s="1" t="e">
        <f t="shared" si="41"/>
        <v>#N/A</v>
      </c>
      <c r="V131" s="1" t="e">
        <f t="shared" si="42"/>
        <v>#N/A</v>
      </c>
      <c r="W131" s="1" t="e">
        <f t="shared" si="43"/>
        <v>#N/A</v>
      </c>
      <c r="X131" s="1" t="e">
        <f t="shared" si="44"/>
        <v>#N/A</v>
      </c>
      <c r="Y131" s="1" t="e">
        <f t="shared" si="45"/>
        <v>#N/A</v>
      </c>
      <c r="Z131" s="1" t="e">
        <f t="shared" si="46"/>
        <v>#N/A</v>
      </c>
      <c r="AA131" s="1" t="e">
        <f t="shared" si="47"/>
        <v>#N/A</v>
      </c>
      <c r="AB131" s="1" t="e">
        <f t="shared" si="48"/>
        <v>#N/A</v>
      </c>
      <c r="AC131" s="1" t="e">
        <f t="shared" si="49"/>
        <v>#N/A</v>
      </c>
      <c r="AD131" s="1" t="e">
        <f t="shared" si="50"/>
        <v>#N/A</v>
      </c>
      <c r="AE131" s="1" t="e">
        <f t="shared" si="51"/>
        <v>#N/A</v>
      </c>
      <c r="AF131" s="1" t="e">
        <f t="shared" si="52"/>
        <v>#N/A</v>
      </c>
    </row>
    <row r="132" spans="2:32" hidden="1" x14ac:dyDescent="0.25">
      <c r="B132" s="5" t="str">
        <f t="shared" si="22"/>
        <v>X</v>
      </c>
      <c r="C132" s="1">
        <f t="shared" si="23"/>
        <v>3600</v>
      </c>
      <c r="D132" s="1">
        <f t="shared" si="24"/>
        <v>5000</v>
      </c>
      <c r="E132" s="1">
        <f t="shared" si="25"/>
        <v>8500</v>
      </c>
      <c r="F132" s="1">
        <f t="shared" si="26"/>
        <v>10500</v>
      </c>
      <c r="G132" s="1">
        <f t="shared" si="27"/>
        <v>12500</v>
      </c>
      <c r="H132" s="1" t="e">
        <f t="shared" si="28"/>
        <v>#N/A</v>
      </c>
      <c r="I132" s="1" t="e">
        <f t="shared" si="29"/>
        <v>#N/A</v>
      </c>
      <c r="J132" s="1" t="e">
        <f t="shared" si="30"/>
        <v>#N/A</v>
      </c>
      <c r="K132" s="1" t="e">
        <f t="shared" si="31"/>
        <v>#N/A</v>
      </c>
      <c r="L132" s="1" t="e">
        <f t="shared" si="32"/>
        <v>#N/A</v>
      </c>
      <c r="M132" s="1" t="e">
        <f t="shared" si="33"/>
        <v>#N/A</v>
      </c>
      <c r="N132" s="1" t="e">
        <f t="shared" si="34"/>
        <v>#N/A</v>
      </c>
      <c r="O132" s="1" t="e">
        <f t="shared" si="35"/>
        <v>#N/A</v>
      </c>
      <c r="P132" s="1" t="e">
        <f t="shared" si="36"/>
        <v>#N/A</v>
      </c>
      <c r="Q132" s="1" t="e">
        <f t="shared" si="37"/>
        <v>#N/A</v>
      </c>
      <c r="R132" s="1" t="e">
        <f t="shared" si="38"/>
        <v>#N/A</v>
      </c>
      <c r="S132" s="1" t="e">
        <f t="shared" si="39"/>
        <v>#N/A</v>
      </c>
      <c r="T132" s="1" t="e">
        <f t="shared" si="40"/>
        <v>#N/A</v>
      </c>
      <c r="U132" s="1" t="e">
        <f t="shared" si="41"/>
        <v>#N/A</v>
      </c>
      <c r="V132" s="1" t="e">
        <f t="shared" si="42"/>
        <v>#N/A</v>
      </c>
      <c r="W132" s="1" t="e">
        <f t="shared" si="43"/>
        <v>#N/A</v>
      </c>
      <c r="X132" s="1" t="e">
        <f t="shared" si="44"/>
        <v>#N/A</v>
      </c>
      <c r="Y132" s="1" t="e">
        <f t="shared" si="45"/>
        <v>#N/A</v>
      </c>
      <c r="Z132" s="1" t="e">
        <f t="shared" si="46"/>
        <v>#N/A</v>
      </c>
      <c r="AA132" s="1" t="e">
        <f t="shared" si="47"/>
        <v>#N/A</v>
      </c>
      <c r="AB132" s="1" t="e">
        <f t="shared" si="48"/>
        <v>#N/A</v>
      </c>
      <c r="AC132" s="1" t="e">
        <f t="shared" si="49"/>
        <v>#N/A</v>
      </c>
      <c r="AD132" s="1" t="e">
        <f t="shared" si="50"/>
        <v>#N/A</v>
      </c>
      <c r="AE132" s="1" t="e">
        <f t="shared" si="51"/>
        <v>#N/A</v>
      </c>
      <c r="AF132" s="1" t="e">
        <f t="shared" si="52"/>
        <v>#N/A</v>
      </c>
    </row>
    <row r="133" spans="2:32" hidden="1" x14ac:dyDescent="0.25">
      <c r="B133" s="5" t="str">
        <f t="shared" si="22"/>
        <v>X</v>
      </c>
      <c r="C133" s="1">
        <f t="shared" si="23"/>
        <v>3600</v>
      </c>
      <c r="D133" s="1">
        <f t="shared" si="24"/>
        <v>5000</v>
      </c>
      <c r="E133" s="1">
        <f t="shared" si="25"/>
        <v>8500</v>
      </c>
      <c r="F133" s="1">
        <f t="shared" si="26"/>
        <v>10500</v>
      </c>
      <c r="G133" s="1">
        <f t="shared" si="27"/>
        <v>12500</v>
      </c>
      <c r="H133" s="1" t="e">
        <f t="shared" si="28"/>
        <v>#N/A</v>
      </c>
      <c r="I133" s="1" t="e">
        <f t="shared" si="29"/>
        <v>#N/A</v>
      </c>
      <c r="J133" s="1" t="e">
        <f t="shared" si="30"/>
        <v>#N/A</v>
      </c>
      <c r="K133" s="1" t="e">
        <f t="shared" si="31"/>
        <v>#N/A</v>
      </c>
      <c r="L133" s="1" t="e">
        <f t="shared" si="32"/>
        <v>#N/A</v>
      </c>
      <c r="M133" s="1" t="e">
        <f t="shared" si="33"/>
        <v>#N/A</v>
      </c>
      <c r="N133" s="1" t="e">
        <f t="shared" si="34"/>
        <v>#N/A</v>
      </c>
      <c r="O133" s="1" t="e">
        <f t="shared" si="35"/>
        <v>#N/A</v>
      </c>
      <c r="P133" s="1" t="e">
        <f t="shared" si="36"/>
        <v>#N/A</v>
      </c>
      <c r="Q133" s="1" t="e">
        <f t="shared" si="37"/>
        <v>#N/A</v>
      </c>
      <c r="R133" s="1" t="e">
        <f t="shared" si="38"/>
        <v>#N/A</v>
      </c>
      <c r="S133" s="1" t="e">
        <f t="shared" si="39"/>
        <v>#N/A</v>
      </c>
      <c r="T133" s="1" t="e">
        <f t="shared" si="40"/>
        <v>#N/A</v>
      </c>
      <c r="U133" s="1" t="e">
        <f t="shared" si="41"/>
        <v>#N/A</v>
      </c>
      <c r="V133" s="1" t="e">
        <f t="shared" si="42"/>
        <v>#N/A</v>
      </c>
      <c r="W133" s="1" t="e">
        <f t="shared" si="43"/>
        <v>#N/A</v>
      </c>
      <c r="X133" s="1" t="e">
        <f t="shared" si="44"/>
        <v>#N/A</v>
      </c>
      <c r="Y133" s="1" t="e">
        <f t="shared" si="45"/>
        <v>#N/A</v>
      </c>
      <c r="Z133" s="1" t="e">
        <f t="shared" si="46"/>
        <v>#N/A</v>
      </c>
      <c r="AA133" s="1" t="e">
        <f t="shared" si="47"/>
        <v>#N/A</v>
      </c>
      <c r="AB133" s="1" t="e">
        <f t="shared" si="48"/>
        <v>#N/A</v>
      </c>
      <c r="AC133" s="1" t="e">
        <f t="shared" si="49"/>
        <v>#N/A</v>
      </c>
      <c r="AD133" s="1" t="e">
        <f t="shared" si="50"/>
        <v>#N/A</v>
      </c>
      <c r="AE133" s="1" t="e">
        <f t="shared" si="51"/>
        <v>#N/A</v>
      </c>
      <c r="AF133" s="1" t="e">
        <f t="shared" si="52"/>
        <v>#N/A</v>
      </c>
    </row>
    <row r="134" spans="2:32" hidden="1" x14ac:dyDescent="0.25">
      <c r="B134" s="5" t="str">
        <f t="shared" si="22"/>
        <v>X</v>
      </c>
      <c r="C134" s="1">
        <f t="shared" si="23"/>
        <v>3600</v>
      </c>
      <c r="D134" s="1">
        <f t="shared" si="24"/>
        <v>5000</v>
      </c>
      <c r="E134" s="1">
        <f t="shared" si="25"/>
        <v>8500</v>
      </c>
      <c r="F134" s="1">
        <f t="shared" si="26"/>
        <v>10500</v>
      </c>
      <c r="G134" s="1">
        <f t="shared" si="27"/>
        <v>12500</v>
      </c>
      <c r="H134" s="1" t="e">
        <f t="shared" si="28"/>
        <v>#N/A</v>
      </c>
      <c r="I134" s="1" t="e">
        <f t="shared" si="29"/>
        <v>#N/A</v>
      </c>
      <c r="J134" s="1" t="e">
        <f t="shared" si="30"/>
        <v>#N/A</v>
      </c>
      <c r="K134" s="1" t="e">
        <f t="shared" si="31"/>
        <v>#N/A</v>
      </c>
      <c r="L134" s="1" t="e">
        <f t="shared" si="32"/>
        <v>#N/A</v>
      </c>
      <c r="M134" s="1" t="e">
        <f t="shared" si="33"/>
        <v>#N/A</v>
      </c>
      <c r="N134" s="1" t="e">
        <f t="shared" si="34"/>
        <v>#N/A</v>
      </c>
      <c r="O134" s="1" t="e">
        <f t="shared" si="35"/>
        <v>#N/A</v>
      </c>
      <c r="P134" s="1" t="e">
        <f t="shared" si="36"/>
        <v>#N/A</v>
      </c>
      <c r="Q134" s="1" t="e">
        <f t="shared" si="37"/>
        <v>#N/A</v>
      </c>
      <c r="R134" s="1" t="e">
        <f t="shared" si="38"/>
        <v>#N/A</v>
      </c>
      <c r="S134" s="1" t="e">
        <f t="shared" si="39"/>
        <v>#N/A</v>
      </c>
      <c r="T134" s="1" t="e">
        <f t="shared" si="40"/>
        <v>#N/A</v>
      </c>
      <c r="U134" s="1" t="e">
        <f t="shared" si="41"/>
        <v>#N/A</v>
      </c>
      <c r="V134" s="1" t="e">
        <f t="shared" si="42"/>
        <v>#N/A</v>
      </c>
      <c r="W134" s="1" t="e">
        <f t="shared" si="43"/>
        <v>#N/A</v>
      </c>
      <c r="X134" s="1" t="e">
        <f t="shared" si="44"/>
        <v>#N/A</v>
      </c>
      <c r="Y134" s="1" t="e">
        <f t="shared" si="45"/>
        <v>#N/A</v>
      </c>
      <c r="Z134" s="1" t="e">
        <f t="shared" si="46"/>
        <v>#N/A</v>
      </c>
      <c r="AA134" s="1" t="e">
        <f t="shared" si="47"/>
        <v>#N/A</v>
      </c>
      <c r="AB134" s="1" t="e">
        <f t="shared" si="48"/>
        <v>#N/A</v>
      </c>
      <c r="AC134" s="1" t="e">
        <f t="shared" si="49"/>
        <v>#N/A</v>
      </c>
      <c r="AD134" s="1" t="e">
        <f t="shared" si="50"/>
        <v>#N/A</v>
      </c>
      <c r="AE134" s="1" t="e">
        <f t="shared" si="51"/>
        <v>#N/A</v>
      </c>
      <c r="AF134" s="1" t="e">
        <f t="shared" si="52"/>
        <v>#N/A</v>
      </c>
    </row>
    <row r="135" spans="2:32" hidden="1" x14ac:dyDescent="0.25">
      <c r="B135" s="5"/>
    </row>
    <row r="136" spans="2:32" hidden="1" x14ac:dyDescent="0.25">
      <c r="B136" s="10" t="s">
        <v>103</v>
      </c>
    </row>
    <row r="137" spans="2:32" hidden="1" x14ac:dyDescent="0.25">
      <c r="C137" s="5" t="str">
        <f>$B$19</f>
        <v>fn_1</v>
      </c>
      <c r="D137" s="5" t="str">
        <f>$B$20</f>
        <v>fn_2</v>
      </c>
      <c r="E137" s="5" t="str">
        <f>$B$21</f>
        <v>fn_3</v>
      </c>
      <c r="F137" s="5" t="str">
        <f>$B$22</f>
        <v>fn_4</v>
      </c>
      <c r="G137" s="5" t="str">
        <f>$B$23</f>
        <v>fn_5</v>
      </c>
      <c r="H137" s="5" t="str">
        <f>$B$24</f>
        <v>fn_6</v>
      </c>
      <c r="I137" s="5" t="str">
        <f>$B$25</f>
        <v>fn_7</v>
      </c>
      <c r="J137" s="5" t="str">
        <f>$B$26</f>
        <v>fn_8</v>
      </c>
      <c r="K137" s="5" t="str">
        <f>$B$27</f>
        <v>fn_9</v>
      </c>
      <c r="L137" s="5" t="str">
        <f>$B$28</f>
        <v>fn_10</v>
      </c>
      <c r="M137" s="5" t="str">
        <f>$B$29</f>
        <v>fn_11</v>
      </c>
      <c r="N137" s="5" t="str">
        <f>$B$30</f>
        <v>fn_12</v>
      </c>
      <c r="O137" s="5" t="str">
        <f>$B$31</f>
        <v>fn_13</v>
      </c>
      <c r="P137" s="5" t="str">
        <f>$B$32</f>
        <v>fn_14</v>
      </c>
      <c r="Q137" s="5" t="str">
        <f>$B$33</f>
        <v>fn_15</v>
      </c>
      <c r="R137" s="5" t="str">
        <f>$B$34</f>
        <v>fn_16</v>
      </c>
      <c r="S137" s="5" t="str">
        <f>$B$35</f>
        <v>fn_17</v>
      </c>
      <c r="T137" s="5" t="str">
        <f>$B$36</f>
        <v>fn_18</v>
      </c>
      <c r="U137" s="5" t="str">
        <f>$B$37</f>
        <v>fn_19</v>
      </c>
      <c r="V137" s="5" t="str">
        <f>$B$38</f>
        <v>fn_20</v>
      </c>
      <c r="W137" s="5" t="str">
        <f>$B$39</f>
        <v>fn_21</v>
      </c>
      <c r="X137" s="5" t="str">
        <f>$B$40</f>
        <v>fn_22</v>
      </c>
      <c r="Y137" s="5" t="str">
        <f>$B$41</f>
        <v>fn_23</v>
      </c>
      <c r="Z137" s="5" t="str">
        <f>$B$42</f>
        <v>fn_24</v>
      </c>
      <c r="AA137" s="5" t="str">
        <f>$B$43</f>
        <v>fn_25</v>
      </c>
      <c r="AB137" s="5" t="str">
        <f>$B$44</f>
        <v>fn_26</v>
      </c>
      <c r="AC137" s="5" t="str">
        <f>$B$45</f>
        <v>fn_27</v>
      </c>
      <c r="AD137" s="5" t="str">
        <f>$B$46</f>
        <v>fn_28</v>
      </c>
      <c r="AE137" s="5" t="str">
        <f>$B$47</f>
        <v>fn_29</v>
      </c>
      <c r="AF137" s="5" t="str">
        <f>$B$48</f>
        <v>fn_30</v>
      </c>
    </row>
    <row r="138" spans="2:32" hidden="1" x14ac:dyDescent="0.25">
      <c r="B138" s="5" t="str">
        <f t="shared" ref="B138:B167" si="53">$M19</f>
        <v>1X</v>
      </c>
      <c r="C138" s="1">
        <f t="shared" ref="C138:C167" si="54">IF($J$19/$N19&gt;$K$15,#N/A,$J$19/$N19)</f>
        <v>3600</v>
      </c>
      <c r="D138" s="1">
        <f t="shared" ref="D138:D167" si="55">IF($J$20/$N19&gt;$K$15,#N/A,$J$20/$N19)</f>
        <v>5000</v>
      </c>
      <c r="E138" s="1" t="e">
        <f t="shared" ref="E138:E167" si="56">IF($J$21/$N19&gt;$K$15,#N/A,$J$21/$N19)</f>
        <v>#N/A</v>
      </c>
      <c r="F138" s="1" t="e">
        <f t="shared" ref="F138:F167" si="57">IF($J$22/$N19&gt;$K$15,#N/A,$J$22/$N19)</f>
        <v>#N/A</v>
      </c>
      <c r="G138" s="1" t="e">
        <f t="shared" ref="G138:G167" si="58">IF($J$23/$N19&gt;$K$15,#N/A,$J$23/$N19)</f>
        <v>#N/A</v>
      </c>
      <c r="H138" s="1" t="e">
        <f t="shared" ref="H138:H167" si="59">IF($J$24/$N19&gt;$K$15,#N/A,$J$24/$N19)</f>
        <v>#N/A</v>
      </c>
      <c r="I138" s="1" t="e">
        <f t="shared" ref="I138:I167" si="60">IF($J$25/$N19&gt;$K$15,#N/A,$J$25/$N19)</f>
        <v>#N/A</v>
      </c>
      <c r="J138" s="1" t="e">
        <f t="shared" ref="J138:J167" si="61">IF($J$26/$N19&gt;$K$15,#N/A,$J$26/$N19)</f>
        <v>#N/A</v>
      </c>
      <c r="K138" s="1" t="e">
        <f t="shared" ref="K138:K167" si="62">IF($J$27/$N19&gt;$K$15,#N/A,$J$27/$N19)</f>
        <v>#N/A</v>
      </c>
      <c r="L138" s="1" t="e">
        <f t="shared" ref="L138:L167" si="63">IF($J$28/$N19&gt;$K$15,#N/A,$J$28/$N19)</f>
        <v>#N/A</v>
      </c>
      <c r="M138" s="1" t="e">
        <f t="shared" ref="M138:M167" si="64">IF($J$29/$N19&gt;$K$15,#N/A,$J$29/$N19)</f>
        <v>#N/A</v>
      </c>
      <c r="N138" s="1" t="e">
        <f t="shared" ref="N138:N167" si="65">IF($J$30/$N19&gt;$K$15,#N/A,$J$30/$N19)</f>
        <v>#N/A</v>
      </c>
      <c r="O138" s="1" t="e">
        <f t="shared" ref="O138:O167" si="66">IF($J$31/$N19&gt;$K$15,#N/A,$J$31/$N19)</f>
        <v>#N/A</v>
      </c>
      <c r="P138" s="1" t="e">
        <f t="shared" ref="P138:P167" si="67">IF($J$32/$N19&gt;$K$15,#N/A,$J$32/$N19)</f>
        <v>#N/A</v>
      </c>
      <c r="Q138" s="1" t="e">
        <f t="shared" ref="Q138:Q167" si="68">IF($J$33/$N19&gt;$K$15,#N/A,$J$33/$N19)</f>
        <v>#N/A</v>
      </c>
      <c r="R138" s="1" t="e">
        <f t="shared" ref="R138:R167" si="69">IF($J$34/$N19&gt;$K$15,#N/A,$J$34/$N19)</f>
        <v>#N/A</v>
      </c>
      <c r="S138" s="1" t="e">
        <f t="shared" ref="S138:S167" si="70">IF($J$35/$N19&gt;$K$15,#N/A,$J$35/$N19)</f>
        <v>#N/A</v>
      </c>
      <c r="T138" s="1" t="e">
        <f t="shared" ref="T138:T167" si="71">IF($J$36/$N19&gt;$K$15,#N/A,$J$36/$N19)</f>
        <v>#N/A</v>
      </c>
      <c r="U138" s="1" t="e">
        <f t="shared" ref="U138:U167" si="72">IF($J$37/$N19&gt;$K$15,#N/A,$J$37/$N19)</f>
        <v>#N/A</v>
      </c>
      <c r="V138" s="1" t="e">
        <f t="shared" ref="V138:V167" si="73">IF($J$38/$N19&gt;$K$15,#N/A,$J$38/$N19)</f>
        <v>#N/A</v>
      </c>
      <c r="W138" s="1" t="e">
        <f t="shared" ref="W138:W167" si="74">IF($J$39/$N19&gt;$K$15,#N/A,$J$39/$N19)</f>
        <v>#N/A</v>
      </c>
      <c r="X138" s="1" t="e">
        <f t="shared" ref="X138:X167" si="75">IF($J$40/$N19&gt;$K$15,#N/A,$J$40/$N19)</f>
        <v>#N/A</v>
      </c>
      <c r="Y138" s="1" t="e">
        <f t="shared" ref="Y138:Y167" si="76">IF($J$41/$N19&gt;$K$15,#N/A,$J$41/$N19)</f>
        <v>#N/A</v>
      </c>
      <c r="Z138" s="1" t="e">
        <f t="shared" ref="Z138:Z167" si="77">IF($J$42/$N19&gt;$K$15,#N/A,$J$42/$N19)</f>
        <v>#N/A</v>
      </c>
      <c r="AA138" s="1" t="e">
        <f t="shared" ref="AA138:AA167" si="78">IF($J$43/$N19&gt;$K$15,#N/A,$J$43/$N19)</f>
        <v>#N/A</v>
      </c>
      <c r="AB138" s="1" t="e">
        <f t="shared" ref="AB138:AB167" si="79">IF($J$44/$N19&gt;$K$15,#N/A,$J$44/$N19)</f>
        <v>#N/A</v>
      </c>
      <c r="AC138" s="1" t="e">
        <f t="shared" ref="AC138:AC167" si="80">IF($J$45/$N19&gt;$K$15,#N/A,$J$45/$N19)</f>
        <v>#N/A</v>
      </c>
      <c r="AD138" s="1" t="e">
        <f t="shared" ref="AD138:AD167" si="81">IF($J$46/$N19&gt;$K$15,#N/A,$J$46/$N19)</f>
        <v>#N/A</v>
      </c>
      <c r="AE138" s="1" t="e">
        <f t="shared" ref="AE138:AE167" si="82">IF($J$47/$N19&gt;$K$15,#N/A,$J$47/$N19)</f>
        <v>#N/A</v>
      </c>
      <c r="AF138" s="1" t="e">
        <f t="shared" ref="AF138:AF167" si="83">IF($J$48/$N19&gt;$K$15,#N/A,$J$48/$N19)</f>
        <v>#N/A</v>
      </c>
    </row>
    <row r="139" spans="2:32" hidden="1" x14ac:dyDescent="0.25">
      <c r="B139" s="5" t="str">
        <f t="shared" si="53"/>
        <v>2X</v>
      </c>
      <c r="C139" s="1">
        <f t="shared" si="54"/>
        <v>1800</v>
      </c>
      <c r="D139" s="1">
        <f t="shared" si="55"/>
        <v>2500</v>
      </c>
      <c r="E139" s="1">
        <f t="shared" si="56"/>
        <v>4250</v>
      </c>
      <c r="F139" s="1">
        <f t="shared" si="57"/>
        <v>5250</v>
      </c>
      <c r="G139" s="1" t="e">
        <f t="shared" si="58"/>
        <v>#N/A</v>
      </c>
      <c r="H139" s="1" t="e">
        <f t="shared" si="59"/>
        <v>#N/A</v>
      </c>
      <c r="I139" s="1" t="e">
        <f t="shared" si="60"/>
        <v>#N/A</v>
      </c>
      <c r="J139" s="1" t="e">
        <f t="shared" si="61"/>
        <v>#N/A</v>
      </c>
      <c r="K139" s="1" t="e">
        <f t="shared" si="62"/>
        <v>#N/A</v>
      </c>
      <c r="L139" s="1" t="e">
        <f t="shared" si="63"/>
        <v>#N/A</v>
      </c>
      <c r="M139" s="1" t="e">
        <f t="shared" si="64"/>
        <v>#N/A</v>
      </c>
      <c r="N139" s="1" t="e">
        <f t="shared" si="65"/>
        <v>#N/A</v>
      </c>
      <c r="O139" s="1" t="e">
        <f t="shared" si="66"/>
        <v>#N/A</v>
      </c>
      <c r="P139" s="1" t="e">
        <f t="shared" si="67"/>
        <v>#N/A</v>
      </c>
      <c r="Q139" s="1" t="e">
        <f t="shared" si="68"/>
        <v>#N/A</v>
      </c>
      <c r="R139" s="1" t="e">
        <f t="shared" si="69"/>
        <v>#N/A</v>
      </c>
      <c r="S139" s="1" t="e">
        <f t="shared" si="70"/>
        <v>#N/A</v>
      </c>
      <c r="T139" s="1" t="e">
        <f t="shared" si="71"/>
        <v>#N/A</v>
      </c>
      <c r="U139" s="1" t="e">
        <f t="shared" si="72"/>
        <v>#N/A</v>
      </c>
      <c r="V139" s="1" t="e">
        <f t="shared" si="73"/>
        <v>#N/A</v>
      </c>
      <c r="W139" s="1" t="e">
        <f t="shared" si="74"/>
        <v>#N/A</v>
      </c>
      <c r="X139" s="1" t="e">
        <f t="shared" si="75"/>
        <v>#N/A</v>
      </c>
      <c r="Y139" s="1" t="e">
        <f t="shared" si="76"/>
        <v>#N/A</v>
      </c>
      <c r="Z139" s="1" t="e">
        <f t="shared" si="77"/>
        <v>#N/A</v>
      </c>
      <c r="AA139" s="1" t="e">
        <f t="shared" si="78"/>
        <v>#N/A</v>
      </c>
      <c r="AB139" s="1" t="e">
        <f t="shared" si="79"/>
        <v>#N/A</v>
      </c>
      <c r="AC139" s="1" t="e">
        <f t="shared" si="80"/>
        <v>#N/A</v>
      </c>
      <c r="AD139" s="1" t="e">
        <f t="shared" si="81"/>
        <v>#N/A</v>
      </c>
      <c r="AE139" s="1" t="e">
        <f t="shared" si="82"/>
        <v>#N/A</v>
      </c>
      <c r="AF139" s="1" t="e">
        <f t="shared" si="83"/>
        <v>#N/A</v>
      </c>
    </row>
    <row r="140" spans="2:32" hidden="1" x14ac:dyDescent="0.25">
      <c r="B140" s="5" t="str">
        <f t="shared" si="53"/>
        <v>5X</v>
      </c>
      <c r="C140" s="1">
        <f t="shared" si="54"/>
        <v>720</v>
      </c>
      <c r="D140" s="1">
        <f t="shared" si="55"/>
        <v>1000</v>
      </c>
      <c r="E140" s="1">
        <f t="shared" si="56"/>
        <v>1700</v>
      </c>
      <c r="F140" s="1">
        <f t="shared" si="57"/>
        <v>2100</v>
      </c>
      <c r="G140" s="1">
        <f t="shared" si="58"/>
        <v>2500</v>
      </c>
      <c r="H140" s="1" t="e">
        <f t="shared" si="59"/>
        <v>#N/A</v>
      </c>
      <c r="I140" s="1" t="e">
        <f t="shared" si="60"/>
        <v>#N/A</v>
      </c>
      <c r="J140" s="1" t="e">
        <f t="shared" si="61"/>
        <v>#N/A</v>
      </c>
      <c r="K140" s="1" t="e">
        <f t="shared" si="62"/>
        <v>#N/A</v>
      </c>
      <c r="L140" s="1" t="e">
        <f t="shared" si="63"/>
        <v>#N/A</v>
      </c>
      <c r="M140" s="1" t="e">
        <f t="shared" si="64"/>
        <v>#N/A</v>
      </c>
      <c r="N140" s="1" t="e">
        <f t="shared" si="65"/>
        <v>#N/A</v>
      </c>
      <c r="O140" s="1" t="e">
        <f t="shared" si="66"/>
        <v>#N/A</v>
      </c>
      <c r="P140" s="1" t="e">
        <f t="shared" si="67"/>
        <v>#N/A</v>
      </c>
      <c r="Q140" s="1" t="e">
        <f t="shared" si="68"/>
        <v>#N/A</v>
      </c>
      <c r="R140" s="1" t="e">
        <f t="shared" si="69"/>
        <v>#N/A</v>
      </c>
      <c r="S140" s="1" t="e">
        <f t="shared" si="70"/>
        <v>#N/A</v>
      </c>
      <c r="T140" s="1" t="e">
        <f t="shared" si="71"/>
        <v>#N/A</v>
      </c>
      <c r="U140" s="1" t="e">
        <f t="shared" si="72"/>
        <v>#N/A</v>
      </c>
      <c r="V140" s="1" t="e">
        <f t="shared" si="73"/>
        <v>#N/A</v>
      </c>
      <c r="W140" s="1" t="e">
        <f t="shared" si="74"/>
        <v>#N/A</v>
      </c>
      <c r="X140" s="1" t="e">
        <f t="shared" si="75"/>
        <v>#N/A</v>
      </c>
      <c r="Y140" s="1" t="e">
        <f t="shared" si="76"/>
        <v>#N/A</v>
      </c>
      <c r="Z140" s="1" t="e">
        <f t="shared" si="77"/>
        <v>#N/A</v>
      </c>
      <c r="AA140" s="1" t="e">
        <f t="shared" si="78"/>
        <v>#N/A</v>
      </c>
      <c r="AB140" s="1" t="e">
        <f t="shared" si="79"/>
        <v>#N/A</v>
      </c>
      <c r="AC140" s="1" t="e">
        <f t="shared" si="80"/>
        <v>#N/A</v>
      </c>
      <c r="AD140" s="1" t="e">
        <f t="shared" si="81"/>
        <v>#N/A</v>
      </c>
      <c r="AE140" s="1" t="e">
        <f t="shared" si="82"/>
        <v>#N/A</v>
      </c>
      <c r="AF140" s="1" t="e">
        <f t="shared" si="83"/>
        <v>#N/A</v>
      </c>
    </row>
    <row r="141" spans="2:32" hidden="1" x14ac:dyDescent="0.25">
      <c r="B141" s="5" t="str">
        <f t="shared" si="53"/>
        <v>X</v>
      </c>
      <c r="C141" s="1" t="e">
        <f t="shared" si="54"/>
        <v>#N/A</v>
      </c>
      <c r="D141" s="1" t="e">
        <f t="shared" si="55"/>
        <v>#N/A</v>
      </c>
      <c r="E141" s="1" t="e">
        <f t="shared" si="56"/>
        <v>#N/A</v>
      </c>
      <c r="F141" s="1" t="e">
        <f t="shared" si="57"/>
        <v>#N/A</v>
      </c>
      <c r="G141" s="1" t="e">
        <f t="shared" si="58"/>
        <v>#N/A</v>
      </c>
      <c r="H141" s="1" t="e">
        <f t="shared" si="59"/>
        <v>#N/A</v>
      </c>
      <c r="I141" s="1" t="e">
        <f t="shared" si="60"/>
        <v>#N/A</v>
      </c>
      <c r="J141" s="1" t="e">
        <f t="shared" si="61"/>
        <v>#N/A</v>
      </c>
      <c r="K141" s="1" t="e">
        <f t="shared" si="62"/>
        <v>#N/A</v>
      </c>
      <c r="L141" s="1" t="e">
        <f t="shared" si="63"/>
        <v>#N/A</v>
      </c>
      <c r="M141" s="1" t="e">
        <f t="shared" si="64"/>
        <v>#N/A</v>
      </c>
      <c r="N141" s="1" t="e">
        <f t="shared" si="65"/>
        <v>#N/A</v>
      </c>
      <c r="O141" s="1" t="e">
        <f t="shared" si="66"/>
        <v>#N/A</v>
      </c>
      <c r="P141" s="1" t="e">
        <f t="shared" si="67"/>
        <v>#N/A</v>
      </c>
      <c r="Q141" s="1" t="e">
        <f t="shared" si="68"/>
        <v>#N/A</v>
      </c>
      <c r="R141" s="1" t="e">
        <f t="shared" si="69"/>
        <v>#N/A</v>
      </c>
      <c r="S141" s="1" t="e">
        <f t="shared" si="70"/>
        <v>#N/A</v>
      </c>
      <c r="T141" s="1" t="e">
        <f t="shared" si="71"/>
        <v>#N/A</v>
      </c>
      <c r="U141" s="1" t="e">
        <f t="shared" si="72"/>
        <v>#N/A</v>
      </c>
      <c r="V141" s="1" t="e">
        <f t="shared" si="73"/>
        <v>#N/A</v>
      </c>
      <c r="W141" s="1" t="e">
        <f t="shared" si="74"/>
        <v>#N/A</v>
      </c>
      <c r="X141" s="1" t="e">
        <f t="shared" si="75"/>
        <v>#N/A</v>
      </c>
      <c r="Y141" s="1" t="e">
        <f t="shared" si="76"/>
        <v>#N/A</v>
      </c>
      <c r="Z141" s="1" t="e">
        <f t="shared" si="77"/>
        <v>#N/A</v>
      </c>
      <c r="AA141" s="1" t="e">
        <f t="shared" si="78"/>
        <v>#N/A</v>
      </c>
      <c r="AB141" s="1" t="e">
        <f t="shared" si="79"/>
        <v>#N/A</v>
      </c>
      <c r="AC141" s="1" t="e">
        <f t="shared" si="80"/>
        <v>#N/A</v>
      </c>
      <c r="AD141" s="1" t="e">
        <f t="shared" si="81"/>
        <v>#N/A</v>
      </c>
      <c r="AE141" s="1" t="e">
        <f t="shared" si="82"/>
        <v>#N/A</v>
      </c>
      <c r="AF141" s="1" t="e">
        <f t="shared" si="83"/>
        <v>#N/A</v>
      </c>
    </row>
    <row r="142" spans="2:32" hidden="1" x14ac:dyDescent="0.25">
      <c r="B142" s="5" t="str">
        <f t="shared" si="53"/>
        <v>X</v>
      </c>
      <c r="C142" s="1" t="e">
        <f t="shared" si="54"/>
        <v>#N/A</v>
      </c>
      <c r="D142" s="1" t="e">
        <f t="shared" si="55"/>
        <v>#N/A</v>
      </c>
      <c r="E142" s="1" t="e">
        <f t="shared" si="56"/>
        <v>#N/A</v>
      </c>
      <c r="F142" s="1" t="e">
        <f t="shared" si="57"/>
        <v>#N/A</v>
      </c>
      <c r="G142" s="1" t="e">
        <f t="shared" si="58"/>
        <v>#N/A</v>
      </c>
      <c r="H142" s="1" t="e">
        <f t="shared" si="59"/>
        <v>#N/A</v>
      </c>
      <c r="I142" s="1" t="e">
        <f t="shared" si="60"/>
        <v>#N/A</v>
      </c>
      <c r="J142" s="1" t="e">
        <f t="shared" si="61"/>
        <v>#N/A</v>
      </c>
      <c r="K142" s="1" t="e">
        <f t="shared" si="62"/>
        <v>#N/A</v>
      </c>
      <c r="L142" s="1" t="e">
        <f t="shared" si="63"/>
        <v>#N/A</v>
      </c>
      <c r="M142" s="1" t="e">
        <f t="shared" si="64"/>
        <v>#N/A</v>
      </c>
      <c r="N142" s="1" t="e">
        <f t="shared" si="65"/>
        <v>#N/A</v>
      </c>
      <c r="O142" s="1" t="e">
        <f t="shared" si="66"/>
        <v>#N/A</v>
      </c>
      <c r="P142" s="1" t="e">
        <f t="shared" si="67"/>
        <v>#N/A</v>
      </c>
      <c r="Q142" s="1" t="e">
        <f t="shared" si="68"/>
        <v>#N/A</v>
      </c>
      <c r="R142" s="1" t="e">
        <f t="shared" si="69"/>
        <v>#N/A</v>
      </c>
      <c r="S142" s="1" t="e">
        <f t="shared" si="70"/>
        <v>#N/A</v>
      </c>
      <c r="T142" s="1" t="e">
        <f t="shared" si="71"/>
        <v>#N/A</v>
      </c>
      <c r="U142" s="1" t="e">
        <f t="shared" si="72"/>
        <v>#N/A</v>
      </c>
      <c r="V142" s="1" t="e">
        <f t="shared" si="73"/>
        <v>#N/A</v>
      </c>
      <c r="W142" s="1" t="e">
        <f t="shared" si="74"/>
        <v>#N/A</v>
      </c>
      <c r="X142" s="1" t="e">
        <f t="shared" si="75"/>
        <v>#N/A</v>
      </c>
      <c r="Y142" s="1" t="e">
        <f t="shared" si="76"/>
        <v>#N/A</v>
      </c>
      <c r="Z142" s="1" t="e">
        <f t="shared" si="77"/>
        <v>#N/A</v>
      </c>
      <c r="AA142" s="1" t="e">
        <f t="shared" si="78"/>
        <v>#N/A</v>
      </c>
      <c r="AB142" s="1" t="e">
        <f t="shared" si="79"/>
        <v>#N/A</v>
      </c>
      <c r="AC142" s="1" t="e">
        <f t="shared" si="80"/>
        <v>#N/A</v>
      </c>
      <c r="AD142" s="1" t="e">
        <f t="shared" si="81"/>
        <v>#N/A</v>
      </c>
      <c r="AE142" s="1" t="e">
        <f t="shared" si="82"/>
        <v>#N/A</v>
      </c>
      <c r="AF142" s="1" t="e">
        <f t="shared" si="83"/>
        <v>#N/A</v>
      </c>
    </row>
    <row r="143" spans="2:32" hidden="1" x14ac:dyDescent="0.25">
      <c r="B143" s="5" t="str">
        <f t="shared" si="53"/>
        <v>X</v>
      </c>
      <c r="C143" s="1" t="e">
        <f t="shared" si="54"/>
        <v>#N/A</v>
      </c>
      <c r="D143" s="1" t="e">
        <f t="shared" si="55"/>
        <v>#N/A</v>
      </c>
      <c r="E143" s="1" t="e">
        <f t="shared" si="56"/>
        <v>#N/A</v>
      </c>
      <c r="F143" s="1" t="e">
        <f t="shared" si="57"/>
        <v>#N/A</v>
      </c>
      <c r="G143" s="1" t="e">
        <f t="shared" si="58"/>
        <v>#N/A</v>
      </c>
      <c r="H143" s="1" t="e">
        <f t="shared" si="59"/>
        <v>#N/A</v>
      </c>
      <c r="I143" s="1" t="e">
        <f t="shared" si="60"/>
        <v>#N/A</v>
      </c>
      <c r="J143" s="1" t="e">
        <f t="shared" si="61"/>
        <v>#N/A</v>
      </c>
      <c r="K143" s="1" t="e">
        <f t="shared" si="62"/>
        <v>#N/A</v>
      </c>
      <c r="L143" s="1" t="e">
        <f t="shared" si="63"/>
        <v>#N/A</v>
      </c>
      <c r="M143" s="1" t="e">
        <f t="shared" si="64"/>
        <v>#N/A</v>
      </c>
      <c r="N143" s="1" t="e">
        <f t="shared" si="65"/>
        <v>#N/A</v>
      </c>
      <c r="O143" s="1" t="e">
        <f t="shared" si="66"/>
        <v>#N/A</v>
      </c>
      <c r="P143" s="1" t="e">
        <f t="shared" si="67"/>
        <v>#N/A</v>
      </c>
      <c r="Q143" s="1" t="e">
        <f t="shared" si="68"/>
        <v>#N/A</v>
      </c>
      <c r="R143" s="1" t="e">
        <f t="shared" si="69"/>
        <v>#N/A</v>
      </c>
      <c r="S143" s="1" t="e">
        <f t="shared" si="70"/>
        <v>#N/A</v>
      </c>
      <c r="T143" s="1" t="e">
        <f t="shared" si="71"/>
        <v>#N/A</v>
      </c>
      <c r="U143" s="1" t="e">
        <f t="shared" si="72"/>
        <v>#N/A</v>
      </c>
      <c r="V143" s="1" t="e">
        <f t="shared" si="73"/>
        <v>#N/A</v>
      </c>
      <c r="W143" s="1" t="e">
        <f t="shared" si="74"/>
        <v>#N/A</v>
      </c>
      <c r="X143" s="1" t="e">
        <f t="shared" si="75"/>
        <v>#N/A</v>
      </c>
      <c r="Y143" s="1" t="e">
        <f t="shared" si="76"/>
        <v>#N/A</v>
      </c>
      <c r="Z143" s="1" t="e">
        <f t="shared" si="77"/>
        <v>#N/A</v>
      </c>
      <c r="AA143" s="1" t="e">
        <f t="shared" si="78"/>
        <v>#N/A</v>
      </c>
      <c r="AB143" s="1" t="e">
        <f t="shared" si="79"/>
        <v>#N/A</v>
      </c>
      <c r="AC143" s="1" t="e">
        <f t="shared" si="80"/>
        <v>#N/A</v>
      </c>
      <c r="AD143" s="1" t="e">
        <f t="shared" si="81"/>
        <v>#N/A</v>
      </c>
      <c r="AE143" s="1" t="e">
        <f t="shared" si="82"/>
        <v>#N/A</v>
      </c>
      <c r="AF143" s="1" t="e">
        <f t="shared" si="83"/>
        <v>#N/A</v>
      </c>
    </row>
    <row r="144" spans="2:32" hidden="1" x14ac:dyDescent="0.25">
      <c r="B144" s="5" t="str">
        <f t="shared" si="53"/>
        <v>X</v>
      </c>
      <c r="C144" s="1" t="e">
        <f t="shared" si="54"/>
        <v>#N/A</v>
      </c>
      <c r="D144" s="1" t="e">
        <f t="shared" si="55"/>
        <v>#N/A</v>
      </c>
      <c r="E144" s="1" t="e">
        <f t="shared" si="56"/>
        <v>#N/A</v>
      </c>
      <c r="F144" s="1" t="e">
        <f t="shared" si="57"/>
        <v>#N/A</v>
      </c>
      <c r="G144" s="1" t="e">
        <f t="shared" si="58"/>
        <v>#N/A</v>
      </c>
      <c r="H144" s="1" t="e">
        <f t="shared" si="59"/>
        <v>#N/A</v>
      </c>
      <c r="I144" s="1" t="e">
        <f t="shared" si="60"/>
        <v>#N/A</v>
      </c>
      <c r="J144" s="1" t="e">
        <f t="shared" si="61"/>
        <v>#N/A</v>
      </c>
      <c r="K144" s="1" t="e">
        <f t="shared" si="62"/>
        <v>#N/A</v>
      </c>
      <c r="L144" s="1" t="e">
        <f t="shared" si="63"/>
        <v>#N/A</v>
      </c>
      <c r="M144" s="1" t="e">
        <f t="shared" si="64"/>
        <v>#N/A</v>
      </c>
      <c r="N144" s="1" t="e">
        <f t="shared" si="65"/>
        <v>#N/A</v>
      </c>
      <c r="O144" s="1" t="e">
        <f t="shared" si="66"/>
        <v>#N/A</v>
      </c>
      <c r="P144" s="1" t="e">
        <f t="shared" si="67"/>
        <v>#N/A</v>
      </c>
      <c r="Q144" s="1" t="e">
        <f t="shared" si="68"/>
        <v>#N/A</v>
      </c>
      <c r="R144" s="1" t="e">
        <f t="shared" si="69"/>
        <v>#N/A</v>
      </c>
      <c r="S144" s="1" t="e">
        <f t="shared" si="70"/>
        <v>#N/A</v>
      </c>
      <c r="T144" s="1" t="e">
        <f t="shared" si="71"/>
        <v>#N/A</v>
      </c>
      <c r="U144" s="1" t="e">
        <f t="shared" si="72"/>
        <v>#N/A</v>
      </c>
      <c r="V144" s="1" t="e">
        <f t="shared" si="73"/>
        <v>#N/A</v>
      </c>
      <c r="W144" s="1" t="e">
        <f t="shared" si="74"/>
        <v>#N/A</v>
      </c>
      <c r="X144" s="1" t="e">
        <f t="shared" si="75"/>
        <v>#N/A</v>
      </c>
      <c r="Y144" s="1" t="e">
        <f t="shared" si="76"/>
        <v>#N/A</v>
      </c>
      <c r="Z144" s="1" t="e">
        <f t="shared" si="77"/>
        <v>#N/A</v>
      </c>
      <c r="AA144" s="1" t="e">
        <f t="shared" si="78"/>
        <v>#N/A</v>
      </c>
      <c r="AB144" s="1" t="e">
        <f t="shared" si="79"/>
        <v>#N/A</v>
      </c>
      <c r="AC144" s="1" t="e">
        <f t="shared" si="80"/>
        <v>#N/A</v>
      </c>
      <c r="AD144" s="1" t="e">
        <f t="shared" si="81"/>
        <v>#N/A</v>
      </c>
      <c r="AE144" s="1" t="e">
        <f t="shared" si="82"/>
        <v>#N/A</v>
      </c>
      <c r="AF144" s="1" t="e">
        <f t="shared" si="83"/>
        <v>#N/A</v>
      </c>
    </row>
    <row r="145" spans="2:32" hidden="1" x14ac:dyDescent="0.25">
      <c r="B145" s="5" t="str">
        <f t="shared" si="53"/>
        <v>X</v>
      </c>
      <c r="C145" s="1" t="e">
        <f t="shared" si="54"/>
        <v>#N/A</v>
      </c>
      <c r="D145" s="1" t="e">
        <f t="shared" si="55"/>
        <v>#N/A</v>
      </c>
      <c r="E145" s="1" t="e">
        <f t="shared" si="56"/>
        <v>#N/A</v>
      </c>
      <c r="F145" s="1" t="e">
        <f t="shared" si="57"/>
        <v>#N/A</v>
      </c>
      <c r="G145" s="1" t="e">
        <f t="shared" si="58"/>
        <v>#N/A</v>
      </c>
      <c r="H145" s="1" t="e">
        <f t="shared" si="59"/>
        <v>#N/A</v>
      </c>
      <c r="I145" s="1" t="e">
        <f t="shared" si="60"/>
        <v>#N/A</v>
      </c>
      <c r="J145" s="1" t="e">
        <f t="shared" si="61"/>
        <v>#N/A</v>
      </c>
      <c r="K145" s="1" t="e">
        <f t="shared" si="62"/>
        <v>#N/A</v>
      </c>
      <c r="L145" s="1" t="e">
        <f t="shared" si="63"/>
        <v>#N/A</v>
      </c>
      <c r="M145" s="1" t="e">
        <f t="shared" si="64"/>
        <v>#N/A</v>
      </c>
      <c r="N145" s="1" t="e">
        <f t="shared" si="65"/>
        <v>#N/A</v>
      </c>
      <c r="O145" s="1" t="e">
        <f t="shared" si="66"/>
        <v>#N/A</v>
      </c>
      <c r="P145" s="1" t="e">
        <f t="shared" si="67"/>
        <v>#N/A</v>
      </c>
      <c r="Q145" s="1" t="e">
        <f t="shared" si="68"/>
        <v>#N/A</v>
      </c>
      <c r="R145" s="1" t="e">
        <f t="shared" si="69"/>
        <v>#N/A</v>
      </c>
      <c r="S145" s="1" t="e">
        <f t="shared" si="70"/>
        <v>#N/A</v>
      </c>
      <c r="T145" s="1" t="e">
        <f t="shared" si="71"/>
        <v>#N/A</v>
      </c>
      <c r="U145" s="1" t="e">
        <f t="shared" si="72"/>
        <v>#N/A</v>
      </c>
      <c r="V145" s="1" t="e">
        <f t="shared" si="73"/>
        <v>#N/A</v>
      </c>
      <c r="W145" s="1" t="e">
        <f t="shared" si="74"/>
        <v>#N/A</v>
      </c>
      <c r="X145" s="1" t="e">
        <f t="shared" si="75"/>
        <v>#N/A</v>
      </c>
      <c r="Y145" s="1" t="e">
        <f t="shared" si="76"/>
        <v>#N/A</v>
      </c>
      <c r="Z145" s="1" t="e">
        <f t="shared" si="77"/>
        <v>#N/A</v>
      </c>
      <c r="AA145" s="1" t="e">
        <f t="shared" si="78"/>
        <v>#N/A</v>
      </c>
      <c r="AB145" s="1" t="e">
        <f t="shared" si="79"/>
        <v>#N/A</v>
      </c>
      <c r="AC145" s="1" t="e">
        <f t="shared" si="80"/>
        <v>#N/A</v>
      </c>
      <c r="AD145" s="1" t="e">
        <f t="shared" si="81"/>
        <v>#N/A</v>
      </c>
      <c r="AE145" s="1" t="e">
        <f t="shared" si="82"/>
        <v>#N/A</v>
      </c>
      <c r="AF145" s="1" t="e">
        <f t="shared" si="83"/>
        <v>#N/A</v>
      </c>
    </row>
    <row r="146" spans="2:32" hidden="1" x14ac:dyDescent="0.25">
      <c r="B146" s="5" t="str">
        <f t="shared" si="53"/>
        <v>X</v>
      </c>
      <c r="C146" s="1" t="e">
        <f t="shared" si="54"/>
        <v>#N/A</v>
      </c>
      <c r="D146" s="1" t="e">
        <f t="shared" si="55"/>
        <v>#N/A</v>
      </c>
      <c r="E146" s="1" t="e">
        <f t="shared" si="56"/>
        <v>#N/A</v>
      </c>
      <c r="F146" s="1" t="e">
        <f t="shared" si="57"/>
        <v>#N/A</v>
      </c>
      <c r="G146" s="1" t="e">
        <f t="shared" si="58"/>
        <v>#N/A</v>
      </c>
      <c r="H146" s="1" t="e">
        <f t="shared" si="59"/>
        <v>#N/A</v>
      </c>
      <c r="I146" s="1" t="e">
        <f t="shared" si="60"/>
        <v>#N/A</v>
      </c>
      <c r="J146" s="1" t="e">
        <f t="shared" si="61"/>
        <v>#N/A</v>
      </c>
      <c r="K146" s="1" t="e">
        <f t="shared" si="62"/>
        <v>#N/A</v>
      </c>
      <c r="L146" s="1" t="e">
        <f t="shared" si="63"/>
        <v>#N/A</v>
      </c>
      <c r="M146" s="1" t="e">
        <f t="shared" si="64"/>
        <v>#N/A</v>
      </c>
      <c r="N146" s="1" t="e">
        <f t="shared" si="65"/>
        <v>#N/A</v>
      </c>
      <c r="O146" s="1" t="e">
        <f t="shared" si="66"/>
        <v>#N/A</v>
      </c>
      <c r="P146" s="1" t="e">
        <f t="shared" si="67"/>
        <v>#N/A</v>
      </c>
      <c r="Q146" s="1" t="e">
        <f t="shared" si="68"/>
        <v>#N/A</v>
      </c>
      <c r="R146" s="1" t="e">
        <f t="shared" si="69"/>
        <v>#N/A</v>
      </c>
      <c r="S146" s="1" t="e">
        <f t="shared" si="70"/>
        <v>#N/A</v>
      </c>
      <c r="T146" s="1" t="e">
        <f t="shared" si="71"/>
        <v>#N/A</v>
      </c>
      <c r="U146" s="1" t="e">
        <f t="shared" si="72"/>
        <v>#N/A</v>
      </c>
      <c r="V146" s="1" t="e">
        <f t="shared" si="73"/>
        <v>#N/A</v>
      </c>
      <c r="W146" s="1" t="e">
        <f t="shared" si="74"/>
        <v>#N/A</v>
      </c>
      <c r="X146" s="1" t="e">
        <f t="shared" si="75"/>
        <v>#N/A</v>
      </c>
      <c r="Y146" s="1" t="e">
        <f t="shared" si="76"/>
        <v>#N/A</v>
      </c>
      <c r="Z146" s="1" t="e">
        <f t="shared" si="77"/>
        <v>#N/A</v>
      </c>
      <c r="AA146" s="1" t="e">
        <f t="shared" si="78"/>
        <v>#N/A</v>
      </c>
      <c r="AB146" s="1" t="e">
        <f t="shared" si="79"/>
        <v>#N/A</v>
      </c>
      <c r="AC146" s="1" t="e">
        <f t="shared" si="80"/>
        <v>#N/A</v>
      </c>
      <c r="AD146" s="1" t="e">
        <f t="shared" si="81"/>
        <v>#N/A</v>
      </c>
      <c r="AE146" s="1" t="e">
        <f t="shared" si="82"/>
        <v>#N/A</v>
      </c>
      <c r="AF146" s="1" t="e">
        <f t="shared" si="83"/>
        <v>#N/A</v>
      </c>
    </row>
    <row r="147" spans="2:32" hidden="1" x14ac:dyDescent="0.25">
      <c r="B147" s="5" t="str">
        <f t="shared" si="53"/>
        <v>X</v>
      </c>
      <c r="C147" s="1" t="e">
        <f t="shared" si="54"/>
        <v>#N/A</v>
      </c>
      <c r="D147" s="1" t="e">
        <f t="shared" si="55"/>
        <v>#N/A</v>
      </c>
      <c r="E147" s="1" t="e">
        <f t="shared" si="56"/>
        <v>#N/A</v>
      </c>
      <c r="F147" s="1" t="e">
        <f t="shared" si="57"/>
        <v>#N/A</v>
      </c>
      <c r="G147" s="1" t="e">
        <f t="shared" si="58"/>
        <v>#N/A</v>
      </c>
      <c r="H147" s="1" t="e">
        <f t="shared" si="59"/>
        <v>#N/A</v>
      </c>
      <c r="I147" s="1" t="e">
        <f t="shared" si="60"/>
        <v>#N/A</v>
      </c>
      <c r="J147" s="1" t="e">
        <f t="shared" si="61"/>
        <v>#N/A</v>
      </c>
      <c r="K147" s="1" t="e">
        <f t="shared" si="62"/>
        <v>#N/A</v>
      </c>
      <c r="L147" s="1" t="e">
        <f t="shared" si="63"/>
        <v>#N/A</v>
      </c>
      <c r="M147" s="1" t="e">
        <f t="shared" si="64"/>
        <v>#N/A</v>
      </c>
      <c r="N147" s="1" t="e">
        <f t="shared" si="65"/>
        <v>#N/A</v>
      </c>
      <c r="O147" s="1" t="e">
        <f t="shared" si="66"/>
        <v>#N/A</v>
      </c>
      <c r="P147" s="1" t="e">
        <f t="shared" si="67"/>
        <v>#N/A</v>
      </c>
      <c r="Q147" s="1" t="e">
        <f t="shared" si="68"/>
        <v>#N/A</v>
      </c>
      <c r="R147" s="1" t="e">
        <f t="shared" si="69"/>
        <v>#N/A</v>
      </c>
      <c r="S147" s="1" t="e">
        <f t="shared" si="70"/>
        <v>#N/A</v>
      </c>
      <c r="T147" s="1" t="e">
        <f t="shared" si="71"/>
        <v>#N/A</v>
      </c>
      <c r="U147" s="1" t="e">
        <f t="shared" si="72"/>
        <v>#N/A</v>
      </c>
      <c r="V147" s="1" t="e">
        <f t="shared" si="73"/>
        <v>#N/A</v>
      </c>
      <c r="W147" s="1" t="e">
        <f t="shared" si="74"/>
        <v>#N/A</v>
      </c>
      <c r="X147" s="1" t="e">
        <f t="shared" si="75"/>
        <v>#N/A</v>
      </c>
      <c r="Y147" s="1" t="e">
        <f t="shared" si="76"/>
        <v>#N/A</v>
      </c>
      <c r="Z147" s="1" t="e">
        <f t="shared" si="77"/>
        <v>#N/A</v>
      </c>
      <c r="AA147" s="1" t="e">
        <f t="shared" si="78"/>
        <v>#N/A</v>
      </c>
      <c r="AB147" s="1" t="e">
        <f t="shared" si="79"/>
        <v>#N/A</v>
      </c>
      <c r="AC147" s="1" t="e">
        <f t="shared" si="80"/>
        <v>#N/A</v>
      </c>
      <c r="AD147" s="1" t="e">
        <f t="shared" si="81"/>
        <v>#N/A</v>
      </c>
      <c r="AE147" s="1" t="e">
        <f t="shared" si="82"/>
        <v>#N/A</v>
      </c>
      <c r="AF147" s="1" t="e">
        <f t="shared" si="83"/>
        <v>#N/A</v>
      </c>
    </row>
    <row r="148" spans="2:32" hidden="1" x14ac:dyDescent="0.25">
      <c r="B148" s="5" t="str">
        <f t="shared" si="53"/>
        <v>X</v>
      </c>
      <c r="C148" s="1" t="e">
        <f t="shared" si="54"/>
        <v>#N/A</v>
      </c>
      <c r="D148" s="1" t="e">
        <f t="shared" si="55"/>
        <v>#N/A</v>
      </c>
      <c r="E148" s="1" t="e">
        <f t="shared" si="56"/>
        <v>#N/A</v>
      </c>
      <c r="F148" s="1" t="e">
        <f t="shared" si="57"/>
        <v>#N/A</v>
      </c>
      <c r="G148" s="1" t="e">
        <f t="shared" si="58"/>
        <v>#N/A</v>
      </c>
      <c r="H148" s="1" t="e">
        <f t="shared" si="59"/>
        <v>#N/A</v>
      </c>
      <c r="I148" s="1" t="e">
        <f t="shared" si="60"/>
        <v>#N/A</v>
      </c>
      <c r="J148" s="1" t="e">
        <f t="shared" si="61"/>
        <v>#N/A</v>
      </c>
      <c r="K148" s="1" t="e">
        <f t="shared" si="62"/>
        <v>#N/A</v>
      </c>
      <c r="L148" s="1" t="e">
        <f t="shared" si="63"/>
        <v>#N/A</v>
      </c>
      <c r="M148" s="1" t="e">
        <f t="shared" si="64"/>
        <v>#N/A</v>
      </c>
      <c r="N148" s="1" t="e">
        <f t="shared" si="65"/>
        <v>#N/A</v>
      </c>
      <c r="O148" s="1" t="e">
        <f t="shared" si="66"/>
        <v>#N/A</v>
      </c>
      <c r="P148" s="1" t="e">
        <f t="shared" si="67"/>
        <v>#N/A</v>
      </c>
      <c r="Q148" s="1" t="e">
        <f t="shared" si="68"/>
        <v>#N/A</v>
      </c>
      <c r="R148" s="1" t="e">
        <f t="shared" si="69"/>
        <v>#N/A</v>
      </c>
      <c r="S148" s="1" t="e">
        <f t="shared" si="70"/>
        <v>#N/A</v>
      </c>
      <c r="T148" s="1" t="e">
        <f t="shared" si="71"/>
        <v>#N/A</v>
      </c>
      <c r="U148" s="1" t="e">
        <f t="shared" si="72"/>
        <v>#N/A</v>
      </c>
      <c r="V148" s="1" t="e">
        <f t="shared" si="73"/>
        <v>#N/A</v>
      </c>
      <c r="W148" s="1" t="e">
        <f t="shared" si="74"/>
        <v>#N/A</v>
      </c>
      <c r="X148" s="1" t="e">
        <f t="shared" si="75"/>
        <v>#N/A</v>
      </c>
      <c r="Y148" s="1" t="e">
        <f t="shared" si="76"/>
        <v>#N/A</v>
      </c>
      <c r="Z148" s="1" t="e">
        <f t="shared" si="77"/>
        <v>#N/A</v>
      </c>
      <c r="AA148" s="1" t="e">
        <f t="shared" si="78"/>
        <v>#N/A</v>
      </c>
      <c r="AB148" s="1" t="e">
        <f t="shared" si="79"/>
        <v>#N/A</v>
      </c>
      <c r="AC148" s="1" t="e">
        <f t="shared" si="80"/>
        <v>#N/A</v>
      </c>
      <c r="AD148" s="1" t="e">
        <f t="shared" si="81"/>
        <v>#N/A</v>
      </c>
      <c r="AE148" s="1" t="e">
        <f t="shared" si="82"/>
        <v>#N/A</v>
      </c>
      <c r="AF148" s="1" t="e">
        <f t="shared" si="83"/>
        <v>#N/A</v>
      </c>
    </row>
    <row r="149" spans="2:32" hidden="1" x14ac:dyDescent="0.25">
      <c r="B149" s="5" t="str">
        <f t="shared" si="53"/>
        <v>X</v>
      </c>
      <c r="C149" s="1" t="e">
        <f t="shared" si="54"/>
        <v>#N/A</v>
      </c>
      <c r="D149" s="1" t="e">
        <f t="shared" si="55"/>
        <v>#N/A</v>
      </c>
      <c r="E149" s="1" t="e">
        <f t="shared" si="56"/>
        <v>#N/A</v>
      </c>
      <c r="F149" s="1" t="e">
        <f t="shared" si="57"/>
        <v>#N/A</v>
      </c>
      <c r="G149" s="1" t="e">
        <f t="shared" si="58"/>
        <v>#N/A</v>
      </c>
      <c r="H149" s="1" t="e">
        <f t="shared" si="59"/>
        <v>#N/A</v>
      </c>
      <c r="I149" s="1" t="e">
        <f t="shared" si="60"/>
        <v>#N/A</v>
      </c>
      <c r="J149" s="1" t="e">
        <f t="shared" si="61"/>
        <v>#N/A</v>
      </c>
      <c r="K149" s="1" t="e">
        <f t="shared" si="62"/>
        <v>#N/A</v>
      </c>
      <c r="L149" s="1" t="e">
        <f t="shared" si="63"/>
        <v>#N/A</v>
      </c>
      <c r="M149" s="1" t="e">
        <f t="shared" si="64"/>
        <v>#N/A</v>
      </c>
      <c r="N149" s="1" t="e">
        <f t="shared" si="65"/>
        <v>#N/A</v>
      </c>
      <c r="O149" s="1" t="e">
        <f t="shared" si="66"/>
        <v>#N/A</v>
      </c>
      <c r="P149" s="1" t="e">
        <f t="shared" si="67"/>
        <v>#N/A</v>
      </c>
      <c r="Q149" s="1" t="e">
        <f t="shared" si="68"/>
        <v>#N/A</v>
      </c>
      <c r="R149" s="1" t="e">
        <f t="shared" si="69"/>
        <v>#N/A</v>
      </c>
      <c r="S149" s="1" t="e">
        <f t="shared" si="70"/>
        <v>#N/A</v>
      </c>
      <c r="T149" s="1" t="e">
        <f t="shared" si="71"/>
        <v>#N/A</v>
      </c>
      <c r="U149" s="1" t="e">
        <f t="shared" si="72"/>
        <v>#N/A</v>
      </c>
      <c r="V149" s="1" t="e">
        <f t="shared" si="73"/>
        <v>#N/A</v>
      </c>
      <c r="W149" s="1" t="e">
        <f t="shared" si="74"/>
        <v>#N/A</v>
      </c>
      <c r="X149" s="1" t="e">
        <f t="shared" si="75"/>
        <v>#N/A</v>
      </c>
      <c r="Y149" s="1" t="e">
        <f t="shared" si="76"/>
        <v>#N/A</v>
      </c>
      <c r="Z149" s="1" t="e">
        <f t="shared" si="77"/>
        <v>#N/A</v>
      </c>
      <c r="AA149" s="1" t="e">
        <f t="shared" si="78"/>
        <v>#N/A</v>
      </c>
      <c r="AB149" s="1" t="e">
        <f t="shared" si="79"/>
        <v>#N/A</v>
      </c>
      <c r="AC149" s="1" t="e">
        <f t="shared" si="80"/>
        <v>#N/A</v>
      </c>
      <c r="AD149" s="1" t="e">
        <f t="shared" si="81"/>
        <v>#N/A</v>
      </c>
      <c r="AE149" s="1" t="e">
        <f t="shared" si="82"/>
        <v>#N/A</v>
      </c>
      <c r="AF149" s="1" t="e">
        <f t="shared" si="83"/>
        <v>#N/A</v>
      </c>
    </row>
    <row r="150" spans="2:32" hidden="1" x14ac:dyDescent="0.25">
      <c r="B150" s="5" t="str">
        <f t="shared" si="53"/>
        <v>X</v>
      </c>
      <c r="C150" s="1" t="e">
        <f t="shared" si="54"/>
        <v>#N/A</v>
      </c>
      <c r="D150" s="1" t="e">
        <f t="shared" si="55"/>
        <v>#N/A</v>
      </c>
      <c r="E150" s="1" t="e">
        <f t="shared" si="56"/>
        <v>#N/A</v>
      </c>
      <c r="F150" s="1" t="e">
        <f t="shared" si="57"/>
        <v>#N/A</v>
      </c>
      <c r="G150" s="1" t="e">
        <f t="shared" si="58"/>
        <v>#N/A</v>
      </c>
      <c r="H150" s="1" t="e">
        <f t="shared" si="59"/>
        <v>#N/A</v>
      </c>
      <c r="I150" s="1" t="e">
        <f t="shared" si="60"/>
        <v>#N/A</v>
      </c>
      <c r="J150" s="1" t="e">
        <f t="shared" si="61"/>
        <v>#N/A</v>
      </c>
      <c r="K150" s="1" t="e">
        <f t="shared" si="62"/>
        <v>#N/A</v>
      </c>
      <c r="L150" s="1" t="e">
        <f t="shared" si="63"/>
        <v>#N/A</v>
      </c>
      <c r="M150" s="1" t="e">
        <f t="shared" si="64"/>
        <v>#N/A</v>
      </c>
      <c r="N150" s="1" t="e">
        <f t="shared" si="65"/>
        <v>#N/A</v>
      </c>
      <c r="O150" s="1" t="e">
        <f t="shared" si="66"/>
        <v>#N/A</v>
      </c>
      <c r="P150" s="1" t="e">
        <f t="shared" si="67"/>
        <v>#N/A</v>
      </c>
      <c r="Q150" s="1" t="e">
        <f t="shared" si="68"/>
        <v>#N/A</v>
      </c>
      <c r="R150" s="1" t="e">
        <f t="shared" si="69"/>
        <v>#N/A</v>
      </c>
      <c r="S150" s="1" t="e">
        <f t="shared" si="70"/>
        <v>#N/A</v>
      </c>
      <c r="T150" s="1" t="e">
        <f t="shared" si="71"/>
        <v>#N/A</v>
      </c>
      <c r="U150" s="1" t="e">
        <f t="shared" si="72"/>
        <v>#N/A</v>
      </c>
      <c r="V150" s="1" t="e">
        <f t="shared" si="73"/>
        <v>#N/A</v>
      </c>
      <c r="W150" s="1" t="e">
        <f t="shared" si="74"/>
        <v>#N/A</v>
      </c>
      <c r="X150" s="1" t="e">
        <f t="shared" si="75"/>
        <v>#N/A</v>
      </c>
      <c r="Y150" s="1" t="e">
        <f t="shared" si="76"/>
        <v>#N/A</v>
      </c>
      <c r="Z150" s="1" t="e">
        <f t="shared" si="77"/>
        <v>#N/A</v>
      </c>
      <c r="AA150" s="1" t="e">
        <f t="shared" si="78"/>
        <v>#N/A</v>
      </c>
      <c r="AB150" s="1" t="e">
        <f t="shared" si="79"/>
        <v>#N/A</v>
      </c>
      <c r="AC150" s="1" t="e">
        <f t="shared" si="80"/>
        <v>#N/A</v>
      </c>
      <c r="AD150" s="1" t="e">
        <f t="shared" si="81"/>
        <v>#N/A</v>
      </c>
      <c r="AE150" s="1" t="e">
        <f t="shared" si="82"/>
        <v>#N/A</v>
      </c>
      <c r="AF150" s="1" t="e">
        <f t="shared" si="83"/>
        <v>#N/A</v>
      </c>
    </row>
    <row r="151" spans="2:32" hidden="1" x14ac:dyDescent="0.25">
      <c r="B151" s="5" t="str">
        <f t="shared" si="53"/>
        <v>X</v>
      </c>
      <c r="C151" s="1" t="e">
        <f t="shared" si="54"/>
        <v>#N/A</v>
      </c>
      <c r="D151" s="1" t="e">
        <f t="shared" si="55"/>
        <v>#N/A</v>
      </c>
      <c r="E151" s="1" t="e">
        <f t="shared" si="56"/>
        <v>#N/A</v>
      </c>
      <c r="F151" s="1" t="e">
        <f t="shared" si="57"/>
        <v>#N/A</v>
      </c>
      <c r="G151" s="1" t="e">
        <f t="shared" si="58"/>
        <v>#N/A</v>
      </c>
      <c r="H151" s="1" t="e">
        <f t="shared" si="59"/>
        <v>#N/A</v>
      </c>
      <c r="I151" s="1" t="e">
        <f t="shared" si="60"/>
        <v>#N/A</v>
      </c>
      <c r="J151" s="1" t="e">
        <f t="shared" si="61"/>
        <v>#N/A</v>
      </c>
      <c r="K151" s="1" t="e">
        <f t="shared" si="62"/>
        <v>#N/A</v>
      </c>
      <c r="L151" s="1" t="e">
        <f t="shared" si="63"/>
        <v>#N/A</v>
      </c>
      <c r="M151" s="1" t="e">
        <f t="shared" si="64"/>
        <v>#N/A</v>
      </c>
      <c r="N151" s="1" t="e">
        <f t="shared" si="65"/>
        <v>#N/A</v>
      </c>
      <c r="O151" s="1" t="e">
        <f t="shared" si="66"/>
        <v>#N/A</v>
      </c>
      <c r="P151" s="1" t="e">
        <f t="shared" si="67"/>
        <v>#N/A</v>
      </c>
      <c r="Q151" s="1" t="e">
        <f t="shared" si="68"/>
        <v>#N/A</v>
      </c>
      <c r="R151" s="1" t="e">
        <f t="shared" si="69"/>
        <v>#N/A</v>
      </c>
      <c r="S151" s="1" t="e">
        <f t="shared" si="70"/>
        <v>#N/A</v>
      </c>
      <c r="T151" s="1" t="e">
        <f t="shared" si="71"/>
        <v>#N/A</v>
      </c>
      <c r="U151" s="1" t="e">
        <f t="shared" si="72"/>
        <v>#N/A</v>
      </c>
      <c r="V151" s="1" t="e">
        <f t="shared" si="73"/>
        <v>#N/A</v>
      </c>
      <c r="W151" s="1" t="e">
        <f t="shared" si="74"/>
        <v>#N/A</v>
      </c>
      <c r="X151" s="1" t="e">
        <f t="shared" si="75"/>
        <v>#N/A</v>
      </c>
      <c r="Y151" s="1" t="e">
        <f t="shared" si="76"/>
        <v>#N/A</v>
      </c>
      <c r="Z151" s="1" t="e">
        <f t="shared" si="77"/>
        <v>#N/A</v>
      </c>
      <c r="AA151" s="1" t="e">
        <f t="shared" si="78"/>
        <v>#N/A</v>
      </c>
      <c r="AB151" s="1" t="e">
        <f t="shared" si="79"/>
        <v>#N/A</v>
      </c>
      <c r="AC151" s="1" t="e">
        <f t="shared" si="80"/>
        <v>#N/A</v>
      </c>
      <c r="AD151" s="1" t="e">
        <f t="shared" si="81"/>
        <v>#N/A</v>
      </c>
      <c r="AE151" s="1" t="e">
        <f t="shared" si="82"/>
        <v>#N/A</v>
      </c>
      <c r="AF151" s="1" t="e">
        <f t="shared" si="83"/>
        <v>#N/A</v>
      </c>
    </row>
    <row r="152" spans="2:32" hidden="1" x14ac:dyDescent="0.25">
      <c r="B152" s="5" t="str">
        <f t="shared" si="53"/>
        <v>X</v>
      </c>
      <c r="C152" s="1" t="e">
        <f t="shared" si="54"/>
        <v>#N/A</v>
      </c>
      <c r="D152" s="1" t="e">
        <f t="shared" si="55"/>
        <v>#N/A</v>
      </c>
      <c r="E152" s="1" t="e">
        <f t="shared" si="56"/>
        <v>#N/A</v>
      </c>
      <c r="F152" s="1" t="e">
        <f t="shared" si="57"/>
        <v>#N/A</v>
      </c>
      <c r="G152" s="1" t="e">
        <f t="shared" si="58"/>
        <v>#N/A</v>
      </c>
      <c r="H152" s="1" t="e">
        <f t="shared" si="59"/>
        <v>#N/A</v>
      </c>
      <c r="I152" s="1" t="e">
        <f t="shared" si="60"/>
        <v>#N/A</v>
      </c>
      <c r="J152" s="1" t="e">
        <f t="shared" si="61"/>
        <v>#N/A</v>
      </c>
      <c r="K152" s="1" t="e">
        <f t="shared" si="62"/>
        <v>#N/A</v>
      </c>
      <c r="L152" s="1" t="e">
        <f t="shared" si="63"/>
        <v>#N/A</v>
      </c>
      <c r="M152" s="1" t="e">
        <f t="shared" si="64"/>
        <v>#N/A</v>
      </c>
      <c r="N152" s="1" t="e">
        <f t="shared" si="65"/>
        <v>#N/A</v>
      </c>
      <c r="O152" s="1" t="e">
        <f t="shared" si="66"/>
        <v>#N/A</v>
      </c>
      <c r="P152" s="1" t="e">
        <f t="shared" si="67"/>
        <v>#N/A</v>
      </c>
      <c r="Q152" s="1" t="e">
        <f t="shared" si="68"/>
        <v>#N/A</v>
      </c>
      <c r="R152" s="1" t="e">
        <f t="shared" si="69"/>
        <v>#N/A</v>
      </c>
      <c r="S152" s="1" t="e">
        <f t="shared" si="70"/>
        <v>#N/A</v>
      </c>
      <c r="T152" s="1" t="e">
        <f t="shared" si="71"/>
        <v>#N/A</v>
      </c>
      <c r="U152" s="1" t="e">
        <f t="shared" si="72"/>
        <v>#N/A</v>
      </c>
      <c r="V152" s="1" t="e">
        <f t="shared" si="73"/>
        <v>#N/A</v>
      </c>
      <c r="W152" s="1" t="e">
        <f t="shared" si="74"/>
        <v>#N/A</v>
      </c>
      <c r="X152" s="1" t="e">
        <f t="shared" si="75"/>
        <v>#N/A</v>
      </c>
      <c r="Y152" s="1" t="e">
        <f t="shared" si="76"/>
        <v>#N/A</v>
      </c>
      <c r="Z152" s="1" t="e">
        <f t="shared" si="77"/>
        <v>#N/A</v>
      </c>
      <c r="AA152" s="1" t="e">
        <f t="shared" si="78"/>
        <v>#N/A</v>
      </c>
      <c r="AB152" s="1" t="e">
        <f t="shared" si="79"/>
        <v>#N/A</v>
      </c>
      <c r="AC152" s="1" t="e">
        <f t="shared" si="80"/>
        <v>#N/A</v>
      </c>
      <c r="AD152" s="1" t="e">
        <f t="shared" si="81"/>
        <v>#N/A</v>
      </c>
      <c r="AE152" s="1" t="e">
        <f t="shared" si="82"/>
        <v>#N/A</v>
      </c>
      <c r="AF152" s="1" t="e">
        <f t="shared" si="83"/>
        <v>#N/A</v>
      </c>
    </row>
    <row r="153" spans="2:32" hidden="1" x14ac:dyDescent="0.25">
      <c r="B153" s="5" t="str">
        <f t="shared" si="53"/>
        <v>X</v>
      </c>
      <c r="C153" s="1" t="e">
        <f t="shared" si="54"/>
        <v>#N/A</v>
      </c>
      <c r="D153" s="1" t="e">
        <f t="shared" si="55"/>
        <v>#N/A</v>
      </c>
      <c r="E153" s="1" t="e">
        <f t="shared" si="56"/>
        <v>#N/A</v>
      </c>
      <c r="F153" s="1" t="e">
        <f t="shared" si="57"/>
        <v>#N/A</v>
      </c>
      <c r="G153" s="1" t="e">
        <f t="shared" si="58"/>
        <v>#N/A</v>
      </c>
      <c r="H153" s="1" t="e">
        <f t="shared" si="59"/>
        <v>#N/A</v>
      </c>
      <c r="I153" s="1" t="e">
        <f t="shared" si="60"/>
        <v>#N/A</v>
      </c>
      <c r="J153" s="1" t="e">
        <f t="shared" si="61"/>
        <v>#N/A</v>
      </c>
      <c r="K153" s="1" t="e">
        <f t="shared" si="62"/>
        <v>#N/A</v>
      </c>
      <c r="L153" s="1" t="e">
        <f t="shared" si="63"/>
        <v>#N/A</v>
      </c>
      <c r="M153" s="1" t="e">
        <f t="shared" si="64"/>
        <v>#N/A</v>
      </c>
      <c r="N153" s="1" t="e">
        <f t="shared" si="65"/>
        <v>#N/A</v>
      </c>
      <c r="O153" s="1" t="e">
        <f t="shared" si="66"/>
        <v>#N/A</v>
      </c>
      <c r="P153" s="1" t="e">
        <f t="shared" si="67"/>
        <v>#N/A</v>
      </c>
      <c r="Q153" s="1" t="e">
        <f t="shared" si="68"/>
        <v>#N/A</v>
      </c>
      <c r="R153" s="1" t="e">
        <f t="shared" si="69"/>
        <v>#N/A</v>
      </c>
      <c r="S153" s="1" t="e">
        <f t="shared" si="70"/>
        <v>#N/A</v>
      </c>
      <c r="T153" s="1" t="e">
        <f t="shared" si="71"/>
        <v>#N/A</v>
      </c>
      <c r="U153" s="1" t="e">
        <f t="shared" si="72"/>
        <v>#N/A</v>
      </c>
      <c r="V153" s="1" t="e">
        <f t="shared" si="73"/>
        <v>#N/A</v>
      </c>
      <c r="W153" s="1" t="e">
        <f t="shared" si="74"/>
        <v>#N/A</v>
      </c>
      <c r="X153" s="1" t="e">
        <f t="shared" si="75"/>
        <v>#N/A</v>
      </c>
      <c r="Y153" s="1" t="e">
        <f t="shared" si="76"/>
        <v>#N/A</v>
      </c>
      <c r="Z153" s="1" t="e">
        <f t="shared" si="77"/>
        <v>#N/A</v>
      </c>
      <c r="AA153" s="1" t="e">
        <f t="shared" si="78"/>
        <v>#N/A</v>
      </c>
      <c r="AB153" s="1" t="e">
        <f t="shared" si="79"/>
        <v>#N/A</v>
      </c>
      <c r="AC153" s="1" t="e">
        <f t="shared" si="80"/>
        <v>#N/A</v>
      </c>
      <c r="AD153" s="1" t="e">
        <f t="shared" si="81"/>
        <v>#N/A</v>
      </c>
      <c r="AE153" s="1" t="e">
        <f t="shared" si="82"/>
        <v>#N/A</v>
      </c>
      <c r="AF153" s="1" t="e">
        <f t="shared" si="83"/>
        <v>#N/A</v>
      </c>
    </row>
    <row r="154" spans="2:32" hidden="1" x14ac:dyDescent="0.25">
      <c r="B154" s="5" t="str">
        <f t="shared" si="53"/>
        <v>X</v>
      </c>
      <c r="C154" s="1" t="e">
        <f t="shared" si="54"/>
        <v>#N/A</v>
      </c>
      <c r="D154" s="1" t="e">
        <f t="shared" si="55"/>
        <v>#N/A</v>
      </c>
      <c r="E154" s="1" t="e">
        <f t="shared" si="56"/>
        <v>#N/A</v>
      </c>
      <c r="F154" s="1" t="e">
        <f t="shared" si="57"/>
        <v>#N/A</v>
      </c>
      <c r="G154" s="1" t="e">
        <f t="shared" si="58"/>
        <v>#N/A</v>
      </c>
      <c r="H154" s="1" t="e">
        <f t="shared" si="59"/>
        <v>#N/A</v>
      </c>
      <c r="I154" s="1" t="e">
        <f t="shared" si="60"/>
        <v>#N/A</v>
      </c>
      <c r="J154" s="1" t="e">
        <f t="shared" si="61"/>
        <v>#N/A</v>
      </c>
      <c r="K154" s="1" t="e">
        <f t="shared" si="62"/>
        <v>#N/A</v>
      </c>
      <c r="L154" s="1" t="e">
        <f t="shared" si="63"/>
        <v>#N/A</v>
      </c>
      <c r="M154" s="1" t="e">
        <f t="shared" si="64"/>
        <v>#N/A</v>
      </c>
      <c r="N154" s="1" t="e">
        <f t="shared" si="65"/>
        <v>#N/A</v>
      </c>
      <c r="O154" s="1" t="e">
        <f t="shared" si="66"/>
        <v>#N/A</v>
      </c>
      <c r="P154" s="1" t="e">
        <f t="shared" si="67"/>
        <v>#N/A</v>
      </c>
      <c r="Q154" s="1" t="e">
        <f t="shared" si="68"/>
        <v>#N/A</v>
      </c>
      <c r="R154" s="1" t="e">
        <f t="shared" si="69"/>
        <v>#N/A</v>
      </c>
      <c r="S154" s="1" t="e">
        <f t="shared" si="70"/>
        <v>#N/A</v>
      </c>
      <c r="T154" s="1" t="e">
        <f t="shared" si="71"/>
        <v>#N/A</v>
      </c>
      <c r="U154" s="1" t="e">
        <f t="shared" si="72"/>
        <v>#N/A</v>
      </c>
      <c r="V154" s="1" t="e">
        <f t="shared" si="73"/>
        <v>#N/A</v>
      </c>
      <c r="W154" s="1" t="e">
        <f t="shared" si="74"/>
        <v>#N/A</v>
      </c>
      <c r="X154" s="1" t="e">
        <f t="shared" si="75"/>
        <v>#N/A</v>
      </c>
      <c r="Y154" s="1" t="e">
        <f t="shared" si="76"/>
        <v>#N/A</v>
      </c>
      <c r="Z154" s="1" t="e">
        <f t="shared" si="77"/>
        <v>#N/A</v>
      </c>
      <c r="AA154" s="1" t="e">
        <f t="shared" si="78"/>
        <v>#N/A</v>
      </c>
      <c r="AB154" s="1" t="e">
        <f t="shared" si="79"/>
        <v>#N/A</v>
      </c>
      <c r="AC154" s="1" t="e">
        <f t="shared" si="80"/>
        <v>#N/A</v>
      </c>
      <c r="AD154" s="1" t="e">
        <f t="shared" si="81"/>
        <v>#N/A</v>
      </c>
      <c r="AE154" s="1" t="e">
        <f t="shared" si="82"/>
        <v>#N/A</v>
      </c>
      <c r="AF154" s="1" t="e">
        <f t="shared" si="83"/>
        <v>#N/A</v>
      </c>
    </row>
    <row r="155" spans="2:32" hidden="1" x14ac:dyDescent="0.25">
      <c r="B155" s="5" t="str">
        <f t="shared" si="53"/>
        <v>X</v>
      </c>
      <c r="C155" s="1" t="e">
        <f t="shared" si="54"/>
        <v>#N/A</v>
      </c>
      <c r="D155" s="1" t="e">
        <f t="shared" si="55"/>
        <v>#N/A</v>
      </c>
      <c r="E155" s="1" t="e">
        <f t="shared" si="56"/>
        <v>#N/A</v>
      </c>
      <c r="F155" s="1" t="e">
        <f t="shared" si="57"/>
        <v>#N/A</v>
      </c>
      <c r="G155" s="1" t="e">
        <f t="shared" si="58"/>
        <v>#N/A</v>
      </c>
      <c r="H155" s="1" t="e">
        <f t="shared" si="59"/>
        <v>#N/A</v>
      </c>
      <c r="I155" s="1" t="e">
        <f t="shared" si="60"/>
        <v>#N/A</v>
      </c>
      <c r="J155" s="1" t="e">
        <f t="shared" si="61"/>
        <v>#N/A</v>
      </c>
      <c r="K155" s="1" t="e">
        <f t="shared" si="62"/>
        <v>#N/A</v>
      </c>
      <c r="L155" s="1" t="e">
        <f t="shared" si="63"/>
        <v>#N/A</v>
      </c>
      <c r="M155" s="1" t="e">
        <f t="shared" si="64"/>
        <v>#N/A</v>
      </c>
      <c r="N155" s="1" t="e">
        <f t="shared" si="65"/>
        <v>#N/A</v>
      </c>
      <c r="O155" s="1" t="e">
        <f t="shared" si="66"/>
        <v>#N/A</v>
      </c>
      <c r="P155" s="1" t="e">
        <f t="shared" si="67"/>
        <v>#N/A</v>
      </c>
      <c r="Q155" s="1" t="e">
        <f t="shared" si="68"/>
        <v>#N/A</v>
      </c>
      <c r="R155" s="1" t="e">
        <f t="shared" si="69"/>
        <v>#N/A</v>
      </c>
      <c r="S155" s="1" t="e">
        <f t="shared" si="70"/>
        <v>#N/A</v>
      </c>
      <c r="T155" s="1" t="e">
        <f t="shared" si="71"/>
        <v>#N/A</v>
      </c>
      <c r="U155" s="1" t="e">
        <f t="shared" si="72"/>
        <v>#N/A</v>
      </c>
      <c r="V155" s="1" t="e">
        <f t="shared" si="73"/>
        <v>#N/A</v>
      </c>
      <c r="W155" s="1" t="e">
        <f t="shared" si="74"/>
        <v>#N/A</v>
      </c>
      <c r="X155" s="1" t="e">
        <f t="shared" si="75"/>
        <v>#N/A</v>
      </c>
      <c r="Y155" s="1" t="e">
        <f t="shared" si="76"/>
        <v>#N/A</v>
      </c>
      <c r="Z155" s="1" t="e">
        <f t="shared" si="77"/>
        <v>#N/A</v>
      </c>
      <c r="AA155" s="1" t="e">
        <f t="shared" si="78"/>
        <v>#N/A</v>
      </c>
      <c r="AB155" s="1" t="e">
        <f t="shared" si="79"/>
        <v>#N/A</v>
      </c>
      <c r="AC155" s="1" t="e">
        <f t="shared" si="80"/>
        <v>#N/A</v>
      </c>
      <c r="AD155" s="1" t="e">
        <f t="shared" si="81"/>
        <v>#N/A</v>
      </c>
      <c r="AE155" s="1" t="e">
        <f t="shared" si="82"/>
        <v>#N/A</v>
      </c>
      <c r="AF155" s="1" t="e">
        <f t="shared" si="83"/>
        <v>#N/A</v>
      </c>
    </row>
    <row r="156" spans="2:32" hidden="1" x14ac:dyDescent="0.25">
      <c r="B156" s="5" t="str">
        <f t="shared" si="53"/>
        <v>X</v>
      </c>
      <c r="C156" s="1" t="e">
        <f t="shared" si="54"/>
        <v>#N/A</v>
      </c>
      <c r="D156" s="1" t="e">
        <f t="shared" si="55"/>
        <v>#N/A</v>
      </c>
      <c r="E156" s="1" t="e">
        <f t="shared" si="56"/>
        <v>#N/A</v>
      </c>
      <c r="F156" s="1" t="e">
        <f t="shared" si="57"/>
        <v>#N/A</v>
      </c>
      <c r="G156" s="1" t="e">
        <f t="shared" si="58"/>
        <v>#N/A</v>
      </c>
      <c r="H156" s="1" t="e">
        <f t="shared" si="59"/>
        <v>#N/A</v>
      </c>
      <c r="I156" s="1" t="e">
        <f t="shared" si="60"/>
        <v>#N/A</v>
      </c>
      <c r="J156" s="1" t="e">
        <f t="shared" si="61"/>
        <v>#N/A</v>
      </c>
      <c r="K156" s="1" t="e">
        <f t="shared" si="62"/>
        <v>#N/A</v>
      </c>
      <c r="L156" s="1" t="e">
        <f t="shared" si="63"/>
        <v>#N/A</v>
      </c>
      <c r="M156" s="1" t="e">
        <f t="shared" si="64"/>
        <v>#N/A</v>
      </c>
      <c r="N156" s="1" t="e">
        <f t="shared" si="65"/>
        <v>#N/A</v>
      </c>
      <c r="O156" s="1" t="e">
        <f t="shared" si="66"/>
        <v>#N/A</v>
      </c>
      <c r="P156" s="1" t="e">
        <f t="shared" si="67"/>
        <v>#N/A</v>
      </c>
      <c r="Q156" s="1" t="e">
        <f t="shared" si="68"/>
        <v>#N/A</v>
      </c>
      <c r="R156" s="1" t="e">
        <f t="shared" si="69"/>
        <v>#N/A</v>
      </c>
      <c r="S156" s="1" t="e">
        <f t="shared" si="70"/>
        <v>#N/A</v>
      </c>
      <c r="T156" s="1" t="e">
        <f t="shared" si="71"/>
        <v>#N/A</v>
      </c>
      <c r="U156" s="1" t="e">
        <f t="shared" si="72"/>
        <v>#N/A</v>
      </c>
      <c r="V156" s="1" t="e">
        <f t="shared" si="73"/>
        <v>#N/A</v>
      </c>
      <c r="W156" s="1" t="e">
        <f t="shared" si="74"/>
        <v>#N/A</v>
      </c>
      <c r="X156" s="1" t="e">
        <f t="shared" si="75"/>
        <v>#N/A</v>
      </c>
      <c r="Y156" s="1" t="e">
        <f t="shared" si="76"/>
        <v>#N/A</v>
      </c>
      <c r="Z156" s="1" t="e">
        <f t="shared" si="77"/>
        <v>#N/A</v>
      </c>
      <c r="AA156" s="1" t="e">
        <f t="shared" si="78"/>
        <v>#N/A</v>
      </c>
      <c r="AB156" s="1" t="e">
        <f t="shared" si="79"/>
        <v>#N/A</v>
      </c>
      <c r="AC156" s="1" t="e">
        <f t="shared" si="80"/>
        <v>#N/A</v>
      </c>
      <c r="AD156" s="1" t="e">
        <f t="shared" si="81"/>
        <v>#N/A</v>
      </c>
      <c r="AE156" s="1" t="e">
        <f t="shared" si="82"/>
        <v>#N/A</v>
      </c>
      <c r="AF156" s="1" t="e">
        <f t="shared" si="83"/>
        <v>#N/A</v>
      </c>
    </row>
    <row r="157" spans="2:32" hidden="1" x14ac:dyDescent="0.25">
      <c r="B157" s="5" t="str">
        <f t="shared" si="53"/>
        <v>X</v>
      </c>
      <c r="C157" s="1" t="e">
        <f t="shared" si="54"/>
        <v>#N/A</v>
      </c>
      <c r="D157" s="1" t="e">
        <f t="shared" si="55"/>
        <v>#N/A</v>
      </c>
      <c r="E157" s="1" t="e">
        <f t="shared" si="56"/>
        <v>#N/A</v>
      </c>
      <c r="F157" s="1" t="e">
        <f t="shared" si="57"/>
        <v>#N/A</v>
      </c>
      <c r="G157" s="1" t="e">
        <f t="shared" si="58"/>
        <v>#N/A</v>
      </c>
      <c r="H157" s="1" t="e">
        <f t="shared" si="59"/>
        <v>#N/A</v>
      </c>
      <c r="I157" s="1" t="e">
        <f t="shared" si="60"/>
        <v>#N/A</v>
      </c>
      <c r="J157" s="1" t="e">
        <f t="shared" si="61"/>
        <v>#N/A</v>
      </c>
      <c r="K157" s="1" t="e">
        <f t="shared" si="62"/>
        <v>#N/A</v>
      </c>
      <c r="L157" s="1" t="e">
        <f t="shared" si="63"/>
        <v>#N/A</v>
      </c>
      <c r="M157" s="1" t="e">
        <f t="shared" si="64"/>
        <v>#N/A</v>
      </c>
      <c r="N157" s="1" t="e">
        <f t="shared" si="65"/>
        <v>#N/A</v>
      </c>
      <c r="O157" s="1" t="e">
        <f t="shared" si="66"/>
        <v>#N/A</v>
      </c>
      <c r="P157" s="1" t="e">
        <f t="shared" si="67"/>
        <v>#N/A</v>
      </c>
      <c r="Q157" s="1" t="e">
        <f t="shared" si="68"/>
        <v>#N/A</v>
      </c>
      <c r="R157" s="1" t="e">
        <f t="shared" si="69"/>
        <v>#N/A</v>
      </c>
      <c r="S157" s="1" t="e">
        <f t="shared" si="70"/>
        <v>#N/A</v>
      </c>
      <c r="T157" s="1" t="e">
        <f t="shared" si="71"/>
        <v>#N/A</v>
      </c>
      <c r="U157" s="1" t="e">
        <f t="shared" si="72"/>
        <v>#N/A</v>
      </c>
      <c r="V157" s="1" t="e">
        <f t="shared" si="73"/>
        <v>#N/A</v>
      </c>
      <c r="W157" s="1" t="e">
        <f t="shared" si="74"/>
        <v>#N/A</v>
      </c>
      <c r="X157" s="1" t="e">
        <f t="shared" si="75"/>
        <v>#N/A</v>
      </c>
      <c r="Y157" s="1" t="e">
        <f t="shared" si="76"/>
        <v>#N/A</v>
      </c>
      <c r="Z157" s="1" t="e">
        <f t="shared" si="77"/>
        <v>#N/A</v>
      </c>
      <c r="AA157" s="1" t="e">
        <f t="shared" si="78"/>
        <v>#N/A</v>
      </c>
      <c r="AB157" s="1" t="e">
        <f t="shared" si="79"/>
        <v>#N/A</v>
      </c>
      <c r="AC157" s="1" t="e">
        <f t="shared" si="80"/>
        <v>#N/A</v>
      </c>
      <c r="AD157" s="1" t="e">
        <f t="shared" si="81"/>
        <v>#N/A</v>
      </c>
      <c r="AE157" s="1" t="e">
        <f t="shared" si="82"/>
        <v>#N/A</v>
      </c>
      <c r="AF157" s="1" t="e">
        <f t="shared" si="83"/>
        <v>#N/A</v>
      </c>
    </row>
    <row r="158" spans="2:32" hidden="1" x14ac:dyDescent="0.25">
      <c r="B158" s="5" t="str">
        <f t="shared" si="53"/>
        <v>X</v>
      </c>
      <c r="C158" s="1" t="e">
        <f t="shared" si="54"/>
        <v>#N/A</v>
      </c>
      <c r="D158" s="1" t="e">
        <f t="shared" si="55"/>
        <v>#N/A</v>
      </c>
      <c r="E158" s="1" t="e">
        <f t="shared" si="56"/>
        <v>#N/A</v>
      </c>
      <c r="F158" s="1" t="e">
        <f t="shared" si="57"/>
        <v>#N/A</v>
      </c>
      <c r="G158" s="1" t="e">
        <f t="shared" si="58"/>
        <v>#N/A</v>
      </c>
      <c r="H158" s="1" t="e">
        <f t="shared" si="59"/>
        <v>#N/A</v>
      </c>
      <c r="I158" s="1" t="e">
        <f t="shared" si="60"/>
        <v>#N/A</v>
      </c>
      <c r="J158" s="1" t="e">
        <f t="shared" si="61"/>
        <v>#N/A</v>
      </c>
      <c r="K158" s="1" t="e">
        <f t="shared" si="62"/>
        <v>#N/A</v>
      </c>
      <c r="L158" s="1" t="e">
        <f t="shared" si="63"/>
        <v>#N/A</v>
      </c>
      <c r="M158" s="1" t="e">
        <f t="shared" si="64"/>
        <v>#N/A</v>
      </c>
      <c r="N158" s="1" t="e">
        <f t="shared" si="65"/>
        <v>#N/A</v>
      </c>
      <c r="O158" s="1" t="e">
        <f t="shared" si="66"/>
        <v>#N/A</v>
      </c>
      <c r="P158" s="1" t="e">
        <f t="shared" si="67"/>
        <v>#N/A</v>
      </c>
      <c r="Q158" s="1" t="e">
        <f t="shared" si="68"/>
        <v>#N/A</v>
      </c>
      <c r="R158" s="1" t="e">
        <f t="shared" si="69"/>
        <v>#N/A</v>
      </c>
      <c r="S158" s="1" t="e">
        <f t="shared" si="70"/>
        <v>#N/A</v>
      </c>
      <c r="T158" s="1" t="e">
        <f t="shared" si="71"/>
        <v>#N/A</v>
      </c>
      <c r="U158" s="1" t="e">
        <f t="shared" si="72"/>
        <v>#N/A</v>
      </c>
      <c r="V158" s="1" t="e">
        <f t="shared" si="73"/>
        <v>#N/A</v>
      </c>
      <c r="W158" s="1" t="e">
        <f t="shared" si="74"/>
        <v>#N/A</v>
      </c>
      <c r="X158" s="1" t="e">
        <f t="shared" si="75"/>
        <v>#N/A</v>
      </c>
      <c r="Y158" s="1" t="e">
        <f t="shared" si="76"/>
        <v>#N/A</v>
      </c>
      <c r="Z158" s="1" t="e">
        <f t="shared" si="77"/>
        <v>#N/A</v>
      </c>
      <c r="AA158" s="1" t="e">
        <f t="shared" si="78"/>
        <v>#N/A</v>
      </c>
      <c r="AB158" s="1" t="e">
        <f t="shared" si="79"/>
        <v>#N/A</v>
      </c>
      <c r="AC158" s="1" t="e">
        <f t="shared" si="80"/>
        <v>#N/A</v>
      </c>
      <c r="AD158" s="1" t="e">
        <f t="shared" si="81"/>
        <v>#N/A</v>
      </c>
      <c r="AE158" s="1" t="e">
        <f t="shared" si="82"/>
        <v>#N/A</v>
      </c>
      <c r="AF158" s="1" t="e">
        <f t="shared" si="83"/>
        <v>#N/A</v>
      </c>
    </row>
    <row r="159" spans="2:32" hidden="1" x14ac:dyDescent="0.25">
      <c r="B159" s="5" t="str">
        <f t="shared" si="53"/>
        <v>X</v>
      </c>
      <c r="C159" s="1" t="e">
        <f t="shared" si="54"/>
        <v>#N/A</v>
      </c>
      <c r="D159" s="1" t="e">
        <f t="shared" si="55"/>
        <v>#N/A</v>
      </c>
      <c r="E159" s="1" t="e">
        <f t="shared" si="56"/>
        <v>#N/A</v>
      </c>
      <c r="F159" s="1" t="e">
        <f t="shared" si="57"/>
        <v>#N/A</v>
      </c>
      <c r="G159" s="1" t="e">
        <f t="shared" si="58"/>
        <v>#N/A</v>
      </c>
      <c r="H159" s="1" t="e">
        <f t="shared" si="59"/>
        <v>#N/A</v>
      </c>
      <c r="I159" s="1" t="e">
        <f t="shared" si="60"/>
        <v>#N/A</v>
      </c>
      <c r="J159" s="1" t="e">
        <f t="shared" si="61"/>
        <v>#N/A</v>
      </c>
      <c r="K159" s="1" t="e">
        <f t="shared" si="62"/>
        <v>#N/A</v>
      </c>
      <c r="L159" s="1" t="e">
        <f t="shared" si="63"/>
        <v>#N/A</v>
      </c>
      <c r="M159" s="1" t="e">
        <f t="shared" si="64"/>
        <v>#N/A</v>
      </c>
      <c r="N159" s="1" t="e">
        <f t="shared" si="65"/>
        <v>#N/A</v>
      </c>
      <c r="O159" s="1" t="e">
        <f t="shared" si="66"/>
        <v>#N/A</v>
      </c>
      <c r="P159" s="1" t="e">
        <f t="shared" si="67"/>
        <v>#N/A</v>
      </c>
      <c r="Q159" s="1" t="e">
        <f t="shared" si="68"/>
        <v>#N/A</v>
      </c>
      <c r="R159" s="1" t="e">
        <f t="shared" si="69"/>
        <v>#N/A</v>
      </c>
      <c r="S159" s="1" t="e">
        <f t="shared" si="70"/>
        <v>#N/A</v>
      </c>
      <c r="T159" s="1" t="e">
        <f t="shared" si="71"/>
        <v>#N/A</v>
      </c>
      <c r="U159" s="1" t="e">
        <f t="shared" si="72"/>
        <v>#N/A</v>
      </c>
      <c r="V159" s="1" t="e">
        <f t="shared" si="73"/>
        <v>#N/A</v>
      </c>
      <c r="W159" s="1" t="e">
        <f t="shared" si="74"/>
        <v>#N/A</v>
      </c>
      <c r="X159" s="1" t="e">
        <f t="shared" si="75"/>
        <v>#N/A</v>
      </c>
      <c r="Y159" s="1" t="e">
        <f t="shared" si="76"/>
        <v>#N/A</v>
      </c>
      <c r="Z159" s="1" t="e">
        <f t="shared" si="77"/>
        <v>#N/A</v>
      </c>
      <c r="AA159" s="1" t="e">
        <f t="shared" si="78"/>
        <v>#N/A</v>
      </c>
      <c r="AB159" s="1" t="e">
        <f t="shared" si="79"/>
        <v>#N/A</v>
      </c>
      <c r="AC159" s="1" t="e">
        <f t="shared" si="80"/>
        <v>#N/A</v>
      </c>
      <c r="AD159" s="1" t="e">
        <f t="shared" si="81"/>
        <v>#N/A</v>
      </c>
      <c r="AE159" s="1" t="e">
        <f t="shared" si="82"/>
        <v>#N/A</v>
      </c>
      <c r="AF159" s="1" t="e">
        <f t="shared" si="83"/>
        <v>#N/A</v>
      </c>
    </row>
    <row r="160" spans="2:32" hidden="1" x14ac:dyDescent="0.25">
      <c r="B160" s="5" t="str">
        <f t="shared" si="53"/>
        <v>X</v>
      </c>
      <c r="C160" s="1" t="e">
        <f t="shared" si="54"/>
        <v>#N/A</v>
      </c>
      <c r="D160" s="1" t="e">
        <f t="shared" si="55"/>
        <v>#N/A</v>
      </c>
      <c r="E160" s="1" t="e">
        <f t="shared" si="56"/>
        <v>#N/A</v>
      </c>
      <c r="F160" s="1" t="e">
        <f t="shared" si="57"/>
        <v>#N/A</v>
      </c>
      <c r="G160" s="1" t="e">
        <f t="shared" si="58"/>
        <v>#N/A</v>
      </c>
      <c r="H160" s="1" t="e">
        <f t="shared" si="59"/>
        <v>#N/A</v>
      </c>
      <c r="I160" s="1" t="e">
        <f t="shared" si="60"/>
        <v>#N/A</v>
      </c>
      <c r="J160" s="1" t="e">
        <f t="shared" si="61"/>
        <v>#N/A</v>
      </c>
      <c r="K160" s="1" t="e">
        <f t="shared" si="62"/>
        <v>#N/A</v>
      </c>
      <c r="L160" s="1" t="e">
        <f t="shared" si="63"/>
        <v>#N/A</v>
      </c>
      <c r="M160" s="1" t="e">
        <f t="shared" si="64"/>
        <v>#N/A</v>
      </c>
      <c r="N160" s="1" t="e">
        <f t="shared" si="65"/>
        <v>#N/A</v>
      </c>
      <c r="O160" s="1" t="e">
        <f t="shared" si="66"/>
        <v>#N/A</v>
      </c>
      <c r="P160" s="1" t="e">
        <f t="shared" si="67"/>
        <v>#N/A</v>
      </c>
      <c r="Q160" s="1" t="e">
        <f t="shared" si="68"/>
        <v>#N/A</v>
      </c>
      <c r="R160" s="1" t="e">
        <f t="shared" si="69"/>
        <v>#N/A</v>
      </c>
      <c r="S160" s="1" t="e">
        <f t="shared" si="70"/>
        <v>#N/A</v>
      </c>
      <c r="T160" s="1" t="e">
        <f t="shared" si="71"/>
        <v>#N/A</v>
      </c>
      <c r="U160" s="1" t="e">
        <f t="shared" si="72"/>
        <v>#N/A</v>
      </c>
      <c r="V160" s="1" t="e">
        <f t="shared" si="73"/>
        <v>#N/A</v>
      </c>
      <c r="W160" s="1" t="e">
        <f t="shared" si="74"/>
        <v>#N/A</v>
      </c>
      <c r="X160" s="1" t="e">
        <f t="shared" si="75"/>
        <v>#N/A</v>
      </c>
      <c r="Y160" s="1" t="e">
        <f t="shared" si="76"/>
        <v>#N/A</v>
      </c>
      <c r="Z160" s="1" t="e">
        <f t="shared" si="77"/>
        <v>#N/A</v>
      </c>
      <c r="AA160" s="1" t="e">
        <f t="shared" si="78"/>
        <v>#N/A</v>
      </c>
      <c r="AB160" s="1" t="e">
        <f t="shared" si="79"/>
        <v>#N/A</v>
      </c>
      <c r="AC160" s="1" t="e">
        <f t="shared" si="80"/>
        <v>#N/A</v>
      </c>
      <c r="AD160" s="1" t="e">
        <f t="shared" si="81"/>
        <v>#N/A</v>
      </c>
      <c r="AE160" s="1" t="e">
        <f t="shared" si="82"/>
        <v>#N/A</v>
      </c>
      <c r="AF160" s="1" t="e">
        <f t="shared" si="83"/>
        <v>#N/A</v>
      </c>
    </row>
    <row r="161" spans="2:32" hidden="1" x14ac:dyDescent="0.25">
      <c r="B161" s="5" t="str">
        <f t="shared" si="53"/>
        <v>X</v>
      </c>
      <c r="C161" s="1" t="e">
        <f t="shared" si="54"/>
        <v>#N/A</v>
      </c>
      <c r="D161" s="1" t="e">
        <f t="shared" si="55"/>
        <v>#N/A</v>
      </c>
      <c r="E161" s="1" t="e">
        <f t="shared" si="56"/>
        <v>#N/A</v>
      </c>
      <c r="F161" s="1" t="e">
        <f t="shared" si="57"/>
        <v>#N/A</v>
      </c>
      <c r="G161" s="1" t="e">
        <f t="shared" si="58"/>
        <v>#N/A</v>
      </c>
      <c r="H161" s="1" t="e">
        <f t="shared" si="59"/>
        <v>#N/A</v>
      </c>
      <c r="I161" s="1" t="e">
        <f t="shared" si="60"/>
        <v>#N/A</v>
      </c>
      <c r="J161" s="1" t="e">
        <f t="shared" si="61"/>
        <v>#N/A</v>
      </c>
      <c r="K161" s="1" t="e">
        <f t="shared" si="62"/>
        <v>#N/A</v>
      </c>
      <c r="L161" s="1" t="e">
        <f t="shared" si="63"/>
        <v>#N/A</v>
      </c>
      <c r="M161" s="1" t="e">
        <f t="shared" si="64"/>
        <v>#N/A</v>
      </c>
      <c r="N161" s="1" t="e">
        <f t="shared" si="65"/>
        <v>#N/A</v>
      </c>
      <c r="O161" s="1" t="e">
        <f t="shared" si="66"/>
        <v>#N/A</v>
      </c>
      <c r="P161" s="1" t="e">
        <f t="shared" si="67"/>
        <v>#N/A</v>
      </c>
      <c r="Q161" s="1" t="e">
        <f t="shared" si="68"/>
        <v>#N/A</v>
      </c>
      <c r="R161" s="1" t="e">
        <f t="shared" si="69"/>
        <v>#N/A</v>
      </c>
      <c r="S161" s="1" t="e">
        <f t="shared" si="70"/>
        <v>#N/A</v>
      </c>
      <c r="T161" s="1" t="e">
        <f t="shared" si="71"/>
        <v>#N/A</v>
      </c>
      <c r="U161" s="1" t="e">
        <f t="shared" si="72"/>
        <v>#N/A</v>
      </c>
      <c r="V161" s="1" t="e">
        <f t="shared" si="73"/>
        <v>#N/A</v>
      </c>
      <c r="W161" s="1" t="e">
        <f t="shared" si="74"/>
        <v>#N/A</v>
      </c>
      <c r="X161" s="1" t="e">
        <f t="shared" si="75"/>
        <v>#N/A</v>
      </c>
      <c r="Y161" s="1" t="e">
        <f t="shared" si="76"/>
        <v>#N/A</v>
      </c>
      <c r="Z161" s="1" t="e">
        <f t="shared" si="77"/>
        <v>#N/A</v>
      </c>
      <c r="AA161" s="1" t="e">
        <f t="shared" si="78"/>
        <v>#N/A</v>
      </c>
      <c r="AB161" s="1" t="e">
        <f t="shared" si="79"/>
        <v>#N/A</v>
      </c>
      <c r="AC161" s="1" t="e">
        <f t="shared" si="80"/>
        <v>#N/A</v>
      </c>
      <c r="AD161" s="1" t="e">
        <f t="shared" si="81"/>
        <v>#N/A</v>
      </c>
      <c r="AE161" s="1" t="e">
        <f t="shared" si="82"/>
        <v>#N/A</v>
      </c>
      <c r="AF161" s="1" t="e">
        <f t="shared" si="83"/>
        <v>#N/A</v>
      </c>
    </row>
    <row r="162" spans="2:32" hidden="1" x14ac:dyDescent="0.25">
      <c r="B162" s="5" t="str">
        <f t="shared" si="53"/>
        <v>X</v>
      </c>
      <c r="C162" s="1" t="e">
        <f t="shared" si="54"/>
        <v>#N/A</v>
      </c>
      <c r="D162" s="1" t="e">
        <f t="shared" si="55"/>
        <v>#N/A</v>
      </c>
      <c r="E162" s="1" t="e">
        <f t="shared" si="56"/>
        <v>#N/A</v>
      </c>
      <c r="F162" s="1" t="e">
        <f t="shared" si="57"/>
        <v>#N/A</v>
      </c>
      <c r="G162" s="1" t="e">
        <f t="shared" si="58"/>
        <v>#N/A</v>
      </c>
      <c r="H162" s="1" t="e">
        <f t="shared" si="59"/>
        <v>#N/A</v>
      </c>
      <c r="I162" s="1" t="e">
        <f t="shared" si="60"/>
        <v>#N/A</v>
      </c>
      <c r="J162" s="1" t="e">
        <f t="shared" si="61"/>
        <v>#N/A</v>
      </c>
      <c r="K162" s="1" t="e">
        <f t="shared" si="62"/>
        <v>#N/A</v>
      </c>
      <c r="L162" s="1" t="e">
        <f t="shared" si="63"/>
        <v>#N/A</v>
      </c>
      <c r="M162" s="1" t="e">
        <f t="shared" si="64"/>
        <v>#N/A</v>
      </c>
      <c r="N162" s="1" t="e">
        <f t="shared" si="65"/>
        <v>#N/A</v>
      </c>
      <c r="O162" s="1" t="e">
        <f t="shared" si="66"/>
        <v>#N/A</v>
      </c>
      <c r="P162" s="1" t="e">
        <f t="shared" si="67"/>
        <v>#N/A</v>
      </c>
      <c r="Q162" s="1" t="e">
        <f t="shared" si="68"/>
        <v>#N/A</v>
      </c>
      <c r="R162" s="1" t="e">
        <f t="shared" si="69"/>
        <v>#N/A</v>
      </c>
      <c r="S162" s="1" t="e">
        <f t="shared" si="70"/>
        <v>#N/A</v>
      </c>
      <c r="T162" s="1" t="e">
        <f t="shared" si="71"/>
        <v>#N/A</v>
      </c>
      <c r="U162" s="1" t="e">
        <f t="shared" si="72"/>
        <v>#N/A</v>
      </c>
      <c r="V162" s="1" t="e">
        <f t="shared" si="73"/>
        <v>#N/A</v>
      </c>
      <c r="W162" s="1" t="e">
        <f t="shared" si="74"/>
        <v>#N/A</v>
      </c>
      <c r="X162" s="1" t="e">
        <f t="shared" si="75"/>
        <v>#N/A</v>
      </c>
      <c r="Y162" s="1" t="e">
        <f t="shared" si="76"/>
        <v>#N/A</v>
      </c>
      <c r="Z162" s="1" t="e">
        <f t="shared" si="77"/>
        <v>#N/A</v>
      </c>
      <c r="AA162" s="1" t="e">
        <f t="shared" si="78"/>
        <v>#N/A</v>
      </c>
      <c r="AB162" s="1" t="e">
        <f t="shared" si="79"/>
        <v>#N/A</v>
      </c>
      <c r="AC162" s="1" t="e">
        <f t="shared" si="80"/>
        <v>#N/A</v>
      </c>
      <c r="AD162" s="1" t="e">
        <f t="shared" si="81"/>
        <v>#N/A</v>
      </c>
      <c r="AE162" s="1" t="e">
        <f t="shared" si="82"/>
        <v>#N/A</v>
      </c>
      <c r="AF162" s="1" t="e">
        <f t="shared" si="83"/>
        <v>#N/A</v>
      </c>
    </row>
    <row r="163" spans="2:32" hidden="1" x14ac:dyDescent="0.25">
      <c r="B163" s="5" t="str">
        <f t="shared" si="53"/>
        <v>X</v>
      </c>
      <c r="C163" s="1" t="e">
        <f t="shared" si="54"/>
        <v>#N/A</v>
      </c>
      <c r="D163" s="1" t="e">
        <f t="shared" si="55"/>
        <v>#N/A</v>
      </c>
      <c r="E163" s="1" t="e">
        <f t="shared" si="56"/>
        <v>#N/A</v>
      </c>
      <c r="F163" s="1" t="e">
        <f t="shared" si="57"/>
        <v>#N/A</v>
      </c>
      <c r="G163" s="1" t="e">
        <f t="shared" si="58"/>
        <v>#N/A</v>
      </c>
      <c r="H163" s="1" t="e">
        <f t="shared" si="59"/>
        <v>#N/A</v>
      </c>
      <c r="I163" s="1" t="e">
        <f t="shared" si="60"/>
        <v>#N/A</v>
      </c>
      <c r="J163" s="1" t="e">
        <f t="shared" si="61"/>
        <v>#N/A</v>
      </c>
      <c r="K163" s="1" t="e">
        <f t="shared" si="62"/>
        <v>#N/A</v>
      </c>
      <c r="L163" s="1" t="e">
        <f t="shared" si="63"/>
        <v>#N/A</v>
      </c>
      <c r="M163" s="1" t="e">
        <f t="shared" si="64"/>
        <v>#N/A</v>
      </c>
      <c r="N163" s="1" t="e">
        <f t="shared" si="65"/>
        <v>#N/A</v>
      </c>
      <c r="O163" s="1" t="e">
        <f t="shared" si="66"/>
        <v>#N/A</v>
      </c>
      <c r="P163" s="1" t="e">
        <f t="shared" si="67"/>
        <v>#N/A</v>
      </c>
      <c r="Q163" s="1" t="e">
        <f t="shared" si="68"/>
        <v>#N/A</v>
      </c>
      <c r="R163" s="1" t="e">
        <f t="shared" si="69"/>
        <v>#N/A</v>
      </c>
      <c r="S163" s="1" t="e">
        <f t="shared" si="70"/>
        <v>#N/A</v>
      </c>
      <c r="T163" s="1" t="e">
        <f t="shared" si="71"/>
        <v>#N/A</v>
      </c>
      <c r="U163" s="1" t="e">
        <f t="shared" si="72"/>
        <v>#N/A</v>
      </c>
      <c r="V163" s="1" t="e">
        <f t="shared" si="73"/>
        <v>#N/A</v>
      </c>
      <c r="W163" s="1" t="e">
        <f t="shared" si="74"/>
        <v>#N/A</v>
      </c>
      <c r="X163" s="1" t="e">
        <f t="shared" si="75"/>
        <v>#N/A</v>
      </c>
      <c r="Y163" s="1" t="e">
        <f t="shared" si="76"/>
        <v>#N/A</v>
      </c>
      <c r="Z163" s="1" t="e">
        <f t="shared" si="77"/>
        <v>#N/A</v>
      </c>
      <c r="AA163" s="1" t="e">
        <f t="shared" si="78"/>
        <v>#N/A</v>
      </c>
      <c r="AB163" s="1" t="e">
        <f t="shared" si="79"/>
        <v>#N/A</v>
      </c>
      <c r="AC163" s="1" t="e">
        <f t="shared" si="80"/>
        <v>#N/A</v>
      </c>
      <c r="AD163" s="1" t="e">
        <f t="shared" si="81"/>
        <v>#N/A</v>
      </c>
      <c r="AE163" s="1" t="e">
        <f t="shared" si="82"/>
        <v>#N/A</v>
      </c>
      <c r="AF163" s="1" t="e">
        <f t="shared" si="83"/>
        <v>#N/A</v>
      </c>
    </row>
    <row r="164" spans="2:32" hidden="1" x14ac:dyDescent="0.25">
      <c r="B164" s="5" t="str">
        <f t="shared" si="53"/>
        <v>X</v>
      </c>
      <c r="C164" s="1" t="e">
        <f t="shared" si="54"/>
        <v>#N/A</v>
      </c>
      <c r="D164" s="1" t="e">
        <f t="shared" si="55"/>
        <v>#N/A</v>
      </c>
      <c r="E164" s="1" t="e">
        <f t="shared" si="56"/>
        <v>#N/A</v>
      </c>
      <c r="F164" s="1" t="e">
        <f t="shared" si="57"/>
        <v>#N/A</v>
      </c>
      <c r="G164" s="1" t="e">
        <f t="shared" si="58"/>
        <v>#N/A</v>
      </c>
      <c r="H164" s="1" t="e">
        <f t="shared" si="59"/>
        <v>#N/A</v>
      </c>
      <c r="I164" s="1" t="e">
        <f t="shared" si="60"/>
        <v>#N/A</v>
      </c>
      <c r="J164" s="1" t="e">
        <f t="shared" si="61"/>
        <v>#N/A</v>
      </c>
      <c r="K164" s="1" t="e">
        <f t="shared" si="62"/>
        <v>#N/A</v>
      </c>
      <c r="L164" s="1" t="e">
        <f t="shared" si="63"/>
        <v>#N/A</v>
      </c>
      <c r="M164" s="1" t="e">
        <f t="shared" si="64"/>
        <v>#N/A</v>
      </c>
      <c r="N164" s="1" t="e">
        <f t="shared" si="65"/>
        <v>#N/A</v>
      </c>
      <c r="O164" s="1" t="e">
        <f t="shared" si="66"/>
        <v>#N/A</v>
      </c>
      <c r="P164" s="1" t="e">
        <f t="shared" si="67"/>
        <v>#N/A</v>
      </c>
      <c r="Q164" s="1" t="e">
        <f t="shared" si="68"/>
        <v>#N/A</v>
      </c>
      <c r="R164" s="1" t="e">
        <f t="shared" si="69"/>
        <v>#N/A</v>
      </c>
      <c r="S164" s="1" t="e">
        <f t="shared" si="70"/>
        <v>#N/A</v>
      </c>
      <c r="T164" s="1" t="e">
        <f t="shared" si="71"/>
        <v>#N/A</v>
      </c>
      <c r="U164" s="1" t="e">
        <f t="shared" si="72"/>
        <v>#N/A</v>
      </c>
      <c r="V164" s="1" t="e">
        <f t="shared" si="73"/>
        <v>#N/A</v>
      </c>
      <c r="W164" s="1" t="e">
        <f t="shared" si="74"/>
        <v>#N/A</v>
      </c>
      <c r="X164" s="1" t="e">
        <f t="shared" si="75"/>
        <v>#N/A</v>
      </c>
      <c r="Y164" s="1" t="e">
        <f t="shared" si="76"/>
        <v>#N/A</v>
      </c>
      <c r="Z164" s="1" t="e">
        <f t="shared" si="77"/>
        <v>#N/A</v>
      </c>
      <c r="AA164" s="1" t="e">
        <f t="shared" si="78"/>
        <v>#N/A</v>
      </c>
      <c r="AB164" s="1" t="e">
        <f t="shared" si="79"/>
        <v>#N/A</v>
      </c>
      <c r="AC164" s="1" t="e">
        <f t="shared" si="80"/>
        <v>#N/A</v>
      </c>
      <c r="AD164" s="1" t="e">
        <f t="shared" si="81"/>
        <v>#N/A</v>
      </c>
      <c r="AE164" s="1" t="e">
        <f t="shared" si="82"/>
        <v>#N/A</v>
      </c>
      <c r="AF164" s="1" t="e">
        <f t="shared" si="83"/>
        <v>#N/A</v>
      </c>
    </row>
    <row r="165" spans="2:32" hidden="1" x14ac:dyDescent="0.25">
      <c r="B165" s="5" t="str">
        <f t="shared" si="53"/>
        <v>X</v>
      </c>
      <c r="C165" s="1" t="e">
        <f t="shared" si="54"/>
        <v>#N/A</v>
      </c>
      <c r="D165" s="1" t="e">
        <f t="shared" si="55"/>
        <v>#N/A</v>
      </c>
      <c r="E165" s="1" t="e">
        <f t="shared" si="56"/>
        <v>#N/A</v>
      </c>
      <c r="F165" s="1" t="e">
        <f t="shared" si="57"/>
        <v>#N/A</v>
      </c>
      <c r="G165" s="1" t="e">
        <f t="shared" si="58"/>
        <v>#N/A</v>
      </c>
      <c r="H165" s="1" t="e">
        <f t="shared" si="59"/>
        <v>#N/A</v>
      </c>
      <c r="I165" s="1" t="e">
        <f t="shared" si="60"/>
        <v>#N/A</v>
      </c>
      <c r="J165" s="1" t="e">
        <f t="shared" si="61"/>
        <v>#N/A</v>
      </c>
      <c r="K165" s="1" t="e">
        <f t="shared" si="62"/>
        <v>#N/A</v>
      </c>
      <c r="L165" s="1" t="e">
        <f t="shared" si="63"/>
        <v>#N/A</v>
      </c>
      <c r="M165" s="1" t="e">
        <f t="shared" si="64"/>
        <v>#N/A</v>
      </c>
      <c r="N165" s="1" t="e">
        <f t="shared" si="65"/>
        <v>#N/A</v>
      </c>
      <c r="O165" s="1" t="e">
        <f t="shared" si="66"/>
        <v>#N/A</v>
      </c>
      <c r="P165" s="1" t="e">
        <f t="shared" si="67"/>
        <v>#N/A</v>
      </c>
      <c r="Q165" s="1" t="e">
        <f t="shared" si="68"/>
        <v>#N/A</v>
      </c>
      <c r="R165" s="1" t="e">
        <f t="shared" si="69"/>
        <v>#N/A</v>
      </c>
      <c r="S165" s="1" t="e">
        <f t="shared" si="70"/>
        <v>#N/A</v>
      </c>
      <c r="T165" s="1" t="e">
        <f t="shared" si="71"/>
        <v>#N/A</v>
      </c>
      <c r="U165" s="1" t="e">
        <f t="shared" si="72"/>
        <v>#N/A</v>
      </c>
      <c r="V165" s="1" t="e">
        <f t="shared" si="73"/>
        <v>#N/A</v>
      </c>
      <c r="W165" s="1" t="e">
        <f t="shared" si="74"/>
        <v>#N/A</v>
      </c>
      <c r="X165" s="1" t="e">
        <f t="shared" si="75"/>
        <v>#N/A</v>
      </c>
      <c r="Y165" s="1" t="e">
        <f t="shared" si="76"/>
        <v>#N/A</v>
      </c>
      <c r="Z165" s="1" t="e">
        <f t="shared" si="77"/>
        <v>#N/A</v>
      </c>
      <c r="AA165" s="1" t="e">
        <f t="shared" si="78"/>
        <v>#N/A</v>
      </c>
      <c r="AB165" s="1" t="e">
        <f t="shared" si="79"/>
        <v>#N/A</v>
      </c>
      <c r="AC165" s="1" t="e">
        <f t="shared" si="80"/>
        <v>#N/A</v>
      </c>
      <c r="AD165" s="1" t="e">
        <f t="shared" si="81"/>
        <v>#N/A</v>
      </c>
      <c r="AE165" s="1" t="e">
        <f t="shared" si="82"/>
        <v>#N/A</v>
      </c>
      <c r="AF165" s="1" t="e">
        <f t="shared" si="83"/>
        <v>#N/A</v>
      </c>
    </row>
    <row r="166" spans="2:32" hidden="1" x14ac:dyDescent="0.25">
      <c r="B166" s="5" t="str">
        <f t="shared" si="53"/>
        <v>X</v>
      </c>
      <c r="C166" s="1" t="e">
        <f t="shared" si="54"/>
        <v>#N/A</v>
      </c>
      <c r="D166" s="1" t="e">
        <f t="shared" si="55"/>
        <v>#N/A</v>
      </c>
      <c r="E166" s="1" t="e">
        <f t="shared" si="56"/>
        <v>#N/A</v>
      </c>
      <c r="F166" s="1" t="e">
        <f t="shared" si="57"/>
        <v>#N/A</v>
      </c>
      <c r="G166" s="1" t="e">
        <f t="shared" si="58"/>
        <v>#N/A</v>
      </c>
      <c r="H166" s="1" t="e">
        <f t="shared" si="59"/>
        <v>#N/A</v>
      </c>
      <c r="I166" s="1" t="e">
        <f t="shared" si="60"/>
        <v>#N/A</v>
      </c>
      <c r="J166" s="1" t="e">
        <f t="shared" si="61"/>
        <v>#N/A</v>
      </c>
      <c r="K166" s="1" t="e">
        <f t="shared" si="62"/>
        <v>#N/A</v>
      </c>
      <c r="L166" s="1" t="e">
        <f t="shared" si="63"/>
        <v>#N/A</v>
      </c>
      <c r="M166" s="1" t="e">
        <f t="shared" si="64"/>
        <v>#N/A</v>
      </c>
      <c r="N166" s="1" t="e">
        <f t="shared" si="65"/>
        <v>#N/A</v>
      </c>
      <c r="O166" s="1" t="e">
        <f t="shared" si="66"/>
        <v>#N/A</v>
      </c>
      <c r="P166" s="1" t="e">
        <f t="shared" si="67"/>
        <v>#N/A</v>
      </c>
      <c r="Q166" s="1" t="e">
        <f t="shared" si="68"/>
        <v>#N/A</v>
      </c>
      <c r="R166" s="1" t="e">
        <f t="shared" si="69"/>
        <v>#N/A</v>
      </c>
      <c r="S166" s="1" t="e">
        <f t="shared" si="70"/>
        <v>#N/A</v>
      </c>
      <c r="T166" s="1" t="e">
        <f t="shared" si="71"/>
        <v>#N/A</v>
      </c>
      <c r="U166" s="1" t="e">
        <f t="shared" si="72"/>
        <v>#N/A</v>
      </c>
      <c r="V166" s="1" t="e">
        <f t="shared" si="73"/>
        <v>#N/A</v>
      </c>
      <c r="W166" s="1" t="e">
        <f t="shared" si="74"/>
        <v>#N/A</v>
      </c>
      <c r="X166" s="1" t="e">
        <f t="shared" si="75"/>
        <v>#N/A</v>
      </c>
      <c r="Y166" s="1" t="e">
        <f t="shared" si="76"/>
        <v>#N/A</v>
      </c>
      <c r="Z166" s="1" t="e">
        <f t="shared" si="77"/>
        <v>#N/A</v>
      </c>
      <c r="AA166" s="1" t="e">
        <f t="shared" si="78"/>
        <v>#N/A</v>
      </c>
      <c r="AB166" s="1" t="e">
        <f t="shared" si="79"/>
        <v>#N/A</v>
      </c>
      <c r="AC166" s="1" t="e">
        <f t="shared" si="80"/>
        <v>#N/A</v>
      </c>
      <c r="AD166" s="1" t="e">
        <f t="shared" si="81"/>
        <v>#N/A</v>
      </c>
      <c r="AE166" s="1" t="e">
        <f t="shared" si="82"/>
        <v>#N/A</v>
      </c>
      <c r="AF166" s="1" t="e">
        <f t="shared" si="83"/>
        <v>#N/A</v>
      </c>
    </row>
    <row r="167" spans="2:32" hidden="1" x14ac:dyDescent="0.25">
      <c r="B167" s="5" t="str">
        <f t="shared" si="53"/>
        <v>X</v>
      </c>
      <c r="C167" s="1" t="e">
        <f t="shared" si="54"/>
        <v>#N/A</v>
      </c>
      <c r="D167" s="1" t="e">
        <f t="shared" si="55"/>
        <v>#N/A</v>
      </c>
      <c r="E167" s="1" t="e">
        <f t="shared" si="56"/>
        <v>#N/A</v>
      </c>
      <c r="F167" s="1" t="e">
        <f t="shared" si="57"/>
        <v>#N/A</v>
      </c>
      <c r="G167" s="1" t="e">
        <f t="shared" si="58"/>
        <v>#N/A</v>
      </c>
      <c r="H167" s="1" t="e">
        <f t="shared" si="59"/>
        <v>#N/A</v>
      </c>
      <c r="I167" s="1" t="e">
        <f t="shared" si="60"/>
        <v>#N/A</v>
      </c>
      <c r="J167" s="1" t="e">
        <f t="shared" si="61"/>
        <v>#N/A</v>
      </c>
      <c r="K167" s="1" t="e">
        <f t="shared" si="62"/>
        <v>#N/A</v>
      </c>
      <c r="L167" s="1" t="e">
        <f t="shared" si="63"/>
        <v>#N/A</v>
      </c>
      <c r="M167" s="1" t="e">
        <f t="shared" si="64"/>
        <v>#N/A</v>
      </c>
      <c r="N167" s="1" t="e">
        <f t="shared" si="65"/>
        <v>#N/A</v>
      </c>
      <c r="O167" s="1" t="e">
        <f t="shared" si="66"/>
        <v>#N/A</v>
      </c>
      <c r="P167" s="1" t="e">
        <f t="shared" si="67"/>
        <v>#N/A</v>
      </c>
      <c r="Q167" s="1" t="e">
        <f t="shared" si="68"/>
        <v>#N/A</v>
      </c>
      <c r="R167" s="1" t="e">
        <f t="shared" si="69"/>
        <v>#N/A</v>
      </c>
      <c r="S167" s="1" t="e">
        <f t="shared" si="70"/>
        <v>#N/A</v>
      </c>
      <c r="T167" s="1" t="e">
        <f t="shared" si="71"/>
        <v>#N/A</v>
      </c>
      <c r="U167" s="1" t="e">
        <f t="shared" si="72"/>
        <v>#N/A</v>
      </c>
      <c r="V167" s="1" t="e">
        <f t="shared" si="73"/>
        <v>#N/A</v>
      </c>
      <c r="W167" s="1" t="e">
        <f t="shared" si="74"/>
        <v>#N/A</v>
      </c>
      <c r="X167" s="1" t="e">
        <f t="shared" si="75"/>
        <v>#N/A</v>
      </c>
      <c r="Y167" s="1" t="e">
        <f t="shared" si="76"/>
        <v>#N/A</v>
      </c>
      <c r="Z167" s="1" t="e">
        <f t="shared" si="77"/>
        <v>#N/A</v>
      </c>
      <c r="AA167" s="1" t="e">
        <f t="shared" si="78"/>
        <v>#N/A</v>
      </c>
      <c r="AB167" s="1" t="e">
        <f t="shared" si="79"/>
        <v>#N/A</v>
      </c>
      <c r="AC167" s="1" t="e">
        <f t="shared" si="80"/>
        <v>#N/A</v>
      </c>
      <c r="AD167" s="1" t="e">
        <f t="shared" si="81"/>
        <v>#N/A</v>
      </c>
      <c r="AE167" s="1" t="e">
        <f t="shared" si="82"/>
        <v>#N/A</v>
      </c>
      <c r="AF167" s="1" t="e">
        <f t="shared" si="83"/>
        <v>#N/A</v>
      </c>
    </row>
  </sheetData>
  <conditionalFormatting sqref="AH6:BK35">
    <cfRule type="cellIs" dxfId="5" priority="4" operator="between">
      <formula>-0.1</formula>
      <formula>0.1</formula>
    </cfRule>
  </conditionalFormatting>
  <conditionalFormatting sqref="AH39:BK68">
    <cfRule type="cellIs" dxfId="4" priority="3" operator="between">
      <formula>-0.1</formula>
      <formula>0.1</formula>
    </cfRule>
  </conditionalFormatting>
  <conditionalFormatting sqref="AH101:BK101">
    <cfRule type="cellIs" dxfId="3" priority="2" operator="between">
      <formula>-0.1</formula>
      <formula>0.1</formula>
    </cfRule>
  </conditionalFormatting>
  <conditionalFormatting sqref="F7">
    <cfRule type="cellIs" dxfId="2" priority="1" operator="between">
      <formula>-0.1</formula>
      <formula>0.1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uto">
                <anchor moveWithCells="1" sizeWithCells="1">
                  <from>
                    <xdr:col>4</xdr:col>
                    <xdr:colOff>19050</xdr:colOff>
                    <xdr:row>12</xdr:row>
                    <xdr:rowOff>9525</xdr:rowOff>
                  </from>
                  <to>
                    <xdr:col>4</xdr:col>
                    <xdr:colOff>809625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manuale">
                <anchor moveWithCells="1" sizeWithCells="1">
                  <from>
                    <xdr:col>4</xdr:col>
                    <xdr:colOff>19050</xdr:colOff>
                    <xdr:row>14</xdr:row>
                    <xdr:rowOff>19050</xdr:rowOff>
                  </from>
                  <to>
                    <xdr:col>4</xdr:col>
                    <xdr:colOff>809625</xdr:colOff>
                    <xdr:row>15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E964E-2D1C-41D7-99F0-118C33A1659B}">
  <sheetPr codeName="Foglio3"/>
  <dimension ref="B2:BK167"/>
  <sheetViews>
    <sheetView zoomScaleNormal="100" workbookViewId="0">
      <selection activeCell="D8" sqref="D8"/>
    </sheetView>
  </sheetViews>
  <sheetFormatPr defaultRowHeight="15" x14ac:dyDescent="0.25"/>
  <cols>
    <col min="1" max="1" width="2.5703125" customWidth="1"/>
    <col min="3" max="3" width="10" bestFit="1" customWidth="1"/>
    <col min="4" max="4" width="12.42578125" bestFit="1" customWidth="1"/>
    <col min="5" max="5" width="12.42578125" customWidth="1"/>
    <col min="6" max="6" width="20" bestFit="1" customWidth="1"/>
    <col min="7" max="7" width="12.42578125" customWidth="1"/>
    <col min="8" max="8" width="2.5703125" customWidth="1"/>
    <col min="9" max="9" width="15.28515625" hidden="1" customWidth="1"/>
    <col min="10" max="10" width="8" hidden="1" customWidth="1"/>
    <col min="11" max="11" width="11.140625" hidden="1" customWidth="1"/>
    <col min="12" max="12" width="11.7109375" hidden="1" customWidth="1"/>
    <col min="13" max="13" width="11.140625" hidden="1" customWidth="1"/>
    <col min="14" max="14" width="9.140625" hidden="1" customWidth="1"/>
    <col min="15" max="15" width="11.140625" hidden="1" customWidth="1"/>
    <col min="16" max="16" width="13.85546875" hidden="1" customWidth="1"/>
    <col min="17" max="17" width="11.85546875" customWidth="1"/>
    <col min="18" max="21" width="11.7109375" bestFit="1" customWidth="1"/>
    <col min="22" max="22" width="12.140625" bestFit="1" customWidth="1"/>
    <col min="23" max="23" width="11.7109375" bestFit="1" customWidth="1"/>
    <col min="24" max="31" width="12.140625" bestFit="1" customWidth="1"/>
    <col min="32" max="32" width="2.5703125" customWidth="1"/>
    <col min="34" max="63" width="10.5703125" customWidth="1"/>
  </cols>
  <sheetData>
    <row r="2" spans="2:63" ht="46.5" x14ac:dyDescent="0.7">
      <c r="B2" s="31" t="s">
        <v>7</v>
      </c>
    </row>
    <row r="3" spans="2:63" ht="18" x14ac:dyDescent="0.35">
      <c r="I3" s="7" t="s">
        <v>8</v>
      </c>
      <c r="J3">
        <f>$C$5*(1+$C$9)</f>
        <v>1336.5</v>
      </c>
      <c r="K3">
        <f>$C$5*(1+$C$9)</f>
        <v>1336.5</v>
      </c>
    </row>
    <row r="4" spans="2:63" ht="18" x14ac:dyDescent="0.35">
      <c r="B4" s="4" t="s">
        <v>9</v>
      </c>
      <c r="F4" s="40" t="s">
        <v>10</v>
      </c>
      <c r="I4" s="7" t="s">
        <v>11</v>
      </c>
      <c r="J4">
        <f>$C$5</f>
        <v>1485</v>
      </c>
      <c r="K4">
        <f>$C$5</f>
        <v>1485</v>
      </c>
      <c r="AG4" s="21" t="s">
        <v>72</v>
      </c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3"/>
    </row>
    <row r="5" spans="2:63" ht="18" x14ac:dyDescent="0.35">
      <c r="B5" s="5" t="s">
        <v>11</v>
      </c>
      <c r="C5" s="38">
        <v>1485</v>
      </c>
      <c r="F5" s="38" t="s">
        <v>13</v>
      </c>
      <c r="I5" s="7" t="s">
        <v>14</v>
      </c>
      <c r="J5">
        <f>$C$5*(1+$C$10)</f>
        <v>1633.5000000000002</v>
      </c>
      <c r="K5">
        <f>$C$5*(1+$C$10)</f>
        <v>1633.5000000000002</v>
      </c>
      <c r="AG5" s="20"/>
      <c r="AH5" s="27" t="str">
        <f>$B$19</f>
        <v>fn_1</v>
      </c>
      <c r="AI5" s="27" t="str">
        <f>$B$20</f>
        <v>fn_2</v>
      </c>
      <c r="AJ5" s="27" t="str">
        <f>$B$21</f>
        <v>fn_3</v>
      </c>
      <c r="AK5" s="27" t="str">
        <f>$B$22</f>
        <v>fn_4</v>
      </c>
      <c r="AL5" s="27" t="str">
        <f>$B$23</f>
        <v>fn_5</v>
      </c>
      <c r="AM5" s="27" t="str">
        <f>$B$24</f>
        <v>fn_6</v>
      </c>
      <c r="AN5" s="27" t="str">
        <f>$B$25</f>
        <v>fn_7</v>
      </c>
      <c r="AO5" s="27" t="str">
        <f>$B$26</f>
        <v>fn_8</v>
      </c>
      <c r="AP5" s="27" t="str">
        <f>$B$27</f>
        <v>fn_9</v>
      </c>
      <c r="AQ5" s="27" t="str">
        <f>$B$28</f>
        <v>fn_10</v>
      </c>
      <c r="AR5" s="27" t="str">
        <f>$B$29</f>
        <v>fn_11</v>
      </c>
      <c r="AS5" s="27" t="str">
        <f>$B$30</f>
        <v>fn_12</v>
      </c>
      <c r="AT5" s="27" t="str">
        <f>$B$31</f>
        <v>fn_13</v>
      </c>
      <c r="AU5" s="27" t="str">
        <f>$B$32</f>
        <v>fn_14</v>
      </c>
      <c r="AV5" s="27" t="str">
        <f>$B$33</f>
        <v>fn_15</v>
      </c>
      <c r="AW5" s="27" t="str">
        <f>$B$34</f>
        <v>fn_16</v>
      </c>
      <c r="AX5" s="27" t="str">
        <f>$B$35</f>
        <v>fn_17</v>
      </c>
      <c r="AY5" s="27" t="str">
        <f>$B$36</f>
        <v>fn_18</v>
      </c>
      <c r="AZ5" s="27" t="str">
        <f>$B$37</f>
        <v>fn_19</v>
      </c>
      <c r="BA5" s="27" t="str">
        <f>$B$38</f>
        <v>fn_20</v>
      </c>
      <c r="BB5" s="27" t="str">
        <f>$B$39</f>
        <v>fn_21</v>
      </c>
      <c r="BC5" s="27" t="str">
        <f>$B$40</f>
        <v>fn_22</v>
      </c>
      <c r="BD5" s="27" t="str">
        <f>$B$41</f>
        <v>fn_23</v>
      </c>
      <c r="BE5" s="27" t="str">
        <f>$B$42</f>
        <v>fn_24</v>
      </c>
      <c r="BF5" s="27" t="str">
        <f>$B$43</f>
        <v>fn_25</v>
      </c>
      <c r="BG5" s="27" t="str">
        <f>$B$44</f>
        <v>fn_26</v>
      </c>
      <c r="BH5" s="27" t="str">
        <f>$B$45</f>
        <v>fn_27</v>
      </c>
      <c r="BI5" s="27" t="str">
        <f>$B$46</f>
        <v>fn_28</v>
      </c>
      <c r="BJ5" s="27" t="str">
        <f>$B$47</f>
        <v>fn_29</v>
      </c>
      <c r="BK5" s="27" t="str">
        <f>$B$48</f>
        <v>fn_30</v>
      </c>
    </row>
    <row r="6" spans="2:63" ht="18" x14ac:dyDescent="0.35">
      <c r="B6" s="5" t="s">
        <v>15</v>
      </c>
      <c r="C6" s="38">
        <v>5017</v>
      </c>
      <c r="F6" s="42" t="s">
        <v>16</v>
      </c>
      <c r="I6" s="7" t="s">
        <v>17</v>
      </c>
      <c r="J6">
        <f>$C$6*(1+$C$9)</f>
        <v>4515.3</v>
      </c>
      <c r="K6">
        <f>$C$6*(1+$C$9)</f>
        <v>4515.3</v>
      </c>
      <c r="AG6" s="24" t="str">
        <f>$M19</f>
        <v>1X</v>
      </c>
      <c r="AH6" s="28">
        <f t="shared" ref="AH6:AW21" si="0">IF(C138&lt;$C$5,(C138-$C$5)/$C$5,IF(C138&gt;$C$6,(C138-$C$6)/$C$6,0))</f>
        <v>0</v>
      </c>
      <c r="AI6" s="28">
        <f t="shared" si="0"/>
        <v>0</v>
      </c>
      <c r="AJ6" s="28" t="e">
        <f t="shared" si="0"/>
        <v>#N/A</v>
      </c>
      <c r="AK6" s="28" t="e">
        <f t="shared" si="0"/>
        <v>#N/A</v>
      </c>
      <c r="AL6" s="28" t="e">
        <f t="shared" si="0"/>
        <v>#N/A</v>
      </c>
      <c r="AM6" s="28" t="e">
        <f t="shared" si="0"/>
        <v>#N/A</v>
      </c>
      <c r="AN6" s="28" t="e">
        <f t="shared" si="0"/>
        <v>#N/A</v>
      </c>
      <c r="AO6" s="28" t="e">
        <f t="shared" si="0"/>
        <v>#N/A</v>
      </c>
      <c r="AP6" s="28" t="e">
        <f t="shared" si="0"/>
        <v>#N/A</v>
      </c>
      <c r="AQ6" s="28" t="e">
        <f t="shared" si="0"/>
        <v>#N/A</v>
      </c>
      <c r="AR6" s="28" t="e">
        <f t="shared" si="0"/>
        <v>#N/A</v>
      </c>
      <c r="AS6" s="28" t="e">
        <f t="shared" si="0"/>
        <v>#N/A</v>
      </c>
      <c r="AT6" s="28" t="e">
        <f t="shared" si="0"/>
        <v>#N/A</v>
      </c>
      <c r="AU6" s="28" t="e">
        <f t="shared" si="0"/>
        <v>#N/A</v>
      </c>
      <c r="AV6" s="28" t="e">
        <f t="shared" si="0"/>
        <v>#N/A</v>
      </c>
      <c r="AW6" s="28" t="e">
        <f t="shared" si="0"/>
        <v>#N/A</v>
      </c>
      <c r="AX6" s="28" t="e">
        <f t="shared" ref="AX6:BK24" si="1">IF(S138&lt;$C$5,(S138-$C$5)/$C$5,IF(S138&gt;$C$6,(S138-$C$6)/$C$6,0))</f>
        <v>#N/A</v>
      </c>
      <c r="AY6" s="28" t="e">
        <f t="shared" si="1"/>
        <v>#N/A</v>
      </c>
      <c r="AZ6" s="28" t="e">
        <f t="shared" si="1"/>
        <v>#N/A</v>
      </c>
      <c r="BA6" s="28" t="e">
        <f t="shared" si="1"/>
        <v>#N/A</v>
      </c>
      <c r="BB6" s="28" t="e">
        <f t="shared" si="1"/>
        <v>#N/A</v>
      </c>
      <c r="BC6" s="28" t="e">
        <f t="shared" si="1"/>
        <v>#N/A</v>
      </c>
      <c r="BD6" s="28" t="e">
        <f t="shared" si="1"/>
        <v>#N/A</v>
      </c>
      <c r="BE6" s="28" t="e">
        <f t="shared" si="1"/>
        <v>#N/A</v>
      </c>
      <c r="BF6" s="28" t="e">
        <f t="shared" si="1"/>
        <v>#N/A</v>
      </c>
      <c r="BG6" s="28" t="e">
        <f t="shared" si="1"/>
        <v>#N/A</v>
      </c>
      <c r="BH6" s="28" t="e">
        <f t="shared" si="1"/>
        <v>#N/A</v>
      </c>
      <c r="BI6" s="28" t="e">
        <f t="shared" si="1"/>
        <v>#N/A</v>
      </c>
      <c r="BJ6" s="28" t="e">
        <f t="shared" si="1"/>
        <v>#N/A</v>
      </c>
      <c r="BK6" s="28" t="e">
        <f t="shared" si="1"/>
        <v>#N/A</v>
      </c>
    </row>
    <row r="7" spans="2:63" ht="18" x14ac:dyDescent="0.35">
      <c r="C7" s="1"/>
      <c r="F7" s="41" t="s">
        <v>18</v>
      </c>
      <c r="I7" s="7" t="s">
        <v>15</v>
      </c>
      <c r="J7">
        <f>$C$6</f>
        <v>5017</v>
      </c>
      <c r="K7">
        <f>$C$6</f>
        <v>5017</v>
      </c>
      <c r="AG7" s="25" t="str">
        <f t="shared" ref="AG7:AG35" si="2">$M20</f>
        <v>2X</v>
      </c>
      <c r="AH7" s="29">
        <f t="shared" si="0"/>
        <v>0</v>
      </c>
      <c r="AI7" s="29">
        <f t="shared" si="0"/>
        <v>0</v>
      </c>
      <c r="AJ7" s="29">
        <f t="shared" si="0"/>
        <v>0</v>
      </c>
      <c r="AK7" s="29">
        <f t="shared" si="0"/>
        <v>4.6442096870639826E-2</v>
      </c>
      <c r="AL7" s="29" t="e">
        <f t="shared" si="0"/>
        <v>#N/A</v>
      </c>
      <c r="AM7" s="29" t="e">
        <f t="shared" si="0"/>
        <v>#N/A</v>
      </c>
      <c r="AN7" s="29" t="e">
        <f t="shared" si="0"/>
        <v>#N/A</v>
      </c>
      <c r="AO7" s="29" t="e">
        <f t="shared" si="0"/>
        <v>#N/A</v>
      </c>
      <c r="AP7" s="29" t="e">
        <f t="shared" si="0"/>
        <v>#N/A</v>
      </c>
      <c r="AQ7" s="29" t="e">
        <f t="shared" si="0"/>
        <v>#N/A</v>
      </c>
      <c r="AR7" s="29" t="e">
        <f t="shared" si="0"/>
        <v>#N/A</v>
      </c>
      <c r="AS7" s="29" t="e">
        <f t="shared" si="0"/>
        <v>#N/A</v>
      </c>
      <c r="AT7" s="29" t="e">
        <f t="shared" si="0"/>
        <v>#N/A</v>
      </c>
      <c r="AU7" s="29" t="e">
        <f t="shared" si="0"/>
        <v>#N/A</v>
      </c>
      <c r="AV7" s="29" t="e">
        <f t="shared" si="0"/>
        <v>#N/A</v>
      </c>
      <c r="AW7" s="29" t="e">
        <f t="shared" si="0"/>
        <v>#N/A</v>
      </c>
      <c r="AX7" s="29" t="e">
        <f t="shared" si="1"/>
        <v>#N/A</v>
      </c>
      <c r="AY7" s="29" t="e">
        <f t="shared" si="1"/>
        <v>#N/A</v>
      </c>
      <c r="AZ7" s="29" t="e">
        <f t="shared" si="1"/>
        <v>#N/A</v>
      </c>
      <c r="BA7" s="29" t="e">
        <f t="shared" si="1"/>
        <v>#N/A</v>
      </c>
      <c r="BB7" s="29" t="e">
        <f t="shared" si="1"/>
        <v>#N/A</v>
      </c>
      <c r="BC7" s="29" t="e">
        <f t="shared" si="1"/>
        <v>#N/A</v>
      </c>
      <c r="BD7" s="29" t="e">
        <f t="shared" si="1"/>
        <v>#N/A</v>
      </c>
      <c r="BE7" s="29" t="e">
        <f t="shared" si="1"/>
        <v>#N/A</v>
      </c>
      <c r="BF7" s="29" t="e">
        <f t="shared" si="1"/>
        <v>#N/A</v>
      </c>
      <c r="BG7" s="29" t="e">
        <f t="shared" si="1"/>
        <v>#N/A</v>
      </c>
      <c r="BH7" s="29" t="e">
        <f t="shared" si="1"/>
        <v>#N/A</v>
      </c>
      <c r="BI7" s="29" t="e">
        <f t="shared" si="1"/>
        <v>#N/A</v>
      </c>
      <c r="BJ7" s="29" t="e">
        <f t="shared" si="1"/>
        <v>#N/A</v>
      </c>
      <c r="BK7" s="29" t="e">
        <f t="shared" si="1"/>
        <v>#N/A</v>
      </c>
    </row>
    <row r="8" spans="2:63" ht="18" x14ac:dyDescent="0.35">
      <c r="B8" s="4" t="s">
        <v>19</v>
      </c>
      <c r="I8" s="7" t="s">
        <v>20</v>
      </c>
      <c r="J8">
        <f>$C$6*(1+$C$10)</f>
        <v>5518.7000000000007</v>
      </c>
      <c r="K8">
        <f>$C$6*(1+$C$10)</f>
        <v>5518.7000000000007</v>
      </c>
      <c r="AG8" s="25" t="str">
        <f t="shared" si="2"/>
        <v>5X</v>
      </c>
      <c r="AH8" s="29">
        <f t="shared" si="0"/>
        <v>-0.51515151515151514</v>
      </c>
      <c r="AI8" s="29">
        <f t="shared" si="0"/>
        <v>-0.32659932659932661</v>
      </c>
      <c r="AJ8" s="29">
        <f t="shared" si="0"/>
        <v>0</v>
      </c>
      <c r="AK8" s="29">
        <f t="shared" si="0"/>
        <v>0</v>
      </c>
      <c r="AL8" s="29">
        <f t="shared" si="0"/>
        <v>0</v>
      </c>
      <c r="AM8" s="29" t="e">
        <f t="shared" si="0"/>
        <v>#N/A</v>
      </c>
      <c r="AN8" s="29" t="e">
        <f t="shared" si="0"/>
        <v>#N/A</v>
      </c>
      <c r="AO8" s="29" t="e">
        <f t="shared" si="0"/>
        <v>#N/A</v>
      </c>
      <c r="AP8" s="29" t="e">
        <f t="shared" si="0"/>
        <v>#N/A</v>
      </c>
      <c r="AQ8" s="29" t="e">
        <f t="shared" si="0"/>
        <v>#N/A</v>
      </c>
      <c r="AR8" s="29" t="e">
        <f t="shared" si="0"/>
        <v>#N/A</v>
      </c>
      <c r="AS8" s="29" t="e">
        <f t="shared" si="0"/>
        <v>#N/A</v>
      </c>
      <c r="AT8" s="29" t="e">
        <f t="shared" si="0"/>
        <v>#N/A</v>
      </c>
      <c r="AU8" s="29" t="e">
        <f t="shared" si="0"/>
        <v>#N/A</v>
      </c>
      <c r="AV8" s="29" t="e">
        <f t="shared" si="0"/>
        <v>#N/A</v>
      </c>
      <c r="AW8" s="29" t="e">
        <f t="shared" si="0"/>
        <v>#N/A</v>
      </c>
      <c r="AX8" s="29" t="e">
        <f t="shared" si="1"/>
        <v>#N/A</v>
      </c>
      <c r="AY8" s="29" t="e">
        <f t="shared" si="1"/>
        <v>#N/A</v>
      </c>
      <c r="AZ8" s="29" t="e">
        <f t="shared" si="1"/>
        <v>#N/A</v>
      </c>
      <c r="BA8" s="29" t="e">
        <f t="shared" si="1"/>
        <v>#N/A</v>
      </c>
      <c r="BB8" s="29" t="e">
        <f t="shared" si="1"/>
        <v>#N/A</v>
      </c>
      <c r="BC8" s="29" t="e">
        <f t="shared" si="1"/>
        <v>#N/A</v>
      </c>
      <c r="BD8" s="29" t="e">
        <f t="shared" si="1"/>
        <v>#N/A</v>
      </c>
      <c r="BE8" s="29" t="e">
        <f t="shared" si="1"/>
        <v>#N/A</v>
      </c>
      <c r="BF8" s="29" t="e">
        <f t="shared" si="1"/>
        <v>#N/A</v>
      </c>
      <c r="BG8" s="29" t="e">
        <f t="shared" si="1"/>
        <v>#N/A</v>
      </c>
      <c r="BH8" s="29" t="e">
        <f t="shared" si="1"/>
        <v>#N/A</v>
      </c>
      <c r="BI8" s="29" t="e">
        <f t="shared" si="1"/>
        <v>#N/A</v>
      </c>
      <c r="BJ8" s="29" t="e">
        <f t="shared" si="1"/>
        <v>#N/A</v>
      </c>
      <c r="BK8" s="29" t="e">
        <f t="shared" si="1"/>
        <v>#N/A</v>
      </c>
    </row>
    <row r="9" spans="2:63" x14ac:dyDescent="0.25">
      <c r="B9" s="5" t="s">
        <v>21</v>
      </c>
      <c r="C9" s="39">
        <v>-0.1</v>
      </c>
      <c r="AG9" s="25" t="str">
        <f t="shared" si="2"/>
        <v>X</v>
      </c>
      <c r="AH9" s="29" t="e">
        <f t="shared" si="0"/>
        <v>#N/A</v>
      </c>
      <c r="AI9" s="29" t="e">
        <f t="shared" si="0"/>
        <v>#N/A</v>
      </c>
      <c r="AJ9" s="29" t="e">
        <f t="shared" si="0"/>
        <v>#N/A</v>
      </c>
      <c r="AK9" s="29" t="e">
        <f t="shared" si="0"/>
        <v>#N/A</v>
      </c>
      <c r="AL9" s="29" t="e">
        <f t="shared" si="0"/>
        <v>#N/A</v>
      </c>
      <c r="AM9" s="29" t="e">
        <f t="shared" si="0"/>
        <v>#N/A</v>
      </c>
      <c r="AN9" s="29" t="e">
        <f t="shared" si="0"/>
        <v>#N/A</v>
      </c>
      <c r="AO9" s="29" t="e">
        <f t="shared" si="0"/>
        <v>#N/A</v>
      </c>
      <c r="AP9" s="29" t="e">
        <f t="shared" si="0"/>
        <v>#N/A</v>
      </c>
      <c r="AQ9" s="29" t="e">
        <f t="shared" si="0"/>
        <v>#N/A</v>
      </c>
      <c r="AR9" s="29" t="e">
        <f t="shared" si="0"/>
        <v>#N/A</v>
      </c>
      <c r="AS9" s="29" t="e">
        <f t="shared" si="0"/>
        <v>#N/A</v>
      </c>
      <c r="AT9" s="29" t="e">
        <f t="shared" si="0"/>
        <v>#N/A</v>
      </c>
      <c r="AU9" s="29" t="e">
        <f t="shared" si="0"/>
        <v>#N/A</v>
      </c>
      <c r="AV9" s="29" t="e">
        <f t="shared" si="0"/>
        <v>#N/A</v>
      </c>
      <c r="AW9" s="29" t="e">
        <f t="shared" si="0"/>
        <v>#N/A</v>
      </c>
      <c r="AX9" s="29" t="e">
        <f t="shared" si="1"/>
        <v>#N/A</v>
      </c>
      <c r="AY9" s="29" t="e">
        <f t="shared" si="1"/>
        <v>#N/A</v>
      </c>
      <c r="AZ9" s="29" t="e">
        <f t="shared" si="1"/>
        <v>#N/A</v>
      </c>
      <c r="BA9" s="29" t="e">
        <f t="shared" si="1"/>
        <v>#N/A</v>
      </c>
      <c r="BB9" s="29" t="e">
        <f t="shared" si="1"/>
        <v>#N/A</v>
      </c>
      <c r="BC9" s="29" t="e">
        <f t="shared" si="1"/>
        <v>#N/A</v>
      </c>
      <c r="BD9" s="29" t="e">
        <f t="shared" si="1"/>
        <v>#N/A</v>
      </c>
      <c r="BE9" s="29" t="e">
        <f t="shared" si="1"/>
        <v>#N/A</v>
      </c>
      <c r="BF9" s="29" t="e">
        <f t="shared" si="1"/>
        <v>#N/A</v>
      </c>
      <c r="BG9" s="29" t="e">
        <f t="shared" si="1"/>
        <v>#N/A</v>
      </c>
      <c r="BH9" s="29" t="e">
        <f t="shared" si="1"/>
        <v>#N/A</v>
      </c>
      <c r="BI9" s="29" t="e">
        <f t="shared" si="1"/>
        <v>#N/A</v>
      </c>
      <c r="BJ9" s="29" t="e">
        <f t="shared" si="1"/>
        <v>#N/A</v>
      </c>
      <c r="BK9" s="29" t="e">
        <f t="shared" si="1"/>
        <v>#N/A</v>
      </c>
    </row>
    <row r="10" spans="2:63" x14ac:dyDescent="0.25">
      <c r="B10" s="5" t="s">
        <v>22</v>
      </c>
      <c r="C10" s="39">
        <v>0.1</v>
      </c>
      <c r="AG10" s="25" t="str">
        <f t="shared" si="2"/>
        <v>X</v>
      </c>
      <c r="AH10" s="29" t="e">
        <f t="shared" si="0"/>
        <v>#N/A</v>
      </c>
      <c r="AI10" s="29" t="e">
        <f t="shared" si="0"/>
        <v>#N/A</v>
      </c>
      <c r="AJ10" s="29" t="e">
        <f t="shared" si="0"/>
        <v>#N/A</v>
      </c>
      <c r="AK10" s="29" t="e">
        <f t="shared" si="0"/>
        <v>#N/A</v>
      </c>
      <c r="AL10" s="29" t="e">
        <f t="shared" si="0"/>
        <v>#N/A</v>
      </c>
      <c r="AM10" s="29" t="e">
        <f t="shared" si="0"/>
        <v>#N/A</v>
      </c>
      <c r="AN10" s="29" t="e">
        <f t="shared" si="0"/>
        <v>#N/A</v>
      </c>
      <c r="AO10" s="29" t="e">
        <f t="shared" si="0"/>
        <v>#N/A</v>
      </c>
      <c r="AP10" s="29" t="e">
        <f t="shared" si="0"/>
        <v>#N/A</v>
      </c>
      <c r="AQ10" s="29" t="e">
        <f t="shared" si="0"/>
        <v>#N/A</v>
      </c>
      <c r="AR10" s="29" t="e">
        <f t="shared" si="0"/>
        <v>#N/A</v>
      </c>
      <c r="AS10" s="29" t="e">
        <f t="shared" si="0"/>
        <v>#N/A</v>
      </c>
      <c r="AT10" s="29" t="e">
        <f t="shared" si="0"/>
        <v>#N/A</v>
      </c>
      <c r="AU10" s="29" t="e">
        <f t="shared" si="0"/>
        <v>#N/A</v>
      </c>
      <c r="AV10" s="29" t="e">
        <f t="shared" si="0"/>
        <v>#N/A</v>
      </c>
      <c r="AW10" s="29" t="e">
        <f t="shared" si="0"/>
        <v>#N/A</v>
      </c>
      <c r="AX10" s="29" t="e">
        <f t="shared" si="1"/>
        <v>#N/A</v>
      </c>
      <c r="AY10" s="29" t="e">
        <f t="shared" si="1"/>
        <v>#N/A</v>
      </c>
      <c r="AZ10" s="29" t="e">
        <f t="shared" si="1"/>
        <v>#N/A</v>
      </c>
      <c r="BA10" s="29" t="e">
        <f t="shared" si="1"/>
        <v>#N/A</v>
      </c>
      <c r="BB10" s="29" t="e">
        <f t="shared" si="1"/>
        <v>#N/A</v>
      </c>
      <c r="BC10" s="29" t="e">
        <f t="shared" si="1"/>
        <v>#N/A</v>
      </c>
      <c r="BD10" s="29" t="e">
        <f t="shared" si="1"/>
        <v>#N/A</v>
      </c>
      <c r="BE10" s="29" t="e">
        <f t="shared" si="1"/>
        <v>#N/A</v>
      </c>
      <c r="BF10" s="29" t="e">
        <f t="shared" si="1"/>
        <v>#N/A</v>
      </c>
      <c r="BG10" s="29" t="e">
        <f t="shared" si="1"/>
        <v>#N/A</v>
      </c>
      <c r="BH10" s="29" t="e">
        <f t="shared" si="1"/>
        <v>#N/A</v>
      </c>
      <c r="BI10" s="29" t="e">
        <f t="shared" si="1"/>
        <v>#N/A</v>
      </c>
      <c r="BJ10" s="29" t="e">
        <f t="shared" si="1"/>
        <v>#N/A</v>
      </c>
      <c r="BK10" s="29" t="e">
        <f t="shared" si="1"/>
        <v>#N/A</v>
      </c>
    </row>
    <row r="11" spans="2:63" x14ac:dyDescent="0.25">
      <c r="M11" s="7" t="s">
        <v>23</v>
      </c>
      <c r="N11" s="8">
        <f>$G$15*(1+$C$9)</f>
        <v>2700</v>
      </c>
      <c r="O11" s="8">
        <f>$G$15*(1+$C$9)</f>
        <v>2700</v>
      </c>
      <c r="AG11" s="25" t="str">
        <f t="shared" si="2"/>
        <v>X</v>
      </c>
      <c r="AH11" s="29" t="e">
        <f t="shared" si="0"/>
        <v>#N/A</v>
      </c>
      <c r="AI11" s="29" t="e">
        <f t="shared" si="0"/>
        <v>#N/A</v>
      </c>
      <c r="AJ11" s="29" t="e">
        <f t="shared" si="0"/>
        <v>#N/A</v>
      </c>
      <c r="AK11" s="29" t="e">
        <f t="shared" si="0"/>
        <v>#N/A</v>
      </c>
      <c r="AL11" s="29" t="e">
        <f t="shared" si="0"/>
        <v>#N/A</v>
      </c>
      <c r="AM11" s="29" t="e">
        <f t="shared" si="0"/>
        <v>#N/A</v>
      </c>
      <c r="AN11" s="29" t="e">
        <f t="shared" si="0"/>
        <v>#N/A</v>
      </c>
      <c r="AO11" s="29" t="e">
        <f t="shared" si="0"/>
        <v>#N/A</v>
      </c>
      <c r="AP11" s="29" t="e">
        <f t="shared" si="0"/>
        <v>#N/A</v>
      </c>
      <c r="AQ11" s="29" t="e">
        <f t="shared" si="0"/>
        <v>#N/A</v>
      </c>
      <c r="AR11" s="29" t="e">
        <f t="shared" si="0"/>
        <v>#N/A</v>
      </c>
      <c r="AS11" s="29" t="e">
        <f t="shared" si="0"/>
        <v>#N/A</v>
      </c>
      <c r="AT11" s="29" t="e">
        <f t="shared" si="0"/>
        <v>#N/A</v>
      </c>
      <c r="AU11" s="29" t="e">
        <f t="shared" si="0"/>
        <v>#N/A</v>
      </c>
      <c r="AV11" s="29" t="e">
        <f t="shared" si="0"/>
        <v>#N/A</v>
      </c>
      <c r="AW11" s="29" t="e">
        <f t="shared" si="0"/>
        <v>#N/A</v>
      </c>
      <c r="AX11" s="29" t="e">
        <f t="shared" si="1"/>
        <v>#N/A</v>
      </c>
      <c r="AY11" s="29" t="e">
        <f t="shared" si="1"/>
        <v>#N/A</v>
      </c>
      <c r="AZ11" s="29" t="e">
        <f t="shared" si="1"/>
        <v>#N/A</v>
      </c>
      <c r="BA11" s="29" t="e">
        <f t="shared" si="1"/>
        <v>#N/A</v>
      </c>
      <c r="BB11" s="29" t="e">
        <f t="shared" si="1"/>
        <v>#N/A</v>
      </c>
      <c r="BC11" s="29" t="e">
        <f t="shared" si="1"/>
        <v>#N/A</v>
      </c>
      <c r="BD11" s="29" t="e">
        <f t="shared" si="1"/>
        <v>#N/A</v>
      </c>
      <c r="BE11" s="29" t="e">
        <f t="shared" si="1"/>
        <v>#N/A</v>
      </c>
      <c r="BF11" s="29" t="e">
        <f t="shared" si="1"/>
        <v>#N/A</v>
      </c>
      <c r="BG11" s="29" t="e">
        <f t="shared" si="1"/>
        <v>#N/A</v>
      </c>
      <c r="BH11" s="29" t="e">
        <f t="shared" si="1"/>
        <v>#N/A</v>
      </c>
      <c r="BI11" s="29" t="e">
        <f t="shared" si="1"/>
        <v>#N/A</v>
      </c>
      <c r="BJ11" s="29" t="e">
        <f t="shared" si="1"/>
        <v>#N/A</v>
      </c>
      <c r="BK11" s="29" t="e">
        <f t="shared" si="1"/>
        <v>#N/A</v>
      </c>
    </row>
    <row r="12" spans="2:63" x14ac:dyDescent="0.25">
      <c r="B12" s="4" t="s">
        <v>24</v>
      </c>
      <c r="M12" s="7" t="s">
        <v>25</v>
      </c>
      <c r="N12" s="8">
        <f>$G$15</f>
        <v>3000</v>
      </c>
      <c r="O12" s="8">
        <f>$G$15</f>
        <v>3000</v>
      </c>
      <c r="AG12" s="25" t="str">
        <f t="shared" si="2"/>
        <v>X</v>
      </c>
      <c r="AH12" s="29" t="e">
        <f t="shared" si="0"/>
        <v>#N/A</v>
      </c>
      <c r="AI12" s="29" t="e">
        <f t="shared" si="0"/>
        <v>#N/A</v>
      </c>
      <c r="AJ12" s="29" t="e">
        <f t="shared" si="0"/>
        <v>#N/A</v>
      </c>
      <c r="AK12" s="29" t="e">
        <f t="shared" si="0"/>
        <v>#N/A</v>
      </c>
      <c r="AL12" s="29" t="e">
        <f t="shared" si="0"/>
        <v>#N/A</v>
      </c>
      <c r="AM12" s="29" t="e">
        <f t="shared" si="0"/>
        <v>#N/A</v>
      </c>
      <c r="AN12" s="29" t="e">
        <f t="shared" si="0"/>
        <v>#N/A</v>
      </c>
      <c r="AO12" s="29" t="e">
        <f t="shared" si="0"/>
        <v>#N/A</v>
      </c>
      <c r="AP12" s="29" t="e">
        <f t="shared" si="0"/>
        <v>#N/A</v>
      </c>
      <c r="AQ12" s="29" t="e">
        <f t="shared" si="0"/>
        <v>#N/A</v>
      </c>
      <c r="AR12" s="29" t="e">
        <f t="shared" si="0"/>
        <v>#N/A</v>
      </c>
      <c r="AS12" s="29" t="e">
        <f t="shared" si="0"/>
        <v>#N/A</v>
      </c>
      <c r="AT12" s="29" t="e">
        <f t="shared" si="0"/>
        <v>#N/A</v>
      </c>
      <c r="AU12" s="29" t="e">
        <f t="shared" si="0"/>
        <v>#N/A</v>
      </c>
      <c r="AV12" s="29" t="e">
        <f t="shared" si="0"/>
        <v>#N/A</v>
      </c>
      <c r="AW12" s="29" t="e">
        <f t="shared" si="0"/>
        <v>#N/A</v>
      </c>
      <c r="AX12" s="29" t="e">
        <f t="shared" si="1"/>
        <v>#N/A</v>
      </c>
      <c r="AY12" s="29" t="e">
        <f t="shared" si="1"/>
        <v>#N/A</v>
      </c>
      <c r="AZ12" s="29" t="e">
        <f t="shared" si="1"/>
        <v>#N/A</v>
      </c>
      <c r="BA12" s="29" t="e">
        <f t="shared" si="1"/>
        <v>#N/A</v>
      </c>
      <c r="BB12" s="29" t="e">
        <f t="shared" si="1"/>
        <v>#N/A</v>
      </c>
      <c r="BC12" s="29" t="e">
        <f t="shared" si="1"/>
        <v>#N/A</v>
      </c>
      <c r="BD12" s="29" t="e">
        <f t="shared" si="1"/>
        <v>#N/A</v>
      </c>
      <c r="BE12" s="29" t="e">
        <f t="shared" si="1"/>
        <v>#N/A</v>
      </c>
      <c r="BF12" s="29" t="e">
        <f t="shared" si="1"/>
        <v>#N/A</v>
      </c>
      <c r="BG12" s="29" t="e">
        <f t="shared" si="1"/>
        <v>#N/A</v>
      </c>
      <c r="BH12" s="29" t="e">
        <f t="shared" si="1"/>
        <v>#N/A</v>
      </c>
      <c r="BI12" s="29" t="e">
        <f t="shared" si="1"/>
        <v>#N/A</v>
      </c>
      <c r="BJ12" s="29" t="e">
        <f t="shared" si="1"/>
        <v>#N/A</v>
      </c>
      <c r="BK12" s="29" t="e">
        <f t="shared" si="1"/>
        <v>#N/A</v>
      </c>
    </row>
    <row r="13" spans="2:63" ht="18" x14ac:dyDescent="0.35">
      <c r="B13" s="5" t="s">
        <v>26</v>
      </c>
      <c r="C13" s="38">
        <v>0</v>
      </c>
      <c r="M13" s="7" t="s">
        <v>27</v>
      </c>
      <c r="N13" s="9">
        <f>$G$15*(1+$C$10)</f>
        <v>3300.0000000000005</v>
      </c>
      <c r="O13" s="9">
        <f>$G$15*(1+$C$10)</f>
        <v>3300.0000000000005</v>
      </c>
      <c r="AG13" s="25" t="str">
        <f t="shared" si="2"/>
        <v>X</v>
      </c>
      <c r="AH13" s="29" t="e">
        <f t="shared" si="0"/>
        <v>#N/A</v>
      </c>
      <c r="AI13" s="29" t="e">
        <f t="shared" si="0"/>
        <v>#N/A</v>
      </c>
      <c r="AJ13" s="29" t="e">
        <f t="shared" si="0"/>
        <v>#N/A</v>
      </c>
      <c r="AK13" s="29" t="e">
        <f t="shared" si="0"/>
        <v>#N/A</v>
      </c>
      <c r="AL13" s="29" t="e">
        <f t="shared" si="0"/>
        <v>#N/A</v>
      </c>
      <c r="AM13" s="29" t="e">
        <f t="shared" si="0"/>
        <v>#N/A</v>
      </c>
      <c r="AN13" s="29" t="e">
        <f t="shared" si="0"/>
        <v>#N/A</v>
      </c>
      <c r="AO13" s="29" t="e">
        <f t="shared" si="0"/>
        <v>#N/A</v>
      </c>
      <c r="AP13" s="29" t="e">
        <f t="shared" si="0"/>
        <v>#N/A</v>
      </c>
      <c r="AQ13" s="29" t="e">
        <f t="shared" si="0"/>
        <v>#N/A</v>
      </c>
      <c r="AR13" s="29" t="e">
        <f t="shared" si="0"/>
        <v>#N/A</v>
      </c>
      <c r="AS13" s="29" t="e">
        <f t="shared" si="0"/>
        <v>#N/A</v>
      </c>
      <c r="AT13" s="29" t="e">
        <f t="shared" si="0"/>
        <v>#N/A</v>
      </c>
      <c r="AU13" s="29" t="e">
        <f t="shared" si="0"/>
        <v>#N/A</v>
      </c>
      <c r="AV13" s="29" t="e">
        <f t="shared" si="0"/>
        <v>#N/A</v>
      </c>
      <c r="AW13" s="29" t="e">
        <f t="shared" si="0"/>
        <v>#N/A</v>
      </c>
      <c r="AX13" s="29" t="e">
        <f t="shared" si="1"/>
        <v>#N/A</v>
      </c>
      <c r="AY13" s="29" t="e">
        <f t="shared" si="1"/>
        <v>#N/A</v>
      </c>
      <c r="AZ13" s="29" t="e">
        <f t="shared" si="1"/>
        <v>#N/A</v>
      </c>
      <c r="BA13" s="29" t="e">
        <f t="shared" si="1"/>
        <v>#N/A</v>
      </c>
      <c r="BB13" s="29" t="e">
        <f t="shared" si="1"/>
        <v>#N/A</v>
      </c>
      <c r="BC13" s="29" t="e">
        <f t="shared" si="1"/>
        <v>#N/A</v>
      </c>
      <c r="BD13" s="29" t="e">
        <f t="shared" si="1"/>
        <v>#N/A</v>
      </c>
      <c r="BE13" s="29" t="e">
        <f t="shared" si="1"/>
        <v>#N/A</v>
      </c>
      <c r="BF13" s="29" t="e">
        <f t="shared" si="1"/>
        <v>#N/A</v>
      </c>
      <c r="BG13" s="29" t="e">
        <f t="shared" si="1"/>
        <v>#N/A</v>
      </c>
      <c r="BH13" s="29" t="e">
        <f t="shared" si="1"/>
        <v>#N/A</v>
      </c>
      <c r="BI13" s="29" t="e">
        <f t="shared" si="1"/>
        <v>#N/A</v>
      </c>
      <c r="BJ13" s="29" t="e">
        <f t="shared" si="1"/>
        <v>#N/A</v>
      </c>
      <c r="BK13" s="29" t="e">
        <f t="shared" si="1"/>
        <v>#N/A</v>
      </c>
    </row>
    <row r="14" spans="2:63" ht="18" x14ac:dyDescent="0.35">
      <c r="B14" s="5" t="s">
        <v>28</v>
      </c>
      <c r="C14" s="38">
        <v>6000</v>
      </c>
      <c r="D14" s="12" t="s">
        <v>29</v>
      </c>
      <c r="F14" s="4" t="s">
        <v>30</v>
      </c>
      <c r="G14" s="4"/>
      <c r="M14" s="7" t="s">
        <v>31</v>
      </c>
      <c r="N14" s="8">
        <f>$G$16*(1+$C$9)</f>
        <v>5400</v>
      </c>
      <c r="O14" s="8">
        <f>$G$16*(1+$C$9)</f>
        <v>5400</v>
      </c>
      <c r="AG14" s="25" t="str">
        <f t="shared" si="2"/>
        <v>X</v>
      </c>
      <c r="AH14" s="29" t="e">
        <f t="shared" si="0"/>
        <v>#N/A</v>
      </c>
      <c r="AI14" s="29" t="e">
        <f t="shared" si="0"/>
        <v>#N/A</v>
      </c>
      <c r="AJ14" s="29" t="e">
        <f t="shared" si="0"/>
        <v>#N/A</v>
      </c>
      <c r="AK14" s="29" t="e">
        <f t="shared" si="0"/>
        <v>#N/A</v>
      </c>
      <c r="AL14" s="29" t="e">
        <f t="shared" si="0"/>
        <v>#N/A</v>
      </c>
      <c r="AM14" s="29" t="e">
        <f t="shared" si="0"/>
        <v>#N/A</v>
      </c>
      <c r="AN14" s="29" t="e">
        <f t="shared" si="0"/>
        <v>#N/A</v>
      </c>
      <c r="AO14" s="29" t="e">
        <f t="shared" si="0"/>
        <v>#N/A</v>
      </c>
      <c r="AP14" s="29" t="e">
        <f t="shared" si="0"/>
        <v>#N/A</v>
      </c>
      <c r="AQ14" s="29" t="e">
        <f t="shared" si="0"/>
        <v>#N/A</v>
      </c>
      <c r="AR14" s="29" t="e">
        <f t="shared" si="0"/>
        <v>#N/A</v>
      </c>
      <c r="AS14" s="29" t="e">
        <f t="shared" si="0"/>
        <v>#N/A</v>
      </c>
      <c r="AT14" s="29" t="e">
        <f t="shared" si="0"/>
        <v>#N/A</v>
      </c>
      <c r="AU14" s="29" t="e">
        <f t="shared" si="0"/>
        <v>#N/A</v>
      </c>
      <c r="AV14" s="29" t="e">
        <f t="shared" si="0"/>
        <v>#N/A</v>
      </c>
      <c r="AW14" s="29" t="e">
        <f t="shared" si="0"/>
        <v>#N/A</v>
      </c>
      <c r="AX14" s="29" t="e">
        <f t="shared" si="1"/>
        <v>#N/A</v>
      </c>
      <c r="AY14" s="29" t="e">
        <f t="shared" si="1"/>
        <v>#N/A</v>
      </c>
      <c r="AZ14" s="29" t="e">
        <f t="shared" si="1"/>
        <v>#N/A</v>
      </c>
      <c r="BA14" s="29" t="e">
        <f t="shared" si="1"/>
        <v>#N/A</v>
      </c>
      <c r="BB14" s="29" t="e">
        <f t="shared" si="1"/>
        <v>#N/A</v>
      </c>
      <c r="BC14" s="29" t="e">
        <f t="shared" si="1"/>
        <v>#N/A</v>
      </c>
      <c r="BD14" s="29" t="e">
        <f t="shared" si="1"/>
        <v>#N/A</v>
      </c>
      <c r="BE14" s="29" t="e">
        <f t="shared" si="1"/>
        <v>#N/A</v>
      </c>
      <c r="BF14" s="29" t="e">
        <f t="shared" si="1"/>
        <v>#N/A</v>
      </c>
      <c r="BG14" s="29" t="e">
        <f t="shared" si="1"/>
        <v>#N/A</v>
      </c>
      <c r="BH14" s="29" t="e">
        <f t="shared" si="1"/>
        <v>#N/A</v>
      </c>
      <c r="BI14" s="29" t="e">
        <f t="shared" si="1"/>
        <v>#N/A</v>
      </c>
      <c r="BJ14" s="29" t="e">
        <f t="shared" si="1"/>
        <v>#N/A</v>
      </c>
      <c r="BK14" s="29" t="e">
        <f t="shared" si="1"/>
        <v>#N/A</v>
      </c>
    </row>
    <row r="15" spans="2:63" ht="18" x14ac:dyDescent="0.35">
      <c r="B15" s="5" t="s">
        <v>32</v>
      </c>
      <c r="C15" s="38">
        <v>0</v>
      </c>
      <c r="D15" s="1"/>
      <c r="E15" s="6"/>
      <c r="F15" s="5" t="s">
        <v>25</v>
      </c>
      <c r="G15" s="38">
        <v>3000</v>
      </c>
      <c r="I15" t="s">
        <v>33</v>
      </c>
      <c r="J15">
        <v>0</v>
      </c>
      <c r="K15">
        <f>C14</f>
        <v>6000</v>
      </c>
      <c r="M15" s="7" t="s">
        <v>34</v>
      </c>
      <c r="N15" s="8">
        <f>$G$16</f>
        <v>6000</v>
      </c>
      <c r="O15" s="8">
        <f>$G$16</f>
        <v>6000</v>
      </c>
      <c r="AG15" s="25" t="str">
        <f t="shared" si="2"/>
        <v>X</v>
      </c>
      <c r="AH15" s="29" t="e">
        <f t="shared" si="0"/>
        <v>#N/A</v>
      </c>
      <c r="AI15" s="29" t="e">
        <f t="shared" si="0"/>
        <v>#N/A</v>
      </c>
      <c r="AJ15" s="29" t="e">
        <f t="shared" si="0"/>
        <v>#N/A</v>
      </c>
      <c r="AK15" s="29" t="e">
        <f t="shared" si="0"/>
        <v>#N/A</v>
      </c>
      <c r="AL15" s="29" t="e">
        <f t="shared" si="0"/>
        <v>#N/A</v>
      </c>
      <c r="AM15" s="29" t="e">
        <f t="shared" si="0"/>
        <v>#N/A</v>
      </c>
      <c r="AN15" s="29" t="e">
        <f t="shared" si="0"/>
        <v>#N/A</v>
      </c>
      <c r="AO15" s="29" t="e">
        <f t="shared" si="0"/>
        <v>#N/A</v>
      </c>
      <c r="AP15" s="29" t="e">
        <f t="shared" si="0"/>
        <v>#N/A</v>
      </c>
      <c r="AQ15" s="29" t="e">
        <f t="shared" si="0"/>
        <v>#N/A</v>
      </c>
      <c r="AR15" s="29" t="e">
        <f t="shared" si="0"/>
        <v>#N/A</v>
      </c>
      <c r="AS15" s="29" t="e">
        <f t="shared" si="0"/>
        <v>#N/A</v>
      </c>
      <c r="AT15" s="29" t="e">
        <f t="shared" si="0"/>
        <v>#N/A</v>
      </c>
      <c r="AU15" s="29" t="e">
        <f t="shared" si="0"/>
        <v>#N/A</v>
      </c>
      <c r="AV15" s="29" t="e">
        <f t="shared" si="0"/>
        <v>#N/A</v>
      </c>
      <c r="AW15" s="29" t="e">
        <f t="shared" si="0"/>
        <v>#N/A</v>
      </c>
      <c r="AX15" s="29" t="e">
        <f t="shared" si="1"/>
        <v>#N/A</v>
      </c>
      <c r="AY15" s="29" t="e">
        <f t="shared" si="1"/>
        <v>#N/A</v>
      </c>
      <c r="AZ15" s="29" t="e">
        <f t="shared" si="1"/>
        <v>#N/A</v>
      </c>
      <c r="BA15" s="29" t="e">
        <f t="shared" si="1"/>
        <v>#N/A</v>
      </c>
      <c r="BB15" s="29" t="e">
        <f t="shared" si="1"/>
        <v>#N/A</v>
      </c>
      <c r="BC15" s="29" t="e">
        <f t="shared" si="1"/>
        <v>#N/A</v>
      </c>
      <c r="BD15" s="29" t="e">
        <f t="shared" si="1"/>
        <v>#N/A</v>
      </c>
      <c r="BE15" s="29" t="e">
        <f t="shared" si="1"/>
        <v>#N/A</v>
      </c>
      <c r="BF15" s="29" t="e">
        <f t="shared" si="1"/>
        <v>#N/A</v>
      </c>
      <c r="BG15" s="29" t="e">
        <f t="shared" si="1"/>
        <v>#N/A</v>
      </c>
      <c r="BH15" s="29" t="e">
        <f t="shared" si="1"/>
        <v>#N/A</v>
      </c>
      <c r="BI15" s="29" t="e">
        <f t="shared" si="1"/>
        <v>#N/A</v>
      </c>
      <c r="BJ15" s="29" t="e">
        <f t="shared" si="1"/>
        <v>#N/A</v>
      </c>
      <c r="BK15" s="29" t="e">
        <f t="shared" si="1"/>
        <v>#N/A</v>
      </c>
    </row>
    <row r="16" spans="2:63" ht="18" x14ac:dyDescent="0.35">
      <c r="B16" s="5" t="s">
        <v>35</v>
      </c>
      <c r="C16" s="38">
        <v>42000</v>
      </c>
      <c r="D16" s="12" t="s">
        <v>36</v>
      </c>
      <c r="E16" s="6"/>
      <c r="F16" s="5" t="s">
        <v>34</v>
      </c>
      <c r="G16" s="38">
        <v>6000</v>
      </c>
      <c r="I16" t="s">
        <v>37</v>
      </c>
      <c r="J16">
        <v>0</v>
      </c>
      <c r="K16">
        <f>C16</f>
        <v>42000</v>
      </c>
      <c r="M16" s="7" t="s">
        <v>38</v>
      </c>
      <c r="N16" s="9">
        <f>$G$16*(1+$C$10)</f>
        <v>6600.0000000000009</v>
      </c>
      <c r="O16" s="9">
        <f>$G$16*(1+$C$10)</f>
        <v>6600.0000000000009</v>
      </c>
      <c r="AG16" s="25" t="str">
        <f t="shared" si="2"/>
        <v>X</v>
      </c>
      <c r="AH16" s="29" t="e">
        <f t="shared" si="0"/>
        <v>#N/A</v>
      </c>
      <c r="AI16" s="29" t="e">
        <f t="shared" si="0"/>
        <v>#N/A</v>
      </c>
      <c r="AJ16" s="29" t="e">
        <f t="shared" si="0"/>
        <v>#N/A</v>
      </c>
      <c r="AK16" s="29" t="e">
        <f t="shared" si="0"/>
        <v>#N/A</v>
      </c>
      <c r="AL16" s="29" t="e">
        <f t="shared" si="0"/>
        <v>#N/A</v>
      </c>
      <c r="AM16" s="29" t="e">
        <f t="shared" si="0"/>
        <v>#N/A</v>
      </c>
      <c r="AN16" s="29" t="e">
        <f t="shared" si="0"/>
        <v>#N/A</v>
      </c>
      <c r="AO16" s="29" t="e">
        <f t="shared" si="0"/>
        <v>#N/A</v>
      </c>
      <c r="AP16" s="29" t="e">
        <f t="shared" si="0"/>
        <v>#N/A</v>
      </c>
      <c r="AQ16" s="29" t="e">
        <f t="shared" si="0"/>
        <v>#N/A</v>
      </c>
      <c r="AR16" s="29" t="e">
        <f t="shared" si="0"/>
        <v>#N/A</v>
      </c>
      <c r="AS16" s="29" t="e">
        <f t="shared" si="0"/>
        <v>#N/A</v>
      </c>
      <c r="AT16" s="29" t="e">
        <f t="shared" si="0"/>
        <v>#N/A</v>
      </c>
      <c r="AU16" s="29" t="e">
        <f t="shared" si="0"/>
        <v>#N/A</v>
      </c>
      <c r="AV16" s="29" t="e">
        <f t="shared" si="0"/>
        <v>#N/A</v>
      </c>
      <c r="AW16" s="29" t="e">
        <f t="shared" si="0"/>
        <v>#N/A</v>
      </c>
      <c r="AX16" s="29" t="e">
        <f t="shared" si="1"/>
        <v>#N/A</v>
      </c>
      <c r="AY16" s="29" t="e">
        <f t="shared" si="1"/>
        <v>#N/A</v>
      </c>
      <c r="AZ16" s="29" t="e">
        <f t="shared" si="1"/>
        <v>#N/A</v>
      </c>
      <c r="BA16" s="29" t="e">
        <f t="shared" si="1"/>
        <v>#N/A</v>
      </c>
      <c r="BB16" s="29" t="e">
        <f t="shared" si="1"/>
        <v>#N/A</v>
      </c>
      <c r="BC16" s="29" t="e">
        <f t="shared" si="1"/>
        <v>#N/A</v>
      </c>
      <c r="BD16" s="29" t="e">
        <f t="shared" si="1"/>
        <v>#N/A</v>
      </c>
      <c r="BE16" s="29" t="e">
        <f t="shared" si="1"/>
        <v>#N/A</v>
      </c>
      <c r="BF16" s="29" t="e">
        <f t="shared" si="1"/>
        <v>#N/A</v>
      </c>
      <c r="BG16" s="29" t="e">
        <f t="shared" si="1"/>
        <v>#N/A</v>
      </c>
      <c r="BH16" s="29" t="e">
        <f t="shared" si="1"/>
        <v>#N/A</v>
      </c>
      <c r="BI16" s="29" t="e">
        <f t="shared" si="1"/>
        <v>#N/A</v>
      </c>
      <c r="BJ16" s="29" t="e">
        <f t="shared" si="1"/>
        <v>#N/A</v>
      </c>
      <c r="BK16" s="29" t="e">
        <f t="shared" si="1"/>
        <v>#N/A</v>
      </c>
    </row>
    <row r="17" spans="2:63" x14ac:dyDescent="0.25">
      <c r="AG17" s="25" t="str">
        <f t="shared" si="2"/>
        <v>X</v>
      </c>
      <c r="AH17" s="29" t="e">
        <f t="shared" si="0"/>
        <v>#N/A</v>
      </c>
      <c r="AI17" s="29" t="e">
        <f t="shared" si="0"/>
        <v>#N/A</v>
      </c>
      <c r="AJ17" s="29" t="e">
        <f t="shared" si="0"/>
        <v>#N/A</v>
      </c>
      <c r="AK17" s="29" t="e">
        <f t="shared" si="0"/>
        <v>#N/A</v>
      </c>
      <c r="AL17" s="29" t="e">
        <f t="shared" si="0"/>
        <v>#N/A</v>
      </c>
      <c r="AM17" s="29" t="e">
        <f t="shared" si="0"/>
        <v>#N/A</v>
      </c>
      <c r="AN17" s="29" t="e">
        <f t="shared" si="0"/>
        <v>#N/A</v>
      </c>
      <c r="AO17" s="29" t="e">
        <f t="shared" si="0"/>
        <v>#N/A</v>
      </c>
      <c r="AP17" s="29" t="e">
        <f t="shared" si="0"/>
        <v>#N/A</v>
      </c>
      <c r="AQ17" s="29" t="e">
        <f t="shared" si="0"/>
        <v>#N/A</v>
      </c>
      <c r="AR17" s="29" t="e">
        <f t="shared" si="0"/>
        <v>#N/A</v>
      </c>
      <c r="AS17" s="29" t="e">
        <f t="shared" si="0"/>
        <v>#N/A</v>
      </c>
      <c r="AT17" s="29" t="e">
        <f t="shared" si="0"/>
        <v>#N/A</v>
      </c>
      <c r="AU17" s="29" t="e">
        <f t="shared" si="0"/>
        <v>#N/A</v>
      </c>
      <c r="AV17" s="29" t="e">
        <f t="shared" si="0"/>
        <v>#N/A</v>
      </c>
      <c r="AW17" s="29" t="e">
        <f t="shared" si="0"/>
        <v>#N/A</v>
      </c>
      <c r="AX17" s="29" t="e">
        <f t="shared" si="1"/>
        <v>#N/A</v>
      </c>
      <c r="AY17" s="29" t="e">
        <f t="shared" si="1"/>
        <v>#N/A</v>
      </c>
      <c r="AZ17" s="29" t="e">
        <f t="shared" si="1"/>
        <v>#N/A</v>
      </c>
      <c r="BA17" s="29" t="e">
        <f t="shared" si="1"/>
        <v>#N/A</v>
      </c>
      <c r="BB17" s="29" t="e">
        <f t="shared" si="1"/>
        <v>#N/A</v>
      </c>
      <c r="BC17" s="29" t="e">
        <f t="shared" si="1"/>
        <v>#N/A</v>
      </c>
      <c r="BD17" s="29" t="e">
        <f t="shared" si="1"/>
        <v>#N/A</v>
      </c>
      <c r="BE17" s="29" t="e">
        <f t="shared" si="1"/>
        <v>#N/A</v>
      </c>
      <c r="BF17" s="29" t="e">
        <f t="shared" si="1"/>
        <v>#N/A</v>
      </c>
      <c r="BG17" s="29" t="e">
        <f t="shared" si="1"/>
        <v>#N/A</v>
      </c>
      <c r="BH17" s="29" t="e">
        <f t="shared" si="1"/>
        <v>#N/A</v>
      </c>
      <c r="BI17" s="29" t="e">
        <f t="shared" si="1"/>
        <v>#N/A</v>
      </c>
      <c r="BJ17" s="29" t="e">
        <f t="shared" si="1"/>
        <v>#N/A</v>
      </c>
      <c r="BK17" s="29" t="e">
        <f t="shared" si="1"/>
        <v>#N/A</v>
      </c>
    </row>
    <row r="18" spans="2:63" x14ac:dyDescent="0.25">
      <c r="B18" s="4" t="s">
        <v>39</v>
      </c>
      <c r="C18" s="4"/>
      <c r="F18" s="4" t="s">
        <v>40</v>
      </c>
      <c r="AG18" s="25" t="str">
        <f t="shared" si="2"/>
        <v>X</v>
      </c>
      <c r="AH18" s="29" t="e">
        <f t="shared" si="0"/>
        <v>#N/A</v>
      </c>
      <c r="AI18" s="29" t="e">
        <f t="shared" si="0"/>
        <v>#N/A</v>
      </c>
      <c r="AJ18" s="29" t="e">
        <f t="shared" si="0"/>
        <v>#N/A</v>
      </c>
      <c r="AK18" s="29" t="e">
        <f t="shared" si="0"/>
        <v>#N/A</v>
      </c>
      <c r="AL18" s="29" t="e">
        <f t="shared" si="0"/>
        <v>#N/A</v>
      </c>
      <c r="AM18" s="29" t="e">
        <f t="shared" si="0"/>
        <v>#N/A</v>
      </c>
      <c r="AN18" s="29" t="e">
        <f t="shared" si="0"/>
        <v>#N/A</v>
      </c>
      <c r="AO18" s="29" t="e">
        <f t="shared" si="0"/>
        <v>#N/A</v>
      </c>
      <c r="AP18" s="29" t="e">
        <f t="shared" si="0"/>
        <v>#N/A</v>
      </c>
      <c r="AQ18" s="29" t="e">
        <f t="shared" si="0"/>
        <v>#N/A</v>
      </c>
      <c r="AR18" s="29" t="e">
        <f t="shared" si="0"/>
        <v>#N/A</v>
      </c>
      <c r="AS18" s="29" t="e">
        <f t="shared" si="0"/>
        <v>#N/A</v>
      </c>
      <c r="AT18" s="29" t="e">
        <f t="shared" si="0"/>
        <v>#N/A</v>
      </c>
      <c r="AU18" s="29" t="e">
        <f t="shared" si="0"/>
        <v>#N/A</v>
      </c>
      <c r="AV18" s="29" t="e">
        <f t="shared" si="0"/>
        <v>#N/A</v>
      </c>
      <c r="AW18" s="29" t="e">
        <f t="shared" si="0"/>
        <v>#N/A</v>
      </c>
      <c r="AX18" s="29" t="e">
        <f t="shared" si="1"/>
        <v>#N/A</v>
      </c>
      <c r="AY18" s="29" t="e">
        <f t="shared" si="1"/>
        <v>#N/A</v>
      </c>
      <c r="AZ18" s="29" t="e">
        <f t="shared" si="1"/>
        <v>#N/A</v>
      </c>
      <c r="BA18" s="29" t="e">
        <f t="shared" si="1"/>
        <v>#N/A</v>
      </c>
      <c r="BB18" s="29" t="e">
        <f t="shared" si="1"/>
        <v>#N/A</v>
      </c>
      <c r="BC18" s="29" t="e">
        <f t="shared" si="1"/>
        <v>#N/A</v>
      </c>
      <c r="BD18" s="29" t="e">
        <f t="shared" si="1"/>
        <v>#N/A</v>
      </c>
      <c r="BE18" s="29" t="e">
        <f t="shared" si="1"/>
        <v>#N/A</v>
      </c>
      <c r="BF18" s="29" t="e">
        <f t="shared" si="1"/>
        <v>#N/A</v>
      </c>
      <c r="BG18" s="29" t="e">
        <f t="shared" si="1"/>
        <v>#N/A</v>
      </c>
      <c r="BH18" s="29" t="e">
        <f t="shared" si="1"/>
        <v>#N/A</v>
      </c>
      <c r="BI18" s="29" t="e">
        <f t="shared" si="1"/>
        <v>#N/A</v>
      </c>
      <c r="BJ18" s="29" t="e">
        <f t="shared" si="1"/>
        <v>#N/A</v>
      </c>
      <c r="BK18" s="29" t="e">
        <f t="shared" si="1"/>
        <v>#N/A</v>
      </c>
    </row>
    <row r="19" spans="2:63" x14ac:dyDescent="0.25">
      <c r="B19" s="5" t="s">
        <v>41</v>
      </c>
      <c r="C19" s="38">
        <v>3600</v>
      </c>
      <c r="D19" s="1"/>
      <c r="E19" s="1"/>
      <c r="F19" s="5" t="str">
        <f>G19&amp;"X"</f>
        <v>1X</v>
      </c>
      <c r="G19" s="38">
        <v>1</v>
      </c>
      <c r="H19" s="1"/>
      <c r="I19" t="s">
        <v>41</v>
      </c>
      <c r="J19">
        <f t="shared" ref="J19:J48" si="3">IF(C19&gt;0,ROUND(C19,1),#N/A)</f>
        <v>3600</v>
      </c>
      <c r="K19">
        <f t="shared" ref="K19:K48" si="4">IF(C19&gt;0,ROUND(C19,1),#N/A)</f>
        <v>3600</v>
      </c>
      <c r="M19" t="str">
        <f t="shared" ref="M19:M48" si="5">F19</f>
        <v>1X</v>
      </c>
      <c r="N19">
        <f t="shared" ref="N19:N48" si="6">IF(G19&gt;0,G19,#N/A)</f>
        <v>1</v>
      </c>
      <c r="O19">
        <v>0</v>
      </c>
      <c r="P19">
        <f t="shared" ref="P19:P48" si="7">N19*$C$14</f>
        <v>6000</v>
      </c>
      <c r="AG19" s="25" t="str">
        <f t="shared" si="2"/>
        <v>X</v>
      </c>
      <c r="AH19" s="29" t="e">
        <f t="shared" si="0"/>
        <v>#N/A</v>
      </c>
      <c r="AI19" s="29" t="e">
        <f t="shared" si="0"/>
        <v>#N/A</v>
      </c>
      <c r="AJ19" s="29" t="e">
        <f t="shared" si="0"/>
        <v>#N/A</v>
      </c>
      <c r="AK19" s="29" t="e">
        <f t="shared" si="0"/>
        <v>#N/A</v>
      </c>
      <c r="AL19" s="29" t="e">
        <f t="shared" si="0"/>
        <v>#N/A</v>
      </c>
      <c r="AM19" s="29" t="e">
        <f t="shared" si="0"/>
        <v>#N/A</v>
      </c>
      <c r="AN19" s="29" t="e">
        <f t="shared" si="0"/>
        <v>#N/A</v>
      </c>
      <c r="AO19" s="29" t="e">
        <f t="shared" si="0"/>
        <v>#N/A</v>
      </c>
      <c r="AP19" s="29" t="e">
        <f t="shared" si="0"/>
        <v>#N/A</v>
      </c>
      <c r="AQ19" s="29" t="e">
        <f t="shared" si="0"/>
        <v>#N/A</v>
      </c>
      <c r="AR19" s="29" t="e">
        <f t="shared" si="0"/>
        <v>#N/A</v>
      </c>
      <c r="AS19" s="29" t="e">
        <f t="shared" si="0"/>
        <v>#N/A</v>
      </c>
      <c r="AT19" s="29" t="e">
        <f t="shared" si="0"/>
        <v>#N/A</v>
      </c>
      <c r="AU19" s="29" t="e">
        <f t="shared" si="0"/>
        <v>#N/A</v>
      </c>
      <c r="AV19" s="29" t="e">
        <f t="shared" si="0"/>
        <v>#N/A</v>
      </c>
      <c r="AW19" s="29" t="e">
        <f t="shared" si="0"/>
        <v>#N/A</v>
      </c>
      <c r="AX19" s="29" t="e">
        <f t="shared" si="1"/>
        <v>#N/A</v>
      </c>
      <c r="AY19" s="29" t="e">
        <f t="shared" si="1"/>
        <v>#N/A</v>
      </c>
      <c r="AZ19" s="29" t="e">
        <f t="shared" si="1"/>
        <v>#N/A</v>
      </c>
      <c r="BA19" s="29" t="e">
        <f t="shared" si="1"/>
        <v>#N/A</v>
      </c>
      <c r="BB19" s="29" t="e">
        <f t="shared" si="1"/>
        <v>#N/A</v>
      </c>
      <c r="BC19" s="29" t="e">
        <f t="shared" si="1"/>
        <v>#N/A</v>
      </c>
      <c r="BD19" s="29" t="e">
        <f t="shared" si="1"/>
        <v>#N/A</v>
      </c>
      <c r="BE19" s="29" t="e">
        <f t="shared" si="1"/>
        <v>#N/A</v>
      </c>
      <c r="BF19" s="29" t="e">
        <f t="shared" si="1"/>
        <v>#N/A</v>
      </c>
      <c r="BG19" s="29" t="e">
        <f t="shared" si="1"/>
        <v>#N/A</v>
      </c>
      <c r="BH19" s="29" t="e">
        <f t="shared" si="1"/>
        <v>#N/A</v>
      </c>
      <c r="BI19" s="29" t="e">
        <f t="shared" si="1"/>
        <v>#N/A</v>
      </c>
      <c r="BJ19" s="29" t="e">
        <f t="shared" si="1"/>
        <v>#N/A</v>
      </c>
      <c r="BK19" s="29" t="e">
        <f t="shared" si="1"/>
        <v>#N/A</v>
      </c>
    </row>
    <row r="20" spans="2:63" x14ac:dyDescent="0.25">
      <c r="B20" s="5" t="s">
        <v>42</v>
      </c>
      <c r="C20" s="38">
        <v>5000</v>
      </c>
      <c r="D20" s="1"/>
      <c r="E20" s="1"/>
      <c r="F20" s="5" t="str">
        <f t="shared" ref="F20:F48" si="8">G20&amp;"X"</f>
        <v>2X</v>
      </c>
      <c r="G20" s="38">
        <v>2</v>
      </c>
      <c r="H20" s="1"/>
      <c r="I20" t="s">
        <v>42</v>
      </c>
      <c r="J20">
        <f t="shared" si="3"/>
        <v>5000</v>
      </c>
      <c r="K20">
        <f t="shared" si="4"/>
        <v>5000</v>
      </c>
      <c r="M20" t="str">
        <f t="shared" si="5"/>
        <v>2X</v>
      </c>
      <c r="N20">
        <f t="shared" si="6"/>
        <v>2</v>
      </c>
      <c r="O20">
        <v>0</v>
      </c>
      <c r="P20">
        <f t="shared" si="7"/>
        <v>12000</v>
      </c>
      <c r="AG20" s="25" t="str">
        <f t="shared" si="2"/>
        <v>X</v>
      </c>
      <c r="AH20" s="29" t="e">
        <f t="shared" si="0"/>
        <v>#N/A</v>
      </c>
      <c r="AI20" s="29" t="e">
        <f t="shared" si="0"/>
        <v>#N/A</v>
      </c>
      <c r="AJ20" s="29" t="e">
        <f t="shared" si="0"/>
        <v>#N/A</v>
      </c>
      <c r="AK20" s="29" t="e">
        <f t="shared" si="0"/>
        <v>#N/A</v>
      </c>
      <c r="AL20" s="29" t="e">
        <f t="shared" si="0"/>
        <v>#N/A</v>
      </c>
      <c r="AM20" s="29" t="e">
        <f t="shared" si="0"/>
        <v>#N/A</v>
      </c>
      <c r="AN20" s="29" t="e">
        <f t="shared" si="0"/>
        <v>#N/A</v>
      </c>
      <c r="AO20" s="29" t="e">
        <f t="shared" si="0"/>
        <v>#N/A</v>
      </c>
      <c r="AP20" s="29" t="e">
        <f t="shared" si="0"/>
        <v>#N/A</v>
      </c>
      <c r="AQ20" s="29" t="e">
        <f t="shared" si="0"/>
        <v>#N/A</v>
      </c>
      <c r="AR20" s="29" t="e">
        <f t="shared" si="0"/>
        <v>#N/A</v>
      </c>
      <c r="AS20" s="29" t="e">
        <f t="shared" si="0"/>
        <v>#N/A</v>
      </c>
      <c r="AT20" s="29" t="e">
        <f t="shared" si="0"/>
        <v>#N/A</v>
      </c>
      <c r="AU20" s="29" t="e">
        <f t="shared" si="0"/>
        <v>#N/A</v>
      </c>
      <c r="AV20" s="29" t="e">
        <f t="shared" si="0"/>
        <v>#N/A</v>
      </c>
      <c r="AW20" s="29" t="e">
        <f t="shared" si="0"/>
        <v>#N/A</v>
      </c>
      <c r="AX20" s="29" t="e">
        <f t="shared" si="1"/>
        <v>#N/A</v>
      </c>
      <c r="AY20" s="29" t="e">
        <f t="shared" si="1"/>
        <v>#N/A</v>
      </c>
      <c r="AZ20" s="29" t="e">
        <f t="shared" si="1"/>
        <v>#N/A</v>
      </c>
      <c r="BA20" s="29" t="e">
        <f t="shared" si="1"/>
        <v>#N/A</v>
      </c>
      <c r="BB20" s="29" t="e">
        <f t="shared" si="1"/>
        <v>#N/A</v>
      </c>
      <c r="BC20" s="29" t="e">
        <f t="shared" si="1"/>
        <v>#N/A</v>
      </c>
      <c r="BD20" s="29" t="e">
        <f t="shared" si="1"/>
        <v>#N/A</v>
      </c>
      <c r="BE20" s="29" t="e">
        <f t="shared" si="1"/>
        <v>#N/A</v>
      </c>
      <c r="BF20" s="29" t="e">
        <f t="shared" si="1"/>
        <v>#N/A</v>
      </c>
      <c r="BG20" s="29" t="e">
        <f t="shared" si="1"/>
        <v>#N/A</v>
      </c>
      <c r="BH20" s="29" t="e">
        <f t="shared" si="1"/>
        <v>#N/A</v>
      </c>
      <c r="BI20" s="29" t="e">
        <f t="shared" si="1"/>
        <v>#N/A</v>
      </c>
      <c r="BJ20" s="29" t="e">
        <f t="shared" si="1"/>
        <v>#N/A</v>
      </c>
      <c r="BK20" s="29" t="e">
        <f t="shared" si="1"/>
        <v>#N/A</v>
      </c>
    </row>
    <row r="21" spans="2:63" x14ac:dyDescent="0.25">
      <c r="B21" s="5" t="s">
        <v>43</v>
      </c>
      <c r="C21" s="38">
        <v>8500</v>
      </c>
      <c r="F21" s="5" t="str">
        <f t="shared" si="8"/>
        <v>5X</v>
      </c>
      <c r="G21" s="38">
        <v>5</v>
      </c>
      <c r="I21" t="s">
        <v>43</v>
      </c>
      <c r="J21">
        <f t="shared" si="3"/>
        <v>8500</v>
      </c>
      <c r="K21">
        <f t="shared" si="4"/>
        <v>8500</v>
      </c>
      <c r="M21" t="str">
        <f t="shared" si="5"/>
        <v>5X</v>
      </c>
      <c r="N21">
        <f t="shared" si="6"/>
        <v>5</v>
      </c>
      <c r="O21">
        <v>0</v>
      </c>
      <c r="P21">
        <f t="shared" si="7"/>
        <v>30000</v>
      </c>
      <c r="AG21" s="25" t="str">
        <f t="shared" si="2"/>
        <v>X</v>
      </c>
      <c r="AH21" s="29" t="e">
        <f t="shared" si="0"/>
        <v>#N/A</v>
      </c>
      <c r="AI21" s="29" t="e">
        <f t="shared" si="0"/>
        <v>#N/A</v>
      </c>
      <c r="AJ21" s="29" t="e">
        <f t="shared" si="0"/>
        <v>#N/A</v>
      </c>
      <c r="AK21" s="29" t="e">
        <f t="shared" si="0"/>
        <v>#N/A</v>
      </c>
      <c r="AL21" s="29" t="e">
        <f t="shared" si="0"/>
        <v>#N/A</v>
      </c>
      <c r="AM21" s="29" t="e">
        <f t="shared" si="0"/>
        <v>#N/A</v>
      </c>
      <c r="AN21" s="29" t="e">
        <f t="shared" si="0"/>
        <v>#N/A</v>
      </c>
      <c r="AO21" s="29" t="e">
        <f t="shared" si="0"/>
        <v>#N/A</v>
      </c>
      <c r="AP21" s="29" t="e">
        <f t="shared" si="0"/>
        <v>#N/A</v>
      </c>
      <c r="AQ21" s="29" t="e">
        <f t="shared" si="0"/>
        <v>#N/A</v>
      </c>
      <c r="AR21" s="29" t="e">
        <f t="shared" si="0"/>
        <v>#N/A</v>
      </c>
      <c r="AS21" s="29" t="e">
        <f t="shared" si="0"/>
        <v>#N/A</v>
      </c>
      <c r="AT21" s="29" t="e">
        <f t="shared" si="0"/>
        <v>#N/A</v>
      </c>
      <c r="AU21" s="29" t="e">
        <f t="shared" si="0"/>
        <v>#N/A</v>
      </c>
      <c r="AV21" s="29" t="e">
        <f t="shared" si="0"/>
        <v>#N/A</v>
      </c>
      <c r="AW21" s="29" t="e">
        <f t="shared" ref="AW21:AZ35" si="9">IF(R153&lt;$C$5,(R153-$C$5)/$C$5,IF(R153&gt;$C$6,(R153-$C$6)/$C$6,0))</f>
        <v>#N/A</v>
      </c>
      <c r="AX21" s="29" t="e">
        <f t="shared" si="1"/>
        <v>#N/A</v>
      </c>
      <c r="AY21" s="29" t="e">
        <f t="shared" si="1"/>
        <v>#N/A</v>
      </c>
      <c r="AZ21" s="29" t="e">
        <f t="shared" si="1"/>
        <v>#N/A</v>
      </c>
      <c r="BA21" s="29" t="e">
        <f t="shared" si="1"/>
        <v>#N/A</v>
      </c>
      <c r="BB21" s="29" t="e">
        <f t="shared" si="1"/>
        <v>#N/A</v>
      </c>
      <c r="BC21" s="29" t="e">
        <f t="shared" si="1"/>
        <v>#N/A</v>
      </c>
      <c r="BD21" s="29" t="e">
        <f t="shared" si="1"/>
        <v>#N/A</v>
      </c>
      <c r="BE21" s="29" t="e">
        <f t="shared" si="1"/>
        <v>#N/A</v>
      </c>
      <c r="BF21" s="29" t="e">
        <f t="shared" si="1"/>
        <v>#N/A</v>
      </c>
      <c r="BG21" s="29" t="e">
        <f t="shared" si="1"/>
        <v>#N/A</v>
      </c>
      <c r="BH21" s="29" t="e">
        <f t="shared" si="1"/>
        <v>#N/A</v>
      </c>
      <c r="BI21" s="29" t="e">
        <f t="shared" si="1"/>
        <v>#N/A</v>
      </c>
      <c r="BJ21" s="29" t="e">
        <f t="shared" si="1"/>
        <v>#N/A</v>
      </c>
      <c r="BK21" s="29" t="e">
        <f t="shared" si="1"/>
        <v>#N/A</v>
      </c>
    </row>
    <row r="22" spans="2:63" x14ac:dyDescent="0.25">
      <c r="B22" s="5" t="s">
        <v>44</v>
      </c>
      <c r="C22" s="38">
        <v>10500</v>
      </c>
      <c r="F22" s="5" t="str">
        <f>G22&amp;"X"</f>
        <v>X</v>
      </c>
      <c r="G22" s="38"/>
      <c r="I22" t="s">
        <v>44</v>
      </c>
      <c r="J22">
        <f t="shared" si="3"/>
        <v>10500</v>
      </c>
      <c r="K22">
        <f t="shared" si="4"/>
        <v>10500</v>
      </c>
      <c r="M22" t="str">
        <f t="shared" si="5"/>
        <v>X</v>
      </c>
      <c r="N22" t="e">
        <f t="shared" si="6"/>
        <v>#N/A</v>
      </c>
      <c r="O22">
        <v>0</v>
      </c>
      <c r="P22" t="e">
        <f t="shared" si="7"/>
        <v>#N/A</v>
      </c>
      <c r="AG22" s="25" t="str">
        <f t="shared" si="2"/>
        <v>X</v>
      </c>
      <c r="AH22" s="29" t="e">
        <f t="shared" ref="AH22:AV35" si="10">IF(C154&lt;$C$5,(C154-$C$5)/$C$5,IF(C154&gt;$C$6,(C154-$C$6)/$C$6,0))</f>
        <v>#N/A</v>
      </c>
      <c r="AI22" s="29" t="e">
        <f t="shared" si="10"/>
        <v>#N/A</v>
      </c>
      <c r="AJ22" s="29" t="e">
        <f t="shared" si="10"/>
        <v>#N/A</v>
      </c>
      <c r="AK22" s="29" t="e">
        <f t="shared" si="10"/>
        <v>#N/A</v>
      </c>
      <c r="AL22" s="29" t="e">
        <f t="shared" si="10"/>
        <v>#N/A</v>
      </c>
      <c r="AM22" s="29" t="e">
        <f t="shared" si="10"/>
        <v>#N/A</v>
      </c>
      <c r="AN22" s="29" t="e">
        <f t="shared" si="10"/>
        <v>#N/A</v>
      </c>
      <c r="AO22" s="29" t="e">
        <f t="shared" si="10"/>
        <v>#N/A</v>
      </c>
      <c r="AP22" s="29" t="e">
        <f t="shared" si="10"/>
        <v>#N/A</v>
      </c>
      <c r="AQ22" s="29" t="e">
        <f t="shared" si="10"/>
        <v>#N/A</v>
      </c>
      <c r="AR22" s="29" t="e">
        <f t="shared" si="10"/>
        <v>#N/A</v>
      </c>
      <c r="AS22" s="29" t="e">
        <f t="shared" si="10"/>
        <v>#N/A</v>
      </c>
      <c r="AT22" s="29" t="e">
        <f t="shared" si="10"/>
        <v>#N/A</v>
      </c>
      <c r="AU22" s="29" t="e">
        <f t="shared" si="10"/>
        <v>#N/A</v>
      </c>
      <c r="AV22" s="29" t="e">
        <f t="shared" si="10"/>
        <v>#N/A</v>
      </c>
      <c r="AW22" s="29" t="e">
        <f t="shared" si="9"/>
        <v>#N/A</v>
      </c>
      <c r="AX22" s="29" t="e">
        <f t="shared" si="1"/>
        <v>#N/A</v>
      </c>
      <c r="AY22" s="29" t="e">
        <f t="shared" si="1"/>
        <v>#N/A</v>
      </c>
      <c r="AZ22" s="29" t="e">
        <f t="shared" si="1"/>
        <v>#N/A</v>
      </c>
      <c r="BA22" s="29" t="e">
        <f t="shared" si="1"/>
        <v>#N/A</v>
      </c>
      <c r="BB22" s="29" t="e">
        <f t="shared" si="1"/>
        <v>#N/A</v>
      </c>
      <c r="BC22" s="29" t="e">
        <f t="shared" si="1"/>
        <v>#N/A</v>
      </c>
      <c r="BD22" s="29" t="e">
        <f t="shared" si="1"/>
        <v>#N/A</v>
      </c>
      <c r="BE22" s="29" t="e">
        <f t="shared" si="1"/>
        <v>#N/A</v>
      </c>
      <c r="BF22" s="29" t="e">
        <f t="shared" si="1"/>
        <v>#N/A</v>
      </c>
      <c r="BG22" s="29" t="e">
        <f t="shared" si="1"/>
        <v>#N/A</v>
      </c>
      <c r="BH22" s="29" t="e">
        <f t="shared" si="1"/>
        <v>#N/A</v>
      </c>
      <c r="BI22" s="29" t="e">
        <f t="shared" si="1"/>
        <v>#N/A</v>
      </c>
      <c r="BJ22" s="29" t="e">
        <f t="shared" si="1"/>
        <v>#N/A</v>
      </c>
      <c r="BK22" s="29" t="e">
        <f t="shared" si="1"/>
        <v>#N/A</v>
      </c>
    </row>
    <row r="23" spans="2:63" x14ac:dyDescent="0.25">
      <c r="B23" s="5" t="s">
        <v>45</v>
      </c>
      <c r="C23" s="38">
        <v>12500</v>
      </c>
      <c r="F23" s="5" t="str">
        <f t="shared" si="8"/>
        <v>X</v>
      </c>
      <c r="G23" s="38"/>
      <c r="I23" t="s">
        <v>45</v>
      </c>
      <c r="J23">
        <f t="shared" si="3"/>
        <v>12500</v>
      </c>
      <c r="K23">
        <f t="shared" si="4"/>
        <v>12500</v>
      </c>
      <c r="M23" t="str">
        <f t="shared" si="5"/>
        <v>X</v>
      </c>
      <c r="N23" t="e">
        <f t="shared" si="6"/>
        <v>#N/A</v>
      </c>
      <c r="O23">
        <v>0</v>
      </c>
      <c r="P23" t="e">
        <f t="shared" si="7"/>
        <v>#N/A</v>
      </c>
      <c r="AG23" s="25" t="str">
        <f t="shared" si="2"/>
        <v>X</v>
      </c>
      <c r="AH23" s="29" t="e">
        <f t="shared" si="10"/>
        <v>#N/A</v>
      </c>
      <c r="AI23" s="29" t="e">
        <f t="shared" si="10"/>
        <v>#N/A</v>
      </c>
      <c r="AJ23" s="29" t="e">
        <f t="shared" si="10"/>
        <v>#N/A</v>
      </c>
      <c r="AK23" s="29" t="e">
        <f t="shared" si="10"/>
        <v>#N/A</v>
      </c>
      <c r="AL23" s="29" t="e">
        <f t="shared" si="10"/>
        <v>#N/A</v>
      </c>
      <c r="AM23" s="29" t="e">
        <f t="shared" si="10"/>
        <v>#N/A</v>
      </c>
      <c r="AN23" s="29" t="e">
        <f t="shared" si="10"/>
        <v>#N/A</v>
      </c>
      <c r="AO23" s="29" t="e">
        <f t="shared" si="10"/>
        <v>#N/A</v>
      </c>
      <c r="AP23" s="29" t="e">
        <f t="shared" si="10"/>
        <v>#N/A</v>
      </c>
      <c r="AQ23" s="29" t="e">
        <f t="shared" si="10"/>
        <v>#N/A</v>
      </c>
      <c r="AR23" s="29" t="e">
        <f t="shared" si="10"/>
        <v>#N/A</v>
      </c>
      <c r="AS23" s="29" t="e">
        <f t="shared" si="10"/>
        <v>#N/A</v>
      </c>
      <c r="AT23" s="29" t="e">
        <f t="shared" si="10"/>
        <v>#N/A</v>
      </c>
      <c r="AU23" s="29" t="e">
        <f t="shared" si="10"/>
        <v>#N/A</v>
      </c>
      <c r="AV23" s="29" t="e">
        <f t="shared" si="10"/>
        <v>#N/A</v>
      </c>
      <c r="AW23" s="29" t="e">
        <f t="shared" si="9"/>
        <v>#N/A</v>
      </c>
      <c r="AX23" s="29" t="e">
        <f t="shared" si="1"/>
        <v>#N/A</v>
      </c>
      <c r="AY23" s="29" t="e">
        <f t="shared" si="1"/>
        <v>#N/A</v>
      </c>
      <c r="AZ23" s="29" t="e">
        <f t="shared" si="1"/>
        <v>#N/A</v>
      </c>
      <c r="BA23" s="29" t="e">
        <f t="shared" si="1"/>
        <v>#N/A</v>
      </c>
      <c r="BB23" s="29" t="e">
        <f t="shared" si="1"/>
        <v>#N/A</v>
      </c>
      <c r="BC23" s="29" t="e">
        <f t="shared" si="1"/>
        <v>#N/A</v>
      </c>
      <c r="BD23" s="29" t="e">
        <f t="shared" si="1"/>
        <v>#N/A</v>
      </c>
      <c r="BE23" s="29" t="e">
        <f t="shared" si="1"/>
        <v>#N/A</v>
      </c>
      <c r="BF23" s="29" t="e">
        <f t="shared" si="1"/>
        <v>#N/A</v>
      </c>
      <c r="BG23" s="29" t="e">
        <f t="shared" si="1"/>
        <v>#N/A</v>
      </c>
      <c r="BH23" s="29" t="e">
        <f t="shared" si="1"/>
        <v>#N/A</v>
      </c>
      <c r="BI23" s="29" t="e">
        <f t="shared" si="1"/>
        <v>#N/A</v>
      </c>
      <c r="BJ23" s="29" t="e">
        <f t="shared" si="1"/>
        <v>#N/A</v>
      </c>
      <c r="BK23" s="29" t="e">
        <f t="shared" si="1"/>
        <v>#N/A</v>
      </c>
    </row>
    <row r="24" spans="2:63" x14ac:dyDescent="0.25">
      <c r="B24" s="5" t="s">
        <v>46</v>
      </c>
      <c r="C24" s="38"/>
      <c r="F24" s="5" t="str">
        <f t="shared" si="8"/>
        <v>X</v>
      </c>
      <c r="G24" s="38"/>
      <c r="I24" t="s">
        <v>46</v>
      </c>
      <c r="J24" t="e">
        <f t="shared" si="3"/>
        <v>#N/A</v>
      </c>
      <c r="K24" t="e">
        <f t="shared" si="4"/>
        <v>#N/A</v>
      </c>
      <c r="M24" t="str">
        <f t="shared" si="5"/>
        <v>X</v>
      </c>
      <c r="N24" t="e">
        <f t="shared" si="6"/>
        <v>#N/A</v>
      </c>
      <c r="O24">
        <v>0</v>
      </c>
      <c r="P24" t="e">
        <f t="shared" si="7"/>
        <v>#N/A</v>
      </c>
      <c r="AG24" s="25" t="str">
        <f t="shared" si="2"/>
        <v>X</v>
      </c>
      <c r="AH24" s="29" t="e">
        <f t="shared" si="10"/>
        <v>#N/A</v>
      </c>
      <c r="AI24" s="29" t="e">
        <f t="shared" si="10"/>
        <v>#N/A</v>
      </c>
      <c r="AJ24" s="29" t="e">
        <f t="shared" si="10"/>
        <v>#N/A</v>
      </c>
      <c r="AK24" s="29" t="e">
        <f t="shared" si="10"/>
        <v>#N/A</v>
      </c>
      <c r="AL24" s="29" t="e">
        <f t="shared" si="10"/>
        <v>#N/A</v>
      </c>
      <c r="AM24" s="29" t="e">
        <f t="shared" si="10"/>
        <v>#N/A</v>
      </c>
      <c r="AN24" s="29" t="e">
        <f t="shared" si="10"/>
        <v>#N/A</v>
      </c>
      <c r="AO24" s="29" t="e">
        <f t="shared" si="10"/>
        <v>#N/A</v>
      </c>
      <c r="AP24" s="29" t="e">
        <f t="shared" si="10"/>
        <v>#N/A</v>
      </c>
      <c r="AQ24" s="29" t="e">
        <f t="shared" si="10"/>
        <v>#N/A</v>
      </c>
      <c r="AR24" s="29" t="e">
        <f t="shared" si="10"/>
        <v>#N/A</v>
      </c>
      <c r="AS24" s="29" t="e">
        <f t="shared" si="10"/>
        <v>#N/A</v>
      </c>
      <c r="AT24" s="29" t="e">
        <f t="shared" si="10"/>
        <v>#N/A</v>
      </c>
      <c r="AU24" s="29" t="e">
        <f t="shared" si="10"/>
        <v>#N/A</v>
      </c>
      <c r="AV24" s="29" t="e">
        <f t="shared" si="10"/>
        <v>#N/A</v>
      </c>
      <c r="AW24" s="29" t="e">
        <f t="shared" si="9"/>
        <v>#N/A</v>
      </c>
      <c r="AX24" s="29" t="e">
        <f t="shared" si="1"/>
        <v>#N/A</v>
      </c>
      <c r="AY24" s="29" t="e">
        <f t="shared" si="1"/>
        <v>#N/A</v>
      </c>
      <c r="AZ24" s="29" t="e">
        <f t="shared" si="1"/>
        <v>#N/A</v>
      </c>
      <c r="BA24" s="29" t="e">
        <f t="shared" ref="BA24:BK35" si="11">IF(V156&lt;$C$5,(V156-$C$5)/$C$5,IF(V156&gt;$C$6,(V156-$C$6)/$C$6,0))</f>
        <v>#N/A</v>
      </c>
      <c r="BB24" s="29" t="e">
        <f t="shared" si="11"/>
        <v>#N/A</v>
      </c>
      <c r="BC24" s="29" t="e">
        <f t="shared" si="11"/>
        <v>#N/A</v>
      </c>
      <c r="BD24" s="29" t="e">
        <f t="shared" si="11"/>
        <v>#N/A</v>
      </c>
      <c r="BE24" s="29" t="e">
        <f t="shared" si="11"/>
        <v>#N/A</v>
      </c>
      <c r="BF24" s="29" t="e">
        <f t="shared" si="11"/>
        <v>#N/A</v>
      </c>
      <c r="BG24" s="29" t="e">
        <f t="shared" si="11"/>
        <v>#N/A</v>
      </c>
      <c r="BH24" s="29" t="e">
        <f t="shared" si="11"/>
        <v>#N/A</v>
      </c>
      <c r="BI24" s="29" t="e">
        <f t="shared" si="11"/>
        <v>#N/A</v>
      </c>
      <c r="BJ24" s="29" t="e">
        <f t="shared" si="11"/>
        <v>#N/A</v>
      </c>
      <c r="BK24" s="29" t="e">
        <f t="shared" si="11"/>
        <v>#N/A</v>
      </c>
    </row>
    <row r="25" spans="2:63" x14ac:dyDescent="0.25">
      <c r="B25" s="5" t="s">
        <v>47</v>
      </c>
      <c r="C25" s="38"/>
      <c r="F25" s="5" t="str">
        <f t="shared" si="8"/>
        <v>X</v>
      </c>
      <c r="G25" s="38"/>
      <c r="I25" t="s">
        <v>47</v>
      </c>
      <c r="J25" t="e">
        <f t="shared" si="3"/>
        <v>#N/A</v>
      </c>
      <c r="K25" t="e">
        <f t="shared" si="4"/>
        <v>#N/A</v>
      </c>
      <c r="M25" t="str">
        <f t="shared" si="5"/>
        <v>X</v>
      </c>
      <c r="N25" t="e">
        <f t="shared" si="6"/>
        <v>#N/A</v>
      </c>
      <c r="O25">
        <v>0</v>
      </c>
      <c r="P25" t="e">
        <f t="shared" si="7"/>
        <v>#N/A</v>
      </c>
      <c r="AG25" s="25" t="str">
        <f t="shared" si="2"/>
        <v>X</v>
      </c>
      <c r="AH25" s="29" t="e">
        <f t="shared" si="10"/>
        <v>#N/A</v>
      </c>
      <c r="AI25" s="29" t="e">
        <f t="shared" si="10"/>
        <v>#N/A</v>
      </c>
      <c r="AJ25" s="29" t="e">
        <f t="shared" si="10"/>
        <v>#N/A</v>
      </c>
      <c r="AK25" s="29" t="e">
        <f t="shared" si="10"/>
        <v>#N/A</v>
      </c>
      <c r="AL25" s="29" t="e">
        <f t="shared" si="10"/>
        <v>#N/A</v>
      </c>
      <c r="AM25" s="29" t="e">
        <f t="shared" si="10"/>
        <v>#N/A</v>
      </c>
      <c r="AN25" s="29" t="e">
        <f t="shared" si="10"/>
        <v>#N/A</v>
      </c>
      <c r="AO25" s="29" t="e">
        <f t="shared" si="10"/>
        <v>#N/A</v>
      </c>
      <c r="AP25" s="29" t="e">
        <f t="shared" si="10"/>
        <v>#N/A</v>
      </c>
      <c r="AQ25" s="29" t="e">
        <f t="shared" si="10"/>
        <v>#N/A</v>
      </c>
      <c r="AR25" s="29" t="e">
        <f t="shared" si="10"/>
        <v>#N/A</v>
      </c>
      <c r="AS25" s="29" t="e">
        <f t="shared" si="10"/>
        <v>#N/A</v>
      </c>
      <c r="AT25" s="29" t="e">
        <f t="shared" si="10"/>
        <v>#N/A</v>
      </c>
      <c r="AU25" s="29" t="e">
        <f t="shared" si="10"/>
        <v>#N/A</v>
      </c>
      <c r="AV25" s="29" t="e">
        <f t="shared" si="10"/>
        <v>#N/A</v>
      </c>
      <c r="AW25" s="29" t="e">
        <f t="shared" si="9"/>
        <v>#N/A</v>
      </c>
      <c r="AX25" s="29" t="e">
        <f t="shared" si="9"/>
        <v>#N/A</v>
      </c>
      <c r="AY25" s="29" t="e">
        <f t="shared" si="9"/>
        <v>#N/A</v>
      </c>
      <c r="AZ25" s="29" t="e">
        <f t="shared" si="9"/>
        <v>#N/A</v>
      </c>
      <c r="BA25" s="29" t="e">
        <f t="shared" si="11"/>
        <v>#N/A</v>
      </c>
      <c r="BB25" s="29" t="e">
        <f t="shared" si="11"/>
        <v>#N/A</v>
      </c>
      <c r="BC25" s="29" t="e">
        <f t="shared" si="11"/>
        <v>#N/A</v>
      </c>
      <c r="BD25" s="29" t="e">
        <f t="shared" si="11"/>
        <v>#N/A</v>
      </c>
      <c r="BE25" s="29" t="e">
        <f t="shared" si="11"/>
        <v>#N/A</v>
      </c>
      <c r="BF25" s="29" t="e">
        <f t="shared" si="11"/>
        <v>#N/A</v>
      </c>
      <c r="BG25" s="29" t="e">
        <f t="shared" si="11"/>
        <v>#N/A</v>
      </c>
      <c r="BH25" s="29" t="e">
        <f t="shared" si="11"/>
        <v>#N/A</v>
      </c>
      <c r="BI25" s="29" t="e">
        <f t="shared" si="11"/>
        <v>#N/A</v>
      </c>
      <c r="BJ25" s="29" t="e">
        <f t="shared" si="11"/>
        <v>#N/A</v>
      </c>
      <c r="BK25" s="29" t="e">
        <f t="shared" si="11"/>
        <v>#N/A</v>
      </c>
    </row>
    <row r="26" spans="2:63" x14ac:dyDescent="0.25">
      <c r="B26" s="5" t="s">
        <v>48</v>
      </c>
      <c r="C26" s="38"/>
      <c r="F26" s="5" t="str">
        <f t="shared" si="8"/>
        <v>X</v>
      </c>
      <c r="G26" s="38"/>
      <c r="I26" t="s">
        <v>48</v>
      </c>
      <c r="J26" t="e">
        <f t="shared" si="3"/>
        <v>#N/A</v>
      </c>
      <c r="K26" t="e">
        <f t="shared" si="4"/>
        <v>#N/A</v>
      </c>
      <c r="M26" t="str">
        <f t="shared" si="5"/>
        <v>X</v>
      </c>
      <c r="N26" t="e">
        <f t="shared" si="6"/>
        <v>#N/A</v>
      </c>
      <c r="O26">
        <v>0</v>
      </c>
      <c r="P26" t="e">
        <f t="shared" si="7"/>
        <v>#N/A</v>
      </c>
      <c r="AG26" s="25" t="str">
        <f t="shared" si="2"/>
        <v>X</v>
      </c>
      <c r="AH26" s="29" t="e">
        <f t="shared" si="10"/>
        <v>#N/A</v>
      </c>
      <c r="AI26" s="29" t="e">
        <f t="shared" si="10"/>
        <v>#N/A</v>
      </c>
      <c r="AJ26" s="29" t="e">
        <f t="shared" si="10"/>
        <v>#N/A</v>
      </c>
      <c r="AK26" s="29" t="e">
        <f t="shared" si="10"/>
        <v>#N/A</v>
      </c>
      <c r="AL26" s="29" t="e">
        <f t="shared" si="10"/>
        <v>#N/A</v>
      </c>
      <c r="AM26" s="29" t="e">
        <f t="shared" si="10"/>
        <v>#N/A</v>
      </c>
      <c r="AN26" s="29" t="e">
        <f t="shared" si="10"/>
        <v>#N/A</v>
      </c>
      <c r="AO26" s="29" t="e">
        <f t="shared" si="10"/>
        <v>#N/A</v>
      </c>
      <c r="AP26" s="29" t="e">
        <f t="shared" si="10"/>
        <v>#N/A</v>
      </c>
      <c r="AQ26" s="29" t="e">
        <f t="shared" si="10"/>
        <v>#N/A</v>
      </c>
      <c r="AR26" s="29" t="e">
        <f t="shared" si="10"/>
        <v>#N/A</v>
      </c>
      <c r="AS26" s="29" t="e">
        <f t="shared" si="10"/>
        <v>#N/A</v>
      </c>
      <c r="AT26" s="29" t="e">
        <f t="shared" si="10"/>
        <v>#N/A</v>
      </c>
      <c r="AU26" s="29" t="e">
        <f t="shared" si="10"/>
        <v>#N/A</v>
      </c>
      <c r="AV26" s="29" t="e">
        <f t="shared" si="10"/>
        <v>#N/A</v>
      </c>
      <c r="AW26" s="29" t="e">
        <f t="shared" si="9"/>
        <v>#N/A</v>
      </c>
      <c r="AX26" s="29" t="e">
        <f t="shared" si="9"/>
        <v>#N/A</v>
      </c>
      <c r="AY26" s="29" t="e">
        <f t="shared" si="9"/>
        <v>#N/A</v>
      </c>
      <c r="AZ26" s="29" t="e">
        <f t="shared" si="9"/>
        <v>#N/A</v>
      </c>
      <c r="BA26" s="29" t="e">
        <f t="shared" si="11"/>
        <v>#N/A</v>
      </c>
      <c r="BB26" s="29" t="e">
        <f t="shared" si="11"/>
        <v>#N/A</v>
      </c>
      <c r="BC26" s="29" t="e">
        <f t="shared" si="11"/>
        <v>#N/A</v>
      </c>
      <c r="BD26" s="29" t="e">
        <f t="shared" si="11"/>
        <v>#N/A</v>
      </c>
      <c r="BE26" s="29" t="e">
        <f t="shared" si="11"/>
        <v>#N/A</v>
      </c>
      <c r="BF26" s="29" t="e">
        <f t="shared" si="11"/>
        <v>#N/A</v>
      </c>
      <c r="BG26" s="29" t="e">
        <f t="shared" si="11"/>
        <v>#N/A</v>
      </c>
      <c r="BH26" s="29" t="e">
        <f t="shared" si="11"/>
        <v>#N/A</v>
      </c>
      <c r="BI26" s="29" t="e">
        <f t="shared" si="11"/>
        <v>#N/A</v>
      </c>
      <c r="BJ26" s="29" t="e">
        <f t="shared" si="11"/>
        <v>#N/A</v>
      </c>
      <c r="BK26" s="29" t="e">
        <f t="shared" si="11"/>
        <v>#N/A</v>
      </c>
    </row>
    <row r="27" spans="2:63" x14ac:dyDescent="0.25">
      <c r="B27" s="5" t="s">
        <v>49</v>
      </c>
      <c r="C27" s="38"/>
      <c r="F27" s="5" t="str">
        <f t="shared" si="8"/>
        <v>X</v>
      </c>
      <c r="G27" s="38"/>
      <c r="I27" t="s">
        <v>49</v>
      </c>
      <c r="J27" t="e">
        <f t="shared" si="3"/>
        <v>#N/A</v>
      </c>
      <c r="K27" t="e">
        <f t="shared" si="4"/>
        <v>#N/A</v>
      </c>
      <c r="M27" t="str">
        <f t="shared" si="5"/>
        <v>X</v>
      </c>
      <c r="N27" t="e">
        <f t="shared" si="6"/>
        <v>#N/A</v>
      </c>
      <c r="O27">
        <v>0</v>
      </c>
      <c r="P27" t="e">
        <f t="shared" si="7"/>
        <v>#N/A</v>
      </c>
      <c r="AG27" s="25" t="str">
        <f t="shared" si="2"/>
        <v>X</v>
      </c>
      <c r="AH27" s="29" t="e">
        <f t="shared" si="10"/>
        <v>#N/A</v>
      </c>
      <c r="AI27" s="29" t="e">
        <f t="shared" si="10"/>
        <v>#N/A</v>
      </c>
      <c r="AJ27" s="29" t="e">
        <f t="shared" si="10"/>
        <v>#N/A</v>
      </c>
      <c r="AK27" s="29" t="e">
        <f t="shared" si="10"/>
        <v>#N/A</v>
      </c>
      <c r="AL27" s="29" t="e">
        <f t="shared" si="10"/>
        <v>#N/A</v>
      </c>
      <c r="AM27" s="29" t="e">
        <f t="shared" si="10"/>
        <v>#N/A</v>
      </c>
      <c r="AN27" s="29" t="e">
        <f t="shared" si="10"/>
        <v>#N/A</v>
      </c>
      <c r="AO27" s="29" t="e">
        <f t="shared" si="10"/>
        <v>#N/A</v>
      </c>
      <c r="AP27" s="29" t="e">
        <f t="shared" si="10"/>
        <v>#N/A</v>
      </c>
      <c r="AQ27" s="29" t="e">
        <f t="shared" si="10"/>
        <v>#N/A</v>
      </c>
      <c r="AR27" s="29" t="e">
        <f t="shared" si="10"/>
        <v>#N/A</v>
      </c>
      <c r="AS27" s="29" t="e">
        <f t="shared" si="10"/>
        <v>#N/A</v>
      </c>
      <c r="AT27" s="29" t="e">
        <f t="shared" si="10"/>
        <v>#N/A</v>
      </c>
      <c r="AU27" s="29" t="e">
        <f t="shared" si="10"/>
        <v>#N/A</v>
      </c>
      <c r="AV27" s="29" t="e">
        <f t="shared" si="10"/>
        <v>#N/A</v>
      </c>
      <c r="AW27" s="29" t="e">
        <f t="shared" si="9"/>
        <v>#N/A</v>
      </c>
      <c r="AX27" s="29" t="e">
        <f t="shared" si="9"/>
        <v>#N/A</v>
      </c>
      <c r="AY27" s="29" t="e">
        <f t="shared" si="9"/>
        <v>#N/A</v>
      </c>
      <c r="AZ27" s="29" t="e">
        <f t="shared" si="9"/>
        <v>#N/A</v>
      </c>
      <c r="BA27" s="29" t="e">
        <f t="shared" si="11"/>
        <v>#N/A</v>
      </c>
      <c r="BB27" s="29" t="e">
        <f t="shared" si="11"/>
        <v>#N/A</v>
      </c>
      <c r="BC27" s="29" t="e">
        <f t="shared" si="11"/>
        <v>#N/A</v>
      </c>
      <c r="BD27" s="29" t="e">
        <f t="shared" si="11"/>
        <v>#N/A</v>
      </c>
      <c r="BE27" s="29" t="e">
        <f t="shared" si="11"/>
        <v>#N/A</v>
      </c>
      <c r="BF27" s="29" t="e">
        <f t="shared" si="11"/>
        <v>#N/A</v>
      </c>
      <c r="BG27" s="29" t="e">
        <f t="shared" si="11"/>
        <v>#N/A</v>
      </c>
      <c r="BH27" s="29" t="e">
        <f t="shared" si="11"/>
        <v>#N/A</v>
      </c>
      <c r="BI27" s="29" t="e">
        <f t="shared" si="11"/>
        <v>#N/A</v>
      </c>
      <c r="BJ27" s="29" t="e">
        <f t="shared" si="11"/>
        <v>#N/A</v>
      </c>
      <c r="BK27" s="29" t="e">
        <f t="shared" si="11"/>
        <v>#N/A</v>
      </c>
    </row>
    <row r="28" spans="2:63" x14ac:dyDescent="0.25">
      <c r="B28" s="5" t="s">
        <v>50</v>
      </c>
      <c r="C28" s="38"/>
      <c r="F28" s="5" t="str">
        <f t="shared" si="8"/>
        <v>X</v>
      </c>
      <c r="G28" s="38"/>
      <c r="I28" t="s">
        <v>50</v>
      </c>
      <c r="J28" t="e">
        <f t="shared" si="3"/>
        <v>#N/A</v>
      </c>
      <c r="K28" t="e">
        <f t="shared" si="4"/>
        <v>#N/A</v>
      </c>
      <c r="M28" t="str">
        <f t="shared" si="5"/>
        <v>X</v>
      </c>
      <c r="N28" t="e">
        <f t="shared" si="6"/>
        <v>#N/A</v>
      </c>
      <c r="O28">
        <v>0</v>
      </c>
      <c r="P28" t="e">
        <f t="shared" si="7"/>
        <v>#N/A</v>
      </c>
      <c r="AG28" s="25" t="str">
        <f t="shared" si="2"/>
        <v>X</v>
      </c>
      <c r="AH28" s="29" t="e">
        <f t="shared" si="10"/>
        <v>#N/A</v>
      </c>
      <c r="AI28" s="29" t="e">
        <f t="shared" si="10"/>
        <v>#N/A</v>
      </c>
      <c r="AJ28" s="29" t="e">
        <f t="shared" si="10"/>
        <v>#N/A</v>
      </c>
      <c r="AK28" s="29" t="e">
        <f t="shared" si="10"/>
        <v>#N/A</v>
      </c>
      <c r="AL28" s="29" t="e">
        <f t="shared" si="10"/>
        <v>#N/A</v>
      </c>
      <c r="AM28" s="29" t="e">
        <f t="shared" si="10"/>
        <v>#N/A</v>
      </c>
      <c r="AN28" s="29" t="e">
        <f t="shared" si="10"/>
        <v>#N/A</v>
      </c>
      <c r="AO28" s="29" t="e">
        <f t="shared" si="10"/>
        <v>#N/A</v>
      </c>
      <c r="AP28" s="29" t="e">
        <f t="shared" si="10"/>
        <v>#N/A</v>
      </c>
      <c r="AQ28" s="29" t="e">
        <f t="shared" si="10"/>
        <v>#N/A</v>
      </c>
      <c r="AR28" s="29" t="e">
        <f t="shared" si="10"/>
        <v>#N/A</v>
      </c>
      <c r="AS28" s="29" t="e">
        <f t="shared" si="10"/>
        <v>#N/A</v>
      </c>
      <c r="AT28" s="29" t="e">
        <f t="shared" si="10"/>
        <v>#N/A</v>
      </c>
      <c r="AU28" s="29" t="e">
        <f t="shared" si="10"/>
        <v>#N/A</v>
      </c>
      <c r="AV28" s="29" t="e">
        <f t="shared" si="10"/>
        <v>#N/A</v>
      </c>
      <c r="AW28" s="29" t="e">
        <f t="shared" si="9"/>
        <v>#N/A</v>
      </c>
      <c r="AX28" s="29" t="e">
        <f t="shared" si="9"/>
        <v>#N/A</v>
      </c>
      <c r="AY28" s="29" t="e">
        <f t="shared" si="9"/>
        <v>#N/A</v>
      </c>
      <c r="AZ28" s="29" t="e">
        <f t="shared" si="9"/>
        <v>#N/A</v>
      </c>
      <c r="BA28" s="29" t="e">
        <f t="shared" si="11"/>
        <v>#N/A</v>
      </c>
      <c r="BB28" s="29" t="e">
        <f t="shared" si="11"/>
        <v>#N/A</v>
      </c>
      <c r="BC28" s="29" t="e">
        <f t="shared" si="11"/>
        <v>#N/A</v>
      </c>
      <c r="BD28" s="29" t="e">
        <f t="shared" si="11"/>
        <v>#N/A</v>
      </c>
      <c r="BE28" s="29" t="e">
        <f t="shared" si="11"/>
        <v>#N/A</v>
      </c>
      <c r="BF28" s="29" t="e">
        <f t="shared" si="11"/>
        <v>#N/A</v>
      </c>
      <c r="BG28" s="29" t="e">
        <f t="shared" si="11"/>
        <v>#N/A</v>
      </c>
      <c r="BH28" s="29" t="e">
        <f t="shared" si="11"/>
        <v>#N/A</v>
      </c>
      <c r="BI28" s="29" t="e">
        <f t="shared" si="11"/>
        <v>#N/A</v>
      </c>
      <c r="BJ28" s="29" t="e">
        <f t="shared" si="11"/>
        <v>#N/A</v>
      </c>
      <c r="BK28" s="29" t="e">
        <f t="shared" si="11"/>
        <v>#N/A</v>
      </c>
    </row>
    <row r="29" spans="2:63" x14ac:dyDescent="0.25">
      <c r="B29" s="5" t="s">
        <v>51</v>
      </c>
      <c r="C29" s="38"/>
      <c r="F29" s="5" t="str">
        <f t="shared" si="8"/>
        <v>X</v>
      </c>
      <c r="G29" s="38"/>
      <c r="I29" t="s">
        <v>51</v>
      </c>
      <c r="J29" t="e">
        <f t="shared" si="3"/>
        <v>#N/A</v>
      </c>
      <c r="K29" t="e">
        <f t="shared" si="4"/>
        <v>#N/A</v>
      </c>
      <c r="M29" t="str">
        <f t="shared" si="5"/>
        <v>X</v>
      </c>
      <c r="N29" t="e">
        <f t="shared" si="6"/>
        <v>#N/A</v>
      </c>
      <c r="O29">
        <v>0</v>
      </c>
      <c r="P29" t="e">
        <f t="shared" si="7"/>
        <v>#N/A</v>
      </c>
      <c r="AG29" s="25" t="str">
        <f t="shared" si="2"/>
        <v>X</v>
      </c>
      <c r="AH29" s="29" t="e">
        <f t="shared" si="10"/>
        <v>#N/A</v>
      </c>
      <c r="AI29" s="29" t="e">
        <f t="shared" si="10"/>
        <v>#N/A</v>
      </c>
      <c r="AJ29" s="29" t="e">
        <f t="shared" si="10"/>
        <v>#N/A</v>
      </c>
      <c r="AK29" s="29" t="e">
        <f t="shared" si="10"/>
        <v>#N/A</v>
      </c>
      <c r="AL29" s="29" t="e">
        <f t="shared" si="10"/>
        <v>#N/A</v>
      </c>
      <c r="AM29" s="29" t="e">
        <f t="shared" si="10"/>
        <v>#N/A</v>
      </c>
      <c r="AN29" s="29" t="e">
        <f t="shared" si="10"/>
        <v>#N/A</v>
      </c>
      <c r="AO29" s="29" t="e">
        <f t="shared" si="10"/>
        <v>#N/A</v>
      </c>
      <c r="AP29" s="29" t="e">
        <f t="shared" si="10"/>
        <v>#N/A</v>
      </c>
      <c r="AQ29" s="29" t="e">
        <f t="shared" si="10"/>
        <v>#N/A</v>
      </c>
      <c r="AR29" s="29" t="e">
        <f t="shared" si="10"/>
        <v>#N/A</v>
      </c>
      <c r="AS29" s="29" t="e">
        <f t="shared" si="10"/>
        <v>#N/A</v>
      </c>
      <c r="AT29" s="29" t="e">
        <f t="shared" si="10"/>
        <v>#N/A</v>
      </c>
      <c r="AU29" s="29" t="e">
        <f t="shared" si="10"/>
        <v>#N/A</v>
      </c>
      <c r="AV29" s="29" t="e">
        <f t="shared" si="10"/>
        <v>#N/A</v>
      </c>
      <c r="AW29" s="29" t="e">
        <f t="shared" si="9"/>
        <v>#N/A</v>
      </c>
      <c r="AX29" s="29" t="e">
        <f t="shared" si="9"/>
        <v>#N/A</v>
      </c>
      <c r="AY29" s="29" t="e">
        <f t="shared" si="9"/>
        <v>#N/A</v>
      </c>
      <c r="AZ29" s="29" t="e">
        <f t="shared" si="9"/>
        <v>#N/A</v>
      </c>
      <c r="BA29" s="29" t="e">
        <f t="shared" si="11"/>
        <v>#N/A</v>
      </c>
      <c r="BB29" s="29" t="e">
        <f t="shared" si="11"/>
        <v>#N/A</v>
      </c>
      <c r="BC29" s="29" t="e">
        <f t="shared" si="11"/>
        <v>#N/A</v>
      </c>
      <c r="BD29" s="29" t="e">
        <f t="shared" si="11"/>
        <v>#N/A</v>
      </c>
      <c r="BE29" s="29" t="e">
        <f t="shared" si="11"/>
        <v>#N/A</v>
      </c>
      <c r="BF29" s="29" t="e">
        <f t="shared" si="11"/>
        <v>#N/A</v>
      </c>
      <c r="BG29" s="29" t="e">
        <f t="shared" si="11"/>
        <v>#N/A</v>
      </c>
      <c r="BH29" s="29" t="e">
        <f t="shared" si="11"/>
        <v>#N/A</v>
      </c>
      <c r="BI29" s="29" t="e">
        <f t="shared" si="11"/>
        <v>#N/A</v>
      </c>
      <c r="BJ29" s="29" t="e">
        <f t="shared" si="11"/>
        <v>#N/A</v>
      </c>
      <c r="BK29" s="29" t="e">
        <f t="shared" si="11"/>
        <v>#N/A</v>
      </c>
    </row>
    <row r="30" spans="2:63" x14ac:dyDescent="0.25">
      <c r="B30" s="5" t="s">
        <v>52</v>
      </c>
      <c r="C30" s="38"/>
      <c r="F30" s="5" t="str">
        <f t="shared" si="8"/>
        <v>X</v>
      </c>
      <c r="G30" s="38"/>
      <c r="I30" t="s">
        <v>52</v>
      </c>
      <c r="J30" t="e">
        <f t="shared" si="3"/>
        <v>#N/A</v>
      </c>
      <c r="K30" t="e">
        <f t="shared" si="4"/>
        <v>#N/A</v>
      </c>
      <c r="M30" t="str">
        <f t="shared" si="5"/>
        <v>X</v>
      </c>
      <c r="N30" t="e">
        <f t="shared" si="6"/>
        <v>#N/A</v>
      </c>
      <c r="O30">
        <v>0</v>
      </c>
      <c r="P30" t="e">
        <f t="shared" si="7"/>
        <v>#N/A</v>
      </c>
      <c r="AG30" s="25" t="str">
        <f t="shared" si="2"/>
        <v>X</v>
      </c>
      <c r="AH30" s="29" t="e">
        <f t="shared" si="10"/>
        <v>#N/A</v>
      </c>
      <c r="AI30" s="29" t="e">
        <f t="shared" si="10"/>
        <v>#N/A</v>
      </c>
      <c r="AJ30" s="29" t="e">
        <f t="shared" si="10"/>
        <v>#N/A</v>
      </c>
      <c r="AK30" s="29" t="e">
        <f t="shared" si="10"/>
        <v>#N/A</v>
      </c>
      <c r="AL30" s="29" t="e">
        <f t="shared" si="10"/>
        <v>#N/A</v>
      </c>
      <c r="AM30" s="29" t="e">
        <f t="shared" si="10"/>
        <v>#N/A</v>
      </c>
      <c r="AN30" s="29" t="e">
        <f t="shared" si="10"/>
        <v>#N/A</v>
      </c>
      <c r="AO30" s="29" t="e">
        <f t="shared" si="10"/>
        <v>#N/A</v>
      </c>
      <c r="AP30" s="29" t="e">
        <f t="shared" si="10"/>
        <v>#N/A</v>
      </c>
      <c r="AQ30" s="29" t="e">
        <f t="shared" si="10"/>
        <v>#N/A</v>
      </c>
      <c r="AR30" s="29" t="e">
        <f t="shared" si="10"/>
        <v>#N/A</v>
      </c>
      <c r="AS30" s="29" t="e">
        <f t="shared" si="10"/>
        <v>#N/A</v>
      </c>
      <c r="AT30" s="29" t="e">
        <f t="shared" si="10"/>
        <v>#N/A</v>
      </c>
      <c r="AU30" s="29" t="e">
        <f t="shared" si="10"/>
        <v>#N/A</v>
      </c>
      <c r="AV30" s="29" t="e">
        <f t="shared" si="10"/>
        <v>#N/A</v>
      </c>
      <c r="AW30" s="29" t="e">
        <f t="shared" si="9"/>
        <v>#N/A</v>
      </c>
      <c r="AX30" s="29" t="e">
        <f t="shared" si="9"/>
        <v>#N/A</v>
      </c>
      <c r="AY30" s="29" t="e">
        <f t="shared" si="9"/>
        <v>#N/A</v>
      </c>
      <c r="AZ30" s="29" t="e">
        <f t="shared" si="9"/>
        <v>#N/A</v>
      </c>
      <c r="BA30" s="29" t="e">
        <f t="shared" si="11"/>
        <v>#N/A</v>
      </c>
      <c r="BB30" s="29" t="e">
        <f t="shared" si="11"/>
        <v>#N/A</v>
      </c>
      <c r="BC30" s="29" t="e">
        <f t="shared" si="11"/>
        <v>#N/A</v>
      </c>
      <c r="BD30" s="29" t="e">
        <f t="shared" si="11"/>
        <v>#N/A</v>
      </c>
      <c r="BE30" s="29" t="e">
        <f t="shared" si="11"/>
        <v>#N/A</v>
      </c>
      <c r="BF30" s="29" t="e">
        <f t="shared" si="11"/>
        <v>#N/A</v>
      </c>
      <c r="BG30" s="29" t="e">
        <f t="shared" si="11"/>
        <v>#N/A</v>
      </c>
      <c r="BH30" s="29" t="e">
        <f t="shared" si="11"/>
        <v>#N/A</v>
      </c>
      <c r="BI30" s="29" t="e">
        <f t="shared" si="11"/>
        <v>#N/A</v>
      </c>
      <c r="BJ30" s="29" t="e">
        <f t="shared" si="11"/>
        <v>#N/A</v>
      </c>
      <c r="BK30" s="29" t="e">
        <f t="shared" si="11"/>
        <v>#N/A</v>
      </c>
    </row>
    <row r="31" spans="2:63" x14ac:dyDescent="0.25">
      <c r="B31" s="5" t="s">
        <v>53</v>
      </c>
      <c r="C31" s="38"/>
      <c r="F31" s="5" t="str">
        <f t="shared" si="8"/>
        <v>X</v>
      </c>
      <c r="G31" s="38"/>
      <c r="I31" t="s">
        <v>53</v>
      </c>
      <c r="J31" t="e">
        <f t="shared" si="3"/>
        <v>#N/A</v>
      </c>
      <c r="K31" t="e">
        <f t="shared" si="4"/>
        <v>#N/A</v>
      </c>
      <c r="M31" t="str">
        <f t="shared" si="5"/>
        <v>X</v>
      </c>
      <c r="N31" t="e">
        <f t="shared" si="6"/>
        <v>#N/A</v>
      </c>
      <c r="O31">
        <v>0</v>
      </c>
      <c r="P31" t="e">
        <f t="shared" si="7"/>
        <v>#N/A</v>
      </c>
      <c r="AG31" s="25" t="str">
        <f t="shared" si="2"/>
        <v>X</v>
      </c>
      <c r="AH31" s="29" t="e">
        <f t="shared" si="10"/>
        <v>#N/A</v>
      </c>
      <c r="AI31" s="29" t="e">
        <f t="shared" si="10"/>
        <v>#N/A</v>
      </c>
      <c r="AJ31" s="29" t="e">
        <f t="shared" si="10"/>
        <v>#N/A</v>
      </c>
      <c r="AK31" s="29" t="e">
        <f t="shared" si="10"/>
        <v>#N/A</v>
      </c>
      <c r="AL31" s="29" t="e">
        <f t="shared" si="10"/>
        <v>#N/A</v>
      </c>
      <c r="AM31" s="29" t="e">
        <f t="shared" si="10"/>
        <v>#N/A</v>
      </c>
      <c r="AN31" s="29" t="e">
        <f t="shared" si="10"/>
        <v>#N/A</v>
      </c>
      <c r="AO31" s="29" t="e">
        <f t="shared" si="10"/>
        <v>#N/A</v>
      </c>
      <c r="AP31" s="29" t="e">
        <f t="shared" si="10"/>
        <v>#N/A</v>
      </c>
      <c r="AQ31" s="29" t="e">
        <f t="shared" si="10"/>
        <v>#N/A</v>
      </c>
      <c r="AR31" s="29" t="e">
        <f t="shared" si="10"/>
        <v>#N/A</v>
      </c>
      <c r="AS31" s="29" t="e">
        <f t="shared" si="10"/>
        <v>#N/A</v>
      </c>
      <c r="AT31" s="29" t="e">
        <f t="shared" si="10"/>
        <v>#N/A</v>
      </c>
      <c r="AU31" s="29" t="e">
        <f t="shared" si="10"/>
        <v>#N/A</v>
      </c>
      <c r="AV31" s="29" t="e">
        <f t="shared" si="10"/>
        <v>#N/A</v>
      </c>
      <c r="AW31" s="29" t="e">
        <f t="shared" si="9"/>
        <v>#N/A</v>
      </c>
      <c r="AX31" s="29" t="e">
        <f t="shared" si="9"/>
        <v>#N/A</v>
      </c>
      <c r="AY31" s="29" t="e">
        <f t="shared" si="9"/>
        <v>#N/A</v>
      </c>
      <c r="AZ31" s="29" t="e">
        <f t="shared" si="9"/>
        <v>#N/A</v>
      </c>
      <c r="BA31" s="29" t="e">
        <f t="shared" si="11"/>
        <v>#N/A</v>
      </c>
      <c r="BB31" s="29" t="e">
        <f t="shared" si="11"/>
        <v>#N/A</v>
      </c>
      <c r="BC31" s="29" t="e">
        <f t="shared" si="11"/>
        <v>#N/A</v>
      </c>
      <c r="BD31" s="29" t="e">
        <f t="shared" si="11"/>
        <v>#N/A</v>
      </c>
      <c r="BE31" s="29" t="e">
        <f t="shared" si="11"/>
        <v>#N/A</v>
      </c>
      <c r="BF31" s="29" t="e">
        <f t="shared" si="11"/>
        <v>#N/A</v>
      </c>
      <c r="BG31" s="29" t="e">
        <f t="shared" si="11"/>
        <v>#N/A</v>
      </c>
      <c r="BH31" s="29" t="e">
        <f t="shared" si="11"/>
        <v>#N/A</v>
      </c>
      <c r="BI31" s="29" t="e">
        <f t="shared" si="11"/>
        <v>#N/A</v>
      </c>
      <c r="BJ31" s="29" t="e">
        <f t="shared" si="11"/>
        <v>#N/A</v>
      </c>
      <c r="BK31" s="29" t="e">
        <f t="shared" si="11"/>
        <v>#N/A</v>
      </c>
    </row>
    <row r="32" spans="2:63" x14ac:dyDescent="0.25">
      <c r="B32" s="5" t="s">
        <v>54</v>
      </c>
      <c r="C32" s="38"/>
      <c r="F32" s="5" t="str">
        <f t="shared" si="8"/>
        <v>X</v>
      </c>
      <c r="G32" s="38"/>
      <c r="I32" t="s">
        <v>54</v>
      </c>
      <c r="J32" t="e">
        <f t="shared" si="3"/>
        <v>#N/A</v>
      </c>
      <c r="K32" t="e">
        <f t="shared" si="4"/>
        <v>#N/A</v>
      </c>
      <c r="M32" t="str">
        <f t="shared" si="5"/>
        <v>X</v>
      </c>
      <c r="N32" t="e">
        <f t="shared" si="6"/>
        <v>#N/A</v>
      </c>
      <c r="O32">
        <v>0</v>
      </c>
      <c r="P32" t="e">
        <f t="shared" si="7"/>
        <v>#N/A</v>
      </c>
      <c r="AG32" s="25" t="str">
        <f t="shared" si="2"/>
        <v>X</v>
      </c>
      <c r="AH32" s="29" t="e">
        <f t="shared" si="10"/>
        <v>#N/A</v>
      </c>
      <c r="AI32" s="29" t="e">
        <f t="shared" si="10"/>
        <v>#N/A</v>
      </c>
      <c r="AJ32" s="29" t="e">
        <f t="shared" si="10"/>
        <v>#N/A</v>
      </c>
      <c r="AK32" s="29" t="e">
        <f t="shared" si="10"/>
        <v>#N/A</v>
      </c>
      <c r="AL32" s="29" t="e">
        <f t="shared" si="10"/>
        <v>#N/A</v>
      </c>
      <c r="AM32" s="29" t="e">
        <f t="shared" si="10"/>
        <v>#N/A</v>
      </c>
      <c r="AN32" s="29" t="e">
        <f t="shared" si="10"/>
        <v>#N/A</v>
      </c>
      <c r="AO32" s="29" t="e">
        <f t="shared" si="10"/>
        <v>#N/A</v>
      </c>
      <c r="AP32" s="29" t="e">
        <f t="shared" si="10"/>
        <v>#N/A</v>
      </c>
      <c r="AQ32" s="29" t="e">
        <f t="shared" si="10"/>
        <v>#N/A</v>
      </c>
      <c r="AR32" s="29" t="e">
        <f t="shared" si="10"/>
        <v>#N/A</v>
      </c>
      <c r="AS32" s="29" t="e">
        <f t="shared" si="10"/>
        <v>#N/A</v>
      </c>
      <c r="AT32" s="29" t="e">
        <f t="shared" si="10"/>
        <v>#N/A</v>
      </c>
      <c r="AU32" s="29" t="e">
        <f t="shared" si="10"/>
        <v>#N/A</v>
      </c>
      <c r="AV32" s="29" t="e">
        <f t="shared" si="10"/>
        <v>#N/A</v>
      </c>
      <c r="AW32" s="29" t="e">
        <f t="shared" si="9"/>
        <v>#N/A</v>
      </c>
      <c r="AX32" s="29" t="e">
        <f t="shared" si="9"/>
        <v>#N/A</v>
      </c>
      <c r="AY32" s="29" t="e">
        <f t="shared" si="9"/>
        <v>#N/A</v>
      </c>
      <c r="AZ32" s="29" t="e">
        <f t="shared" si="9"/>
        <v>#N/A</v>
      </c>
      <c r="BA32" s="29" t="e">
        <f t="shared" si="11"/>
        <v>#N/A</v>
      </c>
      <c r="BB32" s="29" t="e">
        <f t="shared" si="11"/>
        <v>#N/A</v>
      </c>
      <c r="BC32" s="29" t="e">
        <f t="shared" si="11"/>
        <v>#N/A</v>
      </c>
      <c r="BD32" s="29" t="e">
        <f t="shared" si="11"/>
        <v>#N/A</v>
      </c>
      <c r="BE32" s="29" t="e">
        <f t="shared" si="11"/>
        <v>#N/A</v>
      </c>
      <c r="BF32" s="29" t="e">
        <f t="shared" si="11"/>
        <v>#N/A</v>
      </c>
      <c r="BG32" s="29" t="e">
        <f t="shared" si="11"/>
        <v>#N/A</v>
      </c>
      <c r="BH32" s="29" t="e">
        <f t="shared" si="11"/>
        <v>#N/A</v>
      </c>
      <c r="BI32" s="29" t="e">
        <f t="shared" si="11"/>
        <v>#N/A</v>
      </c>
      <c r="BJ32" s="29" t="e">
        <f t="shared" si="11"/>
        <v>#N/A</v>
      </c>
      <c r="BK32" s="29" t="e">
        <f t="shared" si="11"/>
        <v>#N/A</v>
      </c>
    </row>
    <row r="33" spans="2:63" x14ac:dyDescent="0.25">
      <c r="B33" s="5" t="s">
        <v>55</v>
      </c>
      <c r="C33" s="38"/>
      <c r="F33" s="5" t="str">
        <f t="shared" si="8"/>
        <v>X</v>
      </c>
      <c r="G33" s="38"/>
      <c r="I33" t="s">
        <v>55</v>
      </c>
      <c r="J33" t="e">
        <f t="shared" si="3"/>
        <v>#N/A</v>
      </c>
      <c r="K33" t="e">
        <f t="shared" si="4"/>
        <v>#N/A</v>
      </c>
      <c r="M33" t="str">
        <f t="shared" si="5"/>
        <v>X</v>
      </c>
      <c r="N33" t="e">
        <f t="shared" si="6"/>
        <v>#N/A</v>
      </c>
      <c r="O33">
        <v>0</v>
      </c>
      <c r="P33" t="e">
        <f t="shared" si="7"/>
        <v>#N/A</v>
      </c>
      <c r="AG33" s="25" t="str">
        <f t="shared" si="2"/>
        <v>X</v>
      </c>
      <c r="AH33" s="29" t="e">
        <f t="shared" si="10"/>
        <v>#N/A</v>
      </c>
      <c r="AI33" s="29" t="e">
        <f t="shared" si="10"/>
        <v>#N/A</v>
      </c>
      <c r="AJ33" s="29" t="e">
        <f t="shared" si="10"/>
        <v>#N/A</v>
      </c>
      <c r="AK33" s="29" t="e">
        <f t="shared" si="10"/>
        <v>#N/A</v>
      </c>
      <c r="AL33" s="29" t="e">
        <f t="shared" si="10"/>
        <v>#N/A</v>
      </c>
      <c r="AM33" s="29" t="e">
        <f t="shared" si="10"/>
        <v>#N/A</v>
      </c>
      <c r="AN33" s="29" t="e">
        <f t="shared" si="10"/>
        <v>#N/A</v>
      </c>
      <c r="AO33" s="29" t="e">
        <f t="shared" si="10"/>
        <v>#N/A</v>
      </c>
      <c r="AP33" s="29" t="e">
        <f t="shared" si="10"/>
        <v>#N/A</v>
      </c>
      <c r="AQ33" s="29" t="e">
        <f t="shared" si="10"/>
        <v>#N/A</v>
      </c>
      <c r="AR33" s="29" t="e">
        <f t="shared" si="10"/>
        <v>#N/A</v>
      </c>
      <c r="AS33" s="29" t="e">
        <f t="shared" si="10"/>
        <v>#N/A</v>
      </c>
      <c r="AT33" s="29" t="e">
        <f t="shared" si="10"/>
        <v>#N/A</v>
      </c>
      <c r="AU33" s="29" t="e">
        <f t="shared" si="10"/>
        <v>#N/A</v>
      </c>
      <c r="AV33" s="29" t="e">
        <f t="shared" si="10"/>
        <v>#N/A</v>
      </c>
      <c r="AW33" s="29" t="e">
        <f t="shared" si="9"/>
        <v>#N/A</v>
      </c>
      <c r="AX33" s="29" t="e">
        <f t="shared" si="9"/>
        <v>#N/A</v>
      </c>
      <c r="AY33" s="29" t="e">
        <f t="shared" si="9"/>
        <v>#N/A</v>
      </c>
      <c r="AZ33" s="29" t="e">
        <f t="shared" si="9"/>
        <v>#N/A</v>
      </c>
      <c r="BA33" s="29" t="e">
        <f t="shared" si="11"/>
        <v>#N/A</v>
      </c>
      <c r="BB33" s="29" t="e">
        <f t="shared" si="11"/>
        <v>#N/A</v>
      </c>
      <c r="BC33" s="29" t="e">
        <f t="shared" si="11"/>
        <v>#N/A</v>
      </c>
      <c r="BD33" s="29" t="e">
        <f t="shared" si="11"/>
        <v>#N/A</v>
      </c>
      <c r="BE33" s="29" t="e">
        <f t="shared" si="11"/>
        <v>#N/A</v>
      </c>
      <c r="BF33" s="29" t="e">
        <f t="shared" si="11"/>
        <v>#N/A</v>
      </c>
      <c r="BG33" s="29" t="e">
        <f t="shared" si="11"/>
        <v>#N/A</v>
      </c>
      <c r="BH33" s="29" t="e">
        <f t="shared" si="11"/>
        <v>#N/A</v>
      </c>
      <c r="BI33" s="29" t="e">
        <f t="shared" si="11"/>
        <v>#N/A</v>
      </c>
      <c r="BJ33" s="29" t="e">
        <f t="shared" si="11"/>
        <v>#N/A</v>
      </c>
      <c r="BK33" s="29" t="e">
        <f t="shared" si="11"/>
        <v>#N/A</v>
      </c>
    </row>
    <row r="34" spans="2:63" x14ac:dyDescent="0.25">
      <c r="B34" s="5" t="s">
        <v>56</v>
      </c>
      <c r="C34" s="38"/>
      <c r="F34" s="5" t="str">
        <f t="shared" si="8"/>
        <v>X</v>
      </c>
      <c r="G34" s="38"/>
      <c r="I34" t="s">
        <v>56</v>
      </c>
      <c r="J34" t="e">
        <f t="shared" si="3"/>
        <v>#N/A</v>
      </c>
      <c r="K34" t="e">
        <f t="shared" si="4"/>
        <v>#N/A</v>
      </c>
      <c r="M34" t="str">
        <f t="shared" si="5"/>
        <v>X</v>
      </c>
      <c r="N34" t="e">
        <f t="shared" si="6"/>
        <v>#N/A</v>
      </c>
      <c r="O34">
        <v>0</v>
      </c>
      <c r="P34" t="e">
        <f t="shared" si="7"/>
        <v>#N/A</v>
      </c>
      <c r="AG34" s="25" t="str">
        <f>$M47</f>
        <v>X</v>
      </c>
      <c r="AH34" s="29" t="e">
        <f t="shared" si="10"/>
        <v>#N/A</v>
      </c>
      <c r="AI34" s="29" t="e">
        <f t="shared" si="10"/>
        <v>#N/A</v>
      </c>
      <c r="AJ34" s="29" t="e">
        <f t="shared" si="10"/>
        <v>#N/A</v>
      </c>
      <c r="AK34" s="29" t="e">
        <f t="shared" si="10"/>
        <v>#N/A</v>
      </c>
      <c r="AL34" s="29" t="e">
        <f t="shared" si="10"/>
        <v>#N/A</v>
      </c>
      <c r="AM34" s="29" t="e">
        <f t="shared" si="10"/>
        <v>#N/A</v>
      </c>
      <c r="AN34" s="29" t="e">
        <f t="shared" si="10"/>
        <v>#N/A</v>
      </c>
      <c r="AO34" s="29" t="e">
        <f t="shared" si="10"/>
        <v>#N/A</v>
      </c>
      <c r="AP34" s="29" t="e">
        <f t="shared" si="10"/>
        <v>#N/A</v>
      </c>
      <c r="AQ34" s="29" t="e">
        <f t="shared" si="10"/>
        <v>#N/A</v>
      </c>
      <c r="AR34" s="29" t="e">
        <f t="shared" si="10"/>
        <v>#N/A</v>
      </c>
      <c r="AS34" s="29" t="e">
        <f t="shared" si="10"/>
        <v>#N/A</v>
      </c>
      <c r="AT34" s="29" t="e">
        <f t="shared" si="10"/>
        <v>#N/A</v>
      </c>
      <c r="AU34" s="29" t="e">
        <f t="shared" si="10"/>
        <v>#N/A</v>
      </c>
      <c r="AV34" s="29" t="e">
        <f t="shared" si="10"/>
        <v>#N/A</v>
      </c>
      <c r="AW34" s="29" t="e">
        <f t="shared" si="9"/>
        <v>#N/A</v>
      </c>
      <c r="AX34" s="29" t="e">
        <f t="shared" si="9"/>
        <v>#N/A</v>
      </c>
      <c r="AY34" s="29" t="e">
        <f t="shared" si="9"/>
        <v>#N/A</v>
      </c>
      <c r="AZ34" s="29" t="e">
        <f t="shared" si="9"/>
        <v>#N/A</v>
      </c>
      <c r="BA34" s="29" t="e">
        <f t="shared" si="11"/>
        <v>#N/A</v>
      </c>
      <c r="BB34" s="29" t="e">
        <f t="shared" si="11"/>
        <v>#N/A</v>
      </c>
      <c r="BC34" s="29" t="e">
        <f t="shared" si="11"/>
        <v>#N/A</v>
      </c>
      <c r="BD34" s="29" t="e">
        <f t="shared" si="11"/>
        <v>#N/A</v>
      </c>
      <c r="BE34" s="29" t="e">
        <f t="shared" si="11"/>
        <v>#N/A</v>
      </c>
      <c r="BF34" s="29" t="e">
        <f t="shared" si="11"/>
        <v>#N/A</v>
      </c>
      <c r="BG34" s="29" t="e">
        <f t="shared" si="11"/>
        <v>#N/A</v>
      </c>
      <c r="BH34" s="29" t="e">
        <f t="shared" si="11"/>
        <v>#N/A</v>
      </c>
      <c r="BI34" s="29" t="e">
        <f t="shared" si="11"/>
        <v>#N/A</v>
      </c>
      <c r="BJ34" s="29" t="e">
        <f t="shared" si="11"/>
        <v>#N/A</v>
      </c>
      <c r="BK34" s="29" t="e">
        <f t="shared" si="11"/>
        <v>#N/A</v>
      </c>
    </row>
    <row r="35" spans="2:63" x14ac:dyDescent="0.25">
      <c r="B35" s="5" t="s">
        <v>57</v>
      </c>
      <c r="C35" s="38"/>
      <c r="F35" s="5" t="str">
        <f t="shared" si="8"/>
        <v>X</v>
      </c>
      <c r="G35" s="38"/>
      <c r="I35" t="s">
        <v>57</v>
      </c>
      <c r="J35" t="e">
        <f t="shared" si="3"/>
        <v>#N/A</v>
      </c>
      <c r="K35" t="e">
        <f t="shared" si="4"/>
        <v>#N/A</v>
      </c>
      <c r="M35" t="str">
        <f t="shared" si="5"/>
        <v>X</v>
      </c>
      <c r="N35" t="e">
        <f t="shared" si="6"/>
        <v>#N/A</v>
      </c>
      <c r="O35">
        <v>0</v>
      </c>
      <c r="P35" t="e">
        <f t="shared" si="7"/>
        <v>#N/A</v>
      </c>
      <c r="AG35" s="26" t="str">
        <f t="shared" si="2"/>
        <v>X</v>
      </c>
      <c r="AH35" s="30" t="e">
        <f t="shared" si="10"/>
        <v>#N/A</v>
      </c>
      <c r="AI35" s="30" t="e">
        <f t="shared" si="10"/>
        <v>#N/A</v>
      </c>
      <c r="AJ35" s="30" t="e">
        <f t="shared" si="10"/>
        <v>#N/A</v>
      </c>
      <c r="AK35" s="30" t="e">
        <f t="shared" si="10"/>
        <v>#N/A</v>
      </c>
      <c r="AL35" s="30" t="e">
        <f t="shared" si="10"/>
        <v>#N/A</v>
      </c>
      <c r="AM35" s="30" t="e">
        <f t="shared" si="10"/>
        <v>#N/A</v>
      </c>
      <c r="AN35" s="30" t="e">
        <f t="shared" si="10"/>
        <v>#N/A</v>
      </c>
      <c r="AO35" s="30" t="e">
        <f t="shared" si="10"/>
        <v>#N/A</v>
      </c>
      <c r="AP35" s="30" t="e">
        <f t="shared" si="10"/>
        <v>#N/A</v>
      </c>
      <c r="AQ35" s="30" t="e">
        <f t="shared" si="10"/>
        <v>#N/A</v>
      </c>
      <c r="AR35" s="30" t="e">
        <f t="shared" si="10"/>
        <v>#N/A</v>
      </c>
      <c r="AS35" s="30" t="e">
        <f t="shared" si="10"/>
        <v>#N/A</v>
      </c>
      <c r="AT35" s="30" t="e">
        <f t="shared" si="10"/>
        <v>#N/A</v>
      </c>
      <c r="AU35" s="30" t="e">
        <f t="shared" si="10"/>
        <v>#N/A</v>
      </c>
      <c r="AV35" s="30" t="e">
        <f t="shared" si="10"/>
        <v>#N/A</v>
      </c>
      <c r="AW35" s="30" t="e">
        <f t="shared" si="9"/>
        <v>#N/A</v>
      </c>
      <c r="AX35" s="30" t="e">
        <f t="shared" si="9"/>
        <v>#N/A</v>
      </c>
      <c r="AY35" s="30" t="e">
        <f t="shared" si="9"/>
        <v>#N/A</v>
      </c>
      <c r="AZ35" s="30" t="e">
        <f t="shared" si="9"/>
        <v>#N/A</v>
      </c>
      <c r="BA35" s="30" t="e">
        <f t="shared" si="11"/>
        <v>#N/A</v>
      </c>
      <c r="BB35" s="30" t="e">
        <f t="shared" si="11"/>
        <v>#N/A</v>
      </c>
      <c r="BC35" s="30" t="e">
        <f t="shared" si="11"/>
        <v>#N/A</v>
      </c>
      <c r="BD35" s="30" t="e">
        <f t="shared" si="11"/>
        <v>#N/A</v>
      </c>
      <c r="BE35" s="30" t="e">
        <f t="shared" si="11"/>
        <v>#N/A</v>
      </c>
      <c r="BF35" s="30" t="e">
        <f t="shared" si="11"/>
        <v>#N/A</v>
      </c>
      <c r="BG35" s="30" t="e">
        <f t="shared" si="11"/>
        <v>#N/A</v>
      </c>
      <c r="BH35" s="30" t="e">
        <f t="shared" si="11"/>
        <v>#N/A</v>
      </c>
      <c r="BI35" s="30" t="e">
        <f t="shared" si="11"/>
        <v>#N/A</v>
      </c>
      <c r="BJ35" s="30" t="e">
        <f t="shared" si="11"/>
        <v>#N/A</v>
      </c>
      <c r="BK35" s="30" t="e">
        <f t="shared" si="11"/>
        <v>#N/A</v>
      </c>
    </row>
    <row r="36" spans="2:63" x14ac:dyDescent="0.25">
      <c r="B36" s="5" t="s">
        <v>58</v>
      </c>
      <c r="C36" s="38"/>
      <c r="F36" s="5" t="str">
        <f t="shared" si="8"/>
        <v>X</v>
      </c>
      <c r="G36" s="38"/>
      <c r="I36" t="s">
        <v>58</v>
      </c>
      <c r="J36" t="e">
        <f t="shared" si="3"/>
        <v>#N/A</v>
      </c>
      <c r="K36" t="e">
        <f t="shared" si="4"/>
        <v>#N/A</v>
      </c>
      <c r="M36" t="str">
        <f t="shared" si="5"/>
        <v>X</v>
      </c>
      <c r="N36" t="e">
        <f t="shared" si="6"/>
        <v>#N/A</v>
      </c>
      <c r="O36">
        <v>0</v>
      </c>
      <c r="P36" t="e">
        <f t="shared" si="7"/>
        <v>#N/A</v>
      </c>
      <c r="AG36" s="5"/>
    </row>
    <row r="37" spans="2:63" x14ac:dyDescent="0.25">
      <c r="B37" s="5" t="s">
        <v>59</v>
      </c>
      <c r="C37" s="38"/>
      <c r="F37" s="5" t="str">
        <f t="shared" si="8"/>
        <v>X</v>
      </c>
      <c r="G37" s="38"/>
      <c r="I37" t="s">
        <v>59</v>
      </c>
      <c r="J37" t="e">
        <f t="shared" si="3"/>
        <v>#N/A</v>
      </c>
      <c r="K37" t="e">
        <f t="shared" si="4"/>
        <v>#N/A</v>
      </c>
      <c r="M37" t="str">
        <f t="shared" si="5"/>
        <v>X</v>
      </c>
      <c r="N37" t="e">
        <f t="shared" si="6"/>
        <v>#N/A</v>
      </c>
      <c r="O37">
        <v>0</v>
      </c>
      <c r="P37" t="e">
        <f t="shared" si="7"/>
        <v>#N/A</v>
      </c>
      <c r="AG37" s="5"/>
    </row>
    <row r="38" spans="2:63" x14ac:dyDescent="0.25">
      <c r="B38" s="5" t="s">
        <v>61</v>
      </c>
      <c r="C38" s="38"/>
      <c r="F38" s="5" t="str">
        <f t="shared" si="8"/>
        <v>X</v>
      </c>
      <c r="G38" s="38"/>
      <c r="I38" t="s">
        <v>61</v>
      </c>
      <c r="J38" t="e">
        <f t="shared" si="3"/>
        <v>#N/A</v>
      </c>
      <c r="K38" t="e">
        <f t="shared" si="4"/>
        <v>#N/A</v>
      </c>
      <c r="M38" t="str">
        <f t="shared" si="5"/>
        <v>X</v>
      </c>
      <c r="N38" t="e">
        <f t="shared" si="6"/>
        <v>#N/A</v>
      </c>
      <c r="O38">
        <v>0</v>
      </c>
      <c r="P38" t="e">
        <f t="shared" si="7"/>
        <v>#N/A</v>
      </c>
      <c r="AG38" s="5"/>
    </row>
    <row r="39" spans="2:63" x14ac:dyDescent="0.25">
      <c r="B39" s="5" t="s">
        <v>62</v>
      </c>
      <c r="C39" s="38"/>
      <c r="F39" s="5" t="str">
        <f t="shared" si="8"/>
        <v>X</v>
      </c>
      <c r="G39" s="38"/>
      <c r="I39" t="s">
        <v>62</v>
      </c>
      <c r="J39" t="e">
        <f t="shared" si="3"/>
        <v>#N/A</v>
      </c>
      <c r="K39" t="e">
        <f t="shared" si="4"/>
        <v>#N/A</v>
      </c>
      <c r="M39" t="str">
        <f t="shared" si="5"/>
        <v>X</v>
      </c>
      <c r="N39" t="e">
        <f t="shared" si="6"/>
        <v>#N/A</v>
      </c>
      <c r="O39">
        <v>0</v>
      </c>
      <c r="P39" t="e">
        <f t="shared" si="7"/>
        <v>#N/A</v>
      </c>
      <c r="AG39" s="5"/>
    </row>
    <row r="40" spans="2:63" x14ac:dyDescent="0.25">
      <c r="B40" s="5" t="s">
        <v>63</v>
      </c>
      <c r="C40" s="38"/>
      <c r="D40" s="2"/>
      <c r="E40" s="2"/>
      <c r="F40" s="5" t="str">
        <f t="shared" si="8"/>
        <v>X</v>
      </c>
      <c r="G40" s="38"/>
      <c r="H40" s="2"/>
      <c r="I40" t="s">
        <v>63</v>
      </c>
      <c r="J40" t="e">
        <f t="shared" si="3"/>
        <v>#N/A</v>
      </c>
      <c r="K40" t="e">
        <f t="shared" si="4"/>
        <v>#N/A</v>
      </c>
      <c r="M40" t="str">
        <f t="shared" si="5"/>
        <v>X</v>
      </c>
      <c r="N40" t="e">
        <f t="shared" si="6"/>
        <v>#N/A</v>
      </c>
      <c r="O40">
        <v>0</v>
      </c>
      <c r="P40" t="e">
        <f t="shared" si="7"/>
        <v>#N/A</v>
      </c>
      <c r="AG40" s="5"/>
    </row>
    <row r="41" spans="2:63" x14ac:dyDescent="0.25">
      <c r="B41" s="5" t="s">
        <v>64</v>
      </c>
      <c r="C41" s="38"/>
      <c r="D41" s="2"/>
      <c r="E41" s="2"/>
      <c r="F41" s="5" t="str">
        <f t="shared" si="8"/>
        <v>X</v>
      </c>
      <c r="G41" s="38"/>
      <c r="H41" s="2"/>
      <c r="I41" t="s">
        <v>64</v>
      </c>
      <c r="J41" t="e">
        <f t="shared" si="3"/>
        <v>#N/A</v>
      </c>
      <c r="K41" t="e">
        <f t="shared" si="4"/>
        <v>#N/A</v>
      </c>
      <c r="M41" t="str">
        <f t="shared" si="5"/>
        <v>X</v>
      </c>
      <c r="N41" t="e">
        <f t="shared" si="6"/>
        <v>#N/A</v>
      </c>
      <c r="O41">
        <v>0</v>
      </c>
      <c r="P41" t="e">
        <f t="shared" si="7"/>
        <v>#N/A</v>
      </c>
    </row>
    <row r="42" spans="2:63" x14ac:dyDescent="0.25">
      <c r="B42" s="5" t="s">
        <v>65</v>
      </c>
      <c r="C42" s="38"/>
      <c r="D42" s="2"/>
      <c r="E42" s="2"/>
      <c r="F42" s="5" t="str">
        <f t="shared" si="8"/>
        <v>X</v>
      </c>
      <c r="G42" s="38"/>
      <c r="H42" s="2"/>
      <c r="I42" t="s">
        <v>65</v>
      </c>
      <c r="J42" t="e">
        <f t="shared" si="3"/>
        <v>#N/A</v>
      </c>
      <c r="K42" t="e">
        <f t="shared" si="4"/>
        <v>#N/A</v>
      </c>
      <c r="M42" t="str">
        <f t="shared" si="5"/>
        <v>X</v>
      </c>
      <c r="N42" t="e">
        <f t="shared" si="6"/>
        <v>#N/A</v>
      </c>
      <c r="O42">
        <v>0</v>
      </c>
      <c r="P42" t="e">
        <f t="shared" si="7"/>
        <v>#N/A</v>
      </c>
    </row>
    <row r="43" spans="2:63" x14ac:dyDescent="0.25">
      <c r="B43" s="5" t="s">
        <v>66</v>
      </c>
      <c r="C43" s="38"/>
      <c r="D43" s="2"/>
      <c r="E43" s="2"/>
      <c r="F43" s="5" t="str">
        <f t="shared" si="8"/>
        <v>X</v>
      </c>
      <c r="G43" s="38"/>
      <c r="H43" s="2"/>
      <c r="I43" t="s">
        <v>66</v>
      </c>
      <c r="J43" t="e">
        <f t="shared" si="3"/>
        <v>#N/A</v>
      </c>
      <c r="K43" t="e">
        <f t="shared" si="4"/>
        <v>#N/A</v>
      </c>
      <c r="M43" t="str">
        <f t="shared" si="5"/>
        <v>X</v>
      </c>
      <c r="N43" t="e">
        <f t="shared" si="6"/>
        <v>#N/A</v>
      </c>
      <c r="O43">
        <v>0</v>
      </c>
      <c r="P43" t="e">
        <f t="shared" si="7"/>
        <v>#N/A</v>
      </c>
    </row>
    <row r="44" spans="2:63" x14ac:dyDescent="0.25">
      <c r="B44" s="5" t="s">
        <v>67</v>
      </c>
      <c r="C44" s="38"/>
      <c r="D44" s="2"/>
      <c r="E44" s="2"/>
      <c r="F44" s="5" t="str">
        <f t="shared" si="8"/>
        <v>X</v>
      </c>
      <c r="G44" s="38"/>
      <c r="H44" s="2"/>
      <c r="I44" t="s">
        <v>67</v>
      </c>
      <c r="J44" t="e">
        <f t="shared" si="3"/>
        <v>#N/A</v>
      </c>
      <c r="K44" t="e">
        <f t="shared" si="4"/>
        <v>#N/A</v>
      </c>
      <c r="M44" t="str">
        <f t="shared" si="5"/>
        <v>X</v>
      </c>
      <c r="N44" t="e">
        <f t="shared" si="6"/>
        <v>#N/A</v>
      </c>
      <c r="O44">
        <v>0</v>
      </c>
      <c r="P44" t="e">
        <f t="shared" si="7"/>
        <v>#N/A</v>
      </c>
    </row>
    <row r="45" spans="2:63" x14ac:dyDescent="0.25">
      <c r="B45" s="5" t="s">
        <v>68</v>
      </c>
      <c r="C45" s="38"/>
      <c r="D45" s="2"/>
      <c r="E45" s="2"/>
      <c r="F45" s="5" t="str">
        <f t="shared" si="8"/>
        <v>X</v>
      </c>
      <c r="G45" s="38"/>
      <c r="H45" s="2"/>
      <c r="I45" t="s">
        <v>68</v>
      </c>
      <c r="J45" t="e">
        <f t="shared" si="3"/>
        <v>#N/A</v>
      </c>
      <c r="K45" t="e">
        <f t="shared" si="4"/>
        <v>#N/A</v>
      </c>
      <c r="M45" t="str">
        <f t="shared" si="5"/>
        <v>X</v>
      </c>
      <c r="N45" t="e">
        <f t="shared" si="6"/>
        <v>#N/A</v>
      </c>
      <c r="O45">
        <v>0</v>
      </c>
      <c r="P45" t="e">
        <f t="shared" si="7"/>
        <v>#N/A</v>
      </c>
    </row>
    <row r="46" spans="2:63" x14ac:dyDescent="0.25">
      <c r="B46" s="5" t="s">
        <v>69</v>
      </c>
      <c r="C46" s="38"/>
      <c r="D46" s="2"/>
      <c r="E46" s="2"/>
      <c r="F46" s="5" t="str">
        <f t="shared" si="8"/>
        <v>X</v>
      </c>
      <c r="G46" s="38"/>
      <c r="H46" s="2"/>
      <c r="I46" t="s">
        <v>69</v>
      </c>
      <c r="J46" t="e">
        <f t="shared" si="3"/>
        <v>#N/A</v>
      </c>
      <c r="K46" t="e">
        <f t="shared" si="4"/>
        <v>#N/A</v>
      </c>
      <c r="M46" t="str">
        <f t="shared" si="5"/>
        <v>X</v>
      </c>
      <c r="N46" t="e">
        <f t="shared" si="6"/>
        <v>#N/A</v>
      </c>
      <c r="O46">
        <v>0</v>
      </c>
      <c r="P46" t="e">
        <f t="shared" si="7"/>
        <v>#N/A</v>
      </c>
    </row>
    <row r="47" spans="2:63" x14ac:dyDescent="0.25">
      <c r="B47" s="5" t="s">
        <v>70</v>
      </c>
      <c r="C47" s="38"/>
      <c r="D47" s="2"/>
      <c r="E47" s="2"/>
      <c r="F47" s="5" t="str">
        <f t="shared" si="8"/>
        <v>X</v>
      </c>
      <c r="G47" s="38"/>
      <c r="H47" s="2"/>
      <c r="I47" t="s">
        <v>70</v>
      </c>
      <c r="J47" t="e">
        <f t="shared" si="3"/>
        <v>#N/A</v>
      </c>
      <c r="K47" t="e">
        <f t="shared" si="4"/>
        <v>#N/A</v>
      </c>
      <c r="M47" t="str">
        <f t="shared" si="5"/>
        <v>X</v>
      </c>
      <c r="N47" t="e">
        <f t="shared" si="6"/>
        <v>#N/A</v>
      </c>
      <c r="O47">
        <v>0</v>
      </c>
      <c r="P47" t="e">
        <f t="shared" si="7"/>
        <v>#N/A</v>
      </c>
    </row>
    <row r="48" spans="2:63" x14ac:dyDescent="0.25">
      <c r="B48" s="5" t="s">
        <v>71</v>
      </c>
      <c r="C48" s="38"/>
      <c r="D48" s="2"/>
      <c r="E48" s="2"/>
      <c r="F48" s="5" t="str">
        <f t="shared" si="8"/>
        <v>X</v>
      </c>
      <c r="G48" s="38"/>
      <c r="H48" s="2"/>
      <c r="I48" t="s">
        <v>71</v>
      </c>
      <c r="J48" t="e">
        <f t="shared" si="3"/>
        <v>#N/A</v>
      </c>
      <c r="K48" t="e">
        <f t="shared" si="4"/>
        <v>#N/A</v>
      </c>
      <c r="M48" t="str">
        <f t="shared" si="5"/>
        <v>X</v>
      </c>
      <c r="N48" t="e">
        <f t="shared" si="6"/>
        <v>#N/A</v>
      </c>
      <c r="O48">
        <v>0</v>
      </c>
      <c r="P48" t="e">
        <f t="shared" si="7"/>
        <v>#N/A</v>
      </c>
    </row>
    <row r="49" spans="2:10" x14ac:dyDescent="0.25">
      <c r="B49" s="5"/>
      <c r="C49" s="1"/>
      <c r="D49" s="2"/>
      <c r="E49" s="2"/>
      <c r="F49" s="2"/>
      <c r="G49" s="2"/>
      <c r="H49" s="2"/>
      <c r="I49" s="7"/>
      <c r="J49" s="3"/>
    </row>
    <row r="51" spans="2:10" ht="15" customHeight="1" x14ac:dyDescent="0.25">
      <c r="B51" s="33"/>
      <c r="C51" s="33"/>
      <c r="D51" s="33"/>
      <c r="E51" s="33"/>
      <c r="F51" s="36"/>
      <c r="G51" s="36"/>
    </row>
    <row r="52" spans="2:10" x14ac:dyDescent="0.25">
      <c r="B52" s="34"/>
      <c r="C52" s="34"/>
      <c r="D52" s="34"/>
      <c r="E52" s="35"/>
      <c r="F52" s="37"/>
      <c r="G52" s="37"/>
    </row>
    <row r="53" spans="2:10" x14ac:dyDescent="0.25">
      <c r="B53" s="34"/>
      <c r="C53" s="34"/>
      <c r="D53" s="34"/>
      <c r="E53" s="34"/>
      <c r="F53" s="37"/>
      <c r="G53" s="37"/>
    </row>
    <row r="54" spans="2:10" x14ac:dyDescent="0.25">
      <c r="B54" s="34"/>
      <c r="C54" s="34"/>
      <c r="D54" s="34"/>
      <c r="E54" s="34"/>
      <c r="F54" s="37"/>
      <c r="G54" s="37"/>
    </row>
    <row r="55" spans="2:10" x14ac:dyDescent="0.25">
      <c r="B55" s="34"/>
      <c r="C55" s="34"/>
      <c r="D55" s="34"/>
      <c r="E55" s="34"/>
      <c r="F55" s="37"/>
      <c r="G55" s="37"/>
    </row>
    <row r="56" spans="2:10" x14ac:dyDescent="0.25">
      <c r="B56" s="34"/>
      <c r="C56" s="34"/>
      <c r="D56" s="34"/>
      <c r="E56" s="34"/>
      <c r="F56" s="37"/>
      <c r="G56" s="37"/>
    </row>
    <row r="101" spans="2:32" hidden="1" x14ac:dyDescent="0.25">
      <c r="C101" s="11" t="s">
        <v>73</v>
      </c>
      <c r="D101" s="11" t="s">
        <v>74</v>
      </c>
      <c r="E101" s="11" t="s">
        <v>75</v>
      </c>
      <c r="F101" s="11" t="s">
        <v>76</v>
      </c>
      <c r="G101" s="11" t="s">
        <v>77</v>
      </c>
      <c r="H101" s="11" t="s">
        <v>78</v>
      </c>
      <c r="I101" s="11" t="s">
        <v>79</v>
      </c>
      <c r="J101" s="11" t="s">
        <v>80</v>
      </c>
      <c r="K101" s="11" t="s">
        <v>81</v>
      </c>
      <c r="L101" s="11" t="s">
        <v>82</v>
      </c>
      <c r="M101" s="11" t="s">
        <v>83</v>
      </c>
      <c r="N101" s="11" t="s">
        <v>84</v>
      </c>
      <c r="O101" s="11" t="s">
        <v>85</v>
      </c>
      <c r="P101" s="11" t="s">
        <v>86</v>
      </c>
      <c r="Q101" s="11" t="s">
        <v>87</v>
      </c>
      <c r="R101" s="11" t="s">
        <v>88</v>
      </c>
      <c r="S101" s="11" t="s">
        <v>89</v>
      </c>
      <c r="T101" s="11" t="s">
        <v>90</v>
      </c>
      <c r="U101" s="11" t="s">
        <v>91</v>
      </c>
      <c r="V101" s="11" t="s">
        <v>92</v>
      </c>
      <c r="W101" s="11" t="s">
        <v>93</v>
      </c>
      <c r="X101" s="11" t="s">
        <v>94</v>
      </c>
      <c r="Y101" s="11" t="s">
        <v>95</v>
      </c>
      <c r="Z101" s="11" t="s">
        <v>96</v>
      </c>
      <c r="AA101" s="11" t="s">
        <v>97</v>
      </c>
      <c r="AB101" s="11" t="s">
        <v>98</v>
      </c>
      <c r="AC101" s="11" t="s">
        <v>99</v>
      </c>
      <c r="AD101" s="11" t="s">
        <v>100</v>
      </c>
      <c r="AE101" s="11" t="s">
        <v>101</v>
      </c>
      <c r="AF101" s="11" t="s">
        <v>102</v>
      </c>
    </row>
    <row r="102" spans="2:32" hidden="1" x14ac:dyDescent="0.25"/>
    <row r="103" spans="2:32" hidden="1" x14ac:dyDescent="0.25">
      <c r="B103" s="10" t="s">
        <v>39</v>
      </c>
      <c r="D103" s="5"/>
      <c r="F103" s="5"/>
    </row>
    <row r="104" spans="2:32" hidden="1" x14ac:dyDescent="0.25">
      <c r="C104" s="5" t="str">
        <f>$B$19</f>
        <v>fn_1</v>
      </c>
      <c r="D104" s="5" t="str">
        <f>$B$20</f>
        <v>fn_2</v>
      </c>
      <c r="E104" s="5" t="str">
        <f>$B$21</f>
        <v>fn_3</v>
      </c>
      <c r="F104" s="5" t="str">
        <f>$B$22</f>
        <v>fn_4</v>
      </c>
      <c r="G104" s="5" t="str">
        <f>$B$23</f>
        <v>fn_5</v>
      </c>
      <c r="H104" s="5" t="str">
        <f>$B$24</f>
        <v>fn_6</v>
      </c>
      <c r="I104" s="5" t="str">
        <f>$B$25</f>
        <v>fn_7</v>
      </c>
      <c r="J104" s="5" t="str">
        <f>$B$26</f>
        <v>fn_8</v>
      </c>
      <c r="K104" s="5" t="str">
        <f>$B$27</f>
        <v>fn_9</v>
      </c>
      <c r="L104" s="5" t="str">
        <f>$B$28</f>
        <v>fn_10</v>
      </c>
      <c r="M104" s="5" t="str">
        <f>$B$29</f>
        <v>fn_11</v>
      </c>
      <c r="N104" s="5" t="str">
        <f>$B$30</f>
        <v>fn_12</v>
      </c>
      <c r="O104" s="5" t="str">
        <f>$B$31</f>
        <v>fn_13</v>
      </c>
      <c r="P104" s="5" t="str">
        <f>$B$32</f>
        <v>fn_14</v>
      </c>
      <c r="Q104" s="5" t="str">
        <f>$B$33</f>
        <v>fn_15</v>
      </c>
      <c r="R104" s="5" t="str">
        <f>$B$34</f>
        <v>fn_16</v>
      </c>
      <c r="S104" s="5" t="str">
        <f>$B$35</f>
        <v>fn_17</v>
      </c>
      <c r="T104" s="5" t="str">
        <f>$B$36</f>
        <v>fn_18</v>
      </c>
      <c r="U104" s="5" t="str">
        <f>$B$37</f>
        <v>fn_19</v>
      </c>
      <c r="V104" s="5" t="str">
        <f>$B$38</f>
        <v>fn_20</v>
      </c>
      <c r="W104" s="5" t="str">
        <f>$B$39</f>
        <v>fn_21</v>
      </c>
      <c r="X104" s="5" t="str">
        <f>$B$40</f>
        <v>fn_22</v>
      </c>
      <c r="Y104" s="5" t="str">
        <f>$B$41</f>
        <v>fn_23</v>
      </c>
      <c r="Z104" s="5" t="str">
        <f>$B$42</f>
        <v>fn_24</v>
      </c>
      <c r="AA104" s="5" t="str">
        <f>$B$43</f>
        <v>fn_25</v>
      </c>
      <c r="AB104" s="5" t="str">
        <f>$B$44</f>
        <v>fn_26</v>
      </c>
      <c r="AC104" s="5" t="str">
        <f>$B$45</f>
        <v>fn_27</v>
      </c>
      <c r="AD104" s="5" t="str">
        <f>$B$46</f>
        <v>fn_28</v>
      </c>
      <c r="AE104" s="5" t="str">
        <f>$B$47</f>
        <v>fn_29</v>
      </c>
      <c r="AF104" s="5" t="str">
        <f>$B$48</f>
        <v>fn_30</v>
      </c>
    </row>
    <row r="105" spans="2:32" hidden="1" x14ac:dyDescent="0.25">
      <c r="B105" s="5" t="str">
        <f t="shared" ref="B105:B134" si="12">$M19</f>
        <v>1X</v>
      </c>
      <c r="C105" s="1">
        <f>$J$19</f>
        <v>3600</v>
      </c>
      <c r="D105" s="1">
        <f>$J$20</f>
        <v>5000</v>
      </c>
      <c r="E105" s="1">
        <f>$J$21</f>
        <v>8500</v>
      </c>
      <c r="F105" s="1">
        <f>$J$22</f>
        <v>10500</v>
      </c>
      <c r="G105" s="1">
        <f>$J$23</f>
        <v>12500</v>
      </c>
      <c r="H105" s="1" t="e">
        <f>$J$24</f>
        <v>#N/A</v>
      </c>
      <c r="I105" s="1" t="e">
        <f>$J$25</f>
        <v>#N/A</v>
      </c>
      <c r="J105" s="1" t="e">
        <f>$J$26</f>
        <v>#N/A</v>
      </c>
      <c r="K105" s="1" t="e">
        <f>$J$27</f>
        <v>#N/A</v>
      </c>
      <c r="L105" s="1" t="e">
        <f>$J$28</f>
        <v>#N/A</v>
      </c>
      <c r="M105" s="1" t="e">
        <f>$J$29</f>
        <v>#N/A</v>
      </c>
      <c r="N105" s="1" t="e">
        <f>$J$30</f>
        <v>#N/A</v>
      </c>
      <c r="O105" s="1" t="e">
        <f>$J$31</f>
        <v>#N/A</v>
      </c>
      <c r="P105" s="1" t="e">
        <f>$J$32</f>
        <v>#N/A</v>
      </c>
      <c r="Q105" s="1" t="e">
        <f>$J$33</f>
        <v>#N/A</v>
      </c>
      <c r="R105" s="1" t="e">
        <f>$J$34</f>
        <v>#N/A</v>
      </c>
      <c r="S105" s="1" t="e">
        <f>$J$35</f>
        <v>#N/A</v>
      </c>
      <c r="T105" s="1" t="e">
        <f>$J$36</f>
        <v>#N/A</v>
      </c>
      <c r="U105" s="1" t="e">
        <f>$J$37</f>
        <v>#N/A</v>
      </c>
      <c r="V105" s="1" t="e">
        <f>$J$38</f>
        <v>#N/A</v>
      </c>
      <c r="W105" s="1" t="e">
        <f>$J$39</f>
        <v>#N/A</v>
      </c>
      <c r="X105" s="1" t="e">
        <f>$J$40</f>
        <v>#N/A</v>
      </c>
      <c r="Y105" s="1" t="e">
        <f>$J$41</f>
        <v>#N/A</v>
      </c>
      <c r="Z105" s="1" t="e">
        <f>$J$42</f>
        <v>#N/A</v>
      </c>
      <c r="AA105" s="1" t="e">
        <f>$J$43</f>
        <v>#N/A</v>
      </c>
      <c r="AB105" s="1" t="e">
        <f>$J$44</f>
        <v>#N/A</v>
      </c>
      <c r="AC105" s="1" t="e">
        <f>$J$45</f>
        <v>#N/A</v>
      </c>
      <c r="AD105" s="1" t="e">
        <f>$J$46</f>
        <v>#N/A</v>
      </c>
      <c r="AE105" s="1" t="e">
        <f>$J$47</f>
        <v>#N/A</v>
      </c>
      <c r="AF105" s="1" t="e">
        <f>$J$48</f>
        <v>#N/A</v>
      </c>
    </row>
    <row r="106" spans="2:32" hidden="1" x14ac:dyDescent="0.25">
      <c r="B106" s="5" t="str">
        <f t="shared" si="12"/>
        <v>2X</v>
      </c>
      <c r="C106" s="1">
        <f t="shared" ref="C106:C134" si="13">$J$19</f>
        <v>3600</v>
      </c>
      <c r="D106" s="1">
        <f t="shared" ref="D106:D134" si="14">$J$20</f>
        <v>5000</v>
      </c>
      <c r="E106" s="1">
        <f t="shared" ref="E106:E134" si="15">$J$21</f>
        <v>8500</v>
      </c>
      <c r="F106" s="1">
        <f t="shared" ref="F106:F134" si="16">$J$22</f>
        <v>10500</v>
      </c>
      <c r="G106" s="1">
        <f t="shared" ref="G106:G134" si="17">$J$23</f>
        <v>12500</v>
      </c>
      <c r="H106" s="1" t="e">
        <f t="shared" ref="H106:H134" si="18">$J$24</f>
        <v>#N/A</v>
      </c>
      <c r="I106" s="1" t="e">
        <f t="shared" ref="I106:I134" si="19">$J$25</f>
        <v>#N/A</v>
      </c>
      <c r="J106" s="1" t="e">
        <f t="shared" ref="J106:J134" si="20">$J$26</f>
        <v>#N/A</v>
      </c>
      <c r="K106" s="1" t="e">
        <f t="shared" ref="K106:K134" si="21">$J$27</f>
        <v>#N/A</v>
      </c>
      <c r="L106" s="1" t="e">
        <f t="shared" ref="L106:L134" si="22">$J$28</f>
        <v>#N/A</v>
      </c>
      <c r="M106" s="1" t="e">
        <f t="shared" ref="M106:M134" si="23">$J$29</f>
        <v>#N/A</v>
      </c>
      <c r="N106" s="1" t="e">
        <f t="shared" ref="N106:N134" si="24">$J$30</f>
        <v>#N/A</v>
      </c>
      <c r="O106" s="1" t="e">
        <f t="shared" ref="O106:O134" si="25">$J$31</f>
        <v>#N/A</v>
      </c>
      <c r="P106" s="1" t="e">
        <f t="shared" ref="P106:P134" si="26">$J$32</f>
        <v>#N/A</v>
      </c>
      <c r="Q106" s="1" t="e">
        <f t="shared" ref="Q106:Q134" si="27">$J$33</f>
        <v>#N/A</v>
      </c>
      <c r="R106" s="1" t="e">
        <f t="shared" ref="R106:R134" si="28">$J$34</f>
        <v>#N/A</v>
      </c>
      <c r="S106" s="1" t="e">
        <f t="shared" ref="S106:S134" si="29">$J$35</f>
        <v>#N/A</v>
      </c>
      <c r="T106" s="1" t="e">
        <f t="shared" ref="T106:T134" si="30">$J$36</f>
        <v>#N/A</v>
      </c>
      <c r="U106" s="1" t="e">
        <f t="shared" ref="U106:U134" si="31">$J$37</f>
        <v>#N/A</v>
      </c>
      <c r="V106" s="1" t="e">
        <f t="shared" ref="V106:V134" si="32">$J$38</f>
        <v>#N/A</v>
      </c>
      <c r="W106" s="1" t="e">
        <f t="shared" ref="W106:W134" si="33">$J$39</f>
        <v>#N/A</v>
      </c>
      <c r="X106" s="1" t="e">
        <f t="shared" ref="X106:X134" si="34">$J$40</f>
        <v>#N/A</v>
      </c>
      <c r="Y106" s="1" t="e">
        <f t="shared" ref="Y106:Y134" si="35">$J$41</f>
        <v>#N/A</v>
      </c>
      <c r="Z106" s="1" t="e">
        <f t="shared" ref="Z106:Z134" si="36">$J$42</f>
        <v>#N/A</v>
      </c>
      <c r="AA106" s="1" t="e">
        <f t="shared" ref="AA106:AA134" si="37">$J$43</f>
        <v>#N/A</v>
      </c>
      <c r="AB106" s="1" t="e">
        <f t="shared" ref="AB106:AB134" si="38">$J$44</f>
        <v>#N/A</v>
      </c>
      <c r="AC106" s="1" t="e">
        <f t="shared" ref="AC106:AC134" si="39">$J$45</f>
        <v>#N/A</v>
      </c>
      <c r="AD106" s="1" t="e">
        <f t="shared" ref="AD106:AD134" si="40">$J$46</f>
        <v>#N/A</v>
      </c>
      <c r="AE106" s="1" t="e">
        <f t="shared" ref="AE106:AE134" si="41">$J$47</f>
        <v>#N/A</v>
      </c>
      <c r="AF106" s="1" t="e">
        <f t="shared" ref="AF106:AF134" si="42">$J$48</f>
        <v>#N/A</v>
      </c>
    </row>
    <row r="107" spans="2:32" hidden="1" x14ac:dyDescent="0.25">
      <c r="B107" s="5" t="str">
        <f t="shared" si="12"/>
        <v>5X</v>
      </c>
      <c r="C107" s="1">
        <f t="shared" si="13"/>
        <v>3600</v>
      </c>
      <c r="D107" s="1">
        <f t="shared" si="14"/>
        <v>5000</v>
      </c>
      <c r="E107" s="1">
        <f t="shared" si="15"/>
        <v>8500</v>
      </c>
      <c r="F107" s="1">
        <f t="shared" si="16"/>
        <v>10500</v>
      </c>
      <c r="G107" s="1">
        <f t="shared" si="17"/>
        <v>12500</v>
      </c>
      <c r="H107" s="1" t="e">
        <f t="shared" si="18"/>
        <v>#N/A</v>
      </c>
      <c r="I107" s="1" t="e">
        <f t="shared" si="19"/>
        <v>#N/A</v>
      </c>
      <c r="J107" s="1" t="e">
        <f t="shared" si="20"/>
        <v>#N/A</v>
      </c>
      <c r="K107" s="1" t="e">
        <f t="shared" si="21"/>
        <v>#N/A</v>
      </c>
      <c r="L107" s="1" t="e">
        <f t="shared" si="22"/>
        <v>#N/A</v>
      </c>
      <c r="M107" s="1" t="e">
        <f t="shared" si="23"/>
        <v>#N/A</v>
      </c>
      <c r="N107" s="1" t="e">
        <f t="shared" si="24"/>
        <v>#N/A</v>
      </c>
      <c r="O107" s="1" t="e">
        <f t="shared" si="25"/>
        <v>#N/A</v>
      </c>
      <c r="P107" s="1" t="e">
        <f t="shared" si="26"/>
        <v>#N/A</v>
      </c>
      <c r="Q107" s="1" t="e">
        <f t="shared" si="27"/>
        <v>#N/A</v>
      </c>
      <c r="R107" s="1" t="e">
        <f t="shared" si="28"/>
        <v>#N/A</v>
      </c>
      <c r="S107" s="1" t="e">
        <f t="shared" si="29"/>
        <v>#N/A</v>
      </c>
      <c r="T107" s="1" t="e">
        <f t="shared" si="30"/>
        <v>#N/A</v>
      </c>
      <c r="U107" s="1" t="e">
        <f t="shared" si="31"/>
        <v>#N/A</v>
      </c>
      <c r="V107" s="1" t="e">
        <f t="shared" si="32"/>
        <v>#N/A</v>
      </c>
      <c r="W107" s="1" t="e">
        <f t="shared" si="33"/>
        <v>#N/A</v>
      </c>
      <c r="X107" s="1" t="e">
        <f t="shared" si="34"/>
        <v>#N/A</v>
      </c>
      <c r="Y107" s="1" t="e">
        <f t="shared" si="35"/>
        <v>#N/A</v>
      </c>
      <c r="Z107" s="1" t="e">
        <f t="shared" si="36"/>
        <v>#N/A</v>
      </c>
      <c r="AA107" s="1" t="e">
        <f t="shared" si="37"/>
        <v>#N/A</v>
      </c>
      <c r="AB107" s="1" t="e">
        <f t="shared" si="38"/>
        <v>#N/A</v>
      </c>
      <c r="AC107" s="1" t="e">
        <f t="shared" si="39"/>
        <v>#N/A</v>
      </c>
      <c r="AD107" s="1" t="e">
        <f t="shared" si="40"/>
        <v>#N/A</v>
      </c>
      <c r="AE107" s="1" t="e">
        <f t="shared" si="41"/>
        <v>#N/A</v>
      </c>
      <c r="AF107" s="1" t="e">
        <f t="shared" si="42"/>
        <v>#N/A</v>
      </c>
    </row>
    <row r="108" spans="2:32" hidden="1" x14ac:dyDescent="0.25">
      <c r="B108" s="5" t="str">
        <f t="shared" si="12"/>
        <v>X</v>
      </c>
      <c r="C108" s="1">
        <f t="shared" si="13"/>
        <v>3600</v>
      </c>
      <c r="D108" s="1">
        <f t="shared" si="14"/>
        <v>5000</v>
      </c>
      <c r="E108" s="1">
        <f t="shared" si="15"/>
        <v>8500</v>
      </c>
      <c r="F108" s="1">
        <f t="shared" si="16"/>
        <v>10500</v>
      </c>
      <c r="G108" s="1">
        <f t="shared" si="17"/>
        <v>12500</v>
      </c>
      <c r="H108" s="1" t="e">
        <f t="shared" si="18"/>
        <v>#N/A</v>
      </c>
      <c r="I108" s="1" t="e">
        <f t="shared" si="19"/>
        <v>#N/A</v>
      </c>
      <c r="J108" s="1" t="e">
        <f t="shared" si="20"/>
        <v>#N/A</v>
      </c>
      <c r="K108" s="1" t="e">
        <f t="shared" si="21"/>
        <v>#N/A</v>
      </c>
      <c r="L108" s="1" t="e">
        <f t="shared" si="22"/>
        <v>#N/A</v>
      </c>
      <c r="M108" s="1" t="e">
        <f t="shared" si="23"/>
        <v>#N/A</v>
      </c>
      <c r="N108" s="1" t="e">
        <f t="shared" si="24"/>
        <v>#N/A</v>
      </c>
      <c r="O108" s="1" t="e">
        <f t="shared" si="25"/>
        <v>#N/A</v>
      </c>
      <c r="P108" s="1" t="e">
        <f t="shared" si="26"/>
        <v>#N/A</v>
      </c>
      <c r="Q108" s="1" t="e">
        <f t="shared" si="27"/>
        <v>#N/A</v>
      </c>
      <c r="R108" s="1" t="e">
        <f t="shared" si="28"/>
        <v>#N/A</v>
      </c>
      <c r="S108" s="1" t="e">
        <f t="shared" si="29"/>
        <v>#N/A</v>
      </c>
      <c r="T108" s="1" t="e">
        <f t="shared" si="30"/>
        <v>#N/A</v>
      </c>
      <c r="U108" s="1" t="e">
        <f t="shared" si="31"/>
        <v>#N/A</v>
      </c>
      <c r="V108" s="1" t="e">
        <f t="shared" si="32"/>
        <v>#N/A</v>
      </c>
      <c r="W108" s="1" t="e">
        <f t="shared" si="33"/>
        <v>#N/A</v>
      </c>
      <c r="X108" s="1" t="e">
        <f t="shared" si="34"/>
        <v>#N/A</v>
      </c>
      <c r="Y108" s="1" t="e">
        <f t="shared" si="35"/>
        <v>#N/A</v>
      </c>
      <c r="Z108" s="1" t="e">
        <f t="shared" si="36"/>
        <v>#N/A</v>
      </c>
      <c r="AA108" s="1" t="e">
        <f t="shared" si="37"/>
        <v>#N/A</v>
      </c>
      <c r="AB108" s="1" t="e">
        <f t="shared" si="38"/>
        <v>#N/A</v>
      </c>
      <c r="AC108" s="1" t="e">
        <f t="shared" si="39"/>
        <v>#N/A</v>
      </c>
      <c r="AD108" s="1" t="e">
        <f t="shared" si="40"/>
        <v>#N/A</v>
      </c>
      <c r="AE108" s="1" t="e">
        <f t="shared" si="41"/>
        <v>#N/A</v>
      </c>
      <c r="AF108" s="1" t="e">
        <f t="shared" si="42"/>
        <v>#N/A</v>
      </c>
    </row>
    <row r="109" spans="2:32" hidden="1" x14ac:dyDescent="0.25">
      <c r="B109" s="5" t="str">
        <f t="shared" si="12"/>
        <v>X</v>
      </c>
      <c r="C109" s="1">
        <f t="shared" si="13"/>
        <v>3600</v>
      </c>
      <c r="D109" s="1">
        <f t="shared" si="14"/>
        <v>5000</v>
      </c>
      <c r="E109" s="1">
        <f t="shared" si="15"/>
        <v>8500</v>
      </c>
      <c r="F109" s="1">
        <f t="shared" si="16"/>
        <v>10500</v>
      </c>
      <c r="G109" s="1">
        <f t="shared" si="17"/>
        <v>12500</v>
      </c>
      <c r="H109" s="1" t="e">
        <f t="shared" si="18"/>
        <v>#N/A</v>
      </c>
      <c r="I109" s="1" t="e">
        <f t="shared" si="19"/>
        <v>#N/A</v>
      </c>
      <c r="J109" s="1" t="e">
        <f t="shared" si="20"/>
        <v>#N/A</v>
      </c>
      <c r="K109" s="1" t="e">
        <f t="shared" si="21"/>
        <v>#N/A</v>
      </c>
      <c r="L109" s="1" t="e">
        <f t="shared" si="22"/>
        <v>#N/A</v>
      </c>
      <c r="M109" s="1" t="e">
        <f t="shared" si="23"/>
        <v>#N/A</v>
      </c>
      <c r="N109" s="1" t="e">
        <f t="shared" si="24"/>
        <v>#N/A</v>
      </c>
      <c r="O109" s="1" t="e">
        <f t="shared" si="25"/>
        <v>#N/A</v>
      </c>
      <c r="P109" s="1" t="e">
        <f t="shared" si="26"/>
        <v>#N/A</v>
      </c>
      <c r="Q109" s="1" t="e">
        <f t="shared" si="27"/>
        <v>#N/A</v>
      </c>
      <c r="R109" s="1" t="e">
        <f t="shared" si="28"/>
        <v>#N/A</v>
      </c>
      <c r="S109" s="1" t="e">
        <f t="shared" si="29"/>
        <v>#N/A</v>
      </c>
      <c r="T109" s="1" t="e">
        <f t="shared" si="30"/>
        <v>#N/A</v>
      </c>
      <c r="U109" s="1" t="e">
        <f t="shared" si="31"/>
        <v>#N/A</v>
      </c>
      <c r="V109" s="1" t="e">
        <f t="shared" si="32"/>
        <v>#N/A</v>
      </c>
      <c r="W109" s="1" t="e">
        <f t="shared" si="33"/>
        <v>#N/A</v>
      </c>
      <c r="X109" s="1" t="e">
        <f t="shared" si="34"/>
        <v>#N/A</v>
      </c>
      <c r="Y109" s="1" t="e">
        <f t="shared" si="35"/>
        <v>#N/A</v>
      </c>
      <c r="Z109" s="1" t="e">
        <f t="shared" si="36"/>
        <v>#N/A</v>
      </c>
      <c r="AA109" s="1" t="e">
        <f t="shared" si="37"/>
        <v>#N/A</v>
      </c>
      <c r="AB109" s="1" t="e">
        <f t="shared" si="38"/>
        <v>#N/A</v>
      </c>
      <c r="AC109" s="1" t="e">
        <f t="shared" si="39"/>
        <v>#N/A</v>
      </c>
      <c r="AD109" s="1" t="e">
        <f t="shared" si="40"/>
        <v>#N/A</v>
      </c>
      <c r="AE109" s="1" t="e">
        <f t="shared" si="41"/>
        <v>#N/A</v>
      </c>
      <c r="AF109" s="1" t="e">
        <f t="shared" si="42"/>
        <v>#N/A</v>
      </c>
    </row>
    <row r="110" spans="2:32" hidden="1" x14ac:dyDescent="0.25">
      <c r="B110" s="5" t="str">
        <f t="shared" si="12"/>
        <v>X</v>
      </c>
      <c r="C110" s="1">
        <f t="shared" si="13"/>
        <v>3600</v>
      </c>
      <c r="D110" s="1">
        <f t="shared" si="14"/>
        <v>5000</v>
      </c>
      <c r="E110" s="1">
        <f t="shared" si="15"/>
        <v>8500</v>
      </c>
      <c r="F110" s="1">
        <f t="shared" si="16"/>
        <v>10500</v>
      </c>
      <c r="G110" s="1">
        <f t="shared" si="17"/>
        <v>12500</v>
      </c>
      <c r="H110" s="1" t="e">
        <f t="shared" si="18"/>
        <v>#N/A</v>
      </c>
      <c r="I110" s="1" t="e">
        <f t="shared" si="19"/>
        <v>#N/A</v>
      </c>
      <c r="J110" s="1" t="e">
        <f t="shared" si="20"/>
        <v>#N/A</v>
      </c>
      <c r="K110" s="1" t="e">
        <f t="shared" si="21"/>
        <v>#N/A</v>
      </c>
      <c r="L110" s="1" t="e">
        <f t="shared" si="22"/>
        <v>#N/A</v>
      </c>
      <c r="M110" s="1" t="e">
        <f t="shared" si="23"/>
        <v>#N/A</v>
      </c>
      <c r="N110" s="1" t="e">
        <f t="shared" si="24"/>
        <v>#N/A</v>
      </c>
      <c r="O110" s="1" t="e">
        <f t="shared" si="25"/>
        <v>#N/A</v>
      </c>
      <c r="P110" s="1" t="e">
        <f t="shared" si="26"/>
        <v>#N/A</v>
      </c>
      <c r="Q110" s="1" t="e">
        <f t="shared" si="27"/>
        <v>#N/A</v>
      </c>
      <c r="R110" s="1" t="e">
        <f t="shared" si="28"/>
        <v>#N/A</v>
      </c>
      <c r="S110" s="1" t="e">
        <f t="shared" si="29"/>
        <v>#N/A</v>
      </c>
      <c r="T110" s="1" t="e">
        <f t="shared" si="30"/>
        <v>#N/A</v>
      </c>
      <c r="U110" s="1" t="e">
        <f t="shared" si="31"/>
        <v>#N/A</v>
      </c>
      <c r="V110" s="1" t="e">
        <f t="shared" si="32"/>
        <v>#N/A</v>
      </c>
      <c r="W110" s="1" t="e">
        <f t="shared" si="33"/>
        <v>#N/A</v>
      </c>
      <c r="X110" s="1" t="e">
        <f t="shared" si="34"/>
        <v>#N/A</v>
      </c>
      <c r="Y110" s="1" t="e">
        <f t="shared" si="35"/>
        <v>#N/A</v>
      </c>
      <c r="Z110" s="1" t="e">
        <f t="shared" si="36"/>
        <v>#N/A</v>
      </c>
      <c r="AA110" s="1" t="e">
        <f t="shared" si="37"/>
        <v>#N/A</v>
      </c>
      <c r="AB110" s="1" t="e">
        <f t="shared" si="38"/>
        <v>#N/A</v>
      </c>
      <c r="AC110" s="1" t="e">
        <f t="shared" si="39"/>
        <v>#N/A</v>
      </c>
      <c r="AD110" s="1" t="e">
        <f t="shared" si="40"/>
        <v>#N/A</v>
      </c>
      <c r="AE110" s="1" t="e">
        <f t="shared" si="41"/>
        <v>#N/A</v>
      </c>
      <c r="AF110" s="1" t="e">
        <f t="shared" si="42"/>
        <v>#N/A</v>
      </c>
    </row>
    <row r="111" spans="2:32" hidden="1" x14ac:dyDescent="0.25">
      <c r="B111" s="5" t="str">
        <f t="shared" si="12"/>
        <v>X</v>
      </c>
      <c r="C111" s="1">
        <f t="shared" si="13"/>
        <v>3600</v>
      </c>
      <c r="D111" s="1">
        <f t="shared" si="14"/>
        <v>5000</v>
      </c>
      <c r="E111" s="1">
        <f t="shared" si="15"/>
        <v>8500</v>
      </c>
      <c r="F111" s="1">
        <f t="shared" si="16"/>
        <v>10500</v>
      </c>
      <c r="G111" s="1">
        <f t="shared" si="17"/>
        <v>12500</v>
      </c>
      <c r="H111" s="1" t="e">
        <f t="shared" si="18"/>
        <v>#N/A</v>
      </c>
      <c r="I111" s="1" t="e">
        <f t="shared" si="19"/>
        <v>#N/A</v>
      </c>
      <c r="J111" s="1" t="e">
        <f t="shared" si="20"/>
        <v>#N/A</v>
      </c>
      <c r="K111" s="1" t="e">
        <f t="shared" si="21"/>
        <v>#N/A</v>
      </c>
      <c r="L111" s="1" t="e">
        <f t="shared" si="22"/>
        <v>#N/A</v>
      </c>
      <c r="M111" s="1" t="e">
        <f t="shared" si="23"/>
        <v>#N/A</v>
      </c>
      <c r="N111" s="1" t="e">
        <f t="shared" si="24"/>
        <v>#N/A</v>
      </c>
      <c r="O111" s="1" t="e">
        <f t="shared" si="25"/>
        <v>#N/A</v>
      </c>
      <c r="P111" s="1" t="e">
        <f t="shared" si="26"/>
        <v>#N/A</v>
      </c>
      <c r="Q111" s="1" t="e">
        <f t="shared" si="27"/>
        <v>#N/A</v>
      </c>
      <c r="R111" s="1" t="e">
        <f t="shared" si="28"/>
        <v>#N/A</v>
      </c>
      <c r="S111" s="1" t="e">
        <f t="shared" si="29"/>
        <v>#N/A</v>
      </c>
      <c r="T111" s="1" t="e">
        <f t="shared" si="30"/>
        <v>#N/A</v>
      </c>
      <c r="U111" s="1" t="e">
        <f t="shared" si="31"/>
        <v>#N/A</v>
      </c>
      <c r="V111" s="1" t="e">
        <f t="shared" si="32"/>
        <v>#N/A</v>
      </c>
      <c r="W111" s="1" t="e">
        <f t="shared" si="33"/>
        <v>#N/A</v>
      </c>
      <c r="X111" s="1" t="e">
        <f t="shared" si="34"/>
        <v>#N/A</v>
      </c>
      <c r="Y111" s="1" t="e">
        <f t="shared" si="35"/>
        <v>#N/A</v>
      </c>
      <c r="Z111" s="1" t="e">
        <f t="shared" si="36"/>
        <v>#N/A</v>
      </c>
      <c r="AA111" s="1" t="e">
        <f t="shared" si="37"/>
        <v>#N/A</v>
      </c>
      <c r="AB111" s="1" t="e">
        <f t="shared" si="38"/>
        <v>#N/A</v>
      </c>
      <c r="AC111" s="1" t="e">
        <f t="shared" si="39"/>
        <v>#N/A</v>
      </c>
      <c r="AD111" s="1" t="e">
        <f t="shared" si="40"/>
        <v>#N/A</v>
      </c>
      <c r="AE111" s="1" t="e">
        <f t="shared" si="41"/>
        <v>#N/A</v>
      </c>
      <c r="AF111" s="1" t="e">
        <f t="shared" si="42"/>
        <v>#N/A</v>
      </c>
    </row>
    <row r="112" spans="2:32" hidden="1" x14ac:dyDescent="0.25">
      <c r="B112" s="5" t="str">
        <f t="shared" si="12"/>
        <v>X</v>
      </c>
      <c r="C112" s="1">
        <f t="shared" si="13"/>
        <v>3600</v>
      </c>
      <c r="D112" s="1">
        <f t="shared" si="14"/>
        <v>5000</v>
      </c>
      <c r="E112" s="1">
        <f t="shared" si="15"/>
        <v>8500</v>
      </c>
      <c r="F112" s="1">
        <f t="shared" si="16"/>
        <v>10500</v>
      </c>
      <c r="G112" s="1">
        <f t="shared" si="17"/>
        <v>12500</v>
      </c>
      <c r="H112" s="1" t="e">
        <f t="shared" si="18"/>
        <v>#N/A</v>
      </c>
      <c r="I112" s="1" t="e">
        <f t="shared" si="19"/>
        <v>#N/A</v>
      </c>
      <c r="J112" s="1" t="e">
        <f t="shared" si="20"/>
        <v>#N/A</v>
      </c>
      <c r="K112" s="1" t="e">
        <f t="shared" si="21"/>
        <v>#N/A</v>
      </c>
      <c r="L112" s="1" t="e">
        <f t="shared" si="22"/>
        <v>#N/A</v>
      </c>
      <c r="M112" s="1" t="e">
        <f t="shared" si="23"/>
        <v>#N/A</v>
      </c>
      <c r="N112" s="1" t="e">
        <f t="shared" si="24"/>
        <v>#N/A</v>
      </c>
      <c r="O112" s="1" t="e">
        <f t="shared" si="25"/>
        <v>#N/A</v>
      </c>
      <c r="P112" s="1" t="e">
        <f t="shared" si="26"/>
        <v>#N/A</v>
      </c>
      <c r="Q112" s="1" t="e">
        <f t="shared" si="27"/>
        <v>#N/A</v>
      </c>
      <c r="R112" s="1" t="e">
        <f t="shared" si="28"/>
        <v>#N/A</v>
      </c>
      <c r="S112" s="1" t="e">
        <f t="shared" si="29"/>
        <v>#N/A</v>
      </c>
      <c r="T112" s="1" t="e">
        <f t="shared" si="30"/>
        <v>#N/A</v>
      </c>
      <c r="U112" s="1" t="e">
        <f t="shared" si="31"/>
        <v>#N/A</v>
      </c>
      <c r="V112" s="1" t="e">
        <f t="shared" si="32"/>
        <v>#N/A</v>
      </c>
      <c r="W112" s="1" t="e">
        <f t="shared" si="33"/>
        <v>#N/A</v>
      </c>
      <c r="X112" s="1" t="e">
        <f t="shared" si="34"/>
        <v>#N/A</v>
      </c>
      <c r="Y112" s="1" t="e">
        <f t="shared" si="35"/>
        <v>#N/A</v>
      </c>
      <c r="Z112" s="1" t="e">
        <f t="shared" si="36"/>
        <v>#N/A</v>
      </c>
      <c r="AA112" s="1" t="e">
        <f t="shared" si="37"/>
        <v>#N/A</v>
      </c>
      <c r="AB112" s="1" t="e">
        <f t="shared" si="38"/>
        <v>#N/A</v>
      </c>
      <c r="AC112" s="1" t="e">
        <f t="shared" si="39"/>
        <v>#N/A</v>
      </c>
      <c r="AD112" s="1" t="e">
        <f t="shared" si="40"/>
        <v>#N/A</v>
      </c>
      <c r="AE112" s="1" t="e">
        <f t="shared" si="41"/>
        <v>#N/A</v>
      </c>
      <c r="AF112" s="1" t="e">
        <f t="shared" si="42"/>
        <v>#N/A</v>
      </c>
    </row>
    <row r="113" spans="2:32" hidden="1" x14ac:dyDescent="0.25">
      <c r="B113" s="5" t="str">
        <f t="shared" si="12"/>
        <v>X</v>
      </c>
      <c r="C113" s="1">
        <f t="shared" si="13"/>
        <v>3600</v>
      </c>
      <c r="D113" s="1">
        <f t="shared" si="14"/>
        <v>5000</v>
      </c>
      <c r="E113" s="1">
        <f t="shared" si="15"/>
        <v>8500</v>
      </c>
      <c r="F113" s="1">
        <f t="shared" si="16"/>
        <v>10500</v>
      </c>
      <c r="G113" s="1">
        <f t="shared" si="17"/>
        <v>12500</v>
      </c>
      <c r="H113" s="1" t="e">
        <f t="shared" si="18"/>
        <v>#N/A</v>
      </c>
      <c r="I113" s="1" t="e">
        <f t="shared" si="19"/>
        <v>#N/A</v>
      </c>
      <c r="J113" s="1" t="e">
        <f t="shared" si="20"/>
        <v>#N/A</v>
      </c>
      <c r="K113" s="1" t="e">
        <f t="shared" si="21"/>
        <v>#N/A</v>
      </c>
      <c r="L113" s="1" t="e">
        <f t="shared" si="22"/>
        <v>#N/A</v>
      </c>
      <c r="M113" s="1" t="e">
        <f t="shared" si="23"/>
        <v>#N/A</v>
      </c>
      <c r="N113" s="1" t="e">
        <f t="shared" si="24"/>
        <v>#N/A</v>
      </c>
      <c r="O113" s="1" t="e">
        <f t="shared" si="25"/>
        <v>#N/A</v>
      </c>
      <c r="P113" s="1" t="e">
        <f t="shared" si="26"/>
        <v>#N/A</v>
      </c>
      <c r="Q113" s="1" t="e">
        <f t="shared" si="27"/>
        <v>#N/A</v>
      </c>
      <c r="R113" s="1" t="e">
        <f t="shared" si="28"/>
        <v>#N/A</v>
      </c>
      <c r="S113" s="1" t="e">
        <f t="shared" si="29"/>
        <v>#N/A</v>
      </c>
      <c r="T113" s="1" t="e">
        <f t="shared" si="30"/>
        <v>#N/A</v>
      </c>
      <c r="U113" s="1" t="e">
        <f t="shared" si="31"/>
        <v>#N/A</v>
      </c>
      <c r="V113" s="1" t="e">
        <f t="shared" si="32"/>
        <v>#N/A</v>
      </c>
      <c r="W113" s="1" t="e">
        <f t="shared" si="33"/>
        <v>#N/A</v>
      </c>
      <c r="X113" s="1" t="e">
        <f t="shared" si="34"/>
        <v>#N/A</v>
      </c>
      <c r="Y113" s="1" t="e">
        <f t="shared" si="35"/>
        <v>#N/A</v>
      </c>
      <c r="Z113" s="1" t="e">
        <f t="shared" si="36"/>
        <v>#N/A</v>
      </c>
      <c r="AA113" s="1" t="e">
        <f t="shared" si="37"/>
        <v>#N/A</v>
      </c>
      <c r="AB113" s="1" t="e">
        <f t="shared" si="38"/>
        <v>#N/A</v>
      </c>
      <c r="AC113" s="1" t="e">
        <f t="shared" si="39"/>
        <v>#N/A</v>
      </c>
      <c r="AD113" s="1" t="e">
        <f t="shared" si="40"/>
        <v>#N/A</v>
      </c>
      <c r="AE113" s="1" t="e">
        <f t="shared" si="41"/>
        <v>#N/A</v>
      </c>
      <c r="AF113" s="1" t="e">
        <f t="shared" si="42"/>
        <v>#N/A</v>
      </c>
    </row>
    <row r="114" spans="2:32" hidden="1" x14ac:dyDescent="0.25">
      <c r="B114" s="5" t="str">
        <f t="shared" si="12"/>
        <v>X</v>
      </c>
      <c r="C114" s="1">
        <f t="shared" si="13"/>
        <v>3600</v>
      </c>
      <c r="D114" s="1">
        <f t="shared" si="14"/>
        <v>5000</v>
      </c>
      <c r="E114" s="1">
        <f t="shared" si="15"/>
        <v>8500</v>
      </c>
      <c r="F114" s="1">
        <f t="shared" si="16"/>
        <v>10500</v>
      </c>
      <c r="G114" s="1">
        <f t="shared" si="17"/>
        <v>12500</v>
      </c>
      <c r="H114" s="1" t="e">
        <f t="shared" si="18"/>
        <v>#N/A</v>
      </c>
      <c r="I114" s="1" t="e">
        <f t="shared" si="19"/>
        <v>#N/A</v>
      </c>
      <c r="J114" s="1" t="e">
        <f t="shared" si="20"/>
        <v>#N/A</v>
      </c>
      <c r="K114" s="1" t="e">
        <f t="shared" si="21"/>
        <v>#N/A</v>
      </c>
      <c r="L114" s="1" t="e">
        <f t="shared" si="22"/>
        <v>#N/A</v>
      </c>
      <c r="M114" s="1" t="e">
        <f t="shared" si="23"/>
        <v>#N/A</v>
      </c>
      <c r="N114" s="1" t="e">
        <f t="shared" si="24"/>
        <v>#N/A</v>
      </c>
      <c r="O114" s="1" t="e">
        <f t="shared" si="25"/>
        <v>#N/A</v>
      </c>
      <c r="P114" s="1" t="e">
        <f t="shared" si="26"/>
        <v>#N/A</v>
      </c>
      <c r="Q114" s="1" t="e">
        <f t="shared" si="27"/>
        <v>#N/A</v>
      </c>
      <c r="R114" s="1" t="e">
        <f t="shared" si="28"/>
        <v>#N/A</v>
      </c>
      <c r="S114" s="1" t="e">
        <f t="shared" si="29"/>
        <v>#N/A</v>
      </c>
      <c r="T114" s="1" t="e">
        <f t="shared" si="30"/>
        <v>#N/A</v>
      </c>
      <c r="U114" s="1" t="e">
        <f t="shared" si="31"/>
        <v>#N/A</v>
      </c>
      <c r="V114" s="1" t="e">
        <f t="shared" si="32"/>
        <v>#N/A</v>
      </c>
      <c r="W114" s="1" t="e">
        <f t="shared" si="33"/>
        <v>#N/A</v>
      </c>
      <c r="X114" s="1" t="e">
        <f t="shared" si="34"/>
        <v>#N/A</v>
      </c>
      <c r="Y114" s="1" t="e">
        <f t="shared" si="35"/>
        <v>#N/A</v>
      </c>
      <c r="Z114" s="1" t="e">
        <f t="shared" si="36"/>
        <v>#N/A</v>
      </c>
      <c r="AA114" s="1" t="e">
        <f t="shared" si="37"/>
        <v>#N/A</v>
      </c>
      <c r="AB114" s="1" t="e">
        <f t="shared" si="38"/>
        <v>#N/A</v>
      </c>
      <c r="AC114" s="1" t="e">
        <f t="shared" si="39"/>
        <v>#N/A</v>
      </c>
      <c r="AD114" s="1" t="e">
        <f t="shared" si="40"/>
        <v>#N/A</v>
      </c>
      <c r="AE114" s="1" t="e">
        <f t="shared" si="41"/>
        <v>#N/A</v>
      </c>
      <c r="AF114" s="1" t="e">
        <f t="shared" si="42"/>
        <v>#N/A</v>
      </c>
    </row>
    <row r="115" spans="2:32" hidden="1" x14ac:dyDescent="0.25">
      <c r="B115" s="5" t="str">
        <f t="shared" si="12"/>
        <v>X</v>
      </c>
      <c r="C115" s="1">
        <f t="shared" si="13"/>
        <v>3600</v>
      </c>
      <c r="D115" s="1">
        <f t="shared" si="14"/>
        <v>5000</v>
      </c>
      <c r="E115" s="1">
        <f t="shared" si="15"/>
        <v>8500</v>
      </c>
      <c r="F115" s="1">
        <f t="shared" si="16"/>
        <v>10500</v>
      </c>
      <c r="G115" s="1">
        <f t="shared" si="17"/>
        <v>12500</v>
      </c>
      <c r="H115" s="1" t="e">
        <f t="shared" si="18"/>
        <v>#N/A</v>
      </c>
      <c r="I115" s="1" t="e">
        <f t="shared" si="19"/>
        <v>#N/A</v>
      </c>
      <c r="J115" s="1" t="e">
        <f t="shared" si="20"/>
        <v>#N/A</v>
      </c>
      <c r="K115" s="1" t="e">
        <f t="shared" si="21"/>
        <v>#N/A</v>
      </c>
      <c r="L115" s="1" t="e">
        <f t="shared" si="22"/>
        <v>#N/A</v>
      </c>
      <c r="M115" s="1" t="e">
        <f t="shared" si="23"/>
        <v>#N/A</v>
      </c>
      <c r="N115" s="1" t="e">
        <f t="shared" si="24"/>
        <v>#N/A</v>
      </c>
      <c r="O115" s="1" t="e">
        <f t="shared" si="25"/>
        <v>#N/A</v>
      </c>
      <c r="P115" s="1" t="e">
        <f t="shared" si="26"/>
        <v>#N/A</v>
      </c>
      <c r="Q115" s="1" t="e">
        <f t="shared" si="27"/>
        <v>#N/A</v>
      </c>
      <c r="R115" s="1" t="e">
        <f t="shared" si="28"/>
        <v>#N/A</v>
      </c>
      <c r="S115" s="1" t="e">
        <f t="shared" si="29"/>
        <v>#N/A</v>
      </c>
      <c r="T115" s="1" t="e">
        <f t="shared" si="30"/>
        <v>#N/A</v>
      </c>
      <c r="U115" s="1" t="e">
        <f t="shared" si="31"/>
        <v>#N/A</v>
      </c>
      <c r="V115" s="1" t="e">
        <f t="shared" si="32"/>
        <v>#N/A</v>
      </c>
      <c r="W115" s="1" t="e">
        <f t="shared" si="33"/>
        <v>#N/A</v>
      </c>
      <c r="X115" s="1" t="e">
        <f t="shared" si="34"/>
        <v>#N/A</v>
      </c>
      <c r="Y115" s="1" t="e">
        <f t="shared" si="35"/>
        <v>#N/A</v>
      </c>
      <c r="Z115" s="1" t="e">
        <f t="shared" si="36"/>
        <v>#N/A</v>
      </c>
      <c r="AA115" s="1" t="e">
        <f t="shared" si="37"/>
        <v>#N/A</v>
      </c>
      <c r="AB115" s="1" t="e">
        <f t="shared" si="38"/>
        <v>#N/A</v>
      </c>
      <c r="AC115" s="1" t="e">
        <f t="shared" si="39"/>
        <v>#N/A</v>
      </c>
      <c r="AD115" s="1" t="e">
        <f t="shared" si="40"/>
        <v>#N/A</v>
      </c>
      <c r="AE115" s="1" t="e">
        <f t="shared" si="41"/>
        <v>#N/A</v>
      </c>
      <c r="AF115" s="1" t="e">
        <f t="shared" si="42"/>
        <v>#N/A</v>
      </c>
    </row>
    <row r="116" spans="2:32" hidden="1" x14ac:dyDescent="0.25">
      <c r="B116" s="5" t="str">
        <f t="shared" si="12"/>
        <v>X</v>
      </c>
      <c r="C116" s="1">
        <f t="shared" si="13"/>
        <v>3600</v>
      </c>
      <c r="D116" s="1">
        <f t="shared" si="14"/>
        <v>5000</v>
      </c>
      <c r="E116" s="1">
        <f t="shared" si="15"/>
        <v>8500</v>
      </c>
      <c r="F116" s="1">
        <f t="shared" si="16"/>
        <v>10500</v>
      </c>
      <c r="G116" s="1">
        <f t="shared" si="17"/>
        <v>12500</v>
      </c>
      <c r="H116" s="1" t="e">
        <f t="shared" si="18"/>
        <v>#N/A</v>
      </c>
      <c r="I116" s="1" t="e">
        <f t="shared" si="19"/>
        <v>#N/A</v>
      </c>
      <c r="J116" s="1" t="e">
        <f t="shared" si="20"/>
        <v>#N/A</v>
      </c>
      <c r="K116" s="1" t="e">
        <f t="shared" si="21"/>
        <v>#N/A</v>
      </c>
      <c r="L116" s="1" t="e">
        <f t="shared" si="22"/>
        <v>#N/A</v>
      </c>
      <c r="M116" s="1" t="e">
        <f t="shared" si="23"/>
        <v>#N/A</v>
      </c>
      <c r="N116" s="1" t="e">
        <f t="shared" si="24"/>
        <v>#N/A</v>
      </c>
      <c r="O116" s="1" t="e">
        <f t="shared" si="25"/>
        <v>#N/A</v>
      </c>
      <c r="P116" s="1" t="e">
        <f t="shared" si="26"/>
        <v>#N/A</v>
      </c>
      <c r="Q116" s="1" t="e">
        <f t="shared" si="27"/>
        <v>#N/A</v>
      </c>
      <c r="R116" s="1" t="e">
        <f t="shared" si="28"/>
        <v>#N/A</v>
      </c>
      <c r="S116" s="1" t="e">
        <f t="shared" si="29"/>
        <v>#N/A</v>
      </c>
      <c r="T116" s="1" t="e">
        <f t="shared" si="30"/>
        <v>#N/A</v>
      </c>
      <c r="U116" s="1" t="e">
        <f t="shared" si="31"/>
        <v>#N/A</v>
      </c>
      <c r="V116" s="1" t="e">
        <f t="shared" si="32"/>
        <v>#N/A</v>
      </c>
      <c r="W116" s="1" t="e">
        <f t="shared" si="33"/>
        <v>#N/A</v>
      </c>
      <c r="X116" s="1" t="e">
        <f t="shared" si="34"/>
        <v>#N/A</v>
      </c>
      <c r="Y116" s="1" t="e">
        <f t="shared" si="35"/>
        <v>#N/A</v>
      </c>
      <c r="Z116" s="1" t="e">
        <f t="shared" si="36"/>
        <v>#N/A</v>
      </c>
      <c r="AA116" s="1" t="e">
        <f t="shared" si="37"/>
        <v>#N/A</v>
      </c>
      <c r="AB116" s="1" t="e">
        <f t="shared" si="38"/>
        <v>#N/A</v>
      </c>
      <c r="AC116" s="1" t="e">
        <f t="shared" si="39"/>
        <v>#N/A</v>
      </c>
      <c r="AD116" s="1" t="e">
        <f t="shared" si="40"/>
        <v>#N/A</v>
      </c>
      <c r="AE116" s="1" t="e">
        <f t="shared" si="41"/>
        <v>#N/A</v>
      </c>
      <c r="AF116" s="1" t="e">
        <f t="shared" si="42"/>
        <v>#N/A</v>
      </c>
    </row>
    <row r="117" spans="2:32" hidden="1" x14ac:dyDescent="0.25">
      <c r="B117" s="5" t="str">
        <f t="shared" si="12"/>
        <v>X</v>
      </c>
      <c r="C117" s="1">
        <f t="shared" si="13"/>
        <v>3600</v>
      </c>
      <c r="D117" s="1">
        <f t="shared" si="14"/>
        <v>5000</v>
      </c>
      <c r="E117" s="1">
        <f t="shared" si="15"/>
        <v>8500</v>
      </c>
      <c r="F117" s="1">
        <f t="shared" si="16"/>
        <v>10500</v>
      </c>
      <c r="G117" s="1">
        <f t="shared" si="17"/>
        <v>12500</v>
      </c>
      <c r="H117" s="1" t="e">
        <f t="shared" si="18"/>
        <v>#N/A</v>
      </c>
      <c r="I117" s="1" t="e">
        <f t="shared" si="19"/>
        <v>#N/A</v>
      </c>
      <c r="J117" s="1" t="e">
        <f t="shared" si="20"/>
        <v>#N/A</v>
      </c>
      <c r="K117" s="1" t="e">
        <f t="shared" si="21"/>
        <v>#N/A</v>
      </c>
      <c r="L117" s="1" t="e">
        <f t="shared" si="22"/>
        <v>#N/A</v>
      </c>
      <c r="M117" s="1" t="e">
        <f t="shared" si="23"/>
        <v>#N/A</v>
      </c>
      <c r="N117" s="1" t="e">
        <f t="shared" si="24"/>
        <v>#N/A</v>
      </c>
      <c r="O117" s="1" t="e">
        <f t="shared" si="25"/>
        <v>#N/A</v>
      </c>
      <c r="P117" s="1" t="e">
        <f t="shared" si="26"/>
        <v>#N/A</v>
      </c>
      <c r="Q117" s="1" t="e">
        <f t="shared" si="27"/>
        <v>#N/A</v>
      </c>
      <c r="R117" s="1" t="e">
        <f t="shared" si="28"/>
        <v>#N/A</v>
      </c>
      <c r="S117" s="1" t="e">
        <f t="shared" si="29"/>
        <v>#N/A</v>
      </c>
      <c r="T117" s="1" t="e">
        <f t="shared" si="30"/>
        <v>#N/A</v>
      </c>
      <c r="U117" s="1" t="e">
        <f t="shared" si="31"/>
        <v>#N/A</v>
      </c>
      <c r="V117" s="1" t="e">
        <f t="shared" si="32"/>
        <v>#N/A</v>
      </c>
      <c r="W117" s="1" t="e">
        <f t="shared" si="33"/>
        <v>#N/A</v>
      </c>
      <c r="X117" s="1" t="e">
        <f t="shared" si="34"/>
        <v>#N/A</v>
      </c>
      <c r="Y117" s="1" t="e">
        <f t="shared" si="35"/>
        <v>#N/A</v>
      </c>
      <c r="Z117" s="1" t="e">
        <f t="shared" si="36"/>
        <v>#N/A</v>
      </c>
      <c r="AA117" s="1" t="e">
        <f t="shared" si="37"/>
        <v>#N/A</v>
      </c>
      <c r="AB117" s="1" t="e">
        <f t="shared" si="38"/>
        <v>#N/A</v>
      </c>
      <c r="AC117" s="1" t="e">
        <f t="shared" si="39"/>
        <v>#N/A</v>
      </c>
      <c r="AD117" s="1" t="e">
        <f t="shared" si="40"/>
        <v>#N/A</v>
      </c>
      <c r="AE117" s="1" t="e">
        <f t="shared" si="41"/>
        <v>#N/A</v>
      </c>
      <c r="AF117" s="1" t="e">
        <f t="shared" si="42"/>
        <v>#N/A</v>
      </c>
    </row>
    <row r="118" spans="2:32" hidden="1" x14ac:dyDescent="0.25">
      <c r="B118" s="5" t="str">
        <f t="shared" si="12"/>
        <v>X</v>
      </c>
      <c r="C118" s="1">
        <f t="shared" si="13"/>
        <v>3600</v>
      </c>
      <c r="D118" s="1">
        <f t="shared" si="14"/>
        <v>5000</v>
      </c>
      <c r="E118" s="1">
        <f t="shared" si="15"/>
        <v>8500</v>
      </c>
      <c r="F118" s="1">
        <f t="shared" si="16"/>
        <v>10500</v>
      </c>
      <c r="G118" s="1">
        <f t="shared" si="17"/>
        <v>12500</v>
      </c>
      <c r="H118" s="1" t="e">
        <f t="shared" si="18"/>
        <v>#N/A</v>
      </c>
      <c r="I118" s="1" t="e">
        <f t="shared" si="19"/>
        <v>#N/A</v>
      </c>
      <c r="J118" s="1" t="e">
        <f t="shared" si="20"/>
        <v>#N/A</v>
      </c>
      <c r="K118" s="1" t="e">
        <f t="shared" si="21"/>
        <v>#N/A</v>
      </c>
      <c r="L118" s="1" t="e">
        <f t="shared" si="22"/>
        <v>#N/A</v>
      </c>
      <c r="M118" s="1" t="e">
        <f t="shared" si="23"/>
        <v>#N/A</v>
      </c>
      <c r="N118" s="1" t="e">
        <f t="shared" si="24"/>
        <v>#N/A</v>
      </c>
      <c r="O118" s="1" t="e">
        <f t="shared" si="25"/>
        <v>#N/A</v>
      </c>
      <c r="P118" s="1" t="e">
        <f t="shared" si="26"/>
        <v>#N/A</v>
      </c>
      <c r="Q118" s="1" t="e">
        <f t="shared" si="27"/>
        <v>#N/A</v>
      </c>
      <c r="R118" s="1" t="e">
        <f t="shared" si="28"/>
        <v>#N/A</v>
      </c>
      <c r="S118" s="1" t="e">
        <f t="shared" si="29"/>
        <v>#N/A</v>
      </c>
      <c r="T118" s="1" t="e">
        <f t="shared" si="30"/>
        <v>#N/A</v>
      </c>
      <c r="U118" s="1" t="e">
        <f t="shared" si="31"/>
        <v>#N/A</v>
      </c>
      <c r="V118" s="1" t="e">
        <f t="shared" si="32"/>
        <v>#N/A</v>
      </c>
      <c r="W118" s="1" t="e">
        <f t="shared" si="33"/>
        <v>#N/A</v>
      </c>
      <c r="X118" s="1" t="e">
        <f t="shared" si="34"/>
        <v>#N/A</v>
      </c>
      <c r="Y118" s="1" t="e">
        <f t="shared" si="35"/>
        <v>#N/A</v>
      </c>
      <c r="Z118" s="1" t="e">
        <f t="shared" si="36"/>
        <v>#N/A</v>
      </c>
      <c r="AA118" s="1" t="e">
        <f t="shared" si="37"/>
        <v>#N/A</v>
      </c>
      <c r="AB118" s="1" t="e">
        <f t="shared" si="38"/>
        <v>#N/A</v>
      </c>
      <c r="AC118" s="1" t="e">
        <f t="shared" si="39"/>
        <v>#N/A</v>
      </c>
      <c r="AD118" s="1" t="e">
        <f t="shared" si="40"/>
        <v>#N/A</v>
      </c>
      <c r="AE118" s="1" t="e">
        <f t="shared" si="41"/>
        <v>#N/A</v>
      </c>
      <c r="AF118" s="1" t="e">
        <f t="shared" si="42"/>
        <v>#N/A</v>
      </c>
    </row>
    <row r="119" spans="2:32" hidden="1" x14ac:dyDescent="0.25">
      <c r="B119" s="5" t="str">
        <f t="shared" si="12"/>
        <v>X</v>
      </c>
      <c r="C119" s="1">
        <f t="shared" si="13"/>
        <v>3600</v>
      </c>
      <c r="D119" s="1">
        <f t="shared" si="14"/>
        <v>5000</v>
      </c>
      <c r="E119" s="1">
        <f t="shared" si="15"/>
        <v>8500</v>
      </c>
      <c r="F119" s="1">
        <f t="shared" si="16"/>
        <v>10500</v>
      </c>
      <c r="G119" s="1">
        <f t="shared" si="17"/>
        <v>12500</v>
      </c>
      <c r="H119" s="1" t="e">
        <f t="shared" si="18"/>
        <v>#N/A</v>
      </c>
      <c r="I119" s="1" t="e">
        <f t="shared" si="19"/>
        <v>#N/A</v>
      </c>
      <c r="J119" s="1" t="e">
        <f t="shared" si="20"/>
        <v>#N/A</v>
      </c>
      <c r="K119" s="1" t="e">
        <f t="shared" si="21"/>
        <v>#N/A</v>
      </c>
      <c r="L119" s="1" t="e">
        <f t="shared" si="22"/>
        <v>#N/A</v>
      </c>
      <c r="M119" s="1" t="e">
        <f t="shared" si="23"/>
        <v>#N/A</v>
      </c>
      <c r="N119" s="1" t="e">
        <f t="shared" si="24"/>
        <v>#N/A</v>
      </c>
      <c r="O119" s="1" t="e">
        <f t="shared" si="25"/>
        <v>#N/A</v>
      </c>
      <c r="P119" s="1" t="e">
        <f t="shared" si="26"/>
        <v>#N/A</v>
      </c>
      <c r="Q119" s="1" t="e">
        <f t="shared" si="27"/>
        <v>#N/A</v>
      </c>
      <c r="R119" s="1" t="e">
        <f t="shared" si="28"/>
        <v>#N/A</v>
      </c>
      <c r="S119" s="1" t="e">
        <f t="shared" si="29"/>
        <v>#N/A</v>
      </c>
      <c r="T119" s="1" t="e">
        <f t="shared" si="30"/>
        <v>#N/A</v>
      </c>
      <c r="U119" s="1" t="e">
        <f t="shared" si="31"/>
        <v>#N/A</v>
      </c>
      <c r="V119" s="1" t="e">
        <f t="shared" si="32"/>
        <v>#N/A</v>
      </c>
      <c r="W119" s="1" t="e">
        <f t="shared" si="33"/>
        <v>#N/A</v>
      </c>
      <c r="X119" s="1" t="e">
        <f t="shared" si="34"/>
        <v>#N/A</v>
      </c>
      <c r="Y119" s="1" t="e">
        <f t="shared" si="35"/>
        <v>#N/A</v>
      </c>
      <c r="Z119" s="1" t="e">
        <f t="shared" si="36"/>
        <v>#N/A</v>
      </c>
      <c r="AA119" s="1" t="e">
        <f t="shared" si="37"/>
        <v>#N/A</v>
      </c>
      <c r="AB119" s="1" t="e">
        <f t="shared" si="38"/>
        <v>#N/A</v>
      </c>
      <c r="AC119" s="1" t="e">
        <f t="shared" si="39"/>
        <v>#N/A</v>
      </c>
      <c r="AD119" s="1" t="e">
        <f t="shared" si="40"/>
        <v>#N/A</v>
      </c>
      <c r="AE119" s="1" t="e">
        <f t="shared" si="41"/>
        <v>#N/A</v>
      </c>
      <c r="AF119" s="1" t="e">
        <f t="shared" si="42"/>
        <v>#N/A</v>
      </c>
    </row>
    <row r="120" spans="2:32" hidden="1" x14ac:dyDescent="0.25">
      <c r="B120" s="5" t="str">
        <f t="shared" si="12"/>
        <v>X</v>
      </c>
      <c r="C120" s="1">
        <f t="shared" si="13"/>
        <v>3600</v>
      </c>
      <c r="D120" s="1">
        <f t="shared" si="14"/>
        <v>5000</v>
      </c>
      <c r="E120" s="1">
        <f t="shared" si="15"/>
        <v>8500</v>
      </c>
      <c r="F120" s="1">
        <f t="shared" si="16"/>
        <v>10500</v>
      </c>
      <c r="G120" s="1">
        <f t="shared" si="17"/>
        <v>12500</v>
      </c>
      <c r="H120" s="1" t="e">
        <f t="shared" si="18"/>
        <v>#N/A</v>
      </c>
      <c r="I120" s="1" t="e">
        <f t="shared" si="19"/>
        <v>#N/A</v>
      </c>
      <c r="J120" s="1" t="e">
        <f t="shared" si="20"/>
        <v>#N/A</v>
      </c>
      <c r="K120" s="1" t="e">
        <f t="shared" si="21"/>
        <v>#N/A</v>
      </c>
      <c r="L120" s="1" t="e">
        <f t="shared" si="22"/>
        <v>#N/A</v>
      </c>
      <c r="M120" s="1" t="e">
        <f t="shared" si="23"/>
        <v>#N/A</v>
      </c>
      <c r="N120" s="1" t="e">
        <f t="shared" si="24"/>
        <v>#N/A</v>
      </c>
      <c r="O120" s="1" t="e">
        <f t="shared" si="25"/>
        <v>#N/A</v>
      </c>
      <c r="P120" s="1" t="e">
        <f t="shared" si="26"/>
        <v>#N/A</v>
      </c>
      <c r="Q120" s="1" t="e">
        <f t="shared" si="27"/>
        <v>#N/A</v>
      </c>
      <c r="R120" s="1" t="e">
        <f t="shared" si="28"/>
        <v>#N/A</v>
      </c>
      <c r="S120" s="1" t="e">
        <f t="shared" si="29"/>
        <v>#N/A</v>
      </c>
      <c r="T120" s="1" t="e">
        <f t="shared" si="30"/>
        <v>#N/A</v>
      </c>
      <c r="U120" s="1" t="e">
        <f t="shared" si="31"/>
        <v>#N/A</v>
      </c>
      <c r="V120" s="1" t="e">
        <f t="shared" si="32"/>
        <v>#N/A</v>
      </c>
      <c r="W120" s="1" t="e">
        <f t="shared" si="33"/>
        <v>#N/A</v>
      </c>
      <c r="X120" s="1" t="e">
        <f t="shared" si="34"/>
        <v>#N/A</v>
      </c>
      <c r="Y120" s="1" t="e">
        <f t="shared" si="35"/>
        <v>#N/A</v>
      </c>
      <c r="Z120" s="1" t="e">
        <f t="shared" si="36"/>
        <v>#N/A</v>
      </c>
      <c r="AA120" s="1" t="e">
        <f t="shared" si="37"/>
        <v>#N/A</v>
      </c>
      <c r="AB120" s="1" t="e">
        <f t="shared" si="38"/>
        <v>#N/A</v>
      </c>
      <c r="AC120" s="1" t="e">
        <f t="shared" si="39"/>
        <v>#N/A</v>
      </c>
      <c r="AD120" s="1" t="e">
        <f t="shared" si="40"/>
        <v>#N/A</v>
      </c>
      <c r="AE120" s="1" t="e">
        <f t="shared" si="41"/>
        <v>#N/A</v>
      </c>
      <c r="AF120" s="1" t="e">
        <f t="shared" si="42"/>
        <v>#N/A</v>
      </c>
    </row>
    <row r="121" spans="2:32" hidden="1" x14ac:dyDescent="0.25">
      <c r="B121" s="5" t="str">
        <f t="shared" si="12"/>
        <v>X</v>
      </c>
      <c r="C121" s="1">
        <f t="shared" si="13"/>
        <v>3600</v>
      </c>
      <c r="D121" s="1">
        <f t="shared" si="14"/>
        <v>5000</v>
      </c>
      <c r="E121" s="1">
        <f t="shared" si="15"/>
        <v>8500</v>
      </c>
      <c r="F121" s="1">
        <f t="shared" si="16"/>
        <v>10500</v>
      </c>
      <c r="G121" s="1">
        <f t="shared" si="17"/>
        <v>12500</v>
      </c>
      <c r="H121" s="1" t="e">
        <f t="shared" si="18"/>
        <v>#N/A</v>
      </c>
      <c r="I121" s="1" t="e">
        <f t="shared" si="19"/>
        <v>#N/A</v>
      </c>
      <c r="J121" s="1" t="e">
        <f t="shared" si="20"/>
        <v>#N/A</v>
      </c>
      <c r="K121" s="1" t="e">
        <f t="shared" si="21"/>
        <v>#N/A</v>
      </c>
      <c r="L121" s="1" t="e">
        <f t="shared" si="22"/>
        <v>#N/A</v>
      </c>
      <c r="M121" s="1" t="e">
        <f t="shared" si="23"/>
        <v>#N/A</v>
      </c>
      <c r="N121" s="1" t="e">
        <f t="shared" si="24"/>
        <v>#N/A</v>
      </c>
      <c r="O121" s="1" t="e">
        <f t="shared" si="25"/>
        <v>#N/A</v>
      </c>
      <c r="P121" s="1" t="e">
        <f t="shared" si="26"/>
        <v>#N/A</v>
      </c>
      <c r="Q121" s="1" t="e">
        <f t="shared" si="27"/>
        <v>#N/A</v>
      </c>
      <c r="R121" s="1" t="e">
        <f t="shared" si="28"/>
        <v>#N/A</v>
      </c>
      <c r="S121" s="1" t="e">
        <f t="shared" si="29"/>
        <v>#N/A</v>
      </c>
      <c r="T121" s="1" t="e">
        <f t="shared" si="30"/>
        <v>#N/A</v>
      </c>
      <c r="U121" s="1" t="e">
        <f t="shared" si="31"/>
        <v>#N/A</v>
      </c>
      <c r="V121" s="1" t="e">
        <f t="shared" si="32"/>
        <v>#N/A</v>
      </c>
      <c r="W121" s="1" t="e">
        <f t="shared" si="33"/>
        <v>#N/A</v>
      </c>
      <c r="X121" s="1" t="e">
        <f t="shared" si="34"/>
        <v>#N/A</v>
      </c>
      <c r="Y121" s="1" t="e">
        <f t="shared" si="35"/>
        <v>#N/A</v>
      </c>
      <c r="Z121" s="1" t="e">
        <f t="shared" si="36"/>
        <v>#N/A</v>
      </c>
      <c r="AA121" s="1" t="e">
        <f t="shared" si="37"/>
        <v>#N/A</v>
      </c>
      <c r="AB121" s="1" t="e">
        <f t="shared" si="38"/>
        <v>#N/A</v>
      </c>
      <c r="AC121" s="1" t="e">
        <f t="shared" si="39"/>
        <v>#N/A</v>
      </c>
      <c r="AD121" s="1" t="e">
        <f t="shared" si="40"/>
        <v>#N/A</v>
      </c>
      <c r="AE121" s="1" t="e">
        <f t="shared" si="41"/>
        <v>#N/A</v>
      </c>
      <c r="AF121" s="1" t="e">
        <f t="shared" si="42"/>
        <v>#N/A</v>
      </c>
    </row>
    <row r="122" spans="2:32" hidden="1" x14ac:dyDescent="0.25">
      <c r="B122" s="5" t="str">
        <f t="shared" si="12"/>
        <v>X</v>
      </c>
      <c r="C122" s="1">
        <f t="shared" si="13"/>
        <v>3600</v>
      </c>
      <c r="D122" s="1">
        <f t="shared" si="14"/>
        <v>5000</v>
      </c>
      <c r="E122" s="1">
        <f t="shared" si="15"/>
        <v>8500</v>
      </c>
      <c r="F122" s="1">
        <f t="shared" si="16"/>
        <v>10500</v>
      </c>
      <c r="G122" s="1">
        <f t="shared" si="17"/>
        <v>12500</v>
      </c>
      <c r="H122" s="1" t="e">
        <f t="shared" si="18"/>
        <v>#N/A</v>
      </c>
      <c r="I122" s="1" t="e">
        <f t="shared" si="19"/>
        <v>#N/A</v>
      </c>
      <c r="J122" s="1" t="e">
        <f t="shared" si="20"/>
        <v>#N/A</v>
      </c>
      <c r="K122" s="1" t="e">
        <f t="shared" si="21"/>
        <v>#N/A</v>
      </c>
      <c r="L122" s="1" t="e">
        <f t="shared" si="22"/>
        <v>#N/A</v>
      </c>
      <c r="M122" s="1" t="e">
        <f t="shared" si="23"/>
        <v>#N/A</v>
      </c>
      <c r="N122" s="1" t="e">
        <f t="shared" si="24"/>
        <v>#N/A</v>
      </c>
      <c r="O122" s="1" t="e">
        <f t="shared" si="25"/>
        <v>#N/A</v>
      </c>
      <c r="P122" s="1" t="e">
        <f t="shared" si="26"/>
        <v>#N/A</v>
      </c>
      <c r="Q122" s="1" t="e">
        <f t="shared" si="27"/>
        <v>#N/A</v>
      </c>
      <c r="R122" s="1" t="e">
        <f t="shared" si="28"/>
        <v>#N/A</v>
      </c>
      <c r="S122" s="1" t="e">
        <f t="shared" si="29"/>
        <v>#N/A</v>
      </c>
      <c r="T122" s="1" t="e">
        <f t="shared" si="30"/>
        <v>#N/A</v>
      </c>
      <c r="U122" s="1" t="e">
        <f t="shared" si="31"/>
        <v>#N/A</v>
      </c>
      <c r="V122" s="1" t="e">
        <f t="shared" si="32"/>
        <v>#N/A</v>
      </c>
      <c r="W122" s="1" t="e">
        <f t="shared" si="33"/>
        <v>#N/A</v>
      </c>
      <c r="X122" s="1" t="e">
        <f t="shared" si="34"/>
        <v>#N/A</v>
      </c>
      <c r="Y122" s="1" t="e">
        <f t="shared" si="35"/>
        <v>#N/A</v>
      </c>
      <c r="Z122" s="1" t="e">
        <f t="shared" si="36"/>
        <v>#N/A</v>
      </c>
      <c r="AA122" s="1" t="e">
        <f t="shared" si="37"/>
        <v>#N/A</v>
      </c>
      <c r="AB122" s="1" t="e">
        <f t="shared" si="38"/>
        <v>#N/A</v>
      </c>
      <c r="AC122" s="1" t="e">
        <f t="shared" si="39"/>
        <v>#N/A</v>
      </c>
      <c r="AD122" s="1" t="e">
        <f t="shared" si="40"/>
        <v>#N/A</v>
      </c>
      <c r="AE122" s="1" t="e">
        <f t="shared" si="41"/>
        <v>#N/A</v>
      </c>
      <c r="AF122" s="1" t="e">
        <f t="shared" si="42"/>
        <v>#N/A</v>
      </c>
    </row>
    <row r="123" spans="2:32" hidden="1" x14ac:dyDescent="0.25">
      <c r="B123" s="5" t="str">
        <f t="shared" si="12"/>
        <v>X</v>
      </c>
      <c r="C123" s="1">
        <f t="shared" si="13"/>
        <v>3600</v>
      </c>
      <c r="D123" s="1">
        <f t="shared" si="14"/>
        <v>5000</v>
      </c>
      <c r="E123" s="1">
        <f t="shared" si="15"/>
        <v>8500</v>
      </c>
      <c r="F123" s="1">
        <f t="shared" si="16"/>
        <v>10500</v>
      </c>
      <c r="G123" s="1">
        <f t="shared" si="17"/>
        <v>12500</v>
      </c>
      <c r="H123" s="1" t="e">
        <f t="shared" si="18"/>
        <v>#N/A</v>
      </c>
      <c r="I123" s="1" t="e">
        <f t="shared" si="19"/>
        <v>#N/A</v>
      </c>
      <c r="J123" s="1" t="e">
        <f t="shared" si="20"/>
        <v>#N/A</v>
      </c>
      <c r="K123" s="1" t="e">
        <f t="shared" si="21"/>
        <v>#N/A</v>
      </c>
      <c r="L123" s="1" t="e">
        <f t="shared" si="22"/>
        <v>#N/A</v>
      </c>
      <c r="M123" s="1" t="e">
        <f t="shared" si="23"/>
        <v>#N/A</v>
      </c>
      <c r="N123" s="1" t="e">
        <f t="shared" si="24"/>
        <v>#N/A</v>
      </c>
      <c r="O123" s="1" t="e">
        <f t="shared" si="25"/>
        <v>#N/A</v>
      </c>
      <c r="P123" s="1" t="e">
        <f t="shared" si="26"/>
        <v>#N/A</v>
      </c>
      <c r="Q123" s="1" t="e">
        <f t="shared" si="27"/>
        <v>#N/A</v>
      </c>
      <c r="R123" s="1" t="e">
        <f t="shared" si="28"/>
        <v>#N/A</v>
      </c>
      <c r="S123" s="1" t="e">
        <f t="shared" si="29"/>
        <v>#N/A</v>
      </c>
      <c r="T123" s="1" t="e">
        <f t="shared" si="30"/>
        <v>#N/A</v>
      </c>
      <c r="U123" s="1" t="e">
        <f t="shared" si="31"/>
        <v>#N/A</v>
      </c>
      <c r="V123" s="1" t="e">
        <f t="shared" si="32"/>
        <v>#N/A</v>
      </c>
      <c r="W123" s="1" t="e">
        <f t="shared" si="33"/>
        <v>#N/A</v>
      </c>
      <c r="X123" s="1" t="e">
        <f t="shared" si="34"/>
        <v>#N/A</v>
      </c>
      <c r="Y123" s="1" t="e">
        <f t="shared" si="35"/>
        <v>#N/A</v>
      </c>
      <c r="Z123" s="1" t="e">
        <f t="shared" si="36"/>
        <v>#N/A</v>
      </c>
      <c r="AA123" s="1" t="e">
        <f t="shared" si="37"/>
        <v>#N/A</v>
      </c>
      <c r="AB123" s="1" t="e">
        <f t="shared" si="38"/>
        <v>#N/A</v>
      </c>
      <c r="AC123" s="1" t="e">
        <f t="shared" si="39"/>
        <v>#N/A</v>
      </c>
      <c r="AD123" s="1" t="e">
        <f t="shared" si="40"/>
        <v>#N/A</v>
      </c>
      <c r="AE123" s="1" t="e">
        <f t="shared" si="41"/>
        <v>#N/A</v>
      </c>
      <c r="AF123" s="1" t="e">
        <f t="shared" si="42"/>
        <v>#N/A</v>
      </c>
    </row>
    <row r="124" spans="2:32" hidden="1" x14ac:dyDescent="0.25">
      <c r="B124" s="5" t="str">
        <f t="shared" si="12"/>
        <v>X</v>
      </c>
      <c r="C124" s="1">
        <f t="shared" si="13"/>
        <v>3600</v>
      </c>
      <c r="D124" s="1">
        <f t="shared" si="14"/>
        <v>5000</v>
      </c>
      <c r="E124" s="1">
        <f t="shared" si="15"/>
        <v>8500</v>
      </c>
      <c r="F124" s="1">
        <f t="shared" si="16"/>
        <v>10500</v>
      </c>
      <c r="G124" s="1">
        <f t="shared" si="17"/>
        <v>12500</v>
      </c>
      <c r="H124" s="1" t="e">
        <f t="shared" si="18"/>
        <v>#N/A</v>
      </c>
      <c r="I124" s="1" t="e">
        <f t="shared" si="19"/>
        <v>#N/A</v>
      </c>
      <c r="J124" s="1" t="e">
        <f t="shared" si="20"/>
        <v>#N/A</v>
      </c>
      <c r="K124" s="1" t="e">
        <f t="shared" si="21"/>
        <v>#N/A</v>
      </c>
      <c r="L124" s="1" t="e">
        <f t="shared" si="22"/>
        <v>#N/A</v>
      </c>
      <c r="M124" s="1" t="e">
        <f t="shared" si="23"/>
        <v>#N/A</v>
      </c>
      <c r="N124" s="1" t="e">
        <f t="shared" si="24"/>
        <v>#N/A</v>
      </c>
      <c r="O124" s="1" t="e">
        <f t="shared" si="25"/>
        <v>#N/A</v>
      </c>
      <c r="P124" s="1" t="e">
        <f t="shared" si="26"/>
        <v>#N/A</v>
      </c>
      <c r="Q124" s="1" t="e">
        <f t="shared" si="27"/>
        <v>#N/A</v>
      </c>
      <c r="R124" s="1" t="e">
        <f t="shared" si="28"/>
        <v>#N/A</v>
      </c>
      <c r="S124" s="1" t="e">
        <f t="shared" si="29"/>
        <v>#N/A</v>
      </c>
      <c r="T124" s="1" t="e">
        <f t="shared" si="30"/>
        <v>#N/A</v>
      </c>
      <c r="U124" s="1" t="e">
        <f t="shared" si="31"/>
        <v>#N/A</v>
      </c>
      <c r="V124" s="1" t="e">
        <f t="shared" si="32"/>
        <v>#N/A</v>
      </c>
      <c r="W124" s="1" t="e">
        <f t="shared" si="33"/>
        <v>#N/A</v>
      </c>
      <c r="X124" s="1" t="e">
        <f t="shared" si="34"/>
        <v>#N/A</v>
      </c>
      <c r="Y124" s="1" t="e">
        <f t="shared" si="35"/>
        <v>#N/A</v>
      </c>
      <c r="Z124" s="1" t="e">
        <f t="shared" si="36"/>
        <v>#N/A</v>
      </c>
      <c r="AA124" s="1" t="e">
        <f t="shared" si="37"/>
        <v>#N/A</v>
      </c>
      <c r="AB124" s="1" t="e">
        <f t="shared" si="38"/>
        <v>#N/A</v>
      </c>
      <c r="AC124" s="1" t="e">
        <f t="shared" si="39"/>
        <v>#N/A</v>
      </c>
      <c r="AD124" s="1" t="e">
        <f t="shared" si="40"/>
        <v>#N/A</v>
      </c>
      <c r="AE124" s="1" t="e">
        <f t="shared" si="41"/>
        <v>#N/A</v>
      </c>
      <c r="AF124" s="1" t="e">
        <f t="shared" si="42"/>
        <v>#N/A</v>
      </c>
    </row>
    <row r="125" spans="2:32" hidden="1" x14ac:dyDescent="0.25">
      <c r="B125" s="5" t="str">
        <f t="shared" si="12"/>
        <v>X</v>
      </c>
      <c r="C125" s="1">
        <f t="shared" si="13"/>
        <v>3600</v>
      </c>
      <c r="D125" s="1">
        <f t="shared" si="14"/>
        <v>5000</v>
      </c>
      <c r="E125" s="1">
        <f t="shared" si="15"/>
        <v>8500</v>
      </c>
      <c r="F125" s="1">
        <f t="shared" si="16"/>
        <v>10500</v>
      </c>
      <c r="G125" s="1">
        <f t="shared" si="17"/>
        <v>12500</v>
      </c>
      <c r="H125" s="1" t="e">
        <f t="shared" si="18"/>
        <v>#N/A</v>
      </c>
      <c r="I125" s="1" t="e">
        <f t="shared" si="19"/>
        <v>#N/A</v>
      </c>
      <c r="J125" s="1" t="e">
        <f t="shared" si="20"/>
        <v>#N/A</v>
      </c>
      <c r="K125" s="1" t="e">
        <f t="shared" si="21"/>
        <v>#N/A</v>
      </c>
      <c r="L125" s="1" t="e">
        <f t="shared" si="22"/>
        <v>#N/A</v>
      </c>
      <c r="M125" s="1" t="e">
        <f t="shared" si="23"/>
        <v>#N/A</v>
      </c>
      <c r="N125" s="1" t="e">
        <f t="shared" si="24"/>
        <v>#N/A</v>
      </c>
      <c r="O125" s="1" t="e">
        <f t="shared" si="25"/>
        <v>#N/A</v>
      </c>
      <c r="P125" s="1" t="e">
        <f t="shared" si="26"/>
        <v>#N/A</v>
      </c>
      <c r="Q125" s="1" t="e">
        <f t="shared" si="27"/>
        <v>#N/A</v>
      </c>
      <c r="R125" s="1" t="e">
        <f t="shared" si="28"/>
        <v>#N/A</v>
      </c>
      <c r="S125" s="1" t="e">
        <f t="shared" si="29"/>
        <v>#N/A</v>
      </c>
      <c r="T125" s="1" t="e">
        <f t="shared" si="30"/>
        <v>#N/A</v>
      </c>
      <c r="U125" s="1" t="e">
        <f t="shared" si="31"/>
        <v>#N/A</v>
      </c>
      <c r="V125" s="1" t="e">
        <f t="shared" si="32"/>
        <v>#N/A</v>
      </c>
      <c r="W125" s="1" t="e">
        <f t="shared" si="33"/>
        <v>#N/A</v>
      </c>
      <c r="X125" s="1" t="e">
        <f t="shared" si="34"/>
        <v>#N/A</v>
      </c>
      <c r="Y125" s="1" t="e">
        <f t="shared" si="35"/>
        <v>#N/A</v>
      </c>
      <c r="Z125" s="1" t="e">
        <f t="shared" si="36"/>
        <v>#N/A</v>
      </c>
      <c r="AA125" s="1" t="e">
        <f t="shared" si="37"/>
        <v>#N/A</v>
      </c>
      <c r="AB125" s="1" t="e">
        <f t="shared" si="38"/>
        <v>#N/A</v>
      </c>
      <c r="AC125" s="1" t="e">
        <f t="shared" si="39"/>
        <v>#N/A</v>
      </c>
      <c r="AD125" s="1" t="e">
        <f t="shared" si="40"/>
        <v>#N/A</v>
      </c>
      <c r="AE125" s="1" t="e">
        <f t="shared" si="41"/>
        <v>#N/A</v>
      </c>
      <c r="AF125" s="1" t="e">
        <f t="shared" si="42"/>
        <v>#N/A</v>
      </c>
    </row>
    <row r="126" spans="2:32" hidden="1" x14ac:dyDescent="0.25">
      <c r="B126" s="5" t="str">
        <f t="shared" si="12"/>
        <v>X</v>
      </c>
      <c r="C126" s="1">
        <f t="shared" si="13"/>
        <v>3600</v>
      </c>
      <c r="D126" s="1">
        <f t="shared" si="14"/>
        <v>5000</v>
      </c>
      <c r="E126" s="1">
        <f t="shared" si="15"/>
        <v>8500</v>
      </c>
      <c r="F126" s="1">
        <f t="shared" si="16"/>
        <v>10500</v>
      </c>
      <c r="G126" s="1">
        <f t="shared" si="17"/>
        <v>12500</v>
      </c>
      <c r="H126" s="1" t="e">
        <f t="shared" si="18"/>
        <v>#N/A</v>
      </c>
      <c r="I126" s="1" t="e">
        <f t="shared" si="19"/>
        <v>#N/A</v>
      </c>
      <c r="J126" s="1" t="e">
        <f t="shared" si="20"/>
        <v>#N/A</v>
      </c>
      <c r="K126" s="1" t="e">
        <f t="shared" si="21"/>
        <v>#N/A</v>
      </c>
      <c r="L126" s="1" t="e">
        <f t="shared" si="22"/>
        <v>#N/A</v>
      </c>
      <c r="M126" s="1" t="e">
        <f t="shared" si="23"/>
        <v>#N/A</v>
      </c>
      <c r="N126" s="1" t="e">
        <f t="shared" si="24"/>
        <v>#N/A</v>
      </c>
      <c r="O126" s="1" t="e">
        <f t="shared" si="25"/>
        <v>#N/A</v>
      </c>
      <c r="P126" s="1" t="e">
        <f t="shared" si="26"/>
        <v>#N/A</v>
      </c>
      <c r="Q126" s="1" t="e">
        <f t="shared" si="27"/>
        <v>#N/A</v>
      </c>
      <c r="R126" s="1" t="e">
        <f t="shared" si="28"/>
        <v>#N/A</v>
      </c>
      <c r="S126" s="1" t="e">
        <f t="shared" si="29"/>
        <v>#N/A</v>
      </c>
      <c r="T126" s="1" t="e">
        <f t="shared" si="30"/>
        <v>#N/A</v>
      </c>
      <c r="U126" s="1" t="e">
        <f t="shared" si="31"/>
        <v>#N/A</v>
      </c>
      <c r="V126" s="1" t="e">
        <f t="shared" si="32"/>
        <v>#N/A</v>
      </c>
      <c r="W126" s="1" t="e">
        <f t="shared" si="33"/>
        <v>#N/A</v>
      </c>
      <c r="X126" s="1" t="e">
        <f t="shared" si="34"/>
        <v>#N/A</v>
      </c>
      <c r="Y126" s="1" t="e">
        <f t="shared" si="35"/>
        <v>#N/A</v>
      </c>
      <c r="Z126" s="1" t="e">
        <f t="shared" si="36"/>
        <v>#N/A</v>
      </c>
      <c r="AA126" s="1" t="e">
        <f t="shared" si="37"/>
        <v>#N/A</v>
      </c>
      <c r="AB126" s="1" t="e">
        <f t="shared" si="38"/>
        <v>#N/A</v>
      </c>
      <c r="AC126" s="1" t="e">
        <f t="shared" si="39"/>
        <v>#N/A</v>
      </c>
      <c r="AD126" s="1" t="e">
        <f t="shared" si="40"/>
        <v>#N/A</v>
      </c>
      <c r="AE126" s="1" t="e">
        <f t="shared" si="41"/>
        <v>#N/A</v>
      </c>
      <c r="AF126" s="1" t="e">
        <f t="shared" si="42"/>
        <v>#N/A</v>
      </c>
    </row>
    <row r="127" spans="2:32" hidden="1" x14ac:dyDescent="0.25">
      <c r="B127" s="5" t="str">
        <f t="shared" si="12"/>
        <v>X</v>
      </c>
      <c r="C127" s="1">
        <f t="shared" si="13"/>
        <v>3600</v>
      </c>
      <c r="D127" s="1">
        <f t="shared" si="14"/>
        <v>5000</v>
      </c>
      <c r="E127" s="1">
        <f t="shared" si="15"/>
        <v>8500</v>
      </c>
      <c r="F127" s="1">
        <f t="shared" si="16"/>
        <v>10500</v>
      </c>
      <c r="G127" s="1">
        <f t="shared" si="17"/>
        <v>12500</v>
      </c>
      <c r="H127" s="1" t="e">
        <f t="shared" si="18"/>
        <v>#N/A</v>
      </c>
      <c r="I127" s="1" t="e">
        <f t="shared" si="19"/>
        <v>#N/A</v>
      </c>
      <c r="J127" s="1" t="e">
        <f t="shared" si="20"/>
        <v>#N/A</v>
      </c>
      <c r="K127" s="1" t="e">
        <f t="shared" si="21"/>
        <v>#N/A</v>
      </c>
      <c r="L127" s="1" t="e">
        <f t="shared" si="22"/>
        <v>#N/A</v>
      </c>
      <c r="M127" s="1" t="e">
        <f t="shared" si="23"/>
        <v>#N/A</v>
      </c>
      <c r="N127" s="1" t="e">
        <f t="shared" si="24"/>
        <v>#N/A</v>
      </c>
      <c r="O127" s="1" t="e">
        <f t="shared" si="25"/>
        <v>#N/A</v>
      </c>
      <c r="P127" s="1" t="e">
        <f t="shared" si="26"/>
        <v>#N/A</v>
      </c>
      <c r="Q127" s="1" t="e">
        <f t="shared" si="27"/>
        <v>#N/A</v>
      </c>
      <c r="R127" s="1" t="e">
        <f t="shared" si="28"/>
        <v>#N/A</v>
      </c>
      <c r="S127" s="1" t="e">
        <f t="shared" si="29"/>
        <v>#N/A</v>
      </c>
      <c r="T127" s="1" t="e">
        <f t="shared" si="30"/>
        <v>#N/A</v>
      </c>
      <c r="U127" s="1" t="e">
        <f t="shared" si="31"/>
        <v>#N/A</v>
      </c>
      <c r="V127" s="1" t="e">
        <f t="shared" si="32"/>
        <v>#N/A</v>
      </c>
      <c r="W127" s="1" t="e">
        <f t="shared" si="33"/>
        <v>#N/A</v>
      </c>
      <c r="X127" s="1" t="e">
        <f t="shared" si="34"/>
        <v>#N/A</v>
      </c>
      <c r="Y127" s="1" t="e">
        <f t="shared" si="35"/>
        <v>#N/A</v>
      </c>
      <c r="Z127" s="1" t="e">
        <f t="shared" si="36"/>
        <v>#N/A</v>
      </c>
      <c r="AA127" s="1" t="e">
        <f t="shared" si="37"/>
        <v>#N/A</v>
      </c>
      <c r="AB127" s="1" t="e">
        <f t="shared" si="38"/>
        <v>#N/A</v>
      </c>
      <c r="AC127" s="1" t="e">
        <f t="shared" si="39"/>
        <v>#N/A</v>
      </c>
      <c r="AD127" s="1" t="e">
        <f t="shared" si="40"/>
        <v>#N/A</v>
      </c>
      <c r="AE127" s="1" t="e">
        <f t="shared" si="41"/>
        <v>#N/A</v>
      </c>
      <c r="AF127" s="1" t="e">
        <f t="shared" si="42"/>
        <v>#N/A</v>
      </c>
    </row>
    <row r="128" spans="2:32" hidden="1" x14ac:dyDescent="0.25">
      <c r="B128" s="5" t="str">
        <f t="shared" si="12"/>
        <v>X</v>
      </c>
      <c r="C128" s="1">
        <f t="shared" si="13"/>
        <v>3600</v>
      </c>
      <c r="D128" s="1">
        <f t="shared" si="14"/>
        <v>5000</v>
      </c>
      <c r="E128" s="1">
        <f t="shared" si="15"/>
        <v>8500</v>
      </c>
      <c r="F128" s="1">
        <f t="shared" si="16"/>
        <v>10500</v>
      </c>
      <c r="G128" s="1">
        <f t="shared" si="17"/>
        <v>12500</v>
      </c>
      <c r="H128" s="1" t="e">
        <f t="shared" si="18"/>
        <v>#N/A</v>
      </c>
      <c r="I128" s="1" t="e">
        <f t="shared" si="19"/>
        <v>#N/A</v>
      </c>
      <c r="J128" s="1" t="e">
        <f t="shared" si="20"/>
        <v>#N/A</v>
      </c>
      <c r="K128" s="1" t="e">
        <f t="shared" si="21"/>
        <v>#N/A</v>
      </c>
      <c r="L128" s="1" t="e">
        <f t="shared" si="22"/>
        <v>#N/A</v>
      </c>
      <c r="M128" s="1" t="e">
        <f t="shared" si="23"/>
        <v>#N/A</v>
      </c>
      <c r="N128" s="1" t="e">
        <f t="shared" si="24"/>
        <v>#N/A</v>
      </c>
      <c r="O128" s="1" t="e">
        <f t="shared" si="25"/>
        <v>#N/A</v>
      </c>
      <c r="P128" s="1" t="e">
        <f t="shared" si="26"/>
        <v>#N/A</v>
      </c>
      <c r="Q128" s="1" t="e">
        <f t="shared" si="27"/>
        <v>#N/A</v>
      </c>
      <c r="R128" s="1" t="e">
        <f t="shared" si="28"/>
        <v>#N/A</v>
      </c>
      <c r="S128" s="1" t="e">
        <f t="shared" si="29"/>
        <v>#N/A</v>
      </c>
      <c r="T128" s="1" t="e">
        <f t="shared" si="30"/>
        <v>#N/A</v>
      </c>
      <c r="U128" s="1" t="e">
        <f t="shared" si="31"/>
        <v>#N/A</v>
      </c>
      <c r="V128" s="1" t="e">
        <f t="shared" si="32"/>
        <v>#N/A</v>
      </c>
      <c r="W128" s="1" t="e">
        <f t="shared" si="33"/>
        <v>#N/A</v>
      </c>
      <c r="X128" s="1" t="e">
        <f t="shared" si="34"/>
        <v>#N/A</v>
      </c>
      <c r="Y128" s="1" t="e">
        <f t="shared" si="35"/>
        <v>#N/A</v>
      </c>
      <c r="Z128" s="1" t="e">
        <f t="shared" si="36"/>
        <v>#N/A</v>
      </c>
      <c r="AA128" s="1" t="e">
        <f t="shared" si="37"/>
        <v>#N/A</v>
      </c>
      <c r="AB128" s="1" t="e">
        <f t="shared" si="38"/>
        <v>#N/A</v>
      </c>
      <c r="AC128" s="1" t="e">
        <f t="shared" si="39"/>
        <v>#N/A</v>
      </c>
      <c r="AD128" s="1" t="e">
        <f t="shared" si="40"/>
        <v>#N/A</v>
      </c>
      <c r="AE128" s="1" t="e">
        <f t="shared" si="41"/>
        <v>#N/A</v>
      </c>
      <c r="AF128" s="1" t="e">
        <f t="shared" si="42"/>
        <v>#N/A</v>
      </c>
    </row>
    <row r="129" spans="2:32" hidden="1" x14ac:dyDescent="0.25">
      <c r="B129" s="5" t="str">
        <f t="shared" si="12"/>
        <v>X</v>
      </c>
      <c r="C129" s="1">
        <f t="shared" si="13"/>
        <v>3600</v>
      </c>
      <c r="D129" s="1">
        <f t="shared" si="14"/>
        <v>5000</v>
      </c>
      <c r="E129" s="1">
        <f t="shared" si="15"/>
        <v>8500</v>
      </c>
      <c r="F129" s="1">
        <f t="shared" si="16"/>
        <v>10500</v>
      </c>
      <c r="G129" s="1">
        <f t="shared" si="17"/>
        <v>12500</v>
      </c>
      <c r="H129" s="1" t="e">
        <f t="shared" si="18"/>
        <v>#N/A</v>
      </c>
      <c r="I129" s="1" t="e">
        <f t="shared" si="19"/>
        <v>#N/A</v>
      </c>
      <c r="J129" s="1" t="e">
        <f t="shared" si="20"/>
        <v>#N/A</v>
      </c>
      <c r="K129" s="1" t="e">
        <f t="shared" si="21"/>
        <v>#N/A</v>
      </c>
      <c r="L129" s="1" t="e">
        <f t="shared" si="22"/>
        <v>#N/A</v>
      </c>
      <c r="M129" s="1" t="e">
        <f t="shared" si="23"/>
        <v>#N/A</v>
      </c>
      <c r="N129" s="1" t="e">
        <f t="shared" si="24"/>
        <v>#N/A</v>
      </c>
      <c r="O129" s="1" t="e">
        <f t="shared" si="25"/>
        <v>#N/A</v>
      </c>
      <c r="P129" s="1" t="e">
        <f t="shared" si="26"/>
        <v>#N/A</v>
      </c>
      <c r="Q129" s="1" t="e">
        <f t="shared" si="27"/>
        <v>#N/A</v>
      </c>
      <c r="R129" s="1" t="e">
        <f t="shared" si="28"/>
        <v>#N/A</v>
      </c>
      <c r="S129" s="1" t="e">
        <f t="shared" si="29"/>
        <v>#N/A</v>
      </c>
      <c r="T129" s="1" t="e">
        <f t="shared" si="30"/>
        <v>#N/A</v>
      </c>
      <c r="U129" s="1" t="e">
        <f t="shared" si="31"/>
        <v>#N/A</v>
      </c>
      <c r="V129" s="1" t="e">
        <f t="shared" si="32"/>
        <v>#N/A</v>
      </c>
      <c r="W129" s="1" t="e">
        <f t="shared" si="33"/>
        <v>#N/A</v>
      </c>
      <c r="X129" s="1" t="e">
        <f t="shared" si="34"/>
        <v>#N/A</v>
      </c>
      <c r="Y129" s="1" t="e">
        <f t="shared" si="35"/>
        <v>#N/A</v>
      </c>
      <c r="Z129" s="1" t="e">
        <f t="shared" si="36"/>
        <v>#N/A</v>
      </c>
      <c r="AA129" s="1" t="e">
        <f t="shared" si="37"/>
        <v>#N/A</v>
      </c>
      <c r="AB129" s="1" t="e">
        <f t="shared" si="38"/>
        <v>#N/A</v>
      </c>
      <c r="AC129" s="1" t="e">
        <f t="shared" si="39"/>
        <v>#N/A</v>
      </c>
      <c r="AD129" s="1" t="e">
        <f t="shared" si="40"/>
        <v>#N/A</v>
      </c>
      <c r="AE129" s="1" t="e">
        <f t="shared" si="41"/>
        <v>#N/A</v>
      </c>
      <c r="AF129" s="1" t="e">
        <f t="shared" si="42"/>
        <v>#N/A</v>
      </c>
    </row>
    <row r="130" spans="2:32" hidden="1" x14ac:dyDescent="0.25">
      <c r="B130" s="5" t="str">
        <f t="shared" si="12"/>
        <v>X</v>
      </c>
      <c r="C130" s="1">
        <f t="shared" si="13"/>
        <v>3600</v>
      </c>
      <c r="D130" s="1">
        <f t="shared" si="14"/>
        <v>5000</v>
      </c>
      <c r="E130" s="1">
        <f t="shared" si="15"/>
        <v>8500</v>
      </c>
      <c r="F130" s="1">
        <f t="shared" si="16"/>
        <v>10500</v>
      </c>
      <c r="G130" s="1">
        <f t="shared" si="17"/>
        <v>12500</v>
      </c>
      <c r="H130" s="1" t="e">
        <f t="shared" si="18"/>
        <v>#N/A</v>
      </c>
      <c r="I130" s="1" t="e">
        <f t="shared" si="19"/>
        <v>#N/A</v>
      </c>
      <c r="J130" s="1" t="e">
        <f t="shared" si="20"/>
        <v>#N/A</v>
      </c>
      <c r="K130" s="1" t="e">
        <f t="shared" si="21"/>
        <v>#N/A</v>
      </c>
      <c r="L130" s="1" t="e">
        <f t="shared" si="22"/>
        <v>#N/A</v>
      </c>
      <c r="M130" s="1" t="e">
        <f t="shared" si="23"/>
        <v>#N/A</v>
      </c>
      <c r="N130" s="1" t="e">
        <f t="shared" si="24"/>
        <v>#N/A</v>
      </c>
      <c r="O130" s="1" t="e">
        <f t="shared" si="25"/>
        <v>#N/A</v>
      </c>
      <c r="P130" s="1" t="e">
        <f t="shared" si="26"/>
        <v>#N/A</v>
      </c>
      <c r="Q130" s="1" t="e">
        <f t="shared" si="27"/>
        <v>#N/A</v>
      </c>
      <c r="R130" s="1" t="e">
        <f t="shared" si="28"/>
        <v>#N/A</v>
      </c>
      <c r="S130" s="1" t="e">
        <f t="shared" si="29"/>
        <v>#N/A</v>
      </c>
      <c r="T130" s="1" t="e">
        <f t="shared" si="30"/>
        <v>#N/A</v>
      </c>
      <c r="U130" s="1" t="e">
        <f t="shared" si="31"/>
        <v>#N/A</v>
      </c>
      <c r="V130" s="1" t="e">
        <f t="shared" si="32"/>
        <v>#N/A</v>
      </c>
      <c r="W130" s="1" t="e">
        <f t="shared" si="33"/>
        <v>#N/A</v>
      </c>
      <c r="X130" s="1" t="e">
        <f t="shared" si="34"/>
        <v>#N/A</v>
      </c>
      <c r="Y130" s="1" t="e">
        <f t="shared" si="35"/>
        <v>#N/A</v>
      </c>
      <c r="Z130" s="1" t="e">
        <f t="shared" si="36"/>
        <v>#N/A</v>
      </c>
      <c r="AA130" s="1" t="e">
        <f t="shared" si="37"/>
        <v>#N/A</v>
      </c>
      <c r="AB130" s="1" t="e">
        <f t="shared" si="38"/>
        <v>#N/A</v>
      </c>
      <c r="AC130" s="1" t="e">
        <f t="shared" si="39"/>
        <v>#N/A</v>
      </c>
      <c r="AD130" s="1" t="e">
        <f t="shared" si="40"/>
        <v>#N/A</v>
      </c>
      <c r="AE130" s="1" t="e">
        <f t="shared" si="41"/>
        <v>#N/A</v>
      </c>
      <c r="AF130" s="1" t="e">
        <f t="shared" si="42"/>
        <v>#N/A</v>
      </c>
    </row>
    <row r="131" spans="2:32" hidden="1" x14ac:dyDescent="0.25">
      <c r="B131" s="5" t="str">
        <f t="shared" si="12"/>
        <v>X</v>
      </c>
      <c r="C131" s="1">
        <f t="shared" si="13"/>
        <v>3600</v>
      </c>
      <c r="D131" s="1">
        <f t="shared" si="14"/>
        <v>5000</v>
      </c>
      <c r="E131" s="1">
        <f t="shared" si="15"/>
        <v>8500</v>
      </c>
      <c r="F131" s="1">
        <f t="shared" si="16"/>
        <v>10500</v>
      </c>
      <c r="G131" s="1">
        <f t="shared" si="17"/>
        <v>12500</v>
      </c>
      <c r="H131" s="1" t="e">
        <f t="shared" si="18"/>
        <v>#N/A</v>
      </c>
      <c r="I131" s="1" t="e">
        <f t="shared" si="19"/>
        <v>#N/A</v>
      </c>
      <c r="J131" s="1" t="e">
        <f t="shared" si="20"/>
        <v>#N/A</v>
      </c>
      <c r="K131" s="1" t="e">
        <f t="shared" si="21"/>
        <v>#N/A</v>
      </c>
      <c r="L131" s="1" t="e">
        <f t="shared" si="22"/>
        <v>#N/A</v>
      </c>
      <c r="M131" s="1" t="e">
        <f t="shared" si="23"/>
        <v>#N/A</v>
      </c>
      <c r="N131" s="1" t="e">
        <f t="shared" si="24"/>
        <v>#N/A</v>
      </c>
      <c r="O131" s="1" t="e">
        <f t="shared" si="25"/>
        <v>#N/A</v>
      </c>
      <c r="P131" s="1" t="e">
        <f t="shared" si="26"/>
        <v>#N/A</v>
      </c>
      <c r="Q131" s="1" t="e">
        <f t="shared" si="27"/>
        <v>#N/A</v>
      </c>
      <c r="R131" s="1" t="e">
        <f t="shared" si="28"/>
        <v>#N/A</v>
      </c>
      <c r="S131" s="1" t="e">
        <f t="shared" si="29"/>
        <v>#N/A</v>
      </c>
      <c r="T131" s="1" t="e">
        <f t="shared" si="30"/>
        <v>#N/A</v>
      </c>
      <c r="U131" s="1" t="e">
        <f t="shared" si="31"/>
        <v>#N/A</v>
      </c>
      <c r="V131" s="1" t="e">
        <f t="shared" si="32"/>
        <v>#N/A</v>
      </c>
      <c r="W131" s="1" t="e">
        <f t="shared" si="33"/>
        <v>#N/A</v>
      </c>
      <c r="X131" s="1" t="e">
        <f t="shared" si="34"/>
        <v>#N/A</v>
      </c>
      <c r="Y131" s="1" t="e">
        <f t="shared" si="35"/>
        <v>#N/A</v>
      </c>
      <c r="Z131" s="1" t="e">
        <f t="shared" si="36"/>
        <v>#N/A</v>
      </c>
      <c r="AA131" s="1" t="e">
        <f t="shared" si="37"/>
        <v>#N/A</v>
      </c>
      <c r="AB131" s="1" t="e">
        <f t="shared" si="38"/>
        <v>#N/A</v>
      </c>
      <c r="AC131" s="1" t="e">
        <f t="shared" si="39"/>
        <v>#N/A</v>
      </c>
      <c r="AD131" s="1" t="e">
        <f t="shared" si="40"/>
        <v>#N/A</v>
      </c>
      <c r="AE131" s="1" t="e">
        <f t="shared" si="41"/>
        <v>#N/A</v>
      </c>
      <c r="AF131" s="1" t="e">
        <f t="shared" si="42"/>
        <v>#N/A</v>
      </c>
    </row>
    <row r="132" spans="2:32" hidden="1" x14ac:dyDescent="0.25">
      <c r="B132" s="5" t="str">
        <f t="shared" si="12"/>
        <v>X</v>
      </c>
      <c r="C132" s="1">
        <f t="shared" si="13"/>
        <v>3600</v>
      </c>
      <c r="D132" s="1">
        <f t="shared" si="14"/>
        <v>5000</v>
      </c>
      <c r="E132" s="1">
        <f t="shared" si="15"/>
        <v>8500</v>
      </c>
      <c r="F132" s="1">
        <f t="shared" si="16"/>
        <v>10500</v>
      </c>
      <c r="G132" s="1">
        <f t="shared" si="17"/>
        <v>12500</v>
      </c>
      <c r="H132" s="1" t="e">
        <f t="shared" si="18"/>
        <v>#N/A</v>
      </c>
      <c r="I132" s="1" t="e">
        <f t="shared" si="19"/>
        <v>#N/A</v>
      </c>
      <c r="J132" s="1" t="e">
        <f t="shared" si="20"/>
        <v>#N/A</v>
      </c>
      <c r="K132" s="1" t="e">
        <f t="shared" si="21"/>
        <v>#N/A</v>
      </c>
      <c r="L132" s="1" t="e">
        <f t="shared" si="22"/>
        <v>#N/A</v>
      </c>
      <c r="M132" s="1" t="e">
        <f t="shared" si="23"/>
        <v>#N/A</v>
      </c>
      <c r="N132" s="1" t="e">
        <f t="shared" si="24"/>
        <v>#N/A</v>
      </c>
      <c r="O132" s="1" t="e">
        <f t="shared" si="25"/>
        <v>#N/A</v>
      </c>
      <c r="P132" s="1" t="e">
        <f t="shared" si="26"/>
        <v>#N/A</v>
      </c>
      <c r="Q132" s="1" t="e">
        <f t="shared" si="27"/>
        <v>#N/A</v>
      </c>
      <c r="R132" s="1" t="e">
        <f t="shared" si="28"/>
        <v>#N/A</v>
      </c>
      <c r="S132" s="1" t="e">
        <f t="shared" si="29"/>
        <v>#N/A</v>
      </c>
      <c r="T132" s="1" t="e">
        <f t="shared" si="30"/>
        <v>#N/A</v>
      </c>
      <c r="U132" s="1" t="e">
        <f t="shared" si="31"/>
        <v>#N/A</v>
      </c>
      <c r="V132" s="1" t="e">
        <f t="shared" si="32"/>
        <v>#N/A</v>
      </c>
      <c r="W132" s="1" t="e">
        <f t="shared" si="33"/>
        <v>#N/A</v>
      </c>
      <c r="X132" s="1" t="e">
        <f t="shared" si="34"/>
        <v>#N/A</v>
      </c>
      <c r="Y132" s="1" t="e">
        <f t="shared" si="35"/>
        <v>#N/A</v>
      </c>
      <c r="Z132" s="1" t="e">
        <f t="shared" si="36"/>
        <v>#N/A</v>
      </c>
      <c r="AA132" s="1" t="e">
        <f t="shared" si="37"/>
        <v>#N/A</v>
      </c>
      <c r="AB132" s="1" t="e">
        <f t="shared" si="38"/>
        <v>#N/A</v>
      </c>
      <c r="AC132" s="1" t="e">
        <f t="shared" si="39"/>
        <v>#N/A</v>
      </c>
      <c r="AD132" s="1" t="e">
        <f t="shared" si="40"/>
        <v>#N/A</v>
      </c>
      <c r="AE132" s="1" t="e">
        <f t="shared" si="41"/>
        <v>#N/A</v>
      </c>
      <c r="AF132" s="1" t="e">
        <f t="shared" si="42"/>
        <v>#N/A</v>
      </c>
    </row>
    <row r="133" spans="2:32" hidden="1" x14ac:dyDescent="0.25">
      <c r="B133" s="5" t="str">
        <f t="shared" si="12"/>
        <v>X</v>
      </c>
      <c r="C133" s="1">
        <f t="shared" si="13"/>
        <v>3600</v>
      </c>
      <c r="D133" s="1">
        <f t="shared" si="14"/>
        <v>5000</v>
      </c>
      <c r="E133" s="1">
        <f t="shared" si="15"/>
        <v>8500</v>
      </c>
      <c r="F133" s="1">
        <f t="shared" si="16"/>
        <v>10500</v>
      </c>
      <c r="G133" s="1">
        <f t="shared" si="17"/>
        <v>12500</v>
      </c>
      <c r="H133" s="1" t="e">
        <f t="shared" si="18"/>
        <v>#N/A</v>
      </c>
      <c r="I133" s="1" t="e">
        <f t="shared" si="19"/>
        <v>#N/A</v>
      </c>
      <c r="J133" s="1" t="e">
        <f t="shared" si="20"/>
        <v>#N/A</v>
      </c>
      <c r="K133" s="1" t="e">
        <f t="shared" si="21"/>
        <v>#N/A</v>
      </c>
      <c r="L133" s="1" t="e">
        <f t="shared" si="22"/>
        <v>#N/A</v>
      </c>
      <c r="M133" s="1" t="e">
        <f t="shared" si="23"/>
        <v>#N/A</v>
      </c>
      <c r="N133" s="1" t="e">
        <f t="shared" si="24"/>
        <v>#N/A</v>
      </c>
      <c r="O133" s="1" t="e">
        <f t="shared" si="25"/>
        <v>#N/A</v>
      </c>
      <c r="P133" s="1" t="e">
        <f t="shared" si="26"/>
        <v>#N/A</v>
      </c>
      <c r="Q133" s="1" t="e">
        <f t="shared" si="27"/>
        <v>#N/A</v>
      </c>
      <c r="R133" s="1" t="e">
        <f t="shared" si="28"/>
        <v>#N/A</v>
      </c>
      <c r="S133" s="1" t="e">
        <f t="shared" si="29"/>
        <v>#N/A</v>
      </c>
      <c r="T133" s="1" t="e">
        <f t="shared" si="30"/>
        <v>#N/A</v>
      </c>
      <c r="U133" s="1" t="e">
        <f t="shared" si="31"/>
        <v>#N/A</v>
      </c>
      <c r="V133" s="1" t="e">
        <f t="shared" si="32"/>
        <v>#N/A</v>
      </c>
      <c r="W133" s="1" t="e">
        <f t="shared" si="33"/>
        <v>#N/A</v>
      </c>
      <c r="X133" s="1" t="e">
        <f t="shared" si="34"/>
        <v>#N/A</v>
      </c>
      <c r="Y133" s="1" t="e">
        <f t="shared" si="35"/>
        <v>#N/A</v>
      </c>
      <c r="Z133" s="1" t="e">
        <f t="shared" si="36"/>
        <v>#N/A</v>
      </c>
      <c r="AA133" s="1" t="e">
        <f t="shared" si="37"/>
        <v>#N/A</v>
      </c>
      <c r="AB133" s="1" t="e">
        <f t="shared" si="38"/>
        <v>#N/A</v>
      </c>
      <c r="AC133" s="1" t="e">
        <f t="shared" si="39"/>
        <v>#N/A</v>
      </c>
      <c r="AD133" s="1" t="e">
        <f t="shared" si="40"/>
        <v>#N/A</v>
      </c>
      <c r="AE133" s="1" t="e">
        <f t="shared" si="41"/>
        <v>#N/A</v>
      </c>
      <c r="AF133" s="1" t="e">
        <f t="shared" si="42"/>
        <v>#N/A</v>
      </c>
    </row>
    <row r="134" spans="2:32" hidden="1" x14ac:dyDescent="0.25">
      <c r="B134" s="5" t="str">
        <f t="shared" si="12"/>
        <v>X</v>
      </c>
      <c r="C134" s="1">
        <f t="shared" si="13"/>
        <v>3600</v>
      </c>
      <c r="D134" s="1">
        <f t="shared" si="14"/>
        <v>5000</v>
      </c>
      <c r="E134" s="1">
        <f t="shared" si="15"/>
        <v>8500</v>
      </c>
      <c r="F134" s="1">
        <f t="shared" si="16"/>
        <v>10500</v>
      </c>
      <c r="G134" s="1">
        <f t="shared" si="17"/>
        <v>12500</v>
      </c>
      <c r="H134" s="1" t="e">
        <f t="shared" si="18"/>
        <v>#N/A</v>
      </c>
      <c r="I134" s="1" t="e">
        <f t="shared" si="19"/>
        <v>#N/A</v>
      </c>
      <c r="J134" s="1" t="e">
        <f t="shared" si="20"/>
        <v>#N/A</v>
      </c>
      <c r="K134" s="1" t="e">
        <f t="shared" si="21"/>
        <v>#N/A</v>
      </c>
      <c r="L134" s="1" t="e">
        <f t="shared" si="22"/>
        <v>#N/A</v>
      </c>
      <c r="M134" s="1" t="e">
        <f t="shared" si="23"/>
        <v>#N/A</v>
      </c>
      <c r="N134" s="1" t="e">
        <f t="shared" si="24"/>
        <v>#N/A</v>
      </c>
      <c r="O134" s="1" t="e">
        <f t="shared" si="25"/>
        <v>#N/A</v>
      </c>
      <c r="P134" s="1" t="e">
        <f t="shared" si="26"/>
        <v>#N/A</v>
      </c>
      <c r="Q134" s="1" t="e">
        <f t="shared" si="27"/>
        <v>#N/A</v>
      </c>
      <c r="R134" s="1" t="e">
        <f t="shared" si="28"/>
        <v>#N/A</v>
      </c>
      <c r="S134" s="1" t="e">
        <f t="shared" si="29"/>
        <v>#N/A</v>
      </c>
      <c r="T134" s="1" t="e">
        <f t="shared" si="30"/>
        <v>#N/A</v>
      </c>
      <c r="U134" s="1" t="e">
        <f t="shared" si="31"/>
        <v>#N/A</v>
      </c>
      <c r="V134" s="1" t="e">
        <f t="shared" si="32"/>
        <v>#N/A</v>
      </c>
      <c r="W134" s="1" t="e">
        <f t="shared" si="33"/>
        <v>#N/A</v>
      </c>
      <c r="X134" s="1" t="e">
        <f t="shared" si="34"/>
        <v>#N/A</v>
      </c>
      <c r="Y134" s="1" t="e">
        <f t="shared" si="35"/>
        <v>#N/A</v>
      </c>
      <c r="Z134" s="1" t="e">
        <f t="shared" si="36"/>
        <v>#N/A</v>
      </c>
      <c r="AA134" s="1" t="e">
        <f t="shared" si="37"/>
        <v>#N/A</v>
      </c>
      <c r="AB134" s="1" t="e">
        <f t="shared" si="38"/>
        <v>#N/A</v>
      </c>
      <c r="AC134" s="1" t="e">
        <f t="shared" si="39"/>
        <v>#N/A</v>
      </c>
      <c r="AD134" s="1" t="e">
        <f t="shared" si="40"/>
        <v>#N/A</v>
      </c>
      <c r="AE134" s="1" t="e">
        <f t="shared" si="41"/>
        <v>#N/A</v>
      </c>
      <c r="AF134" s="1" t="e">
        <f t="shared" si="42"/>
        <v>#N/A</v>
      </c>
    </row>
    <row r="135" spans="2:32" hidden="1" x14ac:dyDescent="0.25">
      <c r="B135" s="5"/>
    </row>
    <row r="136" spans="2:32" hidden="1" x14ac:dyDescent="0.25">
      <c r="B136" s="10" t="s">
        <v>103</v>
      </c>
    </row>
    <row r="137" spans="2:32" hidden="1" x14ac:dyDescent="0.25">
      <c r="C137" s="5" t="str">
        <f>$B$19</f>
        <v>fn_1</v>
      </c>
      <c r="D137" s="5" t="str">
        <f>$B$20</f>
        <v>fn_2</v>
      </c>
      <c r="E137" s="5" t="str">
        <f>$B$21</f>
        <v>fn_3</v>
      </c>
      <c r="F137" s="5" t="str">
        <f>$B$22</f>
        <v>fn_4</v>
      </c>
      <c r="G137" s="5" t="str">
        <f>$B$23</f>
        <v>fn_5</v>
      </c>
      <c r="H137" s="5" t="str">
        <f>$B$24</f>
        <v>fn_6</v>
      </c>
      <c r="I137" s="5" t="str">
        <f>$B$25</f>
        <v>fn_7</v>
      </c>
      <c r="J137" s="5" t="str">
        <f>$B$26</f>
        <v>fn_8</v>
      </c>
      <c r="K137" s="5" t="str">
        <f>$B$27</f>
        <v>fn_9</v>
      </c>
      <c r="L137" s="5" t="str">
        <f>$B$28</f>
        <v>fn_10</v>
      </c>
      <c r="M137" s="5" t="str">
        <f>$B$29</f>
        <v>fn_11</v>
      </c>
      <c r="N137" s="5" t="str">
        <f>$B$30</f>
        <v>fn_12</v>
      </c>
      <c r="O137" s="5" t="str">
        <f>$B$31</f>
        <v>fn_13</v>
      </c>
      <c r="P137" s="5" t="str">
        <f>$B$32</f>
        <v>fn_14</v>
      </c>
      <c r="Q137" s="5" t="str">
        <f>$B$33</f>
        <v>fn_15</v>
      </c>
      <c r="R137" s="5" t="str">
        <f>$B$34</f>
        <v>fn_16</v>
      </c>
      <c r="S137" s="5" t="str">
        <f>$B$35</f>
        <v>fn_17</v>
      </c>
      <c r="T137" s="5" t="str">
        <f>$B$36</f>
        <v>fn_18</v>
      </c>
      <c r="U137" s="5" t="str">
        <f>$B$37</f>
        <v>fn_19</v>
      </c>
      <c r="V137" s="5" t="str">
        <f>$B$38</f>
        <v>fn_20</v>
      </c>
      <c r="W137" s="5" t="str">
        <f>$B$39</f>
        <v>fn_21</v>
      </c>
      <c r="X137" s="5" t="str">
        <f>$B$40</f>
        <v>fn_22</v>
      </c>
      <c r="Y137" s="5" t="str">
        <f>$B$41</f>
        <v>fn_23</v>
      </c>
      <c r="Z137" s="5" t="str">
        <f>$B$42</f>
        <v>fn_24</v>
      </c>
      <c r="AA137" s="5" t="str">
        <f>$B$43</f>
        <v>fn_25</v>
      </c>
      <c r="AB137" s="5" t="str">
        <f>$B$44</f>
        <v>fn_26</v>
      </c>
      <c r="AC137" s="5" t="str">
        <f>$B$45</f>
        <v>fn_27</v>
      </c>
      <c r="AD137" s="5" t="str">
        <f>$B$46</f>
        <v>fn_28</v>
      </c>
      <c r="AE137" s="5" t="str">
        <f>$B$47</f>
        <v>fn_29</v>
      </c>
      <c r="AF137" s="5" t="str">
        <f>$B$48</f>
        <v>fn_30</v>
      </c>
    </row>
    <row r="138" spans="2:32" hidden="1" x14ac:dyDescent="0.25">
      <c r="B138" s="5" t="str">
        <f t="shared" ref="B138:B167" si="43">$M19</f>
        <v>1X</v>
      </c>
      <c r="C138" s="1">
        <f t="shared" ref="C138:C167" si="44">IF($J$19/$N19&gt;$K$15,#N/A,$J$19/$N19)</f>
        <v>3600</v>
      </c>
      <c r="D138" s="1">
        <f t="shared" ref="D138:D167" si="45">IF($J$20/$N19&gt;$K$15,#N/A,$J$20/$N19)</f>
        <v>5000</v>
      </c>
      <c r="E138" s="1" t="e">
        <f t="shared" ref="E138:E167" si="46">IF($J$21/$N19&gt;$K$15,#N/A,$J$21/$N19)</f>
        <v>#N/A</v>
      </c>
      <c r="F138" s="1" t="e">
        <f t="shared" ref="F138:F167" si="47">IF($J$22/$N19&gt;$K$15,#N/A,$J$22/$N19)</f>
        <v>#N/A</v>
      </c>
      <c r="G138" s="1" t="e">
        <f t="shared" ref="G138:G167" si="48">IF($J$23/$N19&gt;$K$15,#N/A,$J$23/$N19)</f>
        <v>#N/A</v>
      </c>
      <c r="H138" s="1" t="e">
        <f t="shared" ref="H138:H167" si="49">IF($J$24/$N19&gt;$K$15,#N/A,$J$24/$N19)</f>
        <v>#N/A</v>
      </c>
      <c r="I138" s="1" t="e">
        <f t="shared" ref="I138:I167" si="50">IF($J$25/$N19&gt;$K$15,#N/A,$J$25/$N19)</f>
        <v>#N/A</v>
      </c>
      <c r="J138" s="1" t="e">
        <f t="shared" ref="J138:J167" si="51">IF($J$26/$N19&gt;$K$15,#N/A,$J$26/$N19)</f>
        <v>#N/A</v>
      </c>
      <c r="K138" s="1" t="e">
        <f t="shared" ref="K138:K167" si="52">IF($J$27/$N19&gt;$K$15,#N/A,$J$27/$N19)</f>
        <v>#N/A</v>
      </c>
      <c r="L138" s="1" t="e">
        <f t="shared" ref="L138:L167" si="53">IF($J$28/$N19&gt;$K$15,#N/A,$J$28/$N19)</f>
        <v>#N/A</v>
      </c>
      <c r="M138" s="1" t="e">
        <f t="shared" ref="M138:M167" si="54">IF($J$29/$N19&gt;$K$15,#N/A,$J$29/$N19)</f>
        <v>#N/A</v>
      </c>
      <c r="N138" s="1" t="e">
        <f t="shared" ref="N138:N167" si="55">IF($J$30/$N19&gt;$K$15,#N/A,$J$30/$N19)</f>
        <v>#N/A</v>
      </c>
      <c r="O138" s="1" t="e">
        <f t="shared" ref="O138:O167" si="56">IF($J$31/$N19&gt;$K$15,#N/A,$J$31/$N19)</f>
        <v>#N/A</v>
      </c>
      <c r="P138" s="1" t="e">
        <f t="shared" ref="P138:P167" si="57">IF($J$32/$N19&gt;$K$15,#N/A,$J$32/$N19)</f>
        <v>#N/A</v>
      </c>
      <c r="Q138" s="1" t="e">
        <f t="shared" ref="Q138:Q167" si="58">IF($J$33/$N19&gt;$K$15,#N/A,$J$33/$N19)</f>
        <v>#N/A</v>
      </c>
      <c r="R138" s="1" t="e">
        <f t="shared" ref="R138:R167" si="59">IF($J$34/$N19&gt;$K$15,#N/A,$J$34/$N19)</f>
        <v>#N/A</v>
      </c>
      <c r="S138" s="1" t="e">
        <f t="shared" ref="S138:S167" si="60">IF($J$35/$N19&gt;$K$15,#N/A,$J$35/$N19)</f>
        <v>#N/A</v>
      </c>
      <c r="T138" s="1" t="e">
        <f t="shared" ref="T138:T167" si="61">IF($J$36/$N19&gt;$K$15,#N/A,$J$36/$N19)</f>
        <v>#N/A</v>
      </c>
      <c r="U138" s="1" t="e">
        <f t="shared" ref="U138:U167" si="62">IF($J$37/$N19&gt;$K$15,#N/A,$J$37/$N19)</f>
        <v>#N/A</v>
      </c>
      <c r="V138" s="1" t="e">
        <f t="shared" ref="V138:V167" si="63">IF($J$38/$N19&gt;$K$15,#N/A,$J$38/$N19)</f>
        <v>#N/A</v>
      </c>
      <c r="W138" s="1" t="e">
        <f t="shared" ref="W138:W167" si="64">IF($J$39/$N19&gt;$K$15,#N/A,$J$39/$N19)</f>
        <v>#N/A</v>
      </c>
      <c r="X138" s="1" t="e">
        <f t="shared" ref="X138:X167" si="65">IF($J$40/$N19&gt;$K$15,#N/A,$J$40/$N19)</f>
        <v>#N/A</v>
      </c>
      <c r="Y138" s="1" t="e">
        <f t="shared" ref="Y138:Y167" si="66">IF($J$41/$N19&gt;$K$15,#N/A,$J$41/$N19)</f>
        <v>#N/A</v>
      </c>
      <c r="Z138" s="1" t="e">
        <f t="shared" ref="Z138:Z167" si="67">IF($J$42/$N19&gt;$K$15,#N/A,$J$42/$N19)</f>
        <v>#N/A</v>
      </c>
      <c r="AA138" s="1" t="e">
        <f t="shared" ref="AA138:AA167" si="68">IF($J$43/$N19&gt;$K$15,#N/A,$J$43/$N19)</f>
        <v>#N/A</v>
      </c>
      <c r="AB138" s="1" t="e">
        <f t="shared" ref="AB138:AB167" si="69">IF($J$44/$N19&gt;$K$15,#N/A,$J$44/$N19)</f>
        <v>#N/A</v>
      </c>
      <c r="AC138" s="1" t="e">
        <f t="shared" ref="AC138:AC167" si="70">IF($J$45/$N19&gt;$K$15,#N/A,$J$45/$N19)</f>
        <v>#N/A</v>
      </c>
      <c r="AD138" s="1" t="e">
        <f t="shared" ref="AD138:AD167" si="71">IF($J$46/$N19&gt;$K$15,#N/A,$J$46/$N19)</f>
        <v>#N/A</v>
      </c>
      <c r="AE138" s="1" t="e">
        <f t="shared" ref="AE138:AE167" si="72">IF($J$47/$N19&gt;$K$15,#N/A,$J$47/$N19)</f>
        <v>#N/A</v>
      </c>
      <c r="AF138" s="1" t="e">
        <f t="shared" ref="AF138:AF167" si="73">IF($J$48/$N19&gt;$K$15,#N/A,$J$48/$N19)</f>
        <v>#N/A</v>
      </c>
    </row>
    <row r="139" spans="2:32" hidden="1" x14ac:dyDescent="0.25">
      <c r="B139" s="5" t="str">
        <f t="shared" si="43"/>
        <v>2X</v>
      </c>
      <c r="C139" s="1">
        <f t="shared" si="44"/>
        <v>1800</v>
      </c>
      <c r="D139" s="1">
        <f t="shared" si="45"/>
        <v>2500</v>
      </c>
      <c r="E139" s="1">
        <f t="shared" si="46"/>
        <v>4250</v>
      </c>
      <c r="F139" s="1">
        <f t="shared" si="47"/>
        <v>5250</v>
      </c>
      <c r="G139" s="1" t="e">
        <f t="shared" si="48"/>
        <v>#N/A</v>
      </c>
      <c r="H139" s="1" t="e">
        <f t="shared" si="49"/>
        <v>#N/A</v>
      </c>
      <c r="I139" s="1" t="e">
        <f t="shared" si="50"/>
        <v>#N/A</v>
      </c>
      <c r="J139" s="1" t="e">
        <f t="shared" si="51"/>
        <v>#N/A</v>
      </c>
      <c r="K139" s="1" t="e">
        <f t="shared" si="52"/>
        <v>#N/A</v>
      </c>
      <c r="L139" s="1" t="e">
        <f t="shared" si="53"/>
        <v>#N/A</v>
      </c>
      <c r="M139" s="1" t="e">
        <f t="shared" si="54"/>
        <v>#N/A</v>
      </c>
      <c r="N139" s="1" t="e">
        <f t="shared" si="55"/>
        <v>#N/A</v>
      </c>
      <c r="O139" s="1" t="e">
        <f t="shared" si="56"/>
        <v>#N/A</v>
      </c>
      <c r="P139" s="1" t="e">
        <f t="shared" si="57"/>
        <v>#N/A</v>
      </c>
      <c r="Q139" s="1" t="e">
        <f t="shared" si="58"/>
        <v>#N/A</v>
      </c>
      <c r="R139" s="1" t="e">
        <f t="shared" si="59"/>
        <v>#N/A</v>
      </c>
      <c r="S139" s="1" t="e">
        <f t="shared" si="60"/>
        <v>#N/A</v>
      </c>
      <c r="T139" s="1" t="e">
        <f t="shared" si="61"/>
        <v>#N/A</v>
      </c>
      <c r="U139" s="1" t="e">
        <f t="shared" si="62"/>
        <v>#N/A</v>
      </c>
      <c r="V139" s="1" t="e">
        <f t="shared" si="63"/>
        <v>#N/A</v>
      </c>
      <c r="W139" s="1" t="e">
        <f t="shared" si="64"/>
        <v>#N/A</v>
      </c>
      <c r="X139" s="1" t="e">
        <f t="shared" si="65"/>
        <v>#N/A</v>
      </c>
      <c r="Y139" s="1" t="e">
        <f t="shared" si="66"/>
        <v>#N/A</v>
      </c>
      <c r="Z139" s="1" t="e">
        <f t="shared" si="67"/>
        <v>#N/A</v>
      </c>
      <c r="AA139" s="1" t="e">
        <f t="shared" si="68"/>
        <v>#N/A</v>
      </c>
      <c r="AB139" s="1" t="e">
        <f t="shared" si="69"/>
        <v>#N/A</v>
      </c>
      <c r="AC139" s="1" t="e">
        <f t="shared" si="70"/>
        <v>#N/A</v>
      </c>
      <c r="AD139" s="1" t="e">
        <f t="shared" si="71"/>
        <v>#N/A</v>
      </c>
      <c r="AE139" s="1" t="e">
        <f t="shared" si="72"/>
        <v>#N/A</v>
      </c>
      <c r="AF139" s="1" t="e">
        <f t="shared" si="73"/>
        <v>#N/A</v>
      </c>
    </row>
    <row r="140" spans="2:32" hidden="1" x14ac:dyDescent="0.25">
      <c r="B140" s="5" t="str">
        <f t="shared" si="43"/>
        <v>5X</v>
      </c>
      <c r="C140" s="1">
        <f t="shared" si="44"/>
        <v>720</v>
      </c>
      <c r="D140" s="1">
        <f t="shared" si="45"/>
        <v>1000</v>
      </c>
      <c r="E140" s="1">
        <f t="shared" si="46"/>
        <v>1700</v>
      </c>
      <c r="F140" s="1">
        <f t="shared" si="47"/>
        <v>2100</v>
      </c>
      <c r="G140" s="1">
        <f t="shared" si="48"/>
        <v>2500</v>
      </c>
      <c r="H140" s="1" t="e">
        <f t="shared" si="49"/>
        <v>#N/A</v>
      </c>
      <c r="I140" s="1" t="e">
        <f t="shared" si="50"/>
        <v>#N/A</v>
      </c>
      <c r="J140" s="1" t="e">
        <f t="shared" si="51"/>
        <v>#N/A</v>
      </c>
      <c r="K140" s="1" t="e">
        <f t="shared" si="52"/>
        <v>#N/A</v>
      </c>
      <c r="L140" s="1" t="e">
        <f t="shared" si="53"/>
        <v>#N/A</v>
      </c>
      <c r="M140" s="1" t="e">
        <f t="shared" si="54"/>
        <v>#N/A</v>
      </c>
      <c r="N140" s="1" t="e">
        <f t="shared" si="55"/>
        <v>#N/A</v>
      </c>
      <c r="O140" s="1" t="e">
        <f t="shared" si="56"/>
        <v>#N/A</v>
      </c>
      <c r="P140" s="1" t="e">
        <f t="shared" si="57"/>
        <v>#N/A</v>
      </c>
      <c r="Q140" s="1" t="e">
        <f t="shared" si="58"/>
        <v>#N/A</v>
      </c>
      <c r="R140" s="1" t="e">
        <f t="shared" si="59"/>
        <v>#N/A</v>
      </c>
      <c r="S140" s="1" t="e">
        <f t="shared" si="60"/>
        <v>#N/A</v>
      </c>
      <c r="T140" s="1" t="e">
        <f t="shared" si="61"/>
        <v>#N/A</v>
      </c>
      <c r="U140" s="1" t="e">
        <f t="shared" si="62"/>
        <v>#N/A</v>
      </c>
      <c r="V140" s="1" t="e">
        <f t="shared" si="63"/>
        <v>#N/A</v>
      </c>
      <c r="W140" s="1" t="e">
        <f t="shared" si="64"/>
        <v>#N/A</v>
      </c>
      <c r="X140" s="1" t="e">
        <f t="shared" si="65"/>
        <v>#N/A</v>
      </c>
      <c r="Y140" s="1" t="e">
        <f t="shared" si="66"/>
        <v>#N/A</v>
      </c>
      <c r="Z140" s="1" t="e">
        <f t="shared" si="67"/>
        <v>#N/A</v>
      </c>
      <c r="AA140" s="1" t="e">
        <f t="shared" si="68"/>
        <v>#N/A</v>
      </c>
      <c r="AB140" s="1" t="e">
        <f t="shared" si="69"/>
        <v>#N/A</v>
      </c>
      <c r="AC140" s="1" t="e">
        <f t="shared" si="70"/>
        <v>#N/A</v>
      </c>
      <c r="AD140" s="1" t="e">
        <f t="shared" si="71"/>
        <v>#N/A</v>
      </c>
      <c r="AE140" s="1" t="e">
        <f t="shared" si="72"/>
        <v>#N/A</v>
      </c>
      <c r="AF140" s="1" t="e">
        <f t="shared" si="73"/>
        <v>#N/A</v>
      </c>
    </row>
    <row r="141" spans="2:32" hidden="1" x14ac:dyDescent="0.25">
      <c r="B141" s="5" t="str">
        <f t="shared" si="43"/>
        <v>X</v>
      </c>
      <c r="C141" s="1" t="e">
        <f t="shared" si="44"/>
        <v>#N/A</v>
      </c>
      <c r="D141" s="1" t="e">
        <f t="shared" si="45"/>
        <v>#N/A</v>
      </c>
      <c r="E141" s="1" t="e">
        <f t="shared" si="46"/>
        <v>#N/A</v>
      </c>
      <c r="F141" s="1" t="e">
        <f t="shared" si="47"/>
        <v>#N/A</v>
      </c>
      <c r="G141" s="1" t="e">
        <f t="shared" si="48"/>
        <v>#N/A</v>
      </c>
      <c r="H141" s="1" t="e">
        <f t="shared" si="49"/>
        <v>#N/A</v>
      </c>
      <c r="I141" s="1" t="e">
        <f t="shared" si="50"/>
        <v>#N/A</v>
      </c>
      <c r="J141" s="1" t="e">
        <f t="shared" si="51"/>
        <v>#N/A</v>
      </c>
      <c r="K141" s="1" t="e">
        <f t="shared" si="52"/>
        <v>#N/A</v>
      </c>
      <c r="L141" s="1" t="e">
        <f t="shared" si="53"/>
        <v>#N/A</v>
      </c>
      <c r="M141" s="1" t="e">
        <f t="shared" si="54"/>
        <v>#N/A</v>
      </c>
      <c r="N141" s="1" t="e">
        <f t="shared" si="55"/>
        <v>#N/A</v>
      </c>
      <c r="O141" s="1" t="e">
        <f t="shared" si="56"/>
        <v>#N/A</v>
      </c>
      <c r="P141" s="1" t="e">
        <f t="shared" si="57"/>
        <v>#N/A</v>
      </c>
      <c r="Q141" s="1" t="e">
        <f t="shared" si="58"/>
        <v>#N/A</v>
      </c>
      <c r="R141" s="1" t="e">
        <f t="shared" si="59"/>
        <v>#N/A</v>
      </c>
      <c r="S141" s="1" t="e">
        <f t="shared" si="60"/>
        <v>#N/A</v>
      </c>
      <c r="T141" s="1" t="e">
        <f t="shared" si="61"/>
        <v>#N/A</v>
      </c>
      <c r="U141" s="1" t="e">
        <f t="shared" si="62"/>
        <v>#N/A</v>
      </c>
      <c r="V141" s="1" t="e">
        <f t="shared" si="63"/>
        <v>#N/A</v>
      </c>
      <c r="W141" s="1" t="e">
        <f t="shared" si="64"/>
        <v>#N/A</v>
      </c>
      <c r="X141" s="1" t="e">
        <f t="shared" si="65"/>
        <v>#N/A</v>
      </c>
      <c r="Y141" s="1" t="e">
        <f t="shared" si="66"/>
        <v>#N/A</v>
      </c>
      <c r="Z141" s="1" t="e">
        <f t="shared" si="67"/>
        <v>#N/A</v>
      </c>
      <c r="AA141" s="1" t="e">
        <f t="shared" si="68"/>
        <v>#N/A</v>
      </c>
      <c r="AB141" s="1" t="e">
        <f t="shared" si="69"/>
        <v>#N/A</v>
      </c>
      <c r="AC141" s="1" t="e">
        <f t="shared" si="70"/>
        <v>#N/A</v>
      </c>
      <c r="AD141" s="1" t="e">
        <f t="shared" si="71"/>
        <v>#N/A</v>
      </c>
      <c r="AE141" s="1" t="e">
        <f t="shared" si="72"/>
        <v>#N/A</v>
      </c>
      <c r="AF141" s="1" t="e">
        <f t="shared" si="73"/>
        <v>#N/A</v>
      </c>
    </row>
    <row r="142" spans="2:32" hidden="1" x14ac:dyDescent="0.25">
      <c r="B142" s="5" t="str">
        <f t="shared" si="43"/>
        <v>X</v>
      </c>
      <c r="C142" s="1" t="e">
        <f t="shared" si="44"/>
        <v>#N/A</v>
      </c>
      <c r="D142" s="1" t="e">
        <f t="shared" si="45"/>
        <v>#N/A</v>
      </c>
      <c r="E142" s="1" t="e">
        <f t="shared" si="46"/>
        <v>#N/A</v>
      </c>
      <c r="F142" s="1" t="e">
        <f t="shared" si="47"/>
        <v>#N/A</v>
      </c>
      <c r="G142" s="1" t="e">
        <f t="shared" si="48"/>
        <v>#N/A</v>
      </c>
      <c r="H142" s="1" t="e">
        <f t="shared" si="49"/>
        <v>#N/A</v>
      </c>
      <c r="I142" s="1" t="e">
        <f t="shared" si="50"/>
        <v>#N/A</v>
      </c>
      <c r="J142" s="1" t="e">
        <f t="shared" si="51"/>
        <v>#N/A</v>
      </c>
      <c r="K142" s="1" t="e">
        <f t="shared" si="52"/>
        <v>#N/A</v>
      </c>
      <c r="L142" s="1" t="e">
        <f t="shared" si="53"/>
        <v>#N/A</v>
      </c>
      <c r="M142" s="1" t="e">
        <f t="shared" si="54"/>
        <v>#N/A</v>
      </c>
      <c r="N142" s="1" t="e">
        <f t="shared" si="55"/>
        <v>#N/A</v>
      </c>
      <c r="O142" s="1" t="e">
        <f t="shared" si="56"/>
        <v>#N/A</v>
      </c>
      <c r="P142" s="1" t="e">
        <f t="shared" si="57"/>
        <v>#N/A</v>
      </c>
      <c r="Q142" s="1" t="e">
        <f t="shared" si="58"/>
        <v>#N/A</v>
      </c>
      <c r="R142" s="1" t="e">
        <f t="shared" si="59"/>
        <v>#N/A</v>
      </c>
      <c r="S142" s="1" t="e">
        <f t="shared" si="60"/>
        <v>#N/A</v>
      </c>
      <c r="T142" s="1" t="e">
        <f t="shared" si="61"/>
        <v>#N/A</v>
      </c>
      <c r="U142" s="1" t="e">
        <f t="shared" si="62"/>
        <v>#N/A</v>
      </c>
      <c r="V142" s="1" t="e">
        <f t="shared" si="63"/>
        <v>#N/A</v>
      </c>
      <c r="W142" s="1" t="e">
        <f t="shared" si="64"/>
        <v>#N/A</v>
      </c>
      <c r="X142" s="1" t="e">
        <f t="shared" si="65"/>
        <v>#N/A</v>
      </c>
      <c r="Y142" s="1" t="e">
        <f t="shared" si="66"/>
        <v>#N/A</v>
      </c>
      <c r="Z142" s="1" t="e">
        <f t="shared" si="67"/>
        <v>#N/A</v>
      </c>
      <c r="AA142" s="1" t="e">
        <f t="shared" si="68"/>
        <v>#N/A</v>
      </c>
      <c r="AB142" s="1" t="e">
        <f t="shared" si="69"/>
        <v>#N/A</v>
      </c>
      <c r="AC142" s="1" t="e">
        <f t="shared" si="70"/>
        <v>#N/A</v>
      </c>
      <c r="AD142" s="1" t="e">
        <f t="shared" si="71"/>
        <v>#N/A</v>
      </c>
      <c r="AE142" s="1" t="e">
        <f t="shared" si="72"/>
        <v>#N/A</v>
      </c>
      <c r="AF142" s="1" t="e">
        <f t="shared" si="73"/>
        <v>#N/A</v>
      </c>
    </row>
    <row r="143" spans="2:32" hidden="1" x14ac:dyDescent="0.25">
      <c r="B143" s="5" t="str">
        <f t="shared" si="43"/>
        <v>X</v>
      </c>
      <c r="C143" s="1" t="e">
        <f t="shared" si="44"/>
        <v>#N/A</v>
      </c>
      <c r="D143" s="1" t="e">
        <f t="shared" si="45"/>
        <v>#N/A</v>
      </c>
      <c r="E143" s="1" t="e">
        <f t="shared" si="46"/>
        <v>#N/A</v>
      </c>
      <c r="F143" s="1" t="e">
        <f t="shared" si="47"/>
        <v>#N/A</v>
      </c>
      <c r="G143" s="1" t="e">
        <f t="shared" si="48"/>
        <v>#N/A</v>
      </c>
      <c r="H143" s="1" t="e">
        <f t="shared" si="49"/>
        <v>#N/A</v>
      </c>
      <c r="I143" s="1" t="e">
        <f t="shared" si="50"/>
        <v>#N/A</v>
      </c>
      <c r="J143" s="1" t="e">
        <f t="shared" si="51"/>
        <v>#N/A</v>
      </c>
      <c r="K143" s="1" t="e">
        <f t="shared" si="52"/>
        <v>#N/A</v>
      </c>
      <c r="L143" s="1" t="e">
        <f t="shared" si="53"/>
        <v>#N/A</v>
      </c>
      <c r="M143" s="1" t="e">
        <f t="shared" si="54"/>
        <v>#N/A</v>
      </c>
      <c r="N143" s="1" t="e">
        <f t="shared" si="55"/>
        <v>#N/A</v>
      </c>
      <c r="O143" s="1" t="e">
        <f t="shared" si="56"/>
        <v>#N/A</v>
      </c>
      <c r="P143" s="1" t="e">
        <f t="shared" si="57"/>
        <v>#N/A</v>
      </c>
      <c r="Q143" s="1" t="e">
        <f t="shared" si="58"/>
        <v>#N/A</v>
      </c>
      <c r="R143" s="1" t="e">
        <f t="shared" si="59"/>
        <v>#N/A</v>
      </c>
      <c r="S143" s="1" t="e">
        <f t="shared" si="60"/>
        <v>#N/A</v>
      </c>
      <c r="T143" s="1" t="e">
        <f t="shared" si="61"/>
        <v>#N/A</v>
      </c>
      <c r="U143" s="1" t="e">
        <f t="shared" si="62"/>
        <v>#N/A</v>
      </c>
      <c r="V143" s="1" t="e">
        <f t="shared" si="63"/>
        <v>#N/A</v>
      </c>
      <c r="W143" s="1" t="e">
        <f t="shared" si="64"/>
        <v>#N/A</v>
      </c>
      <c r="X143" s="1" t="e">
        <f t="shared" si="65"/>
        <v>#N/A</v>
      </c>
      <c r="Y143" s="1" t="e">
        <f t="shared" si="66"/>
        <v>#N/A</v>
      </c>
      <c r="Z143" s="1" t="e">
        <f t="shared" si="67"/>
        <v>#N/A</v>
      </c>
      <c r="AA143" s="1" t="e">
        <f t="shared" si="68"/>
        <v>#N/A</v>
      </c>
      <c r="AB143" s="1" t="e">
        <f t="shared" si="69"/>
        <v>#N/A</v>
      </c>
      <c r="AC143" s="1" t="e">
        <f t="shared" si="70"/>
        <v>#N/A</v>
      </c>
      <c r="AD143" s="1" t="e">
        <f t="shared" si="71"/>
        <v>#N/A</v>
      </c>
      <c r="AE143" s="1" t="e">
        <f t="shared" si="72"/>
        <v>#N/A</v>
      </c>
      <c r="AF143" s="1" t="e">
        <f t="shared" si="73"/>
        <v>#N/A</v>
      </c>
    </row>
    <row r="144" spans="2:32" hidden="1" x14ac:dyDescent="0.25">
      <c r="B144" s="5" t="str">
        <f t="shared" si="43"/>
        <v>X</v>
      </c>
      <c r="C144" s="1" t="e">
        <f t="shared" si="44"/>
        <v>#N/A</v>
      </c>
      <c r="D144" s="1" t="e">
        <f t="shared" si="45"/>
        <v>#N/A</v>
      </c>
      <c r="E144" s="1" t="e">
        <f t="shared" si="46"/>
        <v>#N/A</v>
      </c>
      <c r="F144" s="1" t="e">
        <f t="shared" si="47"/>
        <v>#N/A</v>
      </c>
      <c r="G144" s="1" t="e">
        <f t="shared" si="48"/>
        <v>#N/A</v>
      </c>
      <c r="H144" s="1" t="e">
        <f t="shared" si="49"/>
        <v>#N/A</v>
      </c>
      <c r="I144" s="1" t="e">
        <f t="shared" si="50"/>
        <v>#N/A</v>
      </c>
      <c r="J144" s="1" t="e">
        <f t="shared" si="51"/>
        <v>#N/A</v>
      </c>
      <c r="K144" s="1" t="e">
        <f t="shared" si="52"/>
        <v>#N/A</v>
      </c>
      <c r="L144" s="1" t="e">
        <f t="shared" si="53"/>
        <v>#N/A</v>
      </c>
      <c r="M144" s="1" t="e">
        <f t="shared" si="54"/>
        <v>#N/A</v>
      </c>
      <c r="N144" s="1" t="e">
        <f t="shared" si="55"/>
        <v>#N/A</v>
      </c>
      <c r="O144" s="1" t="e">
        <f t="shared" si="56"/>
        <v>#N/A</v>
      </c>
      <c r="P144" s="1" t="e">
        <f t="shared" si="57"/>
        <v>#N/A</v>
      </c>
      <c r="Q144" s="1" t="e">
        <f t="shared" si="58"/>
        <v>#N/A</v>
      </c>
      <c r="R144" s="1" t="e">
        <f t="shared" si="59"/>
        <v>#N/A</v>
      </c>
      <c r="S144" s="1" t="e">
        <f t="shared" si="60"/>
        <v>#N/A</v>
      </c>
      <c r="T144" s="1" t="e">
        <f t="shared" si="61"/>
        <v>#N/A</v>
      </c>
      <c r="U144" s="1" t="e">
        <f t="shared" si="62"/>
        <v>#N/A</v>
      </c>
      <c r="V144" s="1" t="e">
        <f t="shared" si="63"/>
        <v>#N/A</v>
      </c>
      <c r="W144" s="1" t="e">
        <f t="shared" si="64"/>
        <v>#N/A</v>
      </c>
      <c r="X144" s="1" t="e">
        <f t="shared" si="65"/>
        <v>#N/A</v>
      </c>
      <c r="Y144" s="1" t="e">
        <f t="shared" si="66"/>
        <v>#N/A</v>
      </c>
      <c r="Z144" s="1" t="e">
        <f t="shared" si="67"/>
        <v>#N/A</v>
      </c>
      <c r="AA144" s="1" t="e">
        <f t="shared" si="68"/>
        <v>#N/A</v>
      </c>
      <c r="AB144" s="1" t="e">
        <f t="shared" si="69"/>
        <v>#N/A</v>
      </c>
      <c r="AC144" s="1" t="e">
        <f t="shared" si="70"/>
        <v>#N/A</v>
      </c>
      <c r="AD144" s="1" t="e">
        <f t="shared" si="71"/>
        <v>#N/A</v>
      </c>
      <c r="AE144" s="1" t="e">
        <f t="shared" si="72"/>
        <v>#N/A</v>
      </c>
      <c r="AF144" s="1" t="e">
        <f t="shared" si="73"/>
        <v>#N/A</v>
      </c>
    </row>
    <row r="145" spans="2:32" hidden="1" x14ac:dyDescent="0.25">
      <c r="B145" s="5" t="str">
        <f t="shared" si="43"/>
        <v>X</v>
      </c>
      <c r="C145" s="1" t="e">
        <f t="shared" si="44"/>
        <v>#N/A</v>
      </c>
      <c r="D145" s="1" t="e">
        <f t="shared" si="45"/>
        <v>#N/A</v>
      </c>
      <c r="E145" s="1" t="e">
        <f t="shared" si="46"/>
        <v>#N/A</v>
      </c>
      <c r="F145" s="1" t="e">
        <f t="shared" si="47"/>
        <v>#N/A</v>
      </c>
      <c r="G145" s="1" t="e">
        <f t="shared" si="48"/>
        <v>#N/A</v>
      </c>
      <c r="H145" s="1" t="e">
        <f t="shared" si="49"/>
        <v>#N/A</v>
      </c>
      <c r="I145" s="1" t="e">
        <f t="shared" si="50"/>
        <v>#N/A</v>
      </c>
      <c r="J145" s="1" t="e">
        <f t="shared" si="51"/>
        <v>#N/A</v>
      </c>
      <c r="K145" s="1" t="e">
        <f t="shared" si="52"/>
        <v>#N/A</v>
      </c>
      <c r="L145" s="1" t="e">
        <f t="shared" si="53"/>
        <v>#N/A</v>
      </c>
      <c r="M145" s="1" t="e">
        <f t="shared" si="54"/>
        <v>#N/A</v>
      </c>
      <c r="N145" s="1" t="e">
        <f t="shared" si="55"/>
        <v>#N/A</v>
      </c>
      <c r="O145" s="1" t="e">
        <f t="shared" si="56"/>
        <v>#N/A</v>
      </c>
      <c r="P145" s="1" t="e">
        <f t="shared" si="57"/>
        <v>#N/A</v>
      </c>
      <c r="Q145" s="1" t="e">
        <f t="shared" si="58"/>
        <v>#N/A</v>
      </c>
      <c r="R145" s="1" t="e">
        <f t="shared" si="59"/>
        <v>#N/A</v>
      </c>
      <c r="S145" s="1" t="e">
        <f t="shared" si="60"/>
        <v>#N/A</v>
      </c>
      <c r="T145" s="1" t="e">
        <f t="shared" si="61"/>
        <v>#N/A</v>
      </c>
      <c r="U145" s="1" t="e">
        <f t="shared" si="62"/>
        <v>#N/A</v>
      </c>
      <c r="V145" s="1" t="e">
        <f t="shared" si="63"/>
        <v>#N/A</v>
      </c>
      <c r="W145" s="1" t="e">
        <f t="shared" si="64"/>
        <v>#N/A</v>
      </c>
      <c r="X145" s="1" t="e">
        <f t="shared" si="65"/>
        <v>#N/A</v>
      </c>
      <c r="Y145" s="1" t="e">
        <f t="shared" si="66"/>
        <v>#N/A</v>
      </c>
      <c r="Z145" s="1" t="e">
        <f t="shared" si="67"/>
        <v>#N/A</v>
      </c>
      <c r="AA145" s="1" t="e">
        <f t="shared" si="68"/>
        <v>#N/A</v>
      </c>
      <c r="AB145" s="1" t="e">
        <f t="shared" si="69"/>
        <v>#N/A</v>
      </c>
      <c r="AC145" s="1" t="e">
        <f t="shared" si="70"/>
        <v>#N/A</v>
      </c>
      <c r="AD145" s="1" t="e">
        <f t="shared" si="71"/>
        <v>#N/A</v>
      </c>
      <c r="AE145" s="1" t="e">
        <f t="shared" si="72"/>
        <v>#N/A</v>
      </c>
      <c r="AF145" s="1" t="e">
        <f t="shared" si="73"/>
        <v>#N/A</v>
      </c>
    </row>
    <row r="146" spans="2:32" hidden="1" x14ac:dyDescent="0.25">
      <c r="B146" s="5" t="str">
        <f t="shared" si="43"/>
        <v>X</v>
      </c>
      <c r="C146" s="1" t="e">
        <f t="shared" si="44"/>
        <v>#N/A</v>
      </c>
      <c r="D146" s="1" t="e">
        <f t="shared" si="45"/>
        <v>#N/A</v>
      </c>
      <c r="E146" s="1" t="e">
        <f t="shared" si="46"/>
        <v>#N/A</v>
      </c>
      <c r="F146" s="1" t="e">
        <f t="shared" si="47"/>
        <v>#N/A</v>
      </c>
      <c r="G146" s="1" t="e">
        <f t="shared" si="48"/>
        <v>#N/A</v>
      </c>
      <c r="H146" s="1" t="e">
        <f t="shared" si="49"/>
        <v>#N/A</v>
      </c>
      <c r="I146" s="1" t="e">
        <f t="shared" si="50"/>
        <v>#N/A</v>
      </c>
      <c r="J146" s="1" t="e">
        <f t="shared" si="51"/>
        <v>#N/A</v>
      </c>
      <c r="K146" s="1" t="e">
        <f t="shared" si="52"/>
        <v>#N/A</v>
      </c>
      <c r="L146" s="1" t="e">
        <f t="shared" si="53"/>
        <v>#N/A</v>
      </c>
      <c r="M146" s="1" t="e">
        <f t="shared" si="54"/>
        <v>#N/A</v>
      </c>
      <c r="N146" s="1" t="e">
        <f t="shared" si="55"/>
        <v>#N/A</v>
      </c>
      <c r="O146" s="1" t="e">
        <f t="shared" si="56"/>
        <v>#N/A</v>
      </c>
      <c r="P146" s="1" t="e">
        <f t="shared" si="57"/>
        <v>#N/A</v>
      </c>
      <c r="Q146" s="1" t="e">
        <f t="shared" si="58"/>
        <v>#N/A</v>
      </c>
      <c r="R146" s="1" t="e">
        <f t="shared" si="59"/>
        <v>#N/A</v>
      </c>
      <c r="S146" s="1" t="e">
        <f t="shared" si="60"/>
        <v>#N/A</v>
      </c>
      <c r="T146" s="1" t="e">
        <f t="shared" si="61"/>
        <v>#N/A</v>
      </c>
      <c r="U146" s="1" t="e">
        <f t="shared" si="62"/>
        <v>#N/A</v>
      </c>
      <c r="V146" s="1" t="e">
        <f t="shared" si="63"/>
        <v>#N/A</v>
      </c>
      <c r="W146" s="1" t="e">
        <f t="shared" si="64"/>
        <v>#N/A</v>
      </c>
      <c r="X146" s="1" t="e">
        <f t="shared" si="65"/>
        <v>#N/A</v>
      </c>
      <c r="Y146" s="1" t="e">
        <f t="shared" si="66"/>
        <v>#N/A</v>
      </c>
      <c r="Z146" s="1" t="e">
        <f t="shared" si="67"/>
        <v>#N/A</v>
      </c>
      <c r="AA146" s="1" t="e">
        <f t="shared" si="68"/>
        <v>#N/A</v>
      </c>
      <c r="AB146" s="1" t="e">
        <f t="shared" si="69"/>
        <v>#N/A</v>
      </c>
      <c r="AC146" s="1" t="e">
        <f t="shared" si="70"/>
        <v>#N/A</v>
      </c>
      <c r="AD146" s="1" t="e">
        <f t="shared" si="71"/>
        <v>#N/A</v>
      </c>
      <c r="AE146" s="1" t="e">
        <f t="shared" si="72"/>
        <v>#N/A</v>
      </c>
      <c r="AF146" s="1" t="e">
        <f t="shared" si="73"/>
        <v>#N/A</v>
      </c>
    </row>
    <row r="147" spans="2:32" hidden="1" x14ac:dyDescent="0.25">
      <c r="B147" s="5" t="str">
        <f t="shared" si="43"/>
        <v>X</v>
      </c>
      <c r="C147" s="1" t="e">
        <f t="shared" si="44"/>
        <v>#N/A</v>
      </c>
      <c r="D147" s="1" t="e">
        <f t="shared" si="45"/>
        <v>#N/A</v>
      </c>
      <c r="E147" s="1" t="e">
        <f t="shared" si="46"/>
        <v>#N/A</v>
      </c>
      <c r="F147" s="1" t="e">
        <f t="shared" si="47"/>
        <v>#N/A</v>
      </c>
      <c r="G147" s="1" t="e">
        <f t="shared" si="48"/>
        <v>#N/A</v>
      </c>
      <c r="H147" s="1" t="e">
        <f t="shared" si="49"/>
        <v>#N/A</v>
      </c>
      <c r="I147" s="1" t="e">
        <f t="shared" si="50"/>
        <v>#N/A</v>
      </c>
      <c r="J147" s="1" t="e">
        <f t="shared" si="51"/>
        <v>#N/A</v>
      </c>
      <c r="K147" s="1" t="e">
        <f t="shared" si="52"/>
        <v>#N/A</v>
      </c>
      <c r="L147" s="1" t="e">
        <f t="shared" si="53"/>
        <v>#N/A</v>
      </c>
      <c r="M147" s="1" t="e">
        <f t="shared" si="54"/>
        <v>#N/A</v>
      </c>
      <c r="N147" s="1" t="e">
        <f t="shared" si="55"/>
        <v>#N/A</v>
      </c>
      <c r="O147" s="1" t="e">
        <f t="shared" si="56"/>
        <v>#N/A</v>
      </c>
      <c r="P147" s="1" t="e">
        <f t="shared" si="57"/>
        <v>#N/A</v>
      </c>
      <c r="Q147" s="1" t="e">
        <f t="shared" si="58"/>
        <v>#N/A</v>
      </c>
      <c r="R147" s="1" t="e">
        <f t="shared" si="59"/>
        <v>#N/A</v>
      </c>
      <c r="S147" s="1" t="e">
        <f t="shared" si="60"/>
        <v>#N/A</v>
      </c>
      <c r="T147" s="1" t="e">
        <f t="shared" si="61"/>
        <v>#N/A</v>
      </c>
      <c r="U147" s="1" t="e">
        <f t="shared" si="62"/>
        <v>#N/A</v>
      </c>
      <c r="V147" s="1" t="e">
        <f t="shared" si="63"/>
        <v>#N/A</v>
      </c>
      <c r="W147" s="1" t="e">
        <f t="shared" si="64"/>
        <v>#N/A</v>
      </c>
      <c r="X147" s="1" t="e">
        <f t="shared" si="65"/>
        <v>#N/A</v>
      </c>
      <c r="Y147" s="1" t="e">
        <f t="shared" si="66"/>
        <v>#N/A</v>
      </c>
      <c r="Z147" s="1" t="e">
        <f t="shared" si="67"/>
        <v>#N/A</v>
      </c>
      <c r="AA147" s="1" t="e">
        <f t="shared" si="68"/>
        <v>#N/A</v>
      </c>
      <c r="AB147" s="1" t="e">
        <f t="shared" si="69"/>
        <v>#N/A</v>
      </c>
      <c r="AC147" s="1" t="e">
        <f t="shared" si="70"/>
        <v>#N/A</v>
      </c>
      <c r="AD147" s="1" t="e">
        <f t="shared" si="71"/>
        <v>#N/A</v>
      </c>
      <c r="AE147" s="1" t="e">
        <f t="shared" si="72"/>
        <v>#N/A</v>
      </c>
      <c r="AF147" s="1" t="e">
        <f t="shared" si="73"/>
        <v>#N/A</v>
      </c>
    </row>
    <row r="148" spans="2:32" hidden="1" x14ac:dyDescent="0.25">
      <c r="B148" s="5" t="str">
        <f t="shared" si="43"/>
        <v>X</v>
      </c>
      <c r="C148" s="1" t="e">
        <f t="shared" si="44"/>
        <v>#N/A</v>
      </c>
      <c r="D148" s="1" t="e">
        <f t="shared" si="45"/>
        <v>#N/A</v>
      </c>
      <c r="E148" s="1" t="e">
        <f t="shared" si="46"/>
        <v>#N/A</v>
      </c>
      <c r="F148" s="1" t="e">
        <f t="shared" si="47"/>
        <v>#N/A</v>
      </c>
      <c r="G148" s="1" t="e">
        <f t="shared" si="48"/>
        <v>#N/A</v>
      </c>
      <c r="H148" s="1" t="e">
        <f t="shared" si="49"/>
        <v>#N/A</v>
      </c>
      <c r="I148" s="1" t="e">
        <f t="shared" si="50"/>
        <v>#N/A</v>
      </c>
      <c r="J148" s="1" t="e">
        <f t="shared" si="51"/>
        <v>#N/A</v>
      </c>
      <c r="K148" s="1" t="e">
        <f t="shared" si="52"/>
        <v>#N/A</v>
      </c>
      <c r="L148" s="1" t="e">
        <f t="shared" si="53"/>
        <v>#N/A</v>
      </c>
      <c r="M148" s="1" t="e">
        <f t="shared" si="54"/>
        <v>#N/A</v>
      </c>
      <c r="N148" s="1" t="e">
        <f t="shared" si="55"/>
        <v>#N/A</v>
      </c>
      <c r="O148" s="1" t="e">
        <f t="shared" si="56"/>
        <v>#N/A</v>
      </c>
      <c r="P148" s="1" t="e">
        <f t="shared" si="57"/>
        <v>#N/A</v>
      </c>
      <c r="Q148" s="1" t="e">
        <f t="shared" si="58"/>
        <v>#N/A</v>
      </c>
      <c r="R148" s="1" t="e">
        <f t="shared" si="59"/>
        <v>#N/A</v>
      </c>
      <c r="S148" s="1" t="e">
        <f t="shared" si="60"/>
        <v>#N/A</v>
      </c>
      <c r="T148" s="1" t="e">
        <f t="shared" si="61"/>
        <v>#N/A</v>
      </c>
      <c r="U148" s="1" t="e">
        <f t="shared" si="62"/>
        <v>#N/A</v>
      </c>
      <c r="V148" s="1" t="e">
        <f t="shared" si="63"/>
        <v>#N/A</v>
      </c>
      <c r="W148" s="1" t="e">
        <f t="shared" si="64"/>
        <v>#N/A</v>
      </c>
      <c r="X148" s="1" t="e">
        <f t="shared" si="65"/>
        <v>#N/A</v>
      </c>
      <c r="Y148" s="1" t="e">
        <f t="shared" si="66"/>
        <v>#N/A</v>
      </c>
      <c r="Z148" s="1" t="e">
        <f t="shared" si="67"/>
        <v>#N/A</v>
      </c>
      <c r="AA148" s="1" t="e">
        <f t="shared" si="68"/>
        <v>#N/A</v>
      </c>
      <c r="AB148" s="1" t="e">
        <f t="shared" si="69"/>
        <v>#N/A</v>
      </c>
      <c r="AC148" s="1" t="e">
        <f t="shared" si="70"/>
        <v>#N/A</v>
      </c>
      <c r="AD148" s="1" t="e">
        <f t="shared" si="71"/>
        <v>#N/A</v>
      </c>
      <c r="AE148" s="1" t="e">
        <f t="shared" si="72"/>
        <v>#N/A</v>
      </c>
      <c r="AF148" s="1" t="e">
        <f t="shared" si="73"/>
        <v>#N/A</v>
      </c>
    </row>
    <row r="149" spans="2:32" hidden="1" x14ac:dyDescent="0.25">
      <c r="B149" s="5" t="str">
        <f t="shared" si="43"/>
        <v>X</v>
      </c>
      <c r="C149" s="1" t="e">
        <f t="shared" si="44"/>
        <v>#N/A</v>
      </c>
      <c r="D149" s="1" t="e">
        <f t="shared" si="45"/>
        <v>#N/A</v>
      </c>
      <c r="E149" s="1" t="e">
        <f t="shared" si="46"/>
        <v>#N/A</v>
      </c>
      <c r="F149" s="1" t="e">
        <f t="shared" si="47"/>
        <v>#N/A</v>
      </c>
      <c r="G149" s="1" t="e">
        <f t="shared" si="48"/>
        <v>#N/A</v>
      </c>
      <c r="H149" s="1" t="e">
        <f t="shared" si="49"/>
        <v>#N/A</v>
      </c>
      <c r="I149" s="1" t="e">
        <f t="shared" si="50"/>
        <v>#N/A</v>
      </c>
      <c r="J149" s="1" t="e">
        <f t="shared" si="51"/>
        <v>#N/A</v>
      </c>
      <c r="K149" s="1" t="e">
        <f t="shared" si="52"/>
        <v>#N/A</v>
      </c>
      <c r="L149" s="1" t="e">
        <f t="shared" si="53"/>
        <v>#N/A</v>
      </c>
      <c r="M149" s="1" t="e">
        <f t="shared" si="54"/>
        <v>#N/A</v>
      </c>
      <c r="N149" s="1" t="e">
        <f t="shared" si="55"/>
        <v>#N/A</v>
      </c>
      <c r="O149" s="1" t="e">
        <f t="shared" si="56"/>
        <v>#N/A</v>
      </c>
      <c r="P149" s="1" t="e">
        <f t="shared" si="57"/>
        <v>#N/A</v>
      </c>
      <c r="Q149" s="1" t="e">
        <f t="shared" si="58"/>
        <v>#N/A</v>
      </c>
      <c r="R149" s="1" t="e">
        <f t="shared" si="59"/>
        <v>#N/A</v>
      </c>
      <c r="S149" s="1" t="e">
        <f t="shared" si="60"/>
        <v>#N/A</v>
      </c>
      <c r="T149" s="1" t="e">
        <f t="shared" si="61"/>
        <v>#N/A</v>
      </c>
      <c r="U149" s="1" t="e">
        <f t="shared" si="62"/>
        <v>#N/A</v>
      </c>
      <c r="V149" s="1" t="e">
        <f t="shared" si="63"/>
        <v>#N/A</v>
      </c>
      <c r="W149" s="1" t="e">
        <f t="shared" si="64"/>
        <v>#N/A</v>
      </c>
      <c r="X149" s="1" t="e">
        <f t="shared" si="65"/>
        <v>#N/A</v>
      </c>
      <c r="Y149" s="1" t="e">
        <f t="shared" si="66"/>
        <v>#N/A</v>
      </c>
      <c r="Z149" s="1" t="e">
        <f t="shared" si="67"/>
        <v>#N/A</v>
      </c>
      <c r="AA149" s="1" t="e">
        <f t="shared" si="68"/>
        <v>#N/A</v>
      </c>
      <c r="AB149" s="1" t="e">
        <f t="shared" si="69"/>
        <v>#N/A</v>
      </c>
      <c r="AC149" s="1" t="e">
        <f t="shared" si="70"/>
        <v>#N/A</v>
      </c>
      <c r="AD149" s="1" t="e">
        <f t="shared" si="71"/>
        <v>#N/A</v>
      </c>
      <c r="AE149" s="1" t="e">
        <f t="shared" si="72"/>
        <v>#N/A</v>
      </c>
      <c r="AF149" s="1" t="e">
        <f t="shared" si="73"/>
        <v>#N/A</v>
      </c>
    </row>
    <row r="150" spans="2:32" hidden="1" x14ac:dyDescent="0.25">
      <c r="B150" s="5" t="str">
        <f t="shared" si="43"/>
        <v>X</v>
      </c>
      <c r="C150" s="1" t="e">
        <f t="shared" si="44"/>
        <v>#N/A</v>
      </c>
      <c r="D150" s="1" t="e">
        <f t="shared" si="45"/>
        <v>#N/A</v>
      </c>
      <c r="E150" s="1" t="e">
        <f t="shared" si="46"/>
        <v>#N/A</v>
      </c>
      <c r="F150" s="1" t="e">
        <f t="shared" si="47"/>
        <v>#N/A</v>
      </c>
      <c r="G150" s="1" t="e">
        <f t="shared" si="48"/>
        <v>#N/A</v>
      </c>
      <c r="H150" s="1" t="e">
        <f t="shared" si="49"/>
        <v>#N/A</v>
      </c>
      <c r="I150" s="1" t="e">
        <f t="shared" si="50"/>
        <v>#N/A</v>
      </c>
      <c r="J150" s="1" t="e">
        <f t="shared" si="51"/>
        <v>#N/A</v>
      </c>
      <c r="K150" s="1" t="e">
        <f t="shared" si="52"/>
        <v>#N/A</v>
      </c>
      <c r="L150" s="1" t="e">
        <f t="shared" si="53"/>
        <v>#N/A</v>
      </c>
      <c r="M150" s="1" t="e">
        <f t="shared" si="54"/>
        <v>#N/A</v>
      </c>
      <c r="N150" s="1" t="e">
        <f t="shared" si="55"/>
        <v>#N/A</v>
      </c>
      <c r="O150" s="1" t="e">
        <f t="shared" si="56"/>
        <v>#N/A</v>
      </c>
      <c r="P150" s="1" t="e">
        <f t="shared" si="57"/>
        <v>#N/A</v>
      </c>
      <c r="Q150" s="1" t="e">
        <f t="shared" si="58"/>
        <v>#N/A</v>
      </c>
      <c r="R150" s="1" t="e">
        <f t="shared" si="59"/>
        <v>#N/A</v>
      </c>
      <c r="S150" s="1" t="e">
        <f t="shared" si="60"/>
        <v>#N/A</v>
      </c>
      <c r="T150" s="1" t="e">
        <f t="shared" si="61"/>
        <v>#N/A</v>
      </c>
      <c r="U150" s="1" t="e">
        <f t="shared" si="62"/>
        <v>#N/A</v>
      </c>
      <c r="V150" s="1" t="e">
        <f t="shared" si="63"/>
        <v>#N/A</v>
      </c>
      <c r="W150" s="1" t="e">
        <f t="shared" si="64"/>
        <v>#N/A</v>
      </c>
      <c r="X150" s="1" t="e">
        <f t="shared" si="65"/>
        <v>#N/A</v>
      </c>
      <c r="Y150" s="1" t="e">
        <f t="shared" si="66"/>
        <v>#N/A</v>
      </c>
      <c r="Z150" s="1" t="e">
        <f t="shared" si="67"/>
        <v>#N/A</v>
      </c>
      <c r="AA150" s="1" t="e">
        <f t="shared" si="68"/>
        <v>#N/A</v>
      </c>
      <c r="AB150" s="1" t="e">
        <f t="shared" si="69"/>
        <v>#N/A</v>
      </c>
      <c r="AC150" s="1" t="e">
        <f t="shared" si="70"/>
        <v>#N/A</v>
      </c>
      <c r="AD150" s="1" t="e">
        <f t="shared" si="71"/>
        <v>#N/A</v>
      </c>
      <c r="AE150" s="1" t="e">
        <f t="shared" si="72"/>
        <v>#N/A</v>
      </c>
      <c r="AF150" s="1" t="e">
        <f t="shared" si="73"/>
        <v>#N/A</v>
      </c>
    </row>
    <row r="151" spans="2:32" hidden="1" x14ac:dyDescent="0.25">
      <c r="B151" s="5" t="str">
        <f t="shared" si="43"/>
        <v>X</v>
      </c>
      <c r="C151" s="1" t="e">
        <f t="shared" si="44"/>
        <v>#N/A</v>
      </c>
      <c r="D151" s="1" t="e">
        <f t="shared" si="45"/>
        <v>#N/A</v>
      </c>
      <c r="E151" s="1" t="e">
        <f t="shared" si="46"/>
        <v>#N/A</v>
      </c>
      <c r="F151" s="1" t="e">
        <f t="shared" si="47"/>
        <v>#N/A</v>
      </c>
      <c r="G151" s="1" t="e">
        <f t="shared" si="48"/>
        <v>#N/A</v>
      </c>
      <c r="H151" s="1" t="e">
        <f t="shared" si="49"/>
        <v>#N/A</v>
      </c>
      <c r="I151" s="1" t="e">
        <f t="shared" si="50"/>
        <v>#N/A</v>
      </c>
      <c r="J151" s="1" t="e">
        <f t="shared" si="51"/>
        <v>#N/A</v>
      </c>
      <c r="K151" s="1" t="e">
        <f t="shared" si="52"/>
        <v>#N/A</v>
      </c>
      <c r="L151" s="1" t="e">
        <f t="shared" si="53"/>
        <v>#N/A</v>
      </c>
      <c r="M151" s="1" t="e">
        <f t="shared" si="54"/>
        <v>#N/A</v>
      </c>
      <c r="N151" s="1" t="e">
        <f t="shared" si="55"/>
        <v>#N/A</v>
      </c>
      <c r="O151" s="1" t="e">
        <f t="shared" si="56"/>
        <v>#N/A</v>
      </c>
      <c r="P151" s="1" t="e">
        <f t="shared" si="57"/>
        <v>#N/A</v>
      </c>
      <c r="Q151" s="1" t="e">
        <f t="shared" si="58"/>
        <v>#N/A</v>
      </c>
      <c r="R151" s="1" t="e">
        <f t="shared" si="59"/>
        <v>#N/A</v>
      </c>
      <c r="S151" s="1" t="e">
        <f t="shared" si="60"/>
        <v>#N/A</v>
      </c>
      <c r="T151" s="1" t="e">
        <f t="shared" si="61"/>
        <v>#N/A</v>
      </c>
      <c r="U151" s="1" t="e">
        <f t="shared" si="62"/>
        <v>#N/A</v>
      </c>
      <c r="V151" s="1" t="e">
        <f t="shared" si="63"/>
        <v>#N/A</v>
      </c>
      <c r="W151" s="1" t="e">
        <f t="shared" si="64"/>
        <v>#N/A</v>
      </c>
      <c r="X151" s="1" t="e">
        <f t="shared" si="65"/>
        <v>#N/A</v>
      </c>
      <c r="Y151" s="1" t="e">
        <f t="shared" si="66"/>
        <v>#N/A</v>
      </c>
      <c r="Z151" s="1" t="e">
        <f t="shared" si="67"/>
        <v>#N/A</v>
      </c>
      <c r="AA151" s="1" t="e">
        <f t="shared" si="68"/>
        <v>#N/A</v>
      </c>
      <c r="AB151" s="1" t="e">
        <f t="shared" si="69"/>
        <v>#N/A</v>
      </c>
      <c r="AC151" s="1" t="e">
        <f t="shared" si="70"/>
        <v>#N/A</v>
      </c>
      <c r="AD151" s="1" t="e">
        <f t="shared" si="71"/>
        <v>#N/A</v>
      </c>
      <c r="AE151" s="1" t="e">
        <f t="shared" si="72"/>
        <v>#N/A</v>
      </c>
      <c r="AF151" s="1" t="e">
        <f t="shared" si="73"/>
        <v>#N/A</v>
      </c>
    </row>
    <row r="152" spans="2:32" hidden="1" x14ac:dyDescent="0.25">
      <c r="B152" s="5" t="str">
        <f t="shared" si="43"/>
        <v>X</v>
      </c>
      <c r="C152" s="1" t="e">
        <f t="shared" si="44"/>
        <v>#N/A</v>
      </c>
      <c r="D152" s="1" t="e">
        <f t="shared" si="45"/>
        <v>#N/A</v>
      </c>
      <c r="E152" s="1" t="e">
        <f t="shared" si="46"/>
        <v>#N/A</v>
      </c>
      <c r="F152" s="1" t="e">
        <f t="shared" si="47"/>
        <v>#N/A</v>
      </c>
      <c r="G152" s="1" t="e">
        <f t="shared" si="48"/>
        <v>#N/A</v>
      </c>
      <c r="H152" s="1" t="e">
        <f t="shared" si="49"/>
        <v>#N/A</v>
      </c>
      <c r="I152" s="1" t="e">
        <f t="shared" si="50"/>
        <v>#N/A</v>
      </c>
      <c r="J152" s="1" t="e">
        <f t="shared" si="51"/>
        <v>#N/A</v>
      </c>
      <c r="K152" s="1" t="e">
        <f t="shared" si="52"/>
        <v>#N/A</v>
      </c>
      <c r="L152" s="1" t="e">
        <f t="shared" si="53"/>
        <v>#N/A</v>
      </c>
      <c r="M152" s="1" t="e">
        <f t="shared" si="54"/>
        <v>#N/A</v>
      </c>
      <c r="N152" s="1" t="e">
        <f t="shared" si="55"/>
        <v>#N/A</v>
      </c>
      <c r="O152" s="1" t="e">
        <f t="shared" si="56"/>
        <v>#N/A</v>
      </c>
      <c r="P152" s="1" t="e">
        <f t="shared" si="57"/>
        <v>#N/A</v>
      </c>
      <c r="Q152" s="1" t="e">
        <f t="shared" si="58"/>
        <v>#N/A</v>
      </c>
      <c r="R152" s="1" t="e">
        <f t="shared" si="59"/>
        <v>#N/A</v>
      </c>
      <c r="S152" s="1" t="e">
        <f t="shared" si="60"/>
        <v>#N/A</v>
      </c>
      <c r="T152" s="1" t="e">
        <f t="shared" si="61"/>
        <v>#N/A</v>
      </c>
      <c r="U152" s="1" t="e">
        <f t="shared" si="62"/>
        <v>#N/A</v>
      </c>
      <c r="V152" s="1" t="e">
        <f t="shared" si="63"/>
        <v>#N/A</v>
      </c>
      <c r="W152" s="1" t="e">
        <f t="shared" si="64"/>
        <v>#N/A</v>
      </c>
      <c r="X152" s="1" t="e">
        <f t="shared" si="65"/>
        <v>#N/A</v>
      </c>
      <c r="Y152" s="1" t="e">
        <f t="shared" si="66"/>
        <v>#N/A</v>
      </c>
      <c r="Z152" s="1" t="e">
        <f t="shared" si="67"/>
        <v>#N/A</v>
      </c>
      <c r="AA152" s="1" t="e">
        <f t="shared" si="68"/>
        <v>#N/A</v>
      </c>
      <c r="AB152" s="1" t="e">
        <f t="shared" si="69"/>
        <v>#N/A</v>
      </c>
      <c r="AC152" s="1" t="e">
        <f t="shared" si="70"/>
        <v>#N/A</v>
      </c>
      <c r="AD152" s="1" t="e">
        <f t="shared" si="71"/>
        <v>#N/A</v>
      </c>
      <c r="AE152" s="1" t="e">
        <f t="shared" si="72"/>
        <v>#N/A</v>
      </c>
      <c r="AF152" s="1" t="e">
        <f t="shared" si="73"/>
        <v>#N/A</v>
      </c>
    </row>
    <row r="153" spans="2:32" hidden="1" x14ac:dyDescent="0.25">
      <c r="B153" s="5" t="str">
        <f t="shared" si="43"/>
        <v>X</v>
      </c>
      <c r="C153" s="1" t="e">
        <f t="shared" si="44"/>
        <v>#N/A</v>
      </c>
      <c r="D153" s="1" t="e">
        <f t="shared" si="45"/>
        <v>#N/A</v>
      </c>
      <c r="E153" s="1" t="e">
        <f t="shared" si="46"/>
        <v>#N/A</v>
      </c>
      <c r="F153" s="1" t="e">
        <f t="shared" si="47"/>
        <v>#N/A</v>
      </c>
      <c r="G153" s="1" t="e">
        <f t="shared" si="48"/>
        <v>#N/A</v>
      </c>
      <c r="H153" s="1" t="e">
        <f t="shared" si="49"/>
        <v>#N/A</v>
      </c>
      <c r="I153" s="1" t="e">
        <f t="shared" si="50"/>
        <v>#N/A</v>
      </c>
      <c r="J153" s="1" t="e">
        <f t="shared" si="51"/>
        <v>#N/A</v>
      </c>
      <c r="K153" s="1" t="e">
        <f t="shared" si="52"/>
        <v>#N/A</v>
      </c>
      <c r="L153" s="1" t="e">
        <f t="shared" si="53"/>
        <v>#N/A</v>
      </c>
      <c r="M153" s="1" t="e">
        <f t="shared" si="54"/>
        <v>#N/A</v>
      </c>
      <c r="N153" s="1" t="e">
        <f t="shared" si="55"/>
        <v>#N/A</v>
      </c>
      <c r="O153" s="1" t="e">
        <f t="shared" si="56"/>
        <v>#N/A</v>
      </c>
      <c r="P153" s="1" t="e">
        <f t="shared" si="57"/>
        <v>#N/A</v>
      </c>
      <c r="Q153" s="1" t="e">
        <f t="shared" si="58"/>
        <v>#N/A</v>
      </c>
      <c r="R153" s="1" t="e">
        <f t="shared" si="59"/>
        <v>#N/A</v>
      </c>
      <c r="S153" s="1" t="e">
        <f t="shared" si="60"/>
        <v>#N/A</v>
      </c>
      <c r="T153" s="1" t="e">
        <f t="shared" si="61"/>
        <v>#N/A</v>
      </c>
      <c r="U153" s="1" t="e">
        <f t="shared" si="62"/>
        <v>#N/A</v>
      </c>
      <c r="V153" s="1" t="e">
        <f t="shared" si="63"/>
        <v>#N/A</v>
      </c>
      <c r="W153" s="1" t="e">
        <f t="shared" si="64"/>
        <v>#N/A</v>
      </c>
      <c r="X153" s="1" t="e">
        <f t="shared" si="65"/>
        <v>#N/A</v>
      </c>
      <c r="Y153" s="1" t="e">
        <f t="shared" si="66"/>
        <v>#N/A</v>
      </c>
      <c r="Z153" s="1" t="e">
        <f t="shared" si="67"/>
        <v>#N/A</v>
      </c>
      <c r="AA153" s="1" t="e">
        <f t="shared" si="68"/>
        <v>#N/A</v>
      </c>
      <c r="AB153" s="1" t="e">
        <f t="shared" si="69"/>
        <v>#N/A</v>
      </c>
      <c r="AC153" s="1" t="e">
        <f t="shared" si="70"/>
        <v>#N/A</v>
      </c>
      <c r="AD153" s="1" t="e">
        <f t="shared" si="71"/>
        <v>#N/A</v>
      </c>
      <c r="AE153" s="1" t="e">
        <f t="shared" si="72"/>
        <v>#N/A</v>
      </c>
      <c r="AF153" s="1" t="e">
        <f t="shared" si="73"/>
        <v>#N/A</v>
      </c>
    </row>
    <row r="154" spans="2:32" hidden="1" x14ac:dyDescent="0.25">
      <c r="B154" s="5" t="str">
        <f t="shared" si="43"/>
        <v>X</v>
      </c>
      <c r="C154" s="1" t="e">
        <f t="shared" si="44"/>
        <v>#N/A</v>
      </c>
      <c r="D154" s="1" t="e">
        <f t="shared" si="45"/>
        <v>#N/A</v>
      </c>
      <c r="E154" s="1" t="e">
        <f t="shared" si="46"/>
        <v>#N/A</v>
      </c>
      <c r="F154" s="1" t="e">
        <f t="shared" si="47"/>
        <v>#N/A</v>
      </c>
      <c r="G154" s="1" t="e">
        <f t="shared" si="48"/>
        <v>#N/A</v>
      </c>
      <c r="H154" s="1" t="e">
        <f t="shared" si="49"/>
        <v>#N/A</v>
      </c>
      <c r="I154" s="1" t="e">
        <f t="shared" si="50"/>
        <v>#N/A</v>
      </c>
      <c r="J154" s="1" t="e">
        <f t="shared" si="51"/>
        <v>#N/A</v>
      </c>
      <c r="K154" s="1" t="e">
        <f t="shared" si="52"/>
        <v>#N/A</v>
      </c>
      <c r="L154" s="1" t="e">
        <f t="shared" si="53"/>
        <v>#N/A</v>
      </c>
      <c r="M154" s="1" t="e">
        <f t="shared" si="54"/>
        <v>#N/A</v>
      </c>
      <c r="N154" s="1" t="e">
        <f t="shared" si="55"/>
        <v>#N/A</v>
      </c>
      <c r="O154" s="1" t="e">
        <f t="shared" si="56"/>
        <v>#N/A</v>
      </c>
      <c r="P154" s="1" t="e">
        <f t="shared" si="57"/>
        <v>#N/A</v>
      </c>
      <c r="Q154" s="1" t="e">
        <f t="shared" si="58"/>
        <v>#N/A</v>
      </c>
      <c r="R154" s="1" t="e">
        <f t="shared" si="59"/>
        <v>#N/A</v>
      </c>
      <c r="S154" s="1" t="e">
        <f t="shared" si="60"/>
        <v>#N/A</v>
      </c>
      <c r="T154" s="1" t="e">
        <f t="shared" si="61"/>
        <v>#N/A</v>
      </c>
      <c r="U154" s="1" t="e">
        <f t="shared" si="62"/>
        <v>#N/A</v>
      </c>
      <c r="V154" s="1" t="e">
        <f t="shared" si="63"/>
        <v>#N/A</v>
      </c>
      <c r="W154" s="1" t="e">
        <f t="shared" si="64"/>
        <v>#N/A</v>
      </c>
      <c r="X154" s="1" t="e">
        <f t="shared" si="65"/>
        <v>#N/A</v>
      </c>
      <c r="Y154" s="1" t="e">
        <f t="shared" si="66"/>
        <v>#N/A</v>
      </c>
      <c r="Z154" s="1" t="e">
        <f t="shared" si="67"/>
        <v>#N/A</v>
      </c>
      <c r="AA154" s="1" t="e">
        <f t="shared" si="68"/>
        <v>#N/A</v>
      </c>
      <c r="AB154" s="1" t="e">
        <f t="shared" si="69"/>
        <v>#N/A</v>
      </c>
      <c r="AC154" s="1" t="e">
        <f t="shared" si="70"/>
        <v>#N/A</v>
      </c>
      <c r="AD154" s="1" t="e">
        <f t="shared" si="71"/>
        <v>#N/A</v>
      </c>
      <c r="AE154" s="1" t="e">
        <f t="shared" si="72"/>
        <v>#N/A</v>
      </c>
      <c r="AF154" s="1" t="e">
        <f t="shared" si="73"/>
        <v>#N/A</v>
      </c>
    </row>
    <row r="155" spans="2:32" hidden="1" x14ac:dyDescent="0.25">
      <c r="B155" s="5" t="str">
        <f t="shared" si="43"/>
        <v>X</v>
      </c>
      <c r="C155" s="1" t="e">
        <f t="shared" si="44"/>
        <v>#N/A</v>
      </c>
      <c r="D155" s="1" t="e">
        <f t="shared" si="45"/>
        <v>#N/A</v>
      </c>
      <c r="E155" s="1" t="e">
        <f t="shared" si="46"/>
        <v>#N/A</v>
      </c>
      <c r="F155" s="1" t="e">
        <f t="shared" si="47"/>
        <v>#N/A</v>
      </c>
      <c r="G155" s="1" t="e">
        <f t="shared" si="48"/>
        <v>#N/A</v>
      </c>
      <c r="H155" s="1" t="e">
        <f t="shared" si="49"/>
        <v>#N/A</v>
      </c>
      <c r="I155" s="1" t="e">
        <f t="shared" si="50"/>
        <v>#N/A</v>
      </c>
      <c r="J155" s="1" t="e">
        <f t="shared" si="51"/>
        <v>#N/A</v>
      </c>
      <c r="K155" s="1" t="e">
        <f t="shared" si="52"/>
        <v>#N/A</v>
      </c>
      <c r="L155" s="1" t="e">
        <f t="shared" si="53"/>
        <v>#N/A</v>
      </c>
      <c r="M155" s="1" t="e">
        <f t="shared" si="54"/>
        <v>#N/A</v>
      </c>
      <c r="N155" s="1" t="e">
        <f t="shared" si="55"/>
        <v>#N/A</v>
      </c>
      <c r="O155" s="1" t="e">
        <f t="shared" si="56"/>
        <v>#N/A</v>
      </c>
      <c r="P155" s="1" t="e">
        <f t="shared" si="57"/>
        <v>#N/A</v>
      </c>
      <c r="Q155" s="1" t="e">
        <f t="shared" si="58"/>
        <v>#N/A</v>
      </c>
      <c r="R155" s="1" t="e">
        <f t="shared" si="59"/>
        <v>#N/A</v>
      </c>
      <c r="S155" s="1" t="e">
        <f t="shared" si="60"/>
        <v>#N/A</v>
      </c>
      <c r="T155" s="1" t="e">
        <f t="shared" si="61"/>
        <v>#N/A</v>
      </c>
      <c r="U155" s="1" t="e">
        <f t="shared" si="62"/>
        <v>#N/A</v>
      </c>
      <c r="V155" s="1" t="e">
        <f t="shared" si="63"/>
        <v>#N/A</v>
      </c>
      <c r="W155" s="1" t="e">
        <f t="shared" si="64"/>
        <v>#N/A</v>
      </c>
      <c r="X155" s="1" t="e">
        <f t="shared" si="65"/>
        <v>#N/A</v>
      </c>
      <c r="Y155" s="1" t="e">
        <f t="shared" si="66"/>
        <v>#N/A</v>
      </c>
      <c r="Z155" s="1" t="e">
        <f t="shared" si="67"/>
        <v>#N/A</v>
      </c>
      <c r="AA155" s="1" t="e">
        <f t="shared" si="68"/>
        <v>#N/A</v>
      </c>
      <c r="AB155" s="1" t="e">
        <f t="shared" si="69"/>
        <v>#N/A</v>
      </c>
      <c r="AC155" s="1" t="e">
        <f t="shared" si="70"/>
        <v>#N/A</v>
      </c>
      <c r="AD155" s="1" t="e">
        <f t="shared" si="71"/>
        <v>#N/A</v>
      </c>
      <c r="AE155" s="1" t="e">
        <f t="shared" si="72"/>
        <v>#N/A</v>
      </c>
      <c r="AF155" s="1" t="e">
        <f t="shared" si="73"/>
        <v>#N/A</v>
      </c>
    </row>
    <row r="156" spans="2:32" hidden="1" x14ac:dyDescent="0.25">
      <c r="B156" s="5" t="str">
        <f t="shared" si="43"/>
        <v>X</v>
      </c>
      <c r="C156" s="1" t="e">
        <f t="shared" si="44"/>
        <v>#N/A</v>
      </c>
      <c r="D156" s="1" t="e">
        <f t="shared" si="45"/>
        <v>#N/A</v>
      </c>
      <c r="E156" s="1" t="e">
        <f t="shared" si="46"/>
        <v>#N/A</v>
      </c>
      <c r="F156" s="1" t="e">
        <f t="shared" si="47"/>
        <v>#N/A</v>
      </c>
      <c r="G156" s="1" t="e">
        <f t="shared" si="48"/>
        <v>#N/A</v>
      </c>
      <c r="H156" s="1" t="e">
        <f t="shared" si="49"/>
        <v>#N/A</v>
      </c>
      <c r="I156" s="1" t="e">
        <f t="shared" si="50"/>
        <v>#N/A</v>
      </c>
      <c r="J156" s="1" t="e">
        <f t="shared" si="51"/>
        <v>#N/A</v>
      </c>
      <c r="K156" s="1" t="e">
        <f t="shared" si="52"/>
        <v>#N/A</v>
      </c>
      <c r="L156" s="1" t="e">
        <f t="shared" si="53"/>
        <v>#N/A</v>
      </c>
      <c r="M156" s="1" t="e">
        <f t="shared" si="54"/>
        <v>#N/A</v>
      </c>
      <c r="N156" s="1" t="e">
        <f t="shared" si="55"/>
        <v>#N/A</v>
      </c>
      <c r="O156" s="1" t="e">
        <f t="shared" si="56"/>
        <v>#N/A</v>
      </c>
      <c r="P156" s="1" t="e">
        <f t="shared" si="57"/>
        <v>#N/A</v>
      </c>
      <c r="Q156" s="1" t="e">
        <f t="shared" si="58"/>
        <v>#N/A</v>
      </c>
      <c r="R156" s="1" t="e">
        <f t="shared" si="59"/>
        <v>#N/A</v>
      </c>
      <c r="S156" s="1" t="e">
        <f t="shared" si="60"/>
        <v>#N/A</v>
      </c>
      <c r="T156" s="1" t="e">
        <f t="shared" si="61"/>
        <v>#N/A</v>
      </c>
      <c r="U156" s="1" t="e">
        <f t="shared" si="62"/>
        <v>#N/A</v>
      </c>
      <c r="V156" s="1" t="e">
        <f t="shared" si="63"/>
        <v>#N/A</v>
      </c>
      <c r="W156" s="1" t="e">
        <f t="shared" si="64"/>
        <v>#N/A</v>
      </c>
      <c r="X156" s="1" t="e">
        <f t="shared" si="65"/>
        <v>#N/A</v>
      </c>
      <c r="Y156" s="1" t="e">
        <f t="shared" si="66"/>
        <v>#N/A</v>
      </c>
      <c r="Z156" s="1" t="e">
        <f t="shared" si="67"/>
        <v>#N/A</v>
      </c>
      <c r="AA156" s="1" t="e">
        <f t="shared" si="68"/>
        <v>#N/A</v>
      </c>
      <c r="AB156" s="1" t="e">
        <f t="shared" si="69"/>
        <v>#N/A</v>
      </c>
      <c r="AC156" s="1" t="e">
        <f t="shared" si="70"/>
        <v>#N/A</v>
      </c>
      <c r="AD156" s="1" t="e">
        <f t="shared" si="71"/>
        <v>#N/A</v>
      </c>
      <c r="AE156" s="1" t="e">
        <f t="shared" si="72"/>
        <v>#N/A</v>
      </c>
      <c r="AF156" s="1" t="e">
        <f t="shared" si="73"/>
        <v>#N/A</v>
      </c>
    </row>
    <row r="157" spans="2:32" hidden="1" x14ac:dyDescent="0.25">
      <c r="B157" s="5" t="str">
        <f t="shared" si="43"/>
        <v>X</v>
      </c>
      <c r="C157" s="1" t="e">
        <f t="shared" si="44"/>
        <v>#N/A</v>
      </c>
      <c r="D157" s="1" t="e">
        <f t="shared" si="45"/>
        <v>#N/A</v>
      </c>
      <c r="E157" s="1" t="e">
        <f t="shared" si="46"/>
        <v>#N/A</v>
      </c>
      <c r="F157" s="1" t="e">
        <f t="shared" si="47"/>
        <v>#N/A</v>
      </c>
      <c r="G157" s="1" t="e">
        <f t="shared" si="48"/>
        <v>#N/A</v>
      </c>
      <c r="H157" s="1" t="e">
        <f t="shared" si="49"/>
        <v>#N/A</v>
      </c>
      <c r="I157" s="1" t="e">
        <f t="shared" si="50"/>
        <v>#N/A</v>
      </c>
      <c r="J157" s="1" t="e">
        <f t="shared" si="51"/>
        <v>#N/A</v>
      </c>
      <c r="K157" s="1" t="e">
        <f t="shared" si="52"/>
        <v>#N/A</v>
      </c>
      <c r="L157" s="1" t="e">
        <f t="shared" si="53"/>
        <v>#N/A</v>
      </c>
      <c r="M157" s="1" t="e">
        <f t="shared" si="54"/>
        <v>#N/A</v>
      </c>
      <c r="N157" s="1" t="e">
        <f t="shared" si="55"/>
        <v>#N/A</v>
      </c>
      <c r="O157" s="1" t="e">
        <f t="shared" si="56"/>
        <v>#N/A</v>
      </c>
      <c r="P157" s="1" t="e">
        <f t="shared" si="57"/>
        <v>#N/A</v>
      </c>
      <c r="Q157" s="1" t="e">
        <f t="shared" si="58"/>
        <v>#N/A</v>
      </c>
      <c r="R157" s="1" t="e">
        <f t="shared" si="59"/>
        <v>#N/A</v>
      </c>
      <c r="S157" s="1" t="e">
        <f t="shared" si="60"/>
        <v>#N/A</v>
      </c>
      <c r="T157" s="1" t="e">
        <f t="shared" si="61"/>
        <v>#N/A</v>
      </c>
      <c r="U157" s="1" t="e">
        <f t="shared" si="62"/>
        <v>#N/A</v>
      </c>
      <c r="V157" s="1" t="e">
        <f t="shared" si="63"/>
        <v>#N/A</v>
      </c>
      <c r="W157" s="1" t="e">
        <f t="shared" si="64"/>
        <v>#N/A</v>
      </c>
      <c r="X157" s="1" t="e">
        <f t="shared" si="65"/>
        <v>#N/A</v>
      </c>
      <c r="Y157" s="1" t="e">
        <f t="shared" si="66"/>
        <v>#N/A</v>
      </c>
      <c r="Z157" s="1" t="e">
        <f t="shared" si="67"/>
        <v>#N/A</v>
      </c>
      <c r="AA157" s="1" t="e">
        <f t="shared" si="68"/>
        <v>#N/A</v>
      </c>
      <c r="AB157" s="1" t="e">
        <f t="shared" si="69"/>
        <v>#N/A</v>
      </c>
      <c r="AC157" s="1" t="e">
        <f t="shared" si="70"/>
        <v>#N/A</v>
      </c>
      <c r="AD157" s="1" t="e">
        <f t="shared" si="71"/>
        <v>#N/A</v>
      </c>
      <c r="AE157" s="1" t="e">
        <f t="shared" si="72"/>
        <v>#N/A</v>
      </c>
      <c r="AF157" s="1" t="e">
        <f t="shared" si="73"/>
        <v>#N/A</v>
      </c>
    </row>
    <row r="158" spans="2:32" hidden="1" x14ac:dyDescent="0.25">
      <c r="B158" s="5" t="str">
        <f t="shared" si="43"/>
        <v>X</v>
      </c>
      <c r="C158" s="1" t="e">
        <f t="shared" si="44"/>
        <v>#N/A</v>
      </c>
      <c r="D158" s="1" t="e">
        <f t="shared" si="45"/>
        <v>#N/A</v>
      </c>
      <c r="E158" s="1" t="e">
        <f t="shared" si="46"/>
        <v>#N/A</v>
      </c>
      <c r="F158" s="1" t="e">
        <f t="shared" si="47"/>
        <v>#N/A</v>
      </c>
      <c r="G158" s="1" t="e">
        <f t="shared" si="48"/>
        <v>#N/A</v>
      </c>
      <c r="H158" s="1" t="e">
        <f t="shared" si="49"/>
        <v>#N/A</v>
      </c>
      <c r="I158" s="1" t="e">
        <f t="shared" si="50"/>
        <v>#N/A</v>
      </c>
      <c r="J158" s="1" t="e">
        <f t="shared" si="51"/>
        <v>#N/A</v>
      </c>
      <c r="K158" s="1" t="e">
        <f t="shared" si="52"/>
        <v>#N/A</v>
      </c>
      <c r="L158" s="1" t="e">
        <f t="shared" si="53"/>
        <v>#N/A</v>
      </c>
      <c r="M158" s="1" t="e">
        <f t="shared" si="54"/>
        <v>#N/A</v>
      </c>
      <c r="N158" s="1" t="e">
        <f t="shared" si="55"/>
        <v>#N/A</v>
      </c>
      <c r="O158" s="1" t="e">
        <f t="shared" si="56"/>
        <v>#N/A</v>
      </c>
      <c r="P158" s="1" t="e">
        <f t="shared" si="57"/>
        <v>#N/A</v>
      </c>
      <c r="Q158" s="1" t="e">
        <f t="shared" si="58"/>
        <v>#N/A</v>
      </c>
      <c r="R158" s="1" t="e">
        <f t="shared" si="59"/>
        <v>#N/A</v>
      </c>
      <c r="S158" s="1" t="e">
        <f t="shared" si="60"/>
        <v>#N/A</v>
      </c>
      <c r="T158" s="1" t="e">
        <f t="shared" si="61"/>
        <v>#N/A</v>
      </c>
      <c r="U158" s="1" t="e">
        <f t="shared" si="62"/>
        <v>#N/A</v>
      </c>
      <c r="V158" s="1" t="e">
        <f t="shared" si="63"/>
        <v>#N/A</v>
      </c>
      <c r="W158" s="1" t="e">
        <f t="shared" si="64"/>
        <v>#N/A</v>
      </c>
      <c r="X158" s="1" t="e">
        <f t="shared" si="65"/>
        <v>#N/A</v>
      </c>
      <c r="Y158" s="1" t="e">
        <f t="shared" si="66"/>
        <v>#N/A</v>
      </c>
      <c r="Z158" s="1" t="e">
        <f t="shared" si="67"/>
        <v>#N/A</v>
      </c>
      <c r="AA158" s="1" t="e">
        <f t="shared" si="68"/>
        <v>#N/A</v>
      </c>
      <c r="AB158" s="1" t="e">
        <f t="shared" si="69"/>
        <v>#N/A</v>
      </c>
      <c r="AC158" s="1" t="e">
        <f t="shared" si="70"/>
        <v>#N/A</v>
      </c>
      <c r="AD158" s="1" t="e">
        <f t="shared" si="71"/>
        <v>#N/A</v>
      </c>
      <c r="AE158" s="1" t="e">
        <f t="shared" si="72"/>
        <v>#N/A</v>
      </c>
      <c r="AF158" s="1" t="e">
        <f t="shared" si="73"/>
        <v>#N/A</v>
      </c>
    </row>
    <row r="159" spans="2:32" hidden="1" x14ac:dyDescent="0.25">
      <c r="B159" s="5" t="str">
        <f t="shared" si="43"/>
        <v>X</v>
      </c>
      <c r="C159" s="1" t="e">
        <f t="shared" si="44"/>
        <v>#N/A</v>
      </c>
      <c r="D159" s="1" t="e">
        <f t="shared" si="45"/>
        <v>#N/A</v>
      </c>
      <c r="E159" s="1" t="e">
        <f t="shared" si="46"/>
        <v>#N/A</v>
      </c>
      <c r="F159" s="1" t="e">
        <f t="shared" si="47"/>
        <v>#N/A</v>
      </c>
      <c r="G159" s="1" t="e">
        <f t="shared" si="48"/>
        <v>#N/A</v>
      </c>
      <c r="H159" s="1" t="e">
        <f t="shared" si="49"/>
        <v>#N/A</v>
      </c>
      <c r="I159" s="1" t="e">
        <f t="shared" si="50"/>
        <v>#N/A</v>
      </c>
      <c r="J159" s="1" t="e">
        <f t="shared" si="51"/>
        <v>#N/A</v>
      </c>
      <c r="K159" s="1" t="e">
        <f t="shared" si="52"/>
        <v>#N/A</v>
      </c>
      <c r="L159" s="1" t="e">
        <f t="shared" si="53"/>
        <v>#N/A</v>
      </c>
      <c r="M159" s="1" t="e">
        <f t="shared" si="54"/>
        <v>#N/A</v>
      </c>
      <c r="N159" s="1" t="e">
        <f t="shared" si="55"/>
        <v>#N/A</v>
      </c>
      <c r="O159" s="1" t="e">
        <f t="shared" si="56"/>
        <v>#N/A</v>
      </c>
      <c r="P159" s="1" t="e">
        <f t="shared" si="57"/>
        <v>#N/A</v>
      </c>
      <c r="Q159" s="1" t="e">
        <f t="shared" si="58"/>
        <v>#N/A</v>
      </c>
      <c r="R159" s="1" t="e">
        <f t="shared" si="59"/>
        <v>#N/A</v>
      </c>
      <c r="S159" s="1" t="e">
        <f t="shared" si="60"/>
        <v>#N/A</v>
      </c>
      <c r="T159" s="1" t="e">
        <f t="shared" si="61"/>
        <v>#N/A</v>
      </c>
      <c r="U159" s="1" t="e">
        <f t="shared" si="62"/>
        <v>#N/A</v>
      </c>
      <c r="V159" s="1" t="e">
        <f t="shared" si="63"/>
        <v>#N/A</v>
      </c>
      <c r="W159" s="1" t="e">
        <f t="shared" si="64"/>
        <v>#N/A</v>
      </c>
      <c r="X159" s="1" t="e">
        <f t="shared" si="65"/>
        <v>#N/A</v>
      </c>
      <c r="Y159" s="1" t="e">
        <f t="shared" si="66"/>
        <v>#N/A</v>
      </c>
      <c r="Z159" s="1" t="e">
        <f t="shared" si="67"/>
        <v>#N/A</v>
      </c>
      <c r="AA159" s="1" t="e">
        <f t="shared" si="68"/>
        <v>#N/A</v>
      </c>
      <c r="AB159" s="1" t="e">
        <f t="shared" si="69"/>
        <v>#N/A</v>
      </c>
      <c r="AC159" s="1" t="e">
        <f t="shared" si="70"/>
        <v>#N/A</v>
      </c>
      <c r="AD159" s="1" t="e">
        <f t="shared" si="71"/>
        <v>#N/A</v>
      </c>
      <c r="AE159" s="1" t="e">
        <f t="shared" si="72"/>
        <v>#N/A</v>
      </c>
      <c r="AF159" s="1" t="e">
        <f t="shared" si="73"/>
        <v>#N/A</v>
      </c>
    </row>
    <row r="160" spans="2:32" hidden="1" x14ac:dyDescent="0.25">
      <c r="B160" s="5" t="str">
        <f t="shared" si="43"/>
        <v>X</v>
      </c>
      <c r="C160" s="1" t="e">
        <f t="shared" si="44"/>
        <v>#N/A</v>
      </c>
      <c r="D160" s="1" t="e">
        <f t="shared" si="45"/>
        <v>#N/A</v>
      </c>
      <c r="E160" s="1" t="e">
        <f t="shared" si="46"/>
        <v>#N/A</v>
      </c>
      <c r="F160" s="1" t="e">
        <f t="shared" si="47"/>
        <v>#N/A</v>
      </c>
      <c r="G160" s="1" t="e">
        <f t="shared" si="48"/>
        <v>#N/A</v>
      </c>
      <c r="H160" s="1" t="e">
        <f t="shared" si="49"/>
        <v>#N/A</v>
      </c>
      <c r="I160" s="1" t="e">
        <f t="shared" si="50"/>
        <v>#N/A</v>
      </c>
      <c r="J160" s="1" t="e">
        <f t="shared" si="51"/>
        <v>#N/A</v>
      </c>
      <c r="K160" s="1" t="e">
        <f t="shared" si="52"/>
        <v>#N/A</v>
      </c>
      <c r="L160" s="1" t="e">
        <f t="shared" si="53"/>
        <v>#N/A</v>
      </c>
      <c r="M160" s="1" t="e">
        <f t="shared" si="54"/>
        <v>#N/A</v>
      </c>
      <c r="N160" s="1" t="e">
        <f t="shared" si="55"/>
        <v>#N/A</v>
      </c>
      <c r="O160" s="1" t="e">
        <f t="shared" si="56"/>
        <v>#N/A</v>
      </c>
      <c r="P160" s="1" t="e">
        <f t="shared" si="57"/>
        <v>#N/A</v>
      </c>
      <c r="Q160" s="1" t="e">
        <f t="shared" si="58"/>
        <v>#N/A</v>
      </c>
      <c r="R160" s="1" t="e">
        <f t="shared" si="59"/>
        <v>#N/A</v>
      </c>
      <c r="S160" s="1" t="e">
        <f t="shared" si="60"/>
        <v>#N/A</v>
      </c>
      <c r="T160" s="1" t="e">
        <f t="shared" si="61"/>
        <v>#N/A</v>
      </c>
      <c r="U160" s="1" t="e">
        <f t="shared" si="62"/>
        <v>#N/A</v>
      </c>
      <c r="V160" s="1" t="e">
        <f t="shared" si="63"/>
        <v>#N/A</v>
      </c>
      <c r="W160" s="1" t="e">
        <f t="shared" si="64"/>
        <v>#N/A</v>
      </c>
      <c r="X160" s="1" t="e">
        <f t="shared" si="65"/>
        <v>#N/A</v>
      </c>
      <c r="Y160" s="1" t="e">
        <f t="shared" si="66"/>
        <v>#N/A</v>
      </c>
      <c r="Z160" s="1" t="e">
        <f t="shared" si="67"/>
        <v>#N/A</v>
      </c>
      <c r="AA160" s="1" t="e">
        <f t="shared" si="68"/>
        <v>#N/A</v>
      </c>
      <c r="AB160" s="1" t="e">
        <f t="shared" si="69"/>
        <v>#N/A</v>
      </c>
      <c r="AC160" s="1" t="e">
        <f t="shared" si="70"/>
        <v>#N/A</v>
      </c>
      <c r="AD160" s="1" t="e">
        <f t="shared" si="71"/>
        <v>#N/A</v>
      </c>
      <c r="AE160" s="1" t="e">
        <f t="shared" si="72"/>
        <v>#N/A</v>
      </c>
      <c r="AF160" s="1" t="e">
        <f t="shared" si="73"/>
        <v>#N/A</v>
      </c>
    </row>
    <row r="161" spans="2:32" hidden="1" x14ac:dyDescent="0.25">
      <c r="B161" s="5" t="str">
        <f t="shared" si="43"/>
        <v>X</v>
      </c>
      <c r="C161" s="1" t="e">
        <f t="shared" si="44"/>
        <v>#N/A</v>
      </c>
      <c r="D161" s="1" t="e">
        <f t="shared" si="45"/>
        <v>#N/A</v>
      </c>
      <c r="E161" s="1" t="e">
        <f t="shared" si="46"/>
        <v>#N/A</v>
      </c>
      <c r="F161" s="1" t="e">
        <f t="shared" si="47"/>
        <v>#N/A</v>
      </c>
      <c r="G161" s="1" t="e">
        <f t="shared" si="48"/>
        <v>#N/A</v>
      </c>
      <c r="H161" s="1" t="e">
        <f t="shared" si="49"/>
        <v>#N/A</v>
      </c>
      <c r="I161" s="1" t="e">
        <f t="shared" si="50"/>
        <v>#N/A</v>
      </c>
      <c r="J161" s="1" t="e">
        <f t="shared" si="51"/>
        <v>#N/A</v>
      </c>
      <c r="K161" s="1" t="e">
        <f t="shared" si="52"/>
        <v>#N/A</v>
      </c>
      <c r="L161" s="1" t="e">
        <f t="shared" si="53"/>
        <v>#N/A</v>
      </c>
      <c r="M161" s="1" t="e">
        <f t="shared" si="54"/>
        <v>#N/A</v>
      </c>
      <c r="N161" s="1" t="e">
        <f t="shared" si="55"/>
        <v>#N/A</v>
      </c>
      <c r="O161" s="1" t="e">
        <f t="shared" si="56"/>
        <v>#N/A</v>
      </c>
      <c r="P161" s="1" t="e">
        <f t="shared" si="57"/>
        <v>#N/A</v>
      </c>
      <c r="Q161" s="1" t="e">
        <f t="shared" si="58"/>
        <v>#N/A</v>
      </c>
      <c r="R161" s="1" t="e">
        <f t="shared" si="59"/>
        <v>#N/A</v>
      </c>
      <c r="S161" s="1" t="e">
        <f t="shared" si="60"/>
        <v>#N/A</v>
      </c>
      <c r="T161" s="1" t="e">
        <f t="shared" si="61"/>
        <v>#N/A</v>
      </c>
      <c r="U161" s="1" t="e">
        <f t="shared" si="62"/>
        <v>#N/A</v>
      </c>
      <c r="V161" s="1" t="e">
        <f t="shared" si="63"/>
        <v>#N/A</v>
      </c>
      <c r="W161" s="1" t="e">
        <f t="shared" si="64"/>
        <v>#N/A</v>
      </c>
      <c r="X161" s="1" t="e">
        <f t="shared" si="65"/>
        <v>#N/A</v>
      </c>
      <c r="Y161" s="1" t="e">
        <f t="shared" si="66"/>
        <v>#N/A</v>
      </c>
      <c r="Z161" s="1" t="e">
        <f t="shared" si="67"/>
        <v>#N/A</v>
      </c>
      <c r="AA161" s="1" t="e">
        <f t="shared" si="68"/>
        <v>#N/A</v>
      </c>
      <c r="AB161" s="1" t="e">
        <f t="shared" si="69"/>
        <v>#N/A</v>
      </c>
      <c r="AC161" s="1" t="e">
        <f t="shared" si="70"/>
        <v>#N/A</v>
      </c>
      <c r="AD161" s="1" t="e">
        <f t="shared" si="71"/>
        <v>#N/A</v>
      </c>
      <c r="AE161" s="1" t="e">
        <f t="shared" si="72"/>
        <v>#N/A</v>
      </c>
      <c r="AF161" s="1" t="e">
        <f t="shared" si="73"/>
        <v>#N/A</v>
      </c>
    </row>
    <row r="162" spans="2:32" hidden="1" x14ac:dyDescent="0.25">
      <c r="B162" s="5" t="str">
        <f t="shared" si="43"/>
        <v>X</v>
      </c>
      <c r="C162" s="1" t="e">
        <f t="shared" si="44"/>
        <v>#N/A</v>
      </c>
      <c r="D162" s="1" t="e">
        <f t="shared" si="45"/>
        <v>#N/A</v>
      </c>
      <c r="E162" s="1" t="e">
        <f t="shared" si="46"/>
        <v>#N/A</v>
      </c>
      <c r="F162" s="1" t="e">
        <f t="shared" si="47"/>
        <v>#N/A</v>
      </c>
      <c r="G162" s="1" t="e">
        <f t="shared" si="48"/>
        <v>#N/A</v>
      </c>
      <c r="H162" s="1" t="e">
        <f t="shared" si="49"/>
        <v>#N/A</v>
      </c>
      <c r="I162" s="1" t="e">
        <f t="shared" si="50"/>
        <v>#N/A</v>
      </c>
      <c r="J162" s="1" t="e">
        <f t="shared" si="51"/>
        <v>#N/A</v>
      </c>
      <c r="K162" s="1" t="e">
        <f t="shared" si="52"/>
        <v>#N/A</v>
      </c>
      <c r="L162" s="1" t="e">
        <f t="shared" si="53"/>
        <v>#N/A</v>
      </c>
      <c r="M162" s="1" t="e">
        <f t="shared" si="54"/>
        <v>#N/A</v>
      </c>
      <c r="N162" s="1" t="e">
        <f t="shared" si="55"/>
        <v>#N/A</v>
      </c>
      <c r="O162" s="1" t="e">
        <f t="shared" si="56"/>
        <v>#N/A</v>
      </c>
      <c r="P162" s="1" t="e">
        <f t="shared" si="57"/>
        <v>#N/A</v>
      </c>
      <c r="Q162" s="1" t="e">
        <f t="shared" si="58"/>
        <v>#N/A</v>
      </c>
      <c r="R162" s="1" t="e">
        <f t="shared" si="59"/>
        <v>#N/A</v>
      </c>
      <c r="S162" s="1" t="e">
        <f t="shared" si="60"/>
        <v>#N/A</v>
      </c>
      <c r="T162" s="1" t="e">
        <f t="shared" si="61"/>
        <v>#N/A</v>
      </c>
      <c r="U162" s="1" t="e">
        <f t="shared" si="62"/>
        <v>#N/A</v>
      </c>
      <c r="V162" s="1" t="e">
        <f t="shared" si="63"/>
        <v>#N/A</v>
      </c>
      <c r="W162" s="1" t="e">
        <f t="shared" si="64"/>
        <v>#N/A</v>
      </c>
      <c r="X162" s="1" t="e">
        <f t="shared" si="65"/>
        <v>#N/A</v>
      </c>
      <c r="Y162" s="1" t="e">
        <f t="shared" si="66"/>
        <v>#N/A</v>
      </c>
      <c r="Z162" s="1" t="e">
        <f t="shared" si="67"/>
        <v>#N/A</v>
      </c>
      <c r="AA162" s="1" t="e">
        <f t="shared" si="68"/>
        <v>#N/A</v>
      </c>
      <c r="AB162" s="1" t="e">
        <f t="shared" si="69"/>
        <v>#N/A</v>
      </c>
      <c r="AC162" s="1" t="e">
        <f t="shared" si="70"/>
        <v>#N/A</v>
      </c>
      <c r="AD162" s="1" t="e">
        <f t="shared" si="71"/>
        <v>#N/A</v>
      </c>
      <c r="AE162" s="1" t="e">
        <f t="shared" si="72"/>
        <v>#N/A</v>
      </c>
      <c r="AF162" s="1" t="e">
        <f t="shared" si="73"/>
        <v>#N/A</v>
      </c>
    </row>
    <row r="163" spans="2:32" hidden="1" x14ac:dyDescent="0.25">
      <c r="B163" s="5" t="str">
        <f t="shared" si="43"/>
        <v>X</v>
      </c>
      <c r="C163" s="1" t="e">
        <f t="shared" si="44"/>
        <v>#N/A</v>
      </c>
      <c r="D163" s="1" t="e">
        <f t="shared" si="45"/>
        <v>#N/A</v>
      </c>
      <c r="E163" s="1" t="e">
        <f t="shared" si="46"/>
        <v>#N/A</v>
      </c>
      <c r="F163" s="1" t="e">
        <f t="shared" si="47"/>
        <v>#N/A</v>
      </c>
      <c r="G163" s="1" t="e">
        <f t="shared" si="48"/>
        <v>#N/A</v>
      </c>
      <c r="H163" s="1" t="e">
        <f t="shared" si="49"/>
        <v>#N/A</v>
      </c>
      <c r="I163" s="1" t="e">
        <f t="shared" si="50"/>
        <v>#N/A</v>
      </c>
      <c r="J163" s="1" t="e">
        <f t="shared" si="51"/>
        <v>#N/A</v>
      </c>
      <c r="K163" s="1" t="e">
        <f t="shared" si="52"/>
        <v>#N/A</v>
      </c>
      <c r="L163" s="1" t="e">
        <f t="shared" si="53"/>
        <v>#N/A</v>
      </c>
      <c r="M163" s="1" t="e">
        <f t="shared" si="54"/>
        <v>#N/A</v>
      </c>
      <c r="N163" s="1" t="e">
        <f t="shared" si="55"/>
        <v>#N/A</v>
      </c>
      <c r="O163" s="1" t="e">
        <f t="shared" si="56"/>
        <v>#N/A</v>
      </c>
      <c r="P163" s="1" t="e">
        <f t="shared" si="57"/>
        <v>#N/A</v>
      </c>
      <c r="Q163" s="1" t="e">
        <f t="shared" si="58"/>
        <v>#N/A</v>
      </c>
      <c r="R163" s="1" t="e">
        <f t="shared" si="59"/>
        <v>#N/A</v>
      </c>
      <c r="S163" s="1" t="e">
        <f t="shared" si="60"/>
        <v>#N/A</v>
      </c>
      <c r="T163" s="1" t="e">
        <f t="shared" si="61"/>
        <v>#N/A</v>
      </c>
      <c r="U163" s="1" t="e">
        <f t="shared" si="62"/>
        <v>#N/A</v>
      </c>
      <c r="V163" s="1" t="e">
        <f t="shared" si="63"/>
        <v>#N/A</v>
      </c>
      <c r="W163" s="1" t="e">
        <f t="shared" si="64"/>
        <v>#N/A</v>
      </c>
      <c r="X163" s="1" t="e">
        <f t="shared" si="65"/>
        <v>#N/A</v>
      </c>
      <c r="Y163" s="1" t="e">
        <f t="shared" si="66"/>
        <v>#N/A</v>
      </c>
      <c r="Z163" s="1" t="e">
        <f t="shared" si="67"/>
        <v>#N/A</v>
      </c>
      <c r="AA163" s="1" t="e">
        <f t="shared" si="68"/>
        <v>#N/A</v>
      </c>
      <c r="AB163" s="1" t="e">
        <f t="shared" si="69"/>
        <v>#N/A</v>
      </c>
      <c r="AC163" s="1" t="e">
        <f t="shared" si="70"/>
        <v>#N/A</v>
      </c>
      <c r="AD163" s="1" t="e">
        <f t="shared" si="71"/>
        <v>#N/A</v>
      </c>
      <c r="AE163" s="1" t="e">
        <f t="shared" si="72"/>
        <v>#N/A</v>
      </c>
      <c r="AF163" s="1" t="e">
        <f t="shared" si="73"/>
        <v>#N/A</v>
      </c>
    </row>
    <row r="164" spans="2:32" hidden="1" x14ac:dyDescent="0.25">
      <c r="B164" s="5" t="str">
        <f t="shared" si="43"/>
        <v>X</v>
      </c>
      <c r="C164" s="1" t="e">
        <f t="shared" si="44"/>
        <v>#N/A</v>
      </c>
      <c r="D164" s="1" t="e">
        <f t="shared" si="45"/>
        <v>#N/A</v>
      </c>
      <c r="E164" s="1" t="e">
        <f t="shared" si="46"/>
        <v>#N/A</v>
      </c>
      <c r="F164" s="1" t="e">
        <f t="shared" si="47"/>
        <v>#N/A</v>
      </c>
      <c r="G164" s="1" t="e">
        <f t="shared" si="48"/>
        <v>#N/A</v>
      </c>
      <c r="H164" s="1" t="e">
        <f t="shared" si="49"/>
        <v>#N/A</v>
      </c>
      <c r="I164" s="1" t="e">
        <f t="shared" si="50"/>
        <v>#N/A</v>
      </c>
      <c r="J164" s="1" t="e">
        <f t="shared" si="51"/>
        <v>#N/A</v>
      </c>
      <c r="K164" s="1" t="e">
        <f t="shared" si="52"/>
        <v>#N/A</v>
      </c>
      <c r="L164" s="1" t="e">
        <f t="shared" si="53"/>
        <v>#N/A</v>
      </c>
      <c r="M164" s="1" t="e">
        <f t="shared" si="54"/>
        <v>#N/A</v>
      </c>
      <c r="N164" s="1" t="e">
        <f t="shared" si="55"/>
        <v>#N/A</v>
      </c>
      <c r="O164" s="1" t="e">
        <f t="shared" si="56"/>
        <v>#N/A</v>
      </c>
      <c r="P164" s="1" t="e">
        <f t="shared" si="57"/>
        <v>#N/A</v>
      </c>
      <c r="Q164" s="1" t="e">
        <f t="shared" si="58"/>
        <v>#N/A</v>
      </c>
      <c r="R164" s="1" t="e">
        <f t="shared" si="59"/>
        <v>#N/A</v>
      </c>
      <c r="S164" s="1" t="e">
        <f t="shared" si="60"/>
        <v>#N/A</v>
      </c>
      <c r="T164" s="1" t="e">
        <f t="shared" si="61"/>
        <v>#N/A</v>
      </c>
      <c r="U164" s="1" t="e">
        <f t="shared" si="62"/>
        <v>#N/A</v>
      </c>
      <c r="V164" s="1" t="e">
        <f t="shared" si="63"/>
        <v>#N/A</v>
      </c>
      <c r="W164" s="1" t="e">
        <f t="shared" si="64"/>
        <v>#N/A</v>
      </c>
      <c r="X164" s="1" t="e">
        <f t="shared" si="65"/>
        <v>#N/A</v>
      </c>
      <c r="Y164" s="1" t="e">
        <f t="shared" si="66"/>
        <v>#N/A</v>
      </c>
      <c r="Z164" s="1" t="e">
        <f t="shared" si="67"/>
        <v>#N/A</v>
      </c>
      <c r="AA164" s="1" t="e">
        <f t="shared" si="68"/>
        <v>#N/A</v>
      </c>
      <c r="AB164" s="1" t="e">
        <f t="shared" si="69"/>
        <v>#N/A</v>
      </c>
      <c r="AC164" s="1" t="e">
        <f t="shared" si="70"/>
        <v>#N/A</v>
      </c>
      <c r="AD164" s="1" t="e">
        <f t="shared" si="71"/>
        <v>#N/A</v>
      </c>
      <c r="AE164" s="1" t="e">
        <f t="shared" si="72"/>
        <v>#N/A</v>
      </c>
      <c r="AF164" s="1" t="e">
        <f t="shared" si="73"/>
        <v>#N/A</v>
      </c>
    </row>
    <row r="165" spans="2:32" hidden="1" x14ac:dyDescent="0.25">
      <c r="B165" s="5" t="str">
        <f t="shared" si="43"/>
        <v>X</v>
      </c>
      <c r="C165" s="1" t="e">
        <f t="shared" si="44"/>
        <v>#N/A</v>
      </c>
      <c r="D165" s="1" t="e">
        <f t="shared" si="45"/>
        <v>#N/A</v>
      </c>
      <c r="E165" s="1" t="e">
        <f t="shared" si="46"/>
        <v>#N/A</v>
      </c>
      <c r="F165" s="1" t="e">
        <f t="shared" si="47"/>
        <v>#N/A</v>
      </c>
      <c r="G165" s="1" t="e">
        <f t="shared" si="48"/>
        <v>#N/A</v>
      </c>
      <c r="H165" s="1" t="e">
        <f t="shared" si="49"/>
        <v>#N/A</v>
      </c>
      <c r="I165" s="1" t="e">
        <f t="shared" si="50"/>
        <v>#N/A</v>
      </c>
      <c r="J165" s="1" t="e">
        <f t="shared" si="51"/>
        <v>#N/A</v>
      </c>
      <c r="K165" s="1" t="e">
        <f t="shared" si="52"/>
        <v>#N/A</v>
      </c>
      <c r="L165" s="1" t="e">
        <f t="shared" si="53"/>
        <v>#N/A</v>
      </c>
      <c r="M165" s="1" t="e">
        <f t="shared" si="54"/>
        <v>#N/A</v>
      </c>
      <c r="N165" s="1" t="e">
        <f t="shared" si="55"/>
        <v>#N/A</v>
      </c>
      <c r="O165" s="1" t="e">
        <f t="shared" si="56"/>
        <v>#N/A</v>
      </c>
      <c r="P165" s="1" t="e">
        <f t="shared" si="57"/>
        <v>#N/A</v>
      </c>
      <c r="Q165" s="1" t="e">
        <f t="shared" si="58"/>
        <v>#N/A</v>
      </c>
      <c r="R165" s="1" t="e">
        <f t="shared" si="59"/>
        <v>#N/A</v>
      </c>
      <c r="S165" s="1" t="e">
        <f t="shared" si="60"/>
        <v>#N/A</v>
      </c>
      <c r="T165" s="1" t="e">
        <f t="shared" si="61"/>
        <v>#N/A</v>
      </c>
      <c r="U165" s="1" t="e">
        <f t="shared" si="62"/>
        <v>#N/A</v>
      </c>
      <c r="V165" s="1" t="e">
        <f t="shared" si="63"/>
        <v>#N/A</v>
      </c>
      <c r="W165" s="1" t="e">
        <f t="shared" si="64"/>
        <v>#N/A</v>
      </c>
      <c r="X165" s="1" t="e">
        <f t="shared" si="65"/>
        <v>#N/A</v>
      </c>
      <c r="Y165" s="1" t="e">
        <f t="shared" si="66"/>
        <v>#N/A</v>
      </c>
      <c r="Z165" s="1" t="e">
        <f t="shared" si="67"/>
        <v>#N/A</v>
      </c>
      <c r="AA165" s="1" t="e">
        <f t="shared" si="68"/>
        <v>#N/A</v>
      </c>
      <c r="AB165" s="1" t="e">
        <f t="shared" si="69"/>
        <v>#N/A</v>
      </c>
      <c r="AC165" s="1" t="e">
        <f t="shared" si="70"/>
        <v>#N/A</v>
      </c>
      <c r="AD165" s="1" t="e">
        <f t="shared" si="71"/>
        <v>#N/A</v>
      </c>
      <c r="AE165" s="1" t="e">
        <f t="shared" si="72"/>
        <v>#N/A</v>
      </c>
      <c r="AF165" s="1" t="e">
        <f t="shared" si="73"/>
        <v>#N/A</v>
      </c>
    </row>
    <row r="166" spans="2:32" hidden="1" x14ac:dyDescent="0.25">
      <c r="B166" s="5" t="str">
        <f t="shared" si="43"/>
        <v>X</v>
      </c>
      <c r="C166" s="1" t="e">
        <f t="shared" si="44"/>
        <v>#N/A</v>
      </c>
      <c r="D166" s="1" t="e">
        <f t="shared" si="45"/>
        <v>#N/A</v>
      </c>
      <c r="E166" s="1" t="e">
        <f t="shared" si="46"/>
        <v>#N/A</v>
      </c>
      <c r="F166" s="1" t="e">
        <f t="shared" si="47"/>
        <v>#N/A</v>
      </c>
      <c r="G166" s="1" t="e">
        <f t="shared" si="48"/>
        <v>#N/A</v>
      </c>
      <c r="H166" s="1" t="e">
        <f t="shared" si="49"/>
        <v>#N/A</v>
      </c>
      <c r="I166" s="1" t="e">
        <f t="shared" si="50"/>
        <v>#N/A</v>
      </c>
      <c r="J166" s="1" t="e">
        <f t="shared" si="51"/>
        <v>#N/A</v>
      </c>
      <c r="K166" s="1" t="e">
        <f t="shared" si="52"/>
        <v>#N/A</v>
      </c>
      <c r="L166" s="1" t="e">
        <f t="shared" si="53"/>
        <v>#N/A</v>
      </c>
      <c r="M166" s="1" t="e">
        <f t="shared" si="54"/>
        <v>#N/A</v>
      </c>
      <c r="N166" s="1" t="e">
        <f t="shared" si="55"/>
        <v>#N/A</v>
      </c>
      <c r="O166" s="1" t="e">
        <f t="shared" si="56"/>
        <v>#N/A</v>
      </c>
      <c r="P166" s="1" t="e">
        <f t="shared" si="57"/>
        <v>#N/A</v>
      </c>
      <c r="Q166" s="1" t="e">
        <f t="shared" si="58"/>
        <v>#N/A</v>
      </c>
      <c r="R166" s="1" t="e">
        <f t="shared" si="59"/>
        <v>#N/A</v>
      </c>
      <c r="S166" s="1" t="e">
        <f t="shared" si="60"/>
        <v>#N/A</v>
      </c>
      <c r="T166" s="1" t="e">
        <f t="shared" si="61"/>
        <v>#N/A</v>
      </c>
      <c r="U166" s="1" t="e">
        <f t="shared" si="62"/>
        <v>#N/A</v>
      </c>
      <c r="V166" s="1" t="e">
        <f t="shared" si="63"/>
        <v>#N/A</v>
      </c>
      <c r="W166" s="1" t="e">
        <f t="shared" si="64"/>
        <v>#N/A</v>
      </c>
      <c r="X166" s="1" t="e">
        <f t="shared" si="65"/>
        <v>#N/A</v>
      </c>
      <c r="Y166" s="1" t="e">
        <f t="shared" si="66"/>
        <v>#N/A</v>
      </c>
      <c r="Z166" s="1" t="e">
        <f t="shared" si="67"/>
        <v>#N/A</v>
      </c>
      <c r="AA166" s="1" t="e">
        <f t="shared" si="68"/>
        <v>#N/A</v>
      </c>
      <c r="AB166" s="1" t="e">
        <f t="shared" si="69"/>
        <v>#N/A</v>
      </c>
      <c r="AC166" s="1" t="e">
        <f t="shared" si="70"/>
        <v>#N/A</v>
      </c>
      <c r="AD166" s="1" t="e">
        <f t="shared" si="71"/>
        <v>#N/A</v>
      </c>
      <c r="AE166" s="1" t="e">
        <f t="shared" si="72"/>
        <v>#N/A</v>
      </c>
      <c r="AF166" s="1" t="e">
        <f t="shared" si="73"/>
        <v>#N/A</v>
      </c>
    </row>
    <row r="167" spans="2:32" hidden="1" x14ac:dyDescent="0.25">
      <c r="B167" s="5" t="str">
        <f t="shared" si="43"/>
        <v>X</v>
      </c>
      <c r="C167" s="1" t="e">
        <f t="shared" si="44"/>
        <v>#N/A</v>
      </c>
      <c r="D167" s="1" t="e">
        <f t="shared" si="45"/>
        <v>#N/A</v>
      </c>
      <c r="E167" s="1" t="e">
        <f t="shared" si="46"/>
        <v>#N/A</v>
      </c>
      <c r="F167" s="1" t="e">
        <f t="shared" si="47"/>
        <v>#N/A</v>
      </c>
      <c r="G167" s="1" t="e">
        <f t="shared" si="48"/>
        <v>#N/A</v>
      </c>
      <c r="H167" s="1" t="e">
        <f t="shared" si="49"/>
        <v>#N/A</v>
      </c>
      <c r="I167" s="1" t="e">
        <f t="shared" si="50"/>
        <v>#N/A</v>
      </c>
      <c r="J167" s="1" t="e">
        <f t="shared" si="51"/>
        <v>#N/A</v>
      </c>
      <c r="K167" s="1" t="e">
        <f t="shared" si="52"/>
        <v>#N/A</v>
      </c>
      <c r="L167" s="1" t="e">
        <f t="shared" si="53"/>
        <v>#N/A</v>
      </c>
      <c r="M167" s="1" t="e">
        <f t="shared" si="54"/>
        <v>#N/A</v>
      </c>
      <c r="N167" s="1" t="e">
        <f t="shared" si="55"/>
        <v>#N/A</v>
      </c>
      <c r="O167" s="1" t="e">
        <f t="shared" si="56"/>
        <v>#N/A</v>
      </c>
      <c r="P167" s="1" t="e">
        <f t="shared" si="57"/>
        <v>#N/A</v>
      </c>
      <c r="Q167" s="1" t="e">
        <f t="shared" si="58"/>
        <v>#N/A</v>
      </c>
      <c r="R167" s="1" t="e">
        <f t="shared" si="59"/>
        <v>#N/A</v>
      </c>
      <c r="S167" s="1" t="e">
        <f t="shared" si="60"/>
        <v>#N/A</v>
      </c>
      <c r="T167" s="1" t="e">
        <f t="shared" si="61"/>
        <v>#N/A</v>
      </c>
      <c r="U167" s="1" t="e">
        <f t="shared" si="62"/>
        <v>#N/A</v>
      </c>
      <c r="V167" s="1" t="e">
        <f t="shared" si="63"/>
        <v>#N/A</v>
      </c>
      <c r="W167" s="1" t="e">
        <f t="shared" si="64"/>
        <v>#N/A</v>
      </c>
      <c r="X167" s="1" t="e">
        <f t="shared" si="65"/>
        <v>#N/A</v>
      </c>
      <c r="Y167" s="1" t="e">
        <f t="shared" si="66"/>
        <v>#N/A</v>
      </c>
      <c r="Z167" s="1" t="e">
        <f t="shared" si="67"/>
        <v>#N/A</v>
      </c>
      <c r="AA167" s="1" t="e">
        <f t="shared" si="68"/>
        <v>#N/A</v>
      </c>
      <c r="AB167" s="1" t="e">
        <f t="shared" si="69"/>
        <v>#N/A</v>
      </c>
      <c r="AC167" s="1" t="e">
        <f t="shared" si="70"/>
        <v>#N/A</v>
      </c>
      <c r="AD167" s="1" t="e">
        <f t="shared" si="71"/>
        <v>#N/A</v>
      </c>
      <c r="AE167" s="1" t="e">
        <f t="shared" si="72"/>
        <v>#N/A</v>
      </c>
      <c r="AF167" s="1" t="e">
        <f t="shared" si="73"/>
        <v>#N/A</v>
      </c>
    </row>
  </sheetData>
  <conditionalFormatting sqref="AH6:BK35">
    <cfRule type="cellIs" dxfId="1" priority="3" operator="between">
      <formula>-0.1</formula>
      <formula>0.1</formula>
    </cfRule>
  </conditionalFormatting>
  <conditionalFormatting sqref="F7">
    <cfRule type="cellIs" dxfId="0" priority="1" operator="between">
      <formula>-0.1</formula>
      <formula>0.1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uto">
                <anchor moveWithCells="1" sizeWithCells="1">
                  <from>
                    <xdr:col>4</xdr:col>
                    <xdr:colOff>19050</xdr:colOff>
                    <xdr:row>12</xdr:row>
                    <xdr:rowOff>9525</xdr:rowOff>
                  </from>
                  <to>
                    <xdr:col>4</xdr:col>
                    <xdr:colOff>809625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manuale">
                <anchor moveWithCells="1" sizeWithCells="1">
                  <from>
                    <xdr:col>4</xdr:col>
                    <xdr:colOff>19050</xdr:colOff>
                    <xdr:row>14</xdr:row>
                    <xdr:rowOff>19050</xdr:rowOff>
                  </from>
                  <to>
                    <xdr:col>4</xdr:col>
                    <xdr:colOff>809625</xdr:colOff>
                    <xdr:row>15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B6B010D-56BE-4AE9-A63C-C9CCC7F6371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B7BC862-3EDF-47A7-9865-20075EB9464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BACF751-E5F4-4BD3-91DE-DD784F10A90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Read me</vt:lpstr>
      <vt:lpstr>Campbell Revision</vt:lpstr>
      <vt:lpstr>Campbell</vt:lpstr>
      <vt:lpstr>Campbell Multi</vt:lpstr>
      <vt:lpstr>Campbell VFD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Carmine Delli Quadri</cp:lastModifiedBy>
  <cp:revision/>
  <dcterms:created xsi:type="dcterms:W3CDTF">2017-01-30T07:25:37Z</dcterms:created>
  <dcterms:modified xsi:type="dcterms:W3CDTF">2023-12-20T14:55:53Z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</Properties>
</file>