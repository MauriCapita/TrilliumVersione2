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"/>
    </mc:Choice>
  </mc:AlternateContent>
  <xr:revisionPtr revIDLastSave="0" documentId="13_ncr:1_{C53719C4-85D9-4C88-8012-6DDAEA1E70F3}" xr6:coauthVersionLast="47" xr6:coauthVersionMax="47" xr10:uidLastSave="{00000000-0000-0000-0000-000000000000}"/>
  <bookViews>
    <workbookView xWindow="-19320" yWindow="-120" windowWidth="19440" windowHeight="15000" xr2:uid="{22EDCBDB-8D9B-42EE-BD3F-D06EF58E92F8}"/>
  </bookViews>
  <sheets>
    <sheet name="content" sheetId="6" r:id="rId1"/>
    <sheet name="gasket curve" sheetId="5" r:id="rId2"/>
    <sheet name="database" sheetId="8" r:id="rId3"/>
  </sheets>
  <definedNames>
    <definedName name="GAR_1">database!$AQ$4:$AQ$7</definedName>
    <definedName name="GAR_2">database!$AR$4:$AR$6</definedName>
    <definedName name="GAR_3">database!$AS$4:$AS$7</definedName>
    <definedName name="GAR_4">database!$AT$4:$AT$7</definedName>
    <definedName name="GAR_5">database!$AU$4:$AU$7</definedName>
    <definedName name="GAR_6">database!$AV$4:$AV$7</definedName>
    <definedName name="garlock">database!$Z$4:$Z$9</definedName>
    <definedName name="KLI_1">database!$AW$4:$AW$8</definedName>
    <definedName name="KLI_2">database!$AX$4:$AX$9</definedName>
    <definedName name="KLI_3">database!$AY$4:$AY$9</definedName>
    <definedName name="klinger">database!$AA$4:$AA$6</definedName>
    <definedName name="manu">database!$X$4:$X$7</definedName>
    <definedName name="SGL">database!$AB$4:$AB$5</definedName>
    <definedName name="SGL_1">database!$AZ$4:$AZ$7</definedName>
    <definedName name="SGL_2">database!$BA$4:$BA$6</definedName>
    <definedName name="user">database!$BB$4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1" i="8" l="1"/>
  <c r="C4" i="5"/>
  <c r="AG4" i="8"/>
  <c r="Y15" i="8"/>
  <c r="AG5" i="8"/>
  <c r="AG6" i="8"/>
  <c r="AG7" i="8"/>
  <c r="AG8" i="8"/>
  <c r="AG9" i="8"/>
  <c r="AG10" i="8"/>
  <c r="AG11" i="8"/>
  <c r="AG12" i="8"/>
  <c r="AG13" i="8"/>
  <c r="AG14" i="8"/>
  <c r="AG3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Q97" i="8"/>
  <c r="Q98" i="8"/>
  <c r="Q99" i="8"/>
  <c r="Q100" i="8"/>
  <c r="N98" i="8"/>
  <c r="N99" i="8"/>
  <c r="N100" i="8"/>
  <c r="K99" i="8"/>
  <c r="K100" i="8"/>
  <c r="H99" i="8"/>
  <c r="H100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N74" i="8"/>
  <c r="N75" i="8"/>
  <c r="N76" i="8"/>
  <c r="N77" i="8"/>
  <c r="N78" i="8"/>
  <c r="N79" i="8"/>
  <c r="N80" i="8"/>
  <c r="K75" i="8"/>
  <c r="K76" i="8"/>
  <c r="K77" i="8"/>
  <c r="K78" i="8"/>
  <c r="K79" i="8"/>
  <c r="K80" i="8"/>
  <c r="H75" i="8"/>
  <c r="H76" i="8"/>
  <c r="H77" i="8"/>
  <c r="H78" i="8"/>
  <c r="H79" i="8"/>
  <c r="H80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N58" i="8"/>
  <c r="N59" i="8"/>
  <c r="N60" i="8"/>
  <c r="N61" i="8"/>
  <c r="N62" i="8"/>
  <c r="K60" i="8"/>
  <c r="K61" i="8"/>
  <c r="K62" i="8"/>
  <c r="H60" i="8"/>
  <c r="H61" i="8"/>
  <c r="H6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K32" i="8"/>
  <c r="K33" i="8"/>
  <c r="K34" i="8"/>
  <c r="K35" i="8"/>
  <c r="K36" i="8"/>
  <c r="K37" i="8"/>
  <c r="K38" i="8"/>
  <c r="K39" i="8"/>
  <c r="K40" i="8"/>
  <c r="K41" i="8"/>
  <c r="K42" i="8"/>
  <c r="H34" i="8"/>
  <c r="H35" i="8"/>
  <c r="H36" i="8"/>
  <c r="H37" i="8"/>
  <c r="H38" i="8"/>
  <c r="H39" i="8"/>
  <c r="H40" i="8"/>
  <c r="H41" i="8"/>
  <c r="H42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N15" i="8"/>
  <c r="N16" i="8"/>
  <c r="N17" i="8"/>
  <c r="N18" i="8"/>
  <c r="N19" i="8"/>
  <c r="N20" i="8"/>
  <c r="N21" i="8"/>
  <c r="N22" i="8"/>
  <c r="H19" i="8"/>
  <c r="H20" i="8"/>
  <c r="H21" i="8"/>
  <c r="H22" i="8"/>
  <c r="K16" i="8"/>
  <c r="K17" i="8"/>
  <c r="K18" i="8"/>
  <c r="K19" i="8"/>
  <c r="K20" i="8"/>
  <c r="K21" i="8"/>
  <c r="K22" i="8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AH4" i="8"/>
  <c r="Y16" i="8"/>
  <c r="Y12" i="8"/>
  <c r="AN3" i="8"/>
  <c r="AO3" i="8"/>
  <c r="AM4" i="8"/>
  <c r="AN4" i="8"/>
  <c r="AO4" i="8"/>
  <c r="AN5" i="8"/>
  <c r="AO5" i="8"/>
  <c r="AN6" i="8"/>
  <c r="AO6" i="8"/>
  <c r="AN7" i="8"/>
  <c r="AO7" i="8"/>
  <c r="AN8" i="8"/>
  <c r="AO8" i="8"/>
  <c r="AO9" i="8"/>
  <c r="AN12" i="8"/>
  <c r="AO12" i="8"/>
  <c r="R182" i="8"/>
  <c r="S182" i="8"/>
  <c r="U182" i="8"/>
  <c r="V182" i="8"/>
  <c r="R183" i="8"/>
  <c r="S183" i="8"/>
  <c r="U183" i="8"/>
  <c r="V183" i="8"/>
  <c r="R184" i="8"/>
  <c r="S184" i="8"/>
  <c r="U184" i="8"/>
  <c r="V184" i="8"/>
  <c r="R185" i="8"/>
  <c r="S185" i="8"/>
  <c r="U185" i="8"/>
  <c r="V185" i="8"/>
  <c r="R186" i="8"/>
  <c r="S186" i="8"/>
  <c r="U186" i="8"/>
  <c r="V186" i="8"/>
  <c r="R187" i="8"/>
  <c r="S187" i="8"/>
  <c r="U187" i="8"/>
  <c r="V187" i="8"/>
  <c r="R188" i="8"/>
  <c r="S188" i="8"/>
  <c r="U188" i="8"/>
  <c r="V188" i="8"/>
  <c r="R189" i="8"/>
  <c r="S189" i="8"/>
  <c r="U189" i="8"/>
  <c r="V189" i="8"/>
  <c r="R190" i="8"/>
  <c r="S190" i="8"/>
  <c r="U190" i="8"/>
  <c r="V190" i="8"/>
  <c r="R191" i="8"/>
  <c r="S191" i="8"/>
  <c r="U191" i="8"/>
  <c r="V191" i="8"/>
  <c r="R192" i="8"/>
  <c r="S192" i="8"/>
  <c r="U192" i="8"/>
  <c r="V192" i="8"/>
  <c r="R193" i="8"/>
  <c r="S193" i="8"/>
  <c r="U193" i="8"/>
  <c r="V193" i="8"/>
  <c r="R194" i="8"/>
  <c r="S194" i="8"/>
  <c r="U194" i="8"/>
  <c r="V194" i="8"/>
  <c r="R195" i="8"/>
  <c r="S195" i="8"/>
  <c r="U195" i="8"/>
  <c r="V195" i="8"/>
  <c r="R165" i="8"/>
  <c r="S165" i="8"/>
  <c r="U165" i="8"/>
  <c r="V165" i="8"/>
  <c r="R166" i="8"/>
  <c r="S166" i="8"/>
  <c r="U166" i="8"/>
  <c r="V166" i="8"/>
  <c r="R167" i="8"/>
  <c r="S167" i="8"/>
  <c r="U167" i="8"/>
  <c r="V167" i="8"/>
  <c r="R168" i="8"/>
  <c r="S168" i="8"/>
  <c r="U168" i="8"/>
  <c r="V168" i="8"/>
  <c r="R169" i="8"/>
  <c r="S169" i="8"/>
  <c r="U169" i="8"/>
  <c r="V169" i="8"/>
  <c r="R170" i="8"/>
  <c r="S170" i="8"/>
  <c r="U170" i="8"/>
  <c r="V170" i="8"/>
  <c r="R171" i="8"/>
  <c r="S171" i="8"/>
  <c r="U171" i="8"/>
  <c r="V171" i="8"/>
  <c r="R172" i="8"/>
  <c r="S172" i="8"/>
  <c r="U172" i="8"/>
  <c r="V172" i="8"/>
  <c r="R173" i="8"/>
  <c r="S173" i="8"/>
  <c r="U173" i="8"/>
  <c r="V173" i="8"/>
  <c r="R174" i="8"/>
  <c r="S174" i="8"/>
  <c r="U174" i="8"/>
  <c r="V174" i="8"/>
  <c r="R175" i="8"/>
  <c r="S175" i="8"/>
  <c r="U175" i="8"/>
  <c r="V175" i="8"/>
  <c r="R176" i="8"/>
  <c r="S176" i="8"/>
  <c r="U176" i="8"/>
  <c r="V176" i="8"/>
  <c r="R177" i="8"/>
  <c r="S177" i="8"/>
  <c r="U177" i="8"/>
  <c r="V177" i="8"/>
  <c r="R178" i="8"/>
  <c r="S178" i="8"/>
  <c r="U178" i="8"/>
  <c r="V178" i="8"/>
  <c r="R179" i="8"/>
  <c r="S179" i="8"/>
  <c r="U179" i="8"/>
  <c r="V179" i="8"/>
  <c r="R180" i="8"/>
  <c r="S180" i="8"/>
  <c r="U180" i="8"/>
  <c r="V180" i="8"/>
  <c r="R181" i="8"/>
  <c r="S181" i="8"/>
  <c r="U181" i="8"/>
  <c r="V181" i="8"/>
  <c r="R150" i="8"/>
  <c r="S150" i="8"/>
  <c r="U150" i="8"/>
  <c r="V150" i="8"/>
  <c r="R151" i="8"/>
  <c r="S151" i="8"/>
  <c r="U151" i="8"/>
  <c r="V151" i="8"/>
  <c r="R152" i="8"/>
  <c r="S152" i="8"/>
  <c r="U152" i="8"/>
  <c r="V152" i="8"/>
  <c r="R153" i="8"/>
  <c r="S153" i="8"/>
  <c r="U153" i="8"/>
  <c r="V153" i="8"/>
  <c r="R154" i="8"/>
  <c r="S154" i="8"/>
  <c r="U154" i="8"/>
  <c r="V154" i="8"/>
  <c r="R155" i="8"/>
  <c r="S155" i="8"/>
  <c r="U155" i="8"/>
  <c r="V155" i="8"/>
  <c r="R156" i="8"/>
  <c r="S156" i="8"/>
  <c r="U156" i="8"/>
  <c r="V156" i="8"/>
  <c r="R157" i="8"/>
  <c r="S157" i="8"/>
  <c r="U157" i="8"/>
  <c r="V157" i="8"/>
  <c r="R158" i="8"/>
  <c r="S158" i="8"/>
  <c r="U158" i="8"/>
  <c r="V158" i="8"/>
  <c r="R159" i="8"/>
  <c r="S159" i="8"/>
  <c r="U159" i="8"/>
  <c r="V159" i="8"/>
  <c r="R160" i="8"/>
  <c r="S160" i="8"/>
  <c r="U160" i="8"/>
  <c r="V160" i="8"/>
  <c r="R161" i="8"/>
  <c r="S161" i="8"/>
  <c r="U161" i="8"/>
  <c r="V161" i="8"/>
  <c r="R162" i="8"/>
  <c r="S162" i="8"/>
  <c r="U162" i="8"/>
  <c r="V162" i="8"/>
  <c r="R163" i="8"/>
  <c r="S163" i="8"/>
  <c r="U163" i="8"/>
  <c r="V163" i="8"/>
  <c r="R164" i="8"/>
  <c r="S164" i="8"/>
  <c r="U164" i="8"/>
  <c r="V164" i="8"/>
  <c r="U149" i="8"/>
  <c r="V149" i="8"/>
  <c r="S149" i="8"/>
  <c r="R149" i="8"/>
  <c r="U5" i="8"/>
  <c r="V5" i="8"/>
  <c r="U6" i="8"/>
  <c r="V6" i="8"/>
  <c r="U7" i="8"/>
  <c r="V7" i="8"/>
  <c r="U8" i="8"/>
  <c r="V8" i="8"/>
  <c r="U9" i="8"/>
  <c r="V9" i="8"/>
  <c r="U10" i="8"/>
  <c r="V10" i="8"/>
  <c r="U11" i="8"/>
  <c r="V11" i="8"/>
  <c r="U12" i="8"/>
  <c r="V12" i="8"/>
  <c r="U13" i="8"/>
  <c r="V13" i="8"/>
  <c r="U14" i="8"/>
  <c r="V14" i="8"/>
  <c r="U15" i="8"/>
  <c r="V15" i="8"/>
  <c r="U16" i="8"/>
  <c r="V16" i="8"/>
  <c r="U17" i="8"/>
  <c r="V17" i="8"/>
  <c r="U18" i="8"/>
  <c r="V18" i="8"/>
  <c r="U19" i="8"/>
  <c r="V19" i="8"/>
  <c r="U20" i="8"/>
  <c r="V20" i="8"/>
  <c r="U21" i="8"/>
  <c r="V21" i="8"/>
  <c r="U22" i="8"/>
  <c r="V22" i="8"/>
  <c r="U23" i="8"/>
  <c r="V23" i="8"/>
  <c r="U24" i="8"/>
  <c r="V24" i="8"/>
  <c r="U25" i="8"/>
  <c r="V25" i="8"/>
  <c r="U26" i="8"/>
  <c r="V26" i="8"/>
  <c r="U27" i="8"/>
  <c r="V27" i="8"/>
  <c r="U28" i="8"/>
  <c r="V28" i="8"/>
  <c r="U29" i="8"/>
  <c r="V29" i="8"/>
  <c r="U30" i="8"/>
  <c r="V30" i="8"/>
  <c r="U31" i="8"/>
  <c r="V31" i="8"/>
  <c r="U32" i="8"/>
  <c r="V32" i="8"/>
  <c r="U33" i="8"/>
  <c r="V33" i="8"/>
  <c r="U34" i="8"/>
  <c r="V34" i="8"/>
  <c r="U35" i="8"/>
  <c r="V35" i="8"/>
  <c r="U36" i="8"/>
  <c r="V36" i="8"/>
  <c r="U37" i="8"/>
  <c r="V37" i="8"/>
  <c r="U38" i="8"/>
  <c r="V38" i="8"/>
  <c r="U39" i="8"/>
  <c r="V39" i="8"/>
  <c r="U40" i="8"/>
  <c r="V40" i="8"/>
  <c r="U41" i="8"/>
  <c r="V41" i="8"/>
  <c r="U42" i="8"/>
  <c r="V42" i="8"/>
  <c r="U43" i="8"/>
  <c r="V43" i="8"/>
  <c r="U44" i="8"/>
  <c r="V44" i="8"/>
  <c r="U45" i="8"/>
  <c r="V45" i="8"/>
  <c r="U46" i="8"/>
  <c r="V46" i="8"/>
  <c r="U47" i="8"/>
  <c r="V47" i="8"/>
  <c r="U48" i="8"/>
  <c r="V48" i="8"/>
  <c r="U49" i="8"/>
  <c r="V49" i="8"/>
  <c r="U50" i="8"/>
  <c r="V50" i="8"/>
  <c r="U51" i="8"/>
  <c r="V51" i="8"/>
  <c r="U52" i="8"/>
  <c r="V52" i="8"/>
  <c r="U53" i="8"/>
  <c r="V53" i="8"/>
  <c r="U54" i="8"/>
  <c r="V54" i="8"/>
  <c r="U55" i="8"/>
  <c r="V55" i="8"/>
  <c r="U56" i="8"/>
  <c r="V56" i="8"/>
  <c r="U57" i="8"/>
  <c r="V57" i="8"/>
  <c r="U58" i="8"/>
  <c r="V58" i="8"/>
  <c r="U59" i="8"/>
  <c r="V59" i="8"/>
  <c r="U60" i="8"/>
  <c r="V60" i="8"/>
  <c r="U61" i="8"/>
  <c r="V61" i="8"/>
  <c r="U62" i="8"/>
  <c r="V62" i="8"/>
  <c r="U63" i="8"/>
  <c r="V63" i="8"/>
  <c r="U64" i="8"/>
  <c r="V64" i="8"/>
  <c r="U65" i="8"/>
  <c r="V65" i="8"/>
  <c r="U66" i="8"/>
  <c r="V66" i="8"/>
  <c r="U67" i="8"/>
  <c r="V67" i="8"/>
  <c r="U68" i="8"/>
  <c r="V68" i="8"/>
  <c r="U69" i="8"/>
  <c r="V69" i="8"/>
  <c r="U70" i="8"/>
  <c r="V70" i="8"/>
  <c r="U71" i="8"/>
  <c r="V71" i="8"/>
  <c r="U72" i="8"/>
  <c r="V72" i="8"/>
  <c r="U73" i="8"/>
  <c r="V73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U81" i="8"/>
  <c r="V81" i="8"/>
  <c r="U82" i="8"/>
  <c r="V82" i="8"/>
  <c r="U83" i="8"/>
  <c r="V83" i="8"/>
  <c r="U84" i="8"/>
  <c r="V84" i="8"/>
  <c r="U85" i="8"/>
  <c r="V85" i="8"/>
  <c r="U86" i="8"/>
  <c r="V86" i="8"/>
  <c r="U87" i="8"/>
  <c r="V87" i="8"/>
  <c r="U88" i="8"/>
  <c r="V88" i="8"/>
  <c r="U89" i="8"/>
  <c r="V89" i="8"/>
  <c r="U90" i="8"/>
  <c r="V90" i="8"/>
  <c r="U91" i="8"/>
  <c r="V91" i="8"/>
  <c r="U92" i="8"/>
  <c r="V92" i="8"/>
  <c r="U93" i="8"/>
  <c r="V93" i="8"/>
  <c r="U94" i="8"/>
  <c r="V94" i="8"/>
  <c r="U95" i="8"/>
  <c r="V95" i="8"/>
  <c r="U96" i="8"/>
  <c r="V96" i="8"/>
  <c r="U97" i="8"/>
  <c r="V97" i="8"/>
  <c r="U98" i="8"/>
  <c r="V98" i="8"/>
  <c r="U99" i="8"/>
  <c r="V99" i="8"/>
  <c r="U100" i="8"/>
  <c r="V100" i="8"/>
  <c r="U101" i="8"/>
  <c r="V101" i="8"/>
  <c r="U102" i="8"/>
  <c r="V102" i="8"/>
  <c r="U103" i="8"/>
  <c r="V103" i="8"/>
  <c r="U104" i="8"/>
  <c r="V104" i="8"/>
  <c r="U105" i="8"/>
  <c r="V105" i="8"/>
  <c r="U106" i="8"/>
  <c r="V106" i="8"/>
  <c r="U107" i="8"/>
  <c r="V107" i="8"/>
  <c r="U108" i="8"/>
  <c r="V108" i="8"/>
  <c r="U109" i="8"/>
  <c r="V109" i="8"/>
  <c r="U110" i="8"/>
  <c r="V110" i="8"/>
  <c r="U111" i="8"/>
  <c r="V111" i="8"/>
  <c r="U112" i="8"/>
  <c r="V112" i="8"/>
  <c r="U113" i="8"/>
  <c r="V113" i="8"/>
  <c r="U114" i="8"/>
  <c r="V114" i="8"/>
  <c r="U115" i="8"/>
  <c r="V115" i="8"/>
  <c r="U116" i="8"/>
  <c r="V116" i="8"/>
  <c r="U117" i="8"/>
  <c r="V117" i="8"/>
  <c r="U118" i="8"/>
  <c r="V118" i="8"/>
  <c r="U119" i="8"/>
  <c r="V119" i="8"/>
  <c r="U120" i="8"/>
  <c r="V120" i="8"/>
  <c r="U121" i="8"/>
  <c r="V121" i="8"/>
  <c r="U122" i="8"/>
  <c r="V122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U131" i="8"/>
  <c r="V131" i="8"/>
  <c r="U132" i="8"/>
  <c r="V132" i="8"/>
  <c r="U133" i="8"/>
  <c r="V133" i="8"/>
  <c r="U134" i="8"/>
  <c r="V134" i="8"/>
  <c r="V4" i="8"/>
  <c r="U4" i="8"/>
  <c r="R112" i="8"/>
  <c r="S112" i="8"/>
  <c r="O113" i="8"/>
  <c r="P113" i="8"/>
  <c r="R113" i="8"/>
  <c r="S113" i="8"/>
  <c r="O114" i="8"/>
  <c r="P114" i="8"/>
  <c r="R114" i="8"/>
  <c r="S114" i="8"/>
  <c r="L114" i="8"/>
  <c r="M114" i="8"/>
  <c r="J115" i="8"/>
  <c r="L115" i="8"/>
  <c r="M115" i="8"/>
  <c r="O115" i="8"/>
  <c r="P115" i="8"/>
  <c r="R115" i="8"/>
  <c r="S115" i="8"/>
  <c r="J116" i="8"/>
  <c r="L116" i="8"/>
  <c r="M116" i="8"/>
  <c r="O116" i="8"/>
  <c r="P116" i="8"/>
  <c r="R116" i="8"/>
  <c r="S116" i="8"/>
  <c r="J117" i="8"/>
  <c r="L117" i="8"/>
  <c r="M117" i="8"/>
  <c r="O117" i="8"/>
  <c r="P117" i="8"/>
  <c r="R117" i="8"/>
  <c r="S117" i="8"/>
  <c r="J118" i="8"/>
  <c r="L118" i="8"/>
  <c r="M118" i="8"/>
  <c r="O118" i="8"/>
  <c r="P118" i="8"/>
  <c r="R118" i="8"/>
  <c r="S118" i="8"/>
  <c r="I116" i="8"/>
  <c r="I117" i="8"/>
  <c r="I118" i="8"/>
  <c r="I115" i="8"/>
  <c r="R97" i="8"/>
  <c r="S97" i="8"/>
  <c r="R98" i="8"/>
  <c r="S98" i="8"/>
  <c r="O98" i="8"/>
  <c r="P98" i="8"/>
  <c r="J99" i="8"/>
  <c r="L99" i="8"/>
  <c r="M99" i="8"/>
  <c r="O99" i="8"/>
  <c r="P99" i="8"/>
  <c r="R99" i="8"/>
  <c r="S99" i="8"/>
  <c r="J100" i="8"/>
  <c r="L100" i="8"/>
  <c r="M100" i="8"/>
  <c r="O100" i="8"/>
  <c r="P100" i="8"/>
  <c r="R100" i="8"/>
  <c r="S100" i="8"/>
  <c r="I100" i="8"/>
  <c r="I99" i="8"/>
  <c r="R5" i="8"/>
  <c r="S5" i="8"/>
  <c r="R6" i="8"/>
  <c r="S6" i="8"/>
  <c r="R7" i="8"/>
  <c r="S7" i="8"/>
  <c r="R8" i="8"/>
  <c r="S8" i="8"/>
  <c r="R9" i="8"/>
  <c r="S9" i="8"/>
  <c r="R10" i="8"/>
  <c r="S10" i="8"/>
  <c r="R11" i="8"/>
  <c r="S11" i="8"/>
  <c r="R12" i="8"/>
  <c r="S12" i="8"/>
  <c r="R13" i="8"/>
  <c r="S13" i="8"/>
  <c r="R14" i="8"/>
  <c r="S14" i="8"/>
  <c r="R15" i="8"/>
  <c r="S15" i="8"/>
  <c r="R16" i="8"/>
  <c r="S16" i="8"/>
  <c r="R17" i="8"/>
  <c r="S17" i="8"/>
  <c r="R18" i="8"/>
  <c r="S18" i="8"/>
  <c r="R19" i="8"/>
  <c r="S19" i="8"/>
  <c r="R20" i="8"/>
  <c r="S20" i="8"/>
  <c r="R21" i="8"/>
  <c r="S21" i="8"/>
  <c r="R22" i="8"/>
  <c r="S22" i="8"/>
  <c r="R23" i="8"/>
  <c r="S23" i="8"/>
  <c r="R24" i="8"/>
  <c r="S24" i="8"/>
  <c r="R25" i="8"/>
  <c r="S25" i="8"/>
  <c r="R26" i="8"/>
  <c r="S26" i="8"/>
  <c r="R27" i="8"/>
  <c r="S27" i="8"/>
  <c r="R28" i="8"/>
  <c r="S28" i="8"/>
  <c r="R29" i="8"/>
  <c r="S29" i="8"/>
  <c r="R30" i="8"/>
  <c r="S30" i="8"/>
  <c r="R31" i="8"/>
  <c r="S31" i="8"/>
  <c r="R32" i="8"/>
  <c r="S32" i="8"/>
  <c r="R33" i="8"/>
  <c r="S33" i="8"/>
  <c r="R34" i="8"/>
  <c r="S34" i="8"/>
  <c r="R35" i="8"/>
  <c r="S35" i="8"/>
  <c r="R36" i="8"/>
  <c r="S36" i="8"/>
  <c r="R37" i="8"/>
  <c r="S37" i="8"/>
  <c r="R38" i="8"/>
  <c r="S38" i="8"/>
  <c r="R39" i="8"/>
  <c r="S39" i="8"/>
  <c r="R40" i="8"/>
  <c r="S40" i="8"/>
  <c r="R41" i="8"/>
  <c r="S41" i="8"/>
  <c r="R42" i="8"/>
  <c r="S42" i="8"/>
  <c r="R43" i="8"/>
  <c r="S43" i="8"/>
  <c r="R44" i="8"/>
  <c r="S44" i="8"/>
  <c r="R45" i="8"/>
  <c r="S45" i="8"/>
  <c r="R46" i="8"/>
  <c r="S46" i="8"/>
  <c r="R47" i="8"/>
  <c r="S47" i="8"/>
  <c r="R48" i="8"/>
  <c r="S48" i="8"/>
  <c r="R49" i="8"/>
  <c r="S49" i="8"/>
  <c r="R50" i="8"/>
  <c r="S50" i="8"/>
  <c r="R51" i="8"/>
  <c r="S51" i="8"/>
  <c r="R52" i="8"/>
  <c r="S52" i="8"/>
  <c r="R53" i="8"/>
  <c r="S53" i="8"/>
  <c r="R54" i="8"/>
  <c r="S54" i="8"/>
  <c r="R55" i="8"/>
  <c r="S55" i="8"/>
  <c r="R56" i="8"/>
  <c r="S56" i="8"/>
  <c r="R57" i="8"/>
  <c r="S57" i="8"/>
  <c r="R58" i="8"/>
  <c r="S58" i="8"/>
  <c r="R59" i="8"/>
  <c r="S59" i="8"/>
  <c r="R60" i="8"/>
  <c r="S60" i="8"/>
  <c r="R61" i="8"/>
  <c r="S61" i="8"/>
  <c r="R62" i="8"/>
  <c r="S62" i="8"/>
  <c r="R63" i="8"/>
  <c r="S63" i="8"/>
  <c r="R64" i="8"/>
  <c r="S64" i="8"/>
  <c r="R65" i="8"/>
  <c r="S65" i="8"/>
  <c r="R66" i="8"/>
  <c r="S66" i="8"/>
  <c r="R67" i="8"/>
  <c r="S67" i="8"/>
  <c r="R68" i="8"/>
  <c r="S68" i="8"/>
  <c r="R69" i="8"/>
  <c r="S69" i="8"/>
  <c r="R70" i="8"/>
  <c r="S70" i="8"/>
  <c r="R71" i="8"/>
  <c r="S71" i="8"/>
  <c r="R72" i="8"/>
  <c r="S72" i="8"/>
  <c r="R73" i="8"/>
  <c r="S73" i="8"/>
  <c r="R74" i="8"/>
  <c r="S74" i="8"/>
  <c r="R75" i="8"/>
  <c r="S75" i="8"/>
  <c r="R76" i="8"/>
  <c r="S76" i="8"/>
  <c r="R77" i="8"/>
  <c r="S77" i="8"/>
  <c r="R78" i="8"/>
  <c r="S78" i="8"/>
  <c r="R79" i="8"/>
  <c r="S79" i="8"/>
  <c r="R80" i="8"/>
  <c r="S80" i="8"/>
  <c r="S4" i="8"/>
  <c r="R4" i="8"/>
  <c r="O74" i="8"/>
  <c r="P74" i="8"/>
  <c r="J75" i="8"/>
  <c r="L75" i="8"/>
  <c r="M75" i="8"/>
  <c r="O75" i="8"/>
  <c r="P75" i="8"/>
  <c r="J76" i="8"/>
  <c r="L76" i="8"/>
  <c r="M76" i="8"/>
  <c r="O76" i="8"/>
  <c r="P76" i="8"/>
  <c r="J77" i="8"/>
  <c r="L77" i="8"/>
  <c r="M77" i="8"/>
  <c r="O77" i="8"/>
  <c r="P77" i="8"/>
  <c r="J78" i="8"/>
  <c r="L78" i="8"/>
  <c r="M78" i="8"/>
  <c r="O78" i="8"/>
  <c r="P78" i="8"/>
  <c r="J79" i="8"/>
  <c r="L79" i="8"/>
  <c r="M79" i="8"/>
  <c r="O79" i="8"/>
  <c r="P79" i="8"/>
  <c r="J80" i="8"/>
  <c r="L80" i="8"/>
  <c r="M80" i="8"/>
  <c r="O80" i="8"/>
  <c r="P80" i="8"/>
  <c r="I76" i="8"/>
  <c r="I77" i="8"/>
  <c r="I78" i="8"/>
  <c r="I79" i="8"/>
  <c r="I80" i="8"/>
  <c r="I75" i="8"/>
  <c r="O58" i="8"/>
  <c r="P58" i="8"/>
  <c r="O59" i="8"/>
  <c r="P59" i="8"/>
  <c r="J60" i="8"/>
  <c r="L60" i="8"/>
  <c r="M60" i="8"/>
  <c r="O60" i="8"/>
  <c r="P60" i="8"/>
  <c r="J61" i="8"/>
  <c r="L61" i="8"/>
  <c r="M61" i="8"/>
  <c r="O61" i="8"/>
  <c r="P61" i="8"/>
  <c r="J62" i="8"/>
  <c r="L62" i="8"/>
  <c r="M62" i="8"/>
  <c r="O62" i="8"/>
  <c r="P62" i="8"/>
  <c r="I61" i="8"/>
  <c r="I62" i="8"/>
  <c r="I60" i="8"/>
  <c r="O23" i="8"/>
  <c r="P23" i="8"/>
  <c r="O24" i="8"/>
  <c r="P24" i="8"/>
  <c r="O25" i="8"/>
  <c r="P25" i="8"/>
  <c r="O26" i="8"/>
  <c r="P26" i="8"/>
  <c r="O27" i="8"/>
  <c r="P27" i="8"/>
  <c r="O28" i="8"/>
  <c r="P28" i="8"/>
  <c r="O29" i="8"/>
  <c r="P29" i="8"/>
  <c r="O30" i="8"/>
  <c r="P30" i="8"/>
  <c r="O31" i="8"/>
  <c r="P31" i="8"/>
  <c r="O32" i="8"/>
  <c r="P32" i="8"/>
  <c r="O33" i="8"/>
  <c r="P33" i="8"/>
  <c r="O34" i="8"/>
  <c r="P34" i="8"/>
  <c r="O35" i="8"/>
  <c r="P35" i="8"/>
  <c r="O36" i="8"/>
  <c r="P36" i="8"/>
  <c r="O37" i="8"/>
  <c r="P37" i="8"/>
  <c r="O38" i="8"/>
  <c r="P38" i="8"/>
  <c r="O39" i="8"/>
  <c r="P39" i="8"/>
  <c r="O40" i="8"/>
  <c r="P40" i="8"/>
  <c r="O41" i="8"/>
  <c r="P41" i="8"/>
  <c r="O42" i="8"/>
  <c r="P4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M32" i="8"/>
  <c r="L32" i="8"/>
  <c r="I35" i="8"/>
  <c r="J35" i="8"/>
  <c r="I36" i="8"/>
  <c r="J36" i="8"/>
  <c r="I37" i="8"/>
  <c r="J37" i="8"/>
  <c r="I38" i="8"/>
  <c r="J38" i="8"/>
  <c r="I39" i="8"/>
  <c r="J39" i="8"/>
  <c r="I40" i="8"/>
  <c r="J40" i="8"/>
  <c r="I41" i="8"/>
  <c r="J41" i="8"/>
  <c r="I42" i="8"/>
  <c r="J42" i="8"/>
  <c r="J34" i="8"/>
  <c r="I34" i="8"/>
  <c r="L16" i="8"/>
  <c r="M16" i="8"/>
  <c r="L17" i="8"/>
  <c r="M17" i="8"/>
  <c r="L18" i="8"/>
  <c r="M18" i="8"/>
  <c r="O15" i="8"/>
  <c r="O16" i="8"/>
  <c r="O17" i="8"/>
  <c r="O18" i="8"/>
  <c r="P15" i="8"/>
  <c r="P16" i="8"/>
  <c r="P17" i="8"/>
  <c r="P18" i="8"/>
  <c r="J19" i="8"/>
  <c r="L19" i="8"/>
  <c r="M19" i="8"/>
  <c r="O19" i="8"/>
  <c r="P19" i="8"/>
  <c r="J20" i="8"/>
  <c r="L20" i="8"/>
  <c r="M20" i="8"/>
  <c r="O20" i="8"/>
  <c r="P20" i="8"/>
  <c r="J21" i="8"/>
  <c r="L21" i="8"/>
  <c r="M21" i="8"/>
  <c r="O21" i="8"/>
  <c r="P21" i="8"/>
  <c r="J22" i="8"/>
  <c r="L22" i="8"/>
  <c r="M22" i="8"/>
  <c r="O22" i="8"/>
  <c r="P22" i="8"/>
  <c r="I20" i="8"/>
  <c r="I21" i="8"/>
  <c r="I22" i="8"/>
  <c r="I19" i="8"/>
  <c r="Y14" i="8"/>
  <c r="Y13" i="8"/>
  <c r="B11" i="5" a="1"/>
  <c r="B11" i="5"/>
  <c r="AH5" i="8"/>
  <c r="AH6" i="8"/>
  <c r="AH7" i="8"/>
  <c r="AH8" i="8"/>
  <c r="AH9" i="8"/>
  <c r="AH10" i="8"/>
  <c r="AH11" i="8"/>
  <c r="AH12" i="8"/>
  <c r="AH13" i="8"/>
  <c r="AH14" i="8"/>
  <c r="AH58" i="5"/>
  <c r="AH57" i="5"/>
  <c r="AA20" i="5"/>
  <c r="AA19" i="5"/>
  <c r="AA18" i="5"/>
  <c r="AA17" i="5"/>
  <c r="AA16" i="5"/>
  <c r="AA15" i="5"/>
  <c r="AA14" i="5"/>
  <c r="AA13" i="5"/>
  <c r="AA12" i="5"/>
  <c r="AA11" i="5"/>
  <c r="AH50" i="5"/>
  <c r="AA21" i="5"/>
  <c r="AA22" i="5"/>
  <c r="AH60" i="5"/>
  <c r="AH56" i="5"/>
  <c r="AH54" i="5"/>
  <c r="AH52" i="5"/>
  <c r="E25" i="5"/>
  <c r="G25" i="5"/>
  <c r="I25" i="5"/>
  <c r="H30" i="5"/>
  <c r="F30" i="5"/>
  <c r="E30" i="5"/>
  <c r="G30" i="5"/>
  <c r="I30" i="5"/>
  <c r="I52" i="5"/>
  <c r="I53" i="5"/>
  <c r="I55" i="5"/>
  <c r="F20" i="5"/>
  <c r="F22" i="5"/>
  <c r="F19" i="5"/>
  <c r="AH24" i="5"/>
  <c r="AH23" i="5"/>
  <c r="AH48" i="5"/>
  <c r="AH47" i="5"/>
  <c r="I33" i="5"/>
  <c r="F12" i="5"/>
  <c r="H24" i="5"/>
  <c r="I36" i="5"/>
  <c r="E19" i="5"/>
  <c r="G19" i="5"/>
  <c r="I19" i="5"/>
  <c r="I56" i="5"/>
  <c r="I50" i="5"/>
  <c r="F16" i="5"/>
  <c r="I48" i="5"/>
  <c r="I32" i="5"/>
  <c r="AH14" i="5"/>
  <c r="AH13" i="5"/>
  <c r="E13" i="5"/>
  <c r="G13" i="5"/>
  <c r="I13" i="5"/>
  <c r="H29" i="5"/>
  <c r="I39" i="5"/>
  <c r="F15" i="5"/>
  <c r="E17" i="5"/>
  <c r="G17" i="5"/>
  <c r="I17" i="5"/>
  <c r="H28" i="5"/>
  <c r="E23" i="5"/>
  <c r="G23" i="5"/>
  <c r="I23" i="5"/>
  <c r="F24" i="5"/>
  <c r="E21" i="5"/>
  <c r="G21" i="5"/>
  <c r="I21" i="5"/>
  <c r="AH16" i="5"/>
  <c r="AH15" i="5"/>
  <c r="AH18" i="5"/>
  <c r="AH17" i="5"/>
  <c r="I34" i="5"/>
  <c r="H27" i="5"/>
  <c r="AH46" i="5"/>
  <c r="AH45" i="5"/>
  <c r="I35" i="5"/>
  <c r="F17" i="5"/>
  <c r="AH12" i="5"/>
  <c r="AH11" i="5"/>
  <c r="AH20" i="5"/>
  <c r="AH19" i="5"/>
  <c r="H12" i="5"/>
  <c r="H25" i="5"/>
  <c r="H26" i="5"/>
  <c r="F29" i="5"/>
  <c r="F28" i="5"/>
  <c r="F27" i="5"/>
  <c r="H20" i="5"/>
  <c r="AH28" i="5"/>
  <c r="AH27" i="5"/>
  <c r="E12" i="5"/>
  <c r="G12" i="5"/>
  <c r="I12" i="5"/>
  <c r="F23" i="5"/>
  <c r="F13" i="5"/>
  <c r="F26" i="5"/>
  <c r="E22" i="5"/>
  <c r="G22" i="5"/>
  <c r="I22" i="5"/>
  <c r="E29" i="5"/>
  <c r="G29" i="5"/>
  <c r="I29" i="5"/>
  <c r="AH22" i="5"/>
  <c r="AH21" i="5"/>
  <c r="E14" i="5"/>
  <c r="G14" i="5"/>
  <c r="I14" i="5"/>
  <c r="I57" i="5"/>
  <c r="AH34" i="5"/>
  <c r="AH33" i="5"/>
  <c r="AH36" i="5"/>
  <c r="AH35" i="5"/>
  <c r="I42" i="5"/>
  <c r="H18" i="5"/>
  <c r="F18" i="5"/>
  <c r="F14" i="5"/>
  <c r="F25" i="5"/>
  <c r="E20" i="5"/>
  <c r="G20" i="5"/>
  <c r="I20" i="5"/>
  <c r="I43" i="5"/>
  <c r="I37" i="5"/>
  <c r="H13" i="5"/>
  <c r="H23" i="5"/>
  <c r="E28" i="5"/>
  <c r="G28" i="5"/>
  <c r="I28" i="5"/>
  <c r="I51" i="5"/>
  <c r="I40" i="5"/>
  <c r="AH30" i="5"/>
  <c r="AH29" i="5"/>
  <c r="H15" i="5"/>
  <c r="E16" i="5"/>
  <c r="G16" i="5"/>
  <c r="I16" i="5"/>
  <c r="H19" i="5"/>
  <c r="AH40" i="5"/>
  <c r="AH39" i="5"/>
  <c r="E15" i="5"/>
  <c r="G15" i="5"/>
  <c r="I15" i="5"/>
  <c r="I58" i="5"/>
  <c r="I54" i="5"/>
  <c r="E27" i="5"/>
  <c r="G27" i="5"/>
  <c r="I27" i="5"/>
  <c r="H21" i="5"/>
  <c r="I45" i="5"/>
  <c r="I60" i="5"/>
  <c r="E18" i="5"/>
  <c r="G18" i="5"/>
  <c r="I18" i="5"/>
  <c r="E26" i="5"/>
  <c r="G26" i="5"/>
  <c r="I26" i="5"/>
  <c r="I59" i="5"/>
  <c r="AH26" i="5"/>
  <c r="AH25" i="5"/>
  <c r="I44" i="5"/>
  <c r="H14" i="5"/>
  <c r="AH32" i="5"/>
  <c r="AH31" i="5"/>
  <c r="H16" i="5"/>
  <c r="F21" i="5"/>
  <c r="AH38" i="5"/>
  <c r="H11" i="5"/>
  <c r="AG54" i="5"/>
  <c r="I41" i="5"/>
  <c r="I49" i="5"/>
  <c r="AH42" i="5"/>
  <c r="AH41" i="5"/>
  <c r="I31" i="5"/>
  <c r="E24" i="5"/>
  <c r="G24" i="5"/>
  <c r="I24" i="5"/>
  <c r="I46" i="5"/>
  <c r="H22" i="5"/>
  <c r="AH44" i="5"/>
  <c r="AH43" i="5"/>
  <c r="H17" i="5"/>
  <c r="I38" i="5"/>
  <c r="I47" i="5"/>
  <c r="F11" i="5"/>
  <c r="E11" i="5"/>
  <c r="G11" i="5"/>
  <c r="I11" i="5"/>
  <c r="AG57" i="5"/>
  <c r="C6" i="5"/>
  <c r="AH55" i="5"/>
  <c r="L37" i="5"/>
  <c r="L38" i="5"/>
  <c r="L15" i="5"/>
  <c r="AH51" i="5"/>
  <c r="AH59" i="5"/>
  <c r="AH53" i="5"/>
  <c r="L14" i="5"/>
  <c r="L16" i="5"/>
  <c r="L13" i="5"/>
  <c r="AH49" i="5"/>
  <c r="L39" i="5" a="1"/>
  <c r="L11" i="5" a="1"/>
  <c r="L12" i="5" a="1"/>
  <c r="L10" i="5" a="1"/>
  <c r="AG28" i="5"/>
  <c r="AD11" i="5" a="1"/>
  <c r="AD11" i="5"/>
  <c r="AG38" i="5"/>
  <c r="AG32" i="5"/>
  <c r="AG16" i="5"/>
  <c r="AG24" i="5"/>
  <c r="AG48" i="5"/>
  <c r="AG26" i="5"/>
  <c r="AG20" i="5"/>
  <c r="AG18" i="5"/>
  <c r="AG52" i="5"/>
  <c r="AG30" i="5"/>
  <c r="AG34" i="5"/>
  <c r="AG36" i="5"/>
  <c r="AG22" i="5"/>
  <c r="AH37" i="5"/>
  <c r="AG40" i="5"/>
  <c r="AG60" i="5"/>
  <c r="AG50" i="5"/>
  <c r="AG46" i="5"/>
  <c r="AG58" i="5"/>
  <c r="AG44" i="5"/>
  <c r="AG42" i="5"/>
  <c r="AG56" i="5"/>
  <c r="L11" i="5"/>
  <c r="L10" i="5"/>
  <c r="L12" i="5"/>
  <c r="AG12" i="5"/>
  <c r="AG14" i="5"/>
  <c r="AG41" i="5"/>
  <c r="AG55" i="5"/>
  <c r="AG35" i="5"/>
  <c r="AG27" i="5"/>
  <c r="AG33" i="5"/>
  <c r="AG15" i="5"/>
  <c r="AG13" i="5"/>
  <c r="AG11" i="5"/>
  <c r="AG25" i="5"/>
  <c r="AG21" i="5"/>
  <c r="AG51" i="5"/>
  <c r="AG47" i="5"/>
  <c r="AG23" i="5"/>
  <c r="AG53" i="5"/>
  <c r="AG43" i="5"/>
  <c r="AG31" i="5"/>
  <c r="AG59" i="5"/>
  <c r="AG39" i="5"/>
  <c r="AG19" i="5"/>
  <c r="AG49" i="5"/>
  <c r="AG17" i="5"/>
  <c r="AG45" i="5"/>
  <c r="AG29" i="5"/>
  <c r="AG37" i="5"/>
  <c r="AC11" i="5" a="1"/>
  <c r="AC11" i="5"/>
  <c r="L39" i="5"/>
  <c r="L41" i="5"/>
  <c r="K16" i="5"/>
  <c r="K14" i="5"/>
  <c r="K13" i="5"/>
  <c r="K15" i="5" a="1"/>
  <c r="K15" i="5"/>
  <c r="L40" i="5"/>
  <c r="L4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<sst xmlns="http://schemas.openxmlformats.org/spreadsheetml/2006/main" count="568" uniqueCount="117">
  <si>
    <t>First issue</t>
  </si>
  <si>
    <t>R&amp;D - M. Di Somma</t>
  </si>
  <si>
    <t>Rev.</t>
  </si>
  <si>
    <t>Date</t>
  </si>
  <si>
    <t>Description</t>
  </si>
  <si>
    <t>Prepared</t>
  </si>
  <si>
    <t>Checked</t>
  </si>
  <si>
    <t>Approved</t>
  </si>
  <si>
    <t>manufaturer</t>
  </si>
  <si>
    <t>Garlock</t>
  </si>
  <si>
    <t>name</t>
  </si>
  <si>
    <t>9900</t>
  </si>
  <si>
    <t>thickness [mm]</t>
  </si>
  <si>
    <t>T [°C]</t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</si>
  <si>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A max</t>
    </r>
    <r>
      <rPr>
        <b/>
        <sz val="11"/>
        <color theme="0"/>
        <rFont val="Aptos Narrow"/>
        <family val="2"/>
        <scheme val="minor"/>
      </rPr>
      <t xml:space="preserve"> [MPa]</t>
    </r>
  </si>
  <si>
    <t>Gasket loading/unloading curve</t>
  </si>
  <si>
    <t>Bolt</t>
  </si>
  <si>
    <t>(surface pressure at assembly condition)</t>
  </si>
  <si>
    <t>(unloading secant modulus
of elasticity of the gasket)</t>
  </si>
  <si>
    <t>(gasket thickness at assembly condition)</t>
  </si>
  <si>
    <t>(ratio of axial vs yield stress at serration)</t>
  </si>
  <si>
    <t>(number of bolt/stud)</t>
  </si>
  <si>
    <t>(bolt material yield stress)</t>
  </si>
  <si>
    <t>(resistant diameter of bolt/stud)</t>
  </si>
  <si>
    <t>(tightening force of bolt/stud)</t>
  </si>
  <si>
    <t>loading curve</t>
  </si>
  <si>
    <t>unloading curve</t>
  </si>
  <si>
    <r>
      <t>Q</t>
    </r>
    <r>
      <rPr>
        <b/>
        <vertAlign val="subscript"/>
        <sz val="11"/>
        <color theme="1"/>
        <rFont val="Aptos Narrow"/>
        <family val="2"/>
        <scheme val="minor"/>
      </rPr>
      <t xml:space="preserve">A </t>
    </r>
    <r>
      <rPr>
        <b/>
        <sz val="11"/>
        <color theme="1"/>
        <rFont val="Aptos Narrow"/>
        <family val="2"/>
        <scheme val="minor"/>
      </rPr>
      <t>[MPa]</t>
    </r>
  </si>
  <si>
    <r>
      <t>E</t>
    </r>
    <r>
      <rPr>
        <b/>
        <vertAlign val="subscript"/>
        <sz val="11"/>
        <color theme="1"/>
        <rFont val="Aptos Narrow"/>
        <family val="2"/>
        <scheme val="minor"/>
      </rPr>
      <t>G</t>
    </r>
    <r>
      <rPr>
        <b/>
        <sz val="11"/>
        <color theme="1"/>
        <rFont val="Aptos Narrow"/>
        <family val="2"/>
        <scheme val="minor"/>
      </rPr>
      <t xml:space="preserve"> [MPa]</t>
    </r>
  </si>
  <si>
    <r>
      <t>e</t>
    </r>
    <r>
      <rPr>
        <b/>
        <vertAlign val="subscript"/>
        <sz val="11"/>
        <color theme="1"/>
        <rFont val="Aptos Narrow"/>
        <family val="2"/>
        <scheme val="minor"/>
      </rPr>
      <t>QA</t>
    </r>
    <r>
      <rPr>
        <b/>
        <sz val="11"/>
        <color theme="1"/>
        <rFont val="Aptos Narrow"/>
        <family val="2"/>
        <scheme val="minor"/>
      </rPr>
      <t xml:space="preserve"> [mm]</t>
    </r>
  </si>
  <si>
    <r>
      <rPr>
        <b/>
        <sz val="11"/>
        <color theme="1"/>
        <rFont val="Calibri"/>
        <family val="2"/>
      </rPr>
      <t>Δ</t>
    </r>
    <r>
      <rPr>
        <b/>
        <sz val="11"/>
        <color theme="1"/>
        <rFont val="Aptos Narrow"/>
        <family val="2"/>
        <scheme val="minor"/>
      </rPr>
      <t>e</t>
    </r>
    <r>
      <rPr>
        <b/>
        <vertAlign val="subscript"/>
        <sz val="11"/>
        <color theme="1"/>
        <rFont val="Aptos Narrow"/>
        <family val="2"/>
        <scheme val="minor"/>
      </rPr>
      <t>G</t>
    </r>
    <r>
      <rPr>
        <b/>
        <sz val="11"/>
        <color theme="1"/>
        <rFont val="Aptos Narrow"/>
        <family val="2"/>
        <scheme val="minor"/>
      </rPr>
      <t xml:space="preserve"> [mm]</t>
    </r>
  </si>
  <si>
    <r>
      <t>Q</t>
    </r>
    <r>
      <rPr>
        <b/>
        <vertAlign val="subscript"/>
        <sz val="11"/>
        <color theme="1"/>
        <rFont val="Aptos Narrow"/>
        <family val="2"/>
        <scheme val="minor"/>
      </rPr>
      <t>A</t>
    </r>
    <r>
      <rPr>
        <b/>
        <sz val="11"/>
        <color theme="1"/>
        <rFont val="Aptos Narrow"/>
        <family val="2"/>
        <scheme val="minor"/>
      </rPr>
      <t>/3</t>
    </r>
    <r>
      <rPr>
        <b/>
        <vertAlign val="subscript"/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[MPa]</t>
    </r>
  </si>
  <si>
    <r>
      <t>e</t>
    </r>
    <r>
      <rPr>
        <b/>
        <vertAlign val="subscript"/>
        <sz val="11"/>
        <color theme="1"/>
        <rFont val="Aptos Narrow"/>
        <family val="2"/>
        <scheme val="minor"/>
      </rPr>
      <t>QA/3</t>
    </r>
    <r>
      <rPr>
        <b/>
        <sz val="11"/>
        <color theme="1"/>
        <rFont val="Aptos Narrow"/>
        <family val="2"/>
        <scheme val="minor"/>
      </rPr>
      <t xml:space="preserve"> [mm]</t>
    </r>
  </si>
  <si>
    <r>
      <t>δ</t>
    </r>
    <r>
      <rPr>
        <b/>
        <vertAlign val="subscript"/>
        <sz val="11"/>
        <color theme="1"/>
        <rFont val="Aptos Narrow"/>
        <family val="2"/>
        <scheme val="minor"/>
      </rPr>
      <t>Qa</t>
    </r>
    <r>
      <rPr>
        <b/>
        <sz val="11"/>
        <color theme="1"/>
        <rFont val="Aptos Narrow"/>
        <family val="2"/>
        <scheme val="minor"/>
      </rPr>
      <t xml:space="preserve"> [mm]</t>
    </r>
  </si>
  <si>
    <r>
      <t>δ</t>
    </r>
    <r>
      <rPr>
        <b/>
        <vertAlign val="subscript"/>
        <sz val="11"/>
        <color theme="1"/>
        <rFont val="Aptos Narrow"/>
        <family val="2"/>
        <scheme val="minor"/>
      </rPr>
      <t>Qa/3</t>
    </r>
    <r>
      <rPr>
        <b/>
        <sz val="11"/>
        <color theme="1"/>
        <rFont val="Aptos Narrow"/>
        <family val="2"/>
        <scheme val="minor"/>
      </rPr>
      <t xml:space="preserve"> [mm]</t>
    </r>
  </si>
  <si>
    <r>
      <t>E</t>
    </r>
    <r>
      <rPr>
        <vertAlign val="subscript"/>
        <sz val="10"/>
        <color theme="1"/>
        <rFont val="Aptos Narrow"/>
        <family val="2"/>
        <scheme val="minor"/>
      </rPr>
      <t>G</t>
    </r>
    <r>
      <rPr>
        <sz val="10"/>
        <color theme="1"/>
        <rFont val="Aptos Narrow"/>
        <family val="2"/>
        <scheme val="minor"/>
      </rPr>
      <t xml:space="preserve"> [MPa]</t>
    </r>
  </si>
  <si>
    <t>tightratio [-]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</si>
  <si>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bolt</t>
    </r>
    <r>
      <rPr>
        <b/>
        <sz val="11"/>
        <color theme="0"/>
        <rFont val="Aptos Narrow"/>
        <family val="2"/>
        <scheme val="minor"/>
      </rPr>
      <t xml:space="preserve"> [-]</t>
    </r>
  </si>
  <si>
    <r>
      <t>σ</t>
    </r>
    <r>
      <rPr>
        <b/>
        <vertAlign val="subscript"/>
        <sz val="11"/>
        <color theme="0"/>
        <rFont val="Aptos Narrow"/>
        <family val="2"/>
        <scheme val="minor"/>
      </rPr>
      <t>yield</t>
    </r>
    <r>
      <rPr>
        <b/>
        <sz val="11"/>
        <color theme="0"/>
        <rFont val="Aptos Narrow"/>
        <family val="2"/>
        <scheme val="minor"/>
      </rPr>
      <t xml:space="preserve"> [MPa]</t>
    </r>
  </si>
  <si>
    <r>
      <t>d</t>
    </r>
    <r>
      <rPr>
        <b/>
        <vertAlign val="subscript"/>
        <sz val="11"/>
        <color theme="0"/>
        <rFont val="Aptos Narrow"/>
        <family val="2"/>
        <scheme val="minor"/>
      </rPr>
      <t>res</t>
    </r>
    <r>
      <rPr>
        <b/>
        <sz val="11"/>
        <color theme="0"/>
        <rFont val="Aptos Narrow"/>
        <family val="2"/>
        <scheme val="minor"/>
      </rPr>
      <t xml:space="preserve"> [mm]</t>
    </r>
  </si>
  <si>
    <r>
      <t>F</t>
    </r>
    <r>
      <rPr>
        <b/>
        <vertAlign val="subscript"/>
        <sz val="11"/>
        <color theme="0"/>
        <rFont val="Aptos Narrow"/>
        <family val="2"/>
        <scheme val="minor"/>
      </rPr>
      <t>bolt</t>
    </r>
    <r>
      <rPr>
        <b/>
        <sz val="11"/>
        <color theme="0"/>
        <rFont val="Aptos Narrow"/>
        <family val="2"/>
        <scheme val="minor"/>
      </rPr>
      <t xml:space="preserve"> [N]</t>
    </r>
  </si>
  <si>
    <t>δ [mm]</t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</si>
  <si>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 xml:space="preserve">a </t>
    </r>
    <r>
      <rPr>
        <b/>
        <sz val="11"/>
        <color theme="0"/>
        <rFont val="Aptos Narrow"/>
        <family val="2"/>
        <scheme val="minor"/>
      </rPr>
      <t>[MPa]</t>
    </r>
  </si>
  <si>
    <r>
      <rPr>
        <sz val="10"/>
        <color theme="1"/>
        <rFont val="Aptos Narrow"/>
        <family val="2"/>
      </rPr>
      <t>δ</t>
    </r>
    <r>
      <rPr>
        <vertAlign val="subscript"/>
        <sz val="10"/>
        <color theme="1"/>
        <rFont val="Aptos Narrow"/>
        <family val="2"/>
        <scheme val="minor"/>
      </rPr>
      <t>Qa</t>
    </r>
    <r>
      <rPr>
        <sz val="10"/>
        <color theme="1"/>
        <rFont val="Aptos Narrow"/>
        <family val="2"/>
        <scheme val="minor"/>
      </rPr>
      <t xml:space="preserve"> [mm]</t>
    </r>
  </si>
  <si>
    <r>
      <rPr>
        <sz val="10"/>
        <color theme="1"/>
        <rFont val="Calibri"/>
        <family val="2"/>
      </rPr>
      <t>Δ</t>
    </r>
    <r>
      <rPr>
        <sz val="10"/>
        <color theme="1"/>
        <rFont val="Aptos Narrow"/>
        <family val="2"/>
        <scheme val="minor"/>
      </rPr>
      <t>e</t>
    </r>
    <r>
      <rPr>
        <vertAlign val="subscript"/>
        <sz val="10"/>
        <color theme="1"/>
        <rFont val="Aptos Narrow"/>
        <family val="2"/>
        <scheme val="minor"/>
      </rPr>
      <t>G</t>
    </r>
    <r>
      <rPr>
        <sz val="10"/>
        <color theme="1"/>
        <rFont val="Aptos Narrow"/>
        <family val="2"/>
        <scheme val="minor"/>
      </rPr>
      <t xml:space="preserve"> [mm]</t>
    </r>
  </si>
  <si>
    <r>
      <t>F</t>
    </r>
    <r>
      <rPr>
        <b/>
        <vertAlign val="subscript"/>
        <sz val="11"/>
        <color theme="0"/>
        <rFont val="Aptos Narrow"/>
        <family val="2"/>
        <scheme val="minor"/>
      </rPr>
      <t>tot</t>
    </r>
    <r>
      <rPr>
        <b/>
        <sz val="11"/>
        <color theme="0"/>
        <rFont val="Aptos Narrow"/>
        <family val="2"/>
        <scheme val="minor"/>
      </rPr>
      <t xml:space="preserve"> [N]</t>
    </r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</si>
  <si>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bolt</t>
    </r>
    <r>
      <rPr>
        <b/>
        <sz val="11"/>
        <color theme="0"/>
        <rFont val="Aptos Narrow"/>
        <family val="2"/>
        <scheme val="minor"/>
      </rPr>
      <t xml:space="preserve"> [MPa]</t>
    </r>
  </si>
  <si>
    <t>Legend</t>
  </si>
  <si>
    <t>input data</t>
  </si>
  <si>
    <t>descriptor</t>
  </si>
  <si>
    <t>calculated</t>
  </si>
  <si>
    <t>annotation</t>
  </si>
  <si>
    <t>Warnings legend</t>
  </si>
  <si>
    <t>not allowable</t>
  </si>
  <si>
    <t>near to limit</t>
  </si>
  <si>
    <t>allowable</t>
  </si>
  <si>
    <r>
      <t>A</t>
    </r>
    <r>
      <rPr>
        <b/>
        <vertAlign val="subscript"/>
        <sz val="11"/>
        <color theme="0"/>
        <rFont val="Aptos Narrow"/>
        <family val="2"/>
        <scheme val="minor"/>
      </rPr>
      <t>wet</t>
    </r>
    <r>
      <rPr>
        <b/>
        <sz val="11"/>
        <color theme="0"/>
        <rFont val="Aptos Narrow"/>
        <family val="2"/>
        <scheme val="minor"/>
      </rPr>
      <t xml:space="preserve"> [mm</t>
    </r>
    <r>
      <rPr>
        <b/>
        <vertAlign val="superscript"/>
        <sz val="11"/>
        <color theme="0"/>
        <rFont val="Aptos Narrow"/>
        <family val="2"/>
        <scheme val="minor"/>
      </rPr>
      <t>2</t>
    </r>
    <r>
      <rPr>
        <b/>
        <sz val="11"/>
        <color theme="0"/>
        <rFont val="Aptos Narrow"/>
        <family val="2"/>
        <scheme val="minor"/>
      </rPr>
      <t>]</t>
    </r>
  </si>
  <si>
    <t>(effective wet area of the pump)</t>
  </si>
  <si>
    <r>
      <t>A</t>
    </r>
    <r>
      <rPr>
        <b/>
        <vertAlign val="subscript"/>
        <sz val="11"/>
        <color theme="0"/>
        <rFont val="Aptos Narrow"/>
        <family val="2"/>
        <scheme val="minor"/>
      </rPr>
      <t>gasket</t>
    </r>
    <r>
      <rPr>
        <b/>
        <sz val="11"/>
        <color theme="0"/>
        <rFont val="Aptos Narrow"/>
        <family val="2"/>
        <scheme val="minor"/>
      </rPr>
      <t xml:space="preserve"> [mm</t>
    </r>
    <r>
      <rPr>
        <b/>
        <vertAlign val="superscript"/>
        <sz val="11"/>
        <color theme="0"/>
        <rFont val="Aptos Narrow"/>
        <family val="2"/>
        <scheme val="minor"/>
      </rPr>
      <t>2</t>
    </r>
    <r>
      <rPr>
        <b/>
        <sz val="11"/>
        <color theme="0"/>
        <rFont val="Aptos Narrow"/>
        <family val="2"/>
        <scheme val="minor"/>
      </rPr>
      <t>]</t>
    </r>
  </si>
  <si>
    <t>(effective compressed area of the gasket)</t>
  </si>
  <si>
    <t>p [bar]</t>
  </si>
  <si>
    <t>(internal design pressure)</t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</si>
  <si>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A</t>
    </r>
    <r>
      <rPr>
        <b/>
        <sz val="11"/>
        <color theme="0"/>
        <rFont val="Aptos Narrow"/>
        <family val="2"/>
        <scheme val="minor"/>
      </rPr>
      <t xml:space="preserve"> [MPa]</t>
    </r>
  </si>
  <si>
    <t>(average assembly pressure on gasket)</t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</si>
  <si>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op</t>
    </r>
    <r>
      <rPr>
        <b/>
        <sz val="11"/>
        <color theme="0"/>
        <rFont val="Aptos Narrow"/>
        <family val="2"/>
        <scheme val="minor"/>
      </rPr>
      <t xml:space="preserve"> [MPa]</t>
    </r>
  </si>
  <si>
    <t>(average operating pressure on gasket)</t>
  </si>
  <si>
    <r>
      <t>e</t>
    </r>
    <r>
      <rPr>
        <b/>
        <vertAlign val="subscript"/>
        <sz val="11"/>
        <color theme="0"/>
        <rFont val="Aptos Narrow"/>
        <family val="2"/>
        <scheme val="minor"/>
      </rPr>
      <t>QA</t>
    </r>
    <r>
      <rPr>
        <b/>
        <sz val="11"/>
        <color theme="0"/>
        <rFont val="Aptos Narrow"/>
        <family val="2"/>
        <scheme val="minor"/>
      </rPr>
      <t xml:space="preserve"> [mm]</t>
    </r>
  </si>
  <si>
    <t>(assembly gasket thickness)</t>
  </si>
  <si>
    <r>
      <t>e</t>
    </r>
    <r>
      <rPr>
        <b/>
        <vertAlign val="subscript"/>
        <sz val="11"/>
        <color theme="0"/>
        <rFont val="Aptos Narrow"/>
        <family val="2"/>
        <scheme val="minor"/>
      </rPr>
      <t>Q</t>
    </r>
    <r>
      <rPr>
        <b/>
        <sz val="11"/>
        <color theme="0"/>
        <rFont val="Aptos Narrow"/>
        <family val="2"/>
        <scheme val="minor"/>
      </rPr>
      <t xml:space="preserve"> [mm]</t>
    </r>
  </si>
  <si>
    <t>(operating gasket thickness)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</si>
  <si>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Aptos Narrow"/>
        <family val="2"/>
        <scheme val="minor"/>
      </rPr>
      <t>QA</t>
    </r>
    <r>
      <rPr>
        <b/>
        <sz val="11"/>
        <color theme="0"/>
        <rFont val="Aptos Narrow"/>
        <family val="2"/>
        <scheme val="minor"/>
      </rPr>
      <t xml:space="preserve"> [mm]</t>
    </r>
  </si>
  <si>
    <t>(assembly gasket compression)</t>
  </si>
  <si>
    <r>
      <rPr>
        <b/>
        <sz val="11"/>
        <color theme="0"/>
        <rFont val="Aptos Narrow"/>
        <family val="2"/>
      </rPr>
      <t>δ</t>
    </r>
    <r>
      <rPr>
        <b/>
        <vertAlign val="subscript"/>
        <sz val="11"/>
        <color theme="0"/>
        <rFont val="Aptos Narrow"/>
        <family val="2"/>
        <scheme val="minor"/>
      </rPr>
      <t>Q</t>
    </r>
    <r>
      <rPr>
        <b/>
        <sz val="11"/>
        <color theme="0"/>
        <rFont val="Aptos Narrow"/>
        <family val="2"/>
        <scheme val="minor"/>
      </rPr>
      <t xml:space="preserve"> [mm]</t>
    </r>
  </si>
  <si>
    <t>(operating gasket compression)</t>
  </si>
  <si>
    <t>T1</t>
  </si>
  <si>
    <t>T2</t>
  </si>
  <si>
    <t>T3</t>
  </si>
  <si>
    <t>T4</t>
  </si>
  <si>
    <t>T5</t>
  </si>
  <si>
    <t>T6</t>
  </si>
  <si>
    <t>manufacturer</t>
  </si>
  <si>
    <t>gasket</t>
  </si>
  <si>
    <t>rows</t>
  </si>
  <si>
    <t>offset</t>
  </si>
  <si>
    <t>thichness [mm]</t>
  </si>
  <si>
    <t>Klinger</t>
  </si>
  <si>
    <t>SGL Carbon GmbH</t>
  </si>
  <si>
    <t>Blue Gard 3000</t>
  </si>
  <si>
    <t>GAR_1</t>
  </si>
  <si>
    <t>GAR_2</t>
  </si>
  <si>
    <t>GAR_3</t>
  </si>
  <si>
    <t>GAR_4</t>
  </si>
  <si>
    <t>GAR_5</t>
  </si>
  <si>
    <t>GAR_6</t>
  </si>
  <si>
    <t>KLI_1</t>
  </si>
  <si>
    <t>KLI_2</t>
  </si>
  <si>
    <t>KLI_3</t>
  </si>
  <si>
    <t>SGL_1</t>
  </si>
  <si>
    <t>SGL_2</t>
  </si>
  <si>
    <t>user</t>
  </si>
  <si>
    <t>KLINGERSIL C4409</t>
  </si>
  <si>
    <t>Sigraflex Economy</t>
  </si>
  <si>
    <t>KLINGERSIL C4430</t>
  </si>
  <si>
    <t>Sigraflex Hochdruck Pro</t>
  </si>
  <si>
    <t>3501E</t>
  </si>
  <si>
    <t>SGL</t>
  </si>
  <si>
    <t>KLINGERSIL C4430 plus</t>
  </si>
  <si>
    <t>3504</t>
  </si>
  <si>
    <t>3501E EPX</t>
  </si>
  <si>
    <t>3504E EPX</t>
  </si>
  <si>
    <t>manuf</t>
  </si>
  <si>
    <t>temp</t>
  </si>
  <si>
    <t>n rows</t>
  </si>
  <si>
    <t>Mod.499-0</t>
  </si>
  <si>
    <t>QA/HSEM C.Delli Quadri - M.Tremolada</t>
  </si>
  <si>
    <t>R&amp;D Manager / M.Borghetti</t>
  </si>
  <si>
    <t>EN 1591 Gasket loading/unloading curves
(linked to SOP-527)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</si>
</sst>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General_)"/>
    <numFmt numFmtId="166" formatCode="&quot;$&quot;#,##0.00;[Red]\-&quot;$&quot;#,##0.00"/>
  </numFmts>
  <fonts count="3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vertAlign val="subscript"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sz val="10"/>
      <color theme="1"/>
      <name val="Aptos Narrow"/>
      <family val="2"/>
    </font>
    <font>
      <sz val="10"/>
      <color theme="1"/>
      <name val="Calibri"/>
      <family val="2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vertAlign val="subscript"/>
      <sz val="11"/>
      <color theme="0"/>
      <name val="Aptos Narrow"/>
      <family val="2"/>
      <scheme val="minor"/>
    </font>
    <font>
      <b/>
      <sz val="11"/>
      <color theme="0"/>
      <name val="Calibri"/>
      <family val="2"/>
    </font>
    <font>
      <b/>
      <sz val="11"/>
      <color theme="0"/>
      <name val="Aptos Narrow"/>
      <family val="2"/>
    </font>
    <font>
      <b/>
      <vertAlign val="superscript"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u/>
      <sz val="11"/>
      <color theme="10"/>
      <name val="Aptos Narrow"/>
      <family val="2"/>
      <scheme val="minor"/>
    </font>
    <font>
      <sz val="14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i/>
      <sz val="14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20" fillId="0" borderId="0"/>
    <xf numFmtId="165" fontId="21" fillId="0" borderId="0"/>
    <xf numFmtId="166" fontId="27" fillId="0" borderId="0" applyFont="0" applyFill="0" applyBorder="0" applyAlignment="0" applyProtection="0"/>
    <xf numFmtId="0" fontId="29" fillId="0" borderId="0" applyNumberForma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2" fontId="13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/>
    </xf>
    <xf numFmtId="0" fontId="0" fillId="0" borderId="1" xfId="0" applyBorder="1"/>
    <xf numFmtId="0" fontId="16" fillId="4" borderId="1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/>
    </xf>
    <xf numFmtId="0" fontId="6" fillId="4" borderId="1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14" fillId="0" borderId="5" xfId="0" applyFont="1" applyBorder="1" applyAlignment="1">
      <alignment horizontal="center" vertical="center" wrapText="1"/>
    </xf>
    <xf numFmtId="9" fontId="0" fillId="2" borderId="13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0" borderId="15" xfId="0" applyFont="1" applyBorder="1" applyAlignment="1">
      <alignment horizontal="center"/>
    </xf>
    <xf numFmtId="9" fontId="0" fillId="2" borderId="14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6" fillId="4" borderId="20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4" borderId="27" xfId="0" applyFont="1" applyFill="1" applyBorder="1" applyAlignment="1">
      <alignment horizontal="center" vertical="center"/>
    </xf>
    <xf numFmtId="0" fontId="14" fillId="0" borderId="28" xfId="0" applyFont="1" applyBorder="1"/>
    <xf numFmtId="0" fontId="14" fillId="0" borderId="29" xfId="0" applyFont="1" applyBorder="1"/>
    <xf numFmtId="0" fontId="6" fillId="4" borderId="24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30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20" fillId="0" borderId="32" xfId="2" applyBorder="1" applyAlignment="1">
      <alignment horizontal="center" vertical="center"/>
    </xf>
    <xf numFmtId="0" fontId="20" fillId="0" borderId="33" xfId="2" applyBorder="1" applyAlignment="1">
      <alignment horizontal="center" vertical="center"/>
    </xf>
    <xf numFmtId="0" fontId="20" fillId="0" borderId="34" xfId="2" applyBorder="1" applyAlignment="1">
      <alignment horizontal="center" vertical="center"/>
    </xf>
    <xf numFmtId="165" fontId="21" fillId="0" borderId="0" xfId="3"/>
    <xf numFmtId="0" fontId="20" fillId="0" borderId="35" xfId="2" applyBorder="1" applyAlignment="1">
      <alignment horizontal="center" vertical="center"/>
    </xf>
    <xf numFmtId="0" fontId="20" fillId="0" borderId="0" xfId="2" applyAlignment="1">
      <alignment horizontal="center" vertical="center"/>
    </xf>
    <xf numFmtId="0" fontId="20" fillId="0" borderId="36" xfId="2" applyBorder="1" applyAlignment="1">
      <alignment horizontal="center" vertical="center"/>
    </xf>
    <xf numFmtId="0" fontId="22" fillId="0" borderId="0" xfId="2" applyFont="1" applyAlignment="1">
      <alignment horizontal="center" vertical="top"/>
    </xf>
    <xf numFmtId="0" fontId="20" fillId="0" borderId="0" xfId="2" applyAlignment="1">
      <alignment horizontal="center"/>
    </xf>
    <xf numFmtId="0" fontId="23" fillId="0" borderId="0" xfId="2" applyFont="1" applyAlignment="1">
      <alignment horizontal="center" vertical="top"/>
    </xf>
    <xf numFmtId="0" fontId="24" fillId="0" borderId="36" xfId="2" applyFont="1" applyBorder="1" applyAlignment="1">
      <alignment horizontal="center" vertical="top"/>
    </xf>
    <xf numFmtId="0" fontId="25" fillId="0" borderId="35" xfId="2" applyFont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5" fillId="0" borderId="36" xfId="2" applyFont="1" applyBorder="1" applyAlignment="1">
      <alignment horizontal="center" vertical="center"/>
    </xf>
    <xf numFmtId="0" fontId="29" fillId="0" borderId="0" xfId="5"/>
    <xf numFmtId="0" fontId="2" fillId="0" borderId="31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6" fillId="4" borderId="16" xfId="0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32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32" fillId="0" borderId="12" xfId="0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32" fillId="0" borderId="15" xfId="0" applyFont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32" fillId="0" borderId="3" xfId="0" applyFont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32" fillId="0" borderId="11" xfId="0" applyFont="1" applyBorder="1" applyAlignment="1">
      <alignment horizontal="center" vertical="center" wrapText="1"/>
    </xf>
    <xf numFmtId="0" fontId="32" fillId="0" borderId="13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2" fillId="0" borderId="8" xfId="0" applyFont="1" applyBorder="1" applyAlignment="1">
      <alignment horizontal="center" vertical="center" wrapText="1"/>
    </xf>
    <xf numFmtId="0" fontId="32" fillId="0" borderId="9" xfId="0" applyFont="1" applyBorder="1" applyAlignment="1">
      <alignment horizontal="center" vertical="center" wrapText="1"/>
    </xf>
    <xf numFmtId="0" fontId="32" fillId="0" borderId="7" xfId="0" applyFont="1" applyBorder="1" applyAlignment="1">
      <alignment horizontal="center" vertical="center" wrapText="1"/>
    </xf>
    <xf numFmtId="0" fontId="0" fillId="0" borderId="8" xfId="0" quotePrefix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 wrapText="1"/>
    </xf>
    <xf numFmtId="0" fontId="0" fillId="5" borderId="11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164" fontId="2" fillId="5" borderId="53" xfId="0" applyNumberFormat="1" applyFont="1" applyFill="1" applyBorder="1" applyAlignment="1">
      <alignment horizontal="center"/>
    </xf>
    <xf numFmtId="0" fontId="2" fillId="5" borderId="54" xfId="0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2" fillId="0" borderId="56" xfId="0" applyFont="1" applyBorder="1" applyAlignment="1">
      <alignment horizontal="center"/>
    </xf>
    <xf numFmtId="164" fontId="2" fillId="0" borderId="56" xfId="0" applyNumberFormat="1" applyFont="1" applyBorder="1" applyAlignment="1">
      <alignment horizontal="center"/>
    </xf>
    <xf numFmtId="0" fontId="2" fillId="0" borderId="57" xfId="0" applyFont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5" borderId="56" xfId="0" applyFill="1" applyBorder="1" applyAlignment="1">
      <alignment horizontal="center"/>
    </xf>
    <xf numFmtId="0" fontId="2" fillId="5" borderId="56" xfId="0" applyFont="1" applyFill="1" applyBorder="1" applyAlignment="1">
      <alignment horizontal="center"/>
    </xf>
    <xf numFmtId="164" fontId="2" fillId="5" borderId="56" xfId="0" applyNumberFormat="1" applyFont="1" applyFill="1" applyBorder="1" applyAlignment="1">
      <alignment horizontal="center"/>
    </xf>
    <xf numFmtId="0" fontId="2" fillId="5" borderId="57" xfId="0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2" fillId="0" borderId="59" xfId="0" applyFont="1" applyBorder="1" applyAlignment="1">
      <alignment horizontal="center"/>
    </xf>
    <xf numFmtId="164" fontId="2" fillId="0" borderId="59" xfId="0" applyNumberFormat="1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1" fillId="0" borderId="5" xfId="0" applyFont="1" applyBorder="1" applyAlignment="1">
      <alignment horizontal="center" vertical="center" wrapText="1"/>
    </xf>
    <xf numFmtId="0" fontId="32" fillId="0" borderId="0" xfId="0" applyFont="1" applyAlignment="1">
      <alignment wrapText="1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32" fillId="0" borderId="1" xfId="0" applyFont="1" applyBorder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34" fillId="0" borderId="0" xfId="0" applyFont="1" applyAlignment="1">
      <alignment vertical="center"/>
    </xf>
    <xf numFmtId="0" fontId="30" fillId="0" borderId="0" xfId="1" applyFont="1" applyFill="1" applyBorder="1" applyAlignment="1">
      <alignment vertical="center"/>
    </xf>
    <xf numFmtId="0" fontId="31" fillId="0" borderId="0" xfId="0" applyFont="1" applyAlignment="1">
      <alignment vertical="center"/>
    </xf>
    <xf numFmtId="0" fontId="0" fillId="0" borderId="6" xfId="0" applyBorder="1"/>
    <xf numFmtId="0" fontId="1" fillId="0" borderId="12" xfId="0" applyFont="1" applyBorder="1" applyAlignment="1">
      <alignment horizontal="center" vertical="center"/>
    </xf>
    <xf numFmtId="0" fontId="2" fillId="5" borderId="12" xfId="0" applyFont="1" applyFill="1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2" fillId="5" borderId="60" xfId="0" applyFont="1" applyFill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5" borderId="62" xfId="0" applyFill="1" applyBorder="1" applyAlignment="1">
      <alignment horizontal="center"/>
    </xf>
    <xf numFmtId="0" fontId="0" fillId="0" borderId="63" xfId="0" applyBorder="1" applyAlignment="1">
      <alignment horizontal="center"/>
    </xf>
    <xf numFmtId="166" fontId="20" fillId="0" borderId="37" xfId="4" applyFont="1" applyBorder="1" applyAlignment="1">
      <alignment horizontal="right" vertical="center"/>
    </xf>
    <xf numFmtId="166" fontId="21" fillId="0" borderId="38" xfId="4" applyFont="1" applyBorder="1" applyAlignment="1">
      <alignment horizontal="right" vertical="center"/>
    </xf>
    <xf numFmtId="166" fontId="21" fillId="0" borderId="39" xfId="4" applyFont="1" applyBorder="1" applyAlignment="1">
      <alignment horizontal="right" vertical="center"/>
    </xf>
    <xf numFmtId="166" fontId="20" fillId="0" borderId="47" xfId="4" applyFont="1" applyBorder="1" applyAlignment="1">
      <alignment horizontal="center" vertical="center"/>
    </xf>
    <xf numFmtId="166" fontId="20" fillId="0" borderId="48" xfId="4" applyFont="1" applyBorder="1" applyAlignment="1">
      <alignment horizontal="center" vertical="center"/>
    </xf>
    <xf numFmtId="0" fontId="28" fillId="0" borderId="49" xfId="2" applyFont="1" applyBorder="1" applyAlignment="1">
      <alignment horizontal="center" vertical="center"/>
    </xf>
    <xf numFmtId="0" fontId="28" fillId="0" borderId="50" xfId="2" applyFont="1" applyBorder="1" applyAlignment="1">
      <alignment horizontal="center" vertical="center"/>
    </xf>
    <xf numFmtId="0" fontId="28" fillId="0" borderId="48" xfId="2" applyFont="1" applyBorder="1" applyAlignment="1">
      <alignment horizontal="center" vertical="center"/>
    </xf>
    <xf numFmtId="0" fontId="28" fillId="0" borderId="51" xfId="2" applyFont="1" applyBorder="1" applyAlignment="1">
      <alignment horizontal="center" vertical="center"/>
    </xf>
    <xf numFmtId="0" fontId="27" fillId="0" borderId="5" xfId="2" applyFont="1" applyBorder="1" applyAlignment="1">
      <alignment horizontal="center" vertical="center" wrapText="1"/>
    </xf>
    <xf numFmtId="0" fontId="27" fillId="0" borderId="10" xfId="2" applyFont="1" applyBorder="1" applyAlignment="1">
      <alignment horizontal="center" vertical="center" wrapText="1"/>
    </xf>
    <xf numFmtId="0" fontId="27" fillId="0" borderId="46" xfId="2" applyFont="1" applyBorder="1" applyAlignment="1">
      <alignment horizontal="center" vertical="center" wrapText="1"/>
    </xf>
    <xf numFmtId="0" fontId="20" fillId="0" borderId="45" xfId="2" applyBorder="1" applyAlignment="1">
      <alignment horizontal="center" vertical="center"/>
    </xf>
    <xf numFmtId="0" fontId="20" fillId="0" borderId="6" xfId="2" applyBorder="1" applyAlignment="1">
      <alignment horizontal="center" vertical="center"/>
    </xf>
    <xf numFmtId="0" fontId="20" fillId="0" borderId="5" xfId="2" applyBorder="1" applyAlignment="1">
      <alignment horizontal="center" vertical="center"/>
    </xf>
    <xf numFmtId="0" fontId="20" fillId="0" borderId="10" xfId="2" applyBorder="1" applyAlignment="1">
      <alignment horizontal="center" vertical="center"/>
    </xf>
    <xf numFmtId="0" fontId="20" fillId="0" borderId="46" xfId="2" applyBorder="1" applyAlignment="1">
      <alignment horizontal="center" vertical="center"/>
    </xf>
    <xf numFmtId="0" fontId="27" fillId="0" borderId="45" xfId="2" applyFont="1" applyBorder="1" applyAlignment="1">
      <alignment horizontal="center" vertical="center"/>
    </xf>
    <xf numFmtId="0" fontId="27" fillId="0" borderId="6" xfId="2" applyFont="1" applyBorder="1" applyAlignment="1">
      <alignment horizontal="center" vertical="center"/>
    </xf>
    <xf numFmtId="14" fontId="27" fillId="0" borderId="5" xfId="2" applyNumberFormat="1" applyFont="1" applyBorder="1" applyAlignment="1">
      <alignment horizontal="center" vertical="center"/>
    </xf>
    <xf numFmtId="14" fontId="27" fillId="0" borderId="10" xfId="2" applyNumberFormat="1" applyFont="1" applyBorder="1" applyAlignment="1">
      <alignment horizontal="center" vertical="center"/>
    </xf>
    <xf numFmtId="14" fontId="27" fillId="0" borderId="6" xfId="2" applyNumberFormat="1" applyFont="1" applyBorder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0" fontId="27" fillId="0" borderId="10" xfId="2" applyFont="1" applyBorder="1" applyAlignment="1">
      <alignment horizontal="center" vertical="center"/>
    </xf>
    <xf numFmtId="0" fontId="27" fillId="0" borderId="6" xfId="2" applyFont="1" applyBorder="1" applyAlignment="1">
      <alignment horizontal="center" vertical="center" wrapText="1"/>
    </xf>
    <xf numFmtId="0" fontId="25" fillId="0" borderId="32" xfId="2" applyFont="1" applyBorder="1" applyAlignment="1">
      <alignment horizontal="center" vertical="center" wrapText="1"/>
    </xf>
    <xf numFmtId="0" fontId="25" fillId="0" borderId="33" xfId="2" applyFont="1" applyBorder="1" applyAlignment="1">
      <alignment horizontal="center" vertical="center" wrapText="1"/>
    </xf>
    <xf numFmtId="0" fontId="25" fillId="0" borderId="34" xfId="2" applyFont="1" applyBorder="1" applyAlignment="1">
      <alignment horizontal="center" vertical="center" wrapText="1"/>
    </xf>
    <xf numFmtId="0" fontId="25" fillId="0" borderId="35" xfId="2" applyFont="1" applyBorder="1" applyAlignment="1">
      <alignment horizontal="center" vertical="center" wrapText="1"/>
    </xf>
    <xf numFmtId="0" fontId="25" fillId="0" borderId="0" xfId="2" applyFont="1" applyAlignment="1">
      <alignment horizontal="center" vertical="center" wrapText="1"/>
    </xf>
    <xf numFmtId="0" fontId="25" fillId="0" borderId="36" xfId="2" applyFont="1" applyBorder="1" applyAlignment="1">
      <alignment horizontal="center" vertical="center" wrapText="1"/>
    </xf>
    <xf numFmtId="0" fontId="25" fillId="0" borderId="37" xfId="2" applyFont="1" applyBorder="1" applyAlignment="1">
      <alignment horizontal="center" vertical="center" wrapText="1"/>
    </xf>
    <xf numFmtId="0" fontId="25" fillId="0" borderId="38" xfId="2" applyFont="1" applyBorder="1" applyAlignment="1">
      <alignment horizontal="center" vertical="center" wrapText="1"/>
    </xf>
    <xf numFmtId="0" fontId="25" fillId="0" borderId="39" xfId="2" applyFont="1" applyBorder="1" applyAlignment="1">
      <alignment horizontal="center" vertical="center" wrapText="1"/>
    </xf>
    <xf numFmtId="0" fontId="20" fillId="0" borderId="40" xfId="2" applyBorder="1" applyAlignment="1">
      <alignment horizontal="center" vertical="center"/>
    </xf>
    <xf numFmtId="0" fontId="20" fillId="0" borderId="41" xfId="2" applyBorder="1" applyAlignment="1">
      <alignment horizontal="center" vertical="center"/>
    </xf>
    <xf numFmtId="0" fontId="20" fillId="0" borderId="42" xfId="2" applyBorder="1" applyAlignment="1">
      <alignment horizontal="center" vertical="center"/>
    </xf>
    <xf numFmtId="0" fontId="20" fillId="0" borderId="43" xfId="2" applyBorder="1" applyAlignment="1">
      <alignment horizontal="center" vertical="center"/>
    </xf>
    <xf numFmtId="0" fontId="20" fillId="0" borderId="44" xfId="2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left"/>
    </xf>
    <xf numFmtId="0" fontId="14" fillId="0" borderId="26" xfId="0" applyFont="1" applyBorder="1" applyAlignment="1">
      <alignment horizontal="left"/>
    </xf>
    <xf numFmtId="0" fontId="14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14" fillId="0" borderId="1" xfId="0" quotePrefix="1" applyFont="1" applyBorder="1" applyAlignment="1">
      <alignment horizontal="center"/>
    </xf>
    <xf numFmtId="0" fontId="14" fillId="0" borderId="1" xfId="0" quotePrefix="1" applyFont="1" applyBorder="1" applyAlignment="1">
      <alignment horizontal="center" vertical="center" wrapText="1"/>
    </xf>
    <xf numFmtId="0" fontId="14" fillId="0" borderId="22" xfId="0" applyFont="1" applyBorder="1" applyAlignment="1">
      <alignment horizontal="left"/>
    </xf>
    <xf numFmtId="0" fontId="14" fillId="0" borderId="23" xfId="0" applyFont="1" applyBorder="1" applyAlignment="1">
      <alignment horizontal="left"/>
    </xf>
    <xf numFmtId="0" fontId="11" fillId="3" borderId="10" xfId="0" applyFont="1" applyFill="1" applyBorder="1" applyAlignment="1">
      <alignment horizontal="center" vertical="center"/>
    </xf>
    <xf numFmtId="0" fontId="30" fillId="2" borderId="16" xfId="1" applyFont="1" applyFill="1" applyBorder="1" applyAlignment="1">
      <alignment horizontal="center" vertical="center"/>
    </xf>
    <xf numFmtId="0" fontId="30" fillId="2" borderId="19" xfId="1" applyFont="1" applyFill="1" applyBorder="1" applyAlignment="1">
      <alignment horizontal="center" vertical="center"/>
    </xf>
    <xf numFmtId="0" fontId="31" fillId="2" borderId="20" xfId="0" applyFont="1" applyFill="1" applyBorder="1" applyAlignment="1">
      <alignment horizontal="center" vertical="center"/>
    </xf>
    <xf numFmtId="0" fontId="31" fillId="2" borderId="23" xfId="0" applyFont="1" applyFill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6">
    <cellStyle name="Collegamento ipertestuale" xfId="5" builtinId="8"/>
    <cellStyle name="Normale" xfId="0" builtinId="0"/>
    <cellStyle name="Normale 3" xfId="3" xr:uid="{320E1572-6CF5-4AF6-A320-8E64A730C999}"/>
    <cellStyle name="Normale 4" xfId="2" xr:uid="{79A4D648-CBB0-4D97-AA36-73F3CD3EB8E1}"/>
    <cellStyle name="Titolo" xfId="1" builtinId="15"/>
    <cellStyle name="Valuta 2" xfId="4" xr:uid="{63B101FB-4114-4CDE-9E1C-83CFCA21B2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loading</c:v>
          </c:tx>
          <c:spPr>
            <a:ln w="254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'gasket curve'!$H$11:$H$60</c:f>
              <c:numCache>
                <c:formatCode>General</c:formatCode>
                <c:ptCount val="50"/>
                <c:pt idx="0">
                  <c:v>0</c:v>
                </c:pt>
                <c:pt idx="1">
                  <c:v>4.2000000000000037E-2</c:v>
                </c:pt>
                <c:pt idx="2">
                  <c:v>0.1100000000000001</c:v>
                </c:pt>
                <c:pt idx="3">
                  <c:v>0.14100000000000001</c:v>
                </c:pt>
                <c:pt idx="4">
                  <c:v>0.16300000000000003</c:v>
                </c:pt>
                <c:pt idx="5">
                  <c:v>0.17600000000000016</c:v>
                </c:pt>
                <c:pt idx="6">
                  <c:v>0.18500000000000005</c:v>
                </c:pt>
                <c:pt idx="7">
                  <c:v>0.19500000000000006</c:v>
                </c:pt>
                <c:pt idx="8">
                  <c:v>0.21100000000000008</c:v>
                </c:pt>
                <c:pt idx="9">
                  <c:v>0.22399999999999998</c:v>
                </c:pt>
                <c:pt idx="10">
                  <c:v>0.2370000000000001</c:v>
                </c:pt>
                <c:pt idx="11">
                  <c:v>0.25500000000000012</c:v>
                </c:pt>
                <c:pt idx="12">
                  <c:v>0.27900000000000014</c:v>
                </c:pt>
                <c:pt idx="13">
                  <c:v>0.30000000000000004</c:v>
                </c:pt>
                <c:pt idx="14">
                  <c:v>0.32200000000000006</c:v>
                </c:pt>
                <c:pt idx="15">
                  <c:v>0.35000000000000009</c:v>
                </c:pt>
                <c:pt idx="16">
                  <c:v>0.38100000000000001</c:v>
                </c:pt>
                <c:pt idx="17">
                  <c:v>0.41300000000000003</c:v>
                </c:pt>
                <c:pt idx="18">
                  <c:v>0.44199999999999995</c:v>
                </c:pt>
                <c:pt idx="19">
                  <c:v>0.46500000000000008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xVal>
          <c:yVal>
            <c:numRef>
              <c:f>'gasket curve'!$B$11:$B$60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80</c:v>
                </c:pt>
                <c:pt idx="12">
                  <c:v>100</c:v>
                </c:pt>
                <c:pt idx="13">
                  <c:v>120</c:v>
                </c:pt>
                <c:pt idx="14">
                  <c:v>140</c:v>
                </c:pt>
                <c:pt idx="15">
                  <c:v>160</c:v>
                </c:pt>
                <c:pt idx="16">
                  <c:v>180</c:v>
                </c:pt>
                <c:pt idx="17">
                  <c:v>200</c:v>
                </c:pt>
                <c:pt idx="18">
                  <c:v>220</c:v>
                </c:pt>
                <c:pt idx="19">
                  <c:v>230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91-499A-8696-FF9D03BC7D83}"/>
            </c:ext>
          </c:extLst>
        </c:ser>
        <c:ser>
          <c:idx val="1"/>
          <c:order val="1"/>
          <c:tx>
            <c:v>unloading 1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curve'!$AG$11:$AG$12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curve'!$AH$11:$AH$12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91-499A-8696-FF9D03BC7D83}"/>
            </c:ext>
          </c:extLst>
        </c:ser>
        <c:ser>
          <c:idx val="2"/>
          <c:order val="2"/>
          <c:tx>
            <c:v>unloading 2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curve'!$AG$13:$AG$14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curve'!$AH$13:$AH$14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491-499A-8696-FF9D03BC7D83}"/>
            </c:ext>
          </c:extLst>
        </c:ser>
        <c:ser>
          <c:idx val="3"/>
          <c:order val="3"/>
          <c:tx>
            <c:v>unloading 3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curve'!$AG$15:$AG$16</c:f>
              <c:numCache>
                <c:formatCode>General</c:formatCode>
                <c:ptCount val="2"/>
                <c:pt idx="0">
                  <c:v>9.0851735015772928E-2</c:v>
                </c:pt>
                <c:pt idx="1">
                  <c:v>0.1100000000000001</c:v>
                </c:pt>
              </c:numCache>
            </c:numRef>
          </c:xVal>
          <c:yVal>
            <c:numRef>
              <c:f>'gasket curve'!$AH$15:$AH$16</c:f>
              <c:numCache>
                <c:formatCode>General</c:formatCode>
                <c:ptCount val="2"/>
                <c:pt idx="0">
                  <c:v>1.6666666666666667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91-499A-8696-FF9D03BC7D83}"/>
            </c:ext>
          </c:extLst>
        </c:ser>
        <c:ser>
          <c:idx val="4"/>
          <c:order val="4"/>
          <c:tx>
            <c:v>unloading 4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curve'!$AG$17:$AG$18</c:f>
              <c:numCache>
                <c:formatCode>General</c:formatCode>
                <c:ptCount val="2"/>
                <c:pt idx="0">
                  <c:v>0.12229571577847431</c:v>
                </c:pt>
                <c:pt idx="1">
                  <c:v>0.14100000000000001</c:v>
                </c:pt>
              </c:numCache>
            </c:numRef>
          </c:xVal>
          <c:yVal>
            <c:numRef>
              <c:f>'gasket curve'!$AH$17:$AH$18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10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491-499A-8696-FF9D03BC7D83}"/>
            </c:ext>
          </c:extLst>
        </c:ser>
        <c:ser>
          <c:idx val="5"/>
          <c:order val="5"/>
          <c:tx>
            <c:v>unloading 5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curve'!$AG$19:$AG$20</c:f>
              <c:numCache>
                <c:formatCode>General</c:formatCode>
                <c:ptCount val="2"/>
                <c:pt idx="0">
                  <c:v>0.14012807244501935</c:v>
                </c:pt>
                <c:pt idx="1">
                  <c:v>0.16300000000000003</c:v>
                </c:pt>
              </c:numCache>
            </c:numRef>
          </c:xVal>
          <c:yVal>
            <c:numRef>
              <c:f>'gasket curve'!$AH$19:$AH$20</c:f>
              <c:numCache>
                <c:formatCode>General</c:formatCode>
                <c:ptCount val="2"/>
                <c:pt idx="0">
                  <c:v>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91-499A-8696-FF9D03BC7D83}"/>
            </c:ext>
          </c:extLst>
        </c:ser>
        <c:ser>
          <c:idx val="6"/>
          <c:order val="6"/>
          <c:tx>
            <c:v>unloading 6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curve'!$AG$21:$AG$22</c:f>
              <c:numCache>
                <c:formatCode>General</c:formatCode>
                <c:ptCount val="2"/>
                <c:pt idx="0">
                  <c:v>0.15703727714748794</c:v>
                </c:pt>
                <c:pt idx="1">
                  <c:v>0.17600000000000016</c:v>
                </c:pt>
              </c:numCache>
            </c:numRef>
          </c:xVal>
          <c:yVal>
            <c:numRef>
              <c:f>'gasket curve'!$AH$21:$AH$22</c:f>
              <c:numCache>
                <c:formatCode>General</c:formatCode>
                <c:ptCount val="2"/>
                <c:pt idx="0">
                  <c:v>6.666666666666667</c:v>
                </c:pt>
                <c:pt idx="1">
                  <c:v>20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491-499A-8696-FF9D03BC7D83}"/>
            </c:ext>
          </c:extLst>
        </c:ser>
        <c:ser>
          <c:idx val="8"/>
          <c:order val="7"/>
          <c:tx>
            <c:v>unloading 7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curve'!$AG$23:$AG$24</c:f>
              <c:numCache>
                <c:formatCode>General</c:formatCode>
                <c:ptCount val="2"/>
                <c:pt idx="0">
                  <c:v>0.16857787810383762</c:v>
                </c:pt>
                <c:pt idx="1">
                  <c:v>0.18500000000000005</c:v>
                </c:pt>
              </c:numCache>
            </c:numRef>
          </c:xVal>
          <c:yVal>
            <c:numRef>
              <c:f>'gasket curve'!$AH$23:$AH$24</c:f>
              <c:numCache>
                <c:formatCode>General</c:formatCode>
                <c:ptCount val="2"/>
                <c:pt idx="0">
                  <c:v>8.3333333333333339</c:v>
                </c:pt>
                <c:pt idx="1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91-499A-8696-FF9D03BC7D83}"/>
            </c:ext>
          </c:extLst>
        </c:ser>
        <c:ser>
          <c:idx val="9"/>
          <c:order val="8"/>
          <c:tx>
            <c:v>unloading 8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curve'!$AG$25:$AG$26</c:f>
              <c:numCache>
                <c:formatCode>General</c:formatCode>
                <c:ptCount val="2"/>
                <c:pt idx="0">
                  <c:v>0.17690724335591468</c:v>
                </c:pt>
                <c:pt idx="1">
                  <c:v>0.19500000000000006</c:v>
                </c:pt>
              </c:numCache>
            </c:numRef>
          </c:xVal>
          <c:yVal>
            <c:numRef>
              <c:f>'gasket curve'!$AH$25:$AH$26</c:f>
              <c:numCache>
                <c:formatCode>General</c:formatCode>
                <c:ptCount val="2"/>
                <c:pt idx="0">
                  <c:v>10</c:v>
                </c:pt>
                <c:pt idx="1">
                  <c:v>30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491-499A-8696-FF9D03BC7D83}"/>
            </c:ext>
          </c:extLst>
        </c:ser>
        <c:ser>
          <c:idx val="10"/>
          <c:order val="9"/>
          <c:tx>
            <c:v>unloading 9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curve'!$AG$27:$AG$28</c:f>
              <c:numCache>
                <c:formatCode>General</c:formatCode>
                <c:ptCount val="2"/>
                <c:pt idx="0">
                  <c:v>0.18865871082968022</c:v>
                </c:pt>
                <c:pt idx="1">
                  <c:v>0.21100000000000008</c:v>
                </c:pt>
              </c:numCache>
            </c:numRef>
          </c:xVal>
          <c:yVal>
            <c:numRef>
              <c:f>'gasket curve'!$AH$27:$AH$28</c:f>
              <c:numCache>
                <c:formatCode>General</c:formatCode>
                <c:ptCount val="2"/>
                <c:pt idx="0">
                  <c:v>13.333333333333334</c:v>
                </c:pt>
                <c:pt idx="1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491-499A-8696-FF9D03BC7D83}"/>
            </c:ext>
          </c:extLst>
        </c:ser>
        <c:ser>
          <c:idx val="11"/>
          <c:order val="10"/>
          <c:tx>
            <c:v>unloading 10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curve'!$AG$29:$AG$30</c:f>
              <c:numCache>
                <c:formatCode>General</c:formatCode>
                <c:ptCount val="2"/>
                <c:pt idx="0">
                  <c:v>0.20544161774298764</c:v>
                </c:pt>
                <c:pt idx="1">
                  <c:v>0.22399999999999998</c:v>
                </c:pt>
              </c:numCache>
            </c:numRef>
          </c:xVal>
          <c:yVal>
            <c:numRef>
              <c:f>'gasket curve'!$AH$29:$AH$30</c:f>
              <c:numCache>
                <c:formatCode>General</c:formatCode>
                <c:ptCount val="2"/>
                <c:pt idx="0">
                  <c:v>16.666666666666668</c:v>
                </c:pt>
                <c:pt idx="1">
                  <c:v>50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491-499A-8696-FF9D03BC7D83}"/>
            </c:ext>
          </c:extLst>
        </c:ser>
        <c:ser>
          <c:idx val="12"/>
          <c:order val="11"/>
          <c:tx>
            <c:v>unloading 11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curve'!$AG$31:$AG$32</c:f>
              <c:numCache>
                <c:formatCode>General</c:formatCode>
                <c:ptCount val="2"/>
                <c:pt idx="0">
                  <c:v>0.21733091436865037</c:v>
                </c:pt>
                <c:pt idx="1">
                  <c:v>0.2370000000000001</c:v>
                </c:pt>
              </c:numCache>
            </c:numRef>
          </c:xVal>
          <c:yVal>
            <c:numRef>
              <c:f>'gasket curve'!$AH$31:$AH$32</c:f>
              <c:numCache>
                <c:formatCode>General</c:formatCode>
                <c:ptCount val="2"/>
                <c:pt idx="0">
                  <c:v>20</c:v>
                </c:pt>
                <c:pt idx="1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491-499A-8696-FF9D03BC7D83}"/>
            </c:ext>
          </c:extLst>
        </c:ser>
        <c:ser>
          <c:idx val="13"/>
          <c:order val="12"/>
          <c:tx>
            <c:v>unloading 12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curve'!$AG$33:$AG$34</c:f>
              <c:numCache>
                <c:formatCode>General</c:formatCode>
                <c:ptCount val="2"/>
                <c:pt idx="0">
                  <c:v>0.23581831187410596</c:v>
                </c:pt>
                <c:pt idx="1">
                  <c:v>0.25500000000000012</c:v>
                </c:pt>
              </c:numCache>
            </c:numRef>
          </c:xVal>
          <c:yVal>
            <c:numRef>
              <c:f>'gasket curve'!$AH$33:$AH$34</c:f>
              <c:numCache>
                <c:formatCode>General</c:formatCode>
                <c:ptCount val="2"/>
                <c:pt idx="0">
                  <c:v>26.666666666666668</c:v>
                </c:pt>
                <c:pt idx="1">
                  <c:v>80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491-499A-8696-FF9D03BC7D83}"/>
            </c:ext>
          </c:extLst>
        </c:ser>
        <c:ser>
          <c:idx val="14"/>
          <c:order val="13"/>
          <c:tx>
            <c:v>unloading 13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curve'!$AG$35:$AG$36</c:f>
              <c:numCache>
                <c:formatCode>General</c:formatCode>
                <c:ptCount val="2"/>
                <c:pt idx="0">
                  <c:v>0.25493240093240099</c:v>
                </c:pt>
                <c:pt idx="1">
                  <c:v>0.27900000000000014</c:v>
                </c:pt>
              </c:numCache>
            </c:numRef>
          </c:xVal>
          <c:yVal>
            <c:numRef>
              <c:f>'gasket curve'!$AH$35:$AH$36</c:f>
              <c:numCache>
                <c:formatCode>General</c:formatCode>
                <c:ptCount val="2"/>
                <c:pt idx="0">
                  <c:v>33.333333333333336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491-499A-8696-FF9D03BC7D83}"/>
            </c:ext>
          </c:extLst>
        </c:ser>
        <c:ser>
          <c:idx val="15"/>
          <c:order val="14"/>
          <c:tx>
            <c:v>unloading 14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curve'!$AG$37:$AG$38</c:f>
              <c:numCache>
                <c:formatCode>General</c:formatCode>
                <c:ptCount val="2"/>
                <c:pt idx="0">
                  <c:v>0.27972023624494868</c:v>
                </c:pt>
                <c:pt idx="1">
                  <c:v>0.30000000000000004</c:v>
                </c:pt>
              </c:numCache>
            </c:numRef>
          </c:xVal>
          <c:yVal>
            <c:numRef>
              <c:f>'gasket curve'!$AH$37:$AH$38</c:f>
              <c:numCache>
                <c:formatCode>General</c:formatCode>
                <c:ptCount val="2"/>
                <c:pt idx="0">
                  <c:v>40</c:v>
                </c:pt>
                <c:pt idx="1">
                  <c:v>120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491-499A-8696-FF9D03BC7D83}"/>
            </c:ext>
          </c:extLst>
        </c:ser>
        <c:ser>
          <c:idx val="7"/>
          <c:order val="15"/>
          <c:tx>
            <c:v>unloading 15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curve'!$AG$39:$AG$40</c:f>
              <c:numCache>
                <c:formatCode>General</c:formatCode>
                <c:ptCount val="2"/>
                <c:pt idx="0">
                  <c:v>0.30027039019919943</c:v>
                </c:pt>
                <c:pt idx="1">
                  <c:v>0.32200000000000006</c:v>
                </c:pt>
              </c:numCache>
            </c:numRef>
          </c:xVal>
          <c:yVal>
            <c:numRef>
              <c:f>'gasket curve'!$AH$39:$AH$40</c:f>
              <c:numCache>
                <c:formatCode>General</c:formatCode>
                <c:ptCount val="2"/>
                <c:pt idx="0">
                  <c:v>46.666666666666664</c:v>
                </c:pt>
                <c:pt idx="1">
                  <c:v>140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491-499A-8696-FF9D03BC7D83}"/>
            </c:ext>
          </c:extLst>
        </c:ser>
        <c:ser>
          <c:idx val="16"/>
          <c:order val="16"/>
          <c:tx>
            <c:v>unloading 16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curve'!$AG$41:$AG$42</c:f>
              <c:numCache>
                <c:formatCode>General</c:formatCode>
                <c:ptCount val="2"/>
                <c:pt idx="0">
                  <c:v>0.32495693495693501</c:v>
                </c:pt>
                <c:pt idx="1">
                  <c:v>0.35000000000000009</c:v>
                </c:pt>
              </c:numCache>
            </c:numRef>
          </c:xVal>
          <c:yVal>
            <c:numRef>
              <c:f>'gasket curve'!$AH$41:$AH$42</c:f>
              <c:numCache>
                <c:formatCode>General</c:formatCode>
                <c:ptCount val="2"/>
                <c:pt idx="0">
                  <c:v>53.333333333333336</c:v>
                </c:pt>
                <c:pt idx="1">
                  <c:v>160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491-499A-8696-FF9D03BC7D83}"/>
            </c:ext>
          </c:extLst>
        </c:ser>
        <c:ser>
          <c:idx val="19"/>
          <c:order val="17"/>
          <c:tx>
            <c:v>unloading 17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curve'!$AG$43:$AG$44</c:f>
              <c:numCache>
                <c:formatCode>General</c:formatCode>
                <c:ptCount val="2"/>
                <c:pt idx="0">
                  <c:v>0.35421042776897593</c:v>
                </c:pt>
                <c:pt idx="1">
                  <c:v>0.38100000000000001</c:v>
                </c:pt>
              </c:numCache>
            </c:numRef>
          </c:xVal>
          <c:yVal>
            <c:numRef>
              <c:f>'gasket curve'!$AH$43:$AH$44</c:f>
              <c:numCache>
                <c:formatCode>General</c:formatCode>
                <c:ptCount val="2"/>
                <c:pt idx="0">
                  <c:v>60</c:v>
                </c:pt>
                <c:pt idx="1">
                  <c:v>180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491-499A-8696-FF9D03BC7D83}"/>
            </c:ext>
          </c:extLst>
        </c:ser>
        <c:ser>
          <c:idx val="17"/>
          <c:order val="18"/>
          <c:tx>
            <c:v>unloading 18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curve'!$AG$45:$AG$46</c:f>
              <c:numCache>
                <c:formatCode>General</c:formatCode>
                <c:ptCount val="2"/>
                <c:pt idx="0">
                  <c:v>0.38687038471469148</c:v>
                </c:pt>
                <c:pt idx="1">
                  <c:v>0.41300000000000003</c:v>
                </c:pt>
              </c:numCache>
            </c:numRef>
          </c:xVal>
          <c:yVal>
            <c:numRef>
              <c:f>'gasket curve'!$AH$45:$AH$46</c:f>
              <c:numCache>
                <c:formatCode>General</c:formatCode>
                <c:ptCount val="2"/>
                <c:pt idx="0">
                  <c:v>66.666666666666671</c:v>
                </c:pt>
                <c:pt idx="1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491-499A-8696-FF9D03BC7D83}"/>
            </c:ext>
          </c:extLst>
        </c:ser>
        <c:ser>
          <c:idx val="20"/>
          <c:order val="19"/>
          <c:tx>
            <c:v>unloading 19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curve'!$AG$47:$AG$48</c:f>
              <c:numCache>
                <c:formatCode>General</c:formatCode>
                <c:ptCount val="2"/>
                <c:pt idx="0">
                  <c:v>0.41829324070053553</c:v>
                </c:pt>
                <c:pt idx="1">
                  <c:v>0.44199999999999995</c:v>
                </c:pt>
              </c:numCache>
            </c:numRef>
          </c:xVal>
          <c:yVal>
            <c:numRef>
              <c:f>'gasket curve'!$AH$47:$AH$48</c:f>
              <c:numCache>
                <c:formatCode>General</c:formatCode>
                <c:ptCount val="2"/>
                <c:pt idx="0">
                  <c:v>73.333333333333329</c:v>
                </c:pt>
                <c:pt idx="1">
                  <c:v>220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9B-43E1-91E5-3B86BD9D2234}"/>
            </c:ext>
          </c:extLst>
        </c:ser>
        <c:ser>
          <c:idx val="21"/>
          <c:order val="20"/>
          <c:tx>
            <c:v>unloading 20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curve'!$AG$49:$AG$50</c:f>
              <c:numCache>
                <c:formatCode>General</c:formatCode>
                <c:ptCount val="2"/>
                <c:pt idx="0">
                  <c:v>0.44046800538397179</c:v>
                </c:pt>
                <c:pt idx="1">
                  <c:v>0.46500000000000008</c:v>
                </c:pt>
              </c:numCache>
            </c:numRef>
          </c:xVal>
          <c:yVal>
            <c:numRef>
              <c:f>'gasket curve'!$AH$49:$AH$50</c:f>
              <c:numCache>
                <c:formatCode>General</c:formatCode>
                <c:ptCount val="2"/>
                <c:pt idx="0">
                  <c:v>76.666666666666671</c:v>
                </c:pt>
                <c:pt idx="1">
                  <c:v>230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9B-43E1-91E5-3B86BD9D2234}"/>
            </c:ext>
          </c:extLst>
        </c:ser>
        <c:ser>
          <c:idx val="22"/>
          <c:order val="21"/>
          <c:tx>
            <c:v>unloading 21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curve'!$AG$51:$AG$52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curve'!$AH$51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1A-4064-8576-1421F5ED0627}"/>
            </c:ext>
          </c:extLst>
        </c:ser>
        <c:ser>
          <c:idx val="23"/>
          <c:order val="22"/>
          <c:tx>
            <c:v>unloading 22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curve'!$AG$53:$AG$54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curve'!$AH$53:$AH$54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1A-4064-8576-1421F5ED0627}"/>
            </c:ext>
          </c:extLst>
        </c:ser>
        <c:ser>
          <c:idx val="24"/>
          <c:order val="23"/>
          <c:tx>
            <c:v>unloading 23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curve'!$AG$55:$AG$56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curve'!$AH$55:$AH$56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1A-4064-8576-1421F5ED0627}"/>
            </c:ext>
          </c:extLst>
        </c:ser>
        <c:ser>
          <c:idx val="25"/>
          <c:order val="24"/>
          <c:tx>
            <c:v>unloading 24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curve'!$AG$57:$AG$58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curve'!$AH$57:$AH$58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1A-4064-8576-1421F5ED0627}"/>
            </c:ext>
          </c:extLst>
        </c:ser>
        <c:ser>
          <c:idx val="26"/>
          <c:order val="25"/>
          <c:tx>
            <c:v>unloading 25</c:v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'gasket curve'!$AG$59:$AG$60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curve'!$AH$59:$AH$60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21A-4064-8576-1421F5ED0627}"/>
            </c:ext>
          </c:extLst>
        </c:ser>
        <c:ser>
          <c:idx val="18"/>
          <c:order val="26"/>
          <c:tx>
            <c:v>carico-scarico</c:v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x"/>
              <c:size val="11"/>
              <c:spPr>
                <a:noFill/>
                <a:ln w="25400">
                  <a:solidFill>
                    <a:srgbClr val="FF0000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491-499A-8696-FF9D03BC7D83}"/>
              </c:ext>
            </c:extLst>
          </c:dPt>
          <c:xVal>
            <c:numRef>
              <c:f>'gasket curve'!$K$15:$K$16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'gasket curve'!$L$15:$L$16</c:f>
              <c:numCache>
                <c:formatCode>General</c:formatCode>
                <c:ptCount val="2"/>
                <c:pt idx="0">
                  <c:v>59.642709299101902</c:v>
                </c:pt>
                <c:pt idx="1">
                  <c:v>85.661360662086125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491-499A-8696-FF9D03BC7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677824"/>
        <c:axId val="411679744"/>
        <c:extLst/>
      </c:scatterChart>
      <c:valAx>
        <c:axId val="411677824"/>
        <c:scaling>
          <c:orientation val="minMax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gasket</a:t>
                </a:r>
                <a:r>
                  <a:rPr lang="en-US" baseline="0"/>
                  <a:t> closure distance [mm]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1679744"/>
        <c:crosses val="autoZero"/>
        <c:crossBetween val="midCat"/>
      </c:valAx>
      <c:valAx>
        <c:axId val="411679744"/>
        <c:scaling>
          <c:orientation val="minMax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gasket pressure [MPa]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1677824"/>
        <c:crosses val="autoZero"/>
        <c:crossBetween val="midCat"/>
      </c:valAx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B1B5823-7F0A-4E19-96F4-ACE9FECF26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29</xdr:row>
      <xdr:rowOff>9525</xdr:rowOff>
    </xdr:from>
    <xdr:to>
      <xdr:col>29</xdr:col>
      <xdr:colOff>19050</xdr:colOff>
      <xdr:row>38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CB0C77-FA06-4C85-BFFC-7656ACB9B64D}"/>
            </a:ext>
          </a:extLst>
        </xdr:cNvPr>
        <xdr:cNvSpPr txBox="1"/>
      </xdr:nvSpPr>
      <xdr:spPr>
        <a:xfrm>
          <a:off x="95250" y="5534025"/>
          <a:ext cx="6276975" cy="18097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worksheet</a:t>
          </a:r>
          <a:r>
            <a:rPr lang="en-US" sz="1100" b="0" u="none" baseline="0"/>
            <a:t> defines gasket loading/unloading curves.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ref. gasketdata.org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"gasket curves"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Loaading/unloading curves.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"database"</a:t>
          </a:r>
          <a:endParaRPr lang="it-IT">
            <a:effectLst/>
          </a:endParaRP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Gasket database.</a:t>
          </a:r>
          <a:endParaRPr lang="it-IT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818AD4D-35D7-4198-A32A-4950BF0DF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33</xdr:row>
      <xdr:rowOff>0</xdr:rowOff>
    </xdr:from>
    <xdr:to>
      <xdr:col>24</xdr:col>
      <xdr:colOff>1038225</xdr:colOff>
      <xdr:row>42</xdr:row>
      <xdr:rowOff>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978A86FC-6A6A-4C53-B84A-98DCBC689749}"/>
            </a:ext>
            <a:ext uri="{147F2762-F138-4A5C-976F-8EAC2B608ADB}">
              <a16:predDERef xmlns:a16="http://schemas.microsoft.com/office/drawing/2014/main" pred="{00000000-0008-0000-0100-000002040000}"/>
            </a:ext>
          </a:extLst>
        </xdr:cNvPr>
        <xdr:cNvSpPr txBox="1"/>
      </xdr:nvSpPr>
      <xdr:spPr>
        <a:xfrm>
          <a:off x="6953250" y="7010400"/>
          <a:ext cx="6362700" cy="17145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1) </a:t>
          </a:r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gasket manufacturer, gasket name and temperature;</a:t>
          </a:r>
        </a:p>
        <a:p>
          <a:pPr eaLnBrk="1" fontAlgn="auto" latinLnBrk="0" hangingPunct="1"/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2)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bolt number, dimension, material, etc;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calculate A</a:t>
          </a:r>
          <a:r>
            <a:rPr lang="en-US" sz="1100" b="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A</a:t>
          </a:r>
          <a:r>
            <a:rPr lang="en-US" sz="1100" b="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gasket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calculate assembly gasket thickness;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calculate operating gasket thickness;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verify that Q</a:t>
          </a:r>
          <a:r>
            <a:rPr lang="en-US" sz="1100" b="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bolt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 below the maximum allowable assembly gasket pressure in the table.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if the gasket is not present in the list, select "user" for manufacturer, name and temperature</a:t>
          </a:r>
        </a:p>
        <a:p>
          <a:pPr eaLnBrk="1" fontAlgn="auto" latinLnBrk="0" hangingPunct="1"/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7) fill the table in "database" sheet.</a:t>
          </a:r>
          <a:endParaRPr lang="it-IT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B5357-5158-4603-8339-DCD9AC334810}">
  <sheetPr codeName="Foglio2"/>
  <dimension ref="A1:AD48"/>
  <sheetViews>
    <sheetView tabSelected="1" topLeftCell="A24" zoomScaleNormal="100" zoomScaleSheetLayoutView="100" workbookViewId="0">
      <selection activeCell="A8" sqref="A8:AD39"/>
    </sheetView>
  </sheetViews>
  <sheetFormatPr defaultRowHeight="12" x14ac:dyDescent="0.2"/>
  <cols>
    <col min="1" max="30" width="3.28515625" style="51" customWidth="1"/>
    <col min="31" max="256" width="9.140625" style="51"/>
    <col min="257" max="286" width="3.28515625" style="51" customWidth="1"/>
    <col min="287" max="512" width="9.140625" style="51"/>
    <col min="513" max="542" width="3.28515625" style="51" customWidth="1"/>
    <col min="543" max="768" width="9.140625" style="51"/>
    <col min="769" max="798" width="3.28515625" style="51" customWidth="1"/>
    <col min="799" max="1024" width="9.140625" style="51"/>
    <col min="1025" max="1054" width="3.28515625" style="51" customWidth="1"/>
    <col min="1055" max="1280" width="9.140625" style="51"/>
    <col min="1281" max="1310" width="3.28515625" style="51" customWidth="1"/>
    <col min="1311" max="1536" width="9.140625" style="51"/>
    <col min="1537" max="1566" width="3.28515625" style="51" customWidth="1"/>
    <col min="1567" max="1792" width="9.140625" style="51"/>
    <col min="1793" max="1822" width="3.28515625" style="51" customWidth="1"/>
    <col min="1823" max="2048" width="9.140625" style="51"/>
    <col min="2049" max="2078" width="3.28515625" style="51" customWidth="1"/>
    <col min="2079" max="2304" width="9.140625" style="51"/>
    <col min="2305" max="2334" width="3.28515625" style="51" customWidth="1"/>
    <col min="2335" max="2560" width="9.140625" style="51"/>
    <col min="2561" max="2590" width="3.28515625" style="51" customWidth="1"/>
    <col min="2591" max="2816" width="9.140625" style="51"/>
    <col min="2817" max="2846" width="3.28515625" style="51" customWidth="1"/>
    <col min="2847" max="3072" width="9.140625" style="51"/>
    <col min="3073" max="3102" width="3.28515625" style="51" customWidth="1"/>
    <col min="3103" max="3328" width="9.140625" style="51"/>
    <col min="3329" max="3358" width="3.28515625" style="51" customWidth="1"/>
    <col min="3359" max="3584" width="9.140625" style="51"/>
    <col min="3585" max="3614" width="3.28515625" style="51" customWidth="1"/>
    <col min="3615" max="3840" width="9.140625" style="51"/>
    <col min="3841" max="3870" width="3.28515625" style="51" customWidth="1"/>
    <col min="3871" max="4096" width="9.140625" style="51"/>
    <col min="4097" max="4126" width="3.28515625" style="51" customWidth="1"/>
    <col min="4127" max="4352" width="9.140625" style="51"/>
    <col min="4353" max="4382" width="3.28515625" style="51" customWidth="1"/>
    <col min="4383" max="4608" width="9.140625" style="51"/>
    <col min="4609" max="4638" width="3.28515625" style="51" customWidth="1"/>
    <col min="4639" max="4864" width="9.140625" style="51"/>
    <col min="4865" max="4894" width="3.28515625" style="51" customWidth="1"/>
    <col min="4895" max="5120" width="9.140625" style="51"/>
    <col min="5121" max="5150" width="3.28515625" style="51" customWidth="1"/>
    <col min="5151" max="5376" width="9.140625" style="51"/>
    <col min="5377" max="5406" width="3.28515625" style="51" customWidth="1"/>
    <col min="5407" max="5632" width="9.140625" style="51"/>
    <col min="5633" max="5662" width="3.28515625" style="51" customWidth="1"/>
    <col min="5663" max="5888" width="9.140625" style="51"/>
    <col min="5889" max="5918" width="3.28515625" style="51" customWidth="1"/>
    <col min="5919" max="6144" width="9.140625" style="51"/>
    <col min="6145" max="6174" width="3.28515625" style="51" customWidth="1"/>
    <col min="6175" max="6400" width="9.140625" style="51"/>
    <col min="6401" max="6430" width="3.28515625" style="51" customWidth="1"/>
    <col min="6431" max="6656" width="9.140625" style="51"/>
    <col min="6657" max="6686" width="3.28515625" style="51" customWidth="1"/>
    <col min="6687" max="6912" width="9.140625" style="51"/>
    <col min="6913" max="6942" width="3.28515625" style="51" customWidth="1"/>
    <col min="6943" max="7168" width="9.140625" style="51"/>
    <col min="7169" max="7198" width="3.28515625" style="51" customWidth="1"/>
    <col min="7199" max="7424" width="9.140625" style="51"/>
    <col min="7425" max="7454" width="3.28515625" style="51" customWidth="1"/>
    <col min="7455" max="7680" width="9.140625" style="51"/>
    <col min="7681" max="7710" width="3.28515625" style="51" customWidth="1"/>
    <col min="7711" max="7936" width="9.140625" style="51"/>
    <col min="7937" max="7966" width="3.28515625" style="51" customWidth="1"/>
    <col min="7967" max="8192" width="9.140625" style="51"/>
    <col min="8193" max="8222" width="3.28515625" style="51" customWidth="1"/>
    <col min="8223" max="8448" width="9.140625" style="51"/>
    <col min="8449" max="8478" width="3.28515625" style="51" customWidth="1"/>
    <col min="8479" max="8704" width="9.140625" style="51"/>
    <col min="8705" max="8734" width="3.28515625" style="51" customWidth="1"/>
    <col min="8735" max="8960" width="9.140625" style="51"/>
    <col min="8961" max="8990" width="3.28515625" style="51" customWidth="1"/>
    <col min="8991" max="9216" width="9.140625" style="51"/>
    <col min="9217" max="9246" width="3.28515625" style="51" customWidth="1"/>
    <col min="9247" max="9472" width="9.140625" style="51"/>
    <col min="9473" max="9502" width="3.28515625" style="51" customWidth="1"/>
    <col min="9503" max="9728" width="9.140625" style="51"/>
    <col min="9729" max="9758" width="3.28515625" style="51" customWidth="1"/>
    <col min="9759" max="9984" width="9.140625" style="51"/>
    <col min="9985" max="10014" width="3.28515625" style="51" customWidth="1"/>
    <col min="10015" max="10240" width="9.140625" style="51"/>
    <col min="10241" max="10270" width="3.28515625" style="51" customWidth="1"/>
    <col min="10271" max="10496" width="9.140625" style="51"/>
    <col min="10497" max="10526" width="3.28515625" style="51" customWidth="1"/>
    <col min="10527" max="10752" width="9.140625" style="51"/>
    <col min="10753" max="10782" width="3.28515625" style="51" customWidth="1"/>
    <col min="10783" max="11008" width="9.140625" style="51"/>
    <col min="11009" max="11038" width="3.28515625" style="51" customWidth="1"/>
    <col min="11039" max="11264" width="9.140625" style="51"/>
    <col min="11265" max="11294" width="3.28515625" style="51" customWidth="1"/>
    <col min="11295" max="11520" width="9.140625" style="51"/>
    <col min="11521" max="11550" width="3.28515625" style="51" customWidth="1"/>
    <col min="11551" max="11776" width="9.140625" style="51"/>
    <col min="11777" max="11806" width="3.28515625" style="51" customWidth="1"/>
    <col min="11807" max="12032" width="9.140625" style="51"/>
    <col min="12033" max="12062" width="3.28515625" style="51" customWidth="1"/>
    <col min="12063" max="12288" width="9.140625" style="51"/>
    <col min="12289" max="12318" width="3.28515625" style="51" customWidth="1"/>
    <col min="12319" max="12544" width="9.140625" style="51"/>
    <col min="12545" max="12574" width="3.28515625" style="51" customWidth="1"/>
    <col min="12575" max="12800" width="9.140625" style="51"/>
    <col min="12801" max="12830" width="3.28515625" style="51" customWidth="1"/>
    <col min="12831" max="13056" width="9.140625" style="51"/>
    <col min="13057" max="13086" width="3.28515625" style="51" customWidth="1"/>
    <col min="13087" max="13312" width="9.140625" style="51"/>
    <col min="13313" max="13342" width="3.28515625" style="51" customWidth="1"/>
    <col min="13343" max="13568" width="9.140625" style="51"/>
    <col min="13569" max="13598" width="3.28515625" style="51" customWidth="1"/>
    <col min="13599" max="13824" width="9.140625" style="51"/>
    <col min="13825" max="13854" width="3.28515625" style="51" customWidth="1"/>
    <col min="13855" max="14080" width="9.140625" style="51"/>
    <col min="14081" max="14110" width="3.28515625" style="51" customWidth="1"/>
    <col min="14111" max="14336" width="9.140625" style="51"/>
    <col min="14337" max="14366" width="3.28515625" style="51" customWidth="1"/>
    <col min="14367" max="14592" width="9.140625" style="51"/>
    <col min="14593" max="14622" width="3.28515625" style="51" customWidth="1"/>
    <col min="14623" max="14848" width="9.140625" style="51"/>
    <col min="14849" max="14878" width="3.28515625" style="51" customWidth="1"/>
    <col min="14879" max="15104" width="9.140625" style="51"/>
    <col min="15105" max="15134" width="3.28515625" style="51" customWidth="1"/>
    <col min="15135" max="15360" width="9.140625" style="51"/>
    <col min="15361" max="15390" width="3.28515625" style="51" customWidth="1"/>
    <col min="15391" max="15616" width="9.140625" style="51"/>
    <col min="15617" max="15646" width="3.28515625" style="51" customWidth="1"/>
    <col min="15647" max="15872" width="9.140625" style="51"/>
    <col min="15873" max="15902" width="3.28515625" style="51" customWidth="1"/>
    <col min="15903" max="16128" width="9.140625" style="51"/>
    <col min="16129" max="16158" width="3.28515625" style="51" customWidth="1"/>
    <col min="16159" max="16384" width="9.140625" style="51"/>
  </cols>
  <sheetData>
    <row r="1" spans="1:30" ht="15" customHeight="1" x14ac:dyDescent="0.2">
      <c r="A1" s="48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50"/>
    </row>
    <row r="2" spans="1:30" ht="15" customHeight="1" x14ac:dyDescent="0.2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4"/>
    </row>
    <row r="3" spans="1:30" ht="15" customHeight="1" x14ac:dyDescent="0.2">
      <c r="A3" s="52"/>
      <c r="B3" s="53"/>
      <c r="C3" s="53"/>
      <c r="D3" s="53"/>
      <c r="E3" s="53"/>
      <c r="F3" s="53"/>
      <c r="G3" s="53"/>
      <c r="H3" s="55"/>
      <c r="I3" s="55"/>
      <c r="J3" s="55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7"/>
      <c r="X3" s="57"/>
      <c r="Y3" s="57"/>
      <c r="Z3" s="57"/>
      <c r="AA3" s="57"/>
      <c r="AB3" s="57"/>
      <c r="AC3" s="57"/>
      <c r="AD3" s="58"/>
    </row>
    <row r="4" spans="1:30" ht="15" customHeight="1" x14ac:dyDescent="0.2">
      <c r="A4" s="52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4"/>
    </row>
    <row r="5" spans="1:30" ht="15" customHeight="1" x14ac:dyDescent="0.2">
      <c r="A5" s="52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4"/>
    </row>
    <row r="6" spans="1:30" ht="15" customHeight="1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4"/>
    </row>
    <row r="7" spans="1:30" ht="15" customHeight="1" thickBot="1" x14ac:dyDescent="0.25">
      <c r="A7" s="59"/>
      <c r="B7" s="60"/>
      <c r="C7" s="60"/>
      <c r="D7" s="60"/>
      <c r="E7" s="60"/>
      <c r="F7" s="61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60"/>
      <c r="AB7" s="60"/>
      <c r="AC7" s="60"/>
      <c r="AD7" s="62"/>
    </row>
    <row r="8" spans="1:30" ht="15" customHeight="1" x14ac:dyDescent="0.2">
      <c r="A8" s="177" t="s">
        <v>116</v>
      </c>
      <c r="B8" s="178"/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9"/>
    </row>
    <row r="9" spans="1:30" ht="15" customHeight="1" x14ac:dyDescent="0.2">
      <c r="A9" s="180"/>
      <c r="B9" s="181"/>
      <c r="C9" s="181"/>
      <c r="D9" s="181"/>
      <c r="E9" s="181"/>
      <c r="F9" s="181"/>
      <c r="G9" s="181"/>
      <c r="H9" s="181"/>
      <c r="I9" s="181"/>
      <c r="J9" s="181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  <c r="AA9" s="181"/>
      <c r="AB9" s="181"/>
      <c r="AC9" s="181"/>
      <c r="AD9" s="182"/>
    </row>
    <row r="10" spans="1:30" ht="15" customHeight="1" x14ac:dyDescent="0.2">
      <c r="A10" s="180"/>
      <c r="B10" s="181"/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2"/>
    </row>
    <row r="11" spans="1:30" ht="15" customHeight="1" x14ac:dyDescent="0.2">
      <c r="A11" s="180"/>
      <c r="B11" s="181"/>
      <c r="C11" s="181"/>
      <c r="D11" s="181"/>
      <c r="E11" s="181"/>
      <c r="F11" s="181"/>
      <c r="G11" s="181"/>
      <c r="H11" s="181"/>
      <c r="I11" s="181"/>
      <c r="J11" s="181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  <c r="AA11" s="181"/>
      <c r="AB11" s="181"/>
      <c r="AC11" s="181"/>
      <c r="AD11" s="182"/>
    </row>
    <row r="12" spans="1:30" ht="15" customHeight="1" x14ac:dyDescent="0.2">
      <c r="A12" s="180"/>
      <c r="B12" s="181"/>
      <c r="C12" s="181"/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2"/>
    </row>
    <row r="13" spans="1:30" ht="15" customHeight="1" x14ac:dyDescent="0.2">
      <c r="A13" s="180"/>
      <c r="B13" s="181"/>
      <c r="C13" s="181"/>
      <c r="D13" s="181"/>
      <c r="E13" s="181"/>
      <c r="F13" s="181"/>
      <c r="G13" s="181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2"/>
    </row>
    <row r="14" spans="1:30" ht="15" customHeight="1" x14ac:dyDescent="0.2">
      <c r="A14" s="180"/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2"/>
    </row>
    <row r="15" spans="1:30" ht="15" customHeight="1" x14ac:dyDescent="0.2">
      <c r="A15" s="180"/>
      <c r="B15" s="181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81"/>
      <c r="Z15" s="181"/>
      <c r="AA15" s="181"/>
      <c r="AB15" s="181"/>
      <c r="AC15" s="181"/>
      <c r="AD15" s="182"/>
    </row>
    <row r="16" spans="1:30" ht="15" customHeight="1" x14ac:dyDescent="0.2">
      <c r="A16" s="180"/>
      <c r="B16" s="181"/>
      <c r="C16" s="181"/>
      <c r="D16" s="181"/>
      <c r="E16" s="181"/>
      <c r="F16" s="181"/>
      <c r="G16" s="181"/>
      <c r="H16" s="181"/>
      <c r="I16" s="181"/>
      <c r="J16" s="181"/>
      <c r="K16" s="181"/>
      <c r="L16" s="181"/>
      <c r="M16" s="181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81"/>
      <c r="Y16" s="181"/>
      <c r="Z16" s="181"/>
      <c r="AA16" s="181"/>
      <c r="AB16" s="181"/>
      <c r="AC16" s="181"/>
      <c r="AD16" s="182"/>
    </row>
    <row r="17" spans="1:30" ht="15" customHeight="1" x14ac:dyDescent="0.2">
      <c r="A17" s="180"/>
      <c r="B17" s="181"/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  <c r="AA17" s="181"/>
      <c r="AB17" s="181"/>
      <c r="AC17" s="181"/>
      <c r="AD17" s="182"/>
    </row>
    <row r="18" spans="1:30" ht="15" customHeight="1" x14ac:dyDescent="0.2">
      <c r="A18" s="180"/>
      <c r="B18" s="181"/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2"/>
    </row>
    <row r="19" spans="1:30" ht="15" customHeight="1" x14ac:dyDescent="0.2">
      <c r="A19" s="180"/>
      <c r="B19" s="181"/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181"/>
      <c r="AA19" s="181"/>
      <c r="AB19" s="181"/>
      <c r="AC19" s="181"/>
      <c r="AD19" s="182"/>
    </row>
    <row r="20" spans="1:30" ht="15" customHeight="1" x14ac:dyDescent="0.2">
      <c r="A20" s="180"/>
      <c r="B20" s="181"/>
      <c r="C20" s="181"/>
      <c r="D20" s="181"/>
      <c r="E20" s="181"/>
      <c r="F20" s="181"/>
      <c r="G20" s="181"/>
      <c r="H20" s="181"/>
      <c r="I20" s="181"/>
      <c r="J20" s="181"/>
      <c r="K20" s="181"/>
      <c r="L20" s="181"/>
      <c r="M20" s="181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  <c r="AA20" s="181"/>
      <c r="AB20" s="181"/>
      <c r="AC20" s="181"/>
      <c r="AD20" s="182"/>
    </row>
    <row r="21" spans="1:30" ht="15" customHeight="1" x14ac:dyDescent="0.2">
      <c r="A21" s="180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2"/>
    </row>
    <row r="22" spans="1:30" ht="15" customHeight="1" x14ac:dyDescent="0.2">
      <c r="A22" s="180"/>
      <c r="B22" s="181"/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81"/>
      <c r="W22" s="181"/>
      <c r="X22" s="181"/>
      <c r="Y22" s="181"/>
      <c r="Z22" s="181"/>
      <c r="AA22" s="181"/>
      <c r="AB22" s="181"/>
      <c r="AC22" s="181"/>
      <c r="AD22" s="182"/>
    </row>
    <row r="23" spans="1:30" ht="15" customHeight="1" x14ac:dyDescent="0.2">
      <c r="A23" s="180"/>
      <c r="B23" s="181"/>
      <c r="C23" s="181"/>
      <c r="D23" s="181"/>
      <c r="E23" s="181"/>
      <c r="F23" s="181"/>
      <c r="G23" s="181"/>
      <c r="H23" s="181"/>
      <c r="I23" s="181"/>
      <c r="J23" s="181"/>
      <c r="K23" s="181"/>
      <c r="L23" s="181"/>
      <c r="M23" s="181"/>
      <c r="N23" s="181"/>
      <c r="O23" s="181"/>
      <c r="P23" s="181"/>
      <c r="Q23" s="181"/>
      <c r="R23" s="181"/>
      <c r="S23" s="181"/>
      <c r="T23" s="181"/>
      <c r="U23" s="181"/>
      <c r="V23" s="181"/>
      <c r="W23" s="181"/>
      <c r="X23" s="181"/>
      <c r="Y23" s="181"/>
      <c r="Z23" s="181"/>
      <c r="AA23" s="181"/>
      <c r="AB23" s="181"/>
      <c r="AC23" s="181"/>
      <c r="AD23" s="182"/>
    </row>
    <row r="24" spans="1:30" ht="15" customHeight="1" x14ac:dyDescent="0.2">
      <c r="A24" s="180"/>
      <c r="B24" s="181"/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2"/>
    </row>
    <row r="25" spans="1:30" ht="15" customHeight="1" x14ac:dyDescent="0.2">
      <c r="A25" s="180"/>
      <c r="B25" s="181"/>
      <c r="C25" s="181"/>
      <c r="D25" s="181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1"/>
      <c r="P25" s="181"/>
      <c r="Q25" s="181"/>
      <c r="R25" s="181"/>
      <c r="S25" s="181"/>
      <c r="T25" s="181"/>
      <c r="U25" s="181"/>
      <c r="V25" s="181"/>
      <c r="W25" s="181"/>
      <c r="X25" s="181"/>
      <c r="Y25" s="181"/>
      <c r="Z25" s="181"/>
      <c r="AA25" s="181"/>
      <c r="AB25" s="181"/>
      <c r="AC25" s="181"/>
      <c r="AD25" s="182"/>
    </row>
    <row r="26" spans="1:30" ht="15" customHeight="1" x14ac:dyDescent="0.2">
      <c r="A26" s="180"/>
      <c r="B26" s="181"/>
      <c r="C26" s="181"/>
      <c r="D26" s="181"/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V26" s="181"/>
      <c r="W26" s="181"/>
      <c r="X26" s="181"/>
      <c r="Y26" s="181"/>
      <c r="Z26" s="181"/>
      <c r="AA26" s="181"/>
      <c r="AB26" s="181"/>
      <c r="AC26" s="181"/>
      <c r="AD26" s="182"/>
    </row>
    <row r="27" spans="1:30" ht="15" customHeight="1" x14ac:dyDescent="0.2">
      <c r="A27" s="180"/>
      <c r="B27" s="181"/>
      <c r="C27" s="181"/>
      <c r="D27" s="181"/>
      <c r="E27" s="181"/>
      <c r="F27" s="181"/>
      <c r="G27" s="181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182"/>
    </row>
    <row r="28" spans="1:30" ht="15" customHeight="1" x14ac:dyDescent="0.2">
      <c r="A28" s="180"/>
      <c r="B28" s="181"/>
      <c r="C28" s="181"/>
      <c r="D28" s="181"/>
      <c r="E28" s="181"/>
      <c r="F28" s="181"/>
      <c r="G28" s="181"/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1"/>
      <c r="Z28" s="181"/>
      <c r="AA28" s="181"/>
      <c r="AB28" s="181"/>
      <c r="AC28" s="181"/>
      <c r="AD28" s="182"/>
    </row>
    <row r="29" spans="1:30" ht="15" customHeight="1" x14ac:dyDescent="0.2">
      <c r="A29" s="180"/>
      <c r="B29" s="181"/>
      <c r="C29" s="181"/>
      <c r="D29" s="181"/>
      <c r="E29" s="181"/>
      <c r="F29" s="181"/>
      <c r="G29" s="181"/>
      <c r="H29" s="181"/>
      <c r="I29" s="181"/>
      <c r="J29" s="181"/>
      <c r="K29" s="181"/>
      <c r="L29" s="181"/>
      <c r="M29" s="181"/>
      <c r="N29" s="181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1"/>
      <c r="Z29" s="181"/>
      <c r="AA29" s="181"/>
      <c r="AB29" s="181"/>
      <c r="AC29" s="181"/>
      <c r="AD29" s="182"/>
    </row>
    <row r="30" spans="1:30" ht="15" customHeight="1" x14ac:dyDescent="0.2">
      <c r="A30" s="180"/>
      <c r="B30" s="181"/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181"/>
      <c r="AA30" s="181"/>
      <c r="AB30" s="181"/>
      <c r="AC30" s="181"/>
      <c r="AD30" s="182"/>
    </row>
    <row r="31" spans="1:30" ht="15" customHeight="1" x14ac:dyDescent="0.2">
      <c r="A31" s="180"/>
      <c r="B31" s="181"/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181"/>
      <c r="AA31" s="181"/>
      <c r="AB31" s="181"/>
      <c r="AC31" s="181"/>
      <c r="AD31" s="182"/>
    </row>
    <row r="32" spans="1:30" ht="15" customHeight="1" x14ac:dyDescent="0.2">
      <c r="A32" s="180"/>
      <c r="B32" s="181"/>
      <c r="C32" s="181"/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181"/>
      <c r="X32" s="181"/>
      <c r="Y32" s="181"/>
      <c r="Z32" s="181"/>
      <c r="AA32" s="181"/>
      <c r="AB32" s="181"/>
      <c r="AC32" s="181"/>
      <c r="AD32" s="182"/>
    </row>
    <row r="33" spans="1:30" ht="15" customHeight="1" x14ac:dyDescent="0.2">
      <c r="A33" s="180"/>
      <c r="B33" s="181"/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  <c r="Y33" s="181"/>
      <c r="Z33" s="181"/>
      <c r="AA33" s="181"/>
      <c r="AB33" s="181"/>
      <c r="AC33" s="181"/>
      <c r="AD33" s="182"/>
    </row>
    <row r="34" spans="1:30" ht="15" customHeight="1" x14ac:dyDescent="0.2">
      <c r="A34" s="180"/>
      <c r="B34" s="181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R34" s="181"/>
      <c r="S34" s="181"/>
      <c r="T34" s="181"/>
      <c r="U34" s="181"/>
      <c r="V34" s="181"/>
      <c r="W34" s="181"/>
      <c r="X34" s="181"/>
      <c r="Y34" s="181"/>
      <c r="Z34" s="181"/>
      <c r="AA34" s="181"/>
      <c r="AB34" s="181"/>
      <c r="AC34" s="181"/>
      <c r="AD34" s="182"/>
    </row>
    <row r="35" spans="1:30" ht="15" customHeight="1" x14ac:dyDescent="0.2">
      <c r="A35" s="180"/>
      <c r="B35" s="181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  <c r="AA35" s="181"/>
      <c r="AB35" s="181"/>
      <c r="AC35" s="181"/>
      <c r="AD35" s="182"/>
    </row>
    <row r="36" spans="1:30" ht="15" customHeight="1" x14ac:dyDescent="0.2">
      <c r="A36" s="180"/>
      <c r="B36" s="181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181"/>
      <c r="X36" s="181"/>
      <c r="Y36" s="181"/>
      <c r="Z36" s="181"/>
      <c r="AA36" s="181"/>
      <c r="AB36" s="181"/>
      <c r="AC36" s="181"/>
      <c r="AD36" s="182"/>
    </row>
    <row r="37" spans="1:30" ht="15" customHeight="1" x14ac:dyDescent="0.2">
      <c r="A37" s="180"/>
      <c r="B37" s="181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  <c r="U37" s="181"/>
      <c r="V37" s="181"/>
      <c r="W37" s="181"/>
      <c r="X37" s="181"/>
      <c r="Y37" s="181"/>
      <c r="Z37" s="181"/>
      <c r="AA37" s="181"/>
      <c r="AB37" s="181"/>
      <c r="AC37" s="181"/>
      <c r="AD37" s="182"/>
    </row>
    <row r="38" spans="1:30" ht="15" customHeight="1" x14ac:dyDescent="0.2">
      <c r="A38" s="180"/>
      <c r="B38" s="181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  <c r="U38" s="181"/>
      <c r="V38" s="181"/>
      <c r="W38" s="181"/>
      <c r="X38" s="181"/>
      <c r="Y38" s="181"/>
      <c r="Z38" s="181"/>
      <c r="AA38" s="181"/>
      <c r="AB38" s="181"/>
      <c r="AC38" s="181"/>
      <c r="AD38" s="182"/>
    </row>
    <row r="39" spans="1:30" ht="15" customHeight="1" thickBot="1" x14ac:dyDescent="0.2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5"/>
    </row>
    <row r="40" spans="1:30" ht="30" customHeight="1" x14ac:dyDescent="0.2">
      <c r="A40" s="186"/>
      <c r="B40" s="187"/>
      <c r="C40" s="188"/>
      <c r="D40" s="189"/>
      <c r="E40" s="189"/>
      <c r="F40" s="187"/>
      <c r="G40" s="188"/>
      <c r="H40" s="189"/>
      <c r="I40" s="189"/>
      <c r="J40" s="189"/>
      <c r="K40" s="189"/>
      <c r="L40" s="189"/>
      <c r="M40" s="189"/>
      <c r="N40" s="189"/>
      <c r="O40" s="189"/>
      <c r="P40" s="188"/>
      <c r="Q40" s="189"/>
      <c r="R40" s="189"/>
      <c r="S40" s="189"/>
      <c r="T40" s="187"/>
      <c r="U40" s="188"/>
      <c r="V40" s="189"/>
      <c r="W40" s="189"/>
      <c r="X40" s="189"/>
      <c r="Y40" s="187"/>
      <c r="Z40" s="188"/>
      <c r="AA40" s="189"/>
      <c r="AB40" s="189"/>
      <c r="AC40" s="189"/>
      <c r="AD40" s="190"/>
    </row>
    <row r="41" spans="1:30" ht="30" customHeight="1" x14ac:dyDescent="0.2">
      <c r="A41" s="164"/>
      <c r="B41" s="165"/>
      <c r="C41" s="166"/>
      <c r="D41" s="167"/>
      <c r="E41" s="167"/>
      <c r="F41" s="165"/>
      <c r="G41" s="166"/>
      <c r="H41" s="167"/>
      <c r="I41" s="167"/>
      <c r="J41" s="167"/>
      <c r="K41" s="167"/>
      <c r="L41" s="167"/>
      <c r="M41" s="167"/>
      <c r="N41" s="167"/>
      <c r="O41" s="167"/>
      <c r="P41" s="166"/>
      <c r="Q41" s="167"/>
      <c r="R41" s="167"/>
      <c r="S41" s="167"/>
      <c r="T41" s="165"/>
      <c r="U41" s="166"/>
      <c r="V41" s="167"/>
      <c r="W41" s="167"/>
      <c r="X41" s="167"/>
      <c r="Y41" s="165"/>
      <c r="Z41" s="166"/>
      <c r="AA41" s="167"/>
      <c r="AB41" s="167"/>
      <c r="AC41" s="167"/>
      <c r="AD41" s="168"/>
    </row>
    <row r="42" spans="1:30" ht="30" customHeight="1" x14ac:dyDescent="0.2">
      <c r="A42" s="164"/>
      <c r="B42" s="165"/>
      <c r="C42" s="166"/>
      <c r="D42" s="167"/>
      <c r="E42" s="167"/>
      <c r="F42" s="165"/>
      <c r="G42" s="166"/>
      <c r="H42" s="167"/>
      <c r="I42" s="167"/>
      <c r="J42" s="167"/>
      <c r="K42" s="167"/>
      <c r="L42" s="167"/>
      <c r="M42" s="167"/>
      <c r="N42" s="167"/>
      <c r="O42" s="167"/>
      <c r="P42" s="166"/>
      <c r="Q42" s="167"/>
      <c r="R42" s="167"/>
      <c r="S42" s="167"/>
      <c r="T42" s="165"/>
      <c r="U42" s="166"/>
      <c r="V42" s="167"/>
      <c r="W42" s="167"/>
      <c r="X42" s="167"/>
      <c r="Y42" s="165"/>
      <c r="Z42" s="166"/>
      <c r="AA42" s="167"/>
      <c r="AB42" s="167"/>
      <c r="AC42" s="167"/>
      <c r="AD42" s="168"/>
    </row>
    <row r="43" spans="1:30" ht="30" customHeight="1" x14ac:dyDescent="0.2">
      <c r="A43" s="164"/>
      <c r="B43" s="165"/>
      <c r="C43" s="166"/>
      <c r="D43" s="167"/>
      <c r="E43" s="167"/>
      <c r="F43" s="165"/>
      <c r="G43" s="166"/>
      <c r="H43" s="167"/>
      <c r="I43" s="167"/>
      <c r="J43" s="167"/>
      <c r="K43" s="167"/>
      <c r="L43" s="167"/>
      <c r="M43" s="167"/>
      <c r="N43" s="167"/>
      <c r="O43" s="167"/>
      <c r="P43" s="166"/>
      <c r="Q43" s="167"/>
      <c r="R43" s="167"/>
      <c r="S43" s="167"/>
      <c r="T43" s="165"/>
      <c r="U43" s="166"/>
      <c r="V43" s="167"/>
      <c r="W43" s="167"/>
      <c r="X43" s="167"/>
      <c r="Y43" s="165"/>
      <c r="Z43" s="166"/>
      <c r="AA43" s="167"/>
      <c r="AB43" s="167"/>
      <c r="AC43" s="167"/>
      <c r="AD43" s="168"/>
    </row>
    <row r="44" spans="1:30" ht="30" customHeight="1" x14ac:dyDescent="0.2">
      <c r="A44" s="164"/>
      <c r="B44" s="165"/>
      <c r="C44" s="166"/>
      <c r="D44" s="167"/>
      <c r="E44" s="167"/>
      <c r="F44" s="165"/>
      <c r="G44" s="166"/>
      <c r="H44" s="167"/>
      <c r="I44" s="167"/>
      <c r="J44" s="167"/>
      <c r="K44" s="167"/>
      <c r="L44" s="167"/>
      <c r="M44" s="167"/>
      <c r="N44" s="167"/>
      <c r="O44" s="167"/>
      <c r="P44" s="166"/>
      <c r="Q44" s="167"/>
      <c r="R44" s="167"/>
      <c r="S44" s="167"/>
      <c r="T44" s="165"/>
      <c r="U44" s="166"/>
      <c r="V44" s="167"/>
      <c r="W44" s="167"/>
      <c r="X44" s="167"/>
      <c r="Y44" s="165"/>
      <c r="Z44" s="166"/>
      <c r="AA44" s="167"/>
      <c r="AB44" s="167"/>
      <c r="AC44" s="167"/>
      <c r="AD44" s="168"/>
    </row>
    <row r="45" spans="1:30" ht="30" customHeight="1" x14ac:dyDescent="0.2">
      <c r="A45" s="164"/>
      <c r="B45" s="165"/>
      <c r="C45" s="166"/>
      <c r="D45" s="167"/>
      <c r="E45" s="167"/>
      <c r="F45" s="165"/>
      <c r="G45" s="166"/>
      <c r="H45" s="167"/>
      <c r="I45" s="167"/>
      <c r="J45" s="167"/>
      <c r="K45" s="167"/>
      <c r="L45" s="167"/>
      <c r="M45" s="167"/>
      <c r="N45" s="167"/>
      <c r="O45" s="167"/>
      <c r="P45" s="166"/>
      <c r="Q45" s="167"/>
      <c r="R45" s="167"/>
      <c r="S45" s="167"/>
      <c r="T45" s="165"/>
      <c r="U45" s="166"/>
      <c r="V45" s="167"/>
      <c r="W45" s="167"/>
      <c r="X45" s="167"/>
      <c r="Y45" s="165"/>
      <c r="Z45" s="166"/>
      <c r="AA45" s="167"/>
      <c r="AB45" s="167"/>
      <c r="AC45" s="167"/>
      <c r="AD45" s="168"/>
    </row>
    <row r="46" spans="1:30" ht="30" customHeight="1" x14ac:dyDescent="0.2">
      <c r="A46" s="169">
        <v>0</v>
      </c>
      <c r="B46" s="170"/>
      <c r="C46" s="171">
        <v>45628</v>
      </c>
      <c r="D46" s="172"/>
      <c r="E46" s="172"/>
      <c r="F46" s="173"/>
      <c r="G46" s="174" t="s">
        <v>0</v>
      </c>
      <c r="H46" s="175"/>
      <c r="I46" s="175"/>
      <c r="J46" s="175"/>
      <c r="K46" s="175"/>
      <c r="L46" s="175"/>
      <c r="M46" s="175"/>
      <c r="N46" s="175"/>
      <c r="O46" s="175"/>
      <c r="P46" s="161" t="s">
        <v>1</v>
      </c>
      <c r="Q46" s="162"/>
      <c r="R46" s="162"/>
      <c r="S46" s="162"/>
      <c r="T46" s="176"/>
      <c r="U46" s="161" t="s">
        <v>114</v>
      </c>
      <c r="V46" s="162"/>
      <c r="W46" s="162"/>
      <c r="X46" s="162"/>
      <c r="Y46" s="176"/>
      <c r="Z46" s="161" t="s">
        <v>115</v>
      </c>
      <c r="AA46" s="162"/>
      <c r="AB46" s="162"/>
      <c r="AC46" s="162"/>
      <c r="AD46" s="163"/>
    </row>
    <row r="47" spans="1:30" ht="15" customHeight="1" thickBot="1" x14ac:dyDescent="0.25">
      <c r="A47" s="155" t="s">
        <v>2</v>
      </c>
      <c r="B47" s="156"/>
      <c r="C47" s="157" t="s">
        <v>3</v>
      </c>
      <c r="D47" s="158"/>
      <c r="E47" s="158"/>
      <c r="F47" s="159"/>
      <c r="G47" s="157" t="s">
        <v>4</v>
      </c>
      <c r="H47" s="158"/>
      <c r="I47" s="158"/>
      <c r="J47" s="158"/>
      <c r="K47" s="158"/>
      <c r="L47" s="158"/>
      <c r="M47" s="158"/>
      <c r="N47" s="158"/>
      <c r="O47" s="158"/>
      <c r="P47" s="157" t="s">
        <v>5</v>
      </c>
      <c r="Q47" s="158"/>
      <c r="R47" s="158"/>
      <c r="S47" s="158"/>
      <c r="T47" s="159"/>
      <c r="U47" s="157" t="s">
        <v>6</v>
      </c>
      <c r="V47" s="158"/>
      <c r="W47" s="158"/>
      <c r="X47" s="158"/>
      <c r="Y47" s="158"/>
      <c r="Z47" s="157" t="s">
        <v>7</v>
      </c>
      <c r="AA47" s="158"/>
      <c r="AB47" s="158"/>
      <c r="AC47" s="158"/>
      <c r="AD47" s="160"/>
    </row>
    <row r="48" spans="1:30" ht="15" customHeight="1" thickBot="1" x14ac:dyDescent="0.25">
      <c r="A48" s="152" t="s">
        <v>113</v>
      </c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4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7ACC4-756F-4ACC-B590-4C0252E4E04F}">
  <sheetPr codeName="Foglio1"/>
  <dimension ref="B2:AH60"/>
  <sheetViews>
    <sheetView workbookViewId="0"/>
  </sheetViews>
  <sheetFormatPr defaultRowHeight="15" x14ac:dyDescent="0.25"/>
  <cols>
    <col min="1" max="1" width="2.7109375" customWidth="1"/>
    <col min="2" max="2" width="15.140625" bestFit="1" customWidth="1"/>
    <col min="3" max="3" width="13.140625" bestFit="1" customWidth="1"/>
    <col min="4" max="4" width="13.85546875" bestFit="1" customWidth="1"/>
    <col min="5" max="5" width="14.140625" hidden="1" customWidth="1"/>
    <col min="6" max="6" width="15" hidden="1" customWidth="1"/>
    <col min="7" max="9" width="15.140625" hidden="1" customWidth="1"/>
    <col min="10" max="10" width="2.7109375" customWidth="1"/>
    <col min="11" max="11" width="12.85546875" bestFit="1" customWidth="1"/>
    <col min="12" max="21" width="9.140625" customWidth="1"/>
    <col min="22" max="22" width="2.7109375" customWidth="1"/>
    <col min="23" max="27" width="15.7109375" customWidth="1"/>
    <col min="28" max="28" width="2.7109375" customWidth="1"/>
    <col min="29" max="29" width="10.85546875" bestFit="1" customWidth="1"/>
    <col min="30" max="30" width="8.5703125" bestFit="1" customWidth="1"/>
    <col min="31" max="31" width="2.7109375" customWidth="1"/>
    <col min="32" max="32" width="3" bestFit="1" customWidth="1"/>
    <col min="33" max="34" width="12.85546875" bestFit="1" customWidth="1"/>
    <col min="35" max="35" width="2.7109375" customWidth="1"/>
  </cols>
  <sheetData>
    <row r="2" spans="2:34" ht="18.75" x14ac:dyDescent="0.25">
      <c r="B2" s="66" t="s">
        <v>8</v>
      </c>
      <c r="C2" s="203" t="s">
        <v>9</v>
      </c>
      <c r="D2" s="204"/>
      <c r="E2" s="139"/>
      <c r="F2" s="139"/>
    </row>
    <row r="3" spans="2:34" ht="18.75" x14ac:dyDescent="0.25">
      <c r="B3" s="35" t="s">
        <v>10</v>
      </c>
      <c r="C3" s="205" t="s">
        <v>11</v>
      </c>
      <c r="D3" s="206"/>
      <c r="E3" s="140"/>
      <c r="F3" s="140"/>
    </row>
    <row r="4" spans="2:34" ht="15" customHeight="1" x14ac:dyDescent="0.25">
      <c r="B4" s="35" t="s">
        <v>12</v>
      </c>
      <c r="C4" s="207">
        <f>VLOOKUP(C3,database!AE3:AI14,5,FALSE)</f>
        <v>2</v>
      </c>
      <c r="D4" s="208"/>
      <c r="E4" s="138"/>
      <c r="F4" s="138"/>
    </row>
    <row r="5" spans="2:34" ht="15" customHeight="1" x14ac:dyDescent="0.25">
      <c r="B5" s="35" t="s">
        <v>13</v>
      </c>
      <c r="C5" s="205">
        <v>23</v>
      </c>
      <c r="D5" s="206"/>
      <c r="E5" s="140"/>
      <c r="F5" s="140"/>
    </row>
    <row r="6" spans="2:34" ht="15" customHeight="1" x14ac:dyDescent="0.25">
      <c r="B6" s="67" t="s">
        <v>14</v>
      </c>
      <c r="C6" s="209">
        <f ca="1">_xlfn.AGGREGATE(4,6,'gasket curve'!$B$11:$B$60)</f>
        <v>230</v>
      </c>
      <c r="D6" s="210"/>
      <c r="E6" s="138"/>
      <c r="F6" s="138"/>
    </row>
    <row r="7" spans="2:34" ht="15" customHeight="1" x14ac:dyDescent="0.25">
      <c r="B7" s="3"/>
      <c r="C7" s="1"/>
    </row>
    <row r="8" spans="2:34" ht="15" customHeight="1" x14ac:dyDescent="0.25">
      <c r="B8" s="191" t="s">
        <v>15</v>
      </c>
      <c r="C8" s="202"/>
      <c r="D8" s="202"/>
      <c r="E8" s="202"/>
      <c r="F8" s="202"/>
      <c r="G8" s="202"/>
      <c r="H8" s="202"/>
      <c r="I8" s="19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13" t="s">
        <v>16</v>
      </c>
      <c r="X8" s="214"/>
      <c r="Y8" s="214"/>
      <c r="Z8" s="214"/>
      <c r="AA8" s="215"/>
    </row>
    <row r="9" spans="2:34" ht="75" x14ac:dyDescent="0.25">
      <c r="B9" s="15" t="s">
        <v>17</v>
      </c>
      <c r="C9" s="22" t="s">
        <v>18</v>
      </c>
      <c r="D9" s="15" t="s">
        <v>19</v>
      </c>
      <c r="E9" s="141"/>
      <c r="F9" s="12"/>
      <c r="G9" s="12"/>
      <c r="H9" s="12"/>
      <c r="I9" s="12"/>
      <c r="J9" s="1"/>
      <c r="M9" s="1"/>
      <c r="N9" s="1"/>
      <c r="O9" s="1"/>
      <c r="P9" s="1"/>
      <c r="Q9" s="1"/>
      <c r="R9" s="1"/>
      <c r="S9" s="1"/>
      <c r="T9" s="1"/>
      <c r="U9" s="1"/>
      <c r="V9" s="1"/>
      <c r="W9" s="22" t="s">
        <v>20</v>
      </c>
      <c r="X9" s="22" t="s">
        <v>21</v>
      </c>
      <c r="Y9" s="22" t="s">
        <v>22</v>
      </c>
      <c r="Z9" s="22" t="s">
        <v>23</v>
      </c>
      <c r="AA9" s="15" t="s">
        <v>24</v>
      </c>
      <c r="AC9" s="191" t="s">
        <v>25</v>
      </c>
      <c r="AD9" s="192"/>
      <c r="AG9" s="191" t="s">
        <v>26</v>
      </c>
      <c r="AH9" s="192"/>
    </row>
    <row r="10" spans="2:34" ht="15" customHeight="1" x14ac:dyDescent="0.35">
      <c r="B10" s="103" t="s">
        <v>27</v>
      </c>
      <c r="C10" s="104" t="s">
        <v>28</v>
      </c>
      <c r="D10" s="147" t="s">
        <v>29</v>
      </c>
      <c r="E10" s="142" t="s">
        <v>30</v>
      </c>
      <c r="F10" s="106" t="s">
        <v>31</v>
      </c>
      <c r="G10" s="105" t="s">
        <v>32</v>
      </c>
      <c r="H10" s="105" t="s">
        <v>33</v>
      </c>
      <c r="I10" s="100" t="s">
        <v>34</v>
      </c>
      <c r="J10" s="1"/>
      <c r="K10" s="5" t="s">
        <v>35</v>
      </c>
      <c r="L10" s="3" t="e" cm="1">
        <f t="array" aca="1" ref="L10" ca="1">interpol(L37,'gasket curve'!$B$11:$B$60,'gasket curve'!$C$11:$C$60)</f>
        <v>#NAME?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8" t="s">
        <v>36</v>
      </c>
      <c r="X10" s="19" t="s">
        <v>37</v>
      </c>
      <c r="Y10" s="20" t="s">
        <v>38</v>
      </c>
      <c r="Z10" s="19" t="s">
        <v>39</v>
      </c>
      <c r="AA10" s="21" t="s">
        <v>40</v>
      </c>
      <c r="AC10" s="13" t="s">
        <v>41</v>
      </c>
      <c r="AD10" s="14" t="s">
        <v>42</v>
      </c>
      <c r="AF10" s="1"/>
      <c r="AG10" s="13" t="s">
        <v>41</v>
      </c>
      <c r="AH10" s="16" t="s">
        <v>42</v>
      </c>
    </row>
    <row r="11" spans="2:34" ht="15" customHeight="1" x14ac:dyDescent="0.25">
      <c r="B11" s="107" cm="1">
        <f t="array" aca="1" ref="B11:D30" ca="1">OFFSET(database!E3,database!Y16,(database!Y14-1)*3,database!Y15,3)</f>
        <v>0</v>
      </c>
      <c r="C11" s="108">
        <f ca="1"/>
        <v>0</v>
      </c>
      <c r="D11" s="148">
        <f ca="1"/>
        <v>1.931</v>
      </c>
      <c r="E11" s="143" t="e">
        <f ca="1">2/3*$B11/$C11*$D11</f>
        <v>#DIV/0!</v>
      </c>
      <c r="F11" s="110">
        <f ca="1">$B11/3</f>
        <v>0</v>
      </c>
      <c r="G11" s="109" t="e">
        <f ca="1">$D11+$E11</f>
        <v>#DIV/0!</v>
      </c>
      <c r="H11" s="109">
        <f ca="1">IF(NOT(ISBLANK(D11)),$D$11-$D11,NA())</f>
        <v>0</v>
      </c>
      <c r="I11" s="111" t="e">
        <f ca="1">$D$11-$G11</f>
        <v>#DIV/0!</v>
      </c>
      <c r="J11" s="1"/>
      <c r="K11" s="5" t="s">
        <v>43</v>
      </c>
      <c r="L11" s="3" t="e" cm="1">
        <f t="array" aca="1" ref="L11" ca="1">interpol(L37,'gasket curve'!$B$11:$B$60,'gasket curve'!$H$11:$H$60)</f>
        <v>#NAME?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23">
        <v>0.7</v>
      </c>
      <c r="X11" s="24">
        <v>30</v>
      </c>
      <c r="Y11" s="25">
        <v>724</v>
      </c>
      <c r="Z11" s="24">
        <v>50</v>
      </c>
      <c r="AA11" s="26">
        <f>W11*X11*Y11*PI()/4*Z11^2</f>
        <v>29852984.190737013</v>
      </c>
      <c r="AB11" s="1"/>
      <c r="AC11" s="4" cm="1">
        <f t="array" aca="1" ref="AC11:AC60" ca="1">_xlfn.CHOOSECOLS('gasket curve'!$B$11:$I$60,7)</f>
        <v>0</v>
      </c>
      <c r="AD11" s="4" cm="1">
        <f t="array" aca="1" ref="AD11:AD60" ca="1">_xlfn.CHOOSECOLS('gasket curve'!$B$11:$I$60,1)</f>
        <v>0</v>
      </c>
      <c r="AF11" s="211">
        <v>1</v>
      </c>
      <c r="AG11" s="68" t="e">
        <f ca="1">VLOOKUP(AH12,$B$11:$I$60,8,FALSE)</f>
        <v>#DIV/0!</v>
      </c>
      <c r="AH11" s="17">
        <f ca="1">AH12/3</f>
        <v>0</v>
      </c>
    </row>
    <row r="12" spans="2:34" ht="15" customHeight="1" x14ac:dyDescent="0.25">
      <c r="B12" s="112">
        <f ca="1"/>
        <v>1</v>
      </c>
      <c r="C12" s="113">
        <f ca="1"/>
        <v>0</v>
      </c>
      <c r="D12" s="149">
        <f ca="1"/>
        <v>1.889</v>
      </c>
      <c r="E12" s="144" t="e">
        <f t="shared" ref="E12:E60" ca="1" si="0">2/3*$B12/$C12*$D12</f>
        <v>#DIV/0!</v>
      </c>
      <c r="F12" s="115">
        <f t="shared" ref="F12:F60" ca="1" si="1">$B12/3</f>
        <v>0.33333333333333331</v>
      </c>
      <c r="G12" s="114" t="e">
        <f t="shared" ref="G12:G60" ca="1" si="2">$D12+$E12</f>
        <v>#DIV/0!</v>
      </c>
      <c r="H12" s="114">
        <f t="shared" ref="H12:H60" ca="1" si="3">IF(NOT(ISBLANK(D12)),$D$11-$D12,NA())</f>
        <v>4.2000000000000037E-2</v>
      </c>
      <c r="I12" s="116" t="e">
        <f t="shared" ref="I12:I60" ca="1" si="4">$D$11-$G12</f>
        <v>#DIV/0!</v>
      </c>
      <c r="J12" s="1"/>
      <c r="K12" s="6" t="s">
        <v>44</v>
      </c>
      <c r="L12" s="3" t="e" cm="1">
        <f t="array" aca="1" ref="L12" ca="1">interpol(L37,'gasket curve'!$B$11:$B$60,'gasket curve'!$E$11:$E$60)</f>
        <v>#NAME?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23">
        <v>0.7</v>
      </c>
      <c r="X12" s="24">
        <v>0</v>
      </c>
      <c r="Y12" s="25">
        <v>724</v>
      </c>
      <c r="Z12" s="24">
        <v>10</v>
      </c>
      <c r="AA12" s="26">
        <f t="shared" ref="AA12:AA20" si="5">W12*X12*Y12*PI()/4*Z12^2</f>
        <v>0</v>
      </c>
      <c r="AB12" s="1"/>
      <c r="AC12" s="4">
        <f ca="1"/>
        <v>4.2000000000000037E-2</v>
      </c>
      <c r="AD12" s="4">
        <f ca="1"/>
        <v>1</v>
      </c>
      <c r="AF12" s="212"/>
      <c r="AG12" s="69">
        <f ca="1">VLOOKUP(AH12,$B$11:$I$60,7)</f>
        <v>0</v>
      </c>
      <c r="AH12" s="44">
        <f ca="1">C11</f>
        <v>0</v>
      </c>
    </row>
    <row r="13" spans="2:34" ht="15" customHeight="1" x14ac:dyDescent="0.25">
      <c r="B13" s="117">
        <f ca="1"/>
        <v>5</v>
      </c>
      <c r="C13" s="118">
        <f ca="1"/>
        <v>317</v>
      </c>
      <c r="D13" s="150">
        <f ca="1"/>
        <v>1.821</v>
      </c>
      <c r="E13" s="145">
        <f t="shared" ca="1" si="0"/>
        <v>1.9148264984227125E-2</v>
      </c>
      <c r="F13" s="120">
        <f t="shared" ca="1" si="1"/>
        <v>1.6666666666666667</v>
      </c>
      <c r="G13" s="119">
        <f t="shared" ca="1" si="2"/>
        <v>1.8401482649842271</v>
      </c>
      <c r="H13" s="119">
        <f t="shared" ca="1" si="3"/>
        <v>0.1100000000000001</v>
      </c>
      <c r="I13" s="121">
        <f t="shared" ca="1" si="4"/>
        <v>9.0851735015772928E-2</v>
      </c>
      <c r="J13" s="1"/>
      <c r="K13" s="3" t="e">
        <f ca="1">$L$11-$L$12</f>
        <v>#NAME?</v>
      </c>
      <c r="L13" s="3">
        <f>$L$16/3</f>
        <v>28.55378688736204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23">
        <v>0.7</v>
      </c>
      <c r="X13" s="24">
        <v>0</v>
      </c>
      <c r="Y13" s="25">
        <v>724</v>
      </c>
      <c r="Z13" s="24">
        <v>10</v>
      </c>
      <c r="AA13" s="26">
        <f t="shared" si="5"/>
        <v>0</v>
      </c>
      <c r="AB13" s="1"/>
      <c r="AC13" s="4">
        <f ca="1"/>
        <v>0.1100000000000001</v>
      </c>
      <c r="AD13" s="4">
        <f ca="1"/>
        <v>5</v>
      </c>
      <c r="AF13" s="211">
        <v>2</v>
      </c>
      <c r="AG13" s="68" t="e">
        <f ca="1">VLOOKUP(AH14,$B$11:$I$60,8,FALSE)</f>
        <v>#DIV/0!</v>
      </c>
      <c r="AH13" s="17">
        <f ca="1">AH14/3</f>
        <v>0</v>
      </c>
    </row>
    <row r="14" spans="2:34" ht="15" customHeight="1" x14ac:dyDescent="0.25">
      <c r="B14" s="112">
        <f ca="1"/>
        <v>10</v>
      </c>
      <c r="C14" s="113">
        <f ca="1"/>
        <v>638</v>
      </c>
      <c r="D14" s="149">
        <f ca="1"/>
        <v>1.79</v>
      </c>
      <c r="E14" s="144">
        <f t="shared" ca="1" si="0"/>
        <v>1.8704284221525598E-2</v>
      </c>
      <c r="F14" s="115">
        <f t="shared" ca="1" si="1"/>
        <v>3.3333333333333335</v>
      </c>
      <c r="G14" s="114">
        <f t="shared" ca="1" si="2"/>
        <v>1.8087042842215257</v>
      </c>
      <c r="H14" s="114">
        <f t="shared" ca="1" si="3"/>
        <v>0.14100000000000001</v>
      </c>
      <c r="I14" s="116">
        <f t="shared" ca="1" si="4"/>
        <v>0.12229571577847431</v>
      </c>
      <c r="J14" s="1"/>
      <c r="K14" s="3" t="e">
        <f ca="1">$L$11</f>
        <v>#NAME?</v>
      </c>
      <c r="L14" s="3">
        <f>$L$37</f>
        <v>85.661360662086125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23">
        <v>0.7</v>
      </c>
      <c r="X14" s="24">
        <v>0</v>
      </c>
      <c r="Y14" s="25">
        <v>724</v>
      </c>
      <c r="Z14" s="24">
        <v>10</v>
      </c>
      <c r="AA14" s="26">
        <f t="shared" si="5"/>
        <v>0</v>
      </c>
      <c r="AB14" s="1"/>
      <c r="AC14" s="4">
        <f ca="1"/>
        <v>0.14100000000000001</v>
      </c>
      <c r="AD14" s="4">
        <f ca="1"/>
        <v>10</v>
      </c>
      <c r="AF14" s="212"/>
      <c r="AG14" s="69">
        <f ca="1">VLOOKUP(AH14,$B$11:$I$60,7)</f>
        <v>0</v>
      </c>
      <c r="AH14" s="44">
        <f ca="1">C12</f>
        <v>0</v>
      </c>
    </row>
    <row r="15" spans="2:34" ht="15" customHeight="1" x14ac:dyDescent="0.25">
      <c r="B15" s="117">
        <f ca="1"/>
        <v>15</v>
      </c>
      <c r="C15" s="118">
        <f ca="1"/>
        <v>773</v>
      </c>
      <c r="D15" s="150">
        <f ca="1"/>
        <v>1.768</v>
      </c>
      <c r="E15" s="145">
        <f t="shared" ca="1" si="0"/>
        <v>2.2871927554980596E-2</v>
      </c>
      <c r="F15" s="120">
        <f t="shared" ca="1" si="1"/>
        <v>5</v>
      </c>
      <c r="G15" s="119">
        <f t="shared" ca="1" si="2"/>
        <v>1.7908719275549807</v>
      </c>
      <c r="H15" s="119">
        <f t="shared" ca="1" si="3"/>
        <v>0.16300000000000003</v>
      </c>
      <c r="I15" s="121">
        <f t="shared" ca="1" si="4"/>
        <v>0.14012807244501935</v>
      </c>
      <c r="J15" s="1"/>
      <c r="K15" s="3" t="e" cm="1">
        <f t="array" aca="1" ref="K15" ca="1">interpol(L15,L13:L14,K13:K14)</f>
        <v>#NAME?</v>
      </c>
      <c r="L15" s="3">
        <f>L38</f>
        <v>59.642709299101902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23">
        <v>0.7</v>
      </c>
      <c r="X15" s="24">
        <v>0</v>
      </c>
      <c r="Y15" s="25">
        <v>724</v>
      </c>
      <c r="Z15" s="24">
        <v>10</v>
      </c>
      <c r="AA15" s="26">
        <f t="shared" si="5"/>
        <v>0</v>
      </c>
      <c r="AB15" s="1"/>
      <c r="AC15" s="4">
        <f ca="1"/>
        <v>0.16300000000000003</v>
      </c>
      <c r="AD15" s="4">
        <f ca="1"/>
        <v>15</v>
      </c>
      <c r="AF15" s="211">
        <v>3</v>
      </c>
      <c r="AG15" s="68">
        <f ca="1">VLOOKUP(AH16,$B$11:$I$60,8,FALSE)</f>
        <v>9.0851735015772928E-2</v>
      </c>
      <c r="AH15" s="17">
        <f ca="1">AH16/3</f>
        <v>1.6666666666666667</v>
      </c>
    </row>
    <row r="16" spans="2:34" ht="15" customHeight="1" x14ac:dyDescent="0.25">
      <c r="B16" s="112">
        <f ca="1"/>
        <v>20</v>
      </c>
      <c r="C16" s="113">
        <f ca="1"/>
        <v>1234</v>
      </c>
      <c r="D16" s="149">
        <f ca="1"/>
        <v>1.7549999999999999</v>
      </c>
      <c r="E16" s="144">
        <f t="shared" ca="1" si="0"/>
        <v>1.8962722852512152E-2</v>
      </c>
      <c r="F16" s="115">
        <f t="shared" ca="1" si="1"/>
        <v>6.666666666666667</v>
      </c>
      <c r="G16" s="114">
        <f t="shared" ca="1" si="2"/>
        <v>1.7739627228525121</v>
      </c>
      <c r="H16" s="114">
        <f t="shared" ca="1" si="3"/>
        <v>0.17600000000000016</v>
      </c>
      <c r="I16" s="116">
        <f t="shared" ca="1" si="4"/>
        <v>0.15703727714748794</v>
      </c>
      <c r="J16" s="1"/>
      <c r="K16" s="3" t="e">
        <f ca="1">$L$11</f>
        <v>#NAME?</v>
      </c>
      <c r="L16" s="3">
        <f>$L$37</f>
        <v>85.661360662086125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23">
        <v>0.7</v>
      </c>
      <c r="X16" s="24">
        <v>0</v>
      </c>
      <c r="Y16" s="25">
        <v>724</v>
      </c>
      <c r="Z16" s="24">
        <v>10</v>
      </c>
      <c r="AA16" s="26">
        <f t="shared" si="5"/>
        <v>0</v>
      </c>
      <c r="AB16" s="1"/>
      <c r="AC16" s="4">
        <f ca="1"/>
        <v>0.17600000000000016</v>
      </c>
      <c r="AD16" s="4">
        <f ca="1"/>
        <v>20</v>
      </c>
      <c r="AF16" s="212"/>
      <c r="AG16" s="69">
        <f ca="1">VLOOKUP(AH16,$B$11:$I$60,7)</f>
        <v>0.1100000000000001</v>
      </c>
      <c r="AH16" s="44">
        <f ca="1">B13</f>
        <v>5</v>
      </c>
    </row>
    <row r="17" spans="2:34" ht="15" customHeight="1" x14ac:dyDescent="0.25">
      <c r="B17" s="117">
        <f ca="1"/>
        <v>25</v>
      </c>
      <c r="C17" s="118">
        <f ca="1"/>
        <v>1772</v>
      </c>
      <c r="D17" s="150">
        <f ca="1"/>
        <v>1.746</v>
      </c>
      <c r="E17" s="145">
        <f t="shared" ca="1" si="0"/>
        <v>1.6422121896162527E-2</v>
      </c>
      <c r="F17" s="120">
        <f t="shared" ca="1" si="1"/>
        <v>8.3333333333333339</v>
      </c>
      <c r="G17" s="119">
        <f t="shared" ca="1" si="2"/>
        <v>1.7624221218961624</v>
      </c>
      <c r="H17" s="119">
        <f t="shared" ca="1" si="3"/>
        <v>0.18500000000000005</v>
      </c>
      <c r="I17" s="121">
        <f t="shared" ca="1" si="4"/>
        <v>0.16857787810383762</v>
      </c>
      <c r="J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23">
        <v>0.7</v>
      </c>
      <c r="X17" s="24">
        <v>0</v>
      </c>
      <c r="Y17" s="25">
        <v>724</v>
      </c>
      <c r="Z17" s="24">
        <v>10</v>
      </c>
      <c r="AA17" s="26">
        <f t="shared" si="5"/>
        <v>0</v>
      </c>
      <c r="AB17" s="1"/>
      <c r="AC17" s="4">
        <f ca="1"/>
        <v>0.18500000000000005</v>
      </c>
      <c r="AD17" s="4">
        <f ca="1"/>
        <v>25</v>
      </c>
      <c r="AF17" s="211">
        <v>4</v>
      </c>
      <c r="AG17" s="68">
        <f ca="1">VLOOKUP(AH18,$B$11:$I$60,8,FALSE)</f>
        <v>0.12229571577847431</v>
      </c>
      <c r="AH17" s="17">
        <f ca="1">AH18/3</f>
        <v>3.3333333333333335</v>
      </c>
    </row>
    <row r="18" spans="2:34" ht="15" customHeight="1" x14ac:dyDescent="0.25">
      <c r="B18" s="112">
        <f ca="1"/>
        <v>30</v>
      </c>
      <c r="C18" s="113">
        <f ca="1"/>
        <v>1919</v>
      </c>
      <c r="D18" s="149">
        <f ca="1"/>
        <v>1.736</v>
      </c>
      <c r="E18" s="144">
        <f t="shared" ca="1" si="0"/>
        <v>1.809275664408546E-2</v>
      </c>
      <c r="F18" s="115">
        <f t="shared" ca="1" si="1"/>
        <v>10</v>
      </c>
      <c r="G18" s="114">
        <f t="shared" ca="1" si="2"/>
        <v>1.7540927566440854</v>
      </c>
      <c r="H18" s="114">
        <f t="shared" ca="1" si="3"/>
        <v>0.19500000000000006</v>
      </c>
      <c r="I18" s="116">
        <f t="shared" ca="1" si="4"/>
        <v>0.17690724335591468</v>
      </c>
      <c r="J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23">
        <v>0.7</v>
      </c>
      <c r="X18" s="24">
        <v>0</v>
      </c>
      <c r="Y18" s="25">
        <v>724</v>
      </c>
      <c r="Z18" s="24">
        <v>10</v>
      </c>
      <c r="AA18" s="26">
        <f t="shared" si="5"/>
        <v>0</v>
      </c>
      <c r="AB18" s="1"/>
      <c r="AC18" s="4">
        <f ca="1"/>
        <v>0.19500000000000006</v>
      </c>
      <c r="AD18" s="4">
        <f ca="1"/>
        <v>30</v>
      </c>
      <c r="AF18" s="212"/>
      <c r="AG18" s="69">
        <f ca="1">VLOOKUP(AH18,$B$11:$I$60,7)</f>
        <v>0.14100000000000001</v>
      </c>
      <c r="AH18" s="44">
        <f ca="1">B14</f>
        <v>10</v>
      </c>
    </row>
    <row r="19" spans="2:34" ht="15" customHeight="1" x14ac:dyDescent="0.25">
      <c r="B19" s="117">
        <f ca="1"/>
        <v>40</v>
      </c>
      <c r="C19" s="118">
        <f ca="1"/>
        <v>2053</v>
      </c>
      <c r="D19" s="150">
        <f ca="1"/>
        <v>1.72</v>
      </c>
      <c r="E19" s="145">
        <f t="shared" ca="1" si="0"/>
        <v>2.2341289170319856E-2</v>
      </c>
      <c r="F19" s="120">
        <f t="shared" ca="1" si="1"/>
        <v>13.333333333333334</v>
      </c>
      <c r="G19" s="119">
        <f t="shared" ca="1" si="2"/>
        <v>1.7423412891703198</v>
      </c>
      <c r="H19" s="119">
        <f t="shared" ca="1" si="3"/>
        <v>0.21100000000000008</v>
      </c>
      <c r="I19" s="121">
        <f t="shared" ca="1" si="4"/>
        <v>0.18865871082968022</v>
      </c>
      <c r="J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23">
        <v>0.7</v>
      </c>
      <c r="X19" s="24">
        <v>0</v>
      </c>
      <c r="Y19" s="25">
        <v>724</v>
      </c>
      <c r="Z19" s="24">
        <v>10</v>
      </c>
      <c r="AA19" s="26">
        <f t="shared" si="5"/>
        <v>0</v>
      </c>
      <c r="AB19" s="1"/>
      <c r="AC19" s="4">
        <f ca="1"/>
        <v>0.21100000000000008</v>
      </c>
      <c r="AD19" s="4">
        <f ca="1"/>
        <v>40</v>
      </c>
      <c r="AF19" s="211">
        <v>5</v>
      </c>
      <c r="AG19" s="68">
        <f ca="1">VLOOKUP(AH20,$B$11:$I$60,8,FALSE)</f>
        <v>0.14012807244501935</v>
      </c>
      <c r="AH19" s="17">
        <f ca="1">AH20/3</f>
        <v>5</v>
      </c>
    </row>
    <row r="20" spans="2:34" ht="15" customHeight="1" x14ac:dyDescent="0.25">
      <c r="B20" s="112">
        <f ca="1"/>
        <v>50</v>
      </c>
      <c r="C20" s="113">
        <f ca="1"/>
        <v>3066</v>
      </c>
      <c r="D20" s="149">
        <f ca="1"/>
        <v>1.7070000000000001</v>
      </c>
      <c r="E20" s="144">
        <f t="shared" ca="1" si="0"/>
        <v>1.8558382257012392E-2</v>
      </c>
      <c r="F20" s="115">
        <f t="shared" ca="1" si="1"/>
        <v>16.666666666666668</v>
      </c>
      <c r="G20" s="114">
        <f t="shared" ca="1" si="2"/>
        <v>1.7255583822570124</v>
      </c>
      <c r="H20" s="114">
        <f t="shared" ca="1" si="3"/>
        <v>0.22399999999999998</v>
      </c>
      <c r="I20" s="116">
        <f t="shared" ca="1" si="4"/>
        <v>0.20544161774298764</v>
      </c>
      <c r="J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27">
        <v>0.7</v>
      </c>
      <c r="X20" s="28">
        <v>0</v>
      </c>
      <c r="Y20" s="29">
        <v>724</v>
      </c>
      <c r="Z20" s="28">
        <v>10</v>
      </c>
      <c r="AA20" s="26">
        <f t="shared" si="5"/>
        <v>0</v>
      </c>
      <c r="AB20" s="1"/>
      <c r="AC20" s="4">
        <f ca="1"/>
        <v>0.22399999999999998</v>
      </c>
      <c r="AD20" s="4">
        <f ca="1"/>
        <v>50</v>
      </c>
      <c r="AF20" s="212"/>
      <c r="AG20" s="69">
        <f ca="1">VLOOKUP(AH20,$B$11:$I$60,7)</f>
        <v>0.16300000000000003</v>
      </c>
      <c r="AH20" s="44">
        <f ca="1">B15</f>
        <v>15</v>
      </c>
    </row>
    <row r="21" spans="2:34" ht="15" customHeight="1" x14ac:dyDescent="0.35">
      <c r="B21" s="117">
        <f ca="1"/>
        <v>60</v>
      </c>
      <c r="C21" s="118">
        <f ca="1"/>
        <v>3445</v>
      </c>
      <c r="D21" s="150">
        <f ca="1"/>
        <v>1.694</v>
      </c>
      <c r="E21" s="145">
        <f t="shared" ca="1" si="0"/>
        <v>1.9669085631349781E-2</v>
      </c>
      <c r="F21" s="120">
        <f t="shared" ca="1" si="1"/>
        <v>20</v>
      </c>
      <c r="G21" s="119">
        <f t="shared" ca="1" si="2"/>
        <v>1.7136690856313497</v>
      </c>
      <c r="H21" s="119">
        <f t="shared" ca="1" si="3"/>
        <v>0.2370000000000001</v>
      </c>
      <c r="I21" s="121">
        <f t="shared" ca="1" si="4"/>
        <v>0.21733091436865037</v>
      </c>
      <c r="J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30" t="s">
        <v>45</v>
      </c>
      <c r="AA21" s="4">
        <f>SUM(AA11:AA20)</f>
        <v>29852984.190737013</v>
      </c>
      <c r="AB21" s="1"/>
      <c r="AC21" s="4">
        <f ca="1"/>
        <v>0.2370000000000001</v>
      </c>
      <c r="AD21" s="4">
        <f ca="1"/>
        <v>60</v>
      </c>
      <c r="AF21" s="211">
        <v>6</v>
      </c>
      <c r="AG21" s="68">
        <f ca="1">VLOOKUP(AH22,$B$11:$I$60,8,FALSE)</f>
        <v>0.15703727714748794</v>
      </c>
      <c r="AH21" s="17">
        <f ca="1">AH22/3</f>
        <v>6.666666666666667</v>
      </c>
    </row>
    <row r="22" spans="2:34" ht="15" customHeight="1" x14ac:dyDescent="0.35">
      <c r="B22" s="112">
        <f ca="1"/>
        <v>80</v>
      </c>
      <c r="C22" s="113">
        <f ca="1"/>
        <v>4660</v>
      </c>
      <c r="D22" s="149">
        <f ca="1"/>
        <v>1.6759999999999999</v>
      </c>
      <c r="E22" s="144">
        <f t="shared" ca="1" si="0"/>
        <v>1.9181688125894131E-2</v>
      </c>
      <c r="F22" s="115">
        <f t="shared" ca="1" si="1"/>
        <v>26.666666666666668</v>
      </c>
      <c r="G22" s="114">
        <f t="shared" ca="1" si="2"/>
        <v>1.6951816881258941</v>
      </c>
      <c r="H22" s="114">
        <f t="shared" ca="1" si="3"/>
        <v>0.25500000000000012</v>
      </c>
      <c r="I22" s="116">
        <f t="shared" ca="1" si="4"/>
        <v>0.23581831187410596</v>
      </c>
      <c r="J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30" t="s">
        <v>46</v>
      </c>
      <c r="AA22" s="47">
        <f>AA21/L35</f>
        <v>85.661360662086125</v>
      </c>
      <c r="AB22" s="1"/>
      <c r="AC22" s="4">
        <f ca="1"/>
        <v>0.25500000000000012</v>
      </c>
      <c r="AD22" s="4">
        <f ca="1"/>
        <v>80</v>
      </c>
      <c r="AF22" s="212"/>
      <c r="AG22" s="69">
        <f ca="1">VLOOKUP(AH22,$B$11:$I$60,7)</f>
        <v>0.17600000000000016</v>
      </c>
      <c r="AH22" s="44">
        <f ca="1">B16</f>
        <v>20</v>
      </c>
    </row>
    <row r="23" spans="2:34" ht="15" customHeight="1" x14ac:dyDescent="0.25">
      <c r="B23" s="117">
        <f ca="1"/>
        <v>100</v>
      </c>
      <c r="C23" s="118">
        <f ca="1"/>
        <v>4576</v>
      </c>
      <c r="D23" s="150">
        <f ca="1"/>
        <v>1.6519999999999999</v>
      </c>
      <c r="E23" s="145">
        <f t="shared" ca="1" si="0"/>
        <v>2.4067599067599064E-2</v>
      </c>
      <c r="F23" s="120">
        <f t="shared" ca="1" si="1"/>
        <v>33.333333333333336</v>
      </c>
      <c r="G23" s="119">
        <f t="shared" ca="1" si="2"/>
        <v>1.6760675990675991</v>
      </c>
      <c r="H23" s="119">
        <f t="shared" ca="1" si="3"/>
        <v>0.27900000000000014</v>
      </c>
      <c r="I23" s="121">
        <f t="shared" ca="1" si="4"/>
        <v>0.25493240093240099</v>
      </c>
      <c r="J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7" t="s">
        <v>47</v>
      </c>
      <c r="X23" s="1"/>
      <c r="Y23" s="1"/>
      <c r="Z23" s="1"/>
      <c r="AA23" s="1"/>
      <c r="AB23" s="1"/>
      <c r="AC23" s="4">
        <f ca="1"/>
        <v>0.27900000000000014</v>
      </c>
      <c r="AD23" s="4">
        <f ca="1"/>
        <v>100</v>
      </c>
      <c r="AF23" s="211">
        <v>7</v>
      </c>
      <c r="AG23" s="68">
        <f ca="1">VLOOKUP(AH24,$B$11:$I$60,8,FALSE)</f>
        <v>0.16857787810383762</v>
      </c>
      <c r="AH23" s="17">
        <f ca="1">AH24/3</f>
        <v>8.3333333333333339</v>
      </c>
    </row>
    <row r="24" spans="2:34" ht="15" customHeight="1" x14ac:dyDescent="0.25">
      <c r="B24" s="112">
        <f ca="1"/>
        <v>120</v>
      </c>
      <c r="C24" s="113">
        <f ca="1"/>
        <v>6434</v>
      </c>
      <c r="D24" s="149">
        <f ca="1"/>
        <v>1.631</v>
      </c>
      <c r="E24" s="144">
        <f t="shared" ca="1" si="0"/>
        <v>2.0279763755051292E-2</v>
      </c>
      <c r="F24" s="115">
        <f t="shared" ca="1" si="1"/>
        <v>40</v>
      </c>
      <c r="G24" s="114">
        <f t="shared" ca="1" si="2"/>
        <v>1.6512797637550514</v>
      </c>
      <c r="H24" s="114">
        <f t="shared" ca="1" si="3"/>
        <v>0.30000000000000004</v>
      </c>
      <c r="I24" s="116">
        <f t="shared" ca="1" si="4"/>
        <v>0.27972023624494868</v>
      </c>
      <c r="J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8" t="s">
        <v>48</v>
      </c>
      <c r="X24" s="1"/>
      <c r="Y24" s="1"/>
      <c r="Z24" s="1"/>
      <c r="AA24" s="1"/>
      <c r="AB24" s="1"/>
      <c r="AC24" s="4">
        <f ca="1"/>
        <v>0.30000000000000004</v>
      </c>
      <c r="AD24" s="4">
        <f ca="1"/>
        <v>120</v>
      </c>
      <c r="AF24" s="212"/>
      <c r="AG24" s="69">
        <f ca="1">VLOOKUP(AH24,$B$11:$I$60,7)</f>
        <v>0.18500000000000005</v>
      </c>
      <c r="AH24" s="44">
        <f ca="1">B17</f>
        <v>25</v>
      </c>
    </row>
    <row r="25" spans="2:34" ht="15" customHeight="1" x14ac:dyDescent="0.25">
      <c r="B25" s="117">
        <f ca="1"/>
        <v>140</v>
      </c>
      <c r="C25" s="118">
        <f ca="1"/>
        <v>6911</v>
      </c>
      <c r="D25" s="150">
        <f ca="1"/>
        <v>1.609</v>
      </c>
      <c r="E25" s="145">
        <f t="shared" ca="1" si="0"/>
        <v>2.1729609800800655E-2</v>
      </c>
      <c r="F25" s="120">
        <f t="shared" ca="1" si="1"/>
        <v>46.666666666666664</v>
      </c>
      <c r="G25" s="119">
        <f t="shared" ca="1" si="2"/>
        <v>1.6307296098008006</v>
      </c>
      <c r="H25" s="119">
        <f t="shared" ca="1" si="3"/>
        <v>0.32200000000000006</v>
      </c>
      <c r="I25" s="121">
        <f t="shared" ca="1" si="4"/>
        <v>0.30027039019919943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9" t="s">
        <v>49</v>
      </c>
      <c r="X25" s="1"/>
      <c r="Y25" s="1"/>
      <c r="Z25" s="1"/>
      <c r="AA25" s="1"/>
      <c r="AB25" s="1"/>
      <c r="AC25" s="4">
        <f ca="1"/>
        <v>0.32200000000000006</v>
      </c>
      <c r="AD25" s="4">
        <f ca="1"/>
        <v>140</v>
      </c>
      <c r="AF25" s="211">
        <v>8</v>
      </c>
      <c r="AG25" s="68">
        <f ca="1">VLOOKUP(AH26,$B$11:$I$60,8,FALSE)</f>
        <v>0.17690724335591468</v>
      </c>
      <c r="AH25" s="17">
        <f ca="1">AH26/3</f>
        <v>10</v>
      </c>
    </row>
    <row r="26" spans="2:34" ht="15" customHeight="1" x14ac:dyDescent="0.25">
      <c r="B26" s="112">
        <f ca="1"/>
        <v>160</v>
      </c>
      <c r="C26" s="113">
        <f ca="1"/>
        <v>6734</v>
      </c>
      <c r="D26" s="149">
        <f ca="1"/>
        <v>1.581</v>
      </c>
      <c r="E26" s="144">
        <f t="shared" ca="1" si="0"/>
        <v>2.5043065043065037E-2</v>
      </c>
      <c r="F26" s="115">
        <f t="shared" ca="1" si="1"/>
        <v>53.333333333333336</v>
      </c>
      <c r="G26" s="114">
        <f t="shared" ca="1" si="2"/>
        <v>1.606043065043065</v>
      </c>
      <c r="H26" s="114">
        <f t="shared" ca="1" si="3"/>
        <v>0.35000000000000009</v>
      </c>
      <c r="I26" s="116">
        <f t="shared" ca="1" si="4"/>
        <v>0.32495693495693501</v>
      </c>
      <c r="W26" s="10" t="s">
        <v>50</v>
      </c>
      <c r="AC26" s="4">
        <f ca="1"/>
        <v>0.35000000000000009</v>
      </c>
      <c r="AD26" s="4">
        <f ca="1"/>
        <v>160</v>
      </c>
      <c r="AF26" s="212"/>
      <c r="AG26" s="69">
        <f ca="1">VLOOKUP(AH26,$B$11:$I$60,7)</f>
        <v>0.19500000000000006</v>
      </c>
      <c r="AH26" s="44">
        <f ca="1">B18</f>
        <v>30</v>
      </c>
    </row>
    <row r="27" spans="2:34" ht="15" customHeight="1" x14ac:dyDescent="0.25">
      <c r="B27" s="117">
        <f ca="1"/>
        <v>180</v>
      </c>
      <c r="C27" s="118">
        <f ca="1"/>
        <v>6943</v>
      </c>
      <c r="D27" s="150">
        <f ca="1"/>
        <v>1.55</v>
      </c>
      <c r="E27" s="145">
        <f t="shared" ca="1" si="0"/>
        <v>2.6789572231024055E-2</v>
      </c>
      <c r="F27" s="120">
        <f t="shared" ca="1" si="1"/>
        <v>60</v>
      </c>
      <c r="G27" s="119">
        <f t="shared" ca="1" si="2"/>
        <v>1.5767895722310241</v>
      </c>
      <c r="H27" s="119">
        <f t="shared" ca="1" si="3"/>
        <v>0.38100000000000001</v>
      </c>
      <c r="I27" s="121">
        <f t="shared" ca="1" si="4"/>
        <v>0.35421042776897593</v>
      </c>
      <c r="W27" s="11" t="s">
        <v>51</v>
      </c>
      <c r="AC27" s="4">
        <f ca="1"/>
        <v>0.38100000000000001</v>
      </c>
      <c r="AD27" s="4">
        <f ca="1"/>
        <v>180</v>
      </c>
      <c r="AF27" s="211">
        <v>9</v>
      </c>
      <c r="AG27" s="68">
        <f ca="1">VLOOKUP(AH28,$B$11:$I$60,8,FALSE)</f>
        <v>0.18865871082968022</v>
      </c>
      <c r="AH27" s="17">
        <f ca="1">AH28/3</f>
        <v>13.333333333333334</v>
      </c>
    </row>
    <row r="28" spans="2:34" ht="15" customHeight="1" x14ac:dyDescent="0.25">
      <c r="B28" s="112">
        <f ca="1"/>
        <v>200</v>
      </c>
      <c r="C28" s="113">
        <f ca="1"/>
        <v>7746</v>
      </c>
      <c r="D28" s="149">
        <f ca="1"/>
        <v>1.518</v>
      </c>
      <c r="E28" s="144">
        <f t="shared" ca="1" si="0"/>
        <v>2.6129615285308546E-2</v>
      </c>
      <c r="F28" s="115">
        <f t="shared" ca="1" si="1"/>
        <v>66.666666666666671</v>
      </c>
      <c r="G28" s="114">
        <f t="shared" ca="1" si="2"/>
        <v>1.5441296152853086</v>
      </c>
      <c r="H28" s="114">
        <f t="shared" ca="1" si="3"/>
        <v>0.41300000000000003</v>
      </c>
      <c r="I28" s="116">
        <f t="shared" ca="1" si="4"/>
        <v>0.38687038471469148</v>
      </c>
      <c r="AC28" s="4">
        <f ca="1"/>
        <v>0.41300000000000003</v>
      </c>
      <c r="AD28" s="4">
        <f ca="1"/>
        <v>200</v>
      </c>
      <c r="AF28" s="212"/>
      <c r="AG28" s="69">
        <f ca="1">VLOOKUP(AH28,$B$11:$I$60,7)</f>
        <v>0.21100000000000008</v>
      </c>
      <c r="AH28" s="44">
        <f ca="1">B19</f>
        <v>40</v>
      </c>
    </row>
    <row r="29" spans="2:34" ht="15" customHeight="1" x14ac:dyDescent="0.25">
      <c r="B29" s="117">
        <f ca="1"/>
        <v>220</v>
      </c>
      <c r="C29" s="118">
        <f ca="1"/>
        <v>9212</v>
      </c>
      <c r="D29" s="150">
        <f ca="1"/>
        <v>1.4890000000000001</v>
      </c>
      <c r="E29" s="145">
        <f t="shared" ca="1" si="0"/>
        <v>2.3706759299464465E-2</v>
      </c>
      <c r="F29" s="120">
        <f t="shared" ca="1" si="1"/>
        <v>73.333333333333329</v>
      </c>
      <c r="G29" s="119">
        <f t="shared" ca="1" si="2"/>
        <v>1.5127067592994645</v>
      </c>
      <c r="H29" s="119">
        <f t="shared" ca="1" si="3"/>
        <v>0.44199999999999995</v>
      </c>
      <c r="I29" s="121">
        <f t="shared" ca="1" si="4"/>
        <v>0.41829324070053553</v>
      </c>
      <c r="W29" s="197" t="s">
        <v>52</v>
      </c>
      <c r="X29" s="197"/>
      <c r="Y29" s="197"/>
      <c r="AC29" s="4">
        <f ca="1"/>
        <v>0.44199999999999995</v>
      </c>
      <c r="AD29" s="4">
        <f ca="1"/>
        <v>220</v>
      </c>
      <c r="AF29" s="211">
        <v>10</v>
      </c>
      <c r="AG29" s="68">
        <f ca="1">VLOOKUP(AH30,$B$11:$I$60,8,FALSE)</f>
        <v>0.20544161774298764</v>
      </c>
      <c r="AH29" s="17">
        <f ca="1">AH30/3</f>
        <v>16.666666666666668</v>
      </c>
    </row>
    <row r="30" spans="2:34" ht="15" customHeight="1" x14ac:dyDescent="0.25">
      <c r="B30" s="112">
        <f ca="1"/>
        <v>230</v>
      </c>
      <c r="C30" s="113">
        <f ca="1"/>
        <v>9163</v>
      </c>
      <c r="D30" s="149">
        <f ca="1"/>
        <v>1.466</v>
      </c>
      <c r="E30" s="144">
        <f t="shared" ca="1" si="0"/>
        <v>2.4531994616028226E-2</v>
      </c>
      <c r="F30" s="115">
        <f t="shared" ca="1" si="1"/>
        <v>76.666666666666671</v>
      </c>
      <c r="G30" s="114">
        <f t="shared" ca="1" si="2"/>
        <v>1.4905319946160283</v>
      </c>
      <c r="H30" s="114">
        <f t="shared" ca="1" si="3"/>
        <v>0.46500000000000008</v>
      </c>
      <c r="I30" s="116">
        <f t="shared" ca="1" si="4"/>
        <v>0.44046800538397179</v>
      </c>
      <c r="W30" s="45">
        <v>0</v>
      </c>
      <c r="X30" s="198" t="s">
        <v>53</v>
      </c>
      <c r="Y30" s="198"/>
      <c r="AC30" s="4">
        <f ca="1"/>
        <v>0.46500000000000008</v>
      </c>
      <c r="AD30" s="4">
        <f ca="1"/>
        <v>230</v>
      </c>
      <c r="AF30" s="212"/>
      <c r="AG30" s="69">
        <f ca="1">VLOOKUP(AH30,$B$11:$I$60,7)</f>
        <v>0.22399999999999998</v>
      </c>
      <c r="AH30" s="44">
        <f ca="1">B20</f>
        <v>50</v>
      </c>
    </row>
    <row r="31" spans="2:34" ht="15" customHeight="1" x14ac:dyDescent="0.25">
      <c r="B31" s="117"/>
      <c r="C31" s="118"/>
      <c r="D31" s="150"/>
      <c r="E31" s="145" t="e">
        <f t="shared" si="0"/>
        <v>#DIV/0!</v>
      </c>
      <c r="F31" s="120">
        <f t="shared" si="1"/>
        <v>0</v>
      </c>
      <c r="G31" s="119" t="e">
        <f t="shared" si="2"/>
        <v>#DIV/0!</v>
      </c>
      <c r="H31" s="119" t="e">
        <f t="shared" si="3"/>
        <v>#N/A</v>
      </c>
      <c r="I31" s="121" t="e">
        <f t="shared" ca="1" si="4"/>
        <v>#DIV/0!</v>
      </c>
      <c r="W31" s="46">
        <v>0.5</v>
      </c>
      <c r="X31" s="199" t="s">
        <v>54</v>
      </c>
      <c r="Y31" s="199"/>
      <c r="AC31" s="4" t="e">
        <f ca="1"/>
        <v>#N/A</v>
      </c>
      <c r="AD31" s="4">
        <f ca="1"/>
        <v>0</v>
      </c>
      <c r="AF31" s="211">
        <v>11</v>
      </c>
      <c r="AG31" s="68">
        <f ca="1">VLOOKUP(AH32,$B$11:$I$60,8,FALSE)</f>
        <v>0.21733091436865037</v>
      </c>
      <c r="AH31" s="17">
        <f ca="1">AH32/3</f>
        <v>20</v>
      </c>
    </row>
    <row r="32" spans="2:34" ht="15" customHeight="1" x14ac:dyDescent="0.25">
      <c r="B32" s="112"/>
      <c r="C32" s="113"/>
      <c r="D32" s="149"/>
      <c r="E32" s="144" t="e">
        <f t="shared" si="0"/>
        <v>#DIV/0!</v>
      </c>
      <c r="F32" s="115">
        <f t="shared" si="1"/>
        <v>0</v>
      </c>
      <c r="G32" s="114" t="e">
        <f t="shared" si="2"/>
        <v>#DIV/0!</v>
      </c>
      <c r="H32" s="114" t="e">
        <f t="shared" si="3"/>
        <v>#N/A</v>
      </c>
      <c r="I32" s="116" t="e">
        <f t="shared" ca="1" si="4"/>
        <v>#DIV/0!</v>
      </c>
      <c r="W32" s="46">
        <v>1</v>
      </c>
      <c r="X32" s="199" t="s">
        <v>55</v>
      </c>
      <c r="Y32" s="199"/>
      <c r="AC32" s="4" t="e">
        <f ca="1"/>
        <v>#N/A</v>
      </c>
      <c r="AD32" s="4">
        <f ca="1"/>
        <v>0</v>
      </c>
      <c r="AF32" s="212"/>
      <c r="AG32" s="69">
        <f ca="1">VLOOKUP(AH32,$B$11:$I$60,7)</f>
        <v>0.2370000000000001</v>
      </c>
      <c r="AH32" s="44">
        <f ca="1">B21</f>
        <v>60</v>
      </c>
    </row>
    <row r="33" spans="2:34" ht="15" customHeight="1" x14ac:dyDescent="0.25">
      <c r="B33" s="117"/>
      <c r="C33" s="118"/>
      <c r="D33" s="150"/>
      <c r="E33" s="145" t="e">
        <f t="shared" si="0"/>
        <v>#DIV/0!</v>
      </c>
      <c r="F33" s="120">
        <f t="shared" si="1"/>
        <v>0</v>
      </c>
      <c r="G33" s="119" t="e">
        <f t="shared" si="2"/>
        <v>#DIV/0!</v>
      </c>
      <c r="H33" s="119" t="e">
        <f t="shared" si="3"/>
        <v>#N/A</v>
      </c>
      <c r="I33" s="121" t="e">
        <f t="shared" ca="1" si="4"/>
        <v>#DIV/0!</v>
      </c>
      <c r="AC33" s="4" t="e">
        <f ca="1"/>
        <v>#N/A</v>
      </c>
      <c r="AD33" s="4">
        <f ca="1"/>
        <v>0</v>
      </c>
      <c r="AF33" s="211">
        <v>12</v>
      </c>
      <c r="AG33" s="68">
        <f ca="1">VLOOKUP(AH34,$B$11:$I$60,8,FALSE)</f>
        <v>0.23581831187410596</v>
      </c>
      <c r="AH33" s="17">
        <f ca="1">AH34/3</f>
        <v>26.666666666666668</v>
      </c>
    </row>
    <row r="34" spans="2:34" ht="15" customHeight="1" x14ac:dyDescent="0.35">
      <c r="B34" s="112"/>
      <c r="C34" s="113"/>
      <c r="D34" s="149"/>
      <c r="E34" s="144" t="e">
        <f t="shared" si="0"/>
        <v>#DIV/0!</v>
      </c>
      <c r="F34" s="115">
        <f t="shared" si="1"/>
        <v>0</v>
      </c>
      <c r="G34" s="114" t="e">
        <f t="shared" si="2"/>
        <v>#DIV/0!</v>
      </c>
      <c r="H34" s="114" t="e">
        <f t="shared" si="3"/>
        <v>#N/A</v>
      </c>
      <c r="I34" s="116" t="e">
        <f t="shared" ca="1" si="4"/>
        <v>#DIV/0!</v>
      </c>
      <c r="K34" s="31" t="s">
        <v>56</v>
      </c>
      <c r="L34" s="32">
        <v>387500</v>
      </c>
      <c r="M34" s="216" t="s">
        <v>57</v>
      </c>
      <c r="N34" s="216"/>
      <c r="O34" s="216"/>
      <c r="P34" s="217"/>
      <c r="AC34" s="4" t="e">
        <f ca="1"/>
        <v>#N/A</v>
      </c>
      <c r="AD34" s="4">
        <f ca="1"/>
        <v>0</v>
      </c>
      <c r="AF34" s="212"/>
      <c r="AG34" s="69">
        <f ca="1">VLOOKUP(AH34,$B$11:$I$60,7)</f>
        <v>0.25500000000000012</v>
      </c>
      <c r="AH34" s="44">
        <f ca="1">B22</f>
        <v>80</v>
      </c>
    </row>
    <row r="35" spans="2:34" ht="15" customHeight="1" x14ac:dyDescent="0.35">
      <c r="B35" s="117"/>
      <c r="C35" s="118"/>
      <c r="D35" s="150"/>
      <c r="E35" s="145" t="e">
        <f t="shared" si="0"/>
        <v>#DIV/0!</v>
      </c>
      <c r="F35" s="120">
        <f t="shared" si="1"/>
        <v>0</v>
      </c>
      <c r="G35" s="119" t="e">
        <f t="shared" si="2"/>
        <v>#DIV/0!</v>
      </c>
      <c r="H35" s="119" t="e">
        <f t="shared" si="3"/>
        <v>#N/A</v>
      </c>
      <c r="I35" s="121" t="e">
        <f t="shared" ca="1" si="4"/>
        <v>#DIV/0!</v>
      </c>
      <c r="K35" s="33" t="s">
        <v>58</v>
      </c>
      <c r="L35" s="34">
        <v>348500</v>
      </c>
      <c r="M35" s="218" t="s">
        <v>59</v>
      </c>
      <c r="N35" s="218"/>
      <c r="O35" s="218"/>
      <c r="P35" s="219"/>
      <c r="W35" s="63"/>
      <c r="AC35" s="4" t="e">
        <f ca="1"/>
        <v>#N/A</v>
      </c>
      <c r="AD35" s="4">
        <f ca="1"/>
        <v>0</v>
      </c>
      <c r="AF35" s="211">
        <v>13</v>
      </c>
      <c r="AG35" s="68">
        <f ca="1">VLOOKUP(AH36,$B$11:$I$60,8,FALSE)</f>
        <v>0.25493240093240099</v>
      </c>
      <c r="AH35" s="17">
        <f ca="1">AH36/3</f>
        <v>33.333333333333336</v>
      </c>
    </row>
    <row r="36" spans="2:34" ht="15" customHeight="1" x14ac:dyDescent="0.25">
      <c r="B36" s="112"/>
      <c r="C36" s="113"/>
      <c r="D36" s="149"/>
      <c r="E36" s="144" t="e">
        <f t="shared" si="0"/>
        <v>#DIV/0!</v>
      </c>
      <c r="F36" s="115">
        <f t="shared" si="1"/>
        <v>0</v>
      </c>
      <c r="G36" s="114" t="e">
        <f t="shared" si="2"/>
        <v>#DIV/0!</v>
      </c>
      <c r="H36" s="114" t="e">
        <f t="shared" si="3"/>
        <v>#N/A</v>
      </c>
      <c r="I36" s="116" t="e">
        <f t="shared" ca="1" si="4"/>
        <v>#DIV/0!</v>
      </c>
      <c r="K36" s="40" t="s">
        <v>60</v>
      </c>
      <c r="L36" s="41">
        <v>234</v>
      </c>
      <c r="M36" s="195" t="s">
        <v>61</v>
      </c>
      <c r="N36" s="195"/>
      <c r="O36" s="195"/>
      <c r="P36" s="196"/>
      <c r="AC36" s="4" t="e">
        <f ca="1"/>
        <v>#N/A</v>
      </c>
      <c r="AD36" s="4">
        <f ca="1"/>
        <v>0</v>
      </c>
      <c r="AF36" s="212"/>
      <c r="AG36" s="69">
        <f ca="1">VLOOKUP(AH36,$B$11:$I$60,7)</f>
        <v>0.27900000000000014</v>
      </c>
      <c r="AH36" s="44">
        <f ca="1">B23</f>
        <v>100</v>
      </c>
    </row>
    <row r="37" spans="2:34" ht="15" customHeight="1" x14ac:dyDescent="0.25">
      <c r="B37" s="117"/>
      <c r="C37" s="118"/>
      <c r="D37" s="150"/>
      <c r="E37" s="145" t="e">
        <f t="shared" si="0"/>
        <v>#DIV/0!</v>
      </c>
      <c r="F37" s="120">
        <f t="shared" si="1"/>
        <v>0</v>
      </c>
      <c r="G37" s="119" t="e">
        <f t="shared" si="2"/>
        <v>#DIV/0!</v>
      </c>
      <c r="H37" s="119" t="e">
        <f t="shared" si="3"/>
        <v>#N/A</v>
      </c>
      <c r="I37" s="121" t="e">
        <f t="shared" ca="1" si="4"/>
        <v>#DIV/0!</v>
      </c>
      <c r="K37" s="37" t="s">
        <v>62</v>
      </c>
      <c r="L37" s="64">
        <f>AA21/L35</f>
        <v>85.661360662086125</v>
      </c>
      <c r="M37" s="38" t="s">
        <v>63</v>
      </c>
      <c r="N37" s="38"/>
      <c r="O37" s="38"/>
      <c r="P37" s="39"/>
      <c r="AC37" s="4" t="e">
        <f ca="1"/>
        <v>#N/A</v>
      </c>
      <c r="AD37" s="4">
        <f ca="1"/>
        <v>0</v>
      </c>
      <c r="AF37" s="211">
        <v>14</v>
      </c>
      <c r="AG37" s="68">
        <f ca="1">VLOOKUP(AH38,$B$11:$I$60,8,FALSE)</f>
        <v>0.27972023624494868</v>
      </c>
      <c r="AH37" s="17">
        <f ca="1">AH38/3</f>
        <v>40</v>
      </c>
    </row>
    <row r="38" spans="2:34" ht="15" customHeight="1" x14ac:dyDescent="0.25">
      <c r="B38" s="112"/>
      <c r="C38" s="113"/>
      <c r="D38" s="149"/>
      <c r="E38" s="144" t="e">
        <f t="shared" si="0"/>
        <v>#DIV/0!</v>
      </c>
      <c r="F38" s="115">
        <f t="shared" si="1"/>
        <v>0</v>
      </c>
      <c r="G38" s="114" t="e">
        <f t="shared" si="2"/>
        <v>#DIV/0!</v>
      </c>
      <c r="H38" s="114" t="e">
        <f t="shared" si="3"/>
        <v>#N/A</v>
      </c>
      <c r="I38" s="116" t="e">
        <f t="shared" ca="1" si="4"/>
        <v>#DIV/0!</v>
      </c>
      <c r="K38" s="35" t="s">
        <v>64</v>
      </c>
      <c r="L38" s="65">
        <f>(AA21-L36*L34/10)/L35</f>
        <v>59.642709299101902</v>
      </c>
      <c r="M38" s="200" t="s">
        <v>65</v>
      </c>
      <c r="N38" s="200"/>
      <c r="O38" s="200"/>
      <c r="P38" s="201"/>
      <c r="AC38" s="4" t="e">
        <f ca="1"/>
        <v>#N/A</v>
      </c>
      <c r="AD38" s="4">
        <f ca="1"/>
        <v>0</v>
      </c>
      <c r="AF38" s="212"/>
      <c r="AG38" s="69">
        <f ca="1">VLOOKUP(AH38,$B$11:$I$60,7)</f>
        <v>0.30000000000000004</v>
      </c>
      <c r="AH38" s="44">
        <f ca="1">B24</f>
        <v>120</v>
      </c>
    </row>
    <row r="39" spans="2:34" ht="15" customHeight="1" x14ac:dyDescent="0.25">
      <c r="B39" s="117"/>
      <c r="C39" s="118"/>
      <c r="D39" s="150"/>
      <c r="E39" s="145" t="e">
        <f t="shared" si="0"/>
        <v>#DIV/0!</v>
      </c>
      <c r="F39" s="120">
        <f t="shared" si="1"/>
        <v>0</v>
      </c>
      <c r="G39" s="119" t="e">
        <f t="shared" si="2"/>
        <v>#DIV/0!</v>
      </c>
      <c r="H39" s="119" t="e">
        <f t="shared" si="3"/>
        <v>#N/A</v>
      </c>
      <c r="I39" s="121" t="e">
        <f t="shared" ca="1" si="4"/>
        <v>#DIV/0!</v>
      </c>
      <c r="K39" s="35" t="s">
        <v>66</v>
      </c>
      <c r="L39" s="42" t="e" cm="1">
        <f t="array" aca="1" ref="L39" ca="1">interpol(L37,'gasket curve'!$B$11:$B$60,'gasket curve'!$D$11:$D$60)</f>
        <v>#NAME?</v>
      </c>
      <c r="M39" s="200" t="s">
        <v>67</v>
      </c>
      <c r="N39" s="200"/>
      <c r="O39" s="200"/>
      <c r="P39" s="201"/>
      <c r="AC39" s="4" t="e">
        <f ca="1"/>
        <v>#N/A</v>
      </c>
      <c r="AD39" s="4">
        <f ca="1"/>
        <v>0</v>
      </c>
      <c r="AF39" s="211">
        <v>15</v>
      </c>
      <c r="AG39" s="68">
        <f ca="1">VLOOKUP(AH40,$B$11:$I$60,8,FALSE)</f>
        <v>0.30027039019919943</v>
      </c>
      <c r="AH39" s="17">
        <f ca="1">AH40/3</f>
        <v>46.666666666666664</v>
      </c>
    </row>
    <row r="40" spans="2:34" ht="15" customHeight="1" x14ac:dyDescent="0.25">
      <c r="B40" s="112"/>
      <c r="C40" s="113"/>
      <c r="D40" s="149"/>
      <c r="E40" s="144" t="e">
        <f t="shared" si="0"/>
        <v>#DIV/0!</v>
      </c>
      <c r="F40" s="115">
        <f t="shared" si="1"/>
        <v>0</v>
      </c>
      <c r="G40" s="114" t="e">
        <f t="shared" si="2"/>
        <v>#DIV/0!</v>
      </c>
      <c r="H40" s="114" t="e">
        <f t="shared" si="3"/>
        <v>#N/A</v>
      </c>
      <c r="I40" s="116" t="e">
        <f t="shared" ca="1" si="4"/>
        <v>#DIV/0!</v>
      </c>
      <c r="K40" s="35" t="s">
        <v>68</v>
      </c>
      <c r="L40" s="42" t="e">
        <f ca="1">D11-K15</f>
        <v>#NAME?</v>
      </c>
      <c r="M40" s="200" t="s">
        <v>69</v>
      </c>
      <c r="N40" s="200"/>
      <c r="O40" s="200"/>
      <c r="P40" s="201"/>
      <c r="AC40" s="4" t="e">
        <f ca="1"/>
        <v>#N/A</v>
      </c>
      <c r="AD40" s="4">
        <f ca="1"/>
        <v>0</v>
      </c>
      <c r="AF40" s="212"/>
      <c r="AG40" s="69">
        <f ca="1">VLOOKUP(AH40,$B$11:$I$60,7)</f>
        <v>0.32200000000000006</v>
      </c>
      <c r="AH40" s="44">
        <f ca="1">B25</f>
        <v>140</v>
      </c>
    </row>
    <row r="41" spans="2:34" ht="15" customHeight="1" x14ac:dyDescent="0.25">
      <c r="B41" s="117"/>
      <c r="C41" s="118"/>
      <c r="D41" s="150"/>
      <c r="E41" s="145" t="e">
        <f t="shared" si="0"/>
        <v>#DIV/0!</v>
      </c>
      <c r="F41" s="120">
        <f t="shared" si="1"/>
        <v>0</v>
      </c>
      <c r="G41" s="119" t="e">
        <f t="shared" si="2"/>
        <v>#DIV/0!</v>
      </c>
      <c r="H41" s="119" t="e">
        <f t="shared" si="3"/>
        <v>#N/A</v>
      </c>
      <c r="I41" s="121" t="e">
        <f t="shared" ca="1" si="4"/>
        <v>#DIV/0!</v>
      </c>
      <c r="K41" s="35" t="s">
        <v>70</v>
      </c>
      <c r="L41" s="42" t="e">
        <f ca="1">$D$11-L39</f>
        <v>#NAME?</v>
      </c>
      <c r="M41" s="200" t="s">
        <v>71</v>
      </c>
      <c r="N41" s="200"/>
      <c r="O41" s="200"/>
      <c r="P41" s="201"/>
      <c r="AC41" s="4" t="e">
        <f ca="1"/>
        <v>#N/A</v>
      </c>
      <c r="AD41" s="4">
        <f ca="1"/>
        <v>0</v>
      </c>
      <c r="AF41" s="211">
        <v>16</v>
      </c>
      <c r="AG41" s="68">
        <f ca="1">VLOOKUP(AH42,$B$11:$I$60,8,FALSE)</f>
        <v>0.32495693495693501</v>
      </c>
      <c r="AH41" s="17">
        <f ca="1">AH42/3</f>
        <v>53.333333333333336</v>
      </c>
    </row>
    <row r="42" spans="2:34" ht="15" customHeight="1" x14ac:dyDescent="0.25">
      <c r="B42" s="112"/>
      <c r="C42" s="113"/>
      <c r="D42" s="149"/>
      <c r="E42" s="144" t="e">
        <f t="shared" si="0"/>
        <v>#DIV/0!</v>
      </c>
      <c r="F42" s="115">
        <f t="shared" si="1"/>
        <v>0</v>
      </c>
      <c r="G42" s="114" t="e">
        <f t="shared" si="2"/>
        <v>#DIV/0!</v>
      </c>
      <c r="H42" s="114" t="e">
        <f t="shared" si="3"/>
        <v>#N/A</v>
      </c>
      <c r="I42" s="116" t="e">
        <f t="shared" ca="1" si="4"/>
        <v>#DIV/0!</v>
      </c>
      <c r="K42" s="36" t="s">
        <v>72</v>
      </c>
      <c r="L42" s="43" t="e">
        <f ca="1">$D$11-L40</f>
        <v>#NAME?</v>
      </c>
      <c r="M42" s="193" t="s">
        <v>73</v>
      </c>
      <c r="N42" s="193"/>
      <c r="O42" s="193"/>
      <c r="P42" s="194"/>
      <c r="AC42" s="4" t="e">
        <f ca="1"/>
        <v>#N/A</v>
      </c>
      <c r="AD42" s="4">
        <f ca="1"/>
        <v>0</v>
      </c>
      <c r="AF42" s="212"/>
      <c r="AG42" s="69">
        <f ca="1">VLOOKUP(AH42,$B$11:$I$60,7)</f>
        <v>0.35000000000000009</v>
      </c>
      <c r="AH42" s="44">
        <f ca="1">B26</f>
        <v>160</v>
      </c>
    </row>
    <row r="43" spans="2:34" ht="15" customHeight="1" x14ac:dyDescent="0.25">
      <c r="B43" s="117"/>
      <c r="C43" s="118"/>
      <c r="D43" s="150"/>
      <c r="E43" s="145" t="e">
        <f t="shared" si="0"/>
        <v>#DIV/0!</v>
      </c>
      <c r="F43" s="120">
        <f t="shared" si="1"/>
        <v>0</v>
      </c>
      <c r="G43" s="119" t="e">
        <f t="shared" si="2"/>
        <v>#DIV/0!</v>
      </c>
      <c r="H43" s="119" t="e">
        <f t="shared" si="3"/>
        <v>#N/A</v>
      </c>
      <c r="I43" s="121" t="e">
        <f t="shared" ca="1" si="4"/>
        <v>#DIV/0!</v>
      </c>
      <c r="AC43" s="4" t="e">
        <f ca="1"/>
        <v>#N/A</v>
      </c>
      <c r="AD43" s="4">
        <f ca="1"/>
        <v>0</v>
      </c>
      <c r="AF43" s="211">
        <v>17</v>
      </c>
      <c r="AG43" s="68">
        <f ca="1">VLOOKUP(AH44,$B$11:$I$60,8,FALSE)</f>
        <v>0.35421042776897593</v>
      </c>
      <c r="AH43" s="17">
        <f ca="1">AH44/3</f>
        <v>60</v>
      </c>
    </row>
    <row r="44" spans="2:34" ht="15" customHeight="1" x14ac:dyDescent="0.25">
      <c r="B44" s="112"/>
      <c r="C44" s="113"/>
      <c r="D44" s="149"/>
      <c r="E44" s="144" t="e">
        <f t="shared" si="0"/>
        <v>#DIV/0!</v>
      </c>
      <c r="F44" s="115">
        <f t="shared" si="1"/>
        <v>0</v>
      </c>
      <c r="G44" s="114" t="e">
        <f t="shared" si="2"/>
        <v>#DIV/0!</v>
      </c>
      <c r="H44" s="114" t="e">
        <f t="shared" si="3"/>
        <v>#N/A</v>
      </c>
      <c r="I44" s="116" t="e">
        <f t="shared" ca="1" si="4"/>
        <v>#DIV/0!</v>
      </c>
      <c r="AC44" s="4" t="e">
        <f ca="1"/>
        <v>#N/A</v>
      </c>
      <c r="AD44" s="4">
        <f ca="1"/>
        <v>0</v>
      </c>
      <c r="AF44" s="212"/>
      <c r="AG44" s="69">
        <f ca="1">VLOOKUP(AH44,$B$11:$I$60,7)</f>
        <v>0.38100000000000001</v>
      </c>
      <c r="AH44" s="44">
        <f ca="1">B27</f>
        <v>180</v>
      </c>
    </row>
    <row r="45" spans="2:34" ht="15" customHeight="1" x14ac:dyDescent="0.25">
      <c r="B45" s="117"/>
      <c r="C45" s="118"/>
      <c r="D45" s="150"/>
      <c r="E45" s="145" t="e">
        <f t="shared" si="0"/>
        <v>#DIV/0!</v>
      </c>
      <c r="F45" s="120">
        <f t="shared" si="1"/>
        <v>0</v>
      </c>
      <c r="G45" s="119" t="e">
        <f t="shared" si="2"/>
        <v>#DIV/0!</v>
      </c>
      <c r="H45" s="119" t="e">
        <f t="shared" si="3"/>
        <v>#N/A</v>
      </c>
      <c r="I45" s="121" t="e">
        <f t="shared" ca="1" si="4"/>
        <v>#DIV/0!</v>
      </c>
      <c r="AC45" s="4" t="e">
        <f ca="1"/>
        <v>#N/A</v>
      </c>
      <c r="AD45" s="4">
        <f ca="1"/>
        <v>0</v>
      </c>
      <c r="AF45" s="211">
        <v>18</v>
      </c>
      <c r="AG45" s="68">
        <f ca="1">VLOOKUP(AH46,$B$11:$I$60,8,FALSE)</f>
        <v>0.38687038471469148</v>
      </c>
      <c r="AH45" s="17">
        <f ca="1">AH46/3</f>
        <v>66.666666666666671</v>
      </c>
    </row>
    <row r="46" spans="2:34" ht="15" customHeight="1" x14ac:dyDescent="0.25">
      <c r="B46" s="112"/>
      <c r="C46" s="113"/>
      <c r="D46" s="149"/>
      <c r="E46" s="144" t="e">
        <f t="shared" si="0"/>
        <v>#DIV/0!</v>
      </c>
      <c r="F46" s="115">
        <f t="shared" si="1"/>
        <v>0</v>
      </c>
      <c r="G46" s="114" t="e">
        <f t="shared" si="2"/>
        <v>#DIV/0!</v>
      </c>
      <c r="H46" s="114" t="e">
        <f t="shared" si="3"/>
        <v>#N/A</v>
      </c>
      <c r="I46" s="116" t="e">
        <f t="shared" ca="1" si="4"/>
        <v>#DIV/0!</v>
      </c>
      <c r="AC46" s="4" t="e">
        <f ca="1"/>
        <v>#N/A</v>
      </c>
      <c r="AD46" s="4">
        <f ca="1"/>
        <v>0</v>
      </c>
      <c r="AF46" s="212"/>
      <c r="AG46" s="69">
        <f ca="1">VLOOKUP(AH46,$B$11:$I$60,7)</f>
        <v>0.41300000000000003</v>
      </c>
      <c r="AH46" s="44">
        <f ca="1">B28</f>
        <v>200</v>
      </c>
    </row>
    <row r="47" spans="2:34" ht="15" customHeight="1" x14ac:dyDescent="0.25">
      <c r="B47" s="117"/>
      <c r="C47" s="118"/>
      <c r="D47" s="150"/>
      <c r="E47" s="145" t="e">
        <f t="shared" si="0"/>
        <v>#DIV/0!</v>
      </c>
      <c r="F47" s="120">
        <f t="shared" si="1"/>
        <v>0</v>
      </c>
      <c r="G47" s="119" t="e">
        <f t="shared" si="2"/>
        <v>#DIV/0!</v>
      </c>
      <c r="H47" s="119" t="e">
        <f t="shared" si="3"/>
        <v>#N/A</v>
      </c>
      <c r="I47" s="121" t="e">
        <f t="shared" ca="1" si="4"/>
        <v>#DIV/0!</v>
      </c>
      <c r="AC47" s="4" t="e">
        <f ca="1"/>
        <v>#N/A</v>
      </c>
      <c r="AD47" s="4">
        <f ca="1"/>
        <v>0</v>
      </c>
      <c r="AF47" s="211">
        <v>19</v>
      </c>
      <c r="AG47" s="68">
        <f ca="1">VLOOKUP(AH48,$B$11:$I$60,8,FALSE)</f>
        <v>0.41829324070053553</v>
      </c>
      <c r="AH47" s="17">
        <f ca="1">AH48/3</f>
        <v>73.333333333333329</v>
      </c>
    </row>
    <row r="48" spans="2:34" ht="15" customHeight="1" x14ac:dyDescent="0.25">
      <c r="B48" s="112"/>
      <c r="C48" s="113"/>
      <c r="D48" s="149"/>
      <c r="E48" s="144" t="e">
        <f t="shared" si="0"/>
        <v>#DIV/0!</v>
      </c>
      <c r="F48" s="115">
        <f t="shared" si="1"/>
        <v>0</v>
      </c>
      <c r="G48" s="114" t="e">
        <f t="shared" si="2"/>
        <v>#DIV/0!</v>
      </c>
      <c r="H48" s="114" t="e">
        <f t="shared" si="3"/>
        <v>#N/A</v>
      </c>
      <c r="I48" s="116" t="e">
        <f t="shared" ca="1" si="4"/>
        <v>#DIV/0!</v>
      </c>
      <c r="AC48" s="4" t="e">
        <f ca="1"/>
        <v>#N/A</v>
      </c>
      <c r="AD48" s="4">
        <f ca="1"/>
        <v>0</v>
      </c>
      <c r="AF48" s="212"/>
      <c r="AG48" s="69">
        <f ca="1">VLOOKUP(AH48,$B$11:$I$60,7)</f>
        <v>0.44199999999999995</v>
      </c>
      <c r="AH48" s="44">
        <f ca="1">B29</f>
        <v>220</v>
      </c>
    </row>
    <row r="49" spans="2:34" ht="15" customHeight="1" x14ac:dyDescent="0.25">
      <c r="B49" s="117"/>
      <c r="C49" s="118"/>
      <c r="D49" s="150"/>
      <c r="E49" s="145" t="e">
        <f t="shared" si="0"/>
        <v>#DIV/0!</v>
      </c>
      <c r="F49" s="120">
        <f t="shared" si="1"/>
        <v>0</v>
      </c>
      <c r="G49" s="119" t="e">
        <f t="shared" si="2"/>
        <v>#DIV/0!</v>
      </c>
      <c r="H49" s="119" t="e">
        <f t="shared" si="3"/>
        <v>#N/A</v>
      </c>
      <c r="I49" s="121" t="e">
        <f t="shared" ca="1" si="4"/>
        <v>#DIV/0!</v>
      </c>
      <c r="AC49" s="4" t="e">
        <f ca="1"/>
        <v>#N/A</v>
      </c>
      <c r="AD49" s="4">
        <f ca="1"/>
        <v>0</v>
      </c>
      <c r="AF49" s="211">
        <v>20</v>
      </c>
      <c r="AG49" s="68">
        <f ca="1">VLOOKUP(AH50,$B$11:$I$60,8,FALSE)</f>
        <v>0.44046800538397179</v>
      </c>
      <c r="AH49" s="17">
        <f ca="1">AH50/3</f>
        <v>76.666666666666671</v>
      </c>
    </row>
    <row r="50" spans="2:34" ht="15" customHeight="1" x14ac:dyDescent="0.25">
      <c r="B50" s="112"/>
      <c r="C50" s="113"/>
      <c r="D50" s="149"/>
      <c r="E50" s="144" t="e">
        <f t="shared" si="0"/>
        <v>#DIV/0!</v>
      </c>
      <c r="F50" s="115">
        <f t="shared" si="1"/>
        <v>0</v>
      </c>
      <c r="G50" s="114" t="e">
        <f t="shared" si="2"/>
        <v>#DIV/0!</v>
      </c>
      <c r="H50" s="114" t="e">
        <f t="shared" si="3"/>
        <v>#N/A</v>
      </c>
      <c r="I50" s="116" t="e">
        <f t="shared" ca="1" si="4"/>
        <v>#DIV/0!</v>
      </c>
      <c r="AC50" s="4" t="e">
        <f ca="1"/>
        <v>#N/A</v>
      </c>
      <c r="AD50" s="4">
        <f ca="1"/>
        <v>0</v>
      </c>
      <c r="AF50" s="212"/>
      <c r="AG50" s="69">
        <f ca="1">VLOOKUP(AH50,$B$11:$I$60,7)</f>
        <v>0.46500000000000008</v>
      </c>
      <c r="AH50" s="44">
        <f ca="1">B30</f>
        <v>230</v>
      </c>
    </row>
    <row r="51" spans="2:34" ht="15" customHeight="1" x14ac:dyDescent="0.25">
      <c r="B51" s="117"/>
      <c r="C51" s="118"/>
      <c r="D51" s="150"/>
      <c r="E51" s="145" t="e">
        <f t="shared" si="0"/>
        <v>#DIV/0!</v>
      </c>
      <c r="F51" s="120">
        <f t="shared" si="1"/>
        <v>0</v>
      </c>
      <c r="G51" s="119" t="e">
        <f t="shared" si="2"/>
        <v>#DIV/0!</v>
      </c>
      <c r="H51" s="119" t="e">
        <f t="shared" si="3"/>
        <v>#N/A</v>
      </c>
      <c r="I51" s="121" t="e">
        <f t="shared" ca="1" si="4"/>
        <v>#DIV/0!</v>
      </c>
      <c r="AC51" s="4" t="e">
        <f ca="1"/>
        <v>#N/A</v>
      </c>
      <c r="AD51" s="4">
        <f ca="1"/>
        <v>0</v>
      </c>
      <c r="AF51" s="211">
        <v>21</v>
      </c>
      <c r="AG51" s="68" t="e">
        <f ca="1">VLOOKUP(AH52,$B$11:$I$60,8,FALSE)</f>
        <v>#DIV/0!</v>
      </c>
      <c r="AH51" s="17">
        <f>AH52/3</f>
        <v>0</v>
      </c>
    </row>
    <row r="52" spans="2:34" ht="15" customHeight="1" x14ac:dyDescent="0.25">
      <c r="B52" s="112"/>
      <c r="C52" s="113"/>
      <c r="D52" s="149"/>
      <c r="E52" s="144" t="e">
        <f t="shared" si="0"/>
        <v>#DIV/0!</v>
      </c>
      <c r="F52" s="115">
        <f t="shared" si="1"/>
        <v>0</v>
      </c>
      <c r="G52" s="114" t="e">
        <f t="shared" si="2"/>
        <v>#DIV/0!</v>
      </c>
      <c r="H52" s="114" t="e">
        <f t="shared" si="3"/>
        <v>#N/A</v>
      </c>
      <c r="I52" s="116" t="e">
        <f t="shared" ca="1" si="4"/>
        <v>#DIV/0!</v>
      </c>
      <c r="AC52" s="4" t="e">
        <f ca="1"/>
        <v>#N/A</v>
      </c>
      <c r="AD52" s="4">
        <f ca="1"/>
        <v>0</v>
      </c>
      <c r="AF52" s="212"/>
      <c r="AG52" s="69">
        <f ca="1">VLOOKUP(AH52,$B$11:$I$60,7)</f>
        <v>0</v>
      </c>
      <c r="AH52" s="44">
        <f>B31</f>
        <v>0</v>
      </c>
    </row>
    <row r="53" spans="2:34" ht="15" customHeight="1" x14ac:dyDescent="0.25">
      <c r="B53" s="117"/>
      <c r="C53" s="118"/>
      <c r="D53" s="150"/>
      <c r="E53" s="145" t="e">
        <f t="shared" si="0"/>
        <v>#DIV/0!</v>
      </c>
      <c r="F53" s="120">
        <f t="shared" si="1"/>
        <v>0</v>
      </c>
      <c r="G53" s="119" t="e">
        <f t="shared" si="2"/>
        <v>#DIV/0!</v>
      </c>
      <c r="H53" s="119" t="e">
        <f t="shared" si="3"/>
        <v>#N/A</v>
      </c>
      <c r="I53" s="121" t="e">
        <f t="shared" ca="1" si="4"/>
        <v>#DIV/0!</v>
      </c>
      <c r="AC53" s="4" t="e">
        <f ca="1"/>
        <v>#N/A</v>
      </c>
      <c r="AD53" s="4">
        <f ca="1"/>
        <v>0</v>
      </c>
      <c r="AF53" s="211">
        <v>22</v>
      </c>
      <c r="AG53" s="68" t="e">
        <f ca="1">VLOOKUP(AH54,$B$11:$I$60,8,FALSE)</f>
        <v>#DIV/0!</v>
      </c>
      <c r="AH53" s="17">
        <f>AH54/3</f>
        <v>0</v>
      </c>
    </row>
    <row r="54" spans="2:34" ht="15" customHeight="1" x14ac:dyDescent="0.25">
      <c r="B54" s="112"/>
      <c r="C54" s="113"/>
      <c r="D54" s="149"/>
      <c r="E54" s="144" t="e">
        <f t="shared" si="0"/>
        <v>#DIV/0!</v>
      </c>
      <c r="F54" s="115">
        <f t="shared" si="1"/>
        <v>0</v>
      </c>
      <c r="G54" s="114" t="e">
        <f t="shared" si="2"/>
        <v>#DIV/0!</v>
      </c>
      <c r="H54" s="114" t="e">
        <f t="shared" si="3"/>
        <v>#N/A</v>
      </c>
      <c r="I54" s="116" t="e">
        <f t="shared" ca="1" si="4"/>
        <v>#DIV/0!</v>
      </c>
      <c r="AC54" s="4" t="e">
        <f ca="1"/>
        <v>#N/A</v>
      </c>
      <c r="AD54" s="4">
        <f ca="1"/>
        <v>0</v>
      </c>
      <c r="AF54" s="212"/>
      <c r="AG54" s="69">
        <f ca="1">VLOOKUP(AH54,$B$11:$I$60,7)</f>
        <v>0</v>
      </c>
      <c r="AH54" s="44">
        <f>B32</f>
        <v>0</v>
      </c>
    </row>
    <row r="55" spans="2:34" ht="15" customHeight="1" x14ac:dyDescent="0.25">
      <c r="B55" s="117"/>
      <c r="C55" s="118"/>
      <c r="D55" s="150"/>
      <c r="E55" s="145" t="e">
        <f t="shared" si="0"/>
        <v>#DIV/0!</v>
      </c>
      <c r="F55" s="120">
        <f t="shared" si="1"/>
        <v>0</v>
      </c>
      <c r="G55" s="119" t="e">
        <f t="shared" si="2"/>
        <v>#DIV/0!</v>
      </c>
      <c r="H55" s="119" t="e">
        <f t="shared" si="3"/>
        <v>#N/A</v>
      </c>
      <c r="I55" s="121" t="e">
        <f t="shared" ca="1" si="4"/>
        <v>#DIV/0!</v>
      </c>
      <c r="AC55" s="4" t="e">
        <f ca="1"/>
        <v>#N/A</v>
      </c>
      <c r="AD55" s="4">
        <f ca="1"/>
        <v>0</v>
      </c>
      <c r="AF55" s="211">
        <v>23</v>
      </c>
      <c r="AG55" s="68" t="e">
        <f ca="1">VLOOKUP(AH56,$B$11:$I$60,8,FALSE)</f>
        <v>#DIV/0!</v>
      </c>
      <c r="AH55" s="17">
        <f>AH56/3</f>
        <v>0</v>
      </c>
    </row>
    <row r="56" spans="2:34" ht="15" customHeight="1" x14ac:dyDescent="0.25">
      <c r="B56" s="112"/>
      <c r="C56" s="113"/>
      <c r="D56" s="149"/>
      <c r="E56" s="144" t="e">
        <f t="shared" si="0"/>
        <v>#DIV/0!</v>
      </c>
      <c r="F56" s="115">
        <f t="shared" si="1"/>
        <v>0</v>
      </c>
      <c r="G56" s="114" t="e">
        <f t="shared" si="2"/>
        <v>#DIV/0!</v>
      </c>
      <c r="H56" s="114" t="e">
        <f t="shared" si="3"/>
        <v>#N/A</v>
      </c>
      <c r="I56" s="116" t="e">
        <f t="shared" ca="1" si="4"/>
        <v>#DIV/0!</v>
      </c>
      <c r="AC56" s="4" t="e">
        <f ca="1"/>
        <v>#N/A</v>
      </c>
      <c r="AD56" s="4">
        <f ca="1"/>
        <v>0</v>
      </c>
      <c r="AF56" s="212"/>
      <c r="AG56" s="69">
        <f ca="1">VLOOKUP(AH56,$B$11:$I$60,7)</f>
        <v>0</v>
      </c>
      <c r="AH56" s="44">
        <f>B33</f>
        <v>0</v>
      </c>
    </row>
    <row r="57" spans="2:34" ht="15" customHeight="1" x14ac:dyDescent="0.25">
      <c r="B57" s="117"/>
      <c r="C57" s="118"/>
      <c r="D57" s="150"/>
      <c r="E57" s="145" t="e">
        <f t="shared" si="0"/>
        <v>#DIV/0!</v>
      </c>
      <c r="F57" s="120">
        <f t="shared" si="1"/>
        <v>0</v>
      </c>
      <c r="G57" s="119" t="e">
        <f t="shared" si="2"/>
        <v>#DIV/0!</v>
      </c>
      <c r="H57" s="119" t="e">
        <f t="shared" si="3"/>
        <v>#N/A</v>
      </c>
      <c r="I57" s="121" t="e">
        <f t="shared" ca="1" si="4"/>
        <v>#DIV/0!</v>
      </c>
      <c r="AC57" s="4" t="e">
        <f ca="1"/>
        <v>#N/A</v>
      </c>
      <c r="AD57" s="4">
        <f ca="1"/>
        <v>0</v>
      </c>
      <c r="AF57" s="211">
        <v>24</v>
      </c>
      <c r="AG57" s="68" t="e">
        <f ca="1">VLOOKUP(AH58,$B$11:$I$60,8,FALSE)</f>
        <v>#DIV/0!</v>
      </c>
      <c r="AH57" s="17">
        <f>AH58/3</f>
        <v>0</v>
      </c>
    </row>
    <row r="58" spans="2:34" ht="15" customHeight="1" x14ac:dyDescent="0.25">
      <c r="B58" s="112"/>
      <c r="C58" s="113"/>
      <c r="D58" s="149"/>
      <c r="E58" s="144" t="e">
        <f t="shared" si="0"/>
        <v>#DIV/0!</v>
      </c>
      <c r="F58" s="115">
        <f t="shared" si="1"/>
        <v>0</v>
      </c>
      <c r="G58" s="114" t="e">
        <f t="shared" si="2"/>
        <v>#DIV/0!</v>
      </c>
      <c r="H58" s="114" t="e">
        <f t="shared" si="3"/>
        <v>#N/A</v>
      </c>
      <c r="I58" s="116" t="e">
        <f t="shared" ca="1" si="4"/>
        <v>#DIV/0!</v>
      </c>
      <c r="AC58" s="4" t="e">
        <f ca="1"/>
        <v>#N/A</v>
      </c>
      <c r="AD58" s="4">
        <f ca="1"/>
        <v>0</v>
      </c>
      <c r="AF58" s="212"/>
      <c r="AG58" s="69">
        <f ca="1">VLOOKUP(AH58,$B$11:$I$60,7)</f>
        <v>0</v>
      </c>
      <c r="AH58" s="44">
        <f>B35</f>
        <v>0</v>
      </c>
    </row>
    <row r="59" spans="2:34" ht="15" customHeight="1" x14ac:dyDescent="0.25">
      <c r="B59" s="117"/>
      <c r="C59" s="118"/>
      <c r="D59" s="150"/>
      <c r="E59" s="145" t="e">
        <f t="shared" si="0"/>
        <v>#DIV/0!</v>
      </c>
      <c r="F59" s="120">
        <f t="shared" si="1"/>
        <v>0</v>
      </c>
      <c r="G59" s="119" t="e">
        <f t="shared" si="2"/>
        <v>#DIV/0!</v>
      </c>
      <c r="H59" s="119" t="e">
        <f t="shared" si="3"/>
        <v>#N/A</v>
      </c>
      <c r="I59" s="121" t="e">
        <f t="shared" ca="1" si="4"/>
        <v>#DIV/0!</v>
      </c>
      <c r="AC59" s="4" t="e">
        <f ca="1"/>
        <v>#N/A</v>
      </c>
      <c r="AD59" s="4">
        <f ca="1"/>
        <v>0</v>
      </c>
      <c r="AF59" s="211">
        <v>25</v>
      </c>
      <c r="AG59" s="68" t="e">
        <f ca="1">VLOOKUP(AH60,$B$11:$I$60,8,FALSE)</f>
        <v>#DIV/0!</v>
      </c>
      <c r="AH59" s="17">
        <f>AH60/3</f>
        <v>0</v>
      </c>
    </row>
    <row r="60" spans="2:34" ht="15" customHeight="1" x14ac:dyDescent="0.25">
      <c r="B60" s="122"/>
      <c r="C60" s="123"/>
      <c r="D60" s="151"/>
      <c r="E60" s="146" t="e">
        <f t="shared" si="0"/>
        <v>#DIV/0!</v>
      </c>
      <c r="F60" s="125">
        <f t="shared" si="1"/>
        <v>0</v>
      </c>
      <c r="G60" s="124" t="e">
        <f t="shared" si="2"/>
        <v>#DIV/0!</v>
      </c>
      <c r="H60" s="124" t="e">
        <f t="shared" si="3"/>
        <v>#N/A</v>
      </c>
      <c r="I60" s="126" t="e">
        <f t="shared" ca="1" si="4"/>
        <v>#DIV/0!</v>
      </c>
      <c r="AC60" s="4" t="e">
        <f ca="1"/>
        <v>#N/A</v>
      </c>
      <c r="AD60" s="4">
        <f ca="1"/>
        <v>0</v>
      </c>
      <c r="AF60" s="212"/>
      <c r="AG60" s="69">
        <f ca="1">VLOOKUP(AH60,$B$11:$I$60,7)</f>
        <v>0</v>
      </c>
      <c r="AH60" s="44">
        <f>B34</f>
        <v>0</v>
      </c>
    </row>
  </sheetData>
  <mergeCells count="46">
    <mergeCell ref="W8:AA8"/>
    <mergeCell ref="M34:P34"/>
    <mergeCell ref="M35:P35"/>
    <mergeCell ref="AF51:AF52"/>
    <mergeCell ref="AF53:AF54"/>
    <mergeCell ref="AF21:AF22"/>
    <mergeCell ref="AF23:AF24"/>
    <mergeCell ref="AF25:AF26"/>
    <mergeCell ref="AF27:AF28"/>
    <mergeCell ref="AF29:AF30"/>
    <mergeCell ref="AF11:AF12"/>
    <mergeCell ref="AF13:AF14"/>
    <mergeCell ref="AF15:AF16"/>
    <mergeCell ref="AF17:AF18"/>
    <mergeCell ref="AF19:AF20"/>
    <mergeCell ref="M41:P41"/>
    <mergeCell ref="AF55:AF56"/>
    <mergeCell ref="AF57:AF58"/>
    <mergeCell ref="AF59:AF60"/>
    <mergeCell ref="AF31:AF32"/>
    <mergeCell ref="AF33:AF34"/>
    <mergeCell ref="AF35:AF36"/>
    <mergeCell ref="AF47:AF48"/>
    <mergeCell ref="AF49:AF50"/>
    <mergeCell ref="AF37:AF38"/>
    <mergeCell ref="AF39:AF40"/>
    <mergeCell ref="AF41:AF42"/>
    <mergeCell ref="AF43:AF44"/>
    <mergeCell ref="AF45:AF46"/>
    <mergeCell ref="B8:I8"/>
    <mergeCell ref="C2:D2"/>
    <mergeCell ref="C3:D3"/>
    <mergeCell ref="C4:D4"/>
    <mergeCell ref="C5:D5"/>
    <mergeCell ref="C6:D6"/>
    <mergeCell ref="AG9:AH9"/>
    <mergeCell ref="M42:P42"/>
    <mergeCell ref="M36:P36"/>
    <mergeCell ref="AC9:AD9"/>
    <mergeCell ref="W29:Y29"/>
    <mergeCell ref="X30:Y30"/>
    <mergeCell ref="X31:Y31"/>
    <mergeCell ref="X32:Y32"/>
    <mergeCell ref="M39:P39"/>
    <mergeCell ref="M38:P38"/>
    <mergeCell ref="M40:P40"/>
  </mergeCells>
  <conditionalFormatting sqref="W30:W32">
    <cfRule type="iconSet" priority="2">
      <iconSet iconSet="3Symbols" showValue="0">
        <cfvo type="percent" val="0"/>
        <cfvo type="num" val="0.5"/>
        <cfvo type="num" val="1"/>
      </iconSet>
    </cfRule>
  </conditionalFormatting>
  <conditionalFormatting sqref="AA22">
    <cfRule type="iconSet" priority="4">
      <iconSet iconSet="3Symbols" reverse="1">
        <cfvo type="percent" val="0"/>
        <cfvo type="formula" val="$C$6*0.8"/>
        <cfvo type="formula" val="$C$6"/>
      </iconSet>
    </cfRule>
  </conditionalFormatting>
  <dataValidations count="2">
    <dataValidation type="list" allowBlank="1" showInputMessage="1" showErrorMessage="1" sqref="C2" xr:uid="{B1E547AB-9C52-40E8-8254-042D107B1F9C}">
      <formula1>manu</formula1>
    </dataValidation>
    <dataValidation type="list" allowBlank="1" showInputMessage="1" showErrorMessage="1" sqref="C3" xr:uid="{81B5B256-8BF7-433F-A388-728CAE837E97}">
      <formula1>INDIRECT(C2)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41C1F7-81F9-4E22-9DC1-A471A545AC8A}">
          <x14:formula1>
            <xm:f>INDIRECT(database!$X$11)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D2BA-ADD4-4F08-84BF-3C50DA08534A}">
  <sheetPr codeName="Foglio3"/>
  <dimension ref="B2:BB209"/>
  <sheetViews>
    <sheetView workbookViewId="0"/>
  </sheetViews>
  <sheetFormatPr defaultRowHeight="15" x14ac:dyDescent="0.25"/>
  <cols>
    <col min="1" max="1" width="2.7109375" customWidth="1"/>
    <col min="2" max="2" width="17" bestFit="1" customWidth="1"/>
    <col min="3" max="3" width="28.140625" bestFit="1" customWidth="1"/>
    <col min="4" max="4" width="14.7109375" bestFit="1" customWidth="1"/>
    <col min="8" max="23" width="0" hidden="1" customWidth="1"/>
    <col min="24" max="24" width="17" hidden="1" customWidth="1"/>
    <col min="25" max="25" width="9.140625" hidden="1" customWidth="1"/>
    <col min="26" max="26" width="14.140625" hidden="1" customWidth="1"/>
    <col min="27" max="27" width="21.5703125" hidden="1" customWidth="1"/>
    <col min="28" max="28" width="26.140625" hidden="1" customWidth="1"/>
    <col min="29" max="29" width="9.140625" hidden="1" customWidth="1"/>
    <col min="30" max="30" width="17" hidden="1" customWidth="1"/>
    <col min="31" max="31" width="26.140625" hidden="1" customWidth="1"/>
    <col min="32" max="34" width="14.7109375" hidden="1" customWidth="1"/>
    <col min="35" max="35" width="15.28515625" hidden="1" customWidth="1"/>
    <col min="36" max="54" width="9.140625" hidden="1" customWidth="1"/>
  </cols>
  <sheetData>
    <row r="2" spans="2:54" x14ac:dyDescent="0.25">
      <c r="E2" s="220" t="s">
        <v>74</v>
      </c>
      <c r="F2" s="221"/>
      <c r="G2" s="222"/>
      <c r="H2" s="220" t="s">
        <v>75</v>
      </c>
      <c r="I2" s="221"/>
      <c r="J2" s="222"/>
      <c r="K2" s="220" t="s">
        <v>76</v>
      </c>
      <c r="L2" s="221"/>
      <c r="M2" s="222"/>
      <c r="N2" s="220" t="s">
        <v>77</v>
      </c>
      <c r="O2" s="221"/>
      <c r="P2" s="222"/>
      <c r="Q2" s="220" t="s">
        <v>78</v>
      </c>
      <c r="R2" s="221"/>
      <c r="S2" s="222"/>
      <c r="T2" s="220" t="s">
        <v>79</v>
      </c>
      <c r="U2" s="221"/>
      <c r="V2" s="222"/>
      <c r="AD2" s="81" t="s">
        <v>80</v>
      </c>
      <c r="AE2" s="92" t="s">
        <v>81</v>
      </c>
      <c r="AF2" s="92" t="s">
        <v>10</v>
      </c>
      <c r="AG2" s="92" t="s">
        <v>82</v>
      </c>
      <c r="AH2" s="92" t="s">
        <v>83</v>
      </c>
      <c r="AI2" s="82" t="s">
        <v>84</v>
      </c>
      <c r="AJ2" s="92" t="s">
        <v>74</v>
      </c>
      <c r="AK2" s="82" t="s">
        <v>75</v>
      </c>
      <c r="AL2" s="92" t="s">
        <v>76</v>
      </c>
      <c r="AM2" s="82" t="s">
        <v>77</v>
      </c>
      <c r="AN2" s="92" t="s">
        <v>78</v>
      </c>
      <c r="AO2" s="85" t="s">
        <v>79</v>
      </c>
    </row>
    <row r="3" spans="2:54" ht="18" x14ac:dyDescent="0.25">
      <c r="B3" s="81" t="s">
        <v>80</v>
      </c>
      <c r="C3" s="92" t="s">
        <v>81</v>
      </c>
      <c r="D3" s="92" t="s">
        <v>12</v>
      </c>
      <c r="E3" s="127" t="s">
        <v>27</v>
      </c>
      <c r="F3" s="83" t="s">
        <v>28</v>
      </c>
      <c r="G3" s="84" t="s">
        <v>29</v>
      </c>
      <c r="H3" s="127" t="s">
        <v>27</v>
      </c>
      <c r="I3" s="83" t="s">
        <v>28</v>
      </c>
      <c r="J3" s="84" t="s">
        <v>29</v>
      </c>
      <c r="K3" s="127" t="s">
        <v>27</v>
      </c>
      <c r="L3" s="83" t="s">
        <v>28</v>
      </c>
      <c r="M3" s="84" t="s">
        <v>29</v>
      </c>
      <c r="N3" s="127" t="s">
        <v>27</v>
      </c>
      <c r="O3" s="83" t="s">
        <v>28</v>
      </c>
      <c r="P3" s="84" t="s">
        <v>29</v>
      </c>
      <c r="Q3" s="127" t="s">
        <v>27</v>
      </c>
      <c r="R3" s="83" t="s">
        <v>28</v>
      </c>
      <c r="S3" s="84" t="s">
        <v>29</v>
      </c>
      <c r="T3" s="127" t="s">
        <v>27</v>
      </c>
      <c r="U3" s="83" t="s">
        <v>28</v>
      </c>
      <c r="V3" s="84" t="s">
        <v>29</v>
      </c>
      <c r="X3" s="92" t="s">
        <v>80</v>
      </c>
      <c r="Z3" s="92" t="s">
        <v>9</v>
      </c>
      <c r="AA3" s="92" t="s">
        <v>85</v>
      </c>
      <c r="AB3" s="92" t="s">
        <v>86</v>
      </c>
      <c r="AD3" s="71" t="s">
        <v>9</v>
      </c>
      <c r="AE3" s="93" t="s">
        <v>87</v>
      </c>
      <c r="AF3" s="93" t="s">
        <v>88</v>
      </c>
      <c r="AG3" s="93">
        <f>COUNTIF(C:C,AE3)</f>
        <v>19</v>
      </c>
      <c r="AH3" s="93">
        <v>1</v>
      </c>
      <c r="AI3" s="72">
        <v>2</v>
      </c>
      <c r="AJ3" s="93">
        <v>23</v>
      </c>
      <c r="AK3" s="72">
        <v>100</v>
      </c>
      <c r="AL3" s="93">
        <v>175</v>
      </c>
      <c r="AM3" s="72">
        <v>250</v>
      </c>
      <c r="AN3" s="98" t="e">
        <f>NA()</f>
        <v>#N/A</v>
      </c>
      <c r="AO3" s="74" t="e">
        <f>NA()</f>
        <v>#N/A</v>
      </c>
      <c r="AQ3" s="1" t="s">
        <v>88</v>
      </c>
      <c r="AR3" s="1" t="s">
        <v>89</v>
      </c>
      <c r="AS3" s="1" t="s">
        <v>90</v>
      </c>
      <c r="AT3" s="1" t="s">
        <v>91</v>
      </c>
      <c r="AU3" s="1" t="s">
        <v>92</v>
      </c>
      <c r="AV3" s="1" t="s">
        <v>93</v>
      </c>
      <c r="AW3" s="1" t="s">
        <v>94</v>
      </c>
      <c r="AX3" s="1" t="s">
        <v>95</v>
      </c>
      <c r="AY3" s="1" t="s">
        <v>96</v>
      </c>
      <c r="AZ3" s="1" t="s">
        <v>97</v>
      </c>
      <c r="BA3" s="1" t="s">
        <v>98</v>
      </c>
      <c r="BB3" s="1" t="s">
        <v>99</v>
      </c>
    </row>
    <row r="4" spans="2:54" hidden="1" x14ac:dyDescent="0.25">
      <c r="B4" s="71" t="s">
        <v>9</v>
      </c>
      <c r="C4" s="93" t="s">
        <v>87</v>
      </c>
      <c r="D4" s="93">
        <v>2</v>
      </c>
      <c r="E4" s="86">
        <v>0</v>
      </c>
      <c r="F4" s="73">
        <v>0</v>
      </c>
      <c r="G4" s="74">
        <v>1.9890000000000001</v>
      </c>
      <c r="H4" s="86">
        <v>0</v>
      </c>
      <c r="I4" s="73">
        <v>0</v>
      </c>
      <c r="J4" s="74">
        <v>1.98</v>
      </c>
      <c r="K4" s="86">
        <v>0</v>
      </c>
      <c r="L4" s="73">
        <v>0</v>
      </c>
      <c r="M4" s="74">
        <v>2.0099999999999998</v>
      </c>
      <c r="N4" s="86">
        <v>0</v>
      </c>
      <c r="O4" s="73">
        <v>0</v>
      </c>
      <c r="P4" s="74">
        <v>2.0299999999999998</v>
      </c>
      <c r="Q4" s="86" t="e">
        <f>NA()</f>
        <v>#N/A</v>
      </c>
      <c r="R4" s="73" t="e">
        <f>NA()</f>
        <v>#N/A</v>
      </c>
      <c r="S4" s="74" t="e">
        <f>NA()</f>
        <v>#N/A</v>
      </c>
      <c r="T4" s="86" t="e">
        <f>NA()</f>
        <v>#N/A</v>
      </c>
      <c r="U4" s="73" t="e">
        <f>NA()</f>
        <v>#N/A</v>
      </c>
      <c r="V4" s="74" t="e">
        <f>NA()</f>
        <v>#N/A</v>
      </c>
      <c r="X4" s="12" t="s">
        <v>9</v>
      </c>
      <c r="Z4" s="12" t="s">
        <v>87</v>
      </c>
      <c r="AA4" s="12" t="s">
        <v>100</v>
      </c>
      <c r="AB4" s="12" t="s">
        <v>101</v>
      </c>
      <c r="AD4" s="75" t="s">
        <v>9</v>
      </c>
      <c r="AE4" s="99" t="s">
        <v>11</v>
      </c>
      <c r="AF4" s="99" t="s">
        <v>89</v>
      </c>
      <c r="AG4" s="99">
        <f t="shared" ref="AG4:AG14" si="0">COUNTIF(C:C,AE4)</f>
        <v>20</v>
      </c>
      <c r="AH4" s="99">
        <f>AG3+AH3</f>
        <v>20</v>
      </c>
      <c r="AI4" s="1">
        <v>2</v>
      </c>
      <c r="AJ4" s="94">
        <v>23</v>
      </c>
      <c r="AK4" s="1">
        <v>150</v>
      </c>
      <c r="AL4" s="94">
        <v>300</v>
      </c>
      <c r="AM4" s="70" t="e">
        <f>NA()</f>
        <v>#N/A</v>
      </c>
      <c r="AN4" s="96" t="e">
        <f>NA()</f>
        <v>#N/A</v>
      </c>
      <c r="AO4" s="76" t="e">
        <f>NA()</f>
        <v>#N/A</v>
      </c>
      <c r="AQ4" s="1">
        <v>23</v>
      </c>
      <c r="AR4" s="1">
        <v>23</v>
      </c>
      <c r="AS4" s="1">
        <v>23</v>
      </c>
      <c r="AT4" s="1">
        <v>23</v>
      </c>
      <c r="AU4" s="1">
        <v>23</v>
      </c>
      <c r="AV4" s="1">
        <v>23</v>
      </c>
      <c r="AW4" s="1">
        <v>23</v>
      </c>
      <c r="AX4" s="1">
        <v>23</v>
      </c>
      <c r="AY4" s="1">
        <v>23</v>
      </c>
      <c r="AZ4" s="1">
        <v>23</v>
      </c>
      <c r="BA4" s="1">
        <v>23</v>
      </c>
      <c r="BB4" s="1" t="s">
        <v>99</v>
      </c>
    </row>
    <row r="5" spans="2:54" hidden="1" x14ac:dyDescent="0.25">
      <c r="B5" s="75" t="s">
        <v>9</v>
      </c>
      <c r="C5" s="94" t="s">
        <v>87</v>
      </c>
      <c r="D5" s="94">
        <v>2</v>
      </c>
      <c r="E5" s="87">
        <v>1</v>
      </c>
      <c r="F5" s="70">
        <v>0</v>
      </c>
      <c r="G5" s="76">
        <v>2.0019999999999998</v>
      </c>
      <c r="H5" s="87">
        <v>1</v>
      </c>
      <c r="I5" s="70">
        <v>0</v>
      </c>
      <c r="J5" s="76">
        <v>1.972</v>
      </c>
      <c r="K5" s="87">
        <v>1</v>
      </c>
      <c r="L5" s="70">
        <v>0</v>
      </c>
      <c r="M5" s="76">
        <v>1.996</v>
      </c>
      <c r="N5" s="87">
        <v>1</v>
      </c>
      <c r="O5" s="70">
        <v>0</v>
      </c>
      <c r="P5" s="76">
        <v>2.0019999999999998</v>
      </c>
      <c r="Q5" s="87" t="e">
        <f>NA()</f>
        <v>#N/A</v>
      </c>
      <c r="R5" s="70" t="e">
        <f>NA()</f>
        <v>#N/A</v>
      </c>
      <c r="S5" s="76" t="e">
        <f>NA()</f>
        <v>#N/A</v>
      </c>
      <c r="T5" s="87" t="e">
        <f>NA()</f>
        <v>#N/A</v>
      </c>
      <c r="U5" s="70" t="e">
        <f>NA()</f>
        <v>#N/A</v>
      </c>
      <c r="V5" s="76" t="e">
        <f>NA()</f>
        <v>#N/A</v>
      </c>
      <c r="X5" s="12" t="s">
        <v>85</v>
      </c>
      <c r="Z5" s="12" t="s">
        <v>11</v>
      </c>
      <c r="AA5" s="12" t="s">
        <v>102</v>
      </c>
      <c r="AB5" s="12" t="s">
        <v>103</v>
      </c>
      <c r="AD5" s="75" t="s">
        <v>9</v>
      </c>
      <c r="AE5" s="94" t="s">
        <v>104</v>
      </c>
      <c r="AF5" s="94" t="s">
        <v>90</v>
      </c>
      <c r="AG5" s="94">
        <f t="shared" si="0"/>
        <v>20</v>
      </c>
      <c r="AH5" s="94">
        <f t="shared" ref="AH5:AH14" si="1">AG4+AH4</f>
        <v>40</v>
      </c>
      <c r="AI5" s="1">
        <v>2</v>
      </c>
      <c r="AJ5" s="94">
        <v>23</v>
      </c>
      <c r="AK5" s="1">
        <v>150</v>
      </c>
      <c r="AL5" s="94">
        <v>200</v>
      </c>
      <c r="AM5" s="1">
        <v>250</v>
      </c>
      <c r="AN5" s="96" t="e">
        <f>NA()</f>
        <v>#N/A</v>
      </c>
      <c r="AO5" s="76" t="e">
        <f>NA()</f>
        <v>#N/A</v>
      </c>
      <c r="AQ5" s="1">
        <v>100</v>
      </c>
      <c r="AR5" s="1">
        <v>150</v>
      </c>
      <c r="AS5" s="1">
        <v>150</v>
      </c>
      <c r="AT5" s="1">
        <v>150</v>
      </c>
      <c r="AU5" s="1">
        <v>150</v>
      </c>
      <c r="AV5" s="1">
        <v>150</v>
      </c>
      <c r="AW5" s="1">
        <v>100</v>
      </c>
      <c r="AX5" s="1">
        <v>100</v>
      </c>
      <c r="AY5" s="1">
        <v>100</v>
      </c>
      <c r="AZ5" s="1">
        <v>150</v>
      </c>
      <c r="BA5" s="1">
        <v>150</v>
      </c>
    </row>
    <row r="6" spans="2:54" hidden="1" x14ac:dyDescent="0.25">
      <c r="B6" s="75" t="s">
        <v>9</v>
      </c>
      <c r="C6" s="94" t="s">
        <v>87</v>
      </c>
      <c r="D6" s="94">
        <v>2</v>
      </c>
      <c r="E6" s="87">
        <v>5</v>
      </c>
      <c r="F6" s="70">
        <v>602</v>
      </c>
      <c r="G6" s="76">
        <v>1.9690000000000001</v>
      </c>
      <c r="H6" s="87">
        <v>5</v>
      </c>
      <c r="I6" s="70">
        <v>467</v>
      </c>
      <c r="J6" s="76">
        <v>1.913</v>
      </c>
      <c r="K6" s="87">
        <v>5</v>
      </c>
      <c r="L6" s="70">
        <v>1075</v>
      </c>
      <c r="M6" s="76">
        <v>1.9410000000000001</v>
      </c>
      <c r="N6" s="87">
        <v>5</v>
      </c>
      <c r="O6" s="70">
        <v>1034</v>
      </c>
      <c r="P6" s="76">
        <v>1.9279999999999999</v>
      </c>
      <c r="Q6" s="87" t="e">
        <f>NA()</f>
        <v>#N/A</v>
      </c>
      <c r="R6" s="70" t="e">
        <f>NA()</f>
        <v>#N/A</v>
      </c>
      <c r="S6" s="76" t="e">
        <f>NA()</f>
        <v>#N/A</v>
      </c>
      <c r="T6" s="87" t="e">
        <f>NA()</f>
        <v>#N/A</v>
      </c>
      <c r="U6" s="70" t="e">
        <f>NA()</f>
        <v>#N/A</v>
      </c>
      <c r="V6" s="76" t="e">
        <f>NA()</f>
        <v>#N/A</v>
      </c>
      <c r="X6" s="12" t="s">
        <v>105</v>
      </c>
      <c r="Z6" s="12" t="s">
        <v>104</v>
      </c>
      <c r="AA6" s="12" t="s">
        <v>106</v>
      </c>
      <c r="AB6" s="12"/>
      <c r="AD6" s="75" t="s">
        <v>9</v>
      </c>
      <c r="AE6" s="99" t="s">
        <v>107</v>
      </c>
      <c r="AF6" s="99" t="s">
        <v>91</v>
      </c>
      <c r="AG6" s="99">
        <f t="shared" si="0"/>
        <v>18</v>
      </c>
      <c r="AH6" s="99">
        <f t="shared" si="1"/>
        <v>60</v>
      </c>
      <c r="AI6" s="1">
        <v>2</v>
      </c>
      <c r="AJ6" s="94">
        <v>23</v>
      </c>
      <c r="AK6" s="1">
        <v>150</v>
      </c>
      <c r="AL6" s="94">
        <v>200</v>
      </c>
      <c r="AM6" s="1">
        <v>250</v>
      </c>
      <c r="AN6" s="96" t="e">
        <f>NA()</f>
        <v>#N/A</v>
      </c>
      <c r="AO6" s="76" t="e">
        <f>NA()</f>
        <v>#N/A</v>
      </c>
      <c r="AQ6" s="1">
        <v>175</v>
      </c>
      <c r="AR6" s="1">
        <v>300</v>
      </c>
      <c r="AS6" s="1">
        <v>200</v>
      </c>
      <c r="AT6" s="1">
        <v>200</v>
      </c>
      <c r="AU6" s="1">
        <v>200</v>
      </c>
      <c r="AV6" s="1">
        <v>200</v>
      </c>
      <c r="AW6" s="1">
        <v>150</v>
      </c>
      <c r="AX6" s="1">
        <v>150</v>
      </c>
      <c r="AY6" s="1">
        <v>150</v>
      </c>
      <c r="AZ6" s="1">
        <v>300</v>
      </c>
      <c r="BA6" s="1">
        <v>300</v>
      </c>
    </row>
    <row r="7" spans="2:54" hidden="1" x14ac:dyDescent="0.25">
      <c r="B7" s="75" t="s">
        <v>9</v>
      </c>
      <c r="C7" s="94" t="s">
        <v>87</v>
      </c>
      <c r="D7" s="94">
        <v>2</v>
      </c>
      <c r="E7" s="87">
        <v>10</v>
      </c>
      <c r="F7" s="70">
        <v>840</v>
      </c>
      <c r="G7" s="76">
        <v>1.9450000000000001</v>
      </c>
      <c r="H7" s="87">
        <v>10</v>
      </c>
      <c r="I7" s="70">
        <v>600</v>
      </c>
      <c r="J7" s="76">
        <v>1.875</v>
      </c>
      <c r="K7" s="87">
        <v>10</v>
      </c>
      <c r="L7" s="70">
        <v>644</v>
      </c>
      <c r="M7" s="76">
        <v>1.913</v>
      </c>
      <c r="N7" s="87">
        <v>10</v>
      </c>
      <c r="O7" s="70">
        <v>686</v>
      </c>
      <c r="P7" s="76">
        <v>1.9019999999999999</v>
      </c>
      <c r="Q7" s="87" t="e">
        <f>NA()</f>
        <v>#N/A</v>
      </c>
      <c r="R7" s="70" t="e">
        <f>NA()</f>
        <v>#N/A</v>
      </c>
      <c r="S7" s="76" t="e">
        <f>NA()</f>
        <v>#N/A</v>
      </c>
      <c r="T7" s="87" t="e">
        <f>NA()</f>
        <v>#N/A</v>
      </c>
      <c r="U7" s="70" t="e">
        <f>NA()</f>
        <v>#N/A</v>
      </c>
      <c r="V7" s="76" t="e">
        <f>NA()</f>
        <v>#N/A</v>
      </c>
      <c r="X7" s="12" t="s">
        <v>99</v>
      </c>
      <c r="Z7" s="12" t="s">
        <v>107</v>
      </c>
      <c r="AA7" s="12"/>
      <c r="AB7" s="12"/>
      <c r="AD7" s="75" t="s">
        <v>9</v>
      </c>
      <c r="AE7" s="94" t="s">
        <v>108</v>
      </c>
      <c r="AF7" s="94" t="s">
        <v>92</v>
      </c>
      <c r="AG7" s="94">
        <f t="shared" si="0"/>
        <v>20</v>
      </c>
      <c r="AH7" s="94">
        <f t="shared" si="1"/>
        <v>78</v>
      </c>
      <c r="AI7" s="1">
        <v>2.4</v>
      </c>
      <c r="AJ7" s="94">
        <v>23</v>
      </c>
      <c r="AK7" s="1">
        <v>150</v>
      </c>
      <c r="AL7" s="94">
        <v>200</v>
      </c>
      <c r="AM7" s="1">
        <v>250</v>
      </c>
      <c r="AN7" s="96" t="e">
        <f>NA()</f>
        <v>#N/A</v>
      </c>
      <c r="AO7" s="76" t="e">
        <f>NA()</f>
        <v>#N/A</v>
      </c>
      <c r="AQ7" s="1">
        <v>250</v>
      </c>
      <c r="AR7" s="1"/>
      <c r="AS7" s="1">
        <v>250</v>
      </c>
      <c r="AT7" s="1">
        <v>250</v>
      </c>
      <c r="AU7" s="1">
        <v>250</v>
      </c>
      <c r="AV7" s="1">
        <v>250</v>
      </c>
      <c r="AW7" s="1">
        <v>200</v>
      </c>
      <c r="AX7" s="1">
        <v>200</v>
      </c>
      <c r="AY7" s="1">
        <v>200</v>
      </c>
      <c r="AZ7" s="1">
        <v>400</v>
      </c>
      <c r="BA7" s="1"/>
    </row>
    <row r="8" spans="2:54" hidden="1" x14ac:dyDescent="0.25">
      <c r="B8" s="75" t="s">
        <v>9</v>
      </c>
      <c r="C8" s="94" t="s">
        <v>87</v>
      </c>
      <c r="D8" s="94">
        <v>2</v>
      </c>
      <c r="E8" s="87">
        <v>15</v>
      </c>
      <c r="F8" s="70">
        <v>951</v>
      </c>
      <c r="G8" s="76">
        <v>1.923</v>
      </c>
      <c r="H8" s="87">
        <v>15</v>
      </c>
      <c r="I8" s="70">
        <v>650</v>
      </c>
      <c r="J8" s="76">
        <v>1.833</v>
      </c>
      <c r="K8" s="87">
        <v>15</v>
      </c>
      <c r="L8" s="70">
        <v>778</v>
      </c>
      <c r="M8" s="76">
        <v>1.883</v>
      </c>
      <c r="N8" s="87">
        <v>15</v>
      </c>
      <c r="O8" s="70">
        <v>937</v>
      </c>
      <c r="P8" s="76">
        <v>1.8779999999999999</v>
      </c>
      <c r="Q8" s="87" t="e">
        <f>NA()</f>
        <v>#N/A</v>
      </c>
      <c r="R8" s="70" t="e">
        <f>NA()</f>
        <v>#N/A</v>
      </c>
      <c r="S8" s="76" t="e">
        <f>NA()</f>
        <v>#N/A</v>
      </c>
      <c r="T8" s="87" t="e">
        <f>NA()</f>
        <v>#N/A</v>
      </c>
      <c r="U8" s="70" t="e">
        <f>NA()</f>
        <v>#N/A</v>
      </c>
      <c r="V8" s="76" t="e">
        <f>NA()</f>
        <v>#N/A</v>
      </c>
      <c r="Z8" s="12" t="s">
        <v>108</v>
      </c>
      <c r="AA8" s="12"/>
      <c r="AB8" s="12"/>
      <c r="AD8" s="77" t="s">
        <v>9</v>
      </c>
      <c r="AE8" s="95" t="s">
        <v>109</v>
      </c>
      <c r="AF8" s="95" t="s">
        <v>93</v>
      </c>
      <c r="AG8" s="95">
        <f t="shared" si="0"/>
        <v>18</v>
      </c>
      <c r="AH8" s="95">
        <f t="shared" si="1"/>
        <v>98</v>
      </c>
      <c r="AI8" s="78">
        <v>2.4</v>
      </c>
      <c r="AJ8" s="95">
        <v>23</v>
      </c>
      <c r="AK8" s="78">
        <v>150</v>
      </c>
      <c r="AL8" s="95">
        <v>200</v>
      </c>
      <c r="AM8" s="78">
        <v>250</v>
      </c>
      <c r="AN8" s="97" t="e">
        <f>NA()</f>
        <v>#N/A</v>
      </c>
      <c r="AO8" s="80" t="e">
        <f>NA()</f>
        <v>#N/A</v>
      </c>
      <c r="AQ8" s="1"/>
      <c r="AR8" s="1"/>
      <c r="AS8" s="1"/>
      <c r="AT8" s="1"/>
      <c r="AU8" s="1"/>
      <c r="AV8" s="1"/>
      <c r="AW8" s="1">
        <v>250</v>
      </c>
      <c r="AX8" s="1">
        <v>250</v>
      </c>
      <c r="AY8" s="1">
        <v>250</v>
      </c>
      <c r="AZ8" s="1"/>
      <c r="BA8" s="1"/>
    </row>
    <row r="9" spans="2:54" hidden="1" x14ac:dyDescent="0.25">
      <c r="B9" s="75" t="s">
        <v>9</v>
      </c>
      <c r="C9" s="94" t="s">
        <v>87</v>
      </c>
      <c r="D9" s="94">
        <v>2</v>
      </c>
      <c r="E9" s="87">
        <v>20</v>
      </c>
      <c r="F9" s="70">
        <v>983</v>
      </c>
      <c r="G9" s="76">
        <v>1.9019999999999999</v>
      </c>
      <c r="H9" s="87">
        <v>20</v>
      </c>
      <c r="I9" s="70">
        <v>872</v>
      </c>
      <c r="J9" s="76">
        <v>1.8029999999999999</v>
      </c>
      <c r="K9" s="87">
        <v>20</v>
      </c>
      <c r="L9" s="70">
        <v>905</v>
      </c>
      <c r="M9" s="76">
        <v>1.8560000000000001</v>
      </c>
      <c r="N9" s="87">
        <v>20</v>
      </c>
      <c r="O9" s="70">
        <v>960</v>
      </c>
      <c r="P9" s="76">
        <v>1.8540000000000001</v>
      </c>
      <c r="Q9" s="87" t="e">
        <f>NA()</f>
        <v>#N/A</v>
      </c>
      <c r="R9" s="70" t="e">
        <f>NA()</f>
        <v>#N/A</v>
      </c>
      <c r="S9" s="76" t="e">
        <f>NA()</f>
        <v>#N/A</v>
      </c>
      <c r="T9" s="87" t="e">
        <f>NA()</f>
        <v>#N/A</v>
      </c>
      <c r="U9" s="70" t="e">
        <f>NA()</f>
        <v>#N/A</v>
      </c>
      <c r="V9" s="76" t="e">
        <f>NA()</f>
        <v>#N/A</v>
      </c>
      <c r="Z9" s="12" t="s">
        <v>109</v>
      </c>
      <c r="AA9" s="12"/>
      <c r="AB9" s="12"/>
      <c r="AD9" s="71" t="s">
        <v>85</v>
      </c>
      <c r="AE9" s="93" t="s">
        <v>100</v>
      </c>
      <c r="AF9" s="93" t="s">
        <v>94</v>
      </c>
      <c r="AG9" s="93">
        <f t="shared" si="0"/>
        <v>16</v>
      </c>
      <c r="AH9" s="93">
        <f t="shared" si="1"/>
        <v>116</v>
      </c>
      <c r="AI9" s="72">
        <v>2</v>
      </c>
      <c r="AJ9" s="93">
        <v>23</v>
      </c>
      <c r="AK9" s="72">
        <v>100</v>
      </c>
      <c r="AL9" s="93">
        <v>150</v>
      </c>
      <c r="AM9" s="72">
        <v>200</v>
      </c>
      <c r="AN9" s="98">
        <v>250</v>
      </c>
      <c r="AO9" s="74" t="e">
        <f>NA()</f>
        <v>#N/A</v>
      </c>
      <c r="AQ9" s="1"/>
      <c r="AR9" s="1"/>
      <c r="AS9" s="1"/>
      <c r="AT9" s="1"/>
      <c r="AU9" s="1"/>
      <c r="AV9" s="1"/>
      <c r="AW9" s="1"/>
      <c r="AX9" s="1">
        <v>300</v>
      </c>
      <c r="AY9" s="1">
        <v>300</v>
      </c>
      <c r="AZ9" s="1"/>
      <c r="BA9" s="1"/>
    </row>
    <row r="10" spans="2:54" hidden="1" x14ac:dyDescent="0.25">
      <c r="B10" s="75" t="s">
        <v>9</v>
      </c>
      <c r="C10" s="94" t="s">
        <v>87</v>
      </c>
      <c r="D10" s="94">
        <v>2</v>
      </c>
      <c r="E10" s="87">
        <v>25</v>
      </c>
      <c r="F10" s="70">
        <v>1120</v>
      </c>
      <c r="G10" s="76">
        <v>1.881</v>
      </c>
      <c r="H10" s="87">
        <v>25</v>
      </c>
      <c r="I10" s="70">
        <v>895</v>
      </c>
      <c r="J10" s="76">
        <v>1.7729999999999999</v>
      </c>
      <c r="K10" s="87">
        <v>25</v>
      </c>
      <c r="L10" s="70">
        <v>1117</v>
      </c>
      <c r="M10" s="76">
        <v>1.831</v>
      </c>
      <c r="N10" s="87">
        <v>25</v>
      </c>
      <c r="O10" s="70">
        <v>1243</v>
      </c>
      <c r="P10" s="76">
        <v>1.8320000000000001</v>
      </c>
      <c r="Q10" s="87" t="e">
        <f>NA()</f>
        <v>#N/A</v>
      </c>
      <c r="R10" s="70" t="e">
        <f>NA()</f>
        <v>#N/A</v>
      </c>
      <c r="S10" s="76" t="e">
        <f>NA()</f>
        <v>#N/A</v>
      </c>
      <c r="T10" s="87" t="e">
        <f>NA()</f>
        <v>#N/A</v>
      </c>
      <c r="U10" s="70" t="e">
        <f>NA()</f>
        <v>#N/A</v>
      </c>
      <c r="V10" s="76" t="e">
        <f>NA()</f>
        <v>#N/A</v>
      </c>
      <c r="AD10" s="75" t="s">
        <v>85</v>
      </c>
      <c r="AE10" s="94" t="s">
        <v>102</v>
      </c>
      <c r="AF10" s="94" t="s">
        <v>95</v>
      </c>
      <c r="AG10" s="94">
        <f t="shared" si="0"/>
        <v>14</v>
      </c>
      <c r="AH10" s="94">
        <f t="shared" si="1"/>
        <v>132</v>
      </c>
      <c r="AI10" s="1">
        <v>2</v>
      </c>
      <c r="AJ10" s="94">
        <v>23</v>
      </c>
      <c r="AK10" s="1">
        <v>100</v>
      </c>
      <c r="AL10" s="94">
        <v>150</v>
      </c>
      <c r="AM10" s="1">
        <v>200</v>
      </c>
      <c r="AN10" s="96">
        <v>250</v>
      </c>
      <c r="AO10" s="76">
        <v>300</v>
      </c>
    </row>
    <row r="11" spans="2:54" hidden="1" x14ac:dyDescent="0.25">
      <c r="B11" s="75" t="s">
        <v>9</v>
      </c>
      <c r="C11" s="94" t="s">
        <v>87</v>
      </c>
      <c r="D11" s="94">
        <v>2</v>
      </c>
      <c r="E11" s="87">
        <v>30</v>
      </c>
      <c r="F11" s="70">
        <v>1234</v>
      </c>
      <c r="G11" s="76">
        <v>1.863</v>
      </c>
      <c r="H11" s="87">
        <v>30</v>
      </c>
      <c r="I11" s="70">
        <v>1172</v>
      </c>
      <c r="J11" s="76">
        <v>1.7490000000000001</v>
      </c>
      <c r="K11" s="87">
        <v>30</v>
      </c>
      <c r="L11" s="70">
        <v>1262</v>
      </c>
      <c r="M11" s="76">
        <v>1.8080000000000001</v>
      </c>
      <c r="N11" s="87">
        <v>30</v>
      </c>
      <c r="O11" s="70">
        <v>1402</v>
      </c>
      <c r="P11" s="76">
        <v>1.8109999999999999</v>
      </c>
      <c r="Q11" s="87" t="e">
        <f>NA()</f>
        <v>#N/A</v>
      </c>
      <c r="R11" s="70" t="e">
        <f>NA()</f>
        <v>#N/A</v>
      </c>
      <c r="S11" s="76" t="e">
        <f>NA()</f>
        <v>#N/A</v>
      </c>
      <c r="T11" s="87" t="e">
        <f>NA()</f>
        <v>#N/A</v>
      </c>
      <c r="U11" s="70" t="e">
        <f>NA()</f>
        <v>#N/A</v>
      </c>
      <c r="V11" s="76" t="e">
        <f>NA()</f>
        <v>#N/A</v>
      </c>
      <c r="X11" s="101" t="str">
        <f>VLOOKUP('gasket curve'!C3,AE3:AI14,2,FALSE)</f>
        <v>GAR_2</v>
      </c>
      <c r="Y11" s="101"/>
      <c r="AD11" s="75" t="s">
        <v>85</v>
      </c>
      <c r="AE11" s="94" t="s">
        <v>106</v>
      </c>
      <c r="AF11" s="94" t="s">
        <v>96</v>
      </c>
      <c r="AG11" s="94">
        <f t="shared" si="0"/>
        <v>16</v>
      </c>
      <c r="AH11" s="94">
        <f t="shared" si="1"/>
        <v>146</v>
      </c>
      <c r="AI11" s="1">
        <v>2</v>
      </c>
      <c r="AJ11" s="94">
        <v>23</v>
      </c>
      <c r="AK11" s="1">
        <v>100</v>
      </c>
      <c r="AL11" s="94">
        <v>150</v>
      </c>
      <c r="AM11" s="1">
        <v>200</v>
      </c>
      <c r="AN11" s="96">
        <v>250</v>
      </c>
      <c r="AO11" s="76">
        <v>300</v>
      </c>
    </row>
    <row r="12" spans="2:54" hidden="1" x14ac:dyDescent="0.25">
      <c r="B12" s="75" t="s">
        <v>9</v>
      </c>
      <c r="C12" s="94" t="s">
        <v>87</v>
      </c>
      <c r="D12" s="94">
        <v>2</v>
      </c>
      <c r="E12" s="87">
        <v>40</v>
      </c>
      <c r="F12" s="70">
        <v>1597</v>
      </c>
      <c r="G12" s="76">
        <v>1.831</v>
      </c>
      <c r="H12" s="87">
        <v>40</v>
      </c>
      <c r="I12" s="70">
        <v>2022</v>
      </c>
      <c r="J12" s="76">
        <v>1.7170000000000001</v>
      </c>
      <c r="K12" s="87">
        <v>40</v>
      </c>
      <c r="L12" s="70">
        <v>1786</v>
      </c>
      <c r="M12" s="76">
        <v>1.776</v>
      </c>
      <c r="N12" s="87">
        <v>40</v>
      </c>
      <c r="O12" s="70">
        <v>1975</v>
      </c>
      <c r="P12" s="76">
        <v>1.784</v>
      </c>
      <c r="Q12" s="87" t="e">
        <f>NA()</f>
        <v>#N/A</v>
      </c>
      <c r="R12" s="70" t="e">
        <f>NA()</f>
        <v>#N/A</v>
      </c>
      <c r="S12" s="76" t="e">
        <f>NA()</f>
        <v>#N/A</v>
      </c>
      <c r="T12" s="87" t="e">
        <f>NA()</f>
        <v>#N/A</v>
      </c>
      <c r="U12" s="70" t="e">
        <f>NA()</f>
        <v>#N/A</v>
      </c>
      <c r="V12" s="76" t="e">
        <f>NA()</f>
        <v>#N/A</v>
      </c>
      <c r="X12" s="101" t="s">
        <v>110</v>
      </c>
      <c r="Y12" s="101">
        <f>MATCH('gasket curve'!C2,manu,0)</f>
        <v>1</v>
      </c>
      <c r="AD12" s="71" t="s">
        <v>86</v>
      </c>
      <c r="AE12" s="93" t="s">
        <v>101</v>
      </c>
      <c r="AF12" s="93" t="s">
        <v>97</v>
      </c>
      <c r="AG12" s="93">
        <f t="shared" si="0"/>
        <v>17</v>
      </c>
      <c r="AH12" s="93">
        <f t="shared" si="1"/>
        <v>162</v>
      </c>
      <c r="AI12" s="72">
        <v>0.55000000000000004</v>
      </c>
      <c r="AJ12" s="93">
        <v>23</v>
      </c>
      <c r="AK12" s="72">
        <v>150</v>
      </c>
      <c r="AL12" s="93">
        <v>300</v>
      </c>
      <c r="AM12" s="72">
        <v>400</v>
      </c>
      <c r="AN12" s="98" t="e">
        <f>NA()</f>
        <v>#N/A</v>
      </c>
      <c r="AO12" s="74" t="e">
        <f>NA()</f>
        <v>#N/A</v>
      </c>
    </row>
    <row r="13" spans="2:54" hidden="1" x14ac:dyDescent="0.25">
      <c r="B13" s="75" t="s">
        <v>9</v>
      </c>
      <c r="C13" s="94" t="s">
        <v>87</v>
      </c>
      <c r="D13" s="94">
        <v>2</v>
      </c>
      <c r="E13" s="87">
        <v>50</v>
      </c>
      <c r="F13" s="70">
        <v>1815</v>
      </c>
      <c r="G13" s="76">
        <v>1.8009999999999999</v>
      </c>
      <c r="H13" s="87">
        <v>50</v>
      </c>
      <c r="I13" s="70">
        <v>2017</v>
      </c>
      <c r="J13" s="76">
        <v>1.6779999999999999</v>
      </c>
      <c r="K13" s="87">
        <v>50</v>
      </c>
      <c r="L13" s="70">
        <v>2542</v>
      </c>
      <c r="M13" s="76">
        <v>1.7509999999999999</v>
      </c>
      <c r="N13" s="87">
        <v>50</v>
      </c>
      <c r="O13" s="70">
        <v>2798</v>
      </c>
      <c r="P13" s="76">
        <v>1.766</v>
      </c>
      <c r="Q13" s="87" t="e">
        <f>NA()</f>
        <v>#N/A</v>
      </c>
      <c r="R13" s="70" t="e">
        <f>NA()</f>
        <v>#N/A</v>
      </c>
      <c r="S13" s="76" t="e">
        <f>NA()</f>
        <v>#N/A</v>
      </c>
      <c r="T13" s="87" t="e">
        <f>NA()</f>
        <v>#N/A</v>
      </c>
      <c r="U13" s="70" t="e">
        <f>NA()</f>
        <v>#N/A</v>
      </c>
      <c r="V13" s="76" t="e">
        <f>NA()</f>
        <v>#N/A</v>
      </c>
      <c r="X13" s="101" t="s">
        <v>81</v>
      </c>
      <c r="Y13" s="101">
        <f ca="1">MATCH('gasket curve'!C3,INDIRECT('gasket curve'!C2),0)</f>
        <v>2</v>
      </c>
      <c r="AD13" s="134" t="s">
        <v>86</v>
      </c>
      <c r="AE13" s="101" t="s">
        <v>103</v>
      </c>
      <c r="AF13" s="101" t="s">
        <v>98</v>
      </c>
      <c r="AG13" s="101">
        <f t="shared" si="0"/>
        <v>14</v>
      </c>
      <c r="AH13" s="101">
        <f t="shared" si="1"/>
        <v>179</v>
      </c>
      <c r="AI13" s="135">
        <v>1</v>
      </c>
      <c r="AJ13" s="101">
        <v>23</v>
      </c>
      <c r="AK13" s="135">
        <v>150</v>
      </c>
      <c r="AL13" s="101">
        <v>300</v>
      </c>
      <c r="AM13" s="135" t="e">
        <v>#N/A</v>
      </c>
      <c r="AN13" s="136" t="e">
        <v>#N/A</v>
      </c>
      <c r="AO13" s="137" t="e">
        <v>#N/A</v>
      </c>
    </row>
    <row r="14" spans="2:54" hidden="1" x14ac:dyDescent="0.25">
      <c r="B14" s="75" t="s">
        <v>9</v>
      </c>
      <c r="C14" s="94" t="s">
        <v>87</v>
      </c>
      <c r="D14" s="94">
        <v>2</v>
      </c>
      <c r="E14" s="87">
        <v>60</v>
      </c>
      <c r="F14" s="70">
        <v>2011</v>
      </c>
      <c r="G14" s="76">
        <v>1.7729999999999999</v>
      </c>
      <c r="H14" s="87">
        <v>60</v>
      </c>
      <c r="I14" s="70">
        <v>2877</v>
      </c>
      <c r="J14" s="76">
        <v>1.651</v>
      </c>
      <c r="K14" s="87">
        <v>60</v>
      </c>
      <c r="L14" s="70">
        <v>3142</v>
      </c>
      <c r="M14" s="76">
        <v>1.724</v>
      </c>
      <c r="N14" s="87">
        <v>60</v>
      </c>
      <c r="O14" s="70">
        <v>3772</v>
      </c>
      <c r="P14" s="76">
        <v>1.7549999999999999</v>
      </c>
      <c r="Q14" s="87" t="e">
        <f>NA()</f>
        <v>#N/A</v>
      </c>
      <c r="R14" s="70" t="e">
        <f>NA()</f>
        <v>#N/A</v>
      </c>
      <c r="S14" s="76" t="e">
        <f>NA()</f>
        <v>#N/A</v>
      </c>
      <c r="T14" s="87" t="e">
        <f>NA()</f>
        <v>#N/A</v>
      </c>
      <c r="U14" s="70" t="e">
        <f>NA()</f>
        <v>#N/A</v>
      </c>
      <c r="V14" s="76" t="e">
        <f>NA()</f>
        <v>#N/A</v>
      </c>
      <c r="X14" s="101" t="s">
        <v>111</v>
      </c>
      <c r="Y14" s="101">
        <f ca="1">MATCH('gasket curve'!C5,INDIRECT(X11),0)</f>
        <v>1</v>
      </c>
      <c r="AD14" s="134" t="s">
        <v>99</v>
      </c>
      <c r="AE14" s="101" t="s">
        <v>99</v>
      </c>
      <c r="AF14" s="101" t="s">
        <v>99</v>
      </c>
      <c r="AG14" s="101">
        <f t="shared" si="0"/>
        <v>14</v>
      </c>
      <c r="AH14" s="101">
        <f t="shared" si="1"/>
        <v>193</v>
      </c>
      <c r="AI14" s="135" t="s">
        <v>99</v>
      </c>
      <c r="AJ14" s="101" t="s">
        <v>99</v>
      </c>
      <c r="AK14" s="135" t="e">
        <v>#N/A</v>
      </c>
      <c r="AL14" s="101" t="e">
        <v>#N/A</v>
      </c>
      <c r="AM14" s="135" t="e">
        <v>#N/A</v>
      </c>
      <c r="AN14" s="136" t="e">
        <v>#N/A</v>
      </c>
      <c r="AO14" s="137" t="e">
        <v>#N/A</v>
      </c>
    </row>
    <row r="15" spans="2:54" hidden="1" x14ac:dyDescent="0.25">
      <c r="B15" s="75" t="s">
        <v>9</v>
      </c>
      <c r="C15" s="94" t="s">
        <v>87</v>
      </c>
      <c r="D15" s="94">
        <v>2</v>
      </c>
      <c r="E15" s="87">
        <v>80</v>
      </c>
      <c r="F15" s="70">
        <v>3401</v>
      </c>
      <c r="G15" s="76">
        <v>1.742</v>
      </c>
      <c r="H15" s="87">
        <v>80</v>
      </c>
      <c r="I15" s="70">
        <v>3945</v>
      </c>
      <c r="J15" s="76">
        <v>1.591</v>
      </c>
      <c r="K15" s="87">
        <v>80</v>
      </c>
      <c r="L15" s="70">
        <v>3317</v>
      </c>
      <c r="M15" s="76">
        <v>1.637</v>
      </c>
      <c r="N15" s="87" t="e">
        <f>NA()</f>
        <v>#N/A</v>
      </c>
      <c r="O15" s="70" t="e">
        <f>NA()</f>
        <v>#N/A</v>
      </c>
      <c r="P15" s="76" t="e">
        <f>NA()</f>
        <v>#N/A</v>
      </c>
      <c r="Q15" s="87" t="e">
        <f>NA()</f>
        <v>#N/A</v>
      </c>
      <c r="R15" s="70" t="e">
        <f>NA()</f>
        <v>#N/A</v>
      </c>
      <c r="S15" s="76" t="e">
        <f>NA()</f>
        <v>#N/A</v>
      </c>
      <c r="T15" s="87" t="e">
        <f>NA()</f>
        <v>#N/A</v>
      </c>
      <c r="U15" s="70" t="e">
        <f>NA()</f>
        <v>#N/A</v>
      </c>
      <c r="V15" s="76" t="e">
        <f>NA()</f>
        <v>#N/A</v>
      </c>
      <c r="X15" s="101" t="s">
        <v>112</v>
      </c>
      <c r="Y15" s="102">
        <f>VLOOKUP('gasket curve'!C3,database!AE3:AI14,3,FALSE)</f>
        <v>20</v>
      </c>
      <c r="AA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2:54" hidden="1" x14ac:dyDescent="0.25">
      <c r="B16" s="75" t="s">
        <v>9</v>
      </c>
      <c r="C16" s="94" t="s">
        <v>87</v>
      </c>
      <c r="D16" s="94">
        <v>2</v>
      </c>
      <c r="E16" s="87">
        <v>100</v>
      </c>
      <c r="F16" s="70">
        <v>4500</v>
      </c>
      <c r="G16" s="76">
        <v>1.72</v>
      </c>
      <c r="H16" s="87">
        <v>100</v>
      </c>
      <c r="I16" s="70">
        <v>4237</v>
      </c>
      <c r="J16" s="76">
        <v>1.5229999999999999</v>
      </c>
      <c r="K16" s="87" t="e">
        <f>NA()</f>
        <v>#N/A</v>
      </c>
      <c r="L16" s="70" t="e">
        <f>NA()</f>
        <v>#N/A</v>
      </c>
      <c r="M16" s="76" t="e">
        <f>NA()</f>
        <v>#N/A</v>
      </c>
      <c r="N16" s="87" t="e">
        <f>NA()</f>
        <v>#N/A</v>
      </c>
      <c r="O16" s="70" t="e">
        <f>NA()</f>
        <v>#N/A</v>
      </c>
      <c r="P16" s="76" t="e">
        <f>NA()</f>
        <v>#N/A</v>
      </c>
      <c r="Q16" s="87" t="e">
        <f>NA()</f>
        <v>#N/A</v>
      </c>
      <c r="R16" s="70" t="e">
        <f>NA()</f>
        <v>#N/A</v>
      </c>
      <c r="S16" s="76" t="e">
        <f>NA()</f>
        <v>#N/A</v>
      </c>
      <c r="T16" s="87" t="e">
        <f>NA()</f>
        <v>#N/A</v>
      </c>
      <c r="U16" s="70" t="e">
        <f>NA()</f>
        <v>#N/A</v>
      </c>
      <c r="V16" s="76" t="e">
        <f>NA()</f>
        <v>#N/A</v>
      </c>
      <c r="X16" s="101" t="s">
        <v>83</v>
      </c>
      <c r="Y16" s="102">
        <f>VLOOKUP('gasket curve'!C3,database!AE3:AI14,4,FALSE)</f>
        <v>20</v>
      </c>
      <c r="AA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2:41" hidden="1" x14ac:dyDescent="0.25">
      <c r="B17" s="75" t="s">
        <v>9</v>
      </c>
      <c r="C17" s="94" t="s">
        <v>87</v>
      </c>
      <c r="D17" s="94">
        <v>2</v>
      </c>
      <c r="E17" s="87">
        <v>120</v>
      </c>
      <c r="F17" s="70">
        <v>5041</v>
      </c>
      <c r="G17" s="76">
        <v>1.7</v>
      </c>
      <c r="H17" s="87">
        <v>120</v>
      </c>
      <c r="I17" s="70">
        <v>3880</v>
      </c>
      <c r="J17" s="76">
        <v>1.4510000000000001</v>
      </c>
      <c r="K17" s="87" t="e">
        <f>NA()</f>
        <v>#N/A</v>
      </c>
      <c r="L17" s="70" t="e">
        <f>NA()</f>
        <v>#N/A</v>
      </c>
      <c r="M17" s="76" t="e">
        <f>NA()</f>
        <v>#N/A</v>
      </c>
      <c r="N17" s="87" t="e">
        <f>NA()</f>
        <v>#N/A</v>
      </c>
      <c r="O17" s="70" t="e">
        <f>NA()</f>
        <v>#N/A</v>
      </c>
      <c r="P17" s="76" t="e">
        <f>NA()</f>
        <v>#N/A</v>
      </c>
      <c r="Q17" s="87" t="e">
        <f>NA()</f>
        <v>#N/A</v>
      </c>
      <c r="R17" s="70" t="e">
        <f>NA()</f>
        <v>#N/A</v>
      </c>
      <c r="S17" s="76" t="e">
        <f>NA()</f>
        <v>#N/A</v>
      </c>
      <c r="T17" s="87" t="e">
        <f>NA()</f>
        <v>#N/A</v>
      </c>
      <c r="U17" s="70" t="e">
        <f>NA()</f>
        <v>#N/A</v>
      </c>
      <c r="V17" s="76" t="e">
        <f>NA()</f>
        <v>#N/A</v>
      </c>
      <c r="AA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2:41" hidden="1" x14ac:dyDescent="0.25">
      <c r="B18" s="75" t="s">
        <v>9</v>
      </c>
      <c r="C18" s="94" t="s">
        <v>87</v>
      </c>
      <c r="D18" s="94">
        <v>2</v>
      </c>
      <c r="E18" s="87">
        <v>140</v>
      </c>
      <c r="F18" s="70">
        <v>6209</v>
      </c>
      <c r="G18" s="76">
        <v>1.6850000000000001</v>
      </c>
      <c r="H18" s="87">
        <v>140</v>
      </c>
      <c r="I18" s="70">
        <v>4359</v>
      </c>
      <c r="J18" s="76">
        <v>1.3879999999999999</v>
      </c>
      <c r="K18" s="87" t="e">
        <f>NA()</f>
        <v>#N/A</v>
      </c>
      <c r="L18" s="70" t="e">
        <f>NA()</f>
        <v>#N/A</v>
      </c>
      <c r="M18" s="76" t="e">
        <f>NA()</f>
        <v>#N/A</v>
      </c>
      <c r="N18" s="87" t="e">
        <f>NA()</f>
        <v>#N/A</v>
      </c>
      <c r="O18" s="70" t="e">
        <f>NA()</f>
        <v>#N/A</v>
      </c>
      <c r="P18" s="76" t="e">
        <f>NA()</f>
        <v>#N/A</v>
      </c>
      <c r="Q18" s="87" t="e">
        <f>NA()</f>
        <v>#N/A</v>
      </c>
      <c r="R18" s="70" t="e">
        <f>NA()</f>
        <v>#N/A</v>
      </c>
      <c r="S18" s="76" t="e">
        <f>NA()</f>
        <v>#N/A</v>
      </c>
      <c r="T18" s="87" t="e">
        <f>NA()</f>
        <v>#N/A</v>
      </c>
      <c r="U18" s="70" t="e">
        <f>NA()</f>
        <v>#N/A</v>
      </c>
      <c r="V18" s="76" t="e">
        <f>NA()</f>
        <v>#N/A</v>
      </c>
      <c r="AA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2:41" hidden="1" x14ac:dyDescent="0.25">
      <c r="B19" s="75" t="s">
        <v>9</v>
      </c>
      <c r="C19" s="94" t="s">
        <v>87</v>
      </c>
      <c r="D19" s="94">
        <v>2</v>
      </c>
      <c r="E19" s="87">
        <v>160</v>
      </c>
      <c r="F19" s="70">
        <v>6031</v>
      </c>
      <c r="G19" s="76">
        <v>1.665</v>
      </c>
      <c r="H19" s="87" t="e">
        <f>NA()</f>
        <v>#N/A</v>
      </c>
      <c r="I19" s="70" t="e">
        <f>NA()</f>
        <v>#N/A</v>
      </c>
      <c r="J19" s="76" t="e">
        <f>NA()</f>
        <v>#N/A</v>
      </c>
      <c r="K19" s="87" t="e">
        <f>NA()</f>
        <v>#N/A</v>
      </c>
      <c r="L19" s="70" t="e">
        <f>NA()</f>
        <v>#N/A</v>
      </c>
      <c r="M19" s="76" t="e">
        <f>NA()</f>
        <v>#N/A</v>
      </c>
      <c r="N19" s="87" t="e">
        <f>NA()</f>
        <v>#N/A</v>
      </c>
      <c r="O19" s="70" t="e">
        <f>NA()</f>
        <v>#N/A</v>
      </c>
      <c r="P19" s="76" t="e">
        <f>NA()</f>
        <v>#N/A</v>
      </c>
      <c r="Q19" s="87" t="e">
        <f>NA()</f>
        <v>#N/A</v>
      </c>
      <c r="R19" s="70" t="e">
        <f>NA()</f>
        <v>#N/A</v>
      </c>
      <c r="S19" s="76" t="e">
        <f>NA()</f>
        <v>#N/A</v>
      </c>
      <c r="T19" s="87" t="e">
        <f>NA()</f>
        <v>#N/A</v>
      </c>
      <c r="U19" s="70" t="e">
        <f>NA()</f>
        <v>#N/A</v>
      </c>
      <c r="V19" s="76" t="e">
        <f>NA()</f>
        <v>#N/A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2:41" hidden="1" x14ac:dyDescent="0.25">
      <c r="B20" s="75" t="s">
        <v>9</v>
      </c>
      <c r="C20" s="94" t="s">
        <v>87</v>
      </c>
      <c r="D20" s="94">
        <v>2</v>
      </c>
      <c r="E20" s="87">
        <v>180</v>
      </c>
      <c r="F20" s="70">
        <v>5782</v>
      </c>
      <c r="G20" s="76">
        <v>1.645</v>
      </c>
      <c r="H20" s="87" t="e">
        <f>NA()</f>
        <v>#N/A</v>
      </c>
      <c r="I20" s="70" t="e">
        <f>NA()</f>
        <v>#N/A</v>
      </c>
      <c r="J20" s="76" t="e">
        <f>NA()</f>
        <v>#N/A</v>
      </c>
      <c r="K20" s="87" t="e">
        <f>NA()</f>
        <v>#N/A</v>
      </c>
      <c r="L20" s="70" t="e">
        <f>NA()</f>
        <v>#N/A</v>
      </c>
      <c r="M20" s="76" t="e">
        <f>NA()</f>
        <v>#N/A</v>
      </c>
      <c r="N20" s="87" t="e">
        <f>NA()</f>
        <v>#N/A</v>
      </c>
      <c r="O20" s="70" t="e">
        <f>NA()</f>
        <v>#N/A</v>
      </c>
      <c r="P20" s="76" t="e">
        <f>NA()</f>
        <v>#N/A</v>
      </c>
      <c r="Q20" s="87" t="e">
        <f>NA()</f>
        <v>#N/A</v>
      </c>
      <c r="R20" s="70" t="e">
        <f>NA()</f>
        <v>#N/A</v>
      </c>
      <c r="S20" s="76" t="e">
        <f>NA()</f>
        <v>#N/A</v>
      </c>
      <c r="T20" s="87" t="e">
        <f>NA()</f>
        <v>#N/A</v>
      </c>
      <c r="U20" s="70" t="e">
        <f>NA()</f>
        <v>#N/A</v>
      </c>
      <c r="V20" s="76" t="e">
        <f>NA()</f>
        <v>#N/A</v>
      </c>
      <c r="X20" s="1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2:41" hidden="1" x14ac:dyDescent="0.25">
      <c r="B21" s="75" t="s">
        <v>9</v>
      </c>
      <c r="C21" s="94" t="s">
        <v>87</v>
      </c>
      <c r="D21" s="94">
        <v>2</v>
      </c>
      <c r="E21" s="87">
        <v>200</v>
      </c>
      <c r="F21" s="70">
        <v>7415</v>
      </c>
      <c r="G21" s="76">
        <v>1.63</v>
      </c>
      <c r="H21" s="87" t="e">
        <f>NA()</f>
        <v>#N/A</v>
      </c>
      <c r="I21" s="70" t="e">
        <f>NA()</f>
        <v>#N/A</v>
      </c>
      <c r="J21" s="76" t="e">
        <f>NA()</f>
        <v>#N/A</v>
      </c>
      <c r="K21" s="87" t="e">
        <f>NA()</f>
        <v>#N/A</v>
      </c>
      <c r="L21" s="70" t="e">
        <f>NA()</f>
        <v>#N/A</v>
      </c>
      <c r="M21" s="76" t="e">
        <f>NA()</f>
        <v>#N/A</v>
      </c>
      <c r="N21" s="87" t="e">
        <f>NA()</f>
        <v>#N/A</v>
      </c>
      <c r="O21" s="70" t="e">
        <f>NA()</f>
        <v>#N/A</v>
      </c>
      <c r="P21" s="76" t="e">
        <f>NA()</f>
        <v>#N/A</v>
      </c>
      <c r="Q21" s="87" t="e">
        <f>NA()</f>
        <v>#N/A</v>
      </c>
      <c r="R21" s="70" t="e">
        <f>NA()</f>
        <v>#N/A</v>
      </c>
      <c r="S21" s="76" t="e">
        <f>NA()</f>
        <v>#N/A</v>
      </c>
      <c r="T21" s="87" t="e">
        <f>NA()</f>
        <v>#N/A</v>
      </c>
      <c r="U21" s="70" t="e">
        <f>NA()</f>
        <v>#N/A</v>
      </c>
      <c r="V21" s="76" t="e">
        <f>NA()</f>
        <v>#N/A</v>
      </c>
    </row>
    <row r="22" spans="2:41" hidden="1" x14ac:dyDescent="0.25">
      <c r="B22" s="77" t="s">
        <v>9</v>
      </c>
      <c r="C22" s="95" t="s">
        <v>87</v>
      </c>
      <c r="D22" s="95">
        <v>2</v>
      </c>
      <c r="E22" s="88">
        <v>220</v>
      </c>
      <c r="F22" s="79">
        <v>7891</v>
      </c>
      <c r="G22" s="80">
        <v>1.611</v>
      </c>
      <c r="H22" s="88" t="e">
        <f>NA()</f>
        <v>#N/A</v>
      </c>
      <c r="I22" s="79" t="e">
        <f>NA()</f>
        <v>#N/A</v>
      </c>
      <c r="J22" s="80" t="e">
        <f>NA()</f>
        <v>#N/A</v>
      </c>
      <c r="K22" s="88" t="e">
        <f>NA()</f>
        <v>#N/A</v>
      </c>
      <c r="L22" s="79" t="e">
        <f>NA()</f>
        <v>#N/A</v>
      </c>
      <c r="M22" s="80" t="e">
        <f>NA()</f>
        <v>#N/A</v>
      </c>
      <c r="N22" s="88" t="e">
        <f>NA()</f>
        <v>#N/A</v>
      </c>
      <c r="O22" s="79" t="e">
        <f>NA()</f>
        <v>#N/A</v>
      </c>
      <c r="P22" s="80" t="e">
        <f>NA()</f>
        <v>#N/A</v>
      </c>
      <c r="Q22" s="88" t="e">
        <f>NA()</f>
        <v>#N/A</v>
      </c>
      <c r="R22" s="79" t="e">
        <f>NA()</f>
        <v>#N/A</v>
      </c>
      <c r="S22" s="80" t="e">
        <f>NA()</f>
        <v>#N/A</v>
      </c>
      <c r="T22" s="88" t="e">
        <f>NA()</f>
        <v>#N/A</v>
      </c>
      <c r="U22" s="79" t="e">
        <f>NA()</f>
        <v>#N/A</v>
      </c>
      <c r="V22" s="80" t="e">
        <f>NA()</f>
        <v>#N/A</v>
      </c>
    </row>
    <row r="23" spans="2:41" hidden="1" x14ac:dyDescent="0.25">
      <c r="B23" s="71" t="s">
        <v>9</v>
      </c>
      <c r="C23" s="93">
        <v>9900</v>
      </c>
      <c r="D23" s="93">
        <v>2</v>
      </c>
      <c r="E23" s="71">
        <v>0</v>
      </c>
      <c r="F23" s="72">
        <v>0</v>
      </c>
      <c r="G23" s="89">
        <v>1.931</v>
      </c>
      <c r="H23" s="71">
        <v>0</v>
      </c>
      <c r="I23" s="72">
        <v>0</v>
      </c>
      <c r="J23" s="89">
        <v>1.9350000000000001</v>
      </c>
      <c r="K23" s="71">
        <v>0</v>
      </c>
      <c r="L23" s="72">
        <v>0</v>
      </c>
      <c r="M23" s="89">
        <v>1.9550000000000001</v>
      </c>
      <c r="N23" s="71" t="e">
        <f>NA()</f>
        <v>#N/A</v>
      </c>
      <c r="O23" s="72" t="e">
        <f>NA()</f>
        <v>#N/A</v>
      </c>
      <c r="P23" s="89" t="e">
        <f>NA()</f>
        <v>#N/A</v>
      </c>
      <c r="Q23" s="71" t="e">
        <f>NA()</f>
        <v>#N/A</v>
      </c>
      <c r="R23" s="72" t="e">
        <f>NA()</f>
        <v>#N/A</v>
      </c>
      <c r="S23" s="89" t="e">
        <f>NA()</f>
        <v>#N/A</v>
      </c>
      <c r="T23" s="71" t="e">
        <f>NA()</f>
        <v>#N/A</v>
      </c>
      <c r="U23" s="72" t="e">
        <f>NA()</f>
        <v>#N/A</v>
      </c>
      <c r="V23" s="89" t="e">
        <f>NA()</f>
        <v>#N/A</v>
      </c>
    </row>
    <row r="24" spans="2:41" hidden="1" x14ac:dyDescent="0.25">
      <c r="B24" s="75" t="s">
        <v>9</v>
      </c>
      <c r="C24" s="94">
        <v>9900</v>
      </c>
      <c r="D24" s="94">
        <v>2</v>
      </c>
      <c r="E24" s="75">
        <v>1</v>
      </c>
      <c r="F24" s="1">
        <v>0</v>
      </c>
      <c r="G24" s="90">
        <v>1.889</v>
      </c>
      <c r="H24" s="75">
        <v>1</v>
      </c>
      <c r="I24" s="1">
        <v>0</v>
      </c>
      <c r="J24" s="90">
        <v>1.865</v>
      </c>
      <c r="K24" s="75">
        <v>1</v>
      </c>
      <c r="L24" s="1">
        <v>0</v>
      </c>
      <c r="M24" s="90">
        <v>1.8839999999999999</v>
      </c>
      <c r="N24" s="75" t="e">
        <f>NA()</f>
        <v>#N/A</v>
      </c>
      <c r="O24" s="1" t="e">
        <f>NA()</f>
        <v>#N/A</v>
      </c>
      <c r="P24" s="90" t="e">
        <f>NA()</f>
        <v>#N/A</v>
      </c>
      <c r="Q24" s="75" t="e">
        <f>NA()</f>
        <v>#N/A</v>
      </c>
      <c r="R24" s="1" t="e">
        <f>NA()</f>
        <v>#N/A</v>
      </c>
      <c r="S24" s="90" t="e">
        <f>NA()</f>
        <v>#N/A</v>
      </c>
      <c r="T24" s="75" t="e">
        <f>NA()</f>
        <v>#N/A</v>
      </c>
      <c r="U24" s="1" t="e">
        <f>NA()</f>
        <v>#N/A</v>
      </c>
      <c r="V24" s="90" t="e">
        <f>NA()</f>
        <v>#N/A</v>
      </c>
    </row>
    <row r="25" spans="2:41" hidden="1" x14ac:dyDescent="0.25">
      <c r="B25" s="75" t="s">
        <v>9</v>
      </c>
      <c r="C25" s="94">
        <v>9900</v>
      </c>
      <c r="D25" s="94">
        <v>2</v>
      </c>
      <c r="E25" s="75">
        <v>5</v>
      </c>
      <c r="F25" s="1">
        <v>317</v>
      </c>
      <c r="G25" s="90">
        <v>1.821</v>
      </c>
      <c r="H25" s="75">
        <v>5</v>
      </c>
      <c r="I25" s="1">
        <v>759</v>
      </c>
      <c r="J25" s="90">
        <v>1.778</v>
      </c>
      <c r="K25" s="75">
        <v>5</v>
      </c>
      <c r="L25" s="1">
        <v>4374</v>
      </c>
      <c r="M25" s="90">
        <v>1.772</v>
      </c>
      <c r="N25" s="75" t="e">
        <f>NA()</f>
        <v>#N/A</v>
      </c>
      <c r="O25" s="1" t="e">
        <f>NA()</f>
        <v>#N/A</v>
      </c>
      <c r="P25" s="90" t="e">
        <f>NA()</f>
        <v>#N/A</v>
      </c>
      <c r="Q25" s="75" t="e">
        <f>NA()</f>
        <v>#N/A</v>
      </c>
      <c r="R25" s="1" t="e">
        <f>NA()</f>
        <v>#N/A</v>
      </c>
      <c r="S25" s="90" t="e">
        <f>NA()</f>
        <v>#N/A</v>
      </c>
      <c r="T25" s="75" t="e">
        <f>NA()</f>
        <v>#N/A</v>
      </c>
      <c r="U25" s="1" t="e">
        <f>NA()</f>
        <v>#N/A</v>
      </c>
      <c r="V25" s="90" t="e">
        <f>NA()</f>
        <v>#N/A</v>
      </c>
    </row>
    <row r="26" spans="2:41" hidden="1" x14ac:dyDescent="0.25">
      <c r="B26" s="75" t="s">
        <v>9</v>
      </c>
      <c r="C26" s="94">
        <v>9900</v>
      </c>
      <c r="D26" s="94">
        <v>2</v>
      </c>
      <c r="E26" s="75">
        <v>10</v>
      </c>
      <c r="F26" s="1">
        <v>638</v>
      </c>
      <c r="G26" s="90">
        <v>1.79</v>
      </c>
      <c r="H26" s="75">
        <v>10</v>
      </c>
      <c r="I26" s="1">
        <v>754</v>
      </c>
      <c r="J26" s="90">
        <v>1.758</v>
      </c>
      <c r="K26" s="75">
        <v>10</v>
      </c>
      <c r="L26" s="1">
        <v>1847</v>
      </c>
      <c r="M26" s="90">
        <v>1.756</v>
      </c>
      <c r="N26" s="75" t="e">
        <f>NA()</f>
        <v>#N/A</v>
      </c>
      <c r="O26" s="1" t="e">
        <f>NA()</f>
        <v>#N/A</v>
      </c>
      <c r="P26" s="90" t="e">
        <f>NA()</f>
        <v>#N/A</v>
      </c>
      <c r="Q26" s="75" t="e">
        <f>NA()</f>
        <v>#N/A</v>
      </c>
      <c r="R26" s="1" t="e">
        <f>NA()</f>
        <v>#N/A</v>
      </c>
      <c r="S26" s="90" t="e">
        <f>NA()</f>
        <v>#N/A</v>
      </c>
      <c r="T26" s="75" t="e">
        <f>NA()</f>
        <v>#N/A</v>
      </c>
      <c r="U26" s="1" t="e">
        <f>NA()</f>
        <v>#N/A</v>
      </c>
      <c r="V26" s="90" t="e">
        <f>NA()</f>
        <v>#N/A</v>
      </c>
    </row>
    <row r="27" spans="2:41" hidden="1" x14ac:dyDescent="0.25">
      <c r="B27" s="75" t="s">
        <v>9</v>
      </c>
      <c r="C27" s="94">
        <v>9900</v>
      </c>
      <c r="D27" s="94">
        <v>2</v>
      </c>
      <c r="E27" s="75">
        <v>15</v>
      </c>
      <c r="F27" s="1">
        <v>773</v>
      </c>
      <c r="G27" s="90">
        <v>1.768</v>
      </c>
      <c r="H27" s="75">
        <v>15</v>
      </c>
      <c r="I27" s="1">
        <v>991</v>
      </c>
      <c r="J27" s="90">
        <v>1.742</v>
      </c>
      <c r="K27" s="75">
        <v>15</v>
      </c>
      <c r="L27" s="1">
        <v>1914</v>
      </c>
      <c r="M27" s="90">
        <v>1.7430000000000001</v>
      </c>
      <c r="N27" s="75" t="e">
        <f>NA()</f>
        <v>#N/A</v>
      </c>
      <c r="O27" s="1" t="e">
        <f>NA()</f>
        <v>#N/A</v>
      </c>
      <c r="P27" s="90" t="e">
        <f>NA()</f>
        <v>#N/A</v>
      </c>
      <c r="Q27" s="75" t="e">
        <f>NA()</f>
        <v>#N/A</v>
      </c>
      <c r="R27" s="1" t="e">
        <f>NA()</f>
        <v>#N/A</v>
      </c>
      <c r="S27" s="90" t="e">
        <f>NA()</f>
        <v>#N/A</v>
      </c>
      <c r="T27" s="75" t="e">
        <f>NA()</f>
        <v>#N/A</v>
      </c>
      <c r="U27" s="1" t="e">
        <f>NA()</f>
        <v>#N/A</v>
      </c>
      <c r="V27" s="90" t="e">
        <f>NA()</f>
        <v>#N/A</v>
      </c>
    </row>
    <row r="28" spans="2:41" hidden="1" x14ac:dyDescent="0.25">
      <c r="B28" s="75" t="s">
        <v>9</v>
      </c>
      <c r="C28" s="94">
        <v>9900</v>
      </c>
      <c r="D28" s="94">
        <v>2</v>
      </c>
      <c r="E28" s="75">
        <v>20</v>
      </c>
      <c r="F28" s="1">
        <v>1234</v>
      </c>
      <c r="G28" s="90">
        <v>1.7549999999999999</v>
      </c>
      <c r="H28" s="75">
        <v>20</v>
      </c>
      <c r="I28" s="1">
        <v>1257</v>
      </c>
      <c r="J28" s="90">
        <v>1.7290000000000001</v>
      </c>
      <c r="K28" s="75">
        <v>20</v>
      </c>
      <c r="L28" s="1">
        <v>2307</v>
      </c>
      <c r="M28" s="90">
        <v>1.7310000000000001</v>
      </c>
      <c r="N28" s="75" t="e">
        <f>NA()</f>
        <v>#N/A</v>
      </c>
      <c r="O28" s="1" t="e">
        <f>NA()</f>
        <v>#N/A</v>
      </c>
      <c r="P28" s="90" t="e">
        <f>NA()</f>
        <v>#N/A</v>
      </c>
      <c r="Q28" s="75" t="e">
        <f>NA()</f>
        <v>#N/A</v>
      </c>
      <c r="R28" s="1" t="e">
        <f>NA()</f>
        <v>#N/A</v>
      </c>
      <c r="S28" s="90" t="e">
        <f>NA()</f>
        <v>#N/A</v>
      </c>
      <c r="T28" s="75" t="e">
        <f>NA()</f>
        <v>#N/A</v>
      </c>
      <c r="U28" s="1" t="e">
        <f>NA()</f>
        <v>#N/A</v>
      </c>
      <c r="V28" s="90" t="e">
        <f>NA()</f>
        <v>#N/A</v>
      </c>
    </row>
    <row r="29" spans="2:41" hidden="1" x14ac:dyDescent="0.25">
      <c r="B29" s="75" t="s">
        <v>9</v>
      </c>
      <c r="C29" s="94">
        <v>9900</v>
      </c>
      <c r="D29" s="94">
        <v>2</v>
      </c>
      <c r="E29" s="75">
        <v>25</v>
      </c>
      <c r="F29" s="1">
        <v>1772</v>
      </c>
      <c r="G29" s="90">
        <v>1.746</v>
      </c>
      <c r="H29" s="75">
        <v>25</v>
      </c>
      <c r="I29" s="1">
        <v>1500</v>
      </c>
      <c r="J29" s="90">
        <v>1.7170000000000001</v>
      </c>
      <c r="K29" s="75">
        <v>25</v>
      </c>
      <c r="L29" s="1">
        <v>2653</v>
      </c>
      <c r="M29" s="90">
        <v>1.72</v>
      </c>
      <c r="N29" s="75" t="e">
        <f>NA()</f>
        <v>#N/A</v>
      </c>
      <c r="O29" s="1" t="e">
        <f>NA()</f>
        <v>#N/A</v>
      </c>
      <c r="P29" s="90" t="e">
        <f>NA()</f>
        <v>#N/A</v>
      </c>
      <c r="Q29" s="75" t="e">
        <f>NA()</f>
        <v>#N/A</v>
      </c>
      <c r="R29" s="1" t="e">
        <f>NA()</f>
        <v>#N/A</v>
      </c>
      <c r="S29" s="90" t="e">
        <f>NA()</f>
        <v>#N/A</v>
      </c>
      <c r="T29" s="75" t="e">
        <f>NA()</f>
        <v>#N/A</v>
      </c>
      <c r="U29" s="1" t="e">
        <f>NA()</f>
        <v>#N/A</v>
      </c>
      <c r="V29" s="90" t="e">
        <f>NA()</f>
        <v>#N/A</v>
      </c>
    </row>
    <row r="30" spans="2:41" hidden="1" x14ac:dyDescent="0.25">
      <c r="B30" s="75" t="s">
        <v>9</v>
      </c>
      <c r="C30" s="94">
        <v>9900</v>
      </c>
      <c r="D30" s="94">
        <v>2</v>
      </c>
      <c r="E30" s="75">
        <v>30</v>
      </c>
      <c r="F30" s="1">
        <v>1919</v>
      </c>
      <c r="G30" s="90">
        <v>1.736</v>
      </c>
      <c r="H30" s="75">
        <v>30</v>
      </c>
      <c r="I30" s="1">
        <v>1863</v>
      </c>
      <c r="J30" s="90">
        <v>1.7070000000000001</v>
      </c>
      <c r="K30" s="75">
        <v>30</v>
      </c>
      <c r="L30" s="1">
        <v>2943</v>
      </c>
      <c r="M30" s="90">
        <v>1.7110000000000001</v>
      </c>
      <c r="N30" s="75" t="e">
        <f>NA()</f>
        <v>#N/A</v>
      </c>
      <c r="O30" s="1" t="e">
        <f>NA()</f>
        <v>#N/A</v>
      </c>
      <c r="P30" s="90" t="e">
        <f>NA()</f>
        <v>#N/A</v>
      </c>
      <c r="Q30" s="75" t="e">
        <f>NA()</f>
        <v>#N/A</v>
      </c>
      <c r="R30" s="1" t="e">
        <f>NA()</f>
        <v>#N/A</v>
      </c>
      <c r="S30" s="90" t="e">
        <f>NA()</f>
        <v>#N/A</v>
      </c>
      <c r="T30" s="75" t="e">
        <f>NA()</f>
        <v>#N/A</v>
      </c>
      <c r="U30" s="1" t="e">
        <f>NA()</f>
        <v>#N/A</v>
      </c>
      <c r="V30" s="90" t="e">
        <f>NA()</f>
        <v>#N/A</v>
      </c>
    </row>
    <row r="31" spans="2:41" hidden="1" x14ac:dyDescent="0.25">
      <c r="B31" s="75" t="s">
        <v>9</v>
      </c>
      <c r="C31" s="94">
        <v>9900</v>
      </c>
      <c r="D31" s="94">
        <v>2</v>
      </c>
      <c r="E31" s="75">
        <v>40</v>
      </c>
      <c r="F31" s="1">
        <v>2053</v>
      </c>
      <c r="G31" s="90">
        <v>1.72</v>
      </c>
      <c r="H31" s="75">
        <v>40</v>
      </c>
      <c r="I31" s="1">
        <v>2310</v>
      </c>
      <c r="J31" s="90">
        <v>1.6870000000000001</v>
      </c>
      <c r="K31" s="75">
        <v>40</v>
      </c>
      <c r="L31" s="1">
        <v>3360</v>
      </c>
      <c r="M31" s="90">
        <v>1.696</v>
      </c>
      <c r="N31" s="75" t="e">
        <f>NA()</f>
        <v>#N/A</v>
      </c>
      <c r="O31" s="1" t="e">
        <f>NA()</f>
        <v>#N/A</v>
      </c>
      <c r="P31" s="90" t="e">
        <f>NA()</f>
        <v>#N/A</v>
      </c>
      <c r="Q31" s="75" t="e">
        <f>NA()</f>
        <v>#N/A</v>
      </c>
      <c r="R31" s="1" t="e">
        <f>NA()</f>
        <v>#N/A</v>
      </c>
      <c r="S31" s="90" t="e">
        <f>NA()</f>
        <v>#N/A</v>
      </c>
      <c r="T31" s="75" t="e">
        <f>NA()</f>
        <v>#N/A</v>
      </c>
      <c r="U31" s="1" t="e">
        <f>NA()</f>
        <v>#N/A</v>
      </c>
      <c r="V31" s="90" t="e">
        <f>NA()</f>
        <v>#N/A</v>
      </c>
    </row>
    <row r="32" spans="2:41" hidden="1" x14ac:dyDescent="0.25">
      <c r="B32" s="75" t="s">
        <v>9</v>
      </c>
      <c r="C32" s="94">
        <v>9900</v>
      </c>
      <c r="D32" s="94">
        <v>2</v>
      </c>
      <c r="E32" s="75">
        <v>50</v>
      </c>
      <c r="F32" s="1">
        <v>3066</v>
      </c>
      <c r="G32" s="90">
        <v>1.7070000000000001</v>
      </c>
      <c r="H32" s="75">
        <v>50</v>
      </c>
      <c r="I32" s="1">
        <v>2786</v>
      </c>
      <c r="J32" s="90">
        <v>1.67</v>
      </c>
      <c r="K32" s="75" t="e">
        <f>NA()</f>
        <v>#N/A</v>
      </c>
      <c r="L32" s="1" t="e">
        <f>NA()</f>
        <v>#N/A</v>
      </c>
      <c r="M32" s="90" t="e">
        <f>NA()</f>
        <v>#N/A</v>
      </c>
      <c r="N32" s="75" t="e">
        <f>NA()</f>
        <v>#N/A</v>
      </c>
      <c r="O32" s="1" t="e">
        <f>NA()</f>
        <v>#N/A</v>
      </c>
      <c r="P32" s="90" t="e">
        <f>NA()</f>
        <v>#N/A</v>
      </c>
      <c r="Q32" s="75" t="e">
        <f>NA()</f>
        <v>#N/A</v>
      </c>
      <c r="R32" s="1" t="e">
        <f>NA()</f>
        <v>#N/A</v>
      </c>
      <c r="S32" s="90" t="e">
        <f>NA()</f>
        <v>#N/A</v>
      </c>
      <c r="T32" s="75" t="e">
        <f>NA()</f>
        <v>#N/A</v>
      </c>
      <c r="U32" s="1" t="e">
        <f>NA()</f>
        <v>#N/A</v>
      </c>
      <c r="V32" s="90" t="e">
        <f>NA()</f>
        <v>#N/A</v>
      </c>
    </row>
    <row r="33" spans="2:22" hidden="1" x14ac:dyDescent="0.25">
      <c r="B33" s="75" t="s">
        <v>9</v>
      </c>
      <c r="C33" s="94">
        <v>9900</v>
      </c>
      <c r="D33" s="94">
        <v>2</v>
      </c>
      <c r="E33" s="75">
        <v>60</v>
      </c>
      <c r="F33" s="1">
        <v>3445</v>
      </c>
      <c r="G33" s="90">
        <v>1.694</v>
      </c>
      <c r="H33" s="75">
        <v>60</v>
      </c>
      <c r="I33" s="1">
        <v>3408</v>
      </c>
      <c r="J33" s="90">
        <v>1.653</v>
      </c>
      <c r="K33" s="75" t="e">
        <f>NA()</f>
        <v>#N/A</v>
      </c>
      <c r="L33" s="1" t="e">
        <f>NA()</f>
        <v>#N/A</v>
      </c>
      <c r="M33" s="90" t="e">
        <f>NA()</f>
        <v>#N/A</v>
      </c>
      <c r="N33" s="75" t="e">
        <f>NA()</f>
        <v>#N/A</v>
      </c>
      <c r="O33" s="1" t="e">
        <f>NA()</f>
        <v>#N/A</v>
      </c>
      <c r="P33" s="90" t="e">
        <f>NA()</f>
        <v>#N/A</v>
      </c>
      <c r="Q33" s="75" t="e">
        <f>NA()</f>
        <v>#N/A</v>
      </c>
      <c r="R33" s="1" t="e">
        <f>NA()</f>
        <v>#N/A</v>
      </c>
      <c r="S33" s="90" t="e">
        <f>NA()</f>
        <v>#N/A</v>
      </c>
      <c r="T33" s="75" t="e">
        <f>NA()</f>
        <v>#N/A</v>
      </c>
      <c r="U33" s="1" t="e">
        <f>NA()</f>
        <v>#N/A</v>
      </c>
      <c r="V33" s="90" t="e">
        <f>NA()</f>
        <v>#N/A</v>
      </c>
    </row>
    <row r="34" spans="2:22" hidden="1" x14ac:dyDescent="0.25">
      <c r="B34" s="75" t="s">
        <v>9</v>
      </c>
      <c r="C34" s="94">
        <v>9900</v>
      </c>
      <c r="D34" s="94">
        <v>2</v>
      </c>
      <c r="E34" s="75">
        <v>80</v>
      </c>
      <c r="F34" s="1">
        <v>4660</v>
      </c>
      <c r="G34" s="90">
        <v>1.6759999999999999</v>
      </c>
      <c r="H34" s="75" t="e">
        <f>NA()</f>
        <v>#N/A</v>
      </c>
      <c r="I34" s="1" t="e">
        <f>NA()</f>
        <v>#N/A</v>
      </c>
      <c r="J34" s="90" t="e">
        <f>NA()</f>
        <v>#N/A</v>
      </c>
      <c r="K34" s="75" t="e">
        <f>NA()</f>
        <v>#N/A</v>
      </c>
      <c r="L34" s="1" t="e">
        <f>NA()</f>
        <v>#N/A</v>
      </c>
      <c r="M34" s="90" t="e">
        <f>NA()</f>
        <v>#N/A</v>
      </c>
      <c r="N34" s="75" t="e">
        <f>NA()</f>
        <v>#N/A</v>
      </c>
      <c r="O34" s="1" t="e">
        <f>NA()</f>
        <v>#N/A</v>
      </c>
      <c r="P34" s="90" t="e">
        <f>NA()</f>
        <v>#N/A</v>
      </c>
      <c r="Q34" s="75" t="e">
        <f>NA()</f>
        <v>#N/A</v>
      </c>
      <c r="R34" s="1" t="e">
        <f>NA()</f>
        <v>#N/A</v>
      </c>
      <c r="S34" s="90" t="e">
        <f>NA()</f>
        <v>#N/A</v>
      </c>
      <c r="T34" s="75" t="e">
        <f>NA()</f>
        <v>#N/A</v>
      </c>
      <c r="U34" s="1" t="e">
        <f>NA()</f>
        <v>#N/A</v>
      </c>
      <c r="V34" s="90" t="e">
        <f>NA()</f>
        <v>#N/A</v>
      </c>
    </row>
    <row r="35" spans="2:22" hidden="1" x14ac:dyDescent="0.25">
      <c r="B35" s="75" t="s">
        <v>9</v>
      </c>
      <c r="C35" s="94">
        <v>9900</v>
      </c>
      <c r="D35" s="94">
        <v>2</v>
      </c>
      <c r="E35" s="75">
        <v>100</v>
      </c>
      <c r="F35" s="1">
        <v>4576</v>
      </c>
      <c r="G35" s="90">
        <v>1.6519999999999999</v>
      </c>
      <c r="H35" s="75" t="e">
        <f>NA()</f>
        <v>#N/A</v>
      </c>
      <c r="I35" s="1" t="e">
        <f>NA()</f>
        <v>#N/A</v>
      </c>
      <c r="J35" s="90" t="e">
        <f>NA()</f>
        <v>#N/A</v>
      </c>
      <c r="K35" s="75" t="e">
        <f>NA()</f>
        <v>#N/A</v>
      </c>
      <c r="L35" s="1" t="e">
        <f>NA()</f>
        <v>#N/A</v>
      </c>
      <c r="M35" s="90" t="e">
        <f>NA()</f>
        <v>#N/A</v>
      </c>
      <c r="N35" s="75" t="e">
        <f>NA()</f>
        <v>#N/A</v>
      </c>
      <c r="O35" s="1" t="e">
        <f>NA()</f>
        <v>#N/A</v>
      </c>
      <c r="P35" s="90" t="e">
        <f>NA()</f>
        <v>#N/A</v>
      </c>
      <c r="Q35" s="75" t="e">
        <f>NA()</f>
        <v>#N/A</v>
      </c>
      <c r="R35" s="1" t="e">
        <f>NA()</f>
        <v>#N/A</v>
      </c>
      <c r="S35" s="90" t="e">
        <f>NA()</f>
        <v>#N/A</v>
      </c>
      <c r="T35" s="75" t="e">
        <f>NA()</f>
        <v>#N/A</v>
      </c>
      <c r="U35" s="1" t="e">
        <f>NA()</f>
        <v>#N/A</v>
      </c>
      <c r="V35" s="90" t="e">
        <f>NA()</f>
        <v>#N/A</v>
      </c>
    </row>
    <row r="36" spans="2:22" hidden="1" x14ac:dyDescent="0.25">
      <c r="B36" s="75" t="s">
        <v>9</v>
      </c>
      <c r="C36" s="94">
        <v>9900</v>
      </c>
      <c r="D36" s="94">
        <v>2</v>
      </c>
      <c r="E36" s="75">
        <v>120</v>
      </c>
      <c r="F36" s="1">
        <v>6434</v>
      </c>
      <c r="G36" s="90">
        <v>1.631</v>
      </c>
      <c r="H36" s="75" t="e">
        <f>NA()</f>
        <v>#N/A</v>
      </c>
      <c r="I36" s="1" t="e">
        <f>NA()</f>
        <v>#N/A</v>
      </c>
      <c r="J36" s="90" t="e">
        <f>NA()</f>
        <v>#N/A</v>
      </c>
      <c r="K36" s="75" t="e">
        <f>NA()</f>
        <v>#N/A</v>
      </c>
      <c r="L36" s="1" t="e">
        <f>NA()</f>
        <v>#N/A</v>
      </c>
      <c r="M36" s="90" t="e">
        <f>NA()</f>
        <v>#N/A</v>
      </c>
      <c r="N36" s="75" t="e">
        <f>NA()</f>
        <v>#N/A</v>
      </c>
      <c r="O36" s="1" t="e">
        <f>NA()</f>
        <v>#N/A</v>
      </c>
      <c r="P36" s="90" t="e">
        <f>NA()</f>
        <v>#N/A</v>
      </c>
      <c r="Q36" s="75" t="e">
        <f>NA()</f>
        <v>#N/A</v>
      </c>
      <c r="R36" s="1" t="e">
        <f>NA()</f>
        <v>#N/A</v>
      </c>
      <c r="S36" s="90" t="e">
        <f>NA()</f>
        <v>#N/A</v>
      </c>
      <c r="T36" s="75" t="e">
        <f>NA()</f>
        <v>#N/A</v>
      </c>
      <c r="U36" s="1" t="e">
        <f>NA()</f>
        <v>#N/A</v>
      </c>
      <c r="V36" s="90" t="e">
        <f>NA()</f>
        <v>#N/A</v>
      </c>
    </row>
    <row r="37" spans="2:22" hidden="1" x14ac:dyDescent="0.25">
      <c r="B37" s="75" t="s">
        <v>9</v>
      </c>
      <c r="C37" s="94">
        <v>9900</v>
      </c>
      <c r="D37" s="94">
        <v>2</v>
      </c>
      <c r="E37" s="75">
        <v>140</v>
      </c>
      <c r="F37" s="1">
        <v>6911</v>
      </c>
      <c r="G37" s="90">
        <v>1.609</v>
      </c>
      <c r="H37" s="75" t="e">
        <f>NA()</f>
        <v>#N/A</v>
      </c>
      <c r="I37" s="1" t="e">
        <f>NA()</f>
        <v>#N/A</v>
      </c>
      <c r="J37" s="90" t="e">
        <f>NA()</f>
        <v>#N/A</v>
      </c>
      <c r="K37" s="75" t="e">
        <f>NA()</f>
        <v>#N/A</v>
      </c>
      <c r="L37" s="1" t="e">
        <f>NA()</f>
        <v>#N/A</v>
      </c>
      <c r="M37" s="90" t="e">
        <f>NA()</f>
        <v>#N/A</v>
      </c>
      <c r="N37" s="75" t="e">
        <f>NA()</f>
        <v>#N/A</v>
      </c>
      <c r="O37" s="1" t="e">
        <f>NA()</f>
        <v>#N/A</v>
      </c>
      <c r="P37" s="90" t="e">
        <f>NA()</f>
        <v>#N/A</v>
      </c>
      <c r="Q37" s="75" t="e">
        <f>NA()</f>
        <v>#N/A</v>
      </c>
      <c r="R37" s="1" t="e">
        <f>NA()</f>
        <v>#N/A</v>
      </c>
      <c r="S37" s="90" t="e">
        <f>NA()</f>
        <v>#N/A</v>
      </c>
      <c r="T37" s="75" t="e">
        <f>NA()</f>
        <v>#N/A</v>
      </c>
      <c r="U37" s="1" t="e">
        <f>NA()</f>
        <v>#N/A</v>
      </c>
      <c r="V37" s="90" t="e">
        <f>NA()</f>
        <v>#N/A</v>
      </c>
    </row>
    <row r="38" spans="2:22" hidden="1" x14ac:dyDescent="0.25">
      <c r="B38" s="75" t="s">
        <v>9</v>
      </c>
      <c r="C38" s="94">
        <v>9900</v>
      </c>
      <c r="D38" s="94">
        <v>2</v>
      </c>
      <c r="E38" s="75">
        <v>160</v>
      </c>
      <c r="F38" s="1">
        <v>6734</v>
      </c>
      <c r="G38" s="90">
        <v>1.581</v>
      </c>
      <c r="H38" s="75" t="e">
        <f>NA()</f>
        <v>#N/A</v>
      </c>
      <c r="I38" s="1" t="e">
        <f>NA()</f>
        <v>#N/A</v>
      </c>
      <c r="J38" s="90" t="e">
        <f>NA()</f>
        <v>#N/A</v>
      </c>
      <c r="K38" s="75" t="e">
        <f>NA()</f>
        <v>#N/A</v>
      </c>
      <c r="L38" s="1" t="e">
        <f>NA()</f>
        <v>#N/A</v>
      </c>
      <c r="M38" s="90" t="e">
        <f>NA()</f>
        <v>#N/A</v>
      </c>
      <c r="N38" s="75" t="e">
        <f>NA()</f>
        <v>#N/A</v>
      </c>
      <c r="O38" s="1" t="e">
        <f>NA()</f>
        <v>#N/A</v>
      </c>
      <c r="P38" s="90" t="e">
        <f>NA()</f>
        <v>#N/A</v>
      </c>
      <c r="Q38" s="75" t="e">
        <f>NA()</f>
        <v>#N/A</v>
      </c>
      <c r="R38" s="1" t="e">
        <f>NA()</f>
        <v>#N/A</v>
      </c>
      <c r="S38" s="90" t="e">
        <f>NA()</f>
        <v>#N/A</v>
      </c>
      <c r="T38" s="75" t="e">
        <f>NA()</f>
        <v>#N/A</v>
      </c>
      <c r="U38" s="1" t="e">
        <f>NA()</f>
        <v>#N/A</v>
      </c>
      <c r="V38" s="90" t="e">
        <f>NA()</f>
        <v>#N/A</v>
      </c>
    </row>
    <row r="39" spans="2:22" hidden="1" x14ac:dyDescent="0.25">
      <c r="B39" s="75" t="s">
        <v>9</v>
      </c>
      <c r="C39" s="94">
        <v>9900</v>
      </c>
      <c r="D39" s="94">
        <v>2</v>
      </c>
      <c r="E39" s="75">
        <v>180</v>
      </c>
      <c r="F39" s="1">
        <v>6943</v>
      </c>
      <c r="G39" s="90">
        <v>1.55</v>
      </c>
      <c r="H39" s="75" t="e">
        <f>NA()</f>
        <v>#N/A</v>
      </c>
      <c r="I39" s="1" t="e">
        <f>NA()</f>
        <v>#N/A</v>
      </c>
      <c r="J39" s="90" t="e">
        <f>NA()</f>
        <v>#N/A</v>
      </c>
      <c r="K39" s="75" t="e">
        <f>NA()</f>
        <v>#N/A</v>
      </c>
      <c r="L39" s="1" t="e">
        <f>NA()</f>
        <v>#N/A</v>
      </c>
      <c r="M39" s="90" t="e">
        <f>NA()</f>
        <v>#N/A</v>
      </c>
      <c r="N39" s="75" t="e">
        <f>NA()</f>
        <v>#N/A</v>
      </c>
      <c r="O39" s="1" t="e">
        <f>NA()</f>
        <v>#N/A</v>
      </c>
      <c r="P39" s="90" t="e">
        <f>NA()</f>
        <v>#N/A</v>
      </c>
      <c r="Q39" s="75" t="e">
        <f>NA()</f>
        <v>#N/A</v>
      </c>
      <c r="R39" s="1" t="e">
        <f>NA()</f>
        <v>#N/A</v>
      </c>
      <c r="S39" s="90" t="e">
        <f>NA()</f>
        <v>#N/A</v>
      </c>
      <c r="T39" s="75" t="e">
        <f>NA()</f>
        <v>#N/A</v>
      </c>
      <c r="U39" s="1" t="e">
        <f>NA()</f>
        <v>#N/A</v>
      </c>
      <c r="V39" s="90" t="e">
        <f>NA()</f>
        <v>#N/A</v>
      </c>
    </row>
    <row r="40" spans="2:22" hidden="1" x14ac:dyDescent="0.25">
      <c r="B40" s="75" t="s">
        <v>9</v>
      </c>
      <c r="C40" s="94">
        <v>9900</v>
      </c>
      <c r="D40" s="94">
        <v>2</v>
      </c>
      <c r="E40" s="75">
        <v>200</v>
      </c>
      <c r="F40" s="1">
        <v>7746</v>
      </c>
      <c r="G40" s="90">
        <v>1.518</v>
      </c>
      <c r="H40" s="75" t="e">
        <f>NA()</f>
        <v>#N/A</v>
      </c>
      <c r="I40" s="1" t="e">
        <f>NA()</f>
        <v>#N/A</v>
      </c>
      <c r="J40" s="90" t="e">
        <f>NA()</f>
        <v>#N/A</v>
      </c>
      <c r="K40" s="75" t="e">
        <f>NA()</f>
        <v>#N/A</v>
      </c>
      <c r="L40" s="1" t="e">
        <f>NA()</f>
        <v>#N/A</v>
      </c>
      <c r="M40" s="90" t="e">
        <f>NA()</f>
        <v>#N/A</v>
      </c>
      <c r="N40" s="75" t="e">
        <f>NA()</f>
        <v>#N/A</v>
      </c>
      <c r="O40" s="1" t="e">
        <f>NA()</f>
        <v>#N/A</v>
      </c>
      <c r="P40" s="90" t="e">
        <f>NA()</f>
        <v>#N/A</v>
      </c>
      <c r="Q40" s="75" t="e">
        <f>NA()</f>
        <v>#N/A</v>
      </c>
      <c r="R40" s="1" t="e">
        <f>NA()</f>
        <v>#N/A</v>
      </c>
      <c r="S40" s="90" t="e">
        <f>NA()</f>
        <v>#N/A</v>
      </c>
      <c r="T40" s="75" t="e">
        <f>NA()</f>
        <v>#N/A</v>
      </c>
      <c r="U40" s="1" t="e">
        <f>NA()</f>
        <v>#N/A</v>
      </c>
      <c r="V40" s="90" t="e">
        <f>NA()</f>
        <v>#N/A</v>
      </c>
    </row>
    <row r="41" spans="2:22" hidden="1" x14ac:dyDescent="0.25">
      <c r="B41" s="75" t="s">
        <v>9</v>
      </c>
      <c r="C41" s="94">
        <v>9900</v>
      </c>
      <c r="D41" s="94">
        <v>2</v>
      </c>
      <c r="E41" s="75">
        <v>220</v>
      </c>
      <c r="F41" s="1">
        <v>9212</v>
      </c>
      <c r="G41" s="90">
        <v>1.4890000000000001</v>
      </c>
      <c r="H41" s="75" t="e">
        <f>NA()</f>
        <v>#N/A</v>
      </c>
      <c r="I41" s="1" t="e">
        <f>NA()</f>
        <v>#N/A</v>
      </c>
      <c r="J41" s="90" t="e">
        <f>NA()</f>
        <v>#N/A</v>
      </c>
      <c r="K41" s="75" t="e">
        <f>NA()</f>
        <v>#N/A</v>
      </c>
      <c r="L41" s="1" t="e">
        <f>NA()</f>
        <v>#N/A</v>
      </c>
      <c r="M41" s="90" t="e">
        <f>NA()</f>
        <v>#N/A</v>
      </c>
      <c r="N41" s="75" t="e">
        <f>NA()</f>
        <v>#N/A</v>
      </c>
      <c r="O41" s="1" t="e">
        <f>NA()</f>
        <v>#N/A</v>
      </c>
      <c r="P41" s="90" t="e">
        <f>NA()</f>
        <v>#N/A</v>
      </c>
      <c r="Q41" s="75" t="e">
        <f>NA()</f>
        <v>#N/A</v>
      </c>
      <c r="R41" s="1" t="e">
        <f>NA()</f>
        <v>#N/A</v>
      </c>
      <c r="S41" s="90" t="e">
        <f>NA()</f>
        <v>#N/A</v>
      </c>
      <c r="T41" s="75" t="e">
        <f>NA()</f>
        <v>#N/A</v>
      </c>
      <c r="U41" s="1" t="e">
        <f>NA()</f>
        <v>#N/A</v>
      </c>
      <c r="V41" s="90" t="e">
        <f>NA()</f>
        <v>#N/A</v>
      </c>
    </row>
    <row r="42" spans="2:22" hidden="1" x14ac:dyDescent="0.25">
      <c r="B42" s="77" t="s">
        <v>9</v>
      </c>
      <c r="C42" s="95">
        <v>9900</v>
      </c>
      <c r="D42" s="95">
        <v>2</v>
      </c>
      <c r="E42" s="77">
        <v>230</v>
      </c>
      <c r="F42" s="78">
        <v>9163</v>
      </c>
      <c r="G42" s="91">
        <v>1.466</v>
      </c>
      <c r="H42" s="77" t="e">
        <f>NA()</f>
        <v>#N/A</v>
      </c>
      <c r="I42" s="78" t="e">
        <f>NA()</f>
        <v>#N/A</v>
      </c>
      <c r="J42" s="91" t="e">
        <f>NA()</f>
        <v>#N/A</v>
      </c>
      <c r="K42" s="77" t="e">
        <f>NA()</f>
        <v>#N/A</v>
      </c>
      <c r="L42" s="78" t="e">
        <f>NA()</f>
        <v>#N/A</v>
      </c>
      <c r="M42" s="91" t="e">
        <f>NA()</f>
        <v>#N/A</v>
      </c>
      <c r="N42" s="77" t="e">
        <f>NA()</f>
        <v>#N/A</v>
      </c>
      <c r="O42" s="78" t="e">
        <f>NA()</f>
        <v>#N/A</v>
      </c>
      <c r="P42" s="91" t="e">
        <f>NA()</f>
        <v>#N/A</v>
      </c>
      <c r="Q42" s="77" t="e">
        <f>NA()</f>
        <v>#N/A</v>
      </c>
      <c r="R42" s="78" t="e">
        <f>NA()</f>
        <v>#N/A</v>
      </c>
      <c r="S42" s="91" t="e">
        <f>NA()</f>
        <v>#N/A</v>
      </c>
      <c r="T42" s="77" t="e">
        <f>NA()</f>
        <v>#N/A</v>
      </c>
      <c r="U42" s="78" t="e">
        <f>NA()</f>
        <v>#N/A</v>
      </c>
      <c r="V42" s="91" t="e">
        <f>NA()</f>
        <v>#N/A</v>
      </c>
    </row>
    <row r="43" spans="2:22" hidden="1" x14ac:dyDescent="0.25">
      <c r="B43" s="71" t="s">
        <v>9</v>
      </c>
      <c r="C43" s="93" t="s">
        <v>104</v>
      </c>
      <c r="D43" s="93">
        <v>2</v>
      </c>
      <c r="E43" s="86">
        <v>0</v>
      </c>
      <c r="F43" s="73">
        <v>0</v>
      </c>
      <c r="G43" s="74">
        <v>2.02</v>
      </c>
      <c r="H43" s="86">
        <v>0</v>
      </c>
      <c r="I43" s="73">
        <v>0</v>
      </c>
      <c r="J43" s="74">
        <v>2.04</v>
      </c>
      <c r="K43" s="86">
        <v>0</v>
      </c>
      <c r="L43" s="73">
        <v>0</v>
      </c>
      <c r="M43" s="74">
        <v>1.9650000000000001</v>
      </c>
      <c r="N43" s="86">
        <v>0</v>
      </c>
      <c r="O43" s="73">
        <v>0</v>
      </c>
      <c r="P43" s="74">
        <v>2.0350000000000001</v>
      </c>
      <c r="Q43" s="86" t="e">
        <f>NA()</f>
        <v>#N/A</v>
      </c>
      <c r="R43" s="73" t="e">
        <f>NA()</f>
        <v>#N/A</v>
      </c>
      <c r="S43" s="74" t="e">
        <f>NA()</f>
        <v>#N/A</v>
      </c>
      <c r="T43" s="86" t="e">
        <f>NA()</f>
        <v>#N/A</v>
      </c>
      <c r="U43" s="73" t="e">
        <f>NA()</f>
        <v>#N/A</v>
      </c>
      <c r="V43" s="74" t="e">
        <f>NA()</f>
        <v>#N/A</v>
      </c>
    </row>
    <row r="44" spans="2:22" hidden="1" x14ac:dyDescent="0.25">
      <c r="B44" s="75" t="s">
        <v>9</v>
      </c>
      <c r="C44" s="94" t="s">
        <v>104</v>
      </c>
      <c r="D44" s="94">
        <v>2</v>
      </c>
      <c r="E44" s="87">
        <v>1</v>
      </c>
      <c r="F44" s="70">
        <v>0</v>
      </c>
      <c r="G44" s="76">
        <v>2</v>
      </c>
      <c r="H44" s="87">
        <v>1</v>
      </c>
      <c r="I44" s="70">
        <v>0</v>
      </c>
      <c r="J44" s="76">
        <v>2.0150000000000001</v>
      </c>
      <c r="K44" s="87">
        <v>1</v>
      </c>
      <c r="L44" s="70">
        <v>0</v>
      </c>
      <c r="M44" s="76">
        <v>1.95</v>
      </c>
      <c r="N44" s="87">
        <v>1</v>
      </c>
      <c r="O44" s="70">
        <v>0</v>
      </c>
      <c r="P44" s="76">
        <v>2.0150000000000001</v>
      </c>
      <c r="Q44" s="87" t="e">
        <f>NA()</f>
        <v>#N/A</v>
      </c>
      <c r="R44" s="70" t="e">
        <f>NA()</f>
        <v>#N/A</v>
      </c>
      <c r="S44" s="76" t="e">
        <f>NA()</f>
        <v>#N/A</v>
      </c>
      <c r="T44" s="87" t="e">
        <f>NA()</f>
        <v>#N/A</v>
      </c>
      <c r="U44" s="70" t="e">
        <f>NA()</f>
        <v>#N/A</v>
      </c>
      <c r="V44" s="76" t="e">
        <f>NA()</f>
        <v>#N/A</v>
      </c>
    </row>
    <row r="45" spans="2:22" hidden="1" x14ac:dyDescent="0.25">
      <c r="B45" s="75" t="s">
        <v>9</v>
      </c>
      <c r="C45" s="94" t="s">
        <v>104</v>
      </c>
      <c r="D45" s="94">
        <v>2</v>
      </c>
      <c r="E45" s="87">
        <v>5</v>
      </c>
      <c r="F45" s="70">
        <v>1515</v>
      </c>
      <c r="G45" s="76">
        <v>1.98</v>
      </c>
      <c r="H45" s="87">
        <v>5</v>
      </c>
      <c r="I45" s="70">
        <v>858</v>
      </c>
      <c r="J45" s="76">
        <v>1.9950000000000001</v>
      </c>
      <c r="K45" s="87">
        <v>5</v>
      </c>
      <c r="L45" s="70">
        <v>833</v>
      </c>
      <c r="M45" s="76">
        <v>1.9350000000000001</v>
      </c>
      <c r="N45" s="87">
        <v>5</v>
      </c>
      <c r="O45" s="70">
        <v>581</v>
      </c>
      <c r="P45" s="76">
        <v>2.0049999999999999</v>
      </c>
      <c r="Q45" s="87" t="e">
        <f>NA()</f>
        <v>#N/A</v>
      </c>
      <c r="R45" s="70" t="e">
        <f>NA()</f>
        <v>#N/A</v>
      </c>
      <c r="S45" s="76" t="e">
        <f>NA()</f>
        <v>#N/A</v>
      </c>
      <c r="T45" s="87" t="e">
        <f>NA()</f>
        <v>#N/A</v>
      </c>
      <c r="U45" s="70" t="e">
        <f>NA()</f>
        <v>#N/A</v>
      </c>
      <c r="V45" s="76" t="e">
        <f>NA()</f>
        <v>#N/A</v>
      </c>
    </row>
    <row r="46" spans="2:22" hidden="1" x14ac:dyDescent="0.25">
      <c r="B46" s="75" t="s">
        <v>9</v>
      </c>
      <c r="C46" s="94" t="s">
        <v>104</v>
      </c>
      <c r="D46" s="94">
        <v>2</v>
      </c>
      <c r="E46" s="87">
        <v>10</v>
      </c>
      <c r="F46" s="70">
        <v>1348</v>
      </c>
      <c r="G46" s="76">
        <v>1.9650000000000001</v>
      </c>
      <c r="H46" s="87">
        <v>10</v>
      </c>
      <c r="I46" s="70">
        <v>722</v>
      </c>
      <c r="J46" s="76">
        <v>1.96</v>
      </c>
      <c r="K46" s="87">
        <v>10</v>
      </c>
      <c r="L46" s="70">
        <v>807</v>
      </c>
      <c r="M46" s="76">
        <v>1.885</v>
      </c>
      <c r="N46" s="87">
        <v>10</v>
      </c>
      <c r="O46" s="70">
        <v>630</v>
      </c>
      <c r="P46" s="76">
        <v>1.92</v>
      </c>
      <c r="Q46" s="87" t="e">
        <f>NA()</f>
        <v>#N/A</v>
      </c>
      <c r="R46" s="70" t="e">
        <f>NA()</f>
        <v>#N/A</v>
      </c>
      <c r="S46" s="76" t="e">
        <f>NA()</f>
        <v>#N/A</v>
      </c>
      <c r="T46" s="87" t="e">
        <f>NA()</f>
        <v>#N/A</v>
      </c>
      <c r="U46" s="70" t="e">
        <f>NA()</f>
        <v>#N/A</v>
      </c>
      <c r="V46" s="76" t="e">
        <f>NA()</f>
        <v>#N/A</v>
      </c>
    </row>
    <row r="47" spans="2:22" hidden="1" x14ac:dyDescent="0.25">
      <c r="B47" s="75" t="s">
        <v>9</v>
      </c>
      <c r="C47" s="94" t="s">
        <v>104</v>
      </c>
      <c r="D47" s="94">
        <v>2</v>
      </c>
      <c r="E47" s="87">
        <v>15</v>
      </c>
      <c r="F47" s="70">
        <v>1734</v>
      </c>
      <c r="G47" s="76">
        <v>1.9550000000000001</v>
      </c>
      <c r="H47" s="87">
        <v>15</v>
      </c>
      <c r="I47" s="70">
        <v>833</v>
      </c>
      <c r="J47" s="76">
        <v>1.915</v>
      </c>
      <c r="K47" s="87">
        <v>15</v>
      </c>
      <c r="L47" s="70">
        <v>710</v>
      </c>
      <c r="M47" s="76">
        <v>1.7849999999999999</v>
      </c>
      <c r="N47" s="87">
        <v>15</v>
      </c>
      <c r="O47" s="70">
        <v>660</v>
      </c>
      <c r="P47" s="76">
        <v>1.74</v>
      </c>
      <c r="Q47" s="87" t="e">
        <f>NA()</f>
        <v>#N/A</v>
      </c>
      <c r="R47" s="70" t="e">
        <f>NA()</f>
        <v>#N/A</v>
      </c>
      <c r="S47" s="76" t="e">
        <f>NA()</f>
        <v>#N/A</v>
      </c>
      <c r="T47" s="87" t="e">
        <f>NA()</f>
        <v>#N/A</v>
      </c>
      <c r="U47" s="70" t="e">
        <f>NA()</f>
        <v>#N/A</v>
      </c>
      <c r="V47" s="76" t="e">
        <f>NA()</f>
        <v>#N/A</v>
      </c>
    </row>
    <row r="48" spans="2:22" hidden="1" x14ac:dyDescent="0.25">
      <c r="B48" s="75" t="s">
        <v>9</v>
      </c>
      <c r="C48" s="94" t="s">
        <v>104</v>
      </c>
      <c r="D48" s="94">
        <v>2</v>
      </c>
      <c r="E48" s="87">
        <v>20</v>
      </c>
      <c r="F48" s="70">
        <v>1487</v>
      </c>
      <c r="G48" s="76">
        <v>1.94</v>
      </c>
      <c r="H48" s="87">
        <v>20</v>
      </c>
      <c r="I48" s="70">
        <v>1021</v>
      </c>
      <c r="J48" s="76">
        <v>1.86</v>
      </c>
      <c r="K48" s="87">
        <v>20</v>
      </c>
      <c r="L48" s="70">
        <v>974</v>
      </c>
      <c r="M48" s="76">
        <v>1.665</v>
      </c>
      <c r="N48" s="87">
        <v>20</v>
      </c>
      <c r="O48" s="70">
        <v>911</v>
      </c>
      <c r="P48" s="76">
        <v>1.58</v>
      </c>
      <c r="Q48" s="87" t="e">
        <f>NA()</f>
        <v>#N/A</v>
      </c>
      <c r="R48" s="70" t="e">
        <f>NA()</f>
        <v>#N/A</v>
      </c>
      <c r="S48" s="76" t="e">
        <f>NA()</f>
        <v>#N/A</v>
      </c>
      <c r="T48" s="87" t="e">
        <f>NA()</f>
        <v>#N/A</v>
      </c>
      <c r="U48" s="70" t="e">
        <f>NA()</f>
        <v>#N/A</v>
      </c>
      <c r="V48" s="76" t="e">
        <f>NA()</f>
        <v>#N/A</v>
      </c>
    </row>
    <row r="49" spans="2:22" hidden="1" x14ac:dyDescent="0.25">
      <c r="B49" s="75" t="s">
        <v>9</v>
      </c>
      <c r="C49" s="94" t="s">
        <v>104</v>
      </c>
      <c r="D49" s="94">
        <v>2</v>
      </c>
      <c r="E49" s="87">
        <v>25</v>
      </c>
      <c r="F49" s="70">
        <v>1905</v>
      </c>
      <c r="G49" s="76">
        <v>1.925</v>
      </c>
      <c r="H49" s="87">
        <v>25</v>
      </c>
      <c r="I49" s="70">
        <v>1304</v>
      </c>
      <c r="J49" s="76">
        <v>1.7649999999999999</v>
      </c>
      <c r="K49" s="87">
        <v>25</v>
      </c>
      <c r="L49" s="70">
        <v>959</v>
      </c>
      <c r="M49" s="76">
        <v>1.56</v>
      </c>
      <c r="N49" s="87">
        <v>25</v>
      </c>
      <c r="O49" s="70">
        <v>1220</v>
      </c>
      <c r="P49" s="76">
        <v>1.4550000000000001</v>
      </c>
      <c r="Q49" s="87" t="e">
        <f>NA()</f>
        <v>#N/A</v>
      </c>
      <c r="R49" s="70" t="e">
        <f>NA()</f>
        <v>#N/A</v>
      </c>
      <c r="S49" s="76" t="e">
        <f>NA()</f>
        <v>#N/A</v>
      </c>
      <c r="T49" s="87" t="e">
        <f>NA()</f>
        <v>#N/A</v>
      </c>
      <c r="U49" s="70" t="e">
        <f>NA()</f>
        <v>#N/A</v>
      </c>
      <c r="V49" s="76" t="e">
        <f>NA()</f>
        <v>#N/A</v>
      </c>
    </row>
    <row r="50" spans="2:22" hidden="1" x14ac:dyDescent="0.25">
      <c r="B50" s="75" t="s">
        <v>9</v>
      </c>
      <c r="C50" s="94" t="s">
        <v>104</v>
      </c>
      <c r="D50" s="94">
        <v>2</v>
      </c>
      <c r="E50" s="87">
        <v>30</v>
      </c>
      <c r="F50" s="70">
        <v>1971</v>
      </c>
      <c r="G50" s="76">
        <v>1.905</v>
      </c>
      <c r="H50" s="87">
        <v>30</v>
      </c>
      <c r="I50" s="70">
        <v>1484</v>
      </c>
      <c r="J50" s="76">
        <v>1.675</v>
      </c>
      <c r="K50" s="87">
        <v>30</v>
      </c>
      <c r="L50" s="70">
        <v>1142</v>
      </c>
      <c r="M50" s="76">
        <v>1.47</v>
      </c>
      <c r="N50" s="87">
        <v>30</v>
      </c>
      <c r="O50" s="70">
        <v>1013</v>
      </c>
      <c r="P50" s="76">
        <v>1.35</v>
      </c>
      <c r="Q50" s="87" t="e">
        <f>NA()</f>
        <v>#N/A</v>
      </c>
      <c r="R50" s="70" t="e">
        <f>NA()</f>
        <v>#N/A</v>
      </c>
      <c r="S50" s="76" t="e">
        <f>NA()</f>
        <v>#N/A</v>
      </c>
      <c r="T50" s="87" t="e">
        <f>NA()</f>
        <v>#N/A</v>
      </c>
      <c r="U50" s="70" t="e">
        <f>NA()</f>
        <v>#N/A</v>
      </c>
      <c r="V50" s="76" t="e">
        <f>NA()</f>
        <v>#N/A</v>
      </c>
    </row>
    <row r="51" spans="2:22" hidden="1" x14ac:dyDescent="0.25">
      <c r="B51" s="75" t="s">
        <v>9</v>
      </c>
      <c r="C51" s="94" t="s">
        <v>104</v>
      </c>
      <c r="D51" s="94">
        <v>2</v>
      </c>
      <c r="E51" s="87">
        <v>40</v>
      </c>
      <c r="F51" s="70">
        <v>2476</v>
      </c>
      <c r="G51" s="76">
        <v>1.87</v>
      </c>
      <c r="H51" s="87">
        <v>40</v>
      </c>
      <c r="I51" s="70">
        <v>1892</v>
      </c>
      <c r="J51" s="76">
        <v>1.5349999999999999</v>
      </c>
      <c r="K51" s="87">
        <v>40</v>
      </c>
      <c r="L51" s="70">
        <v>1495</v>
      </c>
      <c r="M51" s="76">
        <v>1.33</v>
      </c>
      <c r="N51" s="87">
        <v>40</v>
      </c>
      <c r="O51" s="70">
        <v>1327</v>
      </c>
      <c r="P51" s="76">
        <v>1.1950000000000001</v>
      </c>
      <c r="Q51" s="87" t="e">
        <f>NA()</f>
        <v>#N/A</v>
      </c>
      <c r="R51" s="70" t="e">
        <f>NA()</f>
        <v>#N/A</v>
      </c>
      <c r="S51" s="76" t="e">
        <f>NA()</f>
        <v>#N/A</v>
      </c>
      <c r="T51" s="87" t="e">
        <f>NA()</f>
        <v>#N/A</v>
      </c>
      <c r="U51" s="70" t="e">
        <f>NA()</f>
        <v>#N/A</v>
      </c>
      <c r="V51" s="76" t="e">
        <f>NA()</f>
        <v>#N/A</v>
      </c>
    </row>
    <row r="52" spans="2:22" hidden="1" x14ac:dyDescent="0.25">
      <c r="B52" s="75" t="s">
        <v>9</v>
      </c>
      <c r="C52" s="94" t="s">
        <v>104</v>
      </c>
      <c r="D52" s="94">
        <v>2</v>
      </c>
      <c r="E52" s="87">
        <v>50</v>
      </c>
      <c r="F52" s="70">
        <v>2761</v>
      </c>
      <c r="G52" s="76">
        <v>1.835</v>
      </c>
      <c r="H52" s="87">
        <v>50</v>
      </c>
      <c r="I52" s="70">
        <v>1890</v>
      </c>
      <c r="J52" s="76">
        <v>1.41</v>
      </c>
      <c r="K52" s="87">
        <v>50</v>
      </c>
      <c r="L52" s="70">
        <v>1640</v>
      </c>
      <c r="M52" s="76">
        <v>1.2250000000000001</v>
      </c>
      <c r="N52" s="87">
        <v>50</v>
      </c>
      <c r="O52" s="70">
        <v>1875</v>
      </c>
      <c r="P52" s="76">
        <v>1.0900000000000001</v>
      </c>
      <c r="Q52" s="87" t="e">
        <f>NA()</f>
        <v>#N/A</v>
      </c>
      <c r="R52" s="70" t="e">
        <f>NA()</f>
        <v>#N/A</v>
      </c>
      <c r="S52" s="76" t="e">
        <f>NA()</f>
        <v>#N/A</v>
      </c>
      <c r="T52" s="87" t="e">
        <f>NA()</f>
        <v>#N/A</v>
      </c>
      <c r="U52" s="70" t="e">
        <f>NA()</f>
        <v>#N/A</v>
      </c>
      <c r="V52" s="76" t="e">
        <f>NA()</f>
        <v>#N/A</v>
      </c>
    </row>
    <row r="53" spans="2:22" hidden="1" x14ac:dyDescent="0.25">
      <c r="B53" s="75" t="s">
        <v>9</v>
      </c>
      <c r="C53" s="94" t="s">
        <v>104</v>
      </c>
      <c r="D53" s="94">
        <v>2</v>
      </c>
      <c r="E53" s="87">
        <v>60</v>
      </c>
      <c r="F53" s="70">
        <v>3795</v>
      </c>
      <c r="G53" s="76">
        <v>1.8</v>
      </c>
      <c r="H53" s="87">
        <v>60</v>
      </c>
      <c r="I53" s="70">
        <v>2452</v>
      </c>
      <c r="J53" s="76">
        <v>1.31</v>
      </c>
      <c r="K53" s="87">
        <v>60</v>
      </c>
      <c r="L53" s="70">
        <v>1786</v>
      </c>
      <c r="M53" s="76">
        <v>1.145</v>
      </c>
      <c r="N53" s="87">
        <v>60</v>
      </c>
      <c r="O53" s="70">
        <v>1645</v>
      </c>
      <c r="P53" s="76">
        <v>1.0049999999999999</v>
      </c>
      <c r="Q53" s="87" t="e">
        <f>NA()</f>
        <v>#N/A</v>
      </c>
      <c r="R53" s="70" t="e">
        <f>NA()</f>
        <v>#N/A</v>
      </c>
      <c r="S53" s="76" t="e">
        <f>NA()</f>
        <v>#N/A</v>
      </c>
      <c r="T53" s="87" t="e">
        <f>NA()</f>
        <v>#N/A</v>
      </c>
      <c r="U53" s="70" t="e">
        <f>NA()</f>
        <v>#N/A</v>
      </c>
      <c r="V53" s="76" t="e">
        <f>NA()</f>
        <v>#N/A</v>
      </c>
    </row>
    <row r="54" spans="2:22" hidden="1" x14ac:dyDescent="0.25">
      <c r="B54" s="75" t="s">
        <v>9</v>
      </c>
      <c r="C54" s="94" t="s">
        <v>104</v>
      </c>
      <c r="D54" s="94">
        <v>2</v>
      </c>
      <c r="E54" s="87">
        <v>80</v>
      </c>
      <c r="F54" s="70">
        <v>6922</v>
      </c>
      <c r="G54" s="76">
        <v>1.6850000000000001</v>
      </c>
      <c r="H54" s="87">
        <v>80</v>
      </c>
      <c r="I54" s="70">
        <v>2588</v>
      </c>
      <c r="J54" s="76">
        <v>1.1599999999999999</v>
      </c>
      <c r="K54" s="87">
        <v>80</v>
      </c>
      <c r="L54" s="70">
        <v>2325</v>
      </c>
      <c r="M54" s="76">
        <v>1.03</v>
      </c>
      <c r="N54" s="87">
        <v>80</v>
      </c>
      <c r="O54" s="70">
        <v>2066</v>
      </c>
      <c r="P54" s="76">
        <v>0.875</v>
      </c>
      <c r="Q54" s="87" t="e">
        <f>NA()</f>
        <v>#N/A</v>
      </c>
      <c r="R54" s="70" t="e">
        <f>NA()</f>
        <v>#N/A</v>
      </c>
      <c r="S54" s="76" t="e">
        <f>NA()</f>
        <v>#N/A</v>
      </c>
      <c r="T54" s="87" t="e">
        <f>NA()</f>
        <v>#N/A</v>
      </c>
      <c r="U54" s="70" t="e">
        <f>NA()</f>
        <v>#N/A</v>
      </c>
      <c r="V54" s="76" t="e">
        <f>NA()</f>
        <v>#N/A</v>
      </c>
    </row>
    <row r="55" spans="2:22" hidden="1" x14ac:dyDescent="0.25">
      <c r="B55" s="75" t="s">
        <v>9</v>
      </c>
      <c r="C55" s="94" t="s">
        <v>104</v>
      </c>
      <c r="D55" s="94">
        <v>2</v>
      </c>
      <c r="E55" s="87">
        <v>100</v>
      </c>
      <c r="F55" s="70">
        <v>7360</v>
      </c>
      <c r="G55" s="76">
        <v>1.55</v>
      </c>
      <c r="H55" s="87">
        <v>100</v>
      </c>
      <c r="I55" s="70">
        <v>2486</v>
      </c>
      <c r="J55" s="76">
        <v>1.0549999999999999</v>
      </c>
      <c r="K55" s="87">
        <v>100</v>
      </c>
      <c r="L55" s="70">
        <v>2352</v>
      </c>
      <c r="M55" s="76">
        <v>0.94</v>
      </c>
      <c r="N55" s="87">
        <v>100</v>
      </c>
      <c r="O55" s="70">
        <v>2679</v>
      </c>
      <c r="P55" s="76">
        <v>0.77500000000000002</v>
      </c>
      <c r="Q55" s="87" t="e">
        <f>NA()</f>
        <v>#N/A</v>
      </c>
      <c r="R55" s="70" t="e">
        <f>NA()</f>
        <v>#N/A</v>
      </c>
      <c r="S55" s="76" t="e">
        <f>NA()</f>
        <v>#N/A</v>
      </c>
      <c r="T55" s="87" t="e">
        <f>NA()</f>
        <v>#N/A</v>
      </c>
      <c r="U55" s="70" t="e">
        <f>NA()</f>
        <v>#N/A</v>
      </c>
      <c r="V55" s="76" t="e">
        <f>NA()</f>
        <v>#N/A</v>
      </c>
    </row>
    <row r="56" spans="2:22" hidden="1" x14ac:dyDescent="0.25">
      <c r="B56" s="75" t="s">
        <v>9</v>
      </c>
      <c r="C56" s="94" t="s">
        <v>104</v>
      </c>
      <c r="D56" s="94">
        <v>2</v>
      </c>
      <c r="E56" s="87">
        <v>120</v>
      </c>
      <c r="F56" s="70">
        <v>8145</v>
      </c>
      <c r="G56" s="76">
        <v>1.45</v>
      </c>
      <c r="H56" s="87">
        <v>120</v>
      </c>
      <c r="I56" s="70">
        <v>3616</v>
      </c>
      <c r="J56" s="76">
        <v>0.97499999999999998</v>
      </c>
      <c r="K56" s="87">
        <v>120</v>
      </c>
      <c r="L56" s="70">
        <v>2315</v>
      </c>
      <c r="M56" s="76">
        <v>0.87</v>
      </c>
      <c r="N56" s="87">
        <v>120</v>
      </c>
      <c r="O56" s="70">
        <v>3096</v>
      </c>
      <c r="P56" s="76">
        <v>0.68</v>
      </c>
      <c r="Q56" s="87" t="e">
        <f>NA()</f>
        <v>#N/A</v>
      </c>
      <c r="R56" s="70" t="e">
        <f>NA()</f>
        <v>#N/A</v>
      </c>
      <c r="S56" s="76" t="e">
        <f>NA()</f>
        <v>#N/A</v>
      </c>
      <c r="T56" s="87" t="e">
        <f>NA()</f>
        <v>#N/A</v>
      </c>
      <c r="U56" s="70" t="e">
        <f>NA()</f>
        <v>#N/A</v>
      </c>
      <c r="V56" s="76" t="e">
        <f>NA()</f>
        <v>#N/A</v>
      </c>
    </row>
    <row r="57" spans="2:22" hidden="1" x14ac:dyDescent="0.25">
      <c r="B57" s="75" t="s">
        <v>9</v>
      </c>
      <c r="C57" s="94" t="s">
        <v>104</v>
      </c>
      <c r="D57" s="94">
        <v>2</v>
      </c>
      <c r="E57" s="87">
        <v>140</v>
      </c>
      <c r="F57" s="70">
        <v>6099</v>
      </c>
      <c r="G57" s="76">
        <v>1.37</v>
      </c>
      <c r="H57" s="87">
        <v>140</v>
      </c>
      <c r="I57" s="70">
        <v>3265</v>
      </c>
      <c r="J57" s="76">
        <v>0.90500000000000003</v>
      </c>
      <c r="K57" s="87">
        <v>140</v>
      </c>
      <c r="L57" s="70">
        <v>2470</v>
      </c>
      <c r="M57" s="76">
        <v>0.81</v>
      </c>
      <c r="N57" s="87">
        <v>140</v>
      </c>
      <c r="O57" s="70">
        <v>4554</v>
      </c>
      <c r="P57" s="76">
        <v>0.57999999999999996</v>
      </c>
      <c r="Q57" s="87" t="e">
        <f>NA()</f>
        <v>#N/A</v>
      </c>
      <c r="R57" s="70" t="e">
        <f>NA()</f>
        <v>#N/A</v>
      </c>
      <c r="S57" s="76" t="e">
        <f>NA()</f>
        <v>#N/A</v>
      </c>
      <c r="T57" s="87" t="e">
        <f>NA()</f>
        <v>#N/A</v>
      </c>
      <c r="U57" s="70" t="e">
        <f>NA()</f>
        <v>#N/A</v>
      </c>
      <c r="V57" s="76" t="e">
        <f>NA()</f>
        <v>#N/A</v>
      </c>
    </row>
    <row r="58" spans="2:22" hidden="1" x14ac:dyDescent="0.25">
      <c r="B58" s="75" t="s">
        <v>9</v>
      </c>
      <c r="C58" s="94" t="s">
        <v>104</v>
      </c>
      <c r="D58" s="94">
        <v>2</v>
      </c>
      <c r="E58" s="87">
        <v>160</v>
      </c>
      <c r="F58" s="70">
        <v>7401</v>
      </c>
      <c r="G58" s="76">
        <v>1.3049999999999999</v>
      </c>
      <c r="H58" s="87">
        <v>160</v>
      </c>
      <c r="I58" s="70">
        <v>3265</v>
      </c>
      <c r="J58" s="76">
        <v>0.84499999999999997</v>
      </c>
      <c r="K58" s="87">
        <v>160</v>
      </c>
      <c r="L58" s="70">
        <v>2531</v>
      </c>
      <c r="M58" s="76">
        <v>0.755</v>
      </c>
      <c r="N58" s="87" t="e">
        <f>NA()</f>
        <v>#N/A</v>
      </c>
      <c r="O58" s="70" t="e">
        <f>NA()</f>
        <v>#N/A</v>
      </c>
      <c r="P58" s="76" t="e">
        <f>NA()</f>
        <v>#N/A</v>
      </c>
      <c r="Q58" s="87" t="e">
        <f>NA()</f>
        <v>#N/A</v>
      </c>
      <c r="R58" s="70" t="e">
        <f>NA()</f>
        <v>#N/A</v>
      </c>
      <c r="S58" s="76" t="e">
        <f>NA()</f>
        <v>#N/A</v>
      </c>
      <c r="T58" s="87" t="e">
        <f>NA()</f>
        <v>#N/A</v>
      </c>
      <c r="U58" s="70" t="e">
        <f>NA()</f>
        <v>#N/A</v>
      </c>
      <c r="V58" s="76" t="e">
        <f>NA()</f>
        <v>#N/A</v>
      </c>
    </row>
    <row r="59" spans="2:22" hidden="1" x14ac:dyDescent="0.25">
      <c r="B59" s="75" t="s">
        <v>9</v>
      </c>
      <c r="C59" s="94" t="s">
        <v>104</v>
      </c>
      <c r="D59" s="94">
        <v>2</v>
      </c>
      <c r="E59" s="87">
        <v>180</v>
      </c>
      <c r="F59" s="70">
        <v>7533</v>
      </c>
      <c r="G59" s="76">
        <v>1.25</v>
      </c>
      <c r="H59" s="87">
        <v>180</v>
      </c>
      <c r="I59" s="70">
        <v>5417</v>
      </c>
      <c r="J59" s="76">
        <v>0.78500000000000003</v>
      </c>
      <c r="K59" s="87">
        <v>180</v>
      </c>
      <c r="L59" s="70">
        <v>2926</v>
      </c>
      <c r="M59" s="76">
        <v>0.71</v>
      </c>
      <c r="N59" s="87" t="e">
        <f>NA()</f>
        <v>#N/A</v>
      </c>
      <c r="O59" s="70" t="e">
        <f>NA()</f>
        <v>#N/A</v>
      </c>
      <c r="P59" s="76" t="e">
        <f>NA()</f>
        <v>#N/A</v>
      </c>
      <c r="Q59" s="87" t="e">
        <f>NA()</f>
        <v>#N/A</v>
      </c>
      <c r="R59" s="70" t="e">
        <f>NA()</f>
        <v>#N/A</v>
      </c>
      <c r="S59" s="76" t="e">
        <f>NA()</f>
        <v>#N/A</v>
      </c>
      <c r="T59" s="87" t="e">
        <f>NA()</f>
        <v>#N/A</v>
      </c>
      <c r="U59" s="70" t="e">
        <f>NA()</f>
        <v>#N/A</v>
      </c>
      <c r="V59" s="76" t="e">
        <f>NA()</f>
        <v>#N/A</v>
      </c>
    </row>
    <row r="60" spans="2:22" hidden="1" x14ac:dyDescent="0.25">
      <c r="B60" s="75" t="s">
        <v>9</v>
      </c>
      <c r="C60" s="94" t="s">
        <v>104</v>
      </c>
      <c r="D60" s="94">
        <v>2</v>
      </c>
      <c r="E60" s="87">
        <v>200</v>
      </c>
      <c r="F60" s="70">
        <v>7788</v>
      </c>
      <c r="G60" s="76">
        <v>1.2</v>
      </c>
      <c r="H60" s="87" t="e">
        <f>NA()</f>
        <v>#N/A</v>
      </c>
      <c r="I60" s="70" t="e">
        <f>NA()</f>
        <v>#N/A</v>
      </c>
      <c r="J60" s="76" t="e">
        <f>NA()</f>
        <v>#N/A</v>
      </c>
      <c r="K60" s="87" t="e">
        <f>NA()</f>
        <v>#N/A</v>
      </c>
      <c r="L60" s="70" t="e">
        <f>NA()</f>
        <v>#N/A</v>
      </c>
      <c r="M60" s="76" t="e">
        <f>NA()</f>
        <v>#N/A</v>
      </c>
      <c r="N60" s="87" t="e">
        <f>NA()</f>
        <v>#N/A</v>
      </c>
      <c r="O60" s="70" t="e">
        <f>NA()</f>
        <v>#N/A</v>
      </c>
      <c r="P60" s="76" t="e">
        <f>NA()</f>
        <v>#N/A</v>
      </c>
      <c r="Q60" s="87" t="e">
        <f>NA()</f>
        <v>#N/A</v>
      </c>
      <c r="R60" s="70" t="e">
        <f>NA()</f>
        <v>#N/A</v>
      </c>
      <c r="S60" s="76" t="e">
        <f>NA()</f>
        <v>#N/A</v>
      </c>
      <c r="T60" s="87" t="e">
        <f>NA()</f>
        <v>#N/A</v>
      </c>
      <c r="U60" s="70" t="e">
        <f>NA()</f>
        <v>#N/A</v>
      </c>
      <c r="V60" s="76" t="e">
        <f>NA()</f>
        <v>#N/A</v>
      </c>
    </row>
    <row r="61" spans="2:22" hidden="1" x14ac:dyDescent="0.25">
      <c r="B61" s="75" t="s">
        <v>9</v>
      </c>
      <c r="C61" s="94" t="s">
        <v>104</v>
      </c>
      <c r="D61" s="94">
        <v>2</v>
      </c>
      <c r="E61" s="87">
        <v>220</v>
      </c>
      <c r="F61" s="70">
        <v>6563</v>
      </c>
      <c r="G61" s="76">
        <v>1.1599999999999999</v>
      </c>
      <c r="H61" s="87" t="e">
        <f>NA()</f>
        <v>#N/A</v>
      </c>
      <c r="I61" s="70" t="e">
        <f>NA()</f>
        <v>#N/A</v>
      </c>
      <c r="J61" s="76" t="e">
        <f>NA()</f>
        <v>#N/A</v>
      </c>
      <c r="K61" s="87" t="e">
        <f>NA()</f>
        <v>#N/A</v>
      </c>
      <c r="L61" s="70" t="e">
        <f>NA()</f>
        <v>#N/A</v>
      </c>
      <c r="M61" s="76" t="e">
        <f>NA()</f>
        <v>#N/A</v>
      </c>
      <c r="N61" s="87" t="e">
        <f>NA()</f>
        <v>#N/A</v>
      </c>
      <c r="O61" s="70" t="e">
        <f>NA()</f>
        <v>#N/A</v>
      </c>
      <c r="P61" s="76" t="e">
        <f>NA()</f>
        <v>#N/A</v>
      </c>
      <c r="Q61" s="87" t="e">
        <f>NA()</f>
        <v>#N/A</v>
      </c>
      <c r="R61" s="70" t="e">
        <f>NA()</f>
        <v>#N/A</v>
      </c>
      <c r="S61" s="76" t="e">
        <f>NA()</f>
        <v>#N/A</v>
      </c>
      <c r="T61" s="87" t="e">
        <f>NA()</f>
        <v>#N/A</v>
      </c>
      <c r="U61" s="70" t="e">
        <f>NA()</f>
        <v>#N/A</v>
      </c>
      <c r="V61" s="76" t="e">
        <f>NA()</f>
        <v>#N/A</v>
      </c>
    </row>
    <row r="62" spans="2:22" hidden="1" x14ac:dyDescent="0.25">
      <c r="B62" s="77" t="s">
        <v>9</v>
      </c>
      <c r="C62" s="95" t="s">
        <v>104</v>
      </c>
      <c r="D62" s="95">
        <v>2</v>
      </c>
      <c r="E62" s="88">
        <v>230</v>
      </c>
      <c r="F62" s="79">
        <v>6358</v>
      </c>
      <c r="G62" s="80">
        <v>1.125</v>
      </c>
      <c r="H62" s="88" t="e">
        <f>NA()</f>
        <v>#N/A</v>
      </c>
      <c r="I62" s="79" t="e">
        <f>NA()</f>
        <v>#N/A</v>
      </c>
      <c r="J62" s="80" t="e">
        <f>NA()</f>
        <v>#N/A</v>
      </c>
      <c r="K62" s="88" t="e">
        <f>NA()</f>
        <v>#N/A</v>
      </c>
      <c r="L62" s="79" t="e">
        <f>NA()</f>
        <v>#N/A</v>
      </c>
      <c r="M62" s="80" t="e">
        <f>NA()</f>
        <v>#N/A</v>
      </c>
      <c r="N62" s="88" t="e">
        <f>NA()</f>
        <v>#N/A</v>
      </c>
      <c r="O62" s="79" t="e">
        <f>NA()</f>
        <v>#N/A</v>
      </c>
      <c r="P62" s="80" t="e">
        <f>NA()</f>
        <v>#N/A</v>
      </c>
      <c r="Q62" s="88" t="e">
        <f>NA()</f>
        <v>#N/A</v>
      </c>
      <c r="R62" s="79" t="e">
        <f>NA()</f>
        <v>#N/A</v>
      </c>
      <c r="S62" s="80" t="e">
        <f>NA()</f>
        <v>#N/A</v>
      </c>
      <c r="T62" s="88" t="e">
        <f>NA()</f>
        <v>#N/A</v>
      </c>
      <c r="U62" s="79" t="e">
        <f>NA()</f>
        <v>#N/A</v>
      </c>
      <c r="V62" s="80" t="e">
        <f>NA()</f>
        <v>#N/A</v>
      </c>
    </row>
    <row r="63" spans="2:22" hidden="1" x14ac:dyDescent="0.25">
      <c r="B63" s="71" t="s">
        <v>9</v>
      </c>
      <c r="C63" s="93">
        <v>3504</v>
      </c>
      <c r="D63" s="93">
        <v>2</v>
      </c>
      <c r="E63" s="86">
        <v>0</v>
      </c>
      <c r="F63" s="73">
        <v>0</v>
      </c>
      <c r="G63" s="74">
        <v>2.0339999999999998</v>
      </c>
      <c r="H63" s="86">
        <v>0</v>
      </c>
      <c r="I63" s="73">
        <v>0</v>
      </c>
      <c r="J63" s="74">
        <v>2.0920000000000001</v>
      </c>
      <c r="K63" s="86">
        <v>0</v>
      </c>
      <c r="L63" s="73">
        <v>0</v>
      </c>
      <c r="M63" s="74">
        <v>1.962</v>
      </c>
      <c r="N63" s="86">
        <v>0</v>
      </c>
      <c r="O63" s="73">
        <v>0</v>
      </c>
      <c r="P63" s="74">
        <v>2.0840000000000001</v>
      </c>
      <c r="Q63" s="86" t="e">
        <f>NA()</f>
        <v>#N/A</v>
      </c>
      <c r="R63" s="73" t="e">
        <f>NA()</f>
        <v>#N/A</v>
      </c>
      <c r="S63" s="74" t="e">
        <f>NA()</f>
        <v>#N/A</v>
      </c>
      <c r="T63" s="86" t="e">
        <f>NA()</f>
        <v>#N/A</v>
      </c>
      <c r="U63" s="73" t="e">
        <f>NA()</f>
        <v>#N/A</v>
      </c>
      <c r="V63" s="74" t="e">
        <f>NA()</f>
        <v>#N/A</v>
      </c>
    </row>
    <row r="64" spans="2:22" hidden="1" x14ac:dyDescent="0.25">
      <c r="B64" s="75" t="s">
        <v>9</v>
      </c>
      <c r="C64" s="94">
        <v>3504</v>
      </c>
      <c r="D64" s="94">
        <v>2</v>
      </c>
      <c r="E64" s="87">
        <v>1</v>
      </c>
      <c r="F64" s="70">
        <v>0</v>
      </c>
      <c r="G64" s="76">
        <v>2.0219999999999998</v>
      </c>
      <c r="H64" s="87">
        <v>1</v>
      </c>
      <c r="I64" s="70">
        <v>0</v>
      </c>
      <c r="J64" s="76">
        <v>2.0779999999999998</v>
      </c>
      <c r="K64" s="87">
        <v>1</v>
      </c>
      <c r="L64" s="70">
        <v>0</v>
      </c>
      <c r="M64" s="76">
        <v>1.9370000000000001</v>
      </c>
      <c r="N64" s="87">
        <v>1</v>
      </c>
      <c r="O64" s="70">
        <v>0</v>
      </c>
      <c r="P64" s="76">
        <v>2.0699999999999998</v>
      </c>
      <c r="Q64" s="87" t="e">
        <f>NA()</f>
        <v>#N/A</v>
      </c>
      <c r="R64" s="70" t="e">
        <f>NA()</f>
        <v>#N/A</v>
      </c>
      <c r="S64" s="76" t="e">
        <f>NA()</f>
        <v>#N/A</v>
      </c>
      <c r="T64" s="87" t="e">
        <f>NA()</f>
        <v>#N/A</v>
      </c>
      <c r="U64" s="70" t="e">
        <f>NA()</f>
        <v>#N/A</v>
      </c>
      <c r="V64" s="76" t="e">
        <f>NA()</f>
        <v>#N/A</v>
      </c>
    </row>
    <row r="65" spans="2:22" hidden="1" x14ac:dyDescent="0.25">
      <c r="B65" s="75" t="s">
        <v>9</v>
      </c>
      <c r="C65" s="94">
        <v>3504</v>
      </c>
      <c r="D65" s="94">
        <v>2</v>
      </c>
      <c r="E65" s="87">
        <v>5</v>
      </c>
      <c r="F65" s="70">
        <v>654</v>
      </c>
      <c r="G65" s="76">
        <v>1.9930000000000001</v>
      </c>
      <c r="H65" s="87">
        <v>5</v>
      </c>
      <c r="I65" s="70">
        <v>388</v>
      </c>
      <c r="J65" s="76">
        <v>2.0129999999999999</v>
      </c>
      <c r="K65" s="87">
        <v>5</v>
      </c>
      <c r="L65" s="70">
        <v>277</v>
      </c>
      <c r="M65" s="76">
        <v>1.804</v>
      </c>
      <c r="N65" s="87">
        <v>5</v>
      </c>
      <c r="O65" s="70">
        <v>226</v>
      </c>
      <c r="P65" s="76">
        <v>1.9610000000000001</v>
      </c>
      <c r="Q65" s="87" t="e">
        <f>NA()</f>
        <v>#N/A</v>
      </c>
      <c r="R65" s="70" t="e">
        <f>NA()</f>
        <v>#N/A</v>
      </c>
      <c r="S65" s="76" t="e">
        <f>NA()</f>
        <v>#N/A</v>
      </c>
      <c r="T65" s="87" t="e">
        <f>NA()</f>
        <v>#N/A</v>
      </c>
      <c r="U65" s="70" t="e">
        <f>NA()</f>
        <v>#N/A</v>
      </c>
      <c r="V65" s="76" t="e">
        <f>NA()</f>
        <v>#N/A</v>
      </c>
    </row>
    <row r="66" spans="2:22" hidden="1" x14ac:dyDescent="0.25">
      <c r="B66" s="75" t="s">
        <v>9</v>
      </c>
      <c r="C66" s="94">
        <v>3504</v>
      </c>
      <c r="D66" s="94">
        <v>2</v>
      </c>
      <c r="E66" s="87">
        <v>10</v>
      </c>
      <c r="F66" s="70">
        <v>809</v>
      </c>
      <c r="G66" s="76">
        <v>1.96</v>
      </c>
      <c r="H66" s="87">
        <v>10</v>
      </c>
      <c r="I66" s="70">
        <v>321</v>
      </c>
      <c r="J66" s="76">
        <v>1.754</v>
      </c>
      <c r="K66" s="87">
        <v>10</v>
      </c>
      <c r="L66" s="70">
        <v>341</v>
      </c>
      <c r="M66" s="76">
        <v>1.373</v>
      </c>
      <c r="N66" s="87">
        <v>10</v>
      </c>
      <c r="O66" s="70">
        <v>270</v>
      </c>
      <c r="P66" s="76">
        <v>1.454</v>
      </c>
      <c r="Q66" s="87" t="e">
        <f>NA()</f>
        <v>#N/A</v>
      </c>
      <c r="R66" s="70" t="e">
        <f>NA()</f>
        <v>#N/A</v>
      </c>
      <c r="S66" s="76" t="e">
        <f>NA()</f>
        <v>#N/A</v>
      </c>
      <c r="T66" s="87" t="e">
        <f>NA()</f>
        <v>#N/A</v>
      </c>
      <c r="U66" s="70" t="e">
        <f>NA()</f>
        <v>#N/A</v>
      </c>
      <c r="V66" s="76" t="e">
        <f>NA()</f>
        <v>#N/A</v>
      </c>
    </row>
    <row r="67" spans="2:22" hidden="1" x14ac:dyDescent="0.25">
      <c r="B67" s="75" t="s">
        <v>9</v>
      </c>
      <c r="C67" s="94">
        <v>3504</v>
      </c>
      <c r="D67" s="94">
        <v>2</v>
      </c>
      <c r="E67" s="87">
        <v>15</v>
      </c>
      <c r="F67" s="70">
        <v>938</v>
      </c>
      <c r="G67" s="76">
        <v>1.9119999999999999</v>
      </c>
      <c r="H67" s="87">
        <v>15</v>
      </c>
      <c r="I67" s="70">
        <v>484</v>
      </c>
      <c r="J67" s="76">
        <v>1.4630000000000001</v>
      </c>
      <c r="K67" s="87">
        <v>15</v>
      </c>
      <c r="L67" s="70">
        <v>464</v>
      </c>
      <c r="M67" s="76">
        <v>1.075</v>
      </c>
      <c r="N67" s="87">
        <v>15</v>
      </c>
      <c r="O67" s="70">
        <v>347</v>
      </c>
      <c r="P67" s="76">
        <v>1.1000000000000001</v>
      </c>
      <c r="Q67" s="87" t="e">
        <f>NA()</f>
        <v>#N/A</v>
      </c>
      <c r="R67" s="70" t="e">
        <f>NA()</f>
        <v>#N/A</v>
      </c>
      <c r="S67" s="76" t="e">
        <f>NA()</f>
        <v>#N/A</v>
      </c>
      <c r="T67" s="87" t="e">
        <f>NA()</f>
        <v>#N/A</v>
      </c>
      <c r="U67" s="70" t="e">
        <f>NA()</f>
        <v>#N/A</v>
      </c>
      <c r="V67" s="76" t="e">
        <f>NA()</f>
        <v>#N/A</v>
      </c>
    </row>
    <row r="68" spans="2:22" hidden="1" x14ac:dyDescent="0.25">
      <c r="B68" s="75" t="s">
        <v>9</v>
      </c>
      <c r="C68" s="94">
        <v>3504</v>
      </c>
      <c r="D68" s="94">
        <v>2</v>
      </c>
      <c r="E68" s="87">
        <v>20</v>
      </c>
      <c r="F68" s="70">
        <v>930</v>
      </c>
      <c r="G68" s="76">
        <v>1.8360000000000001</v>
      </c>
      <c r="H68" s="87">
        <v>20</v>
      </c>
      <c r="I68" s="70">
        <v>474</v>
      </c>
      <c r="J68" s="76">
        <v>1.24</v>
      </c>
      <c r="K68" s="87">
        <v>20</v>
      </c>
      <c r="L68" s="70">
        <v>620</v>
      </c>
      <c r="M68" s="76">
        <v>0.89800000000000002</v>
      </c>
      <c r="N68" s="87">
        <v>20</v>
      </c>
      <c r="O68" s="70">
        <v>369</v>
      </c>
      <c r="P68" s="76">
        <v>0.93100000000000005</v>
      </c>
      <c r="Q68" s="87" t="e">
        <f>NA()</f>
        <v>#N/A</v>
      </c>
      <c r="R68" s="70" t="e">
        <f>NA()</f>
        <v>#N/A</v>
      </c>
      <c r="S68" s="76" t="e">
        <f>NA()</f>
        <v>#N/A</v>
      </c>
      <c r="T68" s="87" t="e">
        <f>NA()</f>
        <v>#N/A</v>
      </c>
      <c r="U68" s="70" t="e">
        <f>NA()</f>
        <v>#N/A</v>
      </c>
      <c r="V68" s="76" t="e">
        <f>NA()</f>
        <v>#N/A</v>
      </c>
    </row>
    <row r="69" spans="2:22" hidden="1" x14ac:dyDescent="0.25">
      <c r="B69" s="75" t="s">
        <v>9</v>
      </c>
      <c r="C69" s="94">
        <v>3504</v>
      </c>
      <c r="D69" s="94">
        <v>2</v>
      </c>
      <c r="E69" s="87">
        <v>25</v>
      </c>
      <c r="F69" s="70">
        <v>921</v>
      </c>
      <c r="G69" s="76">
        <v>1.746</v>
      </c>
      <c r="H69" s="87">
        <v>25</v>
      </c>
      <c r="I69" s="70">
        <v>630</v>
      </c>
      <c r="J69" s="76">
        <v>1.091</v>
      </c>
      <c r="K69" s="87">
        <v>25</v>
      </c>
      <c r="L69" s="70">
        <v>758</v>
      </c>
      <c r="M69" s="76">
        <v>0.79100000000000004</v>
      </c>
      <c r="N69" s="87">
        <v>25</v>
      </c>
      <c r="O69" s="70">
        <v>463</v>
      </c>
      <c r="P69" s="76">
        <v>0.82699999999999996</v>
      </c>
      <c r="Q69" s="87" t="e">
        <f>NA()</f>
        <v>#N/A</v>
      </c>
      <c r="R69" s="70" t="e">
        <f>NA()</f>
        <v>#N/A</v>
      </c>
      <c r="S69" s="76" t="e">
        <f>NA()</f>
        <v>#N/A</v>
      </c>
      <c r="T69" s="87" t="e">
        <f>NA()</f>
        <v>#N/A</v>
      </c>
      <c r="U69" s="70" t="e">
        <f>NA()</f>
        <v>#N/A</v>
      </c>
      <c r="V69" s="76" t="e">
        <f>NA()</f>
        <v>#N/A</v>
      </c>
    </row>
    <row r="70" spans="2:22" hidden="1" x14ac:dyDescent="0.25">
      <c r="B70" s="75" t="s">
        <v>9</v>
      </c>
      <c r="C70" s="94">
        <v>3504</v>
      </c>
      <c r="D70" s="94">
        <v>2</v>
      </c>
      <c r="E70" s="87">
        <v>30</v>
      </c>
      <c r="F70" s="70">
        <v>1248</v>
      </c>
      <c r="G70" s="76">
        <v>1.6579999999999999</v>
      </c>
      <c r="H70" s="87">
        <v>30</v>
      </c>
      <c r="I70" s="70">
        <v>951</v>
      </c>
      <c r="J70" s="76">
        <v>0.98299999999999998</v>
      </c>
      <c r="K70" s="87">
        <v>30</v>
      </c>
      <c r="L70" s="70">
        <v>878</v>
      </c>
      <c r="M70" s="76">
        <v>0.72099999999999997</v>
      </c>
      <c r="N70" s="87">
        <v>30</v>
      </c>
      <c r="O70" s="70">
        <v>655</v>
      </c>
      <c r="P70" s="76">
        <v>0.75600000000000001</v>
      </c>
      <c r="Q70" s="87" t="e">
        <f>NA()</f>
        <v>#N/A</v>
      </c>
      <c r="R70" s="70" t="e">
        <f>NA()</f>
        <v>#N/A</v>
      </c>
      <c r="S70" s="76" t="e">
        <f>NA()</f>
        <v>#N/A</v>
      </c>
      <c r="T70" s="87" t="e">
        <f>NA()</f>
        <v>#N/A</v>
      </c>
      <c r="U70" s="70" t="e">
        <f>NA()</f>
        <v>#N/A</v>
      </c>
      <c r="V70" s="76" t="e">
        <f>NA()</f>
        <v>#N/A</v>
      </c>
    </row>
    <row r="71" spans="2:22" hidden="1" x14ac:dyDescent="0.25">
      <c r="B71" s="75" t="s">
        <v>9</v>
      </c>
      <c r="C71" s="94">
        <v>3504</v>
      </c>
      <c r="D71" s="94">
        <v>2</v>
      </c>
      <c r="E71" s="87">
        <v>40</v>
      </c>
      <c r="F71" s="70">
        <v>1700</v>
      </c>
      <c r="G71" s="76">
        <v>1.4970000000000001</v>
      </c>
      <c r="H71" s="87">
        <v>40</v>
      </c>
      <c r="I71" s="70">
        <v>887</v>
      </c>
      <c r="J71" s="76">
        <v>0.83399999999999996</v>
      </c>
      <c r="K71" s="87">
        <v>40</v>
      </c>
      <c r="L71" s="70">
        <v>1311</v>
      </c>
      <c r="M71" s="76">
        <v>0.63300000000000001</v>
      </c>
      <c r="N71" s="87">
        <v>40</v>
      </c>
      <c r="O71" s="70">
        <v>746</v>
      </c>
      <c r="P71" s="76">
        <v>0.66500000000000004</v>
      </c>
      <c r="Q71" s="87" t="e">
        <f>NA()</f>
        <v>#N/A</v>
      </c>
      <c r="R71" s="70" t="e">
        <f>NA()</f>
        <v>#N/A</v>
      </c>
      <c r="S71" s="76" t="e">
        <f>NA()</f>
        <v>#N/A</v>
      </c>
      <c r="T71" s="87" t="e">
        <f>NA()</f>
        <v>#N/A</v>
      </c>
      <c r="U71" s="70" t="e">
        <f>NA()</f>
        <v>#N/A</v>
      </c>
      <c r="V71" s="76" t="e">
        <f>NA()</f>
        <v>#N/A</v>
      </c>
    </row>
    <row r="72" spans="2:22" hidden="1" x14ac:dyDescent="0.25">
      <c r="B72" s="75" t="s">
        <v>9</v>
      </c>
      <c r="C72" s="94">
        <v>3504</v>
      </c>
      <c r="D72" s="94">
        <v>2</v>
      </c>
      <c r="E72" s="87">
        <v>50</v>
      </c>
      <c r="F72" s="70">
        <v>1799</v>
      </c>
      <c r="G72" s="76">
        <v>1.3759999999999999</v>
      </c>
      <c r="H72" s="87">
        <v>50</v>
      </c>
      <c r="I72" s="70">
        <v>861</v>
      </c>
      <c r="J72" s="76">
        <v>0.75</v>
      </c>
      <c r="K72" s="87">
        <v>50</v>
      </c>
      <c r="L72" s="70">
        <v>1790</v>
      </c>
      <c r="M72" s="76">
        <v>0.58099999999999996</v>
      </c>
      <c r="N72" s="87">
        <v>50</v>
      </c>
      <c r="O72" s="70">
        <v>651</v>
      </c>
      <c r="P72" s="76">
        <v>0.60099999999999998</v>
      </c>
      <c r="Q72" s="87" t="e">
        <f>NA()</f>
        <v>#N/A</v>
      </c>
      <c r="R72" s="70" t="e">
        <f>NA()</f>
        <v>#N/A</v>
      </c>
      <c r="S72" s="76" t="e">
        <f>NA()</f>
        <v>#N/A</v>
      </c>
      <c r="T72" s="87" t="e">
        <f>NA()</f>
        <v>#N/A</v>
      </c>
      <c r="U72" s="70" t="e">
        <f>NA()</f>
        <v>#N/A</v>
      </c>
      <c r="V72" s="76" t="e">
        <f>NA()</f>
        <v>#N/A</v>
      </c>
    </row>
    <row r="73" spans="2:22" hidden="1" x14ac:dyDescent="0.25">
      <c r="B73" s="75" t="s">
        <v>9</v>
      </c>
      <c r="C73" s="94">
        <v>3504</v>
      </c>
      <c r="D73" s="94">
        <v>2</v>
      </c>
      <c r="E73" s="87">
        <v>60</v>
      </c>
      <c r="F73" s="70">
        <v>2185</v>
      </c>
      <c r="G73" s="76">
        <v>1.268</v>
      </c>
      <c r="H73" s="87">
        <v>60</v>
      </c>
      <c r="I73" s="70">
        <v>997</v>
      </c>
      <c r="J73" s="76">
        <v>0.68799999999999994</v>
      </c>
      <c r="K73" s="87">
        <v>60</v>
      </c>
      <c r="L73" s="70">
        <v>2067</v>
      </c>
      <c r="M73" s="76">
        <v>0.54500000000000004</v>
      </c>
      <c r="N73" s="87">
        <v>60</v>
      </c>
      <c r="O73" s="70">
        <v>932</v>
      </c>
      <c r="P73" s="76">
        <v>0.55900000000000005</v>
      </c>
      <c r="Q73" s="87" t="e">
        <f>NA()</f>
        <v>#N/A</v>
      </c>
      <c r="R73" s="70" t="e">
        <f>NA()</f>
        <v>#N/A</v>
      </c>
      <c r="S73" s="76" t="e">
        <f>NA()</f>
        <v>#N/A</v>
      </c>
      <c r="T73" s="87" t="e">
        <f>NA()</f>
        <v>#N/A</v>
      </c>
      <c r="U73" s="70" t="e">
        <f>NA()</f>
        <v>#N/A</v>
      </c>
      <c r="V73" s="76" t="e">
        <f>NA()</f>
        <v>#N/A</v>
      </c>
    </row>
    <row r="74" spans="2:22" hidden="1" x14ac:dyDescent="0.25">
      <c r="B74" s="75" t="s">
        <v>9</v>
      </c>
      <c r="C74" s="94">
        <v>3504</v>
      </c>
      <c r="D74" s="94">
        <v>2</v>
      </c>
      <c r="E74" s="87">
        <v>80</v>
      </c>
      <c r="F74" s="70">
        <v>2587</v>
      </c>
      <c r="G74" s="76">
        <v>1.0960000000000001</v>
      </c>
      <c r="H74" s="87">
        <v>80</v>
      </c>
      <c r="I74" s="70">
        <v>1497</v>
      </c>
      <c r="J74" s="76">
        <v>0.622</v>
      </c>
      <c r="K74" s="87">
        <v>80</v>
      </c>
      <c r="L74" s="70">
        <v>3604</v>
      </c>
      <c r="M74" s="76">
        <v>0.48899999999999999</v>
      </c>
      <c r="N74" s="87" t="e">
        <f>NA()</f>
        <v>#N/A</v>
      </c>
      <c r="O74" s="70" t="e">
        <f>NA()</f>
        <v>#N/A</v>
      </c>
      <c r="P74" s="76" t="e">
        <f>NA()</f>
        <v>#N/A</v>
      </c>
      <c r="Q74" s="87" t="e">
        <f>NA()</f>
        <v>#N/A</v>
      </c>
      <c r="R74" s="70" t="e">
        <f>NA()</f>
        <v>#N/A</v>
      </c>
      <c r="S74" s="76" t="e">
        <f>NA()</f>
        <v>#N/A</v>
      </c>
      <c r="T74" s="87" t="e">
        <f>NA()</f>
        <v>#N/A</v>
      </c>
      <c r="U74" s="70" t="e">
        <f>NA()</f>
        <v>#N/A</v>
      </c>
      <c r="V74" s="76" t="e">
        <f>NA()</f>
        <v>#N/A</v>
      </c>
    </row>
    <row r="75" spans="2:22" hidden="1" x14ac:dyDescent="0.25">
      <c r="B75" s="75" t="s">
        <v>9</v>
      </c>
      <c r="C75" s="94">
        <v>3504</v>
      </c>
      <c r="D75" s="94">
        <v>2</v>
      </c>
      <c r="E75" s="87">
        <v>100</v>
      </c>
      <c r="F75" s="70">
        <v>3319</v>
      </c>
      <c r="G75" s="76">
        <v>0.97399999999999998</v>
      </c>
      <c r="H75" s="87" t="e">
        <f>NA()</f>
        <v>#N/A</v>
      </c>
      <c r="I75" s="70" t="e">
        <f>NA()</f>
        <v>#N/A</v>
      </c>
      <c r="J75" s="76" t="e">
        <f>NA()</f>
        <v>#N/A</v>
      </c>
      <c r="K75" s="87" t="e">
        <f>NA()</f>
        <v>#N/A</v>
      </c>
      <c r="L75" s="70" t="e">
        <f>NA()</f>
        <v>#N/A</v>
      </c>
      <c r="M75" s="76" t="e">
        <f>NA()</f>
        <v>#N/A</v>
      </c>
      <c r="N75" s="87" t="e">
        <f>NA()</f>
        <v>#N/A</v>
      </c>
      <c r="O75" s="70" t="e">
        <f>NA()</f>
        <v>#N/A</v>
      </c>
      <c r="P75" s="76" t="e">
        <f>NA()</f>
        <v>#N/A</v>
      </c>
      <c r="Q75" s="87" t="e">
        <f>NA()</f>
        <v>#N/A</v>
      </c>
      <c r="R75" s="70" t="e">
        <f>NA()</f>
        <v>#N/A</v>
      </c>
      <c r="S75" s="76" t="e">
        <f>NA()</f>
        <v>#N/A</v>
      </c>
      <c r="T75" s="87" t="e">
        <f>NA()</f>
        <v>#N/A</v>
      </c>
      <c r="U75" s="70" t="e">
        <f>NA()</f>
        <v>#N/A</v>
      </c>
      <c r="V75" s="76" t="e">
        <f>NA()</f>
        <v>#N/A</v>
      </c>
    </row>
    <row r="76" spans="2:22" hidden="1" x14ac:dyDescent="0.25">
      <c r="B76" s="75" t="s">
        <v>9</v>
      </c>
      <c r="C76" s="94">
        <v>3504</v>
      </c>
      <c r="D76" s="94">
        <v>2</v>
      </c>
      <c r="E76" s="87">
        <v>120</v>
      </c>
      <c r="F76" s="70">
        <v>3451</v>
      </c>
      <c r="G76" s="76">
        <v>0.88400000000000001</v>
      </c>
      <c r="H76" s="87" t="e">
        <f>NA()</f>
        <v>#N/A</v>
      </c>
      <c r="I76" s="70" t="e">
        <f>NA()</f>
        <v>#N/A</v>
      </c>
      <c r="J76" s="76" t="e">
        <f>NA()</f>
        <v>#N/A</v>
      </c>
      <c r="K76" s="87" t="e">
        <f>NA()</f>
        <v>#N/A</v>
      </c>
      <c r="L76" s="70" t="e">
        <f>NA()</f>
        <v>#N/A</v>
      </c>
      <c r="M76" s="76" t="e">
        <f>NA()</f>
        <v>#N/A</v>
      </c>
      <c r="N76" s="87" t="e">
        <f>NA()</f>
        <v>#N/A</v>
      </c>
      <c r="O76" s="70" t="e">
        <f>NA()</f>
        <v>#N/A</v>
      </c>
      <c r="P76" s="76" t="e">
        <f>NA()</f>
        <v>#N/A</v>
      </c>
      <c r="Q76" s="87" t="e">
        <f>NA()</f>
        <v>#N/A</v>
      </c>
      <c r="R76" s="70" t="e">
        <f>NA()</f>
        <v>#N/A</v>
      </c>
      <c r="S76" s="76" t="e">
        <f>NA()</f>
        <v>#N/A</v>
      </c>
      <c r="T76" s="87" t="e">
        <f>NA()</f>
        <v>#N/A</v>
      </c>
      <c r="U76" s="70" t="e">
        <f>NA()</f>
        <v>#N/A</v>
      </c>
      <c r="V76" s="76" t="e">
        <f>NA()</f>
        <v>#N/A</v>
      </c>
    </row>
    <row r="77" spans="2:22" hidden="1" x14ac:dyDescent="0.25">
      <c r="B77" s="75" t="s">
        <v>9</v>
      </c>
      <c r="C77" s="94">
        <v>3504</v>
      </c>
      <c r="D77" s="94">
        <v>2</v>
      </c>
      <c r="E77" s="87">
        <v>140</v>
      </c>
      <c r="F77" s="70">
        <v>3589</v>
      </c>
      <c r="G77" s="76">
        <v>0.81799999999999995</v>
      </c>
      <c r="H77" s="87" t="e">
        <f>NA()</f>
        <v>#N/A</v>
      </c>
      <c r="I77" s="70" t="e">
        <f>NA()</f>
        <v>#N/A</v>
      </c>
      <c r="J77" s="76" t="e">
        <f>NA()</f>
        <v>#N/A</v>
      </c>
      <c r="K77" s="87" t="e">
        <f>NA()</f>
        <v>#N/A</v>
      </c>
      <c r="L77" s="70" t="e">
        <f>NA()</f>
        <v>#N/A</v>
      </c>
      <c r="M77" s="76" t="e">
        <f>NA()</f>
        <v>#N/A</v>
      </c>
      <c r="N77" s="87" t="e">
        <f>NA()</f>
        <v>#N/A</v>
      </c>
      <c r="O77" s="70" t="e">
        <f>NA()</f>
        <v>#N/A</v>
      </c>
      <c r="P77" s="76" t="e">
        <f>NA()</f>
        <v>#N/A</v>
      </c>
      <c r="Q77" s="87" t="e">
        <f>NA()</f>
        <v>#N/A</v>
      </c>
      <c r="R77" s="70" t="e">
        <f>NA()</f>
        <v>#N/A</v>
      </c>
      <c r="S77" s="76" t="e">
        <f>NA()</f>
        <v>#N/A</v>
      </c>
      <c r="T77" s="87" t="e">
        <f>NA()</f>
        <v>#N/A</v>
      </c>
      <c r="U77" s="70" t="e">
        <f>NA()</f>
        <v>#N/A</v>
      </c>
      <c r="V77" s="76" t="e">
        <f>NA()</f>
        <v>#N/A</v>
      </c>
    </row>
    <row r="78" spans="2:22" hidden="1" x14ac:dyDescent="0.25">
      <c r="B78" s="75" t="s">
        <v>9</v>
      </c>
      <c r="C78" s="94">
        <v>3504</v>
      </c>
      <c r="D78" s="94">
        <v>2</v>
      </c>
      <c r="E78" s="87">
        <v>160</v>
      </c>
      <c r="F78" s="70">
        <v>3333</v>
      </c>
      <c r="G78" s="76">
        <v>0.76400000000000001</v>
      </c>
      <c r="H78" s="87" t="e">
        <f>NA()</f>
        <v>#N/A</v>
      </c>
      <c r="I78" s="70" t="e">
        <f>NA()</f>
        <v>#N/A</v>
      </c>
      <c r="J78" s="76" t="e">
        <f>NA()</f>
        <v>#N/A</v>
      </c>
      <c r="K78" s="87" t="e">
        <f>NA()</f>
        <v>#N/A</v>
      </c>
      <c r="L78" s="70" t="e">
        <f>NA()</f>
        <v>#N/A</v>
      </c>
      <c r="M78" s="76" t="e">
        <f>NA()</f>
        <v>#N/A</v>
      </c>
      <c r="N78" s="87" t="e">
        <f>NA()</f>
        <v>#N/A</v>
      </c>
      <c r="O78" s="70" t="e">
        <f>NA()</f>
        <v>#N/A</v>
      </c>
      <c r="P78" s="76" t="e">
        <f>NA()</f>
        <v>#N/A</v>
      </c>
      <c r="Q78" s="87" t="e">
        <f>NA()</f>
        <v>#N/A</v>
      </c>
      <c r="R78" s="70" t="e">
        <f>NA()</f>
        <v>#N/A</v>
      </c>
      <c r="S78" s="76" t="e">
        <f>NA()</f>
        <v>#N/A</v>
      </c>
      <c r="T78" s="87" t="e">
        <f>NA()</f>
        <v>#N/A</v>
      </c>
      <c r="U78" s="70" t="e">
        <f>NA()</f>
        <v>#N/A</v>
      </c>
      <c r="V78" s="76" t="e">
        <f>NA()</f>
        <v>#N/A</v>
      </c>
    </row>
    <row r="79" spans="2:22" hidden="1" x14ac:dyDescent="0.25">
      <c r="B79" s="75" t="s">
        <v>9</v>
      </c>
      <c r="C79" s="94">
        <v>3504</v>
      </c>
      <c r="D79" s="94">
        <v>2</v>
      </c>
      <c r="E79" s="87">
        <v>180</v>
      </c>
      <c r="F79" s="70">
        <v>3245</v>
      </c>
      <c r="G79" s="76">
        <v>0.72299999999999998</v>
      </c>
      <c r="H79" s="87" t="e">
        <f>NA()</f>
        <v>#N/A</v>
      </c>
      <c r="I79" s="70" t="e">
        <f>NA()</f>
        <v>#N/A</v>
      </c>
      <c r="J79" s="76" t="e">
        <f>NA()</f>
        <v>#N/A</v>
      </c>
      <c r="K79" s="87" t="e">
        <f>NA()</f>
        <v>#N/A</v>
      </c>
      <c r="L79" s="70" t="e">
        <f>NA()</f>
        <v>#N/A</v>
      </c>
      <c r="M79" s="76" t="e">
        <f>NA()</f>
        <v>#N/A</v>
      </c>
      <c r="N79" s="87" t="e">
        <f>NA()</f>
        <v>#N/A</v>
      </c>
      <c r="O79" s="70" t="e">
        <f>NA()</f>
        <v>#N/A</v>
      </c>
      <c r="P79" s="76" t="e">
        <f>NA()</f>
        <v>#N/A</v>
      </c>
      <c r="Q79" s="87" t="e">
        <f>NA()</f>
        <v>#N/A</v>
      </c>
      <c r="R79" s="70" t="e">
        <f>NA()</f>
        <v>#N/A</v>
      </c>
      <c r="S79" s="76" t="e">
        <f>NA()</f>
        <v>#N/A</v>
      </c>
      <c r="T79" s="87" t="e">
        <f>NA()</f>
        <v>#N/A</v>
      </c>
      <c r="U79" s="70" t="e">
        <f>NA()</f>
        <v>#N/A</v>
      </c>
      <c r="V79" s="76" t="e">
        <f>NA()</f>
        <v>#N/A</v>
      </c>
    </row>
    <row r="80" spans="2:22" hidden="1" x14ac:dyDescent="0.25">
      <c r="B80" s="77" t="s">
        <v>9</v>
      </c>
      <c r="C80" s="95">
        <v>3504</v>
      </c>
      <c r="D80" s="95">
        <v>2</v>
      </c>
      <c r="E80" s="88">
        <v>200</v>
      </c>
      <c r="F80" s="79">
        <v>3254</v>
      </c>
      <c r="G80" s="80">
        <v>0.68899999999999995</v>
      </c>
      <c r="H80" s="88" t="e">
        <f>NA()</f>
        <v>#N/A</v>
      </c>
      <c r="I80" s="79" t="e">
        <f>NA()</f>
        <v>#N/A</v>
      </c>
      <c r="J80" s="80" t="e">
        <f>NA()</f>
        <v>#N/A</v>
      </c>
      <c r="K80" s="88" t="e">
        <f>NA()</f>
        <v>#N/A</v>
      </c>
      <c r="L80" s="79" t="e">
        <f>NA()</f>
        <v>#N/A</v>
      </c>
      <c r="M80" s="80" t="e">
        <f>NA()</f>
        <v>#N/A</v>
      </c>
      <c r="N80" s="88" t="e">
        <f>NA()</f>
        <v>#N/A</v>
      </c>
      <c r="O80" s="79" t="e">
        <f>NA()</f>
        <v>#N/A</v>
      </c>
      <c r="P80" s="80" t="e">
        <f>NA()</f>
        <v>#N/A</v>
      </c>
      <c r="Q80" s="88" t="e">
        <f>NA()</f>
        <v>#N/A</v>
      </c>
      <c r="R80" s="79" t="e">
        <f>NA()</f>
        <v>#N/A</v>
      </c>
      <c r="S80" s="80" t="e">
        <f>NA()</f>
        <v>#N/A</v>
      </c>
      <c r="T80" s="88" t="e">
        <f>NA()</f>
        <v>#N/A</v>
      </c>
      <c r="U80" s="79" t="e">
        <f>NA()</f>
        <v>#N/A</v>
      </c>
      <c r="V80" s="80" t="e">
        <f>NA()</f>
        <v>#N/A</v>
      </c>
    </row>
    <row r="81" spans="2:22" hidden="1" x14ac:dyDescent="0.25">
      <c r="B81" s="71" t="s">
        <v>9</v>
      </c>
      <c r="C81" s="93" t="s">
        <v>108</v>
      </c>
      <c r="D81" s="93">
        <v>2.4</v>
      </c>
      <c r="E81" s="86">
        <v>0</v>
      </c>
      <c r="F81" s="73">
        <v>0</v>
      </c>
      <c r="G81" s="74">
        <v>2.3780000000000001</v>
      </c>
      <c r="H81" s="86">
        <v>0</v>
      </c>
      <c r="I81" s="73">
        <v>0</v>
      </c>
      <c r="J81" s="74">
        <v>2.3759999999999999</v>
      </c>
      <c r="K81" s="86">
        <v>0</v>
      </c>
      <c r="L81" s="73">
        <v>0</v>
      </c>
      <c r="M81" s="74">
        <v>2.3690000000000002</v>
      </c>
      <c r="N81" s="86">
        <v>0</v>
      </c>
      <c r="O81" s="73">
        <v>0</v>
      </c>
      <c r="P81" s="74">
        <v>2.36</v>
      </c>
      <c r="Q81" s="86">
        <v>0</v>
      </c>
      <c r="R81" s="73">
        <v>0</v>
      </c>
      <c r="S81" s="74">
        <v>2.3919999999999999</v>
      </c>
      <c r="T81" s="86" t="e">
        <f>NA()</f>
        <v>#N/A</v>
      </c>
      <c r="U81" s="73" t="e">
        <f>NA()</f>
        <v>#N/A</v>
      </c>
      <c r="V81" s="74" t="e">
        <f>NA()</f>
        <v>#N/A</v>
      </c>
    </row>
    <row r="82" spans="2:22" hidden="1" x14ac:dyDescent="0.25">
      <c r="B82" s="75" t="s">
        <v>9</v>
      </c>
      <c r="C82" s="94" t="s">
        <v>108</v>
      </c>
      <c r="D82" s="94">
        <v>2.4</v>
      </c>
      <c r="E82" s="87">
        <v>1</v>
      </c>
      <c r="F82" s="70">
        <v>0</v>
      </c>
      <c r="G82" s="76">
        <v>2.3140000000000001</v>
      </c>
      <c r="H82" s="87">
        <v>1</v>
      </c>
      <c r="I82" s="70">
        <v>0</v>
      </c>
      <c r="J82" s="76">
        <v>2.3159999999999998</v>
      </c>
      <c r="K82" s="87">
        <v>1</v>
      </c>
      <c r="L82" s="70">
        <v>0</v>
      </c>
      <c r="M82" s="76">
        <v>2.3199999999999998</v>
      </c>
      <c r="N82" s="87">
        <v>1</v>
      </c>
      <c r="O82" s="70">
        <v>0</v>
      </c>
      <c r="P82" s="76">
        <v>2.3109999999999999</v>
      </c>
      <c r="Q82" s="87">
        <v>1</v>
      </c>
      <c r="R82" s="70">
        <v>0</v>
      </c>
      <c r="S82" s="76">
        <v>2.3340000000000001</v>
      </c>
      <c r="T82" s="87" t="e">
        <f>NA()</f>
        <v>#N/A</v>
      </c>
      <c r="U82" s="70" t="e">
        <f>NA()</f>
        <v>#N/A</v>
      </c>
      <c r="V82" s="76" t="e">
        <f>NA()</f>
        <v>#N/A</v>
      </c>
    </row>
    <row r="83" spans="2:22" hidden="1" x14ac:dyDescent="0.25">
      <c r="B83" s="75" t="s">
        <v>9</v>
      </c>
      <c r="C83" s="94" t="s">
        <v>108</v>
      </c>
      <c r="D83" s="94">
        <v>2.4</v>
      </c>
      <c r="E83" s="87">
        <v>5</v>
      </c>
      <c r="F83" s="70">
        <v>170</v>
      </c>
      <c r="G83" s="76">
        <v>1.8839999999999999</v>
      </c>
      <c r="H83" s="87">
        <v>5</v>
      </c>
      <c r="I83" s="70">
        <v>275</v>
      </c>
      <c r="J83" s="76">
        <v>1.7849999999999999</v>
      </c>
      <c r="K83" s="87">
        <v>5</v>
      </c>
      <c r="L83" s="70">
        <v>277</v>
      </c>
      <c r="M83" s="76">
        <v>1.784</v>
      </c>
      <c r="N83" s="87">
        <v>5</v>
      </c>
      <c r="O83" s="70">
        <v>298</v>
      </c>
      <c r="P83" s="76">
        <v>1.75</v>
      </c>
      <c r="Q83" s="87">
        <v>5</v>
      </c>
      <c r="R83" s="70">
        <v>328</v>
      </c>
      <c r="S83" s="76">
        <v>1.7350000000000001</v>
      </c>
      <c r="T83" s="87" t="e">
        <f>NA()</f>
        <v>#N/A</v>
      </c>
      <c r="U83" s="70" t="e">
        <f>NA()</f>
        <v>#N/A</v>
      </c>
      <c r="V83" s="76" t="e">
        <f>NA()</f>
        <v>#N/A</v>
      </c>
    </row>
    <row r="84" spans="2:22" hidden="1" x14ac:dyDescent="0.25">
      <c r="B84" s="75" t="s">
        <v>9</v>
      </c>
      <c r="C84" s="94" t="s">
        <v>108</v>
      </c>
      <c r="D84" s="94">
        <v>2.4</v>
      </c>
      <c r="E84" s="87">
        <v>10</v>
      </c>
      <c r="F84" s="70">
        <v>705</v>
      </c>
      <c r="G84" s="76">
        <v>1.772</v>
      </c>
      <c r="H84" s="87">
        <v>10</v>
      </c>
      <c r="I84" s="70">
        <v>876</v>
      </c>
      <c r="J84" s="76">
        <v>1.6990000000000001</v>
      </c>
      <c r="K84" s="87">
        <v>10</v>
      </c>
      <c r="L84" s="70">
        <v>1122</v>
      </c>
      <c r="M84" s="76">
        <v>1.722</v>
      </c>
      <c r="N84" s="87">
        <v>10</v>
      </c>
      <c r="O84" s="70">
        <v>1296</v>
      </c>
      <c r="P84" s="76">
        <v>1.6859999999999999</v>
      </c>
      <c r="Q84" s="87">
        <v>10</v>
      </c>
      <c r="R84" s="70">
        <v>1005</v>
      </c>
      <c r="S84" s="76">
        <v>1.619</v>
      </c>
      <c r="T84" s="87" t="e">
        <f>NA()</f>
        <v>#N/A</v>
      </c>
      <c r="U84" s="70" t="e">
        <f>NA()</f>
        <v>#N/A</v>
      </c>
      <c r="V84" s="76" t="e">
        <f>NA()</f>
        <v>#N/A</v>
      </c>
    </row>
    <row r="85" spans="2:22" hidden="1" x14ac:dyDescent="0.25">
      <c r="B85" s="75" t="s">
        <v>9</v>
      </c>
      <c r="C85" s="94" t="s">
        <v>108</v>
      </c>
      <c r="D85" s="94">
        <v>2.4</v>
      </c>
      <c r="E85" s="87">
        <v>15</v>
      </c>
      <c r="F85" s="70">
        <v>1286</v>
      </c>
      <c r="G85" s="76">
        <v>1.712</v>
      </c>
      <c r="H85" s="87">
        <v>15</v>
      </c>
      <c r="I85" s="70">
        <v>4049</v>
      </c>
      <c r="J85" s="76">
        <v>1.6659999999999999</v>
      </c>
      <c r="K85" s="87">
        <v>15</v>
      </c>
      <c r="L85" s="70">
        <v>3125</v>
      </c>
      <c r="M85" s="76">
        <v>1.677</v>
      </c>
      <c r="N85" s="87">
        <v>15</v>
      </c>
      <c r="O85" s="70">
        <v>3540</v>
      </c>
      <c r="P85" s="76">
        <v>1.6</v>
      </c>
      <c r="Q85" s="87">
        <v>15</v>
      </c>
      <c r="R85" s="70">
        <v>2752</v>
      </c>
      <c r="S85" s="76">
        <v>1.466</v>
      </c>
      <c r="T85" s="87" t="e">
        <f>NA()</f>
        <v>#N/A</v>
      </c>
      <c r="U85" s="70" t="e">
        <f>NA()</f>
        <v>#N/A</v>
      </c>
      <c r="V85" s="76" t="e">
        <f>NA()</f>
        <v>#N/A</v>
      </c>
    </row>
    <row r="86" spans="2:22" hidden="1" x14ac:dyDescent="0.25">
      <c r="B86" s="75" t="s">
        <v>9</v>
      </c>
      <c r="C86" s="94" t="s">
        <v>108</v>
      </c>
      <c r="D86" s="94">
        <v>2.4</v>
      </c>
      <c r="E86" s="87">
        <v>20</v>
      </c>
      <c r="F86" s="70">
        <v>2025</v>
      </c>
      <c r="G86" s="76">
        <v>1.6779999999999999</v>
      </c>
      <c r="H86" s="87">
        <v>20</v>
      </c>
      <c r="I86" s="70">
        <v>6921</v>
      </c>
      <c r="J86" s="76">
        <v>1.6359999999999999</v>
      </c>
      <c r="K86" s="87">
        <v>20</v>
      </c>
      <c r="L86" s="70">
        <v>22569</v>
      </c>
      <c r="M86" s="76">
        <v>1.613</v>
      </c>
      <c r="N86" s="87">
        <v>20</v>
      </c>
      <c r="O86" s="70">
        <v>21766</v>
      </c>
      <c r="P86" s="76">
        <v>1.486</v>
      </c>
      <c r="Q86" s="87">
        <v>20</v>
      </c>
      <c r="R86" s="70">
        <v>4673</v>
      </c>
      <c r="S86" s="76">
        <v>1.3280000000000001</v>
      </c>
      <c r="T86" s="87" t="e">
        <f>NA()</f>
        <v>#N/A</v>
      </c>
      <c r="U86" s="70" t="e">
        <f>NA()</f>
        <v>#N/A</v>
      </c>
      <c r="V86" s="76" t="e">
        <f>NA()</f>
        <v>#N/A</v>
      </c>
    </row>
    <row r="87" spans="2:22" hidden="1" x14ac:dyDescent="0.25">
      <c r="B87" s="75" t="s">
        <v>9</v>
      </c>
      <c r="C87" s="94" t="s">
        <v>108</v>
      </c>
      <c r="D87" s="94">
        <v>2.4</v>
      </c>
      <c r="E87" s="87">
        <v>25</v>
      </c>
      <c r="F87" s="70">
        <v>2858</v>
      </c>
      <c r="G87" s="76">
        <v>1.659</v>
      </c>
      <c r="H87" s="87">
        <v>25</v>
      </c>
      <c r="I87" s="70">
        <v>16801</v>
      </c>
      <c r="J87" s="76">
        <v>1.595</v>
      </c>
      <c r="K87" s="87">
        <v>25</v>
      </c>
      <c r="L87" s="70">
        <v>19767</v>
      </c>
      <c r="M87" s="76">
        <v>1.532</v>
      </c>
      <c r="N87" s="87">
        <v>25</v>
      </c>
      <c r="O87" s="70">
        <v>7200</v>
      </c>
      <c r="P87" s="76">
        <v>1.379</v>
      </c>
      <c r="Q87" s="87">
        <v>25</v>
      </c>
      <c r="R87" s="70">
        <v>10401</v>
      </c>
      <c r="S87" s="76">
        <v>1.218</v>
      </c>
      <c r="T87" s="87" t="e">
        <f>NA()</f>
        <v>#N/A</v>
      </c>
      <c r="U87" s="70" t="e">
        <f>NA()</f>
        <v>#N/A</v>
      </c>
      <c r="V87" s="76" t="e">
        <f>NA()</f>
        <v>#N/A</v>
      </c>
    </row>
    <row r="88" spans="2:22" hidden="1" x14ac:dyDescent="0.25">
      <c r="B88" s="75" t="s">
        <v>9</v>
      </c>
      <c r="C88" s="94" t="s">
        <v>108</v>
      </c>
      <c r="D88" s="94">
        <v>2.4</v>
      </c>
      <c r="E88" s="87">
        <v>30</v>
      </c>
      <c r="F88" s="70">
        <v>3326</v>
      </c>
      <c r="G88" s="76">
        <v>1.645</v>
      </c>
      <c r="H88" s="87">
        <v>30</v>
      </c>
      <c r="I88" s="70">
        <v>23788</v>
      </c>
      <c r="J88" s="76">
        <v>1.54</v>
      </c>
      <c r="K88" s="87">
        <v>30</v>
      </c>
      <c r="L88" s="70">
        <v>34281</v>
      </c>
      <c r="M88" s="76">
        <v>1.4550000000000001</v>
      </c>
      <c r="N88" s="87">
        <v>30</v>
      </c>
      <c r="O88" s="70">
        <v>12788</v>
      </c>
      <c r="P88" s="76">
        <v>1.2929999999999999</v>
      </c>
      <c r="Q88" s="87">
        <v>30</v>
      </c>
      <c r="R88" s="70">
        <v>18902</v>
      </c>
      <c r="S88" s="76">
        <v>1.1359999999999999</v>
      </c>
      <c r="T88" s="87" t="e">
        <f>NA()</f>
        <v>#N/A</v>
      </c>
      <c r="U88" s="70" t="e">
        <f>NA()</f>
        <v>#N/A</v>
      </c>
      <c r="V88" s="76" t="e">
        <f>NA()</f>
        <v>#N/A</v>
      </c>
    </row>
    <row r="89" spans="2:22" hidden="1" x14ac:dyDescent="0.25">
      <c r="B89" s="75" t="s">
        <v>9</v>
      </c>
      <c r="C89" s="94" t="s">
        <v>108</v>
      </c>
      <c r="D89" s="94">
        <v>2.4</v>
      </c>
      <c r="E89" s="87">
        <v>40</v>
      </c>
      <c r="F89" s="70">
        <v>3826</v>
      </c>
      <c r="G89" s="76">
        <v>1.625</v>
      </c>
      <c r="H89" s="87">
        <v>40</v>
      </c>
      <c r="I89" s="70">
        <v>18300</v>
      </c>
      <c r="J89" s="76">
        <v>1.4179999999999999</v>
      </c>
      <c r="K89" s="87">
        <v>40</v>
      </c>
      <c r="L89" s="70">
        <v>12489</v>
      </c>
      <c r="M89" s="76">
        <v>1.323</v>
      </c>
      <c r="N89" s="87">
        <v>40</v>
      </c>
      <c r="O89" s="70">
        <v>14505</v>
      </c>
      <c r="P89" s="76">
        <v>1.159</v>
      </c>
      <c r="Q89" s="87">
        <v>40</v>
      </c>
      <c r="R89" s="70">
        <v>8350</v>
      </c>
      <c r="S89" s="76">
        <v>1.018</v>
      </c>
      <c r="T89" s="87" t="e">
        <f>NA()</f>
        <v>#N/A</v>
      </c>
      <c r="U89" s="70" t="e">
        <f>NA()</f>
        <v>#N/A</v>
      </c>
      <c r="V89" s="76" t="e">
        <f>NA()</f>
        <v>#N/A</v>
      </c>
    </row>
    <row r="90" spans="2:22" hidden="1" x14ac:dyDescent="0.25">
      <c r="B90" s="75" t="s">
        <v>9</v>
      </c>
      <c r="C90" s="94" t="s">
        <v>108</v>
      </c>
      <c r="D90" s="94">
        <v>2.4</v>
      </c>
      <c r="E90" s="87">
        <v>50</v>
      </c>
      <c r="F90" s="70">
        <v>4260</v>
      </c>
      <c r="G90" s="76">
        <v>1.6040000000000001</v>
      </c>
      <c r="H90" s="87">
        <v>50</v>
      </c>
      <c r="I90" s="70">
        <v>11380</v>
      </c>
      <c r="J90" s="76">
        <v>1.3169999999999999</v>
      </c>
      <c r="K90" s="87">
        <v>50</v>
      </c>
      <c r="L90" s="70">
        <v>9371</v>
      </c>
      <c r="M90" s="76">
        <v>1.226</v>
      </c>
      <c r="N90" s="87">
        <v>50</v>
      </c>
      <c r="O90" s="70">
        <v>7591</v>
      </c>
      <c r="P90" s="76">
        <v>1.0680000000000001</v>
      </c>
      <c r="Q90" s="87">
        <v>50</v>
      </c>
      <c r="R90" s="70">
        <v>7810</v>
      </c>
      <c r="S90" s="76">
        <v>0.93500000000000005</v>
      </c>
      <c r="T90" s="87" t="e">
        <f>NA()</f>
        <v>#N/A</v>
      </c>
      <c r="U90" s="70" t="e">
        <f>NA()</f>
        <v>#N/A</v>
      </c>
      <c r="V90" s="76" t="e">
        <f>NA()</f>
        <v>#N/A</v>
      </c>
    </row>
    <row r="91" spans="2:22" hidden="1" x14ac:dyDescent="0.25">
      <c r="B91" s="75" t="s">
        <v>9</v>
      </c>
      <c r="C91" s="94" t="s">
        <v>108</v>
      </c>
      <c r="D91" s="94">
        <v>2.4</v>
      </c>
      <c r="E91" s="87">
        <v>60</v>
      </c>
      <c r="F91" s="70">
        <v>4815</v>
      </c>
      <c r="G91" s="76">
        <v>1.577</v>
      </c>
      <c r="H91" s="87">
        <v>60</v>
      </c>
      <c r="I91" s="70">
        <v>8663</v>
      </c>
      <c r="J91" s="76">
        <v>1.232</v>
      </c>
      <c r="K91" s="87">
        <v>60</v>
      </c>
      <c r="L91" s="70">
        <v>5903</v>
      </c>
      <c r="M91" s="76">
        <v>1.145</v>
      </c>
      <c r="N91" s="87">
        <v>60</v>
      </c>
      <c r="O91" s="70">
        <v>4514</v>
      </c>
      <c r="P91" s="76">
        <v>0.999</v>
      </c>
      <c r="Q91" s="87">
        <v>60</v>
      </c>
      <c r="R91" s="70">
        <v>4080</v>
      </c>
      <c r="S91" s="76">
        <v>0.871</v>
      </c>
      <c r="T91" s="87" t="e">
        <f>NA()</f>
        <v>#N/A</v>
      </c>
      <c r="U91" s="70" t="e">
        <f>NA()</f>
        <v>#N/A</v>
      </c>
      <c r="V91" s="76" t="e">
        <f>NA()</f>
        <v>#N/A</v>
      </c>
    </row>
    <row r="92" spans="2:22" hidden="1" x14ac:dyDescent="0.25">
      <c r="B92" s="75" t="s">
        <v>9</v>
      </c>
      <c r="C92" s="94" t="s">
        <v>108</v>
      </c>
      <c r="D92" s="94">
        <v>2.4</v>
      </c>
      <c r="E92" s="87">
        <v>80</v>
      </c>
      <c r="F92" s="70">
        <v>8272</v>
      </c>
      <c r="G92" s="76">
        <v>1.49</v>
      </c>
      <c r="H92" s="87">
        <v>80</v>
      </c>
      <c r="I92" s="70">
        <v>7132</v>
      </c>
      <c r="J92" s="76">
        <v>1.101</v>
      </c>
      <c r="K92" s="87">
        <v>80</v>
      </c>
      <c r="L92" s="70">
        <v>6435</v>
      </c>
      <c r="M92" s="76">
        <v>1.0269999999999999</v>
      </c>
      <c r="N92" s="87">
        <v>80</v>
      </c>
      <c r="O92" s="70">
        <v>4654</v>
      </c>
      <c r="P92" s="76">
        <v>0.9</v>
      </c>
      <c r="Q92" s="87">
        <v>80</v>
      </c>
      <c r="R92" s="70">
        <v>3753</v>
      </c>
      <c r="S92" s="76">
        <v>0.77700000000000002</v>
      </c>
      <c r="T92" s="87" t="e">
        <f>NA()</f>
        <v>#N/A</v>
      </c>
      <c r="U92" s="70" t="e">
        <f>NA()</f>
        <v>#N/A</v>
      </c>
      <c r="V92" s="76" t="e">
        <f>NA()</f>
        <v>#N/A</v>
      </c>
    </row>
    <row r="93" spans="2:22" hidden="1" x14ac:dyDescent="0.25">
      <c r="B93" s="75" t="s">
        <v>9</v>
      </c>
      <c r="C93" s="94" t="s">
        <v>108</v>
      </c>
      <c r="D93" s="94">
        <v>2.4</v>
      </c>
      <c r="E93" s="87">
        <v>100</v>
      </c>
      <c r="F93" s="70">
        <v>9367</v>
      </c>
      <c r="G93" s="76">
        <v>1.3979999999999999</v>
      </c>
      <c r="H93" s="87">
        <v>100</v>
      </c>
      <c r="I93" s="70">
        <v>6285</v>
      </c>
      <c r="J93" s="76">
        <v>1.012</v>
      </c>
      <c r="K93" s="87">
        <v>100</v>
      </c>
      <c r="L93" s="70">
        <v>4867</v>
      </c>
      <c r="M93" s="76">
        <v>0.94299999999999995</v>
      </c>
      <c r="N93" s="87">
        <v>100</v>
      </c>
      <c r="O93" s="70">
        <v>4506</v>
      </c>
      <c r="P93" s="76">
        <v>0.82599999999999996</v>
      </c>
      <c r="Q93" s="87">
        <v>100</v>
      </c>
      <c r="R93" s="70">
        <v>3800</v>
      </c>
      <c r="S93" s="76">
        <v>0.70499999999999996</v>
      </c>
      <c r="T93" s="87" t="e">
        <f>NA()</f>
        <v>#N/A</v>
      </c>
      <c r="U93" s="70" t="e">
        <f>NA()</f>
        <v>#N/A</v>
      </c>
      <c r="V93" s="76" t="e">
        <f>NA()</f>
        <v>#N/A</v>
      </c>
    </row>
    <row r="94" spans="2:22" hidden="1" x14ac:dyDescent="0.25">
      <c r="B94" s="75" t="s">
        <v>9</v>
      </c>
      <c r="C94" s="94" t="s">
        <v>108</v>
      </c>
      <c r="D94" s="94">
        <v>2.4</v>
      </c>
      <c r="E94" s="87">
        <v>120</v>
      </c>
      <c r="F94" s="70">
        <v>9485</v>
      </c>
      <c r="G94" s="76">
        <v>1.3220000000000001</v>
      </c>
      <c r="H94" s="87">
        <v>120</v>
      </c>
      <c r="I94" s="70">
        <v>5694</v>
      </c>
      <c r="J94" s="76">
        <v>0.94499999999999995</v>
      </c>
      <c r="K94" s="87">
        <v>120</v>
      </c>
      <c r="L94" s="70">
        <v>4333</v>
      </c>
      <c r="M94" s="76">
        <v>0.879</v>
      </c>
      <c r="N94" s="87">
        <v>120</v>
      </c>
      <c r="O94" s="70">
        <v>4281</v>
      </c>
      <c r="P94" s="76">
        <v>0.77</v>
      </c>
      <c r="Q94" s="87">
        <v>120</v>
      </c>
      <c r="R94" s="70">
        <v>4127</v>
      </c>
      <c r="S94" s="76">
        <v>0.64400000000000002</v>
      </c>
      <c r="T94" s="87" t="e">
        <f>NA()</f>
        <v>#N/A</v>
      </c>
      <c r="U94" s="70" t="e">
        <f>NA()</f>
        <v>#N/A</v>
      </c>
      <c r="V94" s="76" t="e">
        <f>NA()</f>
        <v>#N/A</v>
      </c>
    </row>
    <row r="95" spans="2:22" hidden="1" x14ac:dyDescent="0.25">
      <c r="B95" s="75" t="s">
        <v>9</v>
      </c>
      <c r="C95" s="94" t="s">
        <v>108</v>
      </c>
      <c r="D95" s="94">
        <v>2.4</v>
      </c>
      <c r="E95" s="87">
        <v>140</v>
      </c>
      <c r="F95" s="70">
        <v>8959</v>
      </c>
      <c r="G95" s="76">
        <v>1.2569999999999999</v>
      </c>
      <c r="H95" s="87">
        <v>140</v>
      </c>
      <c r="I95" s="70">
        <v>4793</v>
      </c>
      <c r="J95" s="76">
        <v>0.89</v>
      </c>
      <c r="K95" s="87">
        <v>140</v>
      </c>
      <c r="L95" s="70">
        <v>4461</v>
      </c>
      <c r="M95" s="76">
        <v>0.82699999999999996</v>
      </c>
      <c r="N95" s="87">
        <v>140</v>
      </c>
      <c r="O95" s="70">
        <v>3564</v>
      </c>
      <c r="P95" s="76">
        <v>0.72</v>
      </c>
      <c r="Q95" s="87">
        <v>140</v>
      </c>
      <c r="R95" s="70">
        <v>4767</v>
      </c>
      <c r="S95" s="76">
        <v>0.59099999999999997</v>
      </c>
      <c r="T95" s="87" t="e">
        <f>NA()</f>
        <v>#N/A</v>
      </c>
      <c r="U95" s="70" t="e">
        <f>NA()</f>
        <v>#N/A</v>
      </c>
      <c r="V95" s="76" t="e">
        <f>NA()</f>
        <v>#N/A</v>
      </c>
    </row>
    <row r="96" spans="2:22" hidden="1" x14ac:dyDescent="0.25">
      <c r="B96" s="75" t="s">
        <v>9</v>
      </c>
      <c r="C96" s="94" t="s">
        <v>108</v>
      </c>
      <c r="D96" s="94">
        <v>2.4</v>
      </c>
      <c r="E96" s="87">
        <v>160</v>
      </c>
      <c r="F96" s="70">
        <v>8170</v>
      </c>
      <c r="G96" s="76">
        <v>1.2010000000000001</v>
      </c>
      <c r="H96" s="87">
        <v>160</v>
      </c>
      <c r="I96" s="70">
        <v>4785</v>
      </c>
      <c r="J96" s="76">
        <v>0.84599999999999997</v>
      </c>
      <c r="K96" s="87">
        <v>160</v>
      </c>
      <c r="L96" s="70">
        <v>4262</v>
      </c>
      <c r="M96" s="76">
        <v>0.78300000000000003</v>
      </c>
      <c r="N96" s="87">
        <v>160</v>
      </c>
      <c r="O96" s="70">
        <v>4082</v>
      </c>
      <c r="P96" s="76">
        <v>0.67700000000000005</v>
      </c>
      <c r="Q96" s="87">
        <v>160</v>
      </c>
      <c r="R96" s="70">
        <v>6478</v>
      </c>
      <c r="S96" s="76">
        <v>0.52200000000000002</v>
      </c>
      <c r="T96" s="87" t="e">
        <f>NA()</f>
        <v>#N/A</v>
      </c>
      <c r="U96" s="70" t="e">
        <f>NA()</f>
        <v>#N/A</v>
      </c>
      <c r="V96" s="76" t="e">
        <f>NA()</f>
        <v>#N/A</v>
      </c>
    </row>
    <row r="97" spans="2:22" hidden="1" x14ac:dyDescent="0.25">
      <c r="B97" s="75" t="s">
        <v>9</v>
      </c>
      <c r="C97" s="94" t="s">
        <v>108</v>
      </c>
      <c r="D97" s="94">
        <v>2.4</v>
      </c>
      <c r="E97" s="87">
        <v>180</v>
      </c>
      <c r="F97" s="70">
        <v>7650</v>
      </c>
      <c r="G97" s="76">
        <v>1.153</v>
      </c>
      <c r="H97" s="87">
        <v>180</v>
      </c>
      <c r="I97" s="70">
        <v>4904</v>
      </c>
      <c r="J97" s="76">
        <v>0.80900000000000005</v>
      </c>
      <c r="K97" s="87">
        <v>180</v>
      </c>
      <c r="L97" s="70">
        <v>4177</v>
      </c>
      <c r="M97" s="76">
        <v>0.746</v>
      </c>
      <c r="N97" s="87">
        <v>180</v>
      </c>
      <c r="O97" s="70">
        <v>4248</v>
      </c>
      <c r="P97" s="76">
        <v>0.63700000000000001</v>
      </c>
      <c r="Q97" s="87" t="e">
        <f>NA()</f>
        <v>#N/A</v>
      </c>
      <c r="R97" s="70" t="e">
        <f>NA()</f>
        <v>#N/A</v>
      </c>
      <c r="S97" s="76" t="e">
        <f>NA()</f>
        <v>#N/A</v>
      </c>
      <c r="T97" s="87" t="e">
        <f>NA()</f>
        <v>#N/A</v>
      </c>
      <c r="U97" s="70" t="e">
        <f>NA()</f>
        <v>#N/A</v>
      </c>
      <c r="V97" s="76" t="e">
        <f>NA()</f>
        <v>#N/A</v>
      </c>
    </row>
    <row r="98" spans="2:22" hidden="1" x14ac:dyDescent="0.25">
      <c r="B98" s="75" t="s">
        <v>9</v>
      </c>
      <c r="C98" s="94" t="s">
        <v>108</v>
      </c>
      <c r="D98" s="94">
        <v>2.4</v>
      </c>
      <c r="E98" s="87">
        <v>200</v>
      </c>
      <c r="F98" s="70">
        <v>7200</v>
      </c>
      <c r="G98" s="76">
        <v>1.1100000000000001</v>
      </c>
      <c r="H98" s="87">
        <v>200</v>
      </c>
      <c r="I98" s="70">
        <v>4293</v>
      </c>
      <c r="J98" s="76">
        <v>0.77400000000000002</v>
      </c>
      <c r="K98" s="87">
        <v>200</v>
      </c>
      <c r="L98" s="70">
        <v>4398</v>
      </c>
      <c r="M98" s="76">
        <v>0.71299999999999997</v>
      </c>
      <c r="N98" s="87" t="e">
        <f>NA()</f>
        <v>#N/A</v>
      </c>
      <c r="O98" s="70" t="e">
        <f>NA()</f>
        <v>#N/A</v>
      </c>
      <c r="P98" s="76" t="e">
        <f>NA()</f>
        <v>#N/A</v>
      </c>
      <c r="Q98" s="87" t="e">
        <f>NA()</f>
        <v>#N/A</v>
      </c>
      <c r="R98" s="70" t="e">
        <f>NA()</f>
        <v>#N/A</v>
      </c>
      <c r="S98" s="76" t="e">
        <f>NA()</f>
        <v>#N/A</v>
      </c>
      <c r="T98" s="87" t="e">
        <f>NA()</f>
        <v>#N/A</v>
      </c>
      <c r="U98" s="70" t="e">
        <f>NA()</f>
        <v>#N/A</v>
      </c>
      <c r="V98" s="76" t="e">
        <f>NA()</f>
        <v>#N/A</v>
      </c>
    </row>
    <row r="99" spans="2:22" hidden="1" x14ac:dyDescent="0.25">
      <c r="B99" s="75" t="s">
        <v>9</v>
      </c>
      <c r="C99" s="94" t="s">
        <v>108</v>
      </c>
      <c r="D99" s="94">
        <v>2.4</v>
      </c>
      <c r="E99" s="87">
        <v>220</v>
      </c>
      <c r="F99" s="70">
        <v>6809</v>
      </c>
      <c r="G99" s="76">
        <v>1.073</v>
      </c>
      <c r="H99" s="87" t="e">
        <f>NA()</f>
        <v>#N/A</v>
      </c>
      <c r="I99" s="70" t="e">
        <f>NA()</f>
        <v>#N/A</v>
      </c>
      <c r="J99" s="76" t="e">
        <f>NA()</f>
        <v>#N/A</v>
      </c>
      <c r="K99" s="87" t="e">
        <f>NA()</f>
        <v>#N/A</v>
      </c>
      <c r="L99" s="70" t="e">
        <f>NA()</f>
        <v>#N/A</v>
      </c>
      <c r="M99" s="76" t="e">
        <f>NA()</f>
        <v>#N/A</v>
      </c>
      <c r="N99" s="87" t="e">
        <f>NA()</f>
        <v>#N/A</v>
      </c>
      <c r="O99" s="70" t="e">
        <f>NA()</f>
        <v>#N/A</v>
      </c>
      <c r="P99" s="76" t="e">
        <f>NA()</f>
        <v>#N/A</v>
      </c>
      <c r="Q99" s="87" t="e">
        <f>NA()</f>
        <v>#N/A</v>
      </c>
      <c r="R99" s="70" t="e">
        <f>NA()</f>
        <v>#N/A</v>
      </c>
      <c r="S99" s="76" t="e">
        <f>NA()</f>
        <v>#N/A</v>
      </c>
      <c r="T99" s="87" t="e">
        <f>NA()</f>
        <v>#N/A</v>
      </c>
      <c r="U99" s="70" t="e">
        <f>NA()</f>
        <v>#N/A</v>
      </c>
      <c r="V99" s="76" t="e">
        <f>NA()</f>
        <v>#N/A</v>
      </c>
    </row>
    <row r="100" spans="2:22" hidden="1" x14ac:dyDescent="0.25">
      <c r="B100" s="77" t="s">
        <v>9</v>
      </c>
      <c r="C100" s="95" t="s">
        <v>108</v>
      </c>
      <c r="D100" s="95">
        <v>2.4</v>
      </c>
      <c r="E100" s="88">
        <v>230</v>
      </c>
      <c r="F100" s="79">
        <v>6316</v>
      </c>
      <c r="G100" s="80">
        <v>1.044</v>
      </c>
      <c r="H100" s="88" t="e">
        <f>NA()</f>
        <v>#N/A</v>
      </c>
      <c r="I100" s="79" t="e">
        <f>NA()</f>
        <v>#N/A</v>
      </c>
      <c r="J100" s="80" t="e">
        <f>NA()</f>
        <v>#N/A</v>
      </c>
      <c r="K100" s="88" t="e">
        <f>NA()</f>
        <v>#N/A</v>
      </c>
      <c r="L100" s="79" t="e">
        <f>NA()</f>
        <v>#N/A</v>
      </c>
      <c r="M100" s="80" t="e">
        <f>NA()</f>
        <v>#N/A</v>
      </c>
      <c r="N100" s="88" t="e">
        <f>NA()</f>
        <v>#N/A</v>
      </c>
      <c r="O100" s="79" t="e">
        <f>NA()</f>
        <v>#N/A</v>
      </c>
      <c r="P100" s="80" t="e">
        <f>NA()</f>
        <v>#N/A</v>
      </c>
      <c r="Q100" s="88" t="e">
        <f>NA()</f>
        <v>#N/A</v>
      </c>
      <c r="R100" s="79" t="e">
        <f>NA()</f>
        <v>#N/A</v>
      </c>
      <c r="S100" s="80" t="e">
        <f>NA()</f>
        <v>#N/A</v>
      </c>
      <c r="T100" s="88" t="e">
        <f>NA()</f>
        <v>#N/A</v>
      </c>
      <c r="U100" s="79" t="e">
        <f>NA()</f>
        <v>#N/A</v>
      </c>
      <c r="V100" s="80" t="e">
        <f>NA()</f>
        <v>#N/A</v>
      </c>
    </row>
    <row r="101" spans="2:22" hidden="1" x14ac:dyDescent="0.25">
      <c r="B101" s="71" t="s">
        <v>9</v>
      </c>
      <c r="C101" s="93" t="s">
        <v>109</v>
      </c>
      <c r="D101" s="93">
        <v>2.4</v>
      </c>
      <c r="E101" s="86">
        <v>0</v>
      </c>
      <c r="F101" s="73">
        <v>0</v>
      </c>
      <c r="G101" s="74">
        <v>2.1930000000000001</v>
      </c>
      <c r="H101" s="86">
        <v>0</v>
      </c>
      <c r="I101" s="73">
        <v>0</v>
      </c>
      <c r="J101" s="74">
        <v>2.2349999999999999</v>
      </c>
      <c r="K101" s="86">
        <v>0</v>
      </c>
      <c r="L101" s="73">
        <v>0</v>
      </c>
      <c r="M101" s="74">
        <v>2.1960000000000002</v>
      </c>
      <c r="N101" s="86">
        <v>0</v>
      </c>
      <c r="O101" s="73">
        <v>0</v>
      </c>
      <c r="P101" s="74">
        <v>2.2200000000000002</v>
      </c>
      <c r="Q101" s="86">
        <v>0</v>
      </c>
      <c r="R101" s="73">
        <v>0</v>
      </c>
      <c r="S101" s="74">
        <v>2.1859999999999999</v>
      </c>
      <c r="T101" s="86">
        <v>0</v>
      </c>
      <c r="U101" s="73" t="e">
        <f>NA()</f>
        <v>#N/A</v>
      </c>
      <c r="V101" s="74" t="e">
        <f>NA()</f>
        <v>#N/A</v>
      </c>
    </row>
    <row r="102" spans="2:22" hidden="1" x14ac:dyDescent="0.25">
      <c r="B102" s="75" t="s">
        <v>9</v>
      </c>
      <c r="C102" s="94" t="s">
        <v>109</v>
      </c>
      <c r="D102" s="94">
        <v>2.4</v>
      </c>
      <c r="E102" s="87">
        <v>1</v>
      </c>
      <c r="F102" s="70">
        <v>0</v>
      </c>
      <c r="G102" s="76">
        <v>2.11</v>
      </c>
      <c r="H102" s="87">
        <v>1</v>
      </c>
      <c r="I102" s="70">
        <v>0</v>
      </c>
      <c r="J102" s="76">
        <v>2.1560000000000001</v>
      </c>
      <c r="K102" s="87">
        <v>1</v>
      </c>
      <c r="L102" s="70">
        <v>0</v>
      </c>
      <c r="M102" s="76">
        <v>2.113</v>
      </c>
      <c r="N102" s="87">
        <v>1</v>
      </c>
      <c r="O102" s="70">
        <v>0</v>
      </c>
      <c r="P102" s="76">
        <v>2.1349999999999998</v>
      </c>
      <c r="Q102" s="87">
        <v>1</v>
      </c>
      <c r="R102" s="70">
        <v>0</v>
      </c>
      <c r="S102" s="76">
        <v>2.1120000000000001</v>
      </c>
      <c r="T102" s="87">
        <v>1</v>
      </c>
      <c r="U102" s="70" t="e">
        <f>NA()</f>
        <v>#N/A</v>
      </c>
      <c r="V102" s="76" t="e">
        <f>NA()</f>
        <v>#N/A</v>
      </c>
    </row>
    <row r="103" spans="2:22" hidden="1" x14ac:dyDescent="0.25">
      <c r="B103" s="75" t="s">
        <v>9</v>
      </c>
      <c r="C103" s="94" t="s">
        <v>109</v>
      </c>
      <c r="D103" s="94">
        <v>2.4</v>
      </c>
      <c r="E103" s="87">
        <v>5</v>
      </c>
      <c r="F103" s="70">
        <v>132</v>
      </c>
      <c r="G103" s="76">
        <v>1.5609999999999999</v>
      </c>
      <c r="H103" s="87">
        <v>5</v>
      </c>
      <c r="I103" s="70">
        <v>287</v>
      </c>
      <c r="J103" s="76">
        <v>1.5129999999999999</v>
      </c>
      <c r="K103" s="87">
        <v>5</v>
      </c>
      <c r="L103" s="70">
        <v>348</v>
      </c>
      <c r="M103" s="76">
        <v>1.508</v>
      </c>
      <c r="N103" s="87">
        <v>5</v>
      </c>
      <c r="O103" s="70">
        <v>272</v>
      </c>
      <c r="P103" s="76">
        <v>1.4750000000000001</v>
      </c>
      <c r="Q103" s="87">
        <v>5</v>
      </c>
      <c r="R103" s="70">
        <v>236</v>
      </c>
      <c r="S103" s="76">
        <v>1.385</v>
      </c>
      <c r="T103" s="87">
        <v>5</v>
      </c>
      <c r="U103" s="70" t="e">
        <f>NA()</f>
        <v>#N/A</v>
      </c>
      <c r="V103" s="76" t="e">
        <f>NA()</f>
        <v>#N/A</v>
      </c>
    </row>
    <row r="104" spans="2:22" hidden="1" x14ac:dyDescent="0.25">
      <c r="B104" s="75" t="s">
        <v>9</v>
      </c>
      <c r="C104" s="94" t="s">
        <v>109</v>
      </c>
      <c r="D104" s="94">
        <v>2.4</v>
      </c>
      <c r="E104" s="87">
        <v>10</v>
      </c>
      <c r="F104" s="70">
        <v>762</v>
      </c>
      <c r="G104" s="76">
        <v>1.472</v>
      </c>
      <c r="H104" s="87">
        <v>10</v>
      </c>
      <c r="I104" s="70">
        <v>1191</v>
      </c>
      <c r="J104" s="76">
        <v>1.474</v>
      </c>
      <c r="K104" s="87">
        <v>10</v>
      </c>
      <c r="L104" s="70">
        <v>817</v>
      </c>
      <c r="M104" s="76">
        <v>1.419</v>
      </c>
      <c r="N104" s="87">
        <v>10</v>
      </c>
      <c r="O104" s="70">
        <v>348</v>
      </c>
      <c r="P104" s="76">
        <v>1.196</v>
      </c>
      <c r="Q104" s="87">
        <v>10</v>
      </c>
      <c r="R104" s="70">
        <v>289</v>
      </c>
      <c r="S104" s="76">
        <v>0.98799999999999999</v>
      </c>
      <c r="T104" s="87">
        <v>10</v>
      </c>
      <c r="U104" s="70" t="e">
        <f>NA()</f>
        <v>#N/A</v>
      </c>
      <c r="V104" s="76" t="e">
        <f>NA()</f>
        <v>#N/A</v>
      </c>
    </row>
    <row r="105" spans="2:22" hidden="1" x14ac:dyDescent="0.25">
      <c r="B105" s="75" t="s">
        <v>9</v>
      </c>
      <c r="C105" s="94" t="s">
        <v>109</v>
      </c>
      <c r="D105" s="94">
        <v>2.4</v>
      </c>
      <c r="E105" s="87">
        <v>15</v>
      </c>
      <c r="F105" s="70">
        <v>2655</v>
      </c>
      <c r="G105" s="76">
        <v>1.45</v>
      </c>
      <c r="H105" s="87">
        <v>15</v>
      </c>
      <c r="I105" s="70">
        <v>2068</v>
      </c>
      <c r="J105" s="76">
        <v>1.395</v>
      </c>
      <c r="K105" s="87">
        <v>15</v>
      </c>
      <c r="L105" s="70">
        <v>1780</v>
      </c>
      <c r="M105" s="76">
        <v>1.2210000000000001</v>
      </c>
      <c r="N105" s="87">
        <v>15</v>
      </c>
      <c r="O105" s="70">
        <v>478</v>
      </c>
      <c r="P105" s="76">
        <v>0.93500000000000005</v>
      </c>
      <c r="Q105" s="87">
        <v>15</v>
      </c>
      <c r="R105" s="70">
        <v>410</v>
      </c>
      <c r="S105" s="76">
        <v>0.77200000000000002</v>
      </c>
      <c r="T105" s="87">
        <v>15</v>
      </c>
      <c r="U105" s="70" t="e">
        <f>NA()</f>
        <v>#N/A</v>
      </c>
      <c r="V105" s="76" t="e">
        <f>NA()</f>
        <v>#N/A</v>
      </c>
    </row>
    <row r="106" spans="2:22" hidden="1" x14ac:dyDescent="0.25">
      <c r="B106" s="75" t="s">
        <v>9</v>
      </c>
      <c r="C106" s="94" t="s">
        <v>109</v>
      </c>
      <c r="D106" s="94">
        <v>2.4</v>
      </c>
      <c r="E106" s="87">
        <v>20</v>
      </c>
      <c r="F106" s="70">
        <v>3761</v>
      </c>
      <c r="G106" s="76">
        <v>1.4279999999999999</v>
      </c>
      <c r="H106" s="87">
        <v>20</v>
      </c>
      <c r="I106" s="70">
        <v>12576</v>
      </c>
      <c r="J106" s="76">
        <v>1.2589999999999999</v>
      </c>
      <c r="K106" s="87">
        <v>20</v>
      </c>
      <c r="L106" s="70">
        <v>2720</v>
      </c>
      <c r="M106" s="76">
        <v>1.044</v>
      </c>
      <c r="N106" s="87">
        <v>20</v>
      </c>
      <c r="O106" s="70">
        <v>625</v>
      </c>
      <c r="P106" s="76">
        <v>0.78600000000000003</v>
      </c>
      <c r="Q106" s="87">
        <v>20</v>
      </c>
      <c r="R106" s="70">
        <v>509</v>
      </c>
      <c r="S106" s="76">
        <v>0.65900000000000003</v>
      </c>
      <c r="T106" s="87">
        <v>20</v>
      </c>
      <c r="U106" s="70" t="e">
        <f>NA()</f>
        <v>#N/A</v>
      </c>
      <c r="V106" s="76" t="e">
        <f>NA()</f>
        <v>#N/A</v>
      </c>
    </row>
    <row r="107" spans="2:22" hidden="1" x14ac:dyDescent="0.25">
      <c r="B107" s="75" t="s">
        <v>9</v>
      </c>
      <c r="C107" s="94" t="s">
        <v>109</v>
      </c>
      <c r="D107" s="94">
        <v>2.4</v>
      </c>
      <c r="E107" s="87">
        <v>25</v>
      </c>
      <c r="F107" s="70">
        <v>3430</v>
      </c>
      <c r="G107" s="76">
        <v>1.403</v>
      </c>
      <c r="H107" s="87">
        <v>25</v>
      </c>
      <c r="I107" s="70">
        <v>37377</v>
      </c>
      <c r="J107" s="76">
        <v>1.139</v>
      </c>
      <c r="K107" s="87">
        <v>25</v>
      </c>
      <c r="L107" s="70">
        <v>5929</v>
      </c>
      <c r="M107" s="76">
        <v>0.92</v>
      </c>
      <c r="N107" s="87">
        <v>25</v>
      </c>
      <c r="O107" s="70">
        <v>758</v>
      </c>
      <c r="P107" s="76">
        <v>0.69499999999999995</v>
      </c>
      <c r="Q107" s="87">
        <v>25</v>
      </c>
      <c r="R107" s="70">
        <v>621</v>
      </c>
      <c r="S107" s="76">
        <v>0.58899999999999997</v>
      </c>
      <c r="T107" s="87">
        <v>25</v>
      </c>
      <c r="U107" s="70" t="e">
        <f>NA()</f>
        <v>#N/A</v>
      </c>
      <c r="V107" s="76" t="e">
        <f>NA()</f>
        <v>#N/A</v>
      </c>
    </row>
    <row r="108" spans="2:22" hidden="1" x14ac:dyDescent="0.25">
      <c r="B108" s="75" t="s">
        <v>9</v>
      </c>
      <c r="C108" s="94" t="s">
        <v>109</v>
      </c>
      <c r="D108" s="94">
        <v>2.4</v>
      </c>
      <c r="E108" s="87">
        <v>30</v>
      </c>
      <c r="F108" s="70">
        <v>3056</v>
      </c>
      <c r="G108" s="76">
        <v>1.371</v>
      </c>
      <c r="H108" s="87">
        <v>30</v>
      </c>
      <c r="I108" s="70">
        <v>8264</v>
      </c>
      <c r="J108" s="76">
        <v>1.03</v>
      </c>
      <c r="K108" s="87">
        <v>30</v>
      </c>
      <c r="L108" s="70">
        <v>29772</v>
      </c>
      <c r="M108" s="76">
        <v>0.83</v>
      </c>
      <c r="N108" s="87">
        <v>30</v>
      </c>
      <c r="O108" s="70">
        <v>906</v>
      </c>
      <c r="P108" s="76">
        <v>0.63400000000000001</v>
      </c>
      <c r="Q108" s="87">
        <v>30</v>
      </c>
      <c r="R108" s="70">
        <v>710</v>
      </c>
      <c r="S108" s="76">
        <v>0.54</v>
      </c>
      <c r="T108" s="87">
        <v>30</v>
      </c>
      <c r="U108" s="70" t="e">
        <f>NA()</f>
        <v>#N/A</v>
      </c>
      <c r="V108" s="76" t="e">
        <f>NA()</f>
        <v>#N/A</v>
      </c>
    </row>
    <row r="109" spans="2:22" hidden="1" x14ac:dyDescent="0.25">
      <c r="B109" s="75" t="s">
        <v>9</v>
      </c>
      <c r="C109" s="94" t="s">
        <v>109</v>
      </c>
      <c r="D109" s="94">
        <v>2.4</v>
      </c>
      <c r="E109" s="87">
        <v>40</v>
      </c>
      <c r="F109" s="70">
        <v>3562</v>
      </c>
      <c r="G109" s="76">
        <v>1.2869999999999999</v>
      </c>
      <c r="H109" s="87">
        <v>40</v>
      </c>
      <c r="I109" s="70">
        <v>13647</v>
      </c>
      <c r="J109" s="76">
        <v>0.87</v>
      </c>
      <c r="K109" s="87">
        <v>40</v>
      </c>
      <c r="L109" s="70">
        <v>27898</v>
      </c>
      <c r="M109" s="76">
        <v>0.71599999999999997</v>
      </c>
      <c r="N109" s="87">
        <v>40</v>
      </c>
      <c r="O109" s="70">
        <v>1226</v>
      </c>
      <c r="P109" s="76">
        <v>0.55700000000000005</v>
      </c>
      <c r="Q109" s="87">
        <v>40</v>
      </c>
      <c r="R109" s="70">
        <v>1028</v>
      </c>
      <c r="S109" s="76">
        <v>0.47799999999999998</v>
      </c>
      <c r="T109" s="87">
        <v>40</v>
      </c>
      <c r="U109" s="70" t="e">
        <f>NA()</f>
        <v>#N/A</v>
      </c>
      <c r="V109" s="76" t="e">
        <f>NA()</f>
        <v>#N/A</v>
      </c>
    </row>
    <row r="110" spans="2:22" hidden="1" x14ac:dyDescent="0.25">
      <c r="B110" s="75" t="s">
        <v>9</v>
      </c>
      <c r="C110" s="94" t="s">
        <v>109</v>
      </c>
      <c r="D110" s="94">
        <v>2.4</v>
      </c>
      <c r="E110" s="87">
        <v>50</v>
      </c>
      <c r="F110" s="70">
        <v>4215</v>
      </c>
      <c r="G110" s="76">
        <v>1.1930000000000001</v>
      </c>
      <c r="H110" s="87">
        <v>50</v>
      </c>
      <c r="I110" s="70">
        <v>8831</v>
      </c>
      <c r="J110" s="76">
        <v>0.76600000000000001</v>
      </c>
      <c r="K110" s="87">
        <v>50</v>
      </c>
      <c r="L110" s="70">
        <v>13680</v>
      </c>
      <c r="M110" s="76">
        <v>0.64600000000000002</v>
      </c>
      <c r="N110" s="87">
        <v>50</v>
      </c>
      <c r="O110" s="70">
        <v>1714</v>
      </c>
      <c r="P110" s="76">
        <v>0.51</v>
      </c>
      <c r="Q110" s="87">
        <v>50</v>
      </c>
      <c r="R110" s="70">
        <v>1420</v>
      </c>
      <c r="S110" s="76">
        <v>0.433</v>
      </c>
      <c r="T110" s="87">
        <v>50</v>
      </c>
      <c r="U110" s="70" t="e">
        <f>NA()</f>
        <v>#N/A</v>
      </c>
      <c r="V110" s="76" t="e">
        <f>NA()</f>
        <v>#N/A</v>
      </c>
    </row>
    <row r="111" spans="2:22" hidden="1" x14ac:dyDescent="0.25">
      <c r="B111" s="75" t="s">
        <v>9</v>
      </c>
      <c r="C111" s="94" t="s">
        <v>109</v>
      </c>
      <c r="D111" s="94">
        <v>2.4</v>
      </c>
      <c r="E111" s="87">
        <v>60</v>
      </c>
      <c r="F111" s="70">
        <v>4504</v>
      </c>
      <c r="G111" s="76">
        <v>1.1140000000000001</v>
      </c>
      <c r="H111" s="87">
        <v>60</v>
      </c>
      <c r="I111" s="70">
        <v>6549</v>
      </c>
      <c r="J111" s="76">
        <v>0.69499999999999995</v>
      </c>
      <c r="K111" s="87">
        <v>60</v>
      </c>
      <c r="L111" s="70">
        <v>9470</v>
      </c>
      <c r="M111" s="76">
        <v>0.6</v>
      </c>
      <c r="N111" s="87">
        <v>60</v>
      </c>
      <c r="O111" s="70">
        <v>2285</v>
      </c>
      <c r="P111" s="76">
        <v>0.47399999999999998</v>
      </c>
      <c r="Q111" s="87">
        <v>60</v>
      </c>
      <c r="R111" s="70">
        <v>1993</v>
      </c>
      <c r="S111" s="76">
        <v>0.38900000000000001</v>
      </c>
      <c r="T111" s="87">
        <v>60</v>
      </c>
      <c r="U111" s="70" t="e">
        <f>NA()</f>
        <v>#N/A</v>
      </c>
      <c r="V111" s="76" t="e">
        <f>NA()</f>
        <v>#N/A</v>
      </c>
    </row>
    <row r="112" spans="2:22" hidden="1" x14ac:dyDescent="0.25">
      <c r="B112" s="75" t="s">
        <v>9</v>
      </c>
      <c r="C112" s="94" t="s">
        <v>109</v>
      </c>
      <c r="D112" s="94">
        <v>2.4</v>
      </c>
      <c r="E112" s="87">
        <v>80</v>
      </c>
      <c r="F112" s="70">
        <v>7039</v>
      </c>
      <c r="G112" s="76">
        <v>0.99399999999999999</v>
      </c>
      <c r="H112" s="87">
        <v>80</v>
      </c>
      <c r="I112" s="70">
        <v>7895</v>
      </c>
      <c r="J112" s="76">
        <v>0.60499999999999998</v>
      </c>
      <c r="K112" s="87">
        <v>80</v>
      </c>
      <c r="L112" s="70">
        <v>4996</v>
      </c>
      <c r="M112" s="76">
        <v>0.53800000000000003</v>
      </c>
      <c r="N112" s="87">
        <v>80</v>
      </c>
      <c r="O112" s="70">
        <v>4668</v>
      </c>
      <c r="P112" s="76">
        <v>0.41499999999999998</v>
      </c>
      <c r="Q112" s="87">
        <v>80</v>
      </c>
      <c r="R112" s="70" t="e">
        <f>NA()</f>
        <v>#N/A</v>
      </c>
      <c r="S112" s="76" t="e">
        <f>NA()</f>
        <v>#N/A</v>
      </c>
      <c r="T112" s="87">
        <v>80</v>
      </c>
      <c r="U112" s="70" t="e">
        <f>NA()</f>
        <v>#N/A</v>
      </c>
      <c r="V112" s="76" t="e">
        <f>NA()</f>
        <v>#N/A</v>
      </c>
    </row>
    <row r="113" spans="2:22" hidden="1" x14ac:dyDescent="0.25">
      <c r="B113" s="75" t="s">
        <v>9</v>
      </c>
      <c r="C113" s="94" t="s">
        <v>109</v>
      </c>
      <c r="D113" s="94">
        <v>2.4</v>
      </c>
      <c r="E113" s="87">
        <v>100</v>
      </c>
      <c r="F113" s="70">
        <v>8648</v>
      </c>
      <c r="G113" s="76">
        <v>0.89100000000000001</v>
      </c>
      <c r="H113" s="87">
        <v>100</v>
      </c>
      <c r="I113" s="70">
        <v>4900</v>
      </c>
      <c r="J113" s="76">
        <v>0.55000000000000004</v>
      </c>
      <c r="K113" s="87">
        <v>100</v>
      </c>
      <c r="L113" s="70">
        <v>4061</v>
      </c>
      <c r="M113" s="76">
        <v>0.49399999999999999</v>
      </c>
      <c r="N113" s="87">
        <v>100</v>
      </c>
      <c r="O113" s="70" t="e">
        <f>NA()</f>
        <v>#N/A</v>
      </c>
      <c r="P113" s="76" t="e">
        <f>NA()</f>
        <v>#N/A</v>
      </c>
      <c r="Q113" s="87">
        <v>100</v>
      </c>
      <c r="R113" s="70" t="e">
        <f>NA()</f>
        <v>#N/A</v>
      </c>
      <c r="S113" s="76" t="e">
        <f>NA()</f>
        <v>#N/A</v>
      </c>
      <c r="T113" s="87">
        <v>100</v>
      </c>
      <c r="U113" s="70" t="e">
        <f>NA()</f>
        <v>#N/A</v>
      </c>
      <c r="V113" s="76" t="e">
        <f>NA()</f>
        <v>#N/A</v>
      </c>
    </row>
    <row r="114" spans="2:22" hidden="1" x14ac:dyDescent="0.25">
      <c r="B114" s="75" t="s">
        <v>9</v>
      </c>
      <c r="C114" s="94" t="s">
        <v>109</v>
      </c>
      <c r="D114" s="94">
        <v>2.4</v>
      </c>
      <c r="E114" s="87">
        <v>120</v>
      </c>
      <c r="F114" s="70">
        <v>7608</v>
      </c>
      <c r="G114" s="76">
        <v>0.81100000000000005</v>
      </c>
      <c r="H114" s="87">
        <v>120</v>
      </c>
      <c r="I114" s="70">
        <v>4340</v>
      </c>
      <c r="J114" s="76">
        <v>0.51200000000000001</v>
      </c>
      <c r="K114" s="87">
        <v>120</v>
      </c>
      <c r="L114" s="70" t="e">
        <f>NA()</f>
        <v>#N/A</v>
      </c>
      <c r="M114" s="76" t="e">
        <f>NA()</f>
        <v>#N/A</v>
      </c>
      <c r="N114" s="87">
        <v>120</v>
      </c>
      <c r="O114" s="70" t="e">
        <f>NA()</f>
        <v>#N/A</v>
      </c>
      <c r="P114" s="76" t="e">
        <f>NA()</f>
        <v>#N/A</v>
      </c>
      <c r="Q114" s="87">
        <v>120</v>
      </c>
      <c r="R114" s="70" t="e">
        <f>NA()</f>
        <v>#N/A</v>
      </c>
      <c r="S114" s="76" t="e">
        <f>NA()</f>
        <v>#N/A</v>
      </c>
      <c r="T114" s="87">
        <v>120</v>
      </c>
      <c r="U114" s="70" t="e">
        <f>NA()</f>
        <v>#N/A</v>
      </c>
      <c r="V114" s="76" t="e">
        <f>NA()</f>
        <v>#N/A</v>
      </c>
    </row>
    <row r="115" spans="2:22" hidden="1" x14ac:dyDescent="0.25">
      <c r="B115" s="75" t="s">
        <v>9</v>
      </c>
      <c r="C115" s="94" t="s">
        <v>109</v>
      </c>
      <c r="D115" s="94">
        <v>2.4</v>
      </c>
      <c r="E115" s="87">
        <v>140</v>
      </c>
      <c r="F115" s="70">
        <v>6867</v>
      </c>
      <c r="G115" s="76">
        <v>0.75</v>
      </c>
      <c r="H115" s="87">
        <v>140</v>
      </c>
      <c r="I115" s="70" t="e">
        <f>NA()</f>
        <v>#N/A</v>
      </c>
      <c r="J115" s="76" t="e">
        <f>NA()</f>
        <v>#N/A</v>
      </c>
      <c r="K115" s="87">
        <v>140</v>
      </c>
      <c r="L115" s="70" t="e">
        <f>NA()</f>
        <v>#N/A</v>
      </c>
      <c r="M115" s="76" t="e">
        <f>NA()</f>
        <v>#N/A</v>
      </c>
      <c r="N115" s="87">
        <v>140</v>
      </c>
      <c r="O115" s="70" t="e">
        <f>NA()</f>
        <v>#N/A</v>
      </c>
      <c r="P115" s="76" t="e">
        <f>NA()</f>
        <v>#N/A</v>
      </c>
      <c r="Q115" s="87">
        <v>140</v>
      </c>
      <c r="R115" s="70" t="e">
        <f>NA()</f>
        <v>#N/A</v>
      </c>
      <c r="S115" s="76" t="e">
        <f>NA()</f>
        <v>#N/A</v>
      </c>
      <c r="T115" s="87">
        <v>140</v>
      </c>
      <c r="U115" s="70" t="e">
        <f>NA()</f>
        <v>#N/A</v>
      </c>
      <c r="V115" s="76" t="e">
        <f>NA()</f>
        <v>#N/A</v>
      </c>
    </row>
    <row r="116" spans="2:22" hidden="1" x14ac:dyDescent="0.25">
      <c r="B116" s="75" t="s">
        <v>9</v>
      </c>
      <c r="C116" s="94" t="s">
        <v>109</v>
      </c>
      <c r="D116" s="94">
        <v>2.4</v>
      </c>
      <c r="E116" s="87">
        <v>160</v>
      </c>
      <c r="F116" s="70">
        <v>5770</v>
      </c>
      <c r="G116" s="76">
        <v>0.70099999999999996</v>
      </c>
      <c r="H116" s="87">
        <v>160</v>
      </c>
      <c r="I116" s="70" t="e">
        <f>NA()</f>
        <v>#N/A</v>
      </c>
      <c r="J116" s="76" t="e">
        <f>NA()</f>
        <v>#N/A</v>
      </c>
      <c r="K116" s="87">
        <v>160</v>
      </c>
      <c r="L116" s="70" t="e">
        <f>NA()</f>
        <v>#N/A</v>
      </c>
      <c r="M116" s="76" t="e">
        <f>NA()</f>
        <v>#N/A</v>
      </c>
      <c r="N116" s="87">
        <v>160</v>
      </c>
      <c r="O116" s="70" t="e">
        <f>NA()</f>
        <v>#N/A</v>
      </c>
      <c r="P116" s="76" t="e">
        <f>NA()</f>
        <v>#N/A</v>
      </c>
      <c r="Q116" s="87">
        <v>160</v>
      </c>
      <c r="R116" s="70" t="e">
        <f>NA()</f>
        <v>#N/A</v>
      </c>
      <c r="S116" s="76" t="e">
        <f>NA()</f>
        <v>#N/A</v>
      </c>
      <c r="T116" s="87">
        <v>160</v>
      </c>
      <c r="U116" s="70" t="e">
        <f>NA()</f>
        <v>#N/A</v>
      </c>
      <c r="V116" s="76" t="e">
        <f>NA()</f>
        <v>#N/A</v>
      </c>
    </row>
    <row r="117" spans="2:22" hidden="1" x14ac:dyDescent="0.25">
      <c r="B117" s="75" t="s">
        <v>9</v>
      </c>
      <c r="C117" s="94" t="s">
        <v>109</v>
      </c>
      <c r="D117" s="94">
        <v>2.4</v>
      </c>
      <c r="E117" s="87">
        <v>180</v>
      </c>
      <c r="F117" s="70">
        <v>5132</v>
      </c>
      <c r="G117" s="76">
        <v>0.66100000000000003</v>
      </c>
      <c r="H117" s="87">
        <v>180</v>
      </c>
      <c r="I117" s="70" t="e">
        <f>NA()</f>
        <v>#N/A</v>
      </c>
      <c r="J117" s="76" t="e">
        <f>NA()</f>
        <v>#N/A</v>
      </c>
      <c r="K117" s="87">
        <v>180</v>
      </c>
      <c r="L117" s="70" t="e">
        <f>NA()</f>
        <v>#N/A</v>
      </c>
      <c r="M117" s="76" t="e">
        <f>NA()</f>
        <v>#N/A</v>
      </c>
      <c r="N117" s="87">
        <v>180</v>
      </c>
      <c r="O117" s="70" t="e">
        <f>NA()</f>
        <v>#N/A</v>
      </c>
      <c r="P117" s="76" t="e">
        <f>NA()</f>
        <v>#N/A</v>
      </c>
      <c r="Q117" s="87">
        <v>180</v>
      </c>
      <c r="R117" s="70" t="e">
        <f>NA()</f>
        <v>#N/A</v>
      </c>
      <c r="S117" s="76" t="e">
        <f>NA()</f>
        <v>#N/A</v>
      </c>
      <c r="T117" s="87">
        <v>180</v>
      </c>
      <c r="U117" s="70" t="e">
        <f>NA()</f>
        <v>#N/A</v>
      </c>
      <c r="V117" s="76" t="e">
        <f>NA()</f>
        <v>#N/A</v>
      </c>
    </row>
    <row r="118" spans="2:22" hidden="1" x14ac:dyDescent="0.25">
      <c r="B118" s="77" t="s">
        <v>9</v>
      </c>
      <c r="C118" s="95" t="s">
        <v>109</v>
      </c>
      <c r="D118" s="95">
        <v>2.4</v>
      </c>
      <c r="E118" s="88">
        <v>200</v>
      </c>
      <c r="F118" s="79">
        <v>4600</v>
      </c>
      <c r="G118" s="80">
        <v>0.629</v>
      </c>
      <c r="H118" s="88">
        <v>200</v>
      </c>
      <c r="I118" s="79" t="e">
        <f>NA()</f>
        <v>#N/A</v>
      </c>
      <c r="J118" s="80" t="e">
        <f>NA()</f>
        <v>#N/A</v>
      </c>
      <c r="K118" s="88">
        <v>200</v>
      </c>
      <c r="L118" s="79" t="e">
        <f>NA()</f>
        <v>#N/A</v>
      </c>
      <c r="M118" s="80" t="e">
        <f>NA()</f>
        <v>#N/A</v>
      </c>
      <c r="N118" s="88">
        <v>200</v>
      </c>
      <c r="O118" s="79" t="e">
        <f>NA()</f>
        <v>#N/A</v>
      </c>
      <c r="P118" s="80" t="e">
        <f>NA()</f>
        <v>#N/A</v>
      </c>
      <c r="Q118" s="88">
        <v>200</v>
      </c>
      <c r="R118" s="79" t="e">
        <f>NA()</f>
        <v>#N/A</v>
      </c>
      <c r="S118" s="80" t="e">
        <f>NA()</f>
        <v>#N/A</v>
      </c>
      <c r="T118" s="88">
        <v>200</v>
      </c>
      <c r="U118" s="79" t="e">
        <f>NA()</f>
        <v>#N/A</v>
      </c>
      <c r="V118" s="80" t="e">
        <f>NA()</f>
        <v>#N/A</v>
      </c>
    </row>
    <row r="119" spans="2:22" hidden="1" x14ac:dyDescent="0.25">
      <c r="B119" s="71" t="s">
        <v>85</v>
      </c>
      <c r="C119" s="93" t="s">
        <v>100</v>
      </c>
      <c r="D119" s="93">
        <v>2</v>
      </c>
      <c r="E119" s="86">
        <v>0</v>
      </c>
      <c r="F119" s="73">
        <v>0</v>
      </c>
      <c r="G119" s="74">
        <v>1.982</v>
      </c>
      <c r="H119" s="86">
        <v>0</v>
      </c>
      <c r="I119" s="73">
        <v>0</v>
      </c>
      <c r="J119" s="74">
        <v>1.978</v>
      </c>
      <c r="K119" s="86">
        <v>0</v>
      </c>
      <c r="L119" s="73">
        <v>0</v>
      </c>
      <c r="M119" s="74">
        <v>1.982</v>
      </c>
      <c r="N119" s="86">
        <v>0</v>
      </c>
      <c r="O119" s="73">
        <v>0</v>
      </c>
      <c r="P119" s="74">
        <v>1.9790000000000001</v>
      </c>
      <c r="Q119" s="86">
        <v>0</v>
      </c>
      <c r="R119" s="73">
        <v>0</v>
      </c>
      <c r="S119" s="74">
        <v>1.978</v>
      </c>
      <c r="T119" s="86">
        <v>0</v>
      </c>
      <c r="U119" s="73" t="e">
        <f>NA()</f>
        <v>#N/A</v>
      </c>
      <c r="V119" s="74" t="e">
        <f>NA()</f>
        <v>#N/A</v>
      </c>
    </row>
    <row r="120" spans="2:22" hidden="1" x14ac:dyDescent="0.25">
      <c r="B120" s="75" t="s">
        <v>85</v>
      </c>
      <c r="C120" s="94" t="s">
        <v>100</v>
      </c>
      <c r="D120" s="94">
        <v>2</v>
      </c>
      <c r="E120" s="87">
        <v>1</v>
      </c>
      <c r="F120" s="70">
        <v>0</v>
      </c>
      <c r="G120" s="76">
        <v>1.9630000000000001</v>
      </c>
      <c r="H120" s="87">
        <v>1</v>
      </c>
      <c r="I120" s="70">
        <v>0</v>
      </c>
      <c r="J120" s="76">
        <v>1.9570000000000001</v>
      </c>
      <c r="K120" s="87">
        <v>1</v>
      </c>
      <c r="L120" s="70">
        <v>0</v>
      </c>
      <c r="M120" s="76">
        <v>1.96</v>
      </c>
      <c r="N120" s="87">
        <v>1</v>
      </c>
      <c r="O120" s="70">
        <v>0</v>
      </c>
      <c r="P120" s="76">
        <v>1.962</v>
      </c>
      <c r="Q120" s="87">
        <v>1</v>
      </c>
      <c r="R120" s="70">
        <v>0</v>
      </c>
      <c r="S120" s="76">
        <v>1.96</v>
      </c>
      <c r="T120" s="87">
        <v>1</v>
      </c>
      <c r="U120" s="70" t="e">
        <f>NA()</f>
        <v>#N/A</v>
      </c>
      <c r="V120" s="76" t="e">
        <f>NA()</f>
        <v>#N/A</v>
      </c>
    </row>
    <row r="121" spans="2:22" hidden="1" x14ac:dyDescent="0.25">
      <c r="B121" s="75" t="s">
        <v>85</v>
      </c>
      <c r="C121" s="94" t="s">
        <v>100</v>
      </c>
      <c r="D121" s="94">
        <v>2</v>
      </c>
      <c r="E121" s="87">
        <v>20</v>
      </c>
      <c r="F121" s="70">
        <v>1014</v>
      </c>
      <c r="G121" s="76">
        <v>1.823</v>
      </c>
      <c r="H121" s="87">
        <v>20</v>
      </c>
      <c r="I121" s="70">
        <v>1259</v>
      </c>
      <c r="J121" s="76">
        <v>1.7929999999999999</v>
      </c>
      <c r="K121" s="87">
        <v>20</v>
      </c>
      <c r="L121" s="70">
        <v>1692</v>
      </c>
      <c r="M121" s="76">
        <v>1.788</v>
      </c>
      <c r="N121" s="87">
        <v>20</v>
      </c>
      <c r="O121" s="70">
        <v>1822</v>
      </c>
      <c r="P121" s="76">
        <v>1.782</v>
      </c>
      <c r="Q121" s="87">
        <v>20</v>
      </c>
      <c r="R121" s="70">
        <v>2353</v>
      </c>
      <c r="S121" s="76">
        <v>1.7689999999999999</v>
      </c>
      <c r="T121" s="87">
        <v>20</v>
      </c>
      <c r="U121" s="70" t="e">
        <f>NA()</f>
        <v>#N/A</v>
      </c>
      <c r="V121" s="76" t="e">
        <f>NA()</f>
        <v>#N/A</v>
      </c>
    </row>
    <row r="122" spans="2:22" hidden="1" x14ac:dyDescent="0.25">
      <c r="B122" s="75" t="s">
        <v>85</v>
      </c>
      <c r="C122" s="94" t="s">
        <v>100</v>
      </c>
      <c r="D122" s="94">
        <v>2</v>
      </c>
      <c r="E122" s="87">
        <v>30</v>
      </c>
      <c r="F122" s="70">
        <v>1512</v>
      </c>
      <c r="G122" s="76">
        <v>1.784</v>
      </c>
      <c r="H122" s="87">
        <v>30</v>
      </c>
      <c r="I122" s="70">
        <v>1723</v>
      </c>
      <c r="J122" s="76">
        <v>1.7689999999999999</v>
      </c>
      <c r="K122" s="87">
        <v>30</v>
      </c>
      <c r="L122" s="70">
        <v>1979</v>
      </c>
      <c r="M122" s="76">
        <v>1.7709999999999999</v>
      </c>
      <c r="N122" s="87">
        <v>30</v>
      </c>
      <c r="O122" s="70">
        <v>2094</v>
      </c>
      <c r="P122" s="76">
        <v>1.766</v>
      </c>
      <c r="Q122" s="87">
        <v>30</v>
      </c>
      <c r="R122" s="70">
        <v>2511</v>
      </c>
      <c r="S122" s="76">
        <v>1.752</v>
      </c>
      <c r="T122" s="87">
        <v>30</v>
      </c>
      <c r="U122" s="70" t="e">
        <f>NA()</f>
        <v>#N/A</v>
      </c>
      <c r="V122" s="76" t="e">
        <f>NA()</f>
        <v>#N/A</v>
      </c>
    </row>
    <row r="123" spans="2:22" hidden="1" x14ac:dyDescent="0.25">
      <c r="B123" s="75" t="s">
        <v>85</v>
      </c>
      <c r="C123" s="94" t="s">
        <v>100</v>
      </c>
      <c r="D123" s="94">
        <v>2</v>
      </c>
      <c r="E123" s="87">
        <v>40</v>
      </c>
      <c r="F123" s="70">
        <v>2054</v>
      </c>
      <c r="G123" s="76">
        <v>1.7549999999999999</v>
      </c>
      <c r="H123" s="87">
        <v>40</v>
      </c>
      <c r="I123" s="70">
        <v>2128</v>
      </c>
      <c r="J123" s="76">
        <v>1.74</v>
      </c>
      <c r="K123" s="87">
        <v>40</v>
      </c>
      <c r="L123" s="70">
        <v>2160</v>
      </c>
      <c r="M123" s="76">
        <v>1.748</v>
      </c>
      <c r="N123" s="87">
        <v>40</v>
      </c>
      <c r="O123" s="70">
        <v>2266</v>
      </c>
      <c r="P123" s="76">
        <v>1.746</v>
      </c>
      <c r="Q123" s="87">
        <v>40</v>
      </c>
      <c r="R123" s="70">
        <v>2591</v>
      </c>
      <c r="S123" s="76">
        <v>1.7330000000000001</v>
      </c>
      <c r="T123" s="87">
        <v>40</v>
      </c>
      <c r="U123" s="70" t="e">
        <f>NA()</f>
        <v>#N/A</v>
      </c>
      <c r="V123" s="76" t="e">
        <f>NA()</f>
        <v>#N/A</v>
      </c>
    </row>
    <row r="124" spans="2:22" hidden="1" x14ac:dyDescent="0.25">
      <c r="B124" s="75" t="s">
        <v>85</v>
      </c>
      <c r="C124" s="94" t="s">
        <v>100</v>
      </c>
      <c r="D124" s="94">
        <v>2</v>
      </c>
      <c r="E124" s="87">
        <v>50</v>
      </c>
      <c r="F124" s="70">
        <v>2560</v>
      </c>
      <c r="G124" s="76">
        <v>1.7310000000000001</v>
      </c>
      <c r="H124" s="87">
        <v>50</v>
      </c>
      <c r="I124" s="70">
        <v>2471</v>
      </c>
      <c r="J124" s="76">
        <v>1.716</v>
      </c>
      <c r="K124" s="87">
        <v>50</v>
      </c>
      <c r="L124" s="70">
        <v>2360</v>
      </c>
      <c r="M124" s="76">
        <v>1.7230000000000001</v>
      </c>
      <c r="N124" s="87">
        <v>50</v>
      </c>
      <c r="O124" s="70">
        <v>2421</v>
      </c>
      <c r="P124" s="76">
        <v>1.724</v>
      </c>
      <c r="Q124" s="87">
        <v>50</v>
      </c>
      <c r="R124" s="70">
        <v>2827</v>
      </c>
      <c r="S124" s="76">
        <v>1.7150000000000001</v>
      </c>
      <c r="T124" s="87">
        <v>50</v>
      </c>
      <c r="U124" s="70" t="e">
        <f>NA()</f>
        <v>#N/A</v>
      </c>
      <c r="V124" s="76" t="e">
        <f>NA()</f>
        <v>#N/A</v>
      </c>
    </row>
    <row r="125" spans="2:22" hidden="1" x14ac:dyDescent="0.25">
      <c r="B125" s="75" t="s">
        <v>85</v>
      </c>
      <c r="C125" s="94" t="s">
        <v>100</v>
      </c>
      <c r="D125" s="94">
        <v>2</v>
      </c>
      <c r="E125" s="87">
        <v>60</v>
      </c>
      <c r="F125" s="70">
        <v>3141</v>
      </c>
      <c r="G125" s="76">
        <v>1.7110000000000001</v>
      </c>
      <c r="H125" s="87">
        <v>60</v>
      </c>
      <c r="I125" s="70">
        <v>2799</v>
      </c>
      <c r="J125" s="76">
        <v>1.694</v>
      </c>
      <c r="K125" s="87">
        <v>60</v>
      </c>
      <c r="L125" s="70">
        <v>2580</v>
      </c>
      <c r="M125" s="76">
        <v>1.7</v>
      </c>
      <c r="N125" s="87">
        <v>60</v>
      </c>
      <c r="O125" s="70">
        <v>2656</v>
      </c>
      <c r="P125" s="76">
        <v>1.7030000000000001</v>
      </c>
      <c r="Q125" s="87">
        <v>60</v>
      </c>
      <c r="R125" s="70">
        <v>3361</v>
      </c>
      <c r="S125" s="76">
        <v>1.7</v>
      </c>
      <c r="T125" s="87">
        <v>60</v>
      </c>
      <c r="U125" s="70" t="e">
        <f>NA()</f>
        <v>#N/A</v>
      </c>
      <c r="V125" s="76" t="e">
        <f>NA()</f>
        <v>#N/A</v>
      </c>
    </row>
    <row r="126" spans="2:22" hidden="1" x14ac:dyDescent="0.25">
      <c r="B126" s="75" t="s">
        <v>85</v>
      </c>
      <c r="C126" s="94" t="s">
        <v>100</v>
      </c>
      <c r="D126" s="94">
        <v>2</v>
      </c>
      <c r="E126" s="87">
        <v>80</v>
      </c>
      <c r="F126" s="70">
        <v>4016</v>
      </c>
      <c r="G126" s="76">
        <v>1.68</v>
      </c>
      <c r="H126" s="87">
        <v>80</v>
      </c>
      <c r="I126" s="70">
        <v>3509</v>
      </c>
      <c r="J126" s="76">
        <v>1.653</v>
      </c>
      <c r="K126" s="87">
        <v>80</v>
      </c>
      <c r="L126" s="70">
        <v>3255</v>
      </c>
      <c r="M126" s="76">
        <v>1.655</v>
      </c>
      <c r="N126" s="87">
        <v>80</v>
      </c>
      <c r="O126" s="70">
        <v>3245</v>
      </c>
      <c r="P126" s="76">
        <v>1.6619999999999999</v>
      </c>
      <c r="Q126" s="87">
        <v>80</v>
      </c>
      <c r="R126" s="70">
        <v>4040</v>
      </c>
      <c r="S126" s="76">
        <v>1.675</v>
      </c>
      <c r="T126" s="87">
        <v>80</v>
      </c>
      <c r="U126" s="70" t="e">
        <f>NA()</f>
        <v>#N/A</v>
      </c>
      <c r="V126" s="76" t="e">
        <f>NA()</f>
        <v>#N/A</v>
      </c>
    </row>
    <row r="127" spans="2:22" hidden="1" x14ac:dyDescent="0.25">
      <c r="B127" s="75" t="s">
        <v>85</v>
      </c>
      <c r="C127" s="94" t="s">
        <v>100</v>
      </c>
      <c r="D127" s="94">
        <v>2</v>
      </c>
      <c r="E127" s="87">
        <v>100</v>
      </c>
      <c r="F127" s="70">
        <v>4951</v>
      </c>
      <c r="G127" s="76">
        <v>1.655</v>
      </c>
      <c r="H127" s="87">
        <v>100</v>
      </c>
      <c r="I127" s="70">
        <v>4053</v>
      </c>
      <c r="J127" s="76">
        <v>1.617</v>
      </c>
      <c r="K127" s="87">
        <v>100</v>
      </c>
      <c r="L127" s="70">
        <v>3908</v>
      </c>
      <c r="M127" s="76">
        <v>1.617</v>
      </c>
      <c r="N127" s="87">
        <v>100</v>
      </c>
      <c r="O127" s="70">
        <v>3860</v>
      </c>
      <c r="P127" s="76">
        <v>1.623</v>
      </c>
      <c r="Q127" s="87">
        <v>100</v>
      </c>
      <c r="R127" s="70">
        <v>4267</v>
      </c>
      <c r="S127" s="76">
        <v>1.649</v>
      </c>
      <c r="T127" s="87">
        <v>100</v>
      </c>
      <c r="U127" s="70" t="e">
        <f>NA()</f>
        <v>#N/A</v>
      </c>
      <c r="V127" s="76" t="e">
        <f>NA()</f>
        <v>#N/A</v>
      </c>
    </row>
    <row r="128" spans="2:22" hidden="1" x14ac:dyDescent="0.25">
      <c r="B128" s="75" t="s">
        <v>85</v>
      </c>
      <c r="C128" s="94" t="s">
        <v>100</v>
      </c>
      <c r="D128" s="94">
        <v>2</v>
      </c>
      <c r="E128" s="87">
        <v>120</v>
      </c>
      <c r="F128" s="70">
        <v>5639</v>
      </c>
      <c r="G128" s="76">
        <v>1.635</v>
      </c>
      <c r="H128" s="87">
        <v>120</v>
      </c>
      <c r="I128" s="70">
        <v>4611</v>
      </c>
      <c r="J128" s="76">
        <v>1.585</v>
      </c>
      <c r="K128" s="87">
        <v>120</v>
      </c>
      <c r="L128" s="70">
        <v>4349</v>
      </c>
      <c r="M128" s="76">
        <v>1.579</v>
      </c>
      <c r="N128" s="87">
        <v>120</v>
      </c>
      <c r="O128" s="70">
        <v>4301</v>
      </c>
      <c r="P128" s="76">
        <v>1.583</v>
      </c>
      <c r="Q128" s="87">
        <v>120</v>
      </c>
      <c r="R128" s="70">
        <v>4616</v>
      </c>
      <c r="S128" s="76">
        <v>1.623</v>
      </c>
      <c r="T128" s="87">
        <v>120</v>
      </c>
      <c r="U128" s="70" t="e">
        <f>NA()</f>
        <v>#N/A</v>
      </c>
      <c r="V128" s="76" t="e">
        <f>NA()</f>
        <v>#N/A</v>
      </c>
    </row>
    <row r="129" spans="2:22" hidden="1" x14ac:dyDescent="0.25">
      <c r="B129" s="75" t="s">
        <v>85</v>
      </c>
      <c r="C129" s="94" t="s">
        <v>100</v>
      </c>
      <c r="D129" s="94">
        <v>2</v>
      </c>
      <c r="E129" s="87">
        <v>140</v>
      </c>
      <c r="F129" s="70">
        <v>6296</v>
      </c>
      <c r="G129" s="76">
        <v>1.619</v>
      </c>
      <c r="H129" s="87">
        <v>140</v>
      </c>
      <c r="I129" s="70">
        <v>5126</v>
      </c>
      <c r="J129" s="76">
        <v>1.554</v>
      </c>
      <c r="K129" s="87">
        <v>140</v>
      </c>
      <c r="L129" s="70">
        <v>4816</v>
      </c>
      <c r="M129" s="76">
        <v>1.5429999999999999</v>
      </c>
      <c r="N129" s="87">
        <v>140</v>
      </c>
      <c r="O129" s="70">
        <v>4537</v>
      </c>
      <c r="P129" s="76">
        <v>1.5429999999999999</v>
      </c>
      <c r="Q129" s="87">
        <v>140</v>
      </c>
      <c r="R129" s="70">
        <v>4908</v>
      </c>
      <c r="S129" s="76">
        <v>1.5940000000000001</v>
      </c>
      <c r="T129" s="87">
        <v>140</v>
      </c>
      <c r="U129" s="70" t="e">
        <f>NA()</f>
        <v>#N/A</v>
      </c>
      <c r="V129" s="76" t="e">
        <f>NA()</f>
        <v>#N/A</v>
      </c>
    </row>
    <row r="130" spans="2:22" hidden="1" x14ac:dyDescent="0.25">
      <c r="B130" s="75" t="s">
        <v>85</v>
      </c>
      <c r="C130" s="94" t="s">
        <v>100</v>
      </c>
      <c r="D130" s="94">
        <v>2</v>
      </c>
      <c r="E130" s="87">
        <v>160</v>
      </c>
      <c r="F130" s="70">
        <v>6826</v>
      </c>
      <c r="G130" s="76">
        <v>1.605</v>
      </c>
      <c r="H130" s="87">
        <v>160</v>
      </c>
      <c r="I130" s="70">
        <v>5558</v>
      </c>
      <c r="J130" s="76">
        <v>1.526</v>
      </c>
      <c r="K130" s="87">
        <v>160</v>
      </c>
      <c r="L130" s="70">
        <v>4966</v>
      </c>
      <c r="M130" s="76">
        <v>1.5089999999999999</v>
      </c>
      <c r="N130" s="87">
        <v>160</v>
      </c>
      <c r="O130" s="70">
        <v>4797</v>
      </c>
      <c r="P130" s="76">
        <v>1.508</v>
      </c>
      <c r="Q130" s="87">
        <v>160</v>
      </c>
      <c r="R130" s="70">
        <v>5098</v>
      </c>
      <c r="S130" s="76">
        <v>1.5640000000000001</v>
      </c>
      <c r="T130" s="87">
        <v>160</v>
      </c>
      <c r="U130" s="70" t="e">
        <f>NA()</f>
        <v>#N/A</v>
      </c>
      <c r="V130" s="76" t="e">
        <f>NA()</f>
        <v>#N/A</v>
      </c>
    </row>
    <row r="131" spans="2:22" hidden="1" x14ac:dyDescent="0.25">
      <c r="B131" s="75" t="s">
        <v>85</v>
      </c>
      <c r="C131" s="94" t="s">
        <v>100</v>
      </c>
      <c r="D131" s="94">
        <v>2</v>
      </c>
      <c r="E131" s="87">
        <v>180</v>
      </c>
      <c r="F131" s="70">
        <v>7265</v>
      </c>
      <c r="G131" s="76">
        <v>1.5920000000000001</v>
      </c>
      <c r="H131" s="87">
        <v>180</v>
      </c>
      <c r="I131" s="70">
        <v>5760</v>
      </c>
      <c r="J131" s="76">
        <v>1.498</v>
      </c>
      <c r="K131" s="87">
        <v>180</v>
      </c>
      <c r="L131" s="70">
        <v>5185</v>
      </c>
      <c r="M131" s="76">
        <v>1.48</v>
      </c>
      <c r="N131" s="87">
        <v>180</v>
      </c>
      <c r="O131" s="70">
        <v>4979</v>
      </c>
      <c r="P131" s="76">
        <v>1.4770000000000001</v>
      </c>
      <c r="Q131" s="87">
        <v>180</v>
      </c>
      <c r="R131" s="70">
        <v>5271</v>
      </c>
      <c r="S131" s="76">
        <v>1.5369999999999999</v>
      </c>
      <c r="T131" s="87">
        <v>180</v>
      </c>
      <c r="U131" s="70" t="e">
        <f>NA()</f>
        <v>#N/A</v>
      </c>
      <c r="V131" s="76" t="e">
        <f>NA()</f>
        <v>#N/A</v>
      </c>
    </row>
    <row r="132" spans="2:22" hidden="1" x14ac:dyDescent="0.25">
      <c r="B132" s="75" t="s">
        <v>85</v>
      </c>
      <c r="C132" s="94" t="s">
        <v>100</v>
      </c>
      <c r="D132" s="94">
        <v>2</v>
      </c>
      <c r="E132" s="87">
        <v>200</v>
      </c>
      <c r="F132" s="70">
        <v>7662</v>
      </c>
      <c r="G132" s="76">
        <v>1.581</v>
      </c>
      <c r="H132" s="87">
        <v>200</v>
      </c>
      <c r="I132" s="70">
        <v>6036</v>
      </c>
      <c r="J132" s="76">
        <v>1.472</v>
      </c>
      <c r="K132" s="87">
        <v>200</v>
      </c>
      <c r="L132" s="70">
        <v>5538</v>
      </c>
      <c r="M132" s="76">
        <v>1.454</v>
      </c>
      <c r="N132" s="87">
        <v>200</v>
      </c>
      <c r="O132" s="70">
        <v>5181</v>
      </c>
      <c r="P132" s="76">
        <v>1.45</v>
      </c>
      <c r="Q132" s="87">
        <v>200</v>
      </c>
      <c r="R132" s="70">
        <v>5558</v>
      </c>
      <c r="S132" s="76">
        <v>1.5129999999999999</v>
      </c>
      <c r="T132" s="87">
        <v>200</v>
      </c>
      <c r="U132" s="70" t="e">
        <f>NA()</f>
        <v>#N/A</v>
      </c>
      <c r="V132" s="76" t="e">
        <f>NA()</f>
        <v>#N/A</v>
      </c>
    </row>
    <row r="133" spans="2:22" hidden="1" x14ac:dyDescent="0.25">
      <c r="B133" s="75" t="s">
        <v>85</v>
      </c>
      <c r="C133" s="94" t="s">
        <v>100</v>
      </c>
      <c r="D133" s="94">
        <v>2</v>
      </c>
      <c r="E133" s="87">
        <v>220</v>
      </c>
      <c r="F133" s="70">
        <v>8105</v>
      </c>
      <c r="G133" s="76">
        <v>1.57</v>
      </c>
      <c r="H133" s="87">
        <v>220</v>
      </c>
      <c r="I133" s="70">
        <v>6243</v>
      </c>
      <c r="J133" s="76">
        <v>1.448</v>
      </c>
      <c r="K133" s="87">
        <v>220</v>
      </c>
      <c r="L133" s="70">
        <v>5747</v>
      </c>
      <c r="M133" s="76">
        <v>1.431</v>
      </c>
      <c r="N133" s="87">
        <v>220</v>
      </c>
      <c r="O133" s="70">
        <v>5444</v>
      </c>
      <c r="P133" s="76">
        <v>1.427</v>
      </c>
      <c r="Q133" s="87">
        <v>220</v>
      </c>
      <c r="R133" s="70">
        <v>5806</v>
      </c>
      <c r="S133" s="76">
        <v>1.4930000000000001</v>
      </c>
      <c r="T133" s="87">
        <v>220</v>
      </c>
      <c r="U133" s="70" t="e">
        <f>NA()</f>
        <v>#N/A</v>
      </c>
      <c r="V133" s="76" t="e">
        <f>NA()</f>
        <v>#N/A</v>
      </c>
    </row>
    <row r="134" spans="2:22" hidden="1" x14ac:dyDescent="0.25">
      <c r="B134" s="77" t="s">
        <v>85</v>
      </c>
      <c r="C134" s="95" t="s">
        <v>100</v>
      </c>
      <c r="D134" s="95">
        <v>2</v>
      </c>
      <c r="E134" s="88">
        <v>230</v>
      </c>
      <c r="F134" s="79">
        <v>8104</v>
      </c>
      <c r="G134" s="80">
        <v>1.5620000000000001</v>
      </c>
      <c r="H134" s="88">
        <v>230</v>
      </c>
      <c r="I134" s="79">
        <v>6321</v>
      </c>
      <c r="J134" s="80">
        <v>1.4330000000000001</v>
      </c>
      <c r="K134" s="88">
        <v>230</v>
      </c>
      <c r="L134" s="79">
        <v>5825</v>
      </c>
      <c r="M134" s="80">
        <v>1.417</v>
      </c>
      <c r="N134" s="88">
        <v>230</v>
      </c>
      <c r="O134" s="79">
        <v>5450</v>
      </c>
      <c r="P134" s="80">
        <v>1.413</v>
      </c>
      <c r="Q134" s="88">
        <v>230</v>
      </c>
      <c r="R134" s="79">
        <v>5885</v>
      </c>
      <c r="S134" s="80">
        <v>1.48</v>
      </c>
      <c r="T134" s="88">
        <v>230</v>
      </c>
      <c r="U134" s="79" t="e">
        <f>NA()</f>
        <v>#N/A</v>
      </c>
      <c r="V134" s="80" t="e">
        <f>NA()</f>
        <v>#N/A</v>
      </c>
    </row>
    <row r="135" spans="2:22" hidden="1" x14ac:dyDescent="0.25">
      <c r="B135" s="71" t="s">
        <v>85</v>
      </c>
      <c r="C135" s="93" t="s">
        <v>102</v>
      </c>
      <c r="D135" s="93">
        <v>2</v>
      </c>
      <c r="E135" s="86">
        <v>0</v>
      </c>
      <c r="F135" s="73">
        <v>0</v>
      </c>
      <c r="G135" s="74">
        <v>1.907</v>
      </c>
      <c r="H135" s="86">
        <v>0</v>
      </c>
      <c r="I135" s="73">
        <v>0</v>
      </c>
      <c r="J135" s="74">
        <v>1.954</v>
      </c>
      <c r="K135" s="86">
        <v>0</v>
      </c>
      <c r="L135" s="73">
        <v>0</v>
      </c>
      <c r="M135" s="74">
        <v>1.925</v>
      </c>
      <c r="N135" s="86">
        <v>0</v>
      </c>
      <c r="O135" s="73">
        <v>0</v>
      </c>
      <c r="P135" s="74">
        <v>1.889</v>
      </c>
      <c r="Q135" s="86">
        <v>0</v>
      </c>
      <c r="R135" s="73">
        <v>0</v>
      </c>
      <c r="S135" s="74">
        <v>1.915</v>
      </c>
      <c r="T135" s="86">
        <v>0</v>
      </c>
      <c r="U135" s="73">
        <v>0</v>
      </c>
      <c r="V135" s="74">
        <v>1.94</v>
      </c>
    </row>
    <row r="136" spans="2:22" hidden="1" x14ac:dyDescent="0.25">
      <c r="B136" s="75" t="s">
        <v>85</v>
      </c>
      <c r="C136" s="94" t="s">
        <v>102</v>
      </c>
      <c r="D136" s="94">
        <v>2</v>
      </c>
      <c r="E136" s="87">
        <v>1</v>
      </c>
      <c r="F136" s="70">
        <v>0</v>
      </c>
      <c r="G136" s="76">
        <v>1.907</v>
      </c>
      <c r="H136" s="87">
        <v>1</v>
      </c>
      <c r="I136" s="70">
        <v>0</v>
      </c>
      <c r="J136" s="76">
        <v>1.954</v>
      </c>
      <c r="K136" s="87">
        <v>1</v>
      </c>
      <c r="L136" s="70">
        <v>0</v>
      </c>
      <c r="M136" s="76">
        <v>1.925</v>
      </c>
      <c r="N136" s="87">
        <v>1</v>
      </c>
      <c r="O136" s="70">
        <v>0</v>
      </c>
      <c r="P136" s="76">
        <v>1.889</v>
      </c>
      <c r="Q136" s="87">
        <v>1</v>
      </c>
      <c r="R136" s="70">
        <v>0</v>
      </c>
      <c r="S136" s="76">
        <v>1.915</v>
      </c>
      <c r="T136" s="87">
        <v>1</v>
      </c>
      <c r="U136" s="70">
        <v>0</v>
      </c>
      <c r="V136" s="76">
        <v>1.94</v>
      </c>
    </row>
    <row r="137" spans="2:22" hidden="1" x14ac:dyDescent="0.25">
      <c r="B137" s="75" t="s">
        <v>85</v>
      </c>
      <c r="C137" s="94" t="s">
        <v>102</v>
      </c>
      <c r="D137" s="94">
        <v>2</v>
      </c>
      <c r="E137" s="87">
        <v>20</v>
      </c>
      <c r="F137" s="70">
        <v>1210</v>
      </c>
      <c r="G137" s="76">
        <v>1.752</v>
      </c>
      <c r="H137" s="87">
        <v>20</v>
      </c>
      <c r="I137" s="70">
        <v>1436</v>
      </c>
      <c r="J137" s="76">
        <v>1.762</v>
      </c>
      <c r="K137" s="87">
        <v>20</v>
      </c>
      <c r="L137" s="70">
        <v>1983</v>
      </c>
      <c r="M137" s="76">
        <v>1.7290000000000001</v>
      </c>
      <c r="N137" s="87">
        <v>20</v>
      </c>
      <c r="O137" s="70">
        <v>1990</v>
      </c>
      <c r="P137" s="76">
        <v>1.712</v>
      </c>
      <c r="Q137" s="87">
        <v>20</v>
      </c>
      <c r="R137" s="70">
        <v>2273</v>
      </c>
      <c r="S137" s="76">
        <v>1.7110000000000001</v>
      </c>
      <c r="T137" s="87">
        <v>20</v>
      </c>
      <c r="U137" s="70">
        <v>6810</v>
      </c>
      <c r="V137" s="76">
        <v>1.728</v>
      </c>
    </row>
    <row r="138" spans="2:22" hidden="1" x14ac:dyDescent="0.25">
      <c r="B138" s="75" t="s">
        <v>85</v>
      </c>
      <c r="C138" s="94" t="s">
        <v>102</v>
      </c>
      <c r="D138" s="94">
        <v>2</v>
      </c>
      <c r="E138" s="87">
        <v>30</v>
      </c>
      <c r="F138" s="70">
        <v>1768</v>
      </c>
      <c r="G138" s="76">
        <v>1.716</v>
      </c>
      <c r="H138" s="87">
        <v>30</v>
      </c>
      <c r="I138" s="70">
        <v>1790</v>
      </c>
      <c r="J138" s="76">
        <v>1.736</v>
      </c>
      <c r="K138" s="87">
        <v>30</v>
      </c>
      <c r="L138" s="70">
        <v>2258</v>
      </c>
      <c r="M138" s="76">
        <v>1.712</v>
      </c>
      <c r="N138" s="87">
        <v>30</v>
      </c>
      <c r="O138" s="70">
        <v>3683</v>
      </c>
      <c r="P138" s="76">
        <v>1.6970000000000001</v>
      </c>
      <c r="Q138" s="87">
        <v>30</v>
      </c>
      <c r="R138" s="70">
        <v>3298</v>
      </c>
      <c r="S138" s="76">
        <v>1.696</v>
      </c>
      <c r="T138" s="87">
        <v>30</v>
      </c>
      <c r="U138" s="70">
        <v>5337</v>
      </c>
      <c r="V138" s="76">
        <v>1.7150000000000001</v>
      </c>
    </row>
    <row r="139" spans="2:22" hidden="1" x14ac:dyDescent="0.25">
      <c r="B139" s="75" t="s">
        <v>85</v>
      </c>
      <c r="C139" s="94" t="s">
        <v>102</v>
      </c>
      <c r="D139" s="94">
        <v>2</v>
      </c>
      <c r="E139" s="87">
        <v>40</v>
      </c>
      <c r="F139" s="70">
        <v>3015</v>
      </c>
      <c r="G139" s="76">
        <v>1.6910000000000001</v>
      </c>
      <c r="H139" s="87">
        <v>40</v>
      </c>
      <c r="I139" s="70">
        <v>2725</v>
      </c>
      <c r="J139" s="76">
        <v>1.712</v>
      </c>
      <c r="K139" s="87">
        <v>40</v>
      </c>
      <c r="L139" s="70">
        <v>3498</v>
      </c>
      <c r="M139" s="76">
        <v>1.6950000000000001</v>
      </c>
      <c r="N139" s="87">
        <v>40</v>
      </c>
      <c r="O139" s="70">
        <v>2746</v>
      </c>
      <c r="P139" s="76">
        <v>1.677</v>
      </c>
      <c r="Q139" s="87">
        <v>40</v>
      </c>
      <c r="R139" s="70">
        <v>5241</v>
      </c>
      <c r="S139" s="76">
        <v>1.681</v>
      </c>
      <c r="T139" s="87">
        <v>40</v>
      </c>
      <c r="U139" s="70">
        <v>5347</v>
      </c>
      <c r="V139" s="76">
        <v>1.702</v>
      </c>
    </row>
    <row r="140" spans="2:22" hidden="1" x14ac:dyDescent="0.25">
      <c r="B140" s="75" t="s">
        <v>85</v>
      </c>
      <c r="C140" s="94" t="s">
        <v>102</v>
      </c>
      <c r="D140" s="94">
        <v>2</v>
      </c>
      <c r="E140" s="87">
        <v>50</v>
      </c>
      <c r="F140" s="70">
        <v>4169</v>
      </c>
      <c r="G140" s="76">
        <v>1.671</v>
      </c>
      <c r="H140" s="87">
        <v>50</v>
      </c>
      <c r="I140" s="70">
        <v>3265</v>
      </c>
      <c r="J140" s="76">
        <v>1.69</v>
      </c>
      <c r="K140" s="87">
        <v>50</v>
      </c>
      <c r="L140" s="70">
        <v>3724</v>
      </c>
      <c r="M140" s="76">
        <v>1.677</v>
      </c>
      <c r="N140" s="87">
        <v>50</v>
      </c>
      <c r="O140" s="70">
        <v>3906</v>
      </c>
      <c r="P140" s="76">
        <v>1.659</v>
      </c>
      <c r="Q140" s="87">
        <v>50</v>
      </c>
      <c r="R140" s="70">
        <v>4057</v>
      </c>
      <c r="S140" s="76">
        <v>1.667</v>
      </c>
      <c r="T140" s="87">
        <v>50</v>
      </c>
      <c r="U140" s="70">
        <v>4934</v>
      </c>
      <c r="V140" s="76">
        <v>1.6879999999999999</v>
      </c>
    </row>
    <row r="141" spans="2:22" hidden="1" x14ac:dyDescent="0.25">
      <c r="B141" s="75" t="s">
        <v>85</v>
      </c>
      <c r="C141" s="94" t="s">
        <v>102</v>
      </c>
      <c r="D141" s="94">
        <v>2</v>
      </c>
      <c r="E141" s="87">
        <v>60</v>
      </c>
      <c r="F141" s="70">
        <v>4668</v>
      </c>
      <c r="G141" s="76">
        <v>1.651</v>
      </c>
      <c r="H141" s="87">
        <v>60</v>
      </c>
      <c r="I141" s="70">
        <v>3989</v>
      </c>
      <c r="J141" s="76">
        <v>1.671</v>
      </c>
      <c r="K141" s="87">
        <v>60</v>
      </c>
      <c r="L141" s="70">
        <v>3836</v>
      </c>
      <c r="M141" s="76">
        <v>1.66</v>
      </c>
      <c r="N141" s="87">
        <v>60</v>
      </c>
      <c r="O141" s="70">
        <v>5729</v>
      </c>
      <c r="P141" s="76">
        <v>1.6439999999999999</v>
      </c>
      <c r="Q141" s="87">
        <v>60</v>
      </c>
      <c r="R141" s="70">
        <v>7982</v>
      </c>
      <c r="S141" s="76">
        <v>1.655</v>
      </c>
      <c r="T141" s="87">
        <v>60</v>
      </c>
      <c r="U141" s="70">
        <v>7452</v>
      </c>
      <c r="V141" s="76">
        <v>1.677</v>
      </c>
    </row>
    <row r="142" spans="2:22" hidden="1" x14ac:dyDescent="0.25">
      <c r="B142" s="75" t="s">
        <v>85</v>
      </c>
      <c r="C142" s="94" t="s">
        <v>102</v>
      </c>
      <c r="D142" s="94">
        <v>2</v>
      </c>
      <c r="E142" s="87">
        <v>80</v>
      </c>
      <c r="F142" s="70">
        <v>11940</v>
      </c>
      <c r="G142" s="76">
        <v>1.625</v>
      </c>
      <c r="H142" s="87">
        <v>80</v>
      </c>
      <c r="I142" s="70">
        <v>4984</v>
      </c>
      <c r="J142" s="76">
        <v>1.643</v>
      </c>
      <c r="K142" s="87">
        <v>80</v>
      </c>
      <c r="L142" s="70">
        <v>4546</v>
      </c>
      <c r="M142" s="76">
        <v>1.6339999999999999</v>
      </c>
      <c r="N142" s="87">
        <v>80</v>
      </c>
      <c r="O142" s="70">
        <v>7336</v>
      </c>
      <c r="P142" s="76">
        <v>1.6220000000000001</v>
      </c>
      <c r="Q142" s="87">
        <v>80</v>
      </c>
      <c r="R142" s="70">
        <v>7706</v>
      </c>
      <c r="S142" s="76">
        <v>1.637</v>
      </c>
      <c r="T142" s="87">
        <v>80</v>
      </c>
      <c r="U142" s="70">
        <v>6117</v>
      </c>
      <c r="V142" s="76">
        <v>1.66</v>
      </c>
    </row>
    <row r="143" spans="2:22" hidden="1" x14ac:dyDescent="0.25">
      <c r="B143" s="75" t="s">
        <v>85</v>
      </c>
      <c r="C143" s="94" t="s">
        <v>102</v>
      </c>
      <c r="D143" s="94">
        <v>2</v>
      </c>
      <c r="E143" s="87">
        <v>100</v>
      </c>
      <c r="F143" s="70">
        <v>13194</v>
      </c>
      <c r="G143" s="76">
        <v>1.605</v>
      </c>
      <c r="H143" s="87">
        <v>100</v>
      </c>
      <c r="I143" s="70">
        <v>5644</v>
      </c>
      <c r="J143" s="76">
        <v>1.62</v>
      </c>
      <c r="K143" s="87">
        <v>100</v>
      </c>
      <c r="L143" s="70">
        <v>5288</v>
      </c>
      <c r="M143" s="76">
        <v>1.613</v>
      </c>
      <c r="N143" s="87">
        <v>100</v>
      </c>
      <c r="O143" s="70">
        <v>9280</v>
      </c>
      <c r="P143" s="76">
        <v>1.6</v>
      </c>
      <c r="Q143" s="87">
        <v>100</v>
      </c>
      <c r="R143" s="70">
        <v>12757</v>
      </c>
      <c r="S143" s="76">
        <v>1.623</v>
      </c>
      <c r="T143" s="87">
        <v>100</v>
      </c>
      <c r="U143" s="70">
        <v>6078</v>
      </c>
      <c r="V143" s="76">
        <v>1.645</v>
      </c>
    </row>
    <row r="144" spans="2:22" hidden="1" x14ac:dyDescent="0.25">
      <c r="B144" s="75" t="s">
        <v>85</v>
      </c>
      <c r="C144" s="94" t="s">
        <v>102</v>
      </c>
      <c r="D144" s="94">
        <v>2</v>
      </c>
      <c r="E144" s="87">
        <v>120</v>
      </c>
      <c r="F144" s="70">
        <v>10754</v>
      </c>
      <c r="G144" s="76">
        <v>1.589</v>
      </c>
      <c r="H144" s="87">
        <v>120</v>
      </c>
      <c r="I144" s="70">
        <v>6691</v>
      </c>
      <c r="J144" s="76">
        <v>1.601</v>
      </c>
      <c r="K144" s="87">
        <v>120</v>
      </c>
      <c r="L144" s="70">
        <v>6042</v>
      </c>
      <c r="M144" s="76">
        <v>1.591</v>
      </c>
      <c r="N144" s="87">
        <v>120</v>
      </c>
      <c r="O144" s="70">
        <v>7341</v>
      </c>
      <c r="P144" s="76">
        <v>1.5780000000000001</v>
      </c>
      <c r="Q144" s="87">
        <v>120</v>
      </c>
      <c r="R144" s="70">
        <v>11642</v>
      </c>
      <c r="S144" s="76">
        <v>1.6080000000000001</v>
      </c>
      <c r="T144" s="87">
        <v>120</v>
      </c>
      <c r="U144" s="70">
        <v>7072</v>
      </c>
      <c r="V144" s="76">
        <v>1.633</v>
      </c>
    </row>
    <row r="145" spans="2:22" hidden="1" x14ac:dyDescent="0.25">
      <c r="B145" s="75" t="s">
        <v>85</v>
      </c>
      <c r="C145" s="94" t="s">
        <v>102</v>
      </c>
      <c r="D145" s="94">
        <v>2</v>
      </c>
      <c r="E145" s="87">
        <v>140</v>
      </c>
      <c r="F145" s="70">
        <v>14967</v>
      </c>
      <c r="G145" s="76">
        <v>1.577</v>
      </c>
      <c r="H145" s="87">
        <v>140</v>
      </c>
      <c r="I145" s="70">
        <v>6635</v>
      </c>
      <c r="J145" s="76">
        <v>1.581</v>
      </c>
      <c r="K145" s="87">
        <v>140</v>
      </c>
      <c r="L145" s="70">
        <v>5920</v>
      </c>
      <c r="M145" s="76">
        <v>1.569</v>
      </c>
      <c r="N145" s="87">
        <v>140</v>
      </c>
      <c r="O145" s="70">
        <v>8404</v>
      </c>
      <c r="P145" s="76">
        <v>1.5569999999999999</v>
      </c>
      <c r="Q145" s="87">
        <v>140</v>
      </c>
      <c r="R145" s="70">
        <v>10228</v>
      </c>
      <c r="S145" s="76">
        <v>1.5940000000000001</v>
      </c>
      <c r="T145" s="87">
        <v>140</v>
      </c>
      <c r="U145" s="70">
        <v>8684</v>
      </c>
      <c r="V145" s="76">
        <v>1.6220000000000001</v>
      </c>
    </row>
    <row r="146" spans="2:22" hidden="1" x14ac:dyDescent="0.25">
      <c r="B146" s="75" t="s">
        <v>85</v>
      </c>
      <c r="C146" s="94" t="s">
        <v>102</v>
      </c>
      <c r="D146" s="94">
        <v>2</v>
      </c>
      <c r="E146" s="87">
        <v>160</v>
      </c>
      <c r="F146" s="70">
        <v>14964</v>
      </c>
      <c r="G146" s="76">
        <v>1.5669999999999999</v>
      </c>
      <c r="H146" s="87">
        <v>160</v>
      </c>
      <c r="I146" s="70">
        <v>7027</v>
      </c>
      <c r="J146" s="76">
        <v>1.5640000000000001</v>
      </c>
      <c r="K146" s="87">
        <v>160</v>
      </c>
      <c r="L146" s="70">
        <v>6502</v>
      </c>
      <c r="M146" s="76">
        <v>1.548</v>
      </c>
      <c r="N146" s="87">
        <v>160</v>
      </c>
      <c r="O146" s="70">
        <v>7975</v>
      </c>
      <c r="P146" s="76">
        <v>1.534</v>
      </c>
      <c r="Q146" s="87">
        <v>160</v>
      </c>
      <c r="R146" s="70">
        <v>14201</v>
      </c>
      <c r="S146" s="76">
        <v>1.583</v>
      </c>
      <c r="T146" s="87">
        <v>160</v>
      </c>
      <c r="U146" s="70">
        <v>9643</v>
      </c>
      <c r="V146" s="76">
        <v>1.613</v>
      </c>
    </row>
    <row r="147" spans="2:22" hidden="1" x14ac:dyDescent="0.25">
      <c r="B147" s="75" t="s">
        <v>85</v>
      </c>
      <c r="C147" s="94" t="s">
        <v>102</v>
      </c>
      <c r="D147" s="94">
        <v>2</v>
      </c>
      <c r="E147" s="87">
        <v>180</v>
      </c>
      <c r="F147" s="70">
        <v>14280</v>
      </c>
      <c r="G147" s="76">
        <v>1.5580000000000001</v>
      </c>
      <c r="H147" s="87">
        <v>180</v>
      </c>
      <c r="I147" s="70">
        <v>9764</v>
      </c>
      <c r="J147" s="76">
        <v>1.548</v>
      </c>
      <c r="K147" s="87">
        <v>180</v>
      </c>
      <c r="L147" s="70">
        <v>7772</v>
      </c>
      <c r="M147" s="76">
        <v>1.5309999999999999</v>
      </c>
      <c r="N147" s="87">
        <v>180</v>
      </c>
      <c r="O147" s="70">
        <v>10433</v>
      </c>
      <c r="P147" s="76">
        <v>1.518</v>
      </c>
      <c r="Q147" s="87">
        <v>180</v>
      </c>
      <c r="R147" s="70">
        <v>10645</v>
      </c>
      <c r="S147" s="76">
        <v>1.569</v>
      </c>
      <c r="T147" s="87">
        <v>180</v>
      </c>
      <c r="U147" s="70">
        <v>9271</v>
      </c>
      <c r="V147" s="76">
        <v>1.6040000000000001</v>
      </c>
    </row>
    <row r="148" spans="2:22" hidden="1" x14ac:dyDescent="0.25">
      <c r="B148" s="77" t="s">
        <v>85</v>
      </c>
      <c r="C148" s="95" t="s">
        <v>102</v>
      </c>
      <c r="D148" s="95">
        <v>2</v>
      </c>
      <c r="E148" s="88">
        <v>200</v>
      </c>
      <c r="F148" s="79">
        <v>14791</v>
      </c>
      <c r="G148" s="80">
        <v>1.55</v>
      </c>
      <c r="H148" s="88">
        <v>200</v>
      </c>
      <c r="I148" s="79">
        <v>9764</v>
      </c>
      <c r="J148" s="80">
        <v>1.53</v>
      </c>
      <c r="K148" s="88">
        <v>200</v>
      </c>
      <c r="L148" s="79">
        <v>9440</v>
      </c>
      <c r="M148" s="80">
        <v>1.5129999999999999</v>
      </c>
      <c r="N148" s="88">
        <v>200</v>
      </c>
      <c r="O148" s="79">
        <v>9703</v>
      </c>
      <c r="P148" s="80">
        <v>1.4970000000000001</v>
      </c>
      <c r="Q148" s="88">
        <v>200</v>
      </c>
      <c r="R148" s="79">
        <v>9275</v>
      </c>
      <c r="S148" s="80">
        <v>1.554</v>
      </c>
      <c r="T148" s="88">
        <v>200</v>
      </c>
      <c r="U148" s="79">
        <v>9831</v>
      </c>
      <c r="V148" s="80">
        <v>1.5960000000000001</v>
      </c>
    </row>
    <row r="149" spans="2:22" hidden="1" x14ac:dyDescent="0.25">
      <c r="B149" s="71" t="s">
        <v>85</v>
      </c>
      <c r="C149" s="93" t="s">
        <v>106</v>
      </c>
      <c r="D149" s="93">
        <v>2</v>
      </c>
      <c r="E149" s="86">
        <v>0</v>
      </c>
      <c r="F149" s="73">
        <v>0</v>
      </c>
      <c r="G149" s="74">
        <v>2.0670000000000002</v>
      </c>
      <c r="H149" s="86">
        <v>0</v>
      </c>
      <c r="I149" s="73">
        <v>0</v>
      </c>
      <c r="J149" s="74">
        <v>2.0870000000000002</v>
      </c>
      <c r="K149" s="86">
        <v>0</v>
      </c>
      <c r="L149" s="73">
        <v>0</v>
      </c>
      <c r="M149" s="74">
        <v>2.0830000000000002</v>
      </c>
      <c r="N149" s="86">
        <v>0</v>
      </c>
      <c r="O149" s="73">
        <v>0</v>
      </c>
      <c r="P149" s="74">
        <v>2.0579999999999998</v>
      </c>
      <c r="Q149" s="86">
        <v>0</v>
      </c>
      <c r="R149" s="73" t="e">
        <f>NA()</f>
        <v>#N/A</v>
      </c>
      <c r="S149" s="74" t="e">
        <f>NA()</f>
        <v>#N/A</v>
      </c>
      <c r="T149" s="86">
        <v>0</v>
      </c>
      <c r="U149" s="73" t="e">
        <f>NA()</f>
        <v>#N/A</v>
      </c>
      <c r="V149" s="74" t="e">
        <f>NA()</f>
        <v>#N/A</v>
      </c>
    </row>
    <row r="150" spans="2:22" hidden="1" x14ac:dyDescent="0.25">
      <c r="B150" s="75" t="s">
        <v>85</v>
      </c>
      <c r="C150" s="94" t="s">
        <v>106</v>
      </c>
      <c r="D150" s="94">
        <v>2</v>
      </c>
      <c r="E150" s="87">
        <v>1</v>
      </c>
      <c r="F150" s="70">
        <v>0</v>
      </c>
      <c r="G150" s="76">
        <v>2.0670000000000002</v>
      </c>
      <c r="H150" s="87">
        <v>1</v>
      </c>
      <c r="I150" s="70">
        <v>0</v>
      </c>
      <c r="J150" s="76">
        <v>2.0870000000000002</v>
      </c>
      <c r="K150" s="87">
        <v>1</v>
      </c>
      <c r="L150" s="70">
        <v>0</v>
      </c>
      <c r="M150" s="76">
        <v>2.0830000000000002</v>
      </c>
      <c r="N150" s="87">
        <v>1</v>
      </c>
      <c r="O150" s="70">
        <v>0</v>
      </c>
      <c r="P150" s="76">
        <v>2.0579999999999998</v>
      </c>
      <c r="Q150" s="87">
        <v>1</v>
      </c>
      <c r="R150" s="70" t="e">
        <f>NA()</f>
        <v>#N/A</v>
      </c>
      <c r="S150" s="76" t="e">
        <f>NA()</f>
        <v>#N/A</v>
      </c>
      <c r="T150" s="87">
        <v>1</v>
      </c>
      <c r="U150" s="70" t="e">
        <f>NA()</f>
        <v>#N/A</v>
      </c>
      <c r="V150" s="76" t="e">
        <f>NA()</f>
        <v>#N/A</v>
      </c>
    </row>
    <row r="151" spans="2:22" hidden="1" x14ac:dyDescent="0.25">
      <c r="B151" s="75" t="s">
        <v>85</v>
      </c>
      <c r="C151" s="94" t="s">
        <v>106</v>
      </c>
      <c r="D151" s="94">
        <v>2</v>
      </c>
      <c r="E151" s="87">
        <v>20</v>
      </c>
      <c r="F151" s="70">
        <v>1377</v>
      </c>
      <c r="G151" s="76">
        <v>1.915</v>
      </c>
      <c r="H151" s="87">
        <v>20</v>
      </c>
      <c r="I151" s="70">
        <v>1232</v>
      </c>
      <c r="J151" s="76">
        <v>1.8680000000000001</v>
      </c>
      <c r="K151" s="87">
        <v>20</v>
      </c>
      <c r="L151" s="70">
        <v>2400</v>
      </c>
      <c r="M151" s="76">
        <v>1.8460000000000001</v>
      </c>
      <c r="N151" s="87">
        <v>20</v>
      </c>
      <c r="O151" s="70">
        <v>2906</v>
      </c>
      <c r="P151" s="76">
        <v>1.8069999999999999</v>
      </c>
      <c r="Q151" s="87">
        <v>20</v>
      </c>
      <c r="R151" s="70" t="e">
        <f>NA()</f>
        <v>#N/A</v>
      </c>
      <c r="S151" s="76" t="e">
        <f>NA()</f>
        <v>#N/A</v>
      </c>
      <c r="T151" s="87">
        <v>20</v>
      </c>
      <c r="U151" s="70" t="e">
        <f>NA()</f>
        <v>#N/A</v>
      </c>
      <c r="V151" s="76" t="e">
        <f>NA()</f>
        <v>#N/A</v>
      </c>
    </row>
    <row r="152" spans="2:22" hidden="1" x14ac:dyDescent="0.25">
      <c r="B152" s="75" t="s">
        <v>85</v>
      </c>
      <c r="C152" s="94" t="s">
        <v>106</v>
      </c>
      <c r="D152" s="94">
        <v>2</v>
      </c>
      <c r="E152" s="87">
        <v>30</v>
      </c>
      <c r="F152" s="70">
        <v>1923</v>
      </c>
      <c r="G152" s="76">
        <v>1.8759999999999999</v>
      </c>
      <c r="H152" s="87">
        <v>30</v>
      </c>
      <c r="I152" s="70">
        <v>1937</v>
      </c>
      <c r="J152" s="76">
        <v>1.8380000000000001</v>
      </c>
      <c r="K152" s="87">
        <v>30</v>
      </c>
      <c r="L152" s="70">
        <v>2513</v>
      </c>
      <c r="M152" s="76">
        <v>1.8280000000000001</v>
      </c>
      <c r="N152" s="87">
        <v>30</v>
      </c>
      <c r="O152" s="70">
        <v>4198</v>
      </c>
      <c r="P152" s="76">
        <v>1.7929999999999999</v>
      </c>
      <c r="Q152" s="87">
        <v>30</v>
      </c>
      <c r="R152" s="70" t="e">
        <f>NA()</f>
        <v>#N/A</v>
      </c>
      <c r="S152" s="76" t="e">
        <f>NA()</f>
        <v>#N/A</v>
      </c>
      <c r="T152" s="87">
        <v>30</v>
      </c>
      <c r="U152" s="70" t="e">
        <f>NA()</f>
        <v>#N/A</v>
      </c>
      <c r="V152" s="76" t="e">
        <f>NA()</f>
        <v>#N/A</v>
      </c>
    </row>
    <row r="153" spans="2:22" hidden="1" x14ac:dyDescent="0.25">
      <c r="B153" s="75" t="s">
        <v>85</v>
      </c>
      <c r="C153" s="94" t="s">
        <v>106</v>
      </c>
      <c r="D153" s="94">
        <v>2</v>
      </c>
      <c r="E153" s="87">
        <v>40</v>
      </c>
      <c r="F153" s="70">
        <v>2816</v>
      </c>
      <c r="G153" s="76">
        <v>1.847</v>
      </c>
      <c r="H153" s="87">
        <v>40</v>
      </c>
      <c r="I153" s="70">
        <v>2204</v>
      </c>
      <c r="J153" s="76">
        <v>1.81</v>
      </c>
      <c r="K153" s="87">
        <v>40</v>
      </c>
      <c r="L153" s="70">
        <v>2715</v>
      </c>
      <c r="M153" s="76">
        <v>1.8109999999999999</v>
      </c>
      <c r="N153" s="87">
        <v>40</v>
      </c>
      <c r="O153" s="70">
        <v>3416</v>
      </c>
      <c r="P153" s="76">
        <v>1.7749999999999999</v>
      </c>
      <c r="Q153" s="87">
        <v>40</v>
      </c>
      <c r="R153" s="70" t="e">
        <f>NA()</f>
        <v>#N/A</v>
      </c>
      <c r="S153" s="76" t="e">
        <f>NA()</f>
        <v>#N/A</v>
      </c>
      <c r="T153" s="87">
        <v>40</v>
      </c>
      <c r="U153" s="70" t="e">
        <f>NA()</f>
        <v>#N/A</v>
      </c>
      <c r="V153" s="76" t="e">
        <f>NA()</f>
        <v>#N/A</v>
      </c>
    </row>
    <row r="154" spans="2:22" hidden="1" x14ac:dyDescent="0.25">
      <c r="B154" s="75" t="s">
        <v>85</v>
      </c>
      <c r="C154" s="94" t="s">
        <v>106</v>
      </c>
      <c r="D154" s="94">
        <v>2</v>
      </c>
      <c r="E154" s="87">
        <v>50</v>
      </c>
      <c r="F154" s="70">
        <v>2938</v>
      </c>
      <c r="G154" s="76">
        <v>1.82</v>
      </c>
      <c r="H154" s="87">
        <v>50</v>
      </c>
      <c r="I154" s="70">
        <v>2801</v>
      </c>
      <c r="J154" s="76">
        <v>1.788</v>
      </c>
      <c r="K154" s="87">
        <v>50</v>
      </c>
      <c r="L154" s="70">
        <v>3279</v>
      </c>
      <c r="M154" s="76">
        <v>1.7989999999999999</v>
      </c>
      <c r="N154" s="87">
        <v>50</v>
      </c>
      <c r="O154" s="70">
        <v>4323</v>
      </c>
      <c r="P154" s="76">
        <v>1.762</v>
      </c>
      <c r="Q154" s="87">
        <v>50</v>
      </c>
      <c r="R154" s="70" t="e">
        <f>NA()</f>
        <v>#N/A</v>
      </c>
      <c r="S154" s="76" t="e">
        <f>NA()</f>
        <v>#N/A</v>
      </c>
      <c r="T154" s="87">
        <v>50</v>
      </c>
      <c r="U154" s="70" t="e">
        <f>NA()</f>
        <v>#N/A</v>
      </c>
      <c r="V154" s="76" t="e">
        <f>NA()</f>
        <v>#N/A</v>
      </c>
    </row>
    <row r="155" spans="2:22" hidden="1" x14ac:dyDescent="0.25">
      <c r="B155" s="75" t="s">
        <v>85</v>
      </c>
      <c r="C155" s="94" t="s">
        <v>106</v>
      </c>
      <c r="D155" s="94">
        <v>2</v>
      </c>
      <c r="E155" s="87">
        <v>60</v>
      </c>
      <c r="F155" s="70">
        <v>3543</v>
      </c>
      <c r="G155" s="76">
        <v>1.796</v>
      </c>
      <c r="H155" s="87">
        <v>60</v>
      </c>
      <c r="I155" s="70">
        <v>3315</v>
      </c>
      <c r="J155" s="76">
        <v>1.772</v>
      </c>
      <c r="K155" s="87">
        <v>60</v>
      </c>
      <c r="L155" s="70">
        <v>4706</v>
      </c>
      <c r="M155" s="76">
        <v>1.7889999999999999</v>
      </c>
      <c r="N155" s="87">
        <v>60</v>
      </c>
      <c r="O155" s="70">
        <v>6029</v>
      </c>
      <c r="P155" s="76">
        <v>1.7509999999999999</v>
      </c>
      <c r="Q155" s="87">
        <v>60</v>
      </c>
      <c r="R155" s="70" t="e">
        <f>NA()</f>
        <v>#N/A</v>
      </c>
      <c r="S155" s="76" t="e">
        <f>NA()</f>
        <v>#N/A</v>
      </c>
      <c r="T155" s="87">
        <v>60</v>
      </c>
      <c r="U155" s="70" t="e">
        <f>NA()</f>
        <v>#N/A</v>
      </c>
      <c r="V155" s="76" t="e">
        <f>NA()</f>
        <v>#N/A</v>
      </c>
    </row>
    <row r="156" spans="2:22" hidden="1" x14ac:dyDescent="0.25">
      <c r="B156" s="75" t="s">
        <v>85</v>
      </c>
      <c r="C156" s="94" t="s">
        <v>106</v>
      </c>
      <c r="D156" s="94">
        <v>2</v>
      </c>
      <c r="E156" s="87">
        <v>80</v>
      </c>
      <c r="F156" s="70">
        <v>7063</v>
      </c>
      <c r="G156" s="76">
        <v>1.772</v>
      </c>
      <c r="H156" s="87">
        <v>80</v>
      </c>
      <c r="I156" s="70">
        <v>4905</v>
      </c>
      <c r="J156" s="76">
        <v>1.752</v>
      </c>
      <c r="K156" s="87">
        <v>80</v>
      </c>
      <c r="L156" s="70">
        <v>4936</v>
      </c>
      <c r="M156" s="76">
        <v>1.7729999999999999</v>
      </c>
      <c r="N156" s="87">
        <v>80</v>
      </c>
      <c r="O156" s="70">
        <v>7536</v>
      </c>
      <c r="P156" s="76">
        <v>1.734</v>
      </c>
      <c r="Q156" s="87">
        <v>80</v>
      </c>
      <c r="R156" s="70" t="e">
        <f>NA()</f>
        <v>#N/A</v>
      </c>
      <c r="S156" s="76" t="e">
        <f>NA()</f>
        <v>#N/A</v>
      </c>
      <c r="T156" s="87">
        <v>80</v>
      </c>
      <c r="U156" s="70" t="e">
        <f>NA()</f>
        <v>#N/A</v>
      </c>
      <c r="V156" s="76" t="e">
        <f>NA()</f>
        <v>#N/A</v>
      </c>
    </row>
    <row r="157" spans="2:22" hidden="1" x14ac:dyDescent="0.25">
      <c r="B157" s="75" t="s">
        <v>85</v>
      </c>
      <c r="C157" s="94" t="s">
        <v>106</v>
      </c>
      <c r="D157" s="94">
        <v>2</v>
      </c>
      <c r="E157" s="87">
        <v>100</v>
      </c>
      <c r="F157" s="70">
        <v>6642</v>
      </c>
      <c r="G157" s="76">
        <v>1.748</v>
      </c>
      <c r="H157" s="87">
        <v>100</v>
      </c>
      <c r="I157" s="70">
        <v>6206</v>
      </c>
      <c r="J157" s="76">
        <v>1.7310000000000001</v>
      </c>
      <c r="K157" s="87">
        <v>100</v>
      </c>
      <c r="L157" s="70">
        <v>5352</v>
      </c>
      <c r="M157" s="76">
        <v>1.756</v>
      </c>
      <c r="N157" s="87">
        <v>100</v>
      </c>
      <c r="O157" s="70">
        <v>6757</v>
      </c>
      <c r="P157" s="76">
        <v>1.7170000000000001</v>
      </c>
      <c r="Q157" s="87">
        <v>100</v>
      </c>
      <c r="R157" s="70" t="e">
        <f>NA()</f>
        <v>#N/A</v>
      </c>
      <c r="S157" s="76" t="e">
        <f>NA()</f>
        <v>#N/A</v>
      </c>
      <c r="T157" s="87">
        <v>100</v>
      </c>
      <c r="U157" s="70" t="e">
        <f>NA()</f>
        <v>#N/A</v>
      </c>
      <c r="V157" s="76" t="e">
        <f>NA()</f>
        <v>#N/A</v>
      </c>
    </row>
    <row r="158" spans="2:22" hidden="1" x14ac:dyDescent="0.25">
      <c r="B158" s="75" t="s">
        <v>85</v>
      </c>
      <c r="C158" s="94" t="s">
        <v>106</v>
      </c>
      <c r="D158" s="94">
        <v>2</v>
      </c>
      <c r="E158" s="87">
        <v>120</v>
      </c>
      <c r="F158" s="70">
        <v>6572</v>
      </c>
      <c r="G158" s="76">
        <v>1.728</v>
      </c>
      <c r="H158" s="87">
        <v>120</v>
      </c>
      <c r="I158" s="70">
        <v>8048</v>
      </c>
      <c r="J158" s="76">
        <v>1.712</v>
      </c>
      <c r="K158" s="87">
        <v>120</v>
      </c>
      <c r="L158" s="70">
        <v>5866</v>
      </c>
      <c r="M158" s="76">
        <v>1.7390000000000001</v>
      </c>
      <c r="N158" s="87">
        <v>120</v>
      </c>
      <c r="O158" s="70">
        <v>8790</v>
      </c>
      <c r="P158" s="76">
        <v>1.704</v>
      </c>
      <c r="Q158" s="87">
        <v>120</v>
      </c>
      <c r="R158" s="70" t="e">
        <f>NA()</f>
        <v>#N/A</v>
      </c>
      <c r="S158" s="76" t="e">
        <f>NA()</f>
        <v>#N/A</v>
      </c>
      <c r="T158" s="87">
        <v>120</v>
      </c>
      <c r="U158" s="70" t="e">
        <f>NA()</f>
        <v>#N/A</v>
      </c>
      <c r="V158" s="76" t="e">
        <f>NA()</f>
        <v>#N/A</v>
      </c>
    </row>
    <row r="159" spans="2:22" hidden="1" x14ac:dyDescent="0.25">
      <c r="B159" s="75" t="s">
        <v>85</v>
      </c>
      <c r="C159" s="94" t="s">
        <v>106</v>
      </c>
      <c r="D159" s="94">
        <v>2</v>
      </c>
      <c r="E159" s="87">
        <v>140</v>
      </c>
      <c r="F159" s="70">
        <v>8927</v>
      </c>
      <c r="G159" s="76">
        <v>1.716</v>
      </c>
      <c r="H159" s="87">
        <v>140</v>
      </c>
      <c r="I159" s="70">
        <v>7681</v>
      </c>
      <c r="J159" s="76">
        <v>1.69</v>
      </c>
      <c r="K159" s="87">
        <v>140</v>
      </c>
      <c r="L159" s="70">
        <v>6526</v>
      </c>
      <c r="M159" s="76">
        <v>1.722</v>
      </c>
      <c r="N159" s="87">
        <v>140</v>
      </c>
      <c r="O159" s="70">
        <v>9942</v>
      </c>
      <c r="P159" s="76">
        <v>1.6919999999999999</v>
      </c>
      <c r="Q159" s="87">
        <v>140</v>
      </c>
      <c r="R159" s="70" t="e">
        <f>NA()</f>
        <v>#N/A</v>
      </c>
      <c r="S159" s="76" t="e">
        <f>NA()</f>
        <v>#N/A</v>
      </c>
      <c r="T159" s="87">
        <v>140</v>
      </c>
      <c r="U159" s="70" t="e">
        <f>NA()</f>
        <v>#N/A</v>
      </c>
      <c r="V159" s="76" t="e">
        <f>NA()</f>
        <v>#N/A</v>
      </c>
    </row>
    <row r="160" spans="2:22" hidden="1" x14ac:dyDescent="0.25">
      <c r="B160" s="75" t="s">
        <v>85</v>
      </c>
      <c r="C160" s="94" t="s">
        <v>106</v>
      </c>
      <c r="D160" s="94">
        <v>2</v>
      </c>
      <c r="E160" s="87">
        <v>160</v>
      </c>
      <c r="F160" s="70">
        <v>11166</v>
      </c>
      <c r="G160" s="76">
        <v>1.706</v>
      </c>
      <c r="H160" s="87">
        <v>160</v>
      </c>
      <c r="I160" s="70">
        <v>7558</v>
      </c>
      <c r="J160" s="76">
        <v>1.6659999999999999</v>
      </c>
      <c r="K160" s="87">
        <v>160</v>
      </c>
      <c r="L160" s="70">
        <v>7916</v>
      </c>
      <c r="M160" s="76">
        <v>1.704</v>
      </c>
      <c r="N160" s="87">
        <v>160</v>
      </c>
      <c r="O160" s="70">
        <v>9569</v>
      </c>
      <c r="P160" s="76">
        <v>1.68</v>
      </c>
      <c r="Q160" s="87">
        <v>160</v>
      </c>
      <c r="R160" s="70" t="e">
        <f>NA()</f>
        <v>#N/A</v>
      </c>
      <c r="S160" s="76" t="e">
        <f>NA()</f>
        <v>#N/A</v>
      </c>
      <c r="T160" s="87">
        <v>160</v>
      </c>
      <c r="U160" s="70" t="e">
        <f>NA()</f>
        <v>#N/A</v>
      </c>
      <c r="V160" s="76" t="e">
        <f>NA()</f>
        <v>#N/A</v>
      </c>
    </row>
    <row r="161" spans="2:22" hidden="1" x14ac:dyDescent="0.25">
      <c r="B161" s="75" t="s">
        <v>85</v>
      </c>
      <c r="C161" s="94" t="s">
        <v>106</v>
      </c>
      <c r="D161" s="94">
        <v>2</v>
      </c>
      <c r="E161" s="87">
        <v>180</v>
      </c>
      <c r="F161" s="70">
        <v>10560</v>
      </c>
      <c r="G161" s="76">
        <v>1.6950000000000001</v>
      </c>
      <c r="H161" s="87">
        <v>180</v>
      </c>
      <c r="I161" s="70">
        <v>7994</v>
      </c>
      <c r="J161" s="76">
        <v>1.641</v>
      </c>
      <c r="K161" s="87">
        <v>180</v>
      </c>
      <c r="L161" s="70">
        <v>7349</v>
      </c>
      <c r="M161" s="76">
        <v>1.679</v>
      </c>
      <c r="N161" s="87">
        <v>180</v>
      </c>
      <c r="O161" s="70">
        <v>8859</v>
      </c>
      <c r="P161" s="76">
        <v>1.669</v>
      </c>
      <c r="Q161" s="87">
        <v>180</v>
      </c>
      <c r="R161" s="70" t="e">
        <f>NA()</f>
        <v>#N/A</v>
      </c>
      <c r="S161" s="76" t="e">
        <f>NA()</f>
        <v>#N/A</v>
      </c>
      <c r="T161" s="87">
        <v>180</v>
      </c>
      <c r="U161" s="70" t="e">
        <f>NA()</f>
        <v>#N/A</v>
      </c>
      <c r="V161" s="76" t="e">
        <f>NA()</f>
        <v>#N/A</v>
      </c>
    </row>
    <row r="162" spans="2:22" hidden="1" x14ac:dyDescent="0.25">
      <c r="B162" s="75" t="s">
        <v>85</v>
      </c>
      <c r="C162" s="94" t="s">
        <v>106</v>
      </c>
      <c r="D162" s="94">
        <v>2</v>
      </c>
      <c r="E162" s="87">
        <v>200</v>
      </c>
      <c r="F162" s="70">
        <v>9652</v>
      </c>
      <c r="G162" s="76">
        <v>1.6830000000000001</v>
      </c>
      <c r="H162" s="87">
        <v>200</v>
      </c>
      <c r="I162" s="70">
        <v>8144</v>
      </c>
      <c r="J162" s="76">
        <v>1.617</v>
      </c>
      <c r="K162" s="87">
        <v>200</v>
      </c>
      <c r="L162" s="70">
        <v>7523</v>
      </c>
      <c r="M162" s="76">
        <v>1.649</v>
      </c>
      <c r="N162" s="87">
        <v>200</v>
      </c>
      <c r="O162" s="70">
        <v>9444</v>
      </c>
      <c r="P162" s="76">
        <v>1.661</v>
      </c>
      <c r="Q162" s="87">
        <v>200</v>
      </c>
      <c r="R162" s="70" t="e">
        <f>NA()</f>
        <v>#N/A</v>
      </c>
      <c r="S162" s="76" t="e">
        <f>NA()</f>
        <v>#N/A</v>
      </c>
      <c r="T162" s="87">
        <v>200</v>
      </c>
      <c r="U162" s="70" t="e">
        <f>NA()</f>
        <v>#N/A</v>
      </c>
      <c r="V162" s="76" t="e">
        <f>NA()</f>
        <v>#N/A</v>
      </c>
    </row>
    <row r="163" spans="2:22" hidden="1" x14ac:dyDescent="0.25">
      <c r="B163" s="75" t="s">
        <v>85</v>
      </c>
      <c r="C163" s="94" t="s">
        <v>106</v>
      </c>
      <c r="D163" s="94">
        <v>2</v>
      </c>
      <c r="E163" s="87">
        <v>220</v>
      </c>
      <c r="F163" s="70">
        <v>8664</v>
      </c>
      <c r="G163" s="76">
        <v>1.6719999999999999</v>
      </c>
      <c r="H163" s="87">
        <v>220</v>
      </c>
      <c r="I163" s="70">
        <v>8455</v>
      </c>
      <c r="J163" s="76">
        <v>1.593</v>
      </c>
      <c r="K163" s="87">
        <v>220</v>
      </c>
      <c r="L163" s="70">
        <v>7320</v>
      </c>
      <c r="M163" s="76">
        <v>1.619</v>
      </c>
      <c r="N163" s="87">
        <v>220</v>
      </c>
      <c r="O163" s="70">
        <v>9971</v>
      </c>
      <c r="P163" s="76">
        <v>1.653</v>
      </c>
      <c r="Q163" s="87">
        <v>220</v>
      </c>
      <c r="R163" s="70" t="e">
        <f>NA()</f>
        <v>#N/A</v>
      </c>
      <c r="S163" s="76" t="e">
        <f>NA()</f>
        <v>#N/A</v>
      </c>
      <c r="T163" s="87">
        <v>220</v>
      </c>
      <c r="U163" s="70" t="e">
        <f>NA()</f>
        <v>#N/A</v>
      </c>
      <c r="V163" s="76" t="e">
        <f>NA()</f>
        <v>#N/A</v>
      </c>
    </row>
    <row r="164" spans="2:22" hidden="1" x14ac:dyDescent="0.25">
      <c r="B164" s="77" t="s">
        <v>85</v>
      </c>
      <c r="C164" s="95" t="s">
        <v>106</v>
      </c>
      <c r="D164" s="95">
        <v>2</v>
      </c>
      <c r="E164" s="88">
        <v>230</v>
      </c>
      <c r="F164" s="79">
        <v>8468</v>
      </c>
      <c r="G164" s="80">
        <v>1.665</v>
      </c>
      <c r="H164" s="88">
        <v>230</v>
      </c>
      <c r="I164" s="79">
        <v>8489</v>
      </c>
      <c r="J164" s="80">
        <v>1.5780000000000001</v>
      </c>
      <c r="K164" s="88">
        <v>230</v>
      </c>
      <c r="L164" s="79">
        <v>7399</v>
      </c>
      <c r="M164" s="80">
        <v>1.6</v>
      </c>
      <c r="N164" s="88">
        <v>230</v>
      </c>
      <c r="O164" s="79">
        <v>10157</v>
      </c>
      <c r="P164" s="80">
        <v>1.647</v>
      </c>
      <c r="Q164" s="88">
        <v>230</v>
      </c>
      <c r="R164" s="79" t="e">
        <f>NA()</f>
        <v>#N/A</v>
      </c>
      <c r="S164" s="80" t="e">
        <f>NA()</f>
        <v>#N/A</v>
      </c>
      <c r="T164" s="88">
        <v>230</v>
      </c>
      <c r="U164" s="79" t="e">
        <f>NA()</f>
        <v>#N/A</v>
      </c>
      <c r="V164" s="80" t="e">
        <f>NA()</f>
        <v>#N/A</v>
      </c>
    </row>
    <row r="165" spans="2:22" hidden="1" x14ac:dyDescent="0.25">
      <c r="B165" s="71" t="s">
        <v>86</v>
      </c>
      <c r="C165" s="93" t="s">
        <v>101</v>
      </c>
      <c r="D165" s="93">
        <v>0.55000000000000004</v>
      </c>
      <c r="E165" s="86">
        <v>0</v>
      </c>
      <c r="F165" s="73">
        <v>0</v>
      </c>
      <c r="G165" s="74">
        <v>0.56399999999999995</v>
      </c>
      <c r="H165" s="86">
        <v>0</v>
      </c>
      <c r="I165" s="73">
        <v>0</v>
      </c>
      <c r="J165" s="74">
        <v>0.56599999999999995</v>
      </c>
      <c r="K165" s="86">
        <v>0</v>
      </c>
      <c r="L165" s="73">
        <v>0</v>
      </c>
      <c r="M165" s="74">
        <v>0.56999999999999995</v>
      </c>
      <c r="N165" s="86">
        <v>0</v>
      </c>
      <c r="O165" s="73">
        <v>0</v>
      </c>
      <c r="P165" s="74">
        <v>0.56599999999999995</v>
      </c>
      <c r="Q165" s="86">
        <v>0</v>
      </c>
      <c r="R165" s="73" t="e">
        <f>NA()</f>
        <v>#N/A</v>
      </c>
      <c r="S165" s="74" t="e">
        <f>NA()</f>
        <v>#N/A</v>
      </c>
      <c r="T165" s="86">
        <v>0</v>
      </c>
      <c r="U165" s="73" t="e">
        <f>NA()</f>
        <v>#N/A</v>
      </c>
      <c r="V165" s="74" t="e">
        <f>NA()</f>
        <v>#N/A</v>
      </c>
    </row>
    <row r="166" spans="2:22" hidden="1" x14ac:dyDescent="0.25">
      <c r="B166" s="75" t="s">
        <v>86</v>
      </c>
      <c r="C166" s="94" t="s">
        <v>101</v>
      </c>
      <c r="D166" s="94">
        <v>0.55000000000000004</v>
      </c>
      <c r="E166" s="87">
        <v>1</v>
      </c>
      <c r="F166" s="70">
        <v>0</v>
      </c>
      <c r="G166" s="76">
        <v>0.53600000000000003</v>
      </c>
      <c r="H166" s="87">
        <v>1</v>
      </c>
      <c r="I166" s="70">
        <v>0</v>
      </c>
      <c r="J166" s="76">
        <v>0.53400000000000003</v>
      </c>
      <c r="K166" s="87">
        <v>1</v>
      </c>
      <c r="L166" s="70">
        <v>0</v>
      </c>
      <c r="M166" s="76">
        <v>0.52900000000000003</v>
      </c>
      <c r="N166" s="87">
        <v>1</v>
      </c>
      <c r="O166" s="70">
        <v>0</v>
      </c>
      <c r="P166" s="76">
        <v>0.53900000000000003</v>
      </c>
      <c r="Q166" s="87">
        <v>1</v>
      </c>
      <c r="R166" s="70" t="e">
        <f>NA()</f>
        <v>#N/A</v>
      </c>
      <c r="S166" s="76" t="e">
        <f>NA()</f>
        <v>#N/A</v>
      </c>
      <c r="T166" s="87">
        <v>1</v>
      </c>
      <c r="U166" s="70" t="e">
        <f>NA()</f>
        <v>#N/A</v>
      </c>
      <c r="V166" s="76" t="e">
        <f>NA()</f>
        <v>#N/A</v>
      </c>
    </row>
    <row r="167" spans="2:22" hidden="1" x14ac:dyDescent="0.25">
      <c r="B167" s="75" t="s">
        <v>86</v>
      </c>
      <c r="C167" s="94" t="s">
        <v>101</v>
      </c>
      <c r="D167" s="94">
        <v>0.55000000000000004</v>
      </c>
      <c r="E167" s="87">
        <v>5</v>
      </c>
      <c r="F167" s="70">
        <v>88</v>
      </c>
      <c r="G167" s="76">
        <v>0.47399999999999998</v>
      </c>
      <c r="H167" s="87">
        <v>5</v>
      </c>
      <c r="I167" s="70">
        <v>191</v>
      </c>
      <c r="J167" s="76">
        <v>0.46700000000000003</v>
      </c>
      <c r="K167" s="87">
        <v>5</v>
      </c>
      <c r="L167" s="70">
        <v>152</v>
      </c>
      <c r="M167" s="76">
        <v>0.44900000000000001</v>
      </c>
      <c r="N167" s="87">
        <v>5</v>
      </c>
      <c r="O167" s="70">
        <v>227</v>
      </c>
      <c r="P167" s="76">
        <v>0.47199999999999998</v>
      </c>
      <c r="Q167" s="87">
        <v>5</v>
      </c>
      <c r="R167" s="70" t="e">
        <f>NA()</f>
        <v>#N/A</v>
      </c>
      <c r="S167" s="76" t="e">
        <f>NA()</f>
        <v>#N/A</v>
      </c>
      <c r="T167" s="87">
        <v>5</v>
      </c>
      <c r="U167" s="70" t="e">
        <f>NA()</f>
        <v>#N/A</v>
      </c>
      <c r="V167" s="76" t="e">
        <f>NA()</f>
        <v>#N/A</v>
      </c>
    </row>
    <row r="168" spans="2:22" hidden="1" x14ac:dyDescent="0.25">
      <c r="B168" s="75" t="s">
        <v>86</v>
      </c>
      <c r="C168" s="94" t="s">
        <v>101</v>
      </c>
      <c r="D168" s="94">
        <v>0.55000000000000004</v>
      </c>
      <c r="E168" s="87">
        <v>10</v>
      </c>
      <c r="F168" s="70">
        <v>374</v>
      </c>
      <c r="G168" s="76">
        <v>0.39900000000000002</v>
      </c>
      <c r="H168" s="87">
        <v>10</v>
      </c>
      <c r="I168" s="70">
        <v>460</v>
      </c>
      <c r="J168" s="76">
        <v>0.39500000000000002</v>
      </c>
      <c r="K168" s="87">
        <v>10</v>
      </c>
      <c r="L168" s="70">
        <v>453</v>
      </c>
      <c r="M168" s="76">
        <v>0.38</v>
      </c>
      <c r="N168" s="87">
        <v>10</v>
      </c>
      <c r="O168" s="70">
        <v>389</v>
      </c>
      <c r="P168" s="76">
        <v>0.40400000000000003</v>
      </c>
      <c r="Q168" s="87">
        <v>10</v>
      </c>
      <c r="R168" s="70" t="e">
        <f>NA()</f>
        <v>#N/A</v>
      </c>
      <c r="S168" s="76" t="e">
        <f>NA()</f>
        <v>#N/A</v>
      </c>
      <c r="T168" s="87">
        <v>10</v>
      </c>
      <c r="U168" s="70" t="e">
        <f>NA()</f>
        <v>#N/A</v>
      </c>
      <c r="V168" s="76" t="e">
        <f>NA()</f>
        <v>#N/A</v>
      </c>
    </row>
    <row r="169" spans="2:22" hidden="1" x14ac:dyDescent="0.25">
      <c r="B169" s="75" t="s">
        <v>86</v>
      </c>
      <c r="C169" s="94" t="s">
        <v>101</v>
      </c>
      <c r="D169" s="94">
        <v>0.55000000000000004</v>
      </c>
      <c r="E169" s="87">
        <v>15</v>
      </c>
      <c r="F169" s="70">
        <v>259</v>
      </c>
      <c r="G169" s="76">
        <v>0.36699999999999999</v>
      </c>
      <c r="H169" s="87">
        <v>15</v>
      </c>
      <c r="I169" s="70">
        <v>402</v>
      </c>
      <c r="J169" s="76">
        <v>0.36499999999999999</v>
      </c>
      <c r="K169" s="87">
        <v>15</v>
      </c>
      <c r="L169" s="70">
        <v>395</v>
      </c>
      <c r="M169" s="76">
        <v>0.35199999999999998</v>
      </c>
      <c r="N169" s="87">
        <v>15</v>
      </c>
      <c r="O169" s="70">
        <v>404</v>
      </c>
      <c r="P169" s="76">
        <v>0.374</v>
      </c>
      <c r="Q169" s="87">
        <v>15</v>
      </c>
      <c r="R169" s="70" t="e">
        <f>NA()</f>
        <v>#N/A</v>
      </c>
      <c r="S169" s="76" t="e">
        <f>NA()</f>
        <v>#N/A</v>
      </c>
      <c r="T169" s="87">
        <v>15</v>
      </c>
      <c r="U169" s="70" t="e">
        <f>NA()</f>
        <v>#N/A</v>
      </c>
      <c r="V169" s="76" t="e">
        <f>NA()</f>
        <v>#N/A</v>
      </c>
    </row>
    <row r="170" spans="2:22" hidden="1" x14ac:dyDescent="0.25">
      <c r="B170" s="75" t="s">
        <v>86</v>
      </c>
      <c r="C170" s="94" t="s">
        <v>101</v>
      </c>
      <c r="D170" s="94">
        <v>0.55000000000000004</v>
      </c>
      <c r="E170" s="87">
        <v>20</v>
      </c>
      <c r="F170" s="70">
        <v>507</v>
      </c>
      <c r="G170" s="76">
        <v>0.35099999999999998</v>
      </c>
      <c r="H170" s="87">
        <v>20</v>
      </c>
      <c r="I170" s="70">
        <v>801</v>
      </c>
      <c r="J170" s="76">
        <v>0.35099999999999998</v>
      </c>
      <c r="K170" s="87">
        <v>20</v>
      </c>
      <c r="L170" s="70">
        <v>643</v>
      </c>
      <c r="M170" s="76">
        <v>0.33700000000000002</v>
      </c>
      <c r="N170" s="87">
        <v>20</v>
      </c>
      <c r="O170" s="70">
        <v>614</v>
      </c>
      <c r="P170" s="76">
        <v>0.36</v>
      </c>
      <c r="Q170" s="87">
        <v>20</v>
      </c>
      <c r="R170" s="70" t="e">
        <f>NA()</f>
        <v>#N/A</v>
      </c>
      <c r="S170" s="76" t="e">
        <f>NA()</f>
        <v>#N/A</v>
      </c>
      <c r="T170" s="87">
        <v>20</v>
      </c>
      <c r="U170" s="70" t="e">
        <f>NA()</f>
        <v>#N/A</v>
      </c>
      <c r="V170" s="76" t="e">
        <f>NA()</f>
        <v>#N/A</v>
      </c>
    </row>
    <row r="171" spans="2:22" hidden="1" x14ac:dyDescent="0.25">
      <c r="B171" s="75" t="s">
        <v>86</v>
      </c>
      <c r="C171" s="94" t="s">
        <v>101</v>
      </c>
      <c r="D171" s="94">
        <v>0.55000000000000004</v>
      </c>
      <c r="E171" s="87">
        <v>30</v>
      </c>
      <c r="F171" s="70">
        <v>1206</v>
      </c>
      <c r="G171" s="76">
        <v>0.33500000000000002</v>
      </c>
      <c r="H171" s="87">
        <v>30</v>
      </c>
      <c r="I171" s="70">
        <v>1056</v>
      </c>
      <c r="J171" s="76">
        <v>0.33200000000000002</v>
      </c>
      <c r="K171" s="87">
        <v>30</v>
      </c>
      <c r="L171" s="70">
        <v>1396</v>
      </c>
      <c r="M171" s="76">
        <v>0.32</v>
      </c>
      <c r="N171" s="87">
        <v>30</v>
      </c>
      <c r="O171" s="70">
        <v>2755</v>
      </c>
      <c r="P171" s="76">
        <v>0.34300000000000003</v>
      </c>
      <c r="Q171" s="87">
        <v>30</v>
      </c>
      <c r="R171" s="70" t="e">
        <f>NA()</f>
        <v>#N/A</v>
      </c>
      <c r="S171" s="76" t="e">
        <f>NA()</f>
        <v>#N/A</v>
      </c>
      <c r="T171" s="87">
        <v>30</v>
      </c>
      <c r="U171" s="70" t="e">
        <f>NA()</f>
        <v>#N/A</v>
      </c>
      <c r="V171" s="76" t="e">
        <f>NA()</f>
        <v>#N/A</v>
      </c>
    </row>
    <row r="172" spans="2:22" hidden="1" x14ac:dyDescent="0.25">
      <c r="B172" s="75" t="s">
        <v>86</v>
      </c>
      <c r="C172" s="94" t="s">
        <v>101</v>
      </c>
      <c r="D172" s="94">
        <v>0.55000000000000004</v>
      </c>
      <c r="E172" s="87">
        <v>40</v>
      </c>
      <c r="F172" s="70">
        <v>1020</v>
      </c>
      <c r="G172" s="76">
        <v>0.32200000000000001</v>
      </c>
      <c r="H172" s="87">
        <v>40</v>
      </c>
      <c r="I172" s="70">
        <v>1667</v>
      </c>
      <c r="J172" s="76">
        <v>0.32</v>
      </c>
      <c r="K172" s="87">
        <v>40</v>
      </c>
      <c r="L172" s="70">
        <v>1334</v>
      </c>
      <c r="M172" s="76">
        <v>0.307</v>
      </c>
      <c r="N172" s="87">
        <v>40</v>
      </c>
      <c r="O172" s="70">
        <v>2057</v>
      </c>
      <c r="P172" s="76">
        <v>0.32900000000000001</v>
      </c>
      <c r="Q172" s="87">
        <v>40</v>
      </c>
      <c r="R172" s="70" t="e">
        <f>NA()</f>
        <v>#N/A</v>
      </c>
      <c r="S172" s="76" t="e">
        <f>NA()</f>
        <v>#N/A</v>
      </c>
      <c r="T172" s="87">
        <v>40</v>
      </c>
      <c r="U172" s="70" t="e">
        <f>NA()</f>
        <v>#N/A</v>
      </c>
      <c r="V172" s="76" t="e">
        <f>NA()</f>
        <v>#N/A</v>
      </c>
    </row>
    <row r="173" spans="2:22" hidden="1" x14ac:dyDescent="0.25">
      <c r="B173" s="75" t="s">
        <v>86</v>
      </c>
      <c r="C173" s="94" t="s">
        <v>101</v>
      </c>
      <c r="D173" s="94">
        <v>0.55000000000000004</v>
      </c>
      <c r="E173" s="87">
        <v>50</v>
      </c>
      <c r="F173" s="70">
        <v>1611</v>
      </c>
      <c r="G173" s="76">
        <v>0.314</v>
      </c>
      <c r="H173" s="87">
        <v>50</v>
      </c>
      <c r="I173" s="70">
        <v>3964</v>
      </c>
      <c r="J173" s="76">
        <v>0.313</v>
      </c>
      <c r="K173" s="87">
        <v>50</v>
      </c>
      <c r="L173" s="70">
        <v>1516</v>
      </c>
      <c r="M173" s="76">
        <v>0.29699999999999999</v>
      </c>
      <c r="N173" s="87">
        <v>50</v>
      </c>
      <c r="O173" s="70">
        <v>2176</v>
      </c>
      <c r="P173" s="76">
        <v>0.32100000000000001</v>
      </c>
      <c r="Q173" s="87">
        <v>50</v>
      </c>
      <c r="R173" s="70" t="e">
        <f>NA()</f>
        <v>#N/A</v>
      </c>
      <c r="S173" s="76" t="e">
        <f>NA()</f>
        <v>#N/A</v>
      </c>
      <c r="T173" s="87">
        <v>50</v>
      </c>
      <c r="U173" s="70" t="e">
        <f>NA()</f>
        <v>#N/A</v>
      </c>
      <c r="V173" s="76" t="e">
        <f>NA()</f>
        <v>#N/A</v>
      </c>
    </row>
    <row r="174" spans="2:22" hidden="1" x14ac:dyDescent="0.25">
      <c r="B174" s="75" t="s">
        <v>86</v>
      </c>
      <c r="C174" s="94" t="s">
        <v>101</v>
      </c>
      <c r="D174" s="94">
        <v>0.55000000000000004</v>
      </c>
      <c r="E174" s="87">
        <v>60</v>
      </c>
      <c r="F174" s="70">
        <v>1983</v>
      </c>
      <c r="G174" s="76">
        <v>0.307</v>
      </c>
      <c r="H174" s="87">
        <v>60</v>
      </c>
      <c r="I174" s="70">
        <v>3004</v>
      </c>
      <c r="J174" s="76">
        <v>0.307</v>
      </c>
      <c r="K174" s="87">
        <v>60</v>
      </c>
      <c r="L174" s="70">
        <v>3176</v>
      </c>
      <c r="M174" s="76">
        <v>0.29199999999999998</v>
      </c>
      <c r="N174" s="87">
        <v>60</v>
      </c>
      <c r="O174" s="70">
        <v>2603</v>
      </c>
      <c r="P174" s="76">
        <v>0.315</v>
      </c>
      <c r="Q174" s="87">
        <v>60</v>
      </c>
      <c r="R174" s="70" t="e">
        <f>NA()</f>
        <v>#N/A</v>
      </c>
      <c r="S174" s="76" t="e">
        <f>NA()</f>
        <v>#N/A</v>
      </c>
      <c r="T174" s="87">
        <v>60</v>
      </c>
      <c r="U174" s="70" t="e">
        <f>NA()</f>
        <v>#N/A</v>
      </c>
      <c r="V174" s="76" t="e">
        <f>NA()</f>
        <v>#N/A</v>
      </c>
    </row>
    <row r="175" spans="2:22" hidden="1" x14ac:dyDescent="0.25">
      <c r="B175" s="75" t="s">
        <v>86</v>
      </c>
      <c r="C175" s="94" t="s">
        <v>101</v>
      </c>
      <c r="D175" s="94">
        <v>0.55000000000000004</v>
      </c>
      <c r="E175" s="87">
        <v>80</v>
      </c>
      <c r="F175" s="70">
        <v>3266</v>
      </c>
      <c r="G175" s="76">
        <v>0.29799999999999999</v>
      </c>
      <c r="H175" s="87">
        <v>80</v>
      </c>
      <c r="I175" s="70">
        <v>4887</v>
      </c>
      <c r="J175" s="76">
        <v>0.29799999999999999</v>
      </c>
      <c r="K175" s="87">
        <v>80</v>
      </c>
      <c r="L175" s="70">
        <v>3112</v>
      </c>
      <c r="M175" s="76">
        <v>0.28399999999999997</v>
      </c>
      <c r="N175" s="87">
        <v>80</v>
      </c>
      <c r="O175" s="70">
        <v>3704</v>
      </c>
      <c r="P175" s="76">
        <v>0.30599999999999999</v>
      </c>
      <c r="Q175" s="87">
        <v>80</v>
      </c>
      <c r="R175" s="70" t="e">
        <f>NA()</f>
        <v>#N/A</v>
      </c>
      <c r="S175" s="76" t="e">
        <f>NA()</f>
        <v>#N/A</v>
      </c>
      <c r="T175" s="87">
        <v>80</v>
      </c>
      <c r="U175" s="70" t="e">
        <f>NA()</f>
        <v>#N/A</v>
      </c>
      <c r="V175" s="76" t="e">
        <f>NA()</f>
        <v>#N/A</v>
      </c>
    </row>
    <row r="176" spans="2:22" hidden="1" x14ac:dyDescent="0.25">
      <c r="B176" s="75" t="s">
        <v>86</v>
      </c>
      <c r="C176" s="94" t="s">
        <v>101</v>
      </c>
      <c r="D176" s="94">
        <v>0.55000000000000004</v>
      </c>
      <c r="E176" s="87">
        <v>100</v>
      </c>
      <c r="F176" s="70">
        <v>4348</v>
      </c>
      <c r="G176" s="76">
        <v>0.29199999999999998</v>
      </c>
      <c r="H176" s="87">
        <v>100</v>
      </c>
      <c r="I176" s="70">
        <v>7228</v>
      </c>
      <c r="J176" s="76">
        <v>0.28999999999999998</v>
      </c>
      <c r="K176" s="87">
        <v>100</v>
      </c>
      <c r="L176" s="70">
        <v>6001</v>
      </c>
      <c r="M176" s="76">
        <v>0.27900000000000003</v>
      </c>
      <c r="N176" s="87">
        <v>100</v>
      </c>
      <c r="O176" s="70">
        <v>3489</v>
      </c>
      <c r="P176" s="76">
        <v>0.29699999999999999</v>
      </c>
      <c r="Q176" s="87">
        <v>100</v>
      </c>
      <c r="R176" s="70" t="e">
        <f>NA()</f>
        <v>#N/A</v>
      </c>
      <c r="S176" s="76" t="e">
        <f>NA()</f>
        <v>#N/A</v>
      </c>
      <c r="T176" s="87">
        <v>100</v>
      </c>
      <c r="U176" s="70" t="e">
        <f>NA()</f>
        <v>#N/A</v>
      </c>
      <c r="V176" s="76" t="e">
        <f>NA()</f>
        <v>#N/A</v>
      </c>
    </row>
    <row r="177" spans="2:22" hidden="1" x14ac:dyDescent="0.25">
      <c r="B177" s="75" t="s">
        <v>86</v>
      </c>
      <c r="C177" s="94" t="s">
        <v>101</v>
      </c>
      <c r="D177" s="94">
        <v>0.55000000000000004</v>
      </c>
      <c r="E177" s="87">
        <v>120</v>
      </c>
      <c r="F177" s="70">
        <v>5485</v>
      </c>
      <c r="G177" s="76">
        <v>0.28799999999999998</v>
      </c>
      <c r="H177" s="87">
        <v>120</v>
      </c>
      <c r="I177" s="70">
        <v>8470</v>
      </c>
      <c r="J177" s="76">
        <v>0.28399999999999997</v>
      </c>
      <c r="K177" s="87">
        <v>120</v>
      </c>
      <c r="L177" s="70">
        <v>6915</v>
      </c>
      <c r="M177" s="76">
        <v>0.27400000000000002</v>
      </c>
      <c r="N177" s="87">
        <v>120</v>
      </c>
      <c r="O177" s="70">
        <v>5044</v>
      </c>
      <c r="P177" s="76">
        <v>0.29099999999999998</v>
      </c>
      <c r="Q177" s="87">
        <v>120</v>
      </c>
      <c r="R177" s="70" t="e">
        <f>NA()</f>
        <v>#N/A</v>
      </c>
      <c r="S177" s="76" t="e">
        <f>NA()</f>
        <v>#N/A</v>
      </c>
      <c r="T177" s="87">
        <v>120</v>
      </c>
      <c r="U177" s="70" t="e">
        <f>NA()</f>
        <v>#N/A</v>
      </c>
      <c r="V177" s="76" t="e">
        <f>NA()</f>
        <v>#N/A</v>
      </c>
    </row>
    <row r="178" spans="2:22" hidden="1" x14ac:dyDescent="0.25">
      <c r="B178" s="75" t="s">
        <v>86</v>
      </c>
      <c r="C178" s="94" t="s">
        <v>101</v>
      </c>
      <c r="D178" s="94">
        <v>0.55000000000000004</v>
      </c>
      <c r="E178" s="87">
        <v>140</v>
      </c>
      <c r="F178" s="70">
        <v>7103</v>
      </c>
      <c r="G178" s="76">
        <v>0.28399999999999997</v>
      </c>
      <c r="H178" s="87">
        <v>140</v>
      </c>
      <c r="I178" s="70">
        <v>8988</v>
      </c>
      <c r="J178" s="76">
        <v>0.27800000000000002</v>
      </c>
      <c r="K178" s="87">
        <v>140</v>
      </c>
      <c r="L178" s="70">
        <v>9188</v>
      </c>
      <c r="M178" s="76">
        <v>0.26800000000000002</v>
      </c>
      <c r="N178" s="87">
        <v>140</v>
      </c>
      <c r="O178" s="70">
        <v>7352</v>
      </c>
      <c r="P178" s="76">
        <v>0.28799999999999998</v>
      </c>
      <c r="Q178" s="87">
        <v>140</v>
      </c>
      <c r="R178" s="70" t="e">
        <f>NA()</f>
        <v>#N/A</v>
      </c>
      <c r="S178" s="76" t="e">
        <f>NA()</f>
        <v>#N/A</v>
      </c>
      <c r="T178" s="87">
        <v>140</v>
      </c>
      <c r="U178" s="70" t="e">
        <f>NA()</f>
        <v>#N/A</v>
      </c>
      <c r="V178" s="76" t="e">
        <f>NA()</f>
        <v>#N/A</v>
      </c>
    </row>
    <row r="179" spans="2:22" hidden="1" x14ac:dyDescent="0.25">
      <c r="B179" s="75" t="s">
        <v>86</v>
      </c>
      <c r="C179" s="94" t="s">
        <v>101</v>
      </c>
      <c r="D179" s="94">
        <v>0.55000000000000004</v>
      </c>
      <c r="E179" s="87">
        <v>160</v>
      </c>
      <c r="F179" s="70">
        <v>8050</v>
      </c>
      <c r="G179" s="76">
        <v>0.28100000000000003</v>
      </c>
      <c r="H179" s="87">
        <v>160</v>
      </c>
      <c r="I179" s="70">
        <v>10567</v>
      </c>
      <c r="J179" s="76">
        <v>0.27400000000000002</v>
      </c>
      <c r="K179" s="87">
        <v>160</v>
      </c>
      <c r="L179" s="70">
        <v>8737</v>
      </c>
      <c r="M179" s="76">
        <v>0.26200000000000001</v>
      </c>
      <c r="N179" s="87">
        <v>160</v>
      </c>
      <c r="O179" s="70">
        <v>5762</v>
      </c>
      <c r="P179" s="76">
        <v>0.28299999999999997</v>
      </c>
      <c r="Q179" s="87">
        <v>160</v>
      </c>
      <c r="R179" s="70" t="e">
        <f>NA()</f>
        <v>#N/A</v>
      </c>
      <c r="S179" s="76" t="e">
        <f>NA()</f>
        <v>#N/A</v>
      </c>
      <c r="T179" s="87">
        <v>160</v>
      </c>
      <c r="U179" s="70" t="e">
        <f>NA()</f>
        <v>#N/A</v>
      </c>
      <c r="V179" s="76" t="e">
        <f>NA()</f>
        <v>#N/A</v>
      </c>
    </row>
    <row r="180" spans="2:22" hidden="1" x14ac:dyDescent="0.25">
      <c r="B180" s="75" t="s">
        <v>86</v>
      </c>
      <c r="C180" s="94" t="s">
        <v>101</v>
      </c>
      <c r="D180" s="94">
        <v>0.55000000000000004</v>
      </c>
      <c r="E180" s="87">
        <v>180</v>
      </c>
      <c r="F180" s="70">
        <v>7814</v>
      </c>
      <c r="G180" s="76">
        <v>0.27800000000000002</v>
      </c>
      <c r="H180" s="87">
        <v>180</v>
      </c>
      <c r="I180" s="70">
        <v>10488</v>
      </c>
      <c r="J180" s="76">
        <v>0.27</v>
      </c>
      <c r="K180" s="87">
        <v>180</v>
      </c>
      <c r="L180" s="70">
        <v>7902</v>
      </c>
      <c r="M180" s="76">
        <v>0.25900000000000001</v>
      </c>
      <c r="N180" s="87">
        <v>180</v>
      </c>
      <c r="O180" s="70">
        <v>5266</v>
      </c>
      <c r="P180" s="76">
        <v>0.27900000000000003</v>
      </c>
      <c r="Q180" s="87">
        <v>180</v>
      </c>
      <c r="R180" s="70" t="e">
        <f>NA()</f>
        <v>#N/A</v>
      </c>
      <c r="S180" s="76" t="e">
        <f>NA()</f>
        <v>#N/A</v>
      </c>
      <c r="T180" s="87">
        <v>180</v>
      </c>
      <c r="U180" s="70" t="e">
        <f>NA()</f>
        <v>#N/A</v>
      </c>
      <c r="V180" s="76" t="e">
        <f>NA()</f>
        <v>#N/A</v>
      </c>
    </row>
    <row r="181" spans="2:22" hidden="1" x14ac:dyDescent="0.25">
      <c r="B181" s="77" t="s">
        <v>86</v>
      </c>
      <c r="C181" s="95" t="s">
        <v>101</v>
      </c>
      <c r="D181" s="95">
        <v>0.55000000000000004</v>
      </c>
      <c r="E181" s="88">
        <v>200</v>
      </c>
      <c r="F181" s="79">
        <v>7801</v>
      </c>
      <c r="G181" s="80">
        <v>0.27700000000000002</v>
      </c>
      <c r="H181" s="88">
        <v>200</v>
      </c>
      <c r="I181" s="79">
        <v>10119</v>
      </c>
      <c r="J181" s="80">
        <v>0.26900000000000002</v>
      </c>
      <c r="K181" s="88">
        <v>200</v>
      </c>
      <c r="L181" s="79">
        <v>6398</v>
      </c>
      <c r="M181" s="80">
        <v>0.25600000000000001</v>
      </c>
      <c r="N181" s="88">
        <v>200</v>
      </c>
      <c r="O181" s="79">
        <v>5664</v>
      </c>
      <c r="P181" s="80">
        <v>0.27700000000000002</v>
      </c>
      <c r="Q181" s="88">
        <v>200</v>
      </c>
      <c r="R181" s="79" t="e">
        <f>NA()</f>
        <v>#N/A</v>
      </c>
      <c r="S181" s="80" t="e">
        <f>NA()</f>
        <v>#N/A</v>
      </c>
      <c r="T181" s="88">
        <v>200</v>
      </c>
      <c r="U181" s="79" t="e">
        <f>NA()</f>
        <v>#N/A</v>
      </c>
      <c r="V181" s="80" t="e">
        <f>NA()</f>
        <v>#N/A</v>
      </c>
    </row>
    <row r="182" spans="2:22" hidden="1" x14ac:dyDescent="0.25">
      <c r="B182" s="71" t="s">
        <v>86</v>
      </c>
      <c r="C182" s="93" t="s">
        <v>103</v>
      </c>
      <c r="D182" s="93">
        <v>1</v>
      </c>
      <c r="E182" s="86">
        <v>0</v>
      </c>
      <c r="F182" s="73">
        <v>0</v>
      </c>
      <c r="G182" s="74">
        <v>1.04</v>
      </c>
      <c r="H182" s="86">
        <v>0</v>
      </c>
      <c r="I182" s="73">
        <v>0</v>
      </c>
      <c r="J182" s="74">
        <v>1.04</v>
      </c>
      <c r="K182" s="86">
        <v>0</v>
      </c>
      <c r="L182" s="73">
        <v>0</v>
      </c>
      <c r="M182" s="74">
        <v>1.0489999999999999</v>
      </c>
      <c r="N182" s="86">
        <v>0</v>
      </c>
      <c r="O182" s="73">
        <v>0</v>
      </c>
      <c r="P182" s="74">
        <v>1.0569999999999999</v>
      </c>
      <c r="Q182" s="86">
        <v>0</v>
      </c>
      <c r="R182" s="73" t="e">
        <f>NA()</f>
        <v>#N/A</v>
      </c>
      <c r="S182" s="74" t="e">
        <f>NA()</f>
        <v>#N/A</v>
      </c>
      <c r="T182" s="86">
        <v>0</v>
      </c>
      <c r="U182" s="73" t="e">
        <f>NA()</f>
        <v>#N/A</v>
      </c>
      <c r="V182" s="74" t="e">
        <f>NA()</f>
        <v>#N/A</v>
      </c>
    </row>
    <row r="183" spans="2:22" hidden="1" x14ac:dyDescent="0.25">
      <c r="B183" s="75" t="s">
        <v>86</v>
      </c>
      <c r="C183" s="94" t="s">
        <v>103</v>
      </c>
      <c r="D183" s="94">
        <v>1</v>
      </c>
      <c r="E183" s="87">
        <v>1</v>
      </c>
      <c r="F183" s="70">
        <v>0</v>
      </c>
      <c r="G183" s="76">
        <v>1.038</v>
      </c>
      <c r="H183" s="87">
        <v>1</v>
      </c>
      <c r="I183" s="70">
        <v>0</v>
      </c>
      <c r="J183" s="76">
        <v>1.038</v>
      </c>
      <c r="K183" s="87">
        <v>1</v>
      </c>
      <c r="L183" s="70">
        <v>0</v>
      </c>
      <c r="M183" s="76">
        <v>1.036</v>
      </c>
      <c r="N183" s="87">
        <v>1</v>
      </c>
      <c r="O183" s="70">
        <v>0</v>
      </c>
      <c r="P183" s="76">
        <v>1.0529999999999999</v>
      </c>
      <c r="Q183" s="87">
        <v>1</v>
      </c>
      <c r="R183" s="70" t="e">
        <f>NA()</f>
        <v>#N/A</v>
      </c>
      <c r="S183" s="76" t="e">
        <f>NA()</f>
        <v>#N/A</v>
      </c>
      <c r="T183" s="87">
        <v>1</v>
      </c>
      <c r="U183" s="70" t="e">
        <f>NA()</f>
        <v>#N/A</v>
      </c>
      <c r="V183" s="76" t="e">
        <f>NA()</f>
        <v>#N/A</v>
      </c>
    </row>
    <row r="184" spans="2:22" hidden="1" x14ac:dyDescent="0.25">
      <c r="B184" s="75" t="s">
        <v>86</v>
      </c>
      <c r="C184" s="94" t="s">
        <v>103</v>
      </c>
      <c r="D184" s="94">
        <v>1</v>
      </c>
      <c r="E184" s="87">
        <v>20</v>
      </c>
      <c r="F184" s="70">
        <v>468</v>
      </c>
      <c r="G184" s="76">
        <v>0.70299999999999996</v>
      </c>
      <c r="H184" s="87">
        <v>20</v>
      </c>
      <c r="I184" s="70">
        <v>442</v>
      </c>
      <c r="J184" s="76">
        <v>0.68200000000000005</v>
      </c>
      <c r="K184" s="87">
        <v>20</v>
      </c>
      <c r="L184" s="70">
        <v>313</v>
      </c>
      <c r="M184" s="76">
        <v>0.68700000000000006</v>
      </c>
      <c r="N184" s="87">
        <v>20</v>
      </c>
      <c r="O184" s="70">
        <v>444</v>
      </c>
      <c r="P184" s="76">
        <v>0.69</v>
      </c>
      <c r="Q184" s="87">
        <v>20</v>
      </c>
      <c r="R184" s="70" t="e">
        <f>NA()</f>
        <v>#N/A</v>
      </c>
      <c r="S184" s="76" t="e">
        <f>NA()</f>
        <v>#N/A</v>
      </c>
      <c r="T184" s="87">
        <v>20</v>
      </c>
      <c r="U184" s="70" t="e">
        <f>NA()</f>
        <v>#N/A</v>
      </c>
      <c r="V184" s="76" t="e">
        <f>NA()</f>
        <v>#N/A</v>
      </c>
    </row>
    <row r="185" spans="2:22" hidden="1" x14ac:dyDescent="0.25">
      <c r="B185" s="75" t="s">
        <v>86</v>
      </c>
      <c r="C185" s="94" t="s">
        <v>103</v>
      </c>
      <c r="D185" s="94">
        <v>1</v>
      </c>
      <c r="E185" s="87">
        <v>30</v>
      </c>
      <c r="F185" s="70">
        <v>669</v>
      </c>
      <c r="G185" s="76">
        <v>0.65800000000000003</v>
      </c>
      <c r="H185" s="87">
        <v>30</v>
      </c>
      <c r="I185" s="70">
        <v>945</v>
      </c>
      <c r="J185" s="76">
        <v>0.65300000000000002</v>
      </c>
      <c r="K185" s="87">
        <v>30</v>
      </c>
      <c r="L185" s="70">
        <v>334</v>
      </c>
      <c r="M185" s="76">
        <v>0.65800000000000003</v>
      </c>
      <c r="N185" s="87">
        <v>30</v>
      </c>
      <c r="O185" s="70">
        <v>626</v>
      </c>
      <c r="P185" s="76">
        <v>0.64900000000000002</v>
      </c>
      <c r="Q185" s="87">
        <v>30</v>
      </c>
      <c r="R185" s="70" t="e">
        <f>NA()</f>
        <v>#N/A</v>
      </c>
      <c r="S185" s="76" t="e">
        <f>NA()</f>
        <v>#N/A</v>
      </c>
      <c r="T185" s="87">
        <v>30</v>
      </c>
      <c r="U185" s="70" t="e">
        <f>NA()</f>
        <v>#N/A</v>
      </c>
      <c r="V185" s="76" t="e">
        <f>NA()</f>
        <v>#N/A</v>
      </c>
    </row>
    <row r="186" spans="2:22" hidden="1" x14ac:dyDescent="0.25">
      <c r="B186" s="75" t="s">
        <v>86</v>
      </c>
      <c r="C186" s="94" t="s">
        <v>103</v>
      </c>
      <c r="D186" s="94">
        <v>1</v>
      </c>
      <c r="E186" s="87">
        <v>40</v>
      </c>
      <c r="F186" s="70">
        <v>1546</v>
      </c>
      <c r="G186" s="76">
        <v>0.63800000000000001</v>
      </c>
      <c r="H186" s="87">
        <v>40</v>
      </c>
      <c r="I186" s="70">
        <v>1041</v>
      </c>
      <c r="J186" s="76">
        <v>0.629</v>
      </c>
      <c r="K186" s="87">
        <v>40</v>
      </c>
      <c r="L186" s="70">
        <v>727</v>
      </c>
      <c r="M186" s="76">
        <v>0.63700000000000001</v>
      </c>
      <c r="N186" s="87">
        <v>40</v>
      </c>
      <c r="O186" s="70">
        <v>803</v>
      </c>
      <c r="P186" s="76">
        <v>0.622</v>
      </c>
      <c r="Q186" s="87">
        <v>40</v>
      </c>
      <c r="R186" s="70" t="e">
        <f>NA()</f>
        <v>#N/A</v>
      </c>
      <c r="S186" s="76" t="e">
        <f>NA()</f>
        <v>#N/A</v>
      </c>
      <c r="T186" s="87">
        <v>40</v>
      </c>
      <c r="U186" s="70" t="e">
        <f>NA()</f>
        <v>#N/A</v>
      </c>
      <c r="V186" s="76" t="e">
        <f>NA()</f>
        <v>#N/A</v>
      </c>
    </row>
    <row r="187" spans="2:22" hidden="1" x14ac:dyDescent="0.25">
      <c r="B187" s="75" t="s">
        <v>86</v>
      </c>
      <c r="C187" s="94" t="s">
        <v>103</v>
      </c>
      <c r="D187" s="94">
        <v>1</v>
      </c>
      <c r="E187" s="87">
        <v>50</v>
      </c>
      <c r="F187" s="70">
        <v>1430</v>
      </c>
      <c r="G187" s="76">
        <v>0.62</v>
      </c>
      <c r="H187" s="87">
        <v>50</v>
      </c>
      <c r="I187" s="70">
        <v>1368</v>
      </c>
      <c r="J187" s="76">
        <v>0.61199999999999999</v>
      </c>
      <c r="K187" s="87">
        <v>50</v>
      </c>
      <c r="L187" s="70">
        <v>751</v>
      </c>
      <c r="M187" s="76">
        <v>0.61899999999999999</v>
      </c>
      <c r="N187" s="87">
        <v>50</v>
      </c>
      <c r="O187" s="70">
        <v>1548</v>
      </c>
      <c r="P187" s="76">
        <v>0.60799999999999998</v>
      </c>
      <c r="Q187" s="87">
        <v>50</v>
      </c>
      <c r="R187" s="70" t="e">
        <f>NA()</f>
        <v>#N/A</v>
      </c>
      <c r="S187" s="76" t="e">
        <f>NA()</f>
        <v>#N/A</v>
      </c>
      <c r="T187" s="87">
        <v>50</v>
      </c>
      <c r="U187" s="70" t="e">
        <f>NA()</f>
        <v>#N/A</v>
      </c>
      <c r="V187" s="76" t="e">
        <f>NA()</f>
        <v>#N/A</v>
      </c>
    </row>
    <row r="188" spans="2:22" hidden="1" x14ac:dyDescent="0.25">
      <c r="B188" s="75" t="s">
        <v>86</v>
      </c>
      <c r="C188" s="94" t="s">
        <v>103</v>
      </c>
      <c r="D188" s="94">
        <v>1</v>
      </c>
      <c r="E188" s="87">
        <v>60</v>
      </c>
      <c r="F188" s="70">
        <v>2117</v>
      </c>
      <c r="G188" s="76">
        <v>0.60699999999999998</v>
      </c>
      <c r="H188" s="87">
        <v>60</v>
      </c>
      <c r="I188" s="70">
        <v>2749</v>
      </c>
      <c r="J188" s="76">
        <v>0.60199999999999998</v>
      </c>
      <c r="K188" s="87">
        <v>60</v>
      </c>
      <c r="L188" s="70">
        <v>966</v>
      </c>
      <c r="M188" s="76">
        <v>0.60599999999999998</v>
      </c>
      <c r="N188" s="87">
        <v>60</v>
      </c>
      <c r="O188" s="70">
        <v>1346</v>
      </c>
      <c r="P188" s="76">
        <v>0.59</v>
      </c>
      <c r="Q188" s="87">
        <v>60</v>
      </c>
      <c r="R188" s="70" t="e">
        <f>NA()</f>
        <v>#N/A</v>
      </c>
      <c r="S188" s="76" t="e">
        <f>NA()</f>
        <v>#N/A</v>
      </c>
      <c r="T188" s="87">
        <v>60</v>
      </c>
      <c r="U188" s="70" t="e">
        <f>NA()</f>
        <v>#N/A</v>
      </c>
      <c r="V188" s="76" t="e">
        <f>NA()</f>
        <v>#N/A</v>
      </c>
    </row>
    <row r="189" spans="2:22" hidden="1" x14ac:dyDescent="0.25">
      <c r="B189" s="75" t="s">
        <v>86</v>
      </c>
      <c r="C189" s="94" t="s">
        <v>103</v>
      </c>
      <c r="D189" s="94">
        <v>1</v>
      </c>
      <c r="E189" s="87">
        <v>80</v>
      </c>
      <c r="F189" s="70">
        <v>3749</v>
      </c>
      <c r="G189" s="76">
        <v>0.58699999999999997</v>
      </c>
      <c r="H189" s="87">
        <v>80</v>
      </c>
      <c r="I189" s="70">
        <v>2671</v>
      </c>
      <c r="J189" s="76">
        <v>0.57999999999999996</v>
      </c>
      <c r="K189" s="87">
        <v>80</v>
      </c>
      <c r="L189" s="70">
        <v>1665</v>
      </c>
      <c r="M189" s="76">
        <v>0.58499999999999996</v>
      </c>
      <c r="N189" s="87">
        <v>80</v>
      </c>
      <c r="O189" s="70">
        <v>2066</v>
      </c>
      <c r="P189" s="76">
        <v>0.56999999999999995</v>
      </c>
      <c r="Q189" s="87">
        <v>80</v>
      </c>
      <c r="R189" s="70" t="e">
        <f>NA()</f>
        <v>#N/A</v>
      </c>
      <c r="S189" s="76" t="e">
        <f>NA()</f>
        <v>#N/A</v>
      </c>
      <c r="T189" s="87">
        <v>80</v>
      </c>
      <c r="U189" s="70" t="e">
        <f>NA()</f>
        <v>#N/A</v>
      </c>
      <c r="V189" s="76" t="e">
        <f>NA()</f>
        <v>#N/A</v>
      </c>
    </row>
    <row r="190" spans="2:22" hidden="1" x14ac:dyDescent="0.25">
      <c r="B190" s="75" t="s">
        <v>86</v>
      </c>
      <c r="C190" s="94" t="s">
        <v>103</v>
      </c>
      <c r="D190" s="94">
        <v>1</v>
      </c>
      <c r="E190" s="87">
        <v>100</v>
      </c>
      <c r="F190" s="70">
        <v>5414</v>
      </c>
      <c r="G190" s="76">
        <v>0.57299999999999995</v>
      </c>
      <c r="H190" s="87">
        <v>100</v>
      </c>
      <c r="I190" s="70">
        <v>3104</v>
      </c>
      <c r="J190" s="76">
        <v>0.56499999999999995</v>
      </c>
      <c r="K190" s="87">
        <v>100</v>
      </c>
      <c r="L190" s="70">
        <v>2404</v>
      </c>
      <c r="M190" s="76">
        <v>0.57199999999999995</v>
      </c>
      <c r="N190" s="87">
        <v>100</v>
      </c>
      <c r="O190" s="70">
        <v>2552</v>
      </c>
      <c r="P190" s="76">
        <v>0.55400000000000005</v>
      </c>
      <c r="Q190" s="87">
        <v>100</v>
      </c>
      <c r="R190" s="70" t="e">
        <f>NA()</f>
        <v>#N/A</v>
      </c>
      <c r="S190" s="76" t="e">
        <f>NA()</f>
        <v>#N/A</v>
      </c>
      <c r="T190" s="87">
        <v>100</v>
      </c>
      <c r="U190" s="70" t="e">
        <f>NA()</f>
        <v>#N/A</v>
      </c>
      <c r="V190" s="76" t="e">
        <f>NA()</f>
        <v>#N/A</v>
      </c>
    </row>
    <row r="191" spans="2:22" hidden="1" x14ac:dyDescent="0.25">
      <c r="B191" s="75" t="s">
        <v>86</v>
      </c>
      <c r="C191" s="94" t="s">
        <v>103</v>
      </c>
      <c r="D191" s="94">
        <v>1</v>
      </c>
      <c r="E191" s="87">
        <v>120</v>
      </c>
      <c r="F191" s="70">
        <v>4437</v>
      </c>
      <c r="G191" s="76">
        <v>0.56100000000000005</v>
      </c>
      <c r="H191" s="87">
        <v>120</v>
      </c>
      <c r="I191" s="70">
        <v>4098</v>
      </c>
      <c r="J191" s="76">
        <v>0.55300000000000005</v>
      </c>
      <c r="K191" s="87">
        <v>120</v>
      </c>
      <c r="L191" s="70">
        <v>2165</v>
      </c>
      <c r="M191" s="76">
        <v>0.55800000000000005</v>
      </c>
      <c r="N191" s="87">
        <v>120</v>
      </c>
      <c r="O191" s="70">
        <v>3436</v>
      </c>
      <c r="P191" s="76">
        <v>0.54400000000000004</v>
      </c>
      <c r="Q191" s="87">
        <v>120</v>
      </c>
      <c r="R191" s="70" t="e">
        <f>NA()</f>
        <v>#N/A</v>
      </c>
      <c r="S191" s="76" t="e">
        <f>NA()</f>
        <v>#N/A</v>
      </c>
      <c r="T191" s="87">
        <v>120</v>
      </c>
      <c r="U191" s="70" t="e">
        <f>NA()</f>
        <v>#N/A</v>
      </c>
      <c r="V191" s="76" t="e">
        <f>NA()</f>
        <v>#N/A</v>
      </c>
    </row>
    <row r="192" spans="2:22" hidden="1" x14ac:dyDescent="0.25">
      <c r="B192" s="75" t="s">
        <v>86</v>
      </c>
      <c r="C192" s="94" t="s">
        <v>103</v>
      </c>
      <c r="D192" s="94">
        <v>1</v>
      </c>
      <c r="E192" s="87">
        <v>140</v>
      </c>
      <c r="F192" s="70">
        <v>7482</v>
      </c>
      <c r="G192" s="76">
        <v>0.55400000000000005</v>
      </c>
      <c r="H192" s="87">
        <v>140</v>
      </c>
      <c r="I192" s="70">
        <v>6406</v>
      </c>
      <c r="J192" s="76">
        <v>0.54700000000000004</v>
      </c>
      <c r="K192" s="87">
        <v>140</v>
      </c>
      <c r="L192" s="70">
        <v>1748</v>
      </c>
      <c r="M192" s="76">
        <v>0.54700000000000004</v>
      </c>
      <c r="N192" s="87">
        <v>140</v>
      </c>
      <c r="O192" s="70">
        <v>3219</v>
      </c>
      <c r="P192" s="76">
        <v>0.53500000000000003</v>
      </c>
      <c r="Q192" s="87">
        <v>140</v>
      </c>
      <c r="R192" s="70" t="e">
        <f>NA()</f>
        <v>#N/A</v>
      </c>
      <c r="S192" s="76" t="e">
        <f>NA()</f>
        <v>#N/A</v>
      </c>
      <c r="T192" s="87">
        <v>140</v>
      </c>
      <c r="U192" s="70" t="e">
        <f>NA()</f>
        <v>#N/A</v>
      </c>
      <c r="V192" s="76" t="e">
        <f>NA()</f>
        <v>#N/A</v>
      </c>
    </row>
    <row r="193" spans="2:22" hidden="1" x14ac:dyDescent="0.25">
      <c r="B193" s="75" t="s">
        <v>86</v>
      </c>
      <c r="C193" s="94" t="s">
        <v>103</v>
      </c>
      <c r="D193" s="94">
        <v>1</v>
      </c>
      <c r="E193" s="87">
        <v>160</v>
      </c>
      <c r="F193" s="70">
        <v>8967</v>
      </c>
      <c r="G193" s="76">
        <v>0.54800000000000004</v>
      </c>
      <c r="H193" s="87">
        <v>160</v>
      </c>
      <c r="I193" s="70">
        <v>8806</v>
      </c>
      <c r="J193" s="76">
        <v>0.54</v>
      </c>
      <c r="K193" s="87">
        <v>160</v>
      </c>
      <c r="L193" s="70">
        <v>1737</v>
      </c>
      <c r="M193" s="76">
        <v>0.54100000000000004</v>
      </c>
      <c r="N193" s="87">
        <v>160</v>
      </c>
      <c r="O193" s="70">
        <v>5313</v>
      </c>
      <c r="P193" s="76">
        <v>0.53100000000000003</v>
      </c>
      <c r="Q193" s="87">
        <v>160</v>
      </c>
      <c r="R193" s="70" t="e">
        <f>NA()</f>
        <v>#N/A</v>
      </c>
      <c r="S193" s="76" t="e">
        <f>NA()</f>
        <v>#N/A</v>
      </c>
      <c r="T193" s="87">
        <v>160</v>
      </c>
      <c r="U193" s="70" t="e">
        <f>NA()</f>
        <v>#N/A</v>
      </c>
      <c r="V193" s="76" t="e">
        <f>NA()</f>
        <v>#N/A</v>
      </c>
    </row>
    <row r="194" spans="2:22" hidden="1" x14ac:dyDescent="0.25">
      <c r="B194" s="75" t="s">
        <v>86</v>
      </c>
      <c r="C194" s="94" t="s">
        <v>103</v>
      </c>
      <c r="D194" s="94">
        <v>1</v>
      </c>
      <c r="E194" s="87">
        <v>180</v>
      </c>
      <c r="F194" s="70">
        <v>8236</v>
      </c>
      <c r="G194" s="76">
        <v>0.54200000000000004</v>
      </c>
      <c r="H194" s="87">
        <v>180</v>
      </c>
      <c r="I194" s="70">
        <v>9258</v>
      </c>
      <c r="J194" s="76">
        <v>0.53600000000000003</v>
      </c>
      <c r="K194" s="87">
        <v>180</v>
      </c>
      <c r="L194" s="70">
        <v>2474</v>
      </c>
      <c r="M194" s="76">
        <v>0.53900000000000003</v>
      </c>
      <c r="N194" s="87">
        <v>180</v>
      </c>
      <c r="O194" s="70">
        <v>4398</v>
      </c>
      <c r="P194" s="76">
        <v>0.52</v>
      </c>
      <c r="Q194" s="87">
        <v>180</v>
      </c>
      <c r="R194" s="70" t="e">
        <f>NA()</f>
        <v>#N/A</v>
      </c>
      <c r="S194" s="76" t="e">
        <f>NA()</f>
        <v>#N/A</v>
      </c>
      <c r="T194" s="87">
        <v>180</v>
      </c>
      <c r="U194" s="70" t="e">
        <f>NA()</f>
        <v>#N/A</v>
      </c>
      <c r="V194" s="76" t="e">
        <f>NA()</f>
        <v>#N/A</v>
      </c>
    </row>
    <row r="195" spans="2:22" hidden="1" x14ac:dyDescent="0.25">
      <c r="B195" s="77" t="s">
        <v>86</v>
      </c>
      <c r="C195" s="95" t="s">
        <v>103</v>
      </c>
      <c r="D195" s="95">
        <v>1</v>
      </c>
      <c r="E195" s="88">
        <v>200</v>
      </c>
      <c r="F195" s="79">
        <v>8651</v>
      </c>
      <c r="G195" s="80">
        <v>0.53600000000000003</v>
      </c>
      <c r="H195" s="88">
        <v>200</v>
      </c>
      <c r="I195" s="79">
        <v>9529</v>
      </c>
      <c r="J195" s="80">
        <v>0.53200000000000003</v>
      </c>
      <c r="K195" s="88">
        <v>200</v>
      </c>
      <c r="L195" s="79">
        <v>3087</v>
      </c>
      <c r="M195" s="80">
        <v>0.53300000000000003</v>
      </c>
      <c r="N195" s="88">
        <v>200</v>
      </c>
      <c r="O195" s="79">
        <v>5394</v>
      </c>
      <c r="P195" s="80">
        <v>0.51400000000000001</v>
      </c>
      <c r="Q195" s="88">
        <v>200</v>
      </c>
      <c r="R195" s="79" t="e">
        <f>NA()</f>
        <v>#N/A</v>
      </c>
      <c r="S195" s="80" t="e">
        <f>NA()</f>
        <v>#N/A</v>
      </c>
      <c r="T195" s="88">
        <v>200</v>
      </c>
      <c r="U195" s="79" t="e">
        <f>NA()</f>
        <v>#N/A</v>
      </c>
      <c r="V195" s="80" t="e">
        <f>NA()</f>
        <v>#N/A</v>
      </c>
    </row>
    <row r="196" spans="2:22" x14ac:dyDescent="0.25">
      <c r="B196" s="71" t="s">
        <v>99</v>
      </c>
      <c r="C196" s="71" t="s">
        <v>99</v>
      </c>
      <c r="D196" s="129">
        <v>1</v>
      </c>
      <c r="E196" s="130">
        <v>0</v>
      </c>
      <c r="F196" s="130">
        <v>0</v>
      </c>
      <c r="G196" s="131">
        <v>1.04</v>
      </c>
    </row>
    <row r="197" spans="2:22" x14ac:dyDescent="0.25">
      <c r="B197" s="75" t="s">
        <v>99</v>
      </c>
      <c r="C197" s="75" t="s">
        <v>99</v>
      </c>
      <c r="D197" s="24">
        <v>1</v>
      </c>
      <c r="E197" s="25">
        <v>1</v>
      </c>
      <c r="F197" s="25">
        <v>0</v>
      </c>
      <c r="G197" s="132">
        <v>1.038</v>
      </c>
    </row>
    <row r="198" spans="2:22" x14ac:dyDescent="0.25">
      <c r="B198" s="75" t="s">
        <v>99</v>
      </c>
      <c r="C198" s="75" t="s">
        <v>99</v>
      </c>
      <c r="D198" s="24">
        <v>1</v>
      </c>
      <c r="E198" s="25">
        <v>20</v>
      </c>
      <c r="F198" s="25">
        <v>468</v>
      </c>
      <c r="G198" s="132">
        <v>0.70299999999999996</v>
      </c>
    </row>
    <row r="199" spans="2:22" x14ac:dyDescent="0.25">
      <c r="B199" s="75" t="s">
        <v>99</v>
      </c>
      <c r="C199" s="75" t="s">
        <v>99</v>
      </c>
      <c r="D199" s="24">
        <v>1</v>
      </c>
      <c r="E199" s="25">
        <v>30</v>
      </c>
      <c r="F199" s="25">
        <v>669</v>
      </c>
      <c r="G199" s="132">
        <v>0.65800000000000003</v>
      </c>
    </row>
    <row r="200" spans="2:22" x14ac:dyDescent="0.25">
      <c r="B200" s="75" t="s">
        <v>99</v>
      </c>
      <c r="C200" s="75" t="s">
        <v>99</v>
      </c>
      <c r="D200" s="24">
        <v>1</v>
      </c>
      <c r="E200" s="25">
        <v>40</v>
      </c>
      <c r="F200" s="25">
        <v>1546</v>
      </c>
      <c r="G200" s="132">
        <v>0.63800000000000001</v>
      </c>
    </row>
    <row r="201" spans="2:22" x14ac:dyDescent="0.25">
      <c r="B201" s="75" t="s">
        <v>99</v>
      </c>
      <c r="C201" s="75" t="s">
        <v>99</v>
      </c>
      <c r="D201" s="24">
        <v>1</v>
      </c>
      <c r="E201" s="25">
        <v>50</v>
      </c>
      <c r="F201" s="25">
        <v>1430</v>
      </c>
      <c r="G201" s="132">
        <v>0.62</v>
      </c>
    </row>
    <row r="202" spans="2:22" x14ac:dyDescent="0.25">
      <c r="B202" s="75" t="s">
        <v>99</v>
      </c>
      <c r="C202" s="75" t="s">
        <v>99</v>
      </c>
      <c r="D202" s="24">
        <v>1</v>
      </c>
      <c r="E202" s="25">
        <v>60</v>
      </c>
      <c r="F202" s="25">
        <v>2117</v>
      </c>
      <c r="G202" s="132">
        <v>0.60699999999999998</v>
      </c>
    </row>
    <row r="203" spans="2:22" x14ac:dyDescent="0.25">
      <c r="B203" s="75" t="s">
        <v>99</v>
      </c>
      <c r="C203" s="75" t="s">
        <v>99</v>
      </c>
      <c r="D203" s="24">
        <v>1</v>
      </c>
      <c r="E203" s="25">
        <v>80</v>
      </c>
      <c r="F203" s="25">
        <v>3749</v>
      </c>
      <c r="G203" s="132">
        <v>0.58699999999999997</v>
      </c>
    </row>
    <row r="204" spans="2:22" x14ac:dyDescent="0.25">
      <c r="B204" s="75" t="s">
        <v>99</v>
      </c>
      <c r="C204" s="75" t="s">
        <v>99</v>
      </c>
      <c r="D204" s="24">
        <v>1</v>
      </c>
      <c r="E204" s="25">
        <v>100</v>
      </c>
      <c r="F204" s="25">
        <v>5414</v>
      </c>
      <c r="G204" s="132">
        <v>0.57299999999999995</v>
      </c>
    </row>
    <row r="205" spans="2:22" x14ac:dyDescent="0.25">
      <c r="B205" s="75" t="s">
        <v>99</v>
      </c>
      <c r="C205" s="75" t="s">
        <v>99</v>
      </c>
      <c r="D205" s="24">
        <v>1</v>
      </c>
      <c r="E205" s="25">
        <v>120</v>
      </c>
      <c r="F205" s="25">
        <v>4437</v>
      </c>
      <c r="G205" s="132">
        <v>0.56100000000000005</v>
      </c>
    </row>
    <row r="206" spans="2:22" x14ac:dyDescent="0.25">
      <c r="B206" s="75" t="s">
        <v>99</v>
      </c>
      <c r="C206" s="75" t="s">
        <v>99</v>
      </c>
      <c r="D206" s="24">
        <v>1</v>
      </c>
      <c r="E206" s="25">
        <v>140</v>
      </c>
      <c r="F206" s="25">
        <v>7482</v>
      </c>
      <c r="G206" s="132">
        <v>0.55400000000000005</v>
      </c>
    </row>
    <row r="207" spans="2:22" x14ac:dyDescent="0.25">
      <c r="B207" s="75" t="s">
        <v>99</v>
      </c>
      <c r="C207" s="75" t="s">
        <v>99</v>
      </c>
      <c r="D207" s="24">
        <v>1</v>
      </c>
      <c r="E207" s="25">
        <v>160</v>
      </c>
      <c r="F207" s="25">
        <v>8967</v>
      </c>
      <c r="G207" s="132">
        <v>0.54800000000000004</v>
      </c>
    </row>
    <row r="208" spans="2:22" x14ac:dyDescent="0.25">
      <c r="B208" s="75" t="s">
        <v>99</v>
      </c>
      <c r="C208" s="75" t="s">
        <v>99</v>
      </c>
      <c r="D208" s="24">
        <v>1</v>
      </c>
      <c r="E208" s="25">
        <v>180</v>
      </c>
      <c r="F208" s="25">
        <v>8236</v>
      </c>
      <c r="G208" s="132">
        <v>0.54200000000000004</v>
      </c>
    </row>
    <row r="209" spans="2:7" x14ac:dyDescent="0.25">
      <c r="B209" s="77" t="s">
        <v>99</v>
      </c>
      <c r="C209" s="77" t="s">
        <v>99</v>
      </c>
      <c r="D209" s="28">
        <v>1</v>
      </c>
      <c r="E209" s="29">
        <v>200</v>
      </c>
      <c r="F209" s="29">
        <v>8651</v>
      </c>
      <c r="G209" s="133">
        <v>0.53600000000000003</v>
      </c>
    </row>
  </sheetData>
  <mergeCells count="6">
    <mergeCell ref="T2:V2"/>
    <mergeCell ref="E2:G2"/>
    <mergeCell ref="H2:J2"/>
    <mergeCell ref="K2:M2"/>
    <mergeCell ref="N2:P2"/>
    <mergeCell ref="Q2:S2"/>
  </mergeCells>
  <phoneticPr fontId="3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2A1A28-0717-432D-B829-BE07C2F5C0F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A59E2F-02F8-47FF-B08D-B5A5EA6C9CBF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3.xml><?xml version="1.0" encoding="utf-8"?>
<ds:datastoreItem xmlns:ds="http://schemas.openxmlformats.org/officeDocument/2006/customXml" ds:itemID="{DF71C031-D592-4865-8941-0EB583882E02}"/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16</vt:i4>
      </vt:variant>
    </vt:vector>
  </HeadingPairs>
  <TitlesOfParts>
    <vt:vector size="19" baseType="lpstr">
      <vt:lpstr>content</vt:lpstr>
      <vt:lpstr>gasket curve</vt:lpstr>
      <vt:lpstr>database</vt:lpstr>
      <vt:lpstr>GAR_1</vt:lpstr>
      <vt:lpstr>GAR_2</vt:lpstr>
      <vt:lpstr>GAR_3</vt:lpstr>
      <vt:lpstr>GAR_4</vt:lpstr>
      <vt:lpstr>GAR_5</vt:lpstr>
      <vt:lpstr>GAR_6</vt:lpstr>
      <vt:lpstr>garlock</vt:lpstr>
      <vt:lpstr>KLI_1</vt:lpstr>
      <vt:lpstr>KLI_2</vt:lpstr>
      <vt:lpstr>KLI_3</vt:lpstr>
      <vt:lpstr>klinger</vt:lpstr>
      <vt:lpstr>manu</vt:lpstr>
      <vt:lpstr>SGL</vt:lpstr>
      <vt:lpstr>SGL_1</vt:lpstr>
      <vt:lpstr>SGL_2</vt:lpstr>
      <vt:lpstr>user</vt:lpstr>
    </vt:vector>
  </TitlesOfParts>
  <Manager/>
  <Company>Trillium Flow Technologies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2024-06-03T11:34:46Z</dcterms:created>
  <dcterms:modified xsi:type="dcterms:W3CDTF">2024-12-05T07:23:29Z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