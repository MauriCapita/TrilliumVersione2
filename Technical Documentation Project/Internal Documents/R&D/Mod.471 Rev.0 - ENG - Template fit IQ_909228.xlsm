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Documentale\# Nuovo Documentale\Area di lavoro HSEQ\"/>
    </mc:Choice>
  </mc:AlternateContent>
  <xr:revisionPtr revIDLastSave="0" documentId="13_ncr:1_{0FDC18A8-8789-4AAA-81A0-4D0CD6FC199A}" xr6:coauthVersionLast="47" xr6:coauthVersionMax="47" xr10:uidLastSave="{00000000-0000-0000-0000-000000000000}"/>
  <bookViews>
    <workbookView xWindow="-19320" yWindow="-120" windowWidth="19440" windowHeight="15000" tabRatio="653" xr2:uid="{00000000-000D-0000-FFFF-FFFF00000000}"/>
  </bookViews>
  <sheets>
    <sheet name="test modello" sheetId="4" r:id="rId1"/>
    <sheet name="example " sheetId="55" r:id="rId2"/>
    <sheet name="master for scaling" sheetId="72" r:id="rId3"/>
  </sheets>
  <definedNames>
    <definedName name="_Col1" localSheetId="1">#REF!</definedName>
    <definedName name="_Col1" localSheetId="2">#REF!</definedName>
    <definedName name="_Col1">#REF!</definedName>
    <definedName name="_Col2" localSheetId="1">#REF!</definedName>
    <definedName name="_Col2" localSheetId="2">#REF!</definedName>
    <definedName name="_Col2">#REF!</definedName>
    <definedName name="_Col3" localSheetId="1">#REF!</definedName>
    <definedName name="_Col3" localSheetId="2">#REF!</definedName>
    <definedName name="_Col3">#REF!</definedName>
    <definedName name="_Col4" localSheetId="1">#REF!</definedName>
    <definedName name="_Col4" localSheetId="2">#REF!</definedName>
    <definedName name="_Col4">#REF!</definedName>
    <definedName name="_xlnm.Print_Area" localSheetId="0">'test modello'!$W$3:$AG$66</definedName>
    <definedName name="CARATTERISTICHE" localSheetId="1">#REF!</definedName>
    <definedName name="CARATTERISTICHE" localSheetId="2">#REF!</definedName>
    <definedName name="CARATTERISTICHE" localSheetId="0">#REF!</definedName>
    <definedName name="CARATTERISTICHE">#REF!</definedName>
    <definedName name="CURVA_RIFERIMENTO" localSheetId="1">#REF!</definedName>
    <definedName name="CURVA_RIFERIMENTO" localSheetId="2">#REF!</definedName>
    <definedName name="CURVA_RIFERIMENTO">#REF!</definedName>
    <definedName name="DATA">#REF!</definedName>
    <definedName name="DEN">#REF!</definedName>
    <definedName name="indx" localSheetId="1">#REF!</definedName>
    <definedName name="indx" localSheetId="2">#REF!</definedName>
    <definedName name="indx">#REF!</definedName>
    <definedName name="Items" localSheetId="1">#REF!</definedName>
    <definedName name="Items" localSheetId="2">#REF!</definedName>
    <definedName name="Items">#REF!</definedName>
    <definedName name="LAG" localSheetId="1">#REF!</definedName>
    <definedName name="LAG" localSheetId="2">#REF!</definedName>
    <definedName name="LAG">#REF!</definedName>
    <definedName name="ListIndex" localSheetId="1">#REF!</definedName>
    <definedName name="ListIndex" localSheetId="2">#REF!</definedName>
    <definedName name="ListIndex">#REF!</definedName>
    <definedName name="MAT" localSheetId="1">#REF!</definedName>
    <definedName name="MAT" localSheetId="2">#REF!</definedName>
    <definedName name="MAT">#REF!</definedName>
    <definedName name="RPM" localSheetId="1">#REF!</definedName>
    <definedName name="RPM" localSheetId="2">#REF!</definedName>
    <definedName name="RPM">#REF!</definedName>
    <definedName name="solver_adj" localSheetId="0" hidden="1">'test modello'!#REF!</definedName>
    <definedName name="solver_cvg" localSheetId="0" hidden="1">"""""""0,0001"""""""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"""""""0,075"""""""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'test modello'!#REF!</definedName>
    <definedName name="solver_pre" localSheetId="0" hidden="1">"""""""0,000001"""""""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1</definedName>
    <definedName name="solver_typ" localSheetId="0" hidden="1">1</definedName>
    <definedName name="solver_val" localSheetId="0" hidden="1">0</definedName>
    <definedName name="solver_ver" localSheetId="0" hidden="1">3</definedName>
    <definedName name="Speed" localSheetId="0">#REF!</definedName>
    <definedName name="Speed">#REF!</definedName>
    <definedName name="TRASPORTA" localSheetId="1">#REF!</definedName>
    <definedName name="TRASPORTA" localSheetId="2">#REF!</definedName>
    <definedName name="TRASPORTA">#REF!</definedName>
    <definedName name="Values" localSheetId="1">#REF!</definedName>
    <definedName name="Values" localSheetId="2">#REF!</definedName>
    <definedName name="Valu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" i="4" l="1"/>
  <c r="E54" i="4"/>
  <c r="E55" i="4"/>
  <c r="E56" i="4"/>
  <c r="E57" i="4"/>
  <c r="E58" i="4"/>
  <c r="E52" i="4"/>
  <c r="E40" i="4"/>
  <c r="E41" i="4"/>
  <c r="E42" i="4"/>
  <c r="E43" i="4"/>
  <c r="E44" i="4"/>
  <c r="E45" i="4"/>
  <c r="E39" i="4"/>
  <c r="E27" i="4"/>
  <c r="E28" i="4"/>
  <c r="E29" i="4"/>
  <c r="E30" i="4"/>
  <c r="E31" i="4"/>
  <c r="E32" i="4"/>
  <c r="E26" i="4"/>
  <c r="F23" i="4"/>
  <c r="I53" i="4"/>
  <c r="AC53" i="4" s="1"/>
  <c r="AB14" i="4"/>
  <c r="Z51" i="4"/>
  <c r="Z38" i="4"/>
  <c r="G52" i="4"/>
  <c r="Z25" i="4"/>
  <c r="C18" i="4"/>
  <c r="G10" i="55"/>
  <c r="F10" i="55"/>
  <c r="Z87" i="72"/>
  <c r="Z86" i="72"/>
  <c r="Z85" i="72"/>
  <c r="Z84" i="72"/>
  <c r="Z83" i="72"/>
  <c r="Z82" i="72"/>
  <c r="Z81" i="72"/>
  <c r="Z80" i="72"/>
  <c r="T72" i="72"/>
  <c r="V72" i="72" s="1"/>
  <c r="R72" i="72"/>
  <c r="V71" i="72"/>
  <c r="T71" i="72"/>
  <c r="R71" i="72"/>
  <c r="T70" i="72"/>
  <c r="V70" i="72" s="1"/>
  <c r="R70" i="72"/>
  <c r="R69" i="72"/>
  <c r="V68" i="72"/>
  <c r="T68" i="72"/>
  <c r="R68" i="72"/>
  <c r="R67" i="72"/>
  <c r="T67" i="72" s="1"/>
  <c r="V67" i="72" s="1"/>
  <c r="V66" i="72"/>
  <c r="T66" i="72"/>
  <c r="R66" i="72"/>
  <c r="AE64" i="72"/>
  <c r="U64" i="72"/>
  <c r="S64" i="72"/>
  <c r="AE63" i="72"/>
  <c r="U63" i="72"/>
  <c r="S63" i="72"/>
  <c r="K63" i="72"/>
  <c r="J63" i="72"/>
  <c r="AE62" i="72"/>
  <c r="AF47" i="72" s="1"/>
  <c r="AE65" i="72" s="1"/>
  <c r="U62" i="72"/>
  <c r="S62" i="72"/>
  <c r="U61" i="72"/>
  <c r="S61" i="72"/>
  <c r="T69" i="72" s="1"/>
  <c r="V69" i="72" s="1"/>
  <c r="F61" i="72"/>
  <c r="B71" i="72" s="1"/>
  <c r="U60" i="72"/>
  <c r="S60" i="72"/>
  <c r="AE59" i="72"/>
  <c r="U59" i="72"/>
  <c r="U65" i="72" s="1"/>
  <c r="S59" i="72"/>
  <c r="AE58" i="72"/>
  <c r="U58" i="72"/>
  <c r="S58" i="72"/>
  <c r="A58" i="72"/>
  <c r="AE57" i="72"/>
  <c r="A57" i="72"/>
  <c r="AE56" i="72"/>
  <c r="A56" i="72"/>
  <c r="Y55" i="72"/>
  <c r="A55" i="72"/>
  <c r="Y54" i="72"/>
  <c r="A54" i="72"/>
  <c r="Y53" i="72"/>
  <c r="A53" i="72"/>
  <c r="AF52" i="72"/>
  <c r="Y52" i="72"/>
  <c r="A52" i="72"/>
  <c r="AF51" i="72"/>
  <c r="Y51" i="72"/>
  <c r="N51" i="72"/>
  <c r="A51" i="72"/>
  <c r="AF50" i="72"/>
  <c r="Y50" i="72"/>
  <c r="AF49" i="72"/>
  <c r="Y49" i="72"/>
  <c r="AF48" i="72"/>
  <c r="Y48" i="72"/>
  <c r="Y47" i="72"/>
  <c r="AE60" i="72" s="1"/>
  <c r="A45" i="72"/>
  <c r="A44" i="72"/>
  <c r="A43" i="72"/>
  <c r="AE42" i="72"/>
  <c r="A42" i="72"/>
  <c r="AE41" i="72"/>
  <c r="A41" i="72"/>
  <c r="AE40" i="72"/>
  <c r="A40" i="72"/>
  <c r="A39" i="72"/>
  <c r="AE38" i="72"/>
  <c r="N38" i="72"/>
  <c r="A38" i="72"/>
  <c r="AE37" i="72"/>
  <c r="AE36" i="72"/>
  <c r="AE35" i="72"/>
  <c r="AE34" i="72"/>
  <c r="Y33" i="72"/>
  <c r="Y32" i="72"/>
  <c r="A32" i="72"/>
  <c r="Y31" i="72"/>
  <c r="A31" i="72"/>
  <c r="AF30" i="72"/>
  <c r="Y30" i="72"/>
  <c r="A30" i="72"/>
  <c r="AF29" i="72"/>
  <c r="Y29" i="72"/>
  <c r="A29" i="72"/>
  <c r="AF28" i="72"/>
  <c r="Y28" i="72"/>
  <c r="A28" i="72"/>
  <c r="AF27" i="72"/>
  <c r="Y27" i="72"/>
  <c r="A27" i="72"/>
  <c r="AF26" i="72"/>
  <c r="Y26" i="72"/>
  <c r="A26" i="72"/>
  <c r="AF25" i="72"/>
  <c r="AE43" i="72" s="1"/>
  <c r="Y25" i="72"/>
  <c r="AE39" i="72" s="1"/>
  <c r="N25" i="72"/>
  <c r="A25" i="72"/>
  <c r="T23" i="72"/>
  <c r="T22" i="72"/>
  <c r="P22" i="72"/>
  <c r="AN21" i="72"/>
  <c r="AE21" i="72"/>
  <c r="AM20" i="72"/>
  <c r="AK20" i="72"/>
  <c r="AE20" i="72"/>
  <c r="AN19" i="72"/>
  <c r="AJ19" i="72"/>
  <c r="AE19" i="72"/>
  <c r="A19" i="72"/>
  <c r="AK18" i="72"/>
  <c r="AE18" i="72"/>
  <c r="A18" i="72"/>
  <c r="AN17" i="72"/>
  <c r="AE17" i="72"/>
  <c r="A17" i="72"/>
  <c r="AN16" i="72"/>
  <c r="AJ16" i="72"/>
  <c r="A16" i="72"/>
  <c r="AK15" i="72"/>
  <c r="A15" i="72"/>
  <c r="AN14" i="72"/>
  <c r="A14" i="72"/>
  <c r="AN13" i="72"/>
  <c r="AJ13" i="72"/>
  <c r="AE13" i="72"/>
  <c r="A13" i="72"/>
  <c r="AK12" i="72"/>
  <c r="AE12" i="72"/>
  <c r="N12" i="72"/>
  <c r="A12" i="72"/>
  <c r="AN11" i="72"/>
  <c r="AJ11" i="72"/>
  <c r="Y11" i="72"/>
  <c r="AM10" i="72"/>
  <c r="AI10" i="72"/>
  <c r="Y10" i="72"/>
  <c r="V10" i="72"/>
  <c r="T10" i="72"/>
  <c r="G10" i="72"/>
  <c r="F10" i="72"/>
  <c r="E10" i="72"/>
  <c r="AM9" i="72"/>
  <c r="AK9" i="72"/>
  <c r="Y9" i="72"/>
  <c r="AN8" i="72"/>
  <c r="AJ8" i="72"/>
  <c r="AF8" i="72"/>
  <c r="Y8" i="72"/>
  <c r="AN7" i="72"/>
  <c r="AF7" i="72"/>
  <c r="Y7" i="72"/>
  <c r="AN6" i="72"/>
  <c r="AJ6" i="72"/>
  <c r="AF6" i="72"/>
  <c r="Y6" i="72"/>
  <c r="H6" i="72"/>
  <c r="AK5" i="72"/>
  <c r="AF5" i="72"/>
  <c r="Y5" i="72"/>
  <c r="AN4" i="72"/>
  <c r="AJ4" i="72"/>
  <c r="AF4" i="72"/>
  <c r="Y4" i="72"/>
  <c r="AF3" i="72"/>
  <c r="Y3" i="72"/>
  <c r="AH2" i="72"/>
  <c r="AL1" i="72"/>
  <c r="AN20" i="72" s="1"/>
  <c r="AI1" i="72"/>
  <c r="T23" i="55"/>
  <c r="T22" i="55"/>
  <c r="AN10" i="4"/>
  <c r="S10" i="72" s="1"/>
  <c r="V4" i="72" s="1"/>
  <c r="AO10" i="4"/>
  <c r="H8" i="4"/>
  <c r="B61" i="4" s="1"/>
  <c r="K63" i="4"/>
  <c r="D65" i="4"/>
  <c r="C65" i="4"/>
  <c r="B65" i="4"/>
  <c r="J63" i="4"/>
  <c r="I63" i="4"/>
  <c r="F63" i="4"/>
  <c r="C63" i="4"/>
  <c r="B63" i="4"/>
  <c r="G61" i="4"/>
  <c r="F61" i="4"/>
  <c r="E61" i="4"/>
  <c r="L61" i="4" s="1"/>
  <c r="D61" i="4"/>
  <c r="G49" i="4"/>
  <c r="F49" i="4"/>
  <c r="G36" i="4"/>
  <c r="F36" i="4"/>
  <c r="G23" i="4"/>
  <c r="E10" i="4"/>
  <c r="K5" i="4" s="1"/>
  <c r="C61" i="4" s="1"/>
  <c r="AF8" i="4"/>
  <c r="AA77" i="72" s="1"/>
  <c r="AD77" i="72" s="1"/>
  <c r="AC99" i="72" l="1"/>
  <c r="AC121" i="72"/>
  <c r="AP10" i="4"/>
  <c r="AI13" i="72"/>
  <c r="AI11" i="72"/>
  <c r="AI6" i="72"/>
  <c r="AL6" i="72" s="1"/>
  <c r="AI18" i="72"/>
  <c r="AI15" i="72"/>
  <c r="AI12" i="72"/>
  <c r="AI19" i="72"/>
  <c r="AI16" i="72"/>
  <c r="AI8" i="72"/>
  <c r="AL8" i="72" s="1"/>
  <c r="AI4" i="72"/>
  <c r="AI20" i="72"/>
  <c r="AI9" i="72"/>
  <c r="AI21" i="72"/>
  <c r="AI17" i="72"/>
  <c r="AI14" i="72"/>
  <c r="AI7" i="72"/>
  <c r="U4" i="72"/>
  <c r="R27" i="72"/>
  <c r="AN23" i="72"/>
  <c r="AN1" i="72" s="1"/>
  <c r="E36" i="72"/>
  <c r="R29" i="72" s="1"/>
  <c r="E23" i="72"/>
  <c r="R28" i="72" s="1"/>
  <c r="U5" i="72"/>
  <c r="E49" i="72"/>
  <c r="K5" i="72"/>
  <c r="E61" i="72" s="1"/>
  <c r="T75" i="72"/>
  <c r="AL19" i="72"/>
  <c r="AI5" i="72"/>
  <c r="AK6" i="72"/>
  <c r="AJ10" i="72"/>
  <c r="AL10" i="72" s="1"/>
  <c r="AK11" i="72"/>
  <c r="AL11" i="72" s="1"/>
  <c r="AK13" i="72"/>
  <c r="AL13" i="72" s="1"/>
  <c r="AM5" i="72"/>
  <c r="AJ7" i="72"/>
  <c r="AK10" i="72"/>
  <c r="AM12" i="72"/>
  <c r="AJ14" i="72"/>
  <c r="AL14" i="72" s="1"/>
  <c r="AM15" i="72"/>
  <c r="AJ17" i="72"/>
  <c r="AM18" i="72"/>
  <c r="AJ21" i="72"/>
  <c r="AE61" i="72"/>
  <c r="AN5" i="72"/>
  <c r="AM6" i="72"/>
  <c r="AK7" i="72"/>
  <c r="AJ9" i="72"/>
  <c r="AM11" i="72"/>
  <c r="AN12" i="72"/>
  <c r="AM13" i="72"/>
  <c r="AK14" i="72"/>
  <c r="AN15" i="72"/>
  <c r="AK17" i="72"/>
  <c r="AN18" i="72"/>
  <c r="AJ20" i="72"/>
  <c r="AK21" i="72"/>
  <c r="AK4" i="72"/>
  <c r="AL4" i="72" s="1"/>
  <c r="AM7" i="72"/>
  <c r="AK8" i="72"/>
  <c r="AN10" i="72"/>
  <c r="AM14" i="72"/>
  <c r="AK16" i="72"/>
  <c r="AL16" i="72" s="1"/>
  <c r="AM17" i="72"/>
  <c r="AK19" i="72"/>
  <c r="AM21" i="72"/>
  <c r="AM4" i="72"/>
  <c r="AJ5" i="72"/>
  <c r="AL5" i="72" s="1"/>
  <c r="AM8" i="72"/>
  <c r="AN9" i="72"/>
  <c r="AJ12" i="72"/>
  <c r="AL12" i="72" s="1"/>
  <c r="AJ15" i="72"/>
  <c r="AM16" i="72"/>
  <c r="AJ18" i="72"/>
  <c r="AM19" i="72"/>
  <c r="K61" i="4"/>
  <c r="E49" i="4"/>
  <c r="K12" i="4"/>
  <c r="Z10" i="4"/>
  <c r="O8" i="72" s="1"/>
  <c r="E23" i="4"/>
  <c r="E36" i="4"/>
  <c r="G26" i="4"/>
  <c r="BA77" i="4"/>
  <c r="AZ77" i="4"/>
  <c r="AY77" i="4"/>
  <c r="AX77" i="4"/>
  <c r="BA66" i="4"/>
  <c r="AZ66" i="4"/>
  <c r="AY66" i="4"/>
  <c r="AX66" i="4"/>
  <c r="G32" i="4"/>
  <c r="G31" i="4"/>
  <c r="G27" i="4"/>
  <c r="G28" i="4"/>
  <c r="G29" i="4"/>
  <c r="G25" i="4"/>
  <c r="BA55" i="4"/>
  <c r="AZ55" i="4"/>
  <c r="AY55" i="4"/>
  <c r="AX55" i="4"/>
  <c r="AI14" i="4"/>
  <c r="AI15" i="4"/>
  <c r="AI16" i="4"/>
  <c r="AI17" i="4"/>
  <c r="AI18" i="4"/>
  <c r="AI19" i="4"/>
  <c r="AI13" i="4"/>
  <c r="AN30" i="4"/>
  <c r="AN29" i="4"/>
  <c r="AN31" i="4"/>
  <c r="G58" i="4"/>
  <c r="G57" i="4"/>
  <c r="G55" i="4"/>
  <c r="G54" i="4"/>
  <c r="G53" i="4"/>
  <c r="G51" i="4"/>
  <c r="G45" i="4"/>
  <c r="G44" i="4"/>
  <c r="G42" i="4"/>
  <c r="G41" i="4"/>
  <c r="G40" i="4"/>
  <c r="G39" i="4"/>
  <c r="G38" i="4"/>
  <c r="Z12" i="4"/>
  <c r="T65" i="72"/>
  <c r="AI42" i="4" l="1"/>
  <c r="N42" i="72" s="1"/>
  <c r="N16" i="72"/>
  <c r="AI27" i="4"/>
  <c r="N27" i="72" s="1"/>
  <c r="N14" i="72"/>
  <c r="AI54" i="4"/>
  <c r="N54" i="72" s="1"/>
  <c r="N15" i="72"/>
  <c r="AI45" i="4"/>
  <c r="N45" i="72" s="1"/>
  <c r="N19" i="72"/>
  <c r="AI56" i="4"/>
  <c r="N56" i="72" s="1"/>
  <c r="N17" i="72"/>
  <c r="AI44" i="4"/>
  <c r="N44" i="72" s="1"/>
  <c r="N18" i="72"/>
  <c r="L10" i="72"/>
  <c r="Z77" i="72" s="1"/>
  <c r="AB91" i="72" s="1"/>
  <c r="AI39" i="4"/>
  <c r="N39" i="72" s="1"/>
  <c r="N13" i="72"/>
  <c r="AL7" i="72"/>
  <c r="AL18" i="72"/>
  <c r="AL21" i="72"/>
  <c r="AB95" i="72"/>
  <c r="AA84" i="72"/>
  <c r="AD106" i="72"/>
  <c r="AB105" i="72"/>
  <c r="AD102" i="72"/>
  <c r="AA95" i="72"/>
  <c r="AB87" i="72"/>
  <c r="AB85" i="72"/>
  <c r="AD82" i="72"/>
  <c r="AB81" i="72"/>
  <c r="AA131" i="72"/>
  <c r="AA129" i="72"/>
  <c r="AE127" i="72"/>
  <c r="AA125" i="72"/>
  <c r="AE121" i="72"/>
  <c r="AA108" i="72"/>
  <c r="AA105" i="72"/>
  <c r="AE103" i="72"/>
  <c r="AB94" i="72"/>
  <c r="AB90" i="72"/>
  <c r="AA87" i="72"/>
  <c r="AA85" i="72"/>
  <c r="AE83" i="72"/>
  <c r="AA81" i="72"/>
  <c r="AE77" i="72"/>
  <c r="AD127" i="72"/>
  <c r="AB126" i="72"/>
  <c r="AB106" i="72"/>
  <c r="AD103" i="72"/>
  <c r="AB102" i="72"/>
  <c r="AA94" i="72"/>
  <c r="AA90" i="72"/>
  <c r="AD83" i="72"/>
  <c r="AB82" i="72"/>
  <c r="AE128" i="72"/>
  <c r="AA126" i="72"/>
  <c r="AE124" i="72"/>
  <c r="AA106" i="72"/>
  <c r="AE104" i="72"/>
  <c r="AA102" i="72"/>
  <c r="AB93" i="72"/>
  <c r="AB89" i="72"/>
  <c r="AE84" i="72"/>
  <c r="AA82" i="72"/>
  <c r="AE80" i="72"/>
  <c r="AD125" i="72"/>
  <c r="AA88" i="72"/>
  <c r="AD81" i="72"/>
  <c r="AB130" i="72"/>
  <c r="AD128" i="72"/>
  <c r="AB127" i="72"/>
  <c r="AD124" i="72"/>
  <c r="AB109" i="72"/>
  <c r="AB107" i="72"/>
  <c r="AD104" i="72"/>
  <c r="AB103" i="72"/>
  <c r="AA93" i="72"/>
  <c r="AA89" i="72"/>
  <c r="AB86" i="72"/>
  <c r="AD84" i="72"/>
  <c r="AB83" i="72"/>
  <c r="AD80" i="72"/>
  <c r="AB128" i="72"/>
  <c r="AB124" i="72"/>
  <c r="AD105" i="72"/>
  <c r="AA92" i="72"/>
  <c r="AB80" i="72"/>
  <c r="AA130" i="72"/>
  <c r="AA127" i="72"/>
  <c r="AE125" i="72"/>
  <c r="AA109" i="72"/>
  <c r="AA107" i="72"/>
  <c r="AE105" i="72"/>
  <c r="AA103" i="72"/>
  <c r="AE99" i="72"/>
  <c r="AB92" i="72"/>
  <c r="AB88" i="72"/>
  <c r="AA86" i="72"/>
  <c r="AA83" i="72"/>
  <c r="AE81" i="72"/>
  <c r="AB104" i="72"/>
  <c r="AB84" i="72"/>
  <c r="AB77" i="72"/>
  <c r="L5" i="72"/>
  <c r="R30" i="72"/>
  <c r="AL15" i="72"/>
  <c r="AL20" i="72"/>
  <c r="AL9" i="72"/>
  <c r="AL17" i="72"/>
  <c r="Z23" i="4"/>
  <c r="Z36" i="4"/>
  <c r="AI41" i="4"/>
  <c r="N41" i="72" s="1"/>
  <c r="AI40" i="4"/>
  <c r="N40" i="72" s="1"/>
  <c r="AI53" i="4"/>
  <c r="N53" i="72" s="1"/>
  <c r="AI43" i="4"/>
  <c r="N43" i="72" s="1"/>
  <c r="AI58" i="4"/>
  <c r="N58" i="72" s="1"/>
  <c r="AI32" i="4"/>
  <c r="N32" i="72" s="1"/>
  <c r="AI57" i="4"/>
  <c r="N57" i="72" s="1"/>
  <c r="AI30" i="4"/>
  <c r="N30" i="72" s="1"/>
  <c r="AI52" i="4"/>
  <c r="N52" i="72" s="1"/>
  <c r="AI26" i="4"/>
  <c r="N26" i="72" s="1"/>
  <c r="AI29" i="4"/>
  <c r="N29" i="72" s="1"/>
  <c r="AI55" i="4"/>
  <c r="N55" i="72" s="1"/>
  <c r="AI28" i="4"/>
  <c r="N28" i="72" s="1"/>
  <c r="AI31" i="4"/>
  <c r="N31" i="72" s="1"/>
  <c r="X17" i="4"/>
  <c r="X12" i="4"/>
  <c r="C12" i="72" s="1"/>
  <c r="C38" i="72" s="1"/>
  <c r="AA104" i="72" l="1"/>
  <c r="AA91" i="72"/>
  <c r="AE102" i="72"/>
  <c r="AB108" i="72"/>
  <c r="AA124" i="72"/>
  <c r="AB125" i="72"/>
  <c r="AA128" i="72"/>
  <c r="AC83" i="72"/>
  <c r="AD126" i="72"/>
  <c r="AB129" i="72"/>
  <c r="C25" i="72"/>
  <c r="AB131" i="72"/>
  <c r="AA80" i="72"/>
  <c r="AE106" i="72"/>
  <c r="AC85" i="72"/>
  <c r="AE82" i="72"/>
  <c r="AE126" i="72"/>
  <c r="T48" i="72"/>
  <c r="C17" i="72"/>
  <c r="R12" i="72"/>
  <c r="C51" i="72"/>
  <c r="AC82" i="72"/>
  <c r="AC80" i="72"/>
  <c r="AC84" i="72"/>
  <c r="AC81" i="72"/>
  <c r="Z128" i="72"/>
  <c r="Z124" i="72"/>
  <c r="Z104" i="72"/>
  <c r="AC104" i="72" s="1"/>
  <c r="Z131" i="72"/>
  <c r="Z129" i="72"/>
  <c r="Z125" i="72"/>
  <c r="AC125" i="72" s="1"/>
  <c r="Z108" i="72"/>
  <c r="AC108" i="72" s="1"/>
  <c r="Z105" i="72"/>
  <c r="AC105" i="72" s="1"/>
  <c r="Z127" i="72"/>
  <c r="AC127" i="72" s="1"/>
  <c r="Z107" i="72"/>
  <c r="AC107" i="72" s="1"/>
  <c r="Z103" i="72"/>
  <c r="AC103" i="72" s="1"/>
  <c r="Z126" i="72"/>
  <c r="AC126" i="72" s="1"/>
  <c r="Z106" i="72"/>
  <c r="AC106" i="72" s="1"/>
  <c r="Z102" i="72"/>
  <c r="AC102" i="72" s="1"/>
  <c r="Z130" i="72"/>
  <c r="AC130" i="72" s="1"/>
  <c r="Z109" i="72"/>
  <c r="AC109" i="72" s="1"/>
  <c r="AC86" i="72"/>
  <c r="AC124" i="72"/>
  <c r="AC87" i="72"/>
  <c r="AY31" i="4"/>
  <c r="AY44" i="4" s="1"/>
  <c r="AZ31" i="4"/>
  <c r="AZ44" i="4" s="1"/>
  <c r="BA31" i="4"/>
  <c r="BA44" i="4" s="1"/>
  <c r="BB31" i="4"/>
  <c r="BB44" i="4" s="1"/>
  <c r="BC31" i="4"/>
  <c r="BC44" i="4" s="1"/>
  <c r="BD31" i="4"/>
  <c r="BD44" i="4" s="1"/>
  <c r="AX31" i="4"/>
  <c r="AX44" i="4" s="1"/>
  <c r="AY19" i="4"/>
  <c r="AX19" i="4"/>
  <c r="AC131" i="72" l="1"/>
  <c r="AC128" i="72"/>
  <c r="AC129" i="72"/>
  <c r="U48" i="72"/>
  <c r="U50" i="72" s="1"/>
  <c r="R17" i="72"/>
  <c r="C56" i="72"/>
  <c r="C30" i="72"/>
  <c r="C43" i="72"/>
  <c r="G61" i="72"/>
  <c r="T50" i="72"/>
  <c r="L2" i="4"/>
  <c r="K2" i="4"/>
  <c r="I58" i="4"/>
  <c r="AC58" i="4" s="1"/>
  <c r="I57" i="4"/>
  <c r="AC57" i="4" s="1"/>
  <c r="P57" i="72" s="1"/>
  <c r="I56" i="4"/>
  <c r="AC56" i="4" s="1"/>
  <c r="I55" i="4"/>
  <c r="AC55" i="4" s="1"/>
  <c r="P55" i="72" s="1"/>
  <c r="I54" i="4"/>
  <c r="AC54" i="4" s="1"/>
  <c r="P54" i="72" s="1"/>
  <c r="C19" i="4"/>
  <c r="I61" i="4" s="1"/>
  <c r="J61" i="4" s="1"/>
  <c r="G17" i="4"/>
  <c r="E17" i="4"/>
  <c r="H61" i="4" s="1"/>
  <c r="C16" i="4"/>
  <c r="C15" i="4"/>
  <c r="C14" i="4"/>
  <c r="E14" i="4" s="1"/>
  <c r="C13" i="4"/>
  <c r="F26" i="4" s="1"/>
  <c r="P53" i="72"/>
  <c r="P58" i="72"/>
  <c r="F65" i="72" l="1"/>
  <c r="E65" i="72"/>
  <c r="C71" i="72"/>
  <c r="E15" i="4"/>
  <c r="F28" i="4"/>
  <c r="P56" i="72"/>
  <c r="AB17" i="4"/>
  <c r="G17" i="72" s="1"/>
  <c r="G63" i="4"/>
  <c r="X14" i="4"/>
  <c r="C14" i="72" s="1"/>
  <c r="X18" i="4"/>
  <c r="C18" i="72" s="1"/>
  <c r="X19" i="4"/>
  <c r="C19" i="72" s="1"/>
  <c r="X15" i="4"/>
  <c r="C15" i="72" s="1"/>
  <c r="AY78" i="4"/>
  <c r="AX78" i="4"/>
  <c r="AY67" i="4"/>
  <c r="AY56" i="4"/>
  <c r="AX67" i="4"/>
  <c r="AX56" i="4"/>
  <c r="AY32" i="4"/>
  <c r="AX32" i="4"/>
  <c r="X16" i="4"/>
  <c r="C16" i="72" s="1"/>
  <c r="AY45" i="4"/>
  <c r="AX45" i="4"/>
  <c r="E16" i="4"/>
  <c r="E13" i="4"/>
  <c r="X13" i="4"/>
  <c r="C13" i="72" s="1"/>
  <c r="E19" i="4"/>
  <c r="D63" i="4" s="1"/>
  <c r="G19" i="4"/>
  <c r="E18" i="4"/>
  <c r="G15" i="4"/>
  <c r="AB15" i="4" s="1"/>
  <c r="G15" i="72" s="1"/>
  <c r="G18" i="4"/>
  <c r="AB18" i="4" s="1"/>
  <c r="G18" i="72" s="1"/>
  <c r="G16" i="4"/>
  <c r="AB16" i="4" s="1"/>
  <c r="G16" i="72" s="1"/>
  <c r="K61" i="72" l="1"/>
  <c r="C32" i="72"/>
  <c r="C45" i="72"/>
  <c r="R19" i="72"/>
  <c r="C58" i="72"/>
  <c r="C52" i="72"/>
  <c r="R13" i="72"/>
  <c r="C39" i="72"/>
  <c r="C26" i="72"/>
  <c r="R22" i="72"/>
  <c r="R18" i="72"/>
  <c r="C31" i="72"/>
  <c r="C44" i="72"/>
  <c r="C57" i="72"/>
  <c r="C29" i="72"/>
  <c r="R16" i="72"/>
  <c r="C42" i="72"/>
  <c r="C55" i="72"/>
  <c r="C41" i="72"/>
  <c r="C28" i="72"/>
  <c r="R15" i="72"/>
  <c r="C54" i="72"/>
  <c r="C53" i="72"/>
  <c r="C40" i="72"/>
  <c r="C27" i="72"/>
  <c r="R14" i="72"/>
  <c r="AB19" i="4"/>
  <c r="H63" i="4"/>
  <c r="A16" i="4"/>
  <c r="A15" i="4"/>
  <c r="A14" i="4"/>
  <c r="A13" i="4"/>
  <c r="L61" i="72" l="1"/>
  <c r="G71" i="72"/>
  <c r="AC63" i="4"/>
  <c r="G19" i="72"/>
  <c r="H63" i="72" s="1"/>
  <c r="U23" i="72"/>
  <c r="U22" i="72"/>
  <c r="E10" i="55" l="1"/>
  <c r="AT103" i="4"/>
  <c r="AT104" i="4"/>
  <c r="AT105" i="4"/>
  <c r="AT106" i="4"/>
  <c r="AT107" i="4"/>
  <c r="AT108" i="4"/>
  <c r="AT109" i="4"/>
  <c r="AT110" i="4"/>
  <c r="AT111" i="4"/>
  <c r="AT112" i="4"/>
  <c r="AT113" i="4"/>
  <c r="AT114" i="4"/>
  <c r="AT115" i="4"/>
  <c r="AT116" i="4"/>
  <c r="AT117" i="4"/>
  <c r="AT118" i="4"/>
  <c r="AT119" i="4"/>
  <c r="AT120" i="4"/>
  <c r="AT121" i="4"/>
  <c r="AT122" i="4"/>
  <c r="AT123" i="4"/>
  <c r="AT124" i="4"/>
  <c r="AT125" i="4"/>
  <c r="AT126" i="4"/>
  <c r="AT102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88" i="4"/>
  <c r="AT89" i="4"/>
  <c r="AT90" i="4"/>
  <c r="AT91" i="4"/>
  <c r="AT92" i="4"/>
  <c r="AT93" i="4"/>
  <c r="AT94" i="4"/>
  <c r="AT95" i="4"/>
  <c r="AT96" i="4"/>
  <c r="AT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71" i="4"/>
  <c r="Z22" i="4"/>
  <c r="R10" i="55" l="1"/>
  <c r="E49" i="55"/>
  <c r="E36" i="55"/>
  <c r="E23" i="55"/>
  <c r="AL1" i="55"/>
  <c r="AN4" i="55" s="1"/>
  <c r="AI1" i="55"/>
  <c r="AM21" i="55" l="1"/>
  <c r="AK20" i="55"/>
  <c r="AJ18" i="55"/>
  <c r="AK17" i="55"/>
  <c r="AJ15" i="55"/>
  <c r="AN13" i="55"/>
  <c r="AN10" i="55"/>
  <c r="AK7" i="55"/>
  <c r="AJ5" i="55"/>
  <c r="AM11" i="55"/>
  <c r="AN17" i="55"/>
  <c r="AM15" i="55"/>
  <c r="AK11" i="55"/>
  <c r="AJ9" i="55"/>
  <c r="AN19" i="55"/>
  <c r="AM17" i="55"/>
  <c r="AK13" i="55"/>
  <c r="AJ11" i="55"/>
  <c r="AN6" i="55"/>
  <c r="AN21" i="55"/>
  <c r="AM19" i="55"/>
  <c r="AK15" i="55"/>
  <c r="AJ13" i="55"/>
  <c r="AN8" i="55"/>
  <c r="AM6" i="55"/>
  <c r="AJ19" i="55"/>
  <c r="AN14" i="55"/>
  <c r="AM12" i="55"/>
  <c r="AK6" i="55"/>
  <c r="AJ17" i="55"/>
  <c r="AN12" i="55"/>
  <c r="AJ6" i="55"/>
  <c r="AK21" i="55"/>
  <c r="AJ8" i="55"/>
  <c r="AJ21" i="55"/>
  <c r="AN16" i="55"/>
  <c r="AM14" i="55"/>
  <c r="AK12" i="55"/>
  <c r="AJ10" i="55"/>
  <c r="AN5" i="55"/>
  <c r="AK19" i="55"/>
  <c r="AK8" i="55"/>
  <c r="AK10" i="55"/>
  <c r="AN18" i="55"/>
  <c r="AM16" i="55"/>
  <c r="AK14" i="55"/>
  <c r="AJ12" i="55"/>
  <c r="AN7" i="55"/>
  <c r="AM5" i="55"/>
  <c r="AM8" i="55"/>
  <c r="AM10" i="55"/>
  <c r="AN20" i="55"/>
  <c r="AM18" i="55"/>
  <c r="AK16" i="55"/>
  <c r="AJ14" i="55"/>
  <c r="AN9" i="55"/>
  <c r="AM7" i="55"/>
  <c r="AM20" i="55"/>
  <c r="AK18" i="55"/>
  <c r="AJ16" i="55"/>
  <c r="AN11" i="55"/>
  <c r="AM9" i="55"/>
  <c r="AK5" i="55"/>
  <c r="AJ20" i="55"/>
  <c r="AN15" i="55"/>
  <c r="AM13" i="55"/>
  <c r="AK9" i="55"/>
  <c r="AJ7" i="55"/>
  <c r="AH2" i="55"/>
  <c r="AJ4" i="55"/>
  <c r="AK4" i="55"/>
  <c r="AM4" i="55"/>
  <c r="AI4" i="55" l="1"/>
  <c r="AL4" i="55" s="1"/>
  <c r="AI5" i="55"/>
  <c r="AL5" i="55" s="1"/>
  <c r="AI18" i="55"/>
  <c r="AL18" i="55" s="1"/>
  <c r="AI16" i="55"/>
  <c r="AL16" i="55" s="1"/>
  <c r="AI14" i="55"/>
  <c r="AL14" i="55" s="1"/>
  <c r="AI12" i="55"/>
  <c r="AL12" i="55" s="1"/>
  <c r="AI10" i="55"/>
  <c r="AL10" i="55" s="1"/>
  <c r="AI21" i="55"/>
  <c r="AL21" i="55" s="1"/>
  <c r="AI8" i="55"/>
  <c r="AL8" i="55" s="1"/>
  <c r="AI19" i="55"/>
  <c r="AL19" i="55" s="1"/>
  <c r="AI6" i="55"/>
  <c r="AL6" i="55" s="1"/>
  <c r="AI17" i="55"/>
  <c r="AL17" i="55" s="1"/>
  <c r="AI15" i="55"/>
  <c r="AL15" i="55" s="1"/>
  <c r="AI13" i="55"/>
  <c r="AL13" i="55" s="1"/>
  <c r="AI11" i="55"/>
  <c r="AL11" i="55" s="1"/>
  <c r="AI9" i="55"/>
  <c r="AL9" i="55" s="1"/>
  <c r="AI7" i="55"/>
  <c r="AL7" i="55" s="1"/>
  <c r="AI20" i="55"/>
  <c r="AL20" i="55" s="1"/>
  <c r="AN23" i="55" l="1"/>
  <c r="AN1" i="55" s="1"/>
  <c r="AM108" i="4"/>
  <c r="AM107" i="4"/>
  <c r="AM106" i="4"/>
  <c r="AM105" i="4"/>
  <c r="AM104" i="4"/>
  <c r="AM103" i="4"/>
  <c r="AM102" i="4"/>
  <c r="AM101" i="4"/>
  <c r="H6" i="55" l="1"/>
  <c r="T10" i="55" l="1"/>
  <c r="S10" i="55"/>
  <c r="Z80" i="55" l="1"/>
  <c r="F25" i="4" l="1"/>
  <c r="F27" i="4"/>
  <c r="F30" i="4"/>
  <c r="F31" i="4"/>
  <c r="F32" i="4"/>
  <c r="F29" i="4"/>
  <c r="AA77" i="55" l="1"/>
  <c r="AF52" i="55"/>
  <c r="AF51" i="55"/>
  <c r="AF50" i="55"/>
  <c r="AF49" i="55"/>
  <c r="AF48" i="55"/>
  <c r="AF30" i="55"/>
  <c r="AF29" i="55"/>
  <c r="AF28" i="55"/>
  <c r="AF27" i="55"/>
  <c r="AF26" i="55"/>
  <c r="AE64" i="55"/>
  <c r="AE63" i="55"/>
  <c r="AE62" i="55"/>
  <c r="AE42" i="55"/>
  <c r="AE41" i="55"/>
  <c r="AE40" i="55"/>
  <c r="AF25" i="55" s="1"/>
  <c r="AE43" i="55" s="1"/>
  <c r="AE20" i="55"/>
  <c r="AE19" i="55"/>
  <c r="AE18" i="55"/>
  <c r="AF5" i="55"/>
  <c r="AF6" i="55"/>
  <c r="AF7" i="55"/>
  <c r="AF8" i="55"/>
  <c r="AF4" i="55"/>
  <c r="AE59" i="55"/>
  <c r="AE58" i="55"/>
  <c r="AE57" i="55"/>
  <c r="AE56" i="55"/>
  <c r="Y55" i="55"/>
  <c r="Y54" i="55"/>
  <c r="Y47" i="55" s="1"/>
  <c r="AE61" i="55" s="1"/>
  <c r="Y53" i="55"/>
  <c r="Y52" i="55"/>
  <c r="Y51" i="55"/>
  <c r="Y50" i="55"/>
  <c r="Y49" i="55"/>
  <c r="Y48" i="55"/>
  <c r="AE37" i="55"/>
  <c r="AE36" i="55"/>
  <c r="AE35" i="55"/>
  <c r="AE34" i="55"/>
  <c r="Y33" i="55"/>
  <c r="Y32" i="55"/>
  <c r="Y31" i="55"/>
  <c r="Y25" i="55" s="1"/>
  <c r="AE39" i="55" s="1"/>
  <c r="Y30" i="55"/>
  <c r="Y29" i="55"/>
  <c r="Y28" i="55"/>
  <c r="Y27" i="55"/>
  <c r="Y26" i="55"/>
  <c r="AE13" i="55"/>
  <c r="AE12" i="55"/>
  <c r="Y11" i="55"/>
  <c r="Y10" i="55"/>
  <c r="Y9" i="55"/>
  <c r="Y8" i="55"/>
  <c r="Y7" i="55"/>
  <c r="Y6" i="55"/>
  <c r="Y5" i="55"/>
  <c r="Y4" i="55"/>
  <c r="Y3" i="55"/>
  <c r="AE17" i="55" s="1"/>
  <c r="AF3" i="55" l="1"/>
  <c r="AE21" i="55" s="1"/>
  <c r="AC99" i="55"/>
  <c r="AD77" i="55"/>
  <c r="AC121" i="55"/>
  <c r="AF47" i="55"/>
  <c r="AE65" i="55" s="1"/>
  <c r="AE60" i="55"/>
  <c r="AE38" i="55"/>
  <c r="F42" i="4" l="1"/>
  <c r="F43" i="4"/>
  <c r="F45" i="4"/>
  <c r="F41" i="4"/>
  <c r="F44" i="4"/>
  <c r="F39" i="4"/>
  <c r="F40" i="4"/>
  <c r="F38" i="4"/>
  <c r="P22" i="55" l="1"/>
  <c r="R72" i="55" l="1"/>
  <c r="R71" i="55"/>
  <c r="R70" i="55"/>
  <c r="R69" i="55"/>
  <c r="R68" i="55"/>
  <c r="R67" i="55"/>
  <c r="R66" i="55"/>
  <c r="U64" i="55"/>
  <c r="S64" i="55"/>
  <c r="U63" i="55"/>
  <c r="S63" i="55"/>
  <c r="U62" i="55"/>
  <c r="S62" i="55"/>
  <c r="U61" i="55"/>
  <c r="S61" i="55"/>
  <c r="F61" i="55"/>
  <c r="B71" i="55" s="1"/>
  <c r="U60" i="55"/>
  <c r="S60" i="55"/>
  <c r="U59" i="55"/>
  <c r="S59" i="55"/>
  <c r="U58" i="55"/>
  <c r="S58" i="55"/>
  <c r="P58" i="55"/>
  <c r="P57" i="55"/>
  <c r="P56" i="55"/>
  <c r="A56" i="55"/>
  <c r="P55" i="55"/>
  <c r="P54" i="55"/>
  <c r="P53" i="55"/>
  <c r="N51" i="55"/>
  <c r="A51" i="55"/>
  <c r="T48" i="55"/>
  <c r="T50" i="55" s="1"/>
  <c r="A43" i="55"/>
  <c r="N38" i="55"/>
  <c r="A38" i="55"/>
  <c r="A30" i="55"/>
  <c r="R27" i="55"/>
  <c r="N25" i="55"/>
  <c r="A25" i="55"/>
  <c r="G19" i="55"/>
  <c r="H63" i="55" s="1"/>
  <c r="C19" i="55"/>
  <c r="G18" i="55"/>
  <c r="C18" i="55"/>
  <c r="G17" i="55"/>
  <c r="C17" i="55"/>
  <c r="A17" i="55"/>
  <c r="G16" i="55"/>
  <c r="C16" i="55"/>
  <c r="G15" i="55"/>
  <c r="C15" i="55"/>
  <c r="K63" i="55"/>
  <c r="C14" i="55"/>
  <c r="C13" i="55"/>
  <c r="N12" i="55"/>
  <c r="C12" i="55"/>
  <c r="A12" i="55"/>
  <c r="V10" i="55"/>
  <c r="L10" i="55"/>
  <c r="O8" i="55"/>
  <c r="U5" i="55"/>
  <c r="K5" i="55"/>
  <c r="V4" i="55"/>
  <c r="U4" i="55" s="1"/>
  <c r="R22" i="55" l="1"/>
  <c r="R18" i="55"/>
  <c r="C57" i="55"/>
  <c r="C44" i="55"/>
  <c r="C31" i="55"/>
  <c r="C32" i="55"/>
  <c r="C45" i="55"/>
  <c r="C58" i="55"/>
  <c r="T67" i="55"/>
  <c r="V67" i="55" s="1"/>
  <c r="T68" i="55"/>
  <c r="V68" i="55" s="1"/>
  <c r="Z77" i="55"/>
  <c r="U65" i="55"/>
  <c r="T71" i="55"/>
  <c r="V71" i="55" s="1"/>
  <c r="T66" i="55"/>
  <c r="V66" i="55" s="1"/>
  <c r="E61" i="55"/>
  <c r="R19" i="55"/>
  <c r="R16" i="55"/>
  <c r="R15" i="55"/>
  <c r="R12" i="55"/>
  <c r="T69" i="55"/>
  <c r="V69" i="55" s="1"/>
  <c r="T72" i="55"/>
  <c r="V72" i="55" s="1"/>
  <c r="T70" i="55"/>
  <c r="V70" i="55" s="1"/>
  <c r="U48" i="55"/>
  <c r="G61" i="55"/>
  <c r="R17" i="55"/>
  <c r="J63" i="55"/>
  <c r="R14" i="55"/>
  <c r="R13" i="55"/>
  <c r="K61" i="55"/>
  <c r="AA85" i="55" l="1"/>
  <c r="AB81" i="55"/>
  <c r="AA86" i="55"/>
  <c r="AA84" i="55"/>
  <c r="AA82" i="55"/>
  <c r="AA91" i="55"/>
  <c r="AA81" i="55"/>
  <c r="AB87" i="55"/>
  <c r="AA92" i="55"/>
  <c r="AB84" i="55"/>
  <c r="AB86" i="55"/>
  <c r="AA90" i="55"/>
  <c r="AB90" i="55"/>
  <c r="AB82" i="55"/>
  <c r="AA87" i="55"/>
  <c r="AB80" i="55"/>
  <c r="AA80" i="55"/>
  <c r="AB94" i="55"/>
  <c r="AA93" i="55"/>
  <c r="AA89" i="55"/>
  <c r="AB89" i="55"/>
  <c r="AA83" i="55"/>
  <c r="AB93" i="55"/>
  <c r="AA95" i="55"/>
  <c r="AA88" i="55"/>
  <c r="AB83" i="55"/>
  <c r="AA94" i="55"/>
  <c r="AB85" i="55"/>
  <c r="AB95" i="55"/>
  <c r="AB88" i="55"/>
  <c r="AB91" i="55"/>
  <c r="AB92" i="55"/>
  <c r="AE84" i="55"/>
  <c r="AE83" i="55"/>
  <c r="AE81" i="55"/>
  <c r="AE80" i="55"/>
  <c r="AE82" i="55"/>
  <c r="AD81" i="55"/>
  <c r="AD83" i="55"/>
  <c r="AD82" i="55"/>
  <c r="AD84" i="55"/>
  <c r="AD80" i="55"/>
  <c r="AE126" i="55"/>
  <c r="AA126" i="55"/>
  <c r="AD126" i="55"/>
  <c r="AE125" i="55"/>
  <c r="AD125" i="55"/>
  <c r="AE104" i="55"/>
  <c r="AD104" i="55"/>
  <c r="AB131" i="55"/>
  <c r="AA128" i="55"/>
  <c r="AB124" i="55"/>
  <c r="AD102" i="55"/>
  <c r="AB129" i="55"/>
  <c r="AA129" i="55"/>
  <c r="AA127" i="55"/>
  <c r="AA106" i="55"/>
  <c r="AA108" i="55"/>
  <c r="AD127" i="55"/>
  <c r="AB127" i="55"/>
  <c r="AB126" i="55"/>
  <c r="AA125" i="55"/>
  <c r="AE124" i="55"/>
  <c r="AE106" i="55"/>
  <c r="AD106" i="55"/>
  <c r="AB102" i="55"/>
  <c r="AA105" i="55"/>
  <c r="AB108" i="55"/>
  <c r="AD124" i="55"/>
  <c r="AE105" i="55"/>
  <c r="AD105" i="55"/>
  <c r="AE103" i="55"/>
  <c r="AD103" i="55"/>
  <c r="AB130" i="55"/>
  <c r="AB125" i="55"/>
  <c r="AE128" i="55"/>
  <c r="AA131" i="55"/>
  <c r="AE102" i="55"/>
  <c r="AA104" i="55"/>
  <c r="AB105" i="55"/>
  <c r="AA102" i="55"/>
  <c r="AA130" i="55"/>
  <c r="AB103" i="55"/>
  <c r="AB128" i="55"/>
  <c r="AB104" i="55"/>
  <c r="AA107" i="55"/>
  <c r="AB107" i="55"/>
  <c r="AA109" i="55"/>
  <c r="AD128" i="55"/>
  <c r="AE127" i="55"/>
  <c r="AA103" i="55"/>
  <c r="AB106" i="55"/>
  <c r="AB109" i="55"/>
  <c r="AA124" i="55"/>
  <c r="AE121" i="55"/>
  <c r="AB77" i="55"/>
  <c r="AE77" i="55"/>
  <c r="AE99" i="55"/>
  <c r="T75" i="55"/>
  <c r="G71" i="55"/>
  <c r="L61" i="55"/>
  <c r="C71" i="55"/>
  <c r="F65" i="55"/>
  <c r="E65" i="55"/>
  <c r="U23" i="55"/>
  <c r="U22" i="55"/>
  <c r="U50" i="55"/>
  <c r="T65" i="55"/>
  <c r="Z84" i="55" l="1"/>
  <c r="AC84" i="55" s="1"/>
  <c r="Z87" i="55"/>
  <c r="AC87" i="55" s="1"/>
  <c r="Z83" i="55"/>
  <c r="AC83" i="55" s="1"/>
  <c r="Z81" i="55"/>
  <c r="AC81" i="55" s="1"/>
  <c r="Z82" i="55"/>
  <c r="AC82" i="55" s="1"/>
  <c r="Z86" i="55"/>
  <c r="AC86" i="55" s="1"/>
  <c r="Z85" i="55"/>
  <c r="AC85" i="55" s="1"/>
  <c r="AC80" i="55"/>
  <c r="Z106" i="55"/>
  <c r="AC106" i="55" s="1"/>
  <c r="Z102" i="55"/>
  <c r="AC102" i="55" s="1"/>
  <c r="Z129" i="55"/>
  <c r="AC129" i="55" s="1"/>
  <c r="Z127" i="55"/>
  <c r="AC127" i="55" s="1"/>
  <c r="Z125" i="55"/>
  <c r="AC125" i="55" s="1"/>
  <c r="Z130" i="55"/>
  <c r="AC130" i="55" s="1"/>
  <c r="Z109" i="55"/>
  <c r="AC109" i="55" s="1"/>
  <c r="Z108" i="55"/>
  <c r="AC108" i="55" s="1"/>
  <c r="Z104" i="55"/>
  <c r="AC104" i="55" s="1"/>
  <c r="Z126" i="55"/>
  <c r="AC126" i="55" s="1"/>
  <c r="Z105" i="55"/>
  <c r="AC105" i="55" s="1"/>
  <c r="Z128" i="55"/>
  <c r="AC128" i="55" s="1"/>
  <c r="Z131" i="55"/>
  <c r="AC131" i="55" s="1"/>
  <c r="Z124" i="55"/>
  <c r="AC124" i="55" s="1"/>
  <c r="Z103" i="55"/>
  <c r="AC103" i="55" s="1"/>
  <c r="Z107" i="55"/>
  <c r="AC107" i="55" s="1"/>
  <c r="AE10" i="4"/>
  <c r="AQ10" i="4"/>
  <c r="AJ58" i="4"/>
  <c r="O58" i="72" s="1"/>
  <c r="AJ57" i="4"/>
  <c r="O57" i="72" s="1"/>
  <c r="AJ55" i="4"/>
  <c r="O55" i="72" s="1"/>
  <c r="AJ54" i="4"/>
  <c r="O54" i="72" s="1"/>
  <c r="AJ53" i="4"/>
  <c r="O53" i="72" s="1"/>
  <c r="AJ56" i="4"/>
  <c r="O56" i="72" s="1"/>
  <c r="AM30" i="4"/>
  <c r="AM29" i="4"/>
  <c r="AR5" i="4"/>
  <c r="AS5" i="4" s="1"/>
  <c r="AM12" i="4"/>
  <c r="AM13" i="4"/>
  <c r="AM14" i="4"/>
  <c r="AM15" i="4"/>
  <c r="AM16" i="4"/>
  <c r="AM17" i="4"/>
  <c r="AM18" i="4"/>
  <c r="AM19" i="4"/>
  <c r="AS6" i="4"/>
  <c r="AE63" i="4"/>
  <c r="Z63" i="4"/>
  <c r="AD61" i="4"/>
  <c r="Z61" i="4"/>
  <c r="AF61" i="4" s="1"/>
  <c r="Y61" i="4"/>
  <c r="AF5" i="4"/>
  <c r="X61" i="4" s="1"/>
  <c r="AM28" i="4"/>
  <c r="D29" i="4" l="1"/>
  <c r="D30" i="4"/>
  <c r="D28" i="4"/>
  <c r="D25" i="4"/>
  <c r="D27" i="4"/>
  <c r="D32" i="4"/>
  <c r="D31" i="4"/>
  <c r="D26" i="4"/>
  <c r="D39" i="4"/>
  <c r="D44" i="4"/>
  <c r="D40" i="4"/>
  <c r="D41" i="4"/>
  <c r="D38" i="4"/>
  <c r="D42" i="4"/>
  <c r="D43" i="4"/>
  <c r="D45" i="4"/>
  <c r="C29" i="4"/>
  <c r="C25" i="4"/>
  <c r="C32" i="4"/>
  <c r="C28" i="4"/>
  <c r="C26" i="4"/>
  <c r="C27" i="4"/>
  <c r="C30" i="4"/>
  <c r="C31" i="4"/>
  <c r="C38" i="4"/>
  <c r="C44" i="4"/>
  <c r="C39" i="4"/>
  <c r="C43" i="4"/>
  <c r="C45" i="4"/>
  <c r="C41" i="4"/>
  <c r="C40" i="4"/>
  <c r="C42" i="4"/>
  <c r="X29" i="4"/>
  <c r="X42" i="4" s="1"/>
  <c r="X28" i="4"/>
  <c r="X41" i="4" s="1"/>
  <c r="X32" i="4"/>
  <c r="X45" i="4" s="1"/>
  <c r="X31" i="4"/>
  <c r="X44" i="4" s="1"/>
  <c r="X26" i="4"/>
  <c r="X39" i="4" s="1"/>
  <c r="X27" i="4"/>
  <c r="X40" i="4" s="1"/>
  <c r="X30" i="4"/>
  <c r="X43" i="4" s="1"/>
  <c r="X25" i="4"/>
  <c r="X38" i="4" s="1"/>
  <c r="X51" i="4" s="1"/>
  <c r="AG61" i="4"/>
  <c r="AE61" i="4"/>
  <c r="N56" i="55"/>
  <c r="N43" i="55"/>
  <c r="O56" i="55"/>
  <c r="O53" i="55"/>
  <c r="O57" i="55"/>
  <c r="O54" i="55"/>
  <c r="O58" i="55"/>
  <c r="O55" i="55"/>
  <c r="N14" i="55"/>
  <c r="N13" i="55"/>
  <c r="N17" i="55"/>
  <c r="N16" i="55"/>
  <c r="N19" i="55"/>
  <c r="N15" i="55"/>
  <c r="N18" i="55"/>
  <c r="A19" i="55"/>
  <c r="A16" i="55"/>
  <c r="A14" i="55"/>
  <c r="A13" i="55"/>
  <c r="A18" i="55"/>
  <c r="A15" i="55"/>
  <c r="X57" i="4" l="1"/>
  <c r="X58" i="4"/>
  <c r="X54" i="4"/>
  <c r="X55" i="4"/>
  <c r="X56" i="4"/>
  <c r="X53" i="4"/>
  <c r="X52" i="4"/>
  <c r="A32" i="4"/>
  <c r="A44" i="4"/>
  <c r="A28" i="4"/>
  <c r="A26" i="4"/>
  <c r="A29" i="4"/>
  <c r="A27" i="4"/>
  <c r="A31" i="4"/>
  <c r="A42" i="4"/>
  <c r="A39" i="4"/>
  <c r="A40" i="4"/>
  <c r="A41" i="4"/>
  <c r="A45" i="4"/>
  <c r="A26" i="55"/>
  <c r="A39" i="55"/>
  <c r="R30" i="55"/>
  <c r="L5" i="55"/>
  <c r="C52" i="55"/>
  <c r="C51" i="55"/>
  <c r="C55" i="55"/>
  <c r="C56" i="55"/>
  <c r="C53" i="55"/>
  <c r="C54" i="55"/>
  <c r="R29" i="55"/>
  <c r="C41" i="55"/>
  <c r="C43" i="55"/>
  <c r="C39" i="55"/>
  <c r="C42" i="55"/>
  <c r="C40" i="55"/>
  <c r="C38" i="55"/>
  <c r="R28" i="55"/>
  <c r="C30" i="55"/>
  <c r="C26" i="55"/>
  <c r="C28" i="55"/>
  <c r="C25" i="55"/>
  <c r="C29" i="55"/>
  <c r="C27" i="55"/>
  <c r="A55" i="55" l="1"/>
  <c r="A29" i="55"/>
  <c r="A41" i="55"/>
  <c r="A27" i="55"/>
  <c r="A58" i="55"/>
  <c r="A45" i="55"/>
  <c r="A54" i="55"/>
  <c r="A28" i="55"/>
  <c r="A32" i="55"/>
  <c r="A40" i="55"/>
  <c r="A42" i="55"/>
  <c r="A31" i="55"/>
  <c r="A44" i="55"/>
  <c r="A57" i="55"/>
  <c r="A52" i="55"/>
  <c r="A53" i="55"/>
  <c r="N52" i="55" l="1"/>
  <c r="N58" i="55"/>
  <c r="N53" i="55" l="1"/>
  <c r="N57" i="55"/>
  <c r="N54" i="55"/>
  <c r="N55" i="55" l="1"/>
  <c r="AZ14" i="4" l="1" a="1"/>
  <c r="AY13" i="4" a="1"/>
  <c r="AY13" i="4" s="1"/>
  <c r="BB16" i="4" a="1"/>
  <c r="BB16" i="4" s="1"/>
  <c r="BA15" i="4" a="1"/>
  <c r="BA15" i="4" s="1"/>
  <c r="AX12" i="4" a="1"/>
  <c r="AX12" i="4" s="1"/>
  <c r="BA19" i="4" l="1"/>
  <c r="BB19" i="4"/>
  <c r="BC19" i="4"/>
  <c r="BD19" i="4"/>
  <c r="AZ14" i="4"/>
  <c r="AZ19" i="4" s="1"/>
  <c r="BB29" i="4" a="1"/>
  <c r="BB29" i="4" s="1"/>
  <c r="BA28" i="4" a="1"/>
  <c r="BA28" i="4" s="1"/>
  <c r="AY26" i="4" a="1"/>
  <c r="AY26" i="4" s="1"/>
  <c r="AZ27" i="4" a="1"/>
  <c r="AZ27" i="4" s="1"/>
  <c r="AZ32" i="4" s="1"/>
  <c r="AX25" i="4" a="1"/>
  <c r="AX25" i="4" s="1"/>
  <c r="Y13" i="4" l="1"/>
  <c r="Y14" i="4"/>
  <c r="Y15" i="4"/>
  <c r="Y17" i="4"/>
  <c r="Y18" i="4"/>
  <c r="Y16" i="4"/>
  <c r="Y19" i="4"/>
  <c r="Y12" i="4"/>
  <c r="BC32" i="4"/>
  <c r="BB32" i="4"/>
  <c r="BA32" i="4"/>
  <c r="BD32" i="4"/>
  <c r="BI18" i="4" l="1"/>
  <c r="BH18" i="4"/>
  <c r="BI17" i="4"/>
  <c r="BH17" i="4"/>
  <c r="BI16" i="4"/>
  <c r="BH16" i="4"/>
  <c r="BI15" i="4"/>
  <c r="BH15" i="4"/>
  <c r="BI19" i="4"/>
  <c r="BH19" i="4"/>
  <c r="BI14" i="4"/>
  <c r="BH14" i="4"/>
  <c r="BH12" i="4"/>
  <c r="BI12" i="4"/>
  <c r="BI13" i="4"/>
  <c r="BH13" i="4"/>
  <c r="Y25" i="4"/>
  <c r="D12" i="72"/>
  <c r="D12" i="55"/>
  <c r="W15" i="4"/>
  <c r="W16" i="4"/>
  <c r="AN12" i="4"/>
  <c r="W17" i="4"/>
  <c r="X63" i="4"/>
  <c r="W63" i="4"/>
  <c r="Y29" i="4"/>
  <c r="Y42" i="4" s="1"/>
  <c r="AN16" i="4"/>
  <c r="Y31" i="4"/>
  <c r="Y44" i="4" s="1"/>
  <c r="AN18" i="4"/>
  <c r="Y32" i="4"/>
  <c r="Y45" i="4" s="1"/>
  <c r="AN19" i="4"/>
  <c r="Y30" i="4"/>
  <c r="Y43" i="4" s="1"/>
  <c r="AC8" i="4"/>
  <c r="T49" i="72" s="1"/>
  <c r="AA61" i="4"/>
  <c r="AN17" i="4"/>
  <c r="Y28" i="4"/>
  <c r="Y41" i="4" s="1"/>
  <c r="AN15" i="4"/>
  <c r="Y27" i="4"/>
  <c r="Y40" i="4" s="1"/>
  <c r="AN14" i="4"/>
  <c r="Y26" i="4"/>
  <c r="Y39" i="4" s="1"/>
  <c r="AN13" i="4"/>
  <c r="AA14" i="4"/>
  <c r="Z14" i="4" s="1"/>
  <c r="AA15" i="4"/>
  <c r="Z15" i="4" s="1"/>
  <c r="AA16" i="4"/>
  <c r="Z16" i="4" s="1"/>
  <c r="AA17" i="4"/>
  <c r="AA18" i="4"/>
  <c r="Z18" i="4" s="1"/>
  <c r="AA19" i="4"/>
  <c r="Z19" i="4" s="1"/>
  <c r="Y63" i="4" s="1"/>
  <c r="AA13" i="4"/>
  <c r="Z13" i="4" s="1"/>
  <c r="Y53" i="4" l="1"/>
  <c r="Y58" i="4"/>
  <c r="Y38" i="4"/>
  <c r="W30" i="4"/>
  <c r="Y54" i="4"/>
  <c r="U49" i="72"/>
  <c r="U46" i="72" s="1"/>
  <c r="U52" i="72" s="1"/>
  <c r="T46" i="72"/>
  <c r="T52" i="72" s="1"/>
  <c r="Y57" i="4"/>
  <c r="Y55" i="4"/>
  <c r="D16" i="72"/>
  <c r="D18" i="72"/>
  <c r="D14" i="72"/>
  <c r="D38" i="72"/>
  <c r="B63" i="72"/>
  <c r="H71" i="72" s="1"/>
  <c r="D25" i="72"/>
  <c r="D19" i="72"/>
  <c r="S12" i="72"/>
  <c r="D13" i="72"/>
  <c r="D51" i="72"/>
  <c r="D17" i="72"/>
  <c r="D15" i="72"/>
  <c r="B16" i="72"/>
  <c r="C63" i="72"/>
  <c r="Y52" i="4"/>
  <c r="Y56" i="4"/>
  <c r="T51" i="72"/>
  <c r="R34" i="72"/>
  <c r="S34" i="72"/>
  <c r="U34" i="72"/>
  <c r="B63" i="55"/>
  <c r="H71" i="55" s="1"/>
  <c r="S12" i="55"/>
  <c r="D14" i="55"/>
  <c r="D16" i="55"/>
  <c r="D51" i="55"/>
  <c r="D13" i="55"/>
  <c r="D38" i="55"/>
  <c r="D15" i="55"/>
  <c r="D25" i="55"/>
  <c r="D19" i="55"/>
  <c r="D18" i="55"/>
  <c r="D17" i="55"/>
  <c r="B17" i="55" s="1"/>
  <c r="T49" i="55"/>
  <c r="W61" i="4"/>
  <c r="AN22" i="4"/>
  <c r="W29" i="4"/>
  <c r="W28" i="4"/>
  <c r="Z17" i="4"/>
  <c r="AC61" i="4" s="1"/>
  <c r="S34" i="55"/>
  <c r="T51" i="55"/>
  <c r="R34" i="55"/>
  <c r="AB61" i="4"/>
  <c r="D39" i="72" l="1"/>
  <c r="S13" i="72"/>
  <c r="D52" i="72"/>
  <c r="D26" i="72"/>
  <c r="D42" i="72"/>
  <c r="B42" i="72" s="1"/>
  <c r="S16" i="72"/>
  <c r="D29" i="72"/>
  <c r="B29" i="72" s="1"/>
  <c r="D55" i="72"/>
  <c r="B55" i="72" s="1"/>
  <c r="B15" i="72"/>
  <c r="D54" i="72"/>
  <c r="B54" i="72" s="1"/>
  <c r="S15" i="72"/>
  <c r="D28" i="72"/>
  <c r="B28" i="72" s="1"/>
  <c r="D41" i="72"/>
  <c r="B41" i="72" s="1"/>
  <c r="D57" i="72"/>
  <c r="S18" i="72"/>
  <c r="D31" i="72"/>
  <c r="D44" i="72"/>
  <c r="D58" i="72"/>
  <c r="I71" i="72"/>
  <c r="S19" i="72"/>
  <c r="D45" i="72"/>
  <c r="D32" i="72"/>
  <c r="Y51" i="4"/>
  <c r="W43" i="4"/>
  <c r="W42" i="4"/>
  <c r="W41" i="4"/>
  <c r="T34" i="72"/>
  <c r="B17" i="72"/>
  <c r="H61" i="72"/>
  <c r="D71" i="72" s="1"/>
  <c r="D43" i="72"/>
  <c r="B43" i="72" s="1"/>
  <c r="H8" i="72"/>
  <c r="D61" i="72" s="1"/>
  <c r="S17" i="72"/>
  <c r="D30" i="72"/>
  <c r="B30" i="72" s="1"/>
  <c r="D56" i="72"/>
  <c r="B56" i="72" s="1"/>
  <c r="S14" i="72"/>
  <c r="D40" i="72"/>
  <c r="D27" i="72"/>
  <c r="D53" i="72"/>
  <c r="V34" i="72"/>
  <c r="R42" i="72" s="1"/>
  <c r="U34" i="55"/>
  <c r="D28" i="55"/>
  <c r="B28" i="55" s="1"/>
  <c r="S15" i="55"/>
  <c r="D54" i="55"/>
  <c r="B54" i="55" s="1"/>
  <c r="D41" i="55"/>
  <c r="B41" i="55" s="1"/>
  <c r="S13" i="55"/>
  <c r="D52" i="55"/>
  <c r="D26" i="55"/>
  <c r="D39" i="55"/>
  <c r="T46" i="55"/>
  <c r="T52" i="55" s="1"/>
  <c r="U49" i="55"/>
  <c r="U46" i="55" s="1"/>
  <c r="U52" i="55" s="1"/>
  <c r="B16" i="55"/>
  <c r="S16" i="55"/>
  <c r="D42" i="55"/>
  <c r="B42" i="55" s="1"/>
  <c r="D55" i="55"/>
  <c r="B55" i="55" s="1"/>
  <c r="D29" i="55"/>
  <c r="B29" i="55" s="1"/>
  <c r="D27" i="55"/>
  <c r="D53" i="55"/>
  <c r="S14" i="55"/>
  <c r="D40" i="55"/>
  <c r="B15" i="55"/>
  <c r="C63" i="55"/>
  <c r="H61" i="55"/>
  <c r="D71" i="55" s="1"/>
  <c r="S17" i="55"/>
  <c r="D56" i="55"/>
  <c r="D43" i="55"/>
  <c r="B43" i="55" s="1"/>
  <c r="D30" i="55"/>
  <c r="B30" i="55" s="1"/>
  <c r="H8" i="55"/>
  <c r="D31" i="55"/>
  <c r="D44" i="55"/>
  <c r="S18" i="55"/>
  <c r="D57" i="55"/>
  <c r="D45" i="55"/>
  <c r="I71" i="55"/>
  <c r="D32" i="55"/>
  <c r="D58" i="55"/>
  <c r="S19" i="55"/>
  <c r="N41" i="55"/>
  <c r="N45" i="55"/>
  <c r="N42" i="55"/>
  <c r="N44" i="55"/>
  <c r="N40" i="55"/>
  <c r="N39" i="55"/>
  <c r="N26" i="55"/>
  <c r="N29" i="55"/>
  <c r="N32" i="55"/>
  <c r="N28" i="55"/>
  <c r="N30" i="55"/>
  <c r="N31" i="55"/>
  <c r="N27" i="55"/>
  <c r="W54" i="4" l="1"/>
  <c r="W56" i="4"/>
  <c r="W55" i="4"/>
  <c r="F17" i="72"/>
  <c r="F15" i="72"/>
  <c r="E15" i="72" s="1"/>
  <c r="F18" i="72"/>
  <c r="E18" i="72" s="1"/>
  <c r="F19" i="72"/>
  <c r="E19" i="72" s="1"/>
  <c r="D63" i="72" s="1"/>
  <c r="J71" i="72" s="1"/>
  <c r="F13" i="72"/>
  <c r="E13" i="72" s="1"/>
  <c r="F16" i="72"/>
  <c r="E16" i="72" s="1"/>
  <c r="F14" i="72"/>
  <c r="E14" i="72" s="1"/>
  <c r="T34" i="55"/>
  <c r="V34" i="55" s="1"/>
  <c r="R42" i="55" s="1"/>
  <c r="F18" i="55" s="1"/>
  <c r="E18" i="55" s="1"/>
  <c r="D61" i="55"/>
  <c r="B56" i="55"/>
  <c r="AY50" i="4" a="1"/>
  <c r="AY50" i="4" s="1"/>
  <c r="BB53" i="4" a="1"/>
  <c r="BA52" i="4" a="1"/>
  <c r="BA52" i="4" s="1"/>
  <c r="AX49" i="4" a="1"/>
  <c r="AX49" i="4" s="1"/>
  <c r="AZ51" i="4" a="1"/>
  <c r="AZ51" i="4" s="1"/>
  <c r="AZ56" i="4" s="1"/>
  <c r="E12" i="72" l="1"/>
  <c r="F19" i="55"/>
  <c r="E19" i="55" s="1"/>
  <c r="D63" i="55" s="1"/>
  <c r="J71" i="55" s="1"/>
  <c r="F16" i="55"/>
  <c r="E16" i="55" s="1"/>
  <c r="F13" i="55"/>
  <c r="E13" i="55" s="1"/>
  <c r="F17" i="55"/>
  <c r="U42" i="55" s="1"/>
  <c r="F15" i="55"/>
  <c r="E15" i="55" s="1"/>
  <c r="T59" i="72"/>
  <c r="S67" i="72" s="1"/>
  <c r="U67" i="72" s="1"/>
  <c r="T63" i="72"/>
  <c r="S71" i="72" s="1"/>
  <c r="U71" i="72" s="1"/>
  <c r="T64" i="72"/>
  <c r="S72" i="72" s="1"/>
  <c r="U72" i="72" s="1"/>
  <c r="F12" i="72"/>
  <c r="T58" i="72"/>
  <c r="S66" i="72" s="1"/>
  <c r="U66" i="72" s="1"/>
  <c r="T42" i="72"/>
  <c r="T62" i="72"/>
  <c r="S70" i="72" s="1"/>
  <c r="U70" i="72" s="1"/>
  <c r="T61" i="72"/>
  <c r="S69" i="72" s="1"/>
  <c r="U69" i="72" s="1"/>
  <c r="U42" i="72"/>
  <c r="E17" i="72"/>
  <c r="J61" i="72" s="1"/>
  <c r="F71" i="72" s="1"/>
  <c r="I61" i="72"/>
  <c r="E71" i="72" s="1"/>
  <c r="T60" i="72"/>
  <c r="S68" i="72" s="1"/>
  <c r="U68" i="72" s="1"/>
  <c r="F14" i="55"/>
  <c r="E14" i="55" s="1"/>
  <c r="T62" i="55"/>
  <c r="S70" i="55" s="1"/>
  <c r="U70" i="55" s="1"/>
  <c r="T63" i="55"/>
  <c r="S71" i="55" s="1"/>
  <c r="U71" i="55" s="1"/>
  <c r="T58" i="55"/>
  <c r="S66" i="55" s="1"/>
  <c r="U66" i="55" s="1"/>
  <c r="F12" i="55"/>
  <c r="T59" i="55"/>
  <c r="S67" i="55" s="1"/>
  <c r="U67" i="55" s="1"/>
  <c r="I61" i="55"/>
  <c r="E71" i="55" s="1"/>
  <c r="T60" i="55"/>
  <c r="S68" i="55" s="1"/>
  <c r="U68" i="55" s="1"/>
  <c r="T42" i="55"/>
  <c r="BB53" i="4"/>
  <c r="BB66" i="4" s="1"/>
  <c r="BC66" i="4"/>
  <c r="BD66" i="4"/>
  <c r="BC56" i="4"/>
  <c r="BD56" i="4"/>
  <c r="BA56" i="4"/>
  <c r="BB56" i="4"/>
  <c r="S65" i="55"/>
  <c r="S75" i="72"/>
  <c r="S65" i="72"/>
  <c r="T61" i="55" l="1"/>
  <c r="S69" i="55" s="1"/>
  <c r="U69" i="55" s="1"/>
  <c r="T64" i="55"/>
  <c r="S72" i="55" s="1"/>
  <c r="U72" i="55" s="1"/>
  <c r="E17" i="55"/>
  <c r="AA58" i="4"/>
  <c r="Z58" i="4" s="1"/>
  <c r="AA54" i="4"/>
  <c r="Z54" i="4" s="1"/>
  <c r="AA43" i="4"/>
  <c r="Z43" i="4" s="1"/>
  <c r="AA56" i="4"/>
  <c r="Z56" i="4" s="1"/>
  <c r="AA39" i="4"/>
  <c r="Z39" i="4" s="1"/>
  <c r="AA45" i="4"/>
  <c r="Z45" i="4" s="1"/>
  <c r="AA52" i="4"/>
  <c r="Z52" i="4" s="1"/>
  <c r="AA41" i="4"/>
  <c r="Z41" i="4" s="1"/>
  <c r="AA44" i="4"/>
  <c r="Z44" i="4" s="1"/>
  <c r="AA40" i="4"/>
  <c r="Z40" i="4" s="1"/>
  <c r="AA42" i="4"/>
  <c r="Z42" i="4" s="1"/>
  <c r="AA55" i="4"/>
  <c r="Z55" i="4" s="1"/>
  <c r="AA53" i="4"/>
  <c r="Z53" i="4" s="1"/>
  <c r="AA57" i="4"/>
  <c r="Z57" i="4" s="1"/>
  <c r="E12" i="55"/>
  <c r="U75" i="72"/>
  <c r="U75" i="55"/>
  <c r="J61" i="55"/>
  <c r="F71" i="55" s="1"/>
  <c r="AA31" i="4"/>
  <c r="Z31" i="4" s="1"/>
  <c r="AA30" i="4"/>
  <c r="AA27" i="4"/>
  <c r="Z27" i="4" s="1"/>
  <c r="AA28" i="4"/>
  <c r="Z28" i="4" s="1"/>
  <c r="AA26" i="4"/>
  <c r="Z26" i="4" s="1"/>
  <c r="AA32" i="4"/>
  <c r="Z32" i="4" s="1"/>
  <c r="AA29" i="4"/>
  <c r="Z29" i="4" s="1"/>
  <c r="BB64" i="4" a="1"/>
  <c r="BB64" i="4" s="1"/>
  <c r="BB77" i="4" s="1"/>
  <c r="BA63" i="4" a="1"/>
  <c r="BA63" i="4" s="1"/>
  <c r="S75" i="55"/>
  <c r="W65" i="4" l="1"/>
  <c r="Z30" i="4"/>
  <c r="BC77" i="4"/>
  <c r="BD77" i="4"/>
  <c r="AZ62" i="4" l="1" a="1"/>
  <c r="BB67" i="4" s="1"/>
  <c r="AZ62" i="4" l="1"/>
  <c r="AZ67" i="4" s="1"/>
  <c r="BC67" i="4"/>
  <c r="BD67" i="4"/>
  <c r="BA67" i="4"/>
  <c r="AY61" i="4" l="1" a="1"/>
  <c r="AY61" i="4" s="1"/>
  <c r="AX60" i="4" a="1"/>
  <c r="AX60" i="4" s="1"/>
  <c r="X65" i="4" l="1"/>
  <c r="BA41" i="4" a="1"/>
  <c r="BA41" i="4" s="1"/>
  <c r="AY39" i="4" a="1"/>
  <c r="AY39" i="4" s="1"/>
  <c r="AZ40" i="4" a="1"/>
  <c r="BD45" i="4" s="1"/>
  <c r="AX38" i="4" a="1"/>
  <c r="AX38" i="4" s="1"/>
  <c r="BB42" i="4" a="1"/>
  <c r="BC55" i="4" s="1"/>
  <c r="BA45" i="4" l="1"/>
  <c r="AZ40" i="4"/>
  <c r="AZ45" i="4" s="1"/>
  <c r="BB45" i="4"/>
  <c r="BC45" i="4"/>
  <c r="AC14" i="4" s="1"/>
  <c r="P14" i="72" s="1"/>
  <c r="BB42" i="4"/>
  <c r="BB55" i="4" s="1"/>
  <c r="BD55" i="4"/>
  <c r="AC17" i="4" l="1"/>
  <c r="AA63" i="4" s="1"/>
  <c r="P17" i="55"/>
  <c r="AJ17" i="4"/>
  <c r="O17" i="72" s="1"/>
  <c r="AB63" i="4"/>
  <c r="H17" i="55"/>
  <c r="O7" i="55" s="1"/>
  <c r="AC19" i="4"/>
  <c r="AC18" i="4"/>
  <c r="AC16" i="4"/>
  <c r="AC15" i="4"/>
  <c r="P18" i="72" l="1"/>
  <c r="H18" i="72"/>
  <c r="P19" i="72"/>
  <c r="H19" i="72"/>
  <c r="I63" i="72" s="1"/>
  <c r="P15" i="72"/>
  <c r="H15" i="72"/>
  <c r="P16" i="72"/>
  <c r="H16" i="72"/>
  <c r="H17" i="72"/>
  <c r="P17" i="72"/>
  <c r="N7" i="55"/>
  <c r="G63" i="55"/>
  <c r="H56" i="55"/>
  <c r="F63" i="55"/>
  <c r="O17" i="55"/>
  <c r="AJ16" i="4"/>
  <c r="O16" i="72" s="1"/>
  <c r="P16" i="55"/>
  <c r="H16" i="55"/>
  <c r="P18" i="55"/>
  <c r="H18" i="55"/>
  <c r="AJ18" i="4"/>
  <c r="O18" i="72" s="1"/>
  <c r="AJ14" i="4"/>
  <c r="O14" i="72" s="1"/>
  <c r="P14" i="55"/>
  <c r="AF63" i="4"/>
  <c r="AJ15" i="4"/>
  <c r="O15" i="72" s="1"/>
  <c r="H15" i="55"/>
  <c r="P15" i="55"/>
  <c r="P19" i="55"/>
  <c r="H19" i="55"/>
  <c r="AJ19" i="4"/>
  <c r="O19" i="72" s="1"/>
  <c r="AD63" i="4"/>
  <c r="O7" i="72" l="1"/>
  <c r="N7" i="72"/>
  <c r="F63" i="72"/>
  <c r="H56" i="72"/>
  <c r="G63" i="72"/>
  <c r="I63" i="55"/>
  <c r="O15" i="55"/>
  <c r="H53" i="55"/>
  <c r="H57" i="55"/>
  <c r="H58" i="55"/>
  <c r="H55" i="55"/>
  <c r="H54" i="55"/>
  <c r="O19" i="55"/>
  <c r="O18" i="55"/>
  <c r="O16" i="55"/>
  <c r="O14" i="55"/>
  <c r="D55" i="4"/>
  <c r="D56" i="4"/>
  <c r="D54" i="4"/>
  <c r="C54" i="4"/>
  <c r="C53" i="4"/>
  <c r="C55" i="4"/>
  <c r="H55" i="4" s="1"/>
  <c r="AB55" i="4" s="1"/>
  <c r="C58" i="4"/>
  <c r="C52" i="4"/>
  <c r="C57" i="4"/>
  <c r="H57" i="4" s="1"/>
  <c r="AB57" i="4" s="1"/>
  <c r="C56" i="4"/>
  <c r="A54" i="4" s="1"/>
  <c r="D58" i="4"/>
  <c r="C51" i="4"/>
  <c r="D53" i="4"/>
  <c r="D52" i="4"/>
  <c r="D57" i="4"/>
  <c r="D51" i="4"/>
  <c r="E63" i="4"/>
  <c r="Z49" i="4"/>
  <c r="L5" i="4"/>
  <c r="H57" i="72" l="1"/>
  <c r="H55" i="72"/>
  <c r="H53" i="72"/>
  <c r="H54" i="72"/>
  <c r="H58" i="72"/>
  <c r="G55" i="72"/>
  <c r="G55" i="55"/>
  <c r="AD55" i="4"/>
  <c r="G57" i="72"/>
  <c r="AD57" i="4"/>
  <c r="G57" i="55"/>
  <c r="H56" i="4"/>
  <c r="A57" i="4"/>
  <c r="A58" i="4"/>
  <c r="A55" i="4"/>
  <c r="A52" i="4"/>
  <c r="A53" i="4"/>
  <c r="F51" i="4"/>
  <c r="H58" i="4"/>
  <c r="AB58" i="4" s="1"/>
  <c r="F58" i="4"/>
  <c r="H54" i="4"/>
  <c r="AB54" i="4" s="1"/>
  <c r="F57" i="4"/>
  <c r="F52" i="4"/>
  <c r="F55" i="4"/>
  <c r="F53" i="4"/>
  <c r="F54" i="4"/>
  <c r="AG5" i="4"/>
  <c r="AM31" i="4"/>
  <c r="F56" i="4"/>
  <c r="H53" i="4" l="1"/>
  <c r="AB53" i="4" s="1"/>
  <c r="AB56" i="4"/>
  <c r="G58" i="72"/>
  <c r="AD58" i="4"/>
  <c r="G58" i="55"/>
  <c r="G54" i="72"/>
  <c r="AD54" i="4"/>
  <c r="G54" i="55"/>
  <c r="AZ73" i="4" a="1"/>
  <c r="BB75" i="4" a="1"/>
  <c r="BB75" i="4" s="1"/>
  <c r="AX71" i="4" a="1"/>
  <c r="AX71" i="4" s="1"/>
  <c r="AY72" i="4" a="1"/>
  <c r="AY72" i="4" s="1"/>
  <c r="BA74" i="4" a="1"/>
  <c r="BA74" i="4" s="1"/>
  <c r="G56" i="72" l="1"/>
  <c r="AD56" i="4"/>
  <c r="G56" i="55"/>
  <c r="G53" i="72"/>
  <c r="G53" i="55"/>
  <c r="AD53" i="4"/>
  <c r="BC78" i="4"/>
  <c r="BB78" i="4"/>
  <c r="BA78" i="4"/>
  <c r="BD78" i="4"/>
  <c r="AZ73" i="4"/>
  <c r="AZ78" i="4" s="1"/>
  <c r="AM34" i="4" l="1" a="1"/>
  <c r="AN34" i="4" s="1"/>
  <c r="AP30" i="4" s="1"/>
  <c r="T29" i="72" s="1"/>
  <c r="Y65" i="4" l="1"/>
  <c r="AM34" i="4"/>
  <c r="T26" i="72" s="1"/>
  <c r="T29" i="55"/>
  <c r="AP29" i="4"/>
  <c r="T28" i="72" s="1"/>
  <c r="AO34" i="4"/>
  <c r="AP31" i="4" s="1"/>
  <c r="T30" i="72" s="1"/>
  <c r="S28" i="72" l="1"/>
  <c r="S29" i="72"/>
  <c r="S30" i="72"/>
  <c r="U17" i="72"/>
  <c r="T17" i="72" s="1"/>
  <c r="U14" i="72"/>
  <c r="T14" i="72" s="1"/>
  <c r="U15" i="72"/>
  <c r="T15" i="72" s="1"/>
  <c r="U13" i="72"/>
  <c r="T13" i="72" s="1"/>
  <c r="U18" i="72"/>
  <c r="T18" i="72" s="1"/>
  <c r="U16" i="72"/>
  <c r="T16" i="72" s="1"/>
  <c r="U19" i="72"/>
  <c r="T19" i="72" s="1"/>
  <c r="T26" i="55"/>
  <c r="T30" i="55"/>
  <c r="T28" i="55"/>
  <c r="AO31" i="4"/>
  <c r="AO29" i="4"/>
  <c r="AO30" i="4"/>
  <c r="F51" i="72" l="1"/>
  <c r="F52" i="72"/>
  <c r="E52" i="72" s="1"/>
  <c r="F56" i="72"/>
  <c r="F57" i="72"/>
  <c r="E57" i="72" s="1"/>
  <c r="F53" i="72"/>
  <c r="E53" i="72" s="1"/>
  <c r="F58" i="72"/>
  <c r="E58" i="72" s="1"/>
  <c r="F54" i="72"/>
  <c r="E54" i="72" s="1"/>
  <c r="F55" i="72"/>
  <c r="E55" i="72" s="1"/>
  <c r="F27" i="72"/>
  <c r="E27" i="72" s="1"/>
  <c r="F29" i="72"/>
  <c r="E29" i="72" s="1"/>
  <c r="F26" i="72"/>
  <c r="E26" i="72" s="1"/>
  <c r="F32" i="72"/>
  <c r="E32" i="72" s="1"/>
  <c r="F25" i="72"/>
  <c r="F30" i="72"/>
  <c r="F31" i="72"/>
  <c r="E31" i="72" s="1"/>
  <c r="F28" i="72"/>
  <c r="E28" i="72" s="1"/>
  <c r="F38" i="72"/>
  <c r="F42" i="72"/>
  <c r="E42" i="72" s="1"/>
  <c r="F41" i="72"/>
  <c r="E41" i="72" s="1"/>
  <c r="F43" i="72"/>
  <c r="F40" i="72"/>
  <c r="E40" i="72" s="1"/>
  <c r="F39" i="72"/>
  <c r="E39" i="72" s="1"/>
  <c r="E38" i="72" s="1"/>
  <c r="F44" i="72"/>
  <c r="E44" i="72" s="1"/>
  <c r="F45" i="72"/>
  <c r="E45" i="72" s="1"/>
  <c r="U18" i="55"/>
  <c r="T18" i="55" s="1"/>
  <c r="U15" i="55"/>
  <c r="T15" i="55" s="1"/>
  <c r="S30" i="55"/>
  <c r="S29" i="55"/>
  <c r="U19" i="55"/>
  <c r="T19" i="55" s="1"/>
  <c r="U14" i="55"/>
  <c r="T14" i="55" s="1"/>
  <c r="S28" i="55"/>
  <c r="U16" i="55"/>
  <c r="T16" i="55" s="1"/>
  <c r="U17" i="55"/>
  <c r="T17" i="55" s="1"/>
  <c r="U13" i="55"/>
  <c r="T13" i="55" s="1"/>
  <c r="E25" i="72" l="1"/>
  <c r="E30" i="72"/>
  <c r="B65" i="72"/>
  <c r="C65" i="72"/>
  <c r="E43" i="72"/>
  <c r="D65" i="72"/>
  <c r="E56" i="72"/>
  <c r="E51" i="72"/>
  <c r="E63" i="72" s="1"/>
  <c r="F44" i="55"/>
  <c r="E44" i="55" s="1"/>
  <c r="F38" i="55"/>
  <c r="F43" i="55"/>
  <c r="F42" i="55"/>
  <c r="E42" i="55" s="1"/>
  <c r="F39" i="55"/>
  <c r="E39" i="55" s="1"/>
  <c r="F40" i="55"/>
  <c r="E40" i="55" s="1"/>
  <c r="F41" i="55"/>
  <c r="E41" i="55" s="1"/>
  <c r="F45" i="55"/>
  <c r="E45" i="55" s="1"/>
  <c r="F56" i="55"/>
  <c r="F55" i="55"/>
  <c r="E55" i="55" s="1"/>
  <c r="F51" i="55"/>
  <c r="F57" i="55"/>
  <c r="E57" i="55" s="1"/>
  <c r="F58" i="55"/>
  <c r="E58" i="55" s="1"/>
  <c r="F53" i="55"/>
  <c r="E53" i="55" s="1"/>
  <c r="F54" i="55"/>
  <c r="E54" i="55" s="1"/>
  <c r="F52" i="55"/>
  <c r="E52" i="55" s="1"/>
  <c r="F28" i="55"/>
  <c r="E28" i="55" s="1"/>
  <c r="F32" i="55"/>
  <c r="E32" i="55" s="1"/>
  <c r="F29" i="55"/>
  <c r="E29" i="55" s="1"/>
  <c r="F31" i="55"/>
  <c r="E31" i="55" s="1"/>
  <c r="F25" i="55"/>
  <c r="F26" i="55"/>
  <c r="E26" i="55" s="1"/>
  <c r="F27" i="55"/>
  <c r="E27" i="55" s="1"/>
  <c r="F30" i="55"/>
  <c r="E38" i="55" l="1"/>
  <c r="E51" i="55"/>
  <c r="E63" i="55" s="1"/>
  <c r="E43" i="55"/>
  <c r="C65" i="55"/>
  <c r="E30" i="55"/>
  <c r="B65" i="55"/>
  <c r="E25" i="55"/>
  <c r="D65" i="55"/>
  <c r="E5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TM.P. S.p.A.</author>
  </authors>
  <commentList>
    <comment ref="P7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coefficiente per le velocità
(se si fattura a salire di velocità deve essere = 2)</t>
        </r>
      </text>
    </comment>
    <comment ref="P8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coefficiente per i diametri
(se si fattura a salire deve essere = 2)</t>
        </r>
      </text>
    </comment>
    <comment ref="D11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PREVALENZA CALCOLATA FATTORIZZANDO LA CURVA DEL MODELLO E AGGIUNGENDO UNA CADUTA DI PREVALENZA IN MODO CRESCENTE CON LA PORTATA.
LA PERDITA DI PREVALENZA è INTRODOTTA SOTTRAENDO ALLA PREVALENZA AL CHIUSO , PUNTO PER PUNTO, LE CORRISPONDENTI PERDITE TEORICHE (DELLA CURVA FATTORIZZATA) MOLTIPLICATE PER IL FATTORE CORRETTIVO IN S42</t>
        </r>
      </text>
    </comment>
    <comment ref="E11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1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mt: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 "H REALE" (COLONNA D) / "H TEORICA FATTORIZZATA" * "PERCENTUALE RISPETTO AL RENDIMENTO TEORICO AL BEP " (COLONNA N)
L'ANDAMENTO DEL RENDIMENTO è DUNQUE  RICAVATO DA QUELLO DEL MODELLO MA CORRETTO IN FUNZIONE DELLE PERDITE IDRAULICHE AGGIUNTIVE INTRODOTTE TRAMITE IL FATTORE DI AUMENTO PERDITE IDRAULICHE IN S46</t>
        </r>
      </text>
    </comment>
    <comment ref="E12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F17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*(H IN D17) / (H TEORICA FATTORIZZATA)
TIENE CONTO DELLA  DIMINUZIONE PERCENTUALE DEL RENDIMENTO IDRAULICO DOVUTO AL FATTORE DI AUMENTO PERDITE IDRAULICHE IN S46</t>
        </r>
      </text>
    </comment>
    <comment ref="T21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se rosso verificare con diametri bocche in L6 e L7</t>
        </r>
      </text>
    </comment>
    <comment ref="E24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24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mt: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 "H REALE" (COLONNA D) / "H TEORICA FATTORIZZATA" * "PERCENTUALE RISPETTO AL RENDIMENTO TEORICO AL BEP " (COLONNA N)
L'ANDAMENTO DEL RENDIMENTO è DUNQUE  RICAVATO DA QUELLO DEL MODELLO MA CORRETTO IN FUNZIONE DELLE PERDITE IDRAULICHE AGGIUNTIVE INTRODOTTE TRAMITE IL FATTORE DI AUMENTO PERDITE IDRAULICHE IN S46</t>
        </r>
      </text>
    </comment>
    <comment ref="E25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E32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32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  <comment ref="E37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37" authorId="0" shapeId="0" xr:uid="{00000000-0006-0000-0200-00000F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in proporzione  dai rendimenti della pompa testata e al rendimento al bep della pompa piena grandezza
TIENE CONTO ANCHE DELLA MODIFICA DI RENDIMENTO IDRAULICO INTRODOTTA COL FATTORE IN S42</t>
        </r>
      </text>
    </comment>
    <comment ref="E38" authorId="0" shapeId="0" xr:uid="{00000000-0006-0000-0200-000010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R38" authorId="0" shapeId="0" xr:uid="{00000000-0006-0000-0200-000011000000}">
      <text>
        <r>
          <rPr>
            <b/>
            <sz val="8"/>
            <color indexed="81"/>
            <rFont val="Tahoma"/>
            <family val="2"/>
          </rPr>
          <t xml:space="preserve">TM.P. S.p.A.:
</t>
        </r>
        <r>
          <rPr>
            <sz val="8"/>
            <color indexed="81"/>
            <rFont val="Tahoma"/>
            <family val="2"/>
          </rPr>
          <t xml:space="preserve">
SE IL FATTORE IN S42 è = 100% ALLORA CORRISPONDE AL RENDIMENTO REALE AL BEP (IN D17)
SE IL FATTORE IN S42 è &gt;100% ALLORA è MAGGIORE DEL RENDIMENTO REALE AL BEP (SCALATURA A SCENDERE CON f MOLTO GRANDI).
SE IL FATTORE IN S42 è &lt;100% ALLORA è MINORE DEL RENDIMENTO REALE AL BEP
(SCALATURA A SALIRE CON f MOLTO GRANDI).</t>
        </r>
      </text>
    </comment>
    <comment ref="S38" authorId="0" shapeId="0" xr:uid="{00000000-0006-0000-0200-000012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SE MAGGIORE DI 100% IMPLICA ABBASSAMENTO DELLA Q-H. 
SE MINORE DI 100% IMPLICA INNALZAMENTO DELLA Q-H. 
SE UGUALE A 100% IMPLICA POMPA FATTORIZZATA IN SIMILITUDINE DI REYNOLDS
MOLTIPLICA LE PERDITE IDRAULICHE TEORICHE FATTORIZZATE DALLA POMPA MODELLO E INDIRETTAMENTE INFLUISCE SUL RENDIMENTO REALE DELLA MACCHINA (NE MODIFICA IL VALORE NELLA MISURA IN CUI LA MODIFICA DELLA PREVALENZA VA A INFLUIRE SUL  IL RENDIMENTO IDRAULICO RISPETTO AD UNA POMPA FATTORIZZATA IN SIMILITUDINE DI REYNOLDS)</t>
        </r>
      </text>
    </comment>
    <comment ref="E45" authorId="0" shapeId="0" xr:uid="{00000000-0006-0000-0200-000013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45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  <comment ref="E50" authorId="0" shapeId="0" xr:uid="{00000000-0006-0000-0200-000015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50" authorId="0" shapeId="0" xr:uid="{00000000-0006-0000-0200-000016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in proporzione  dai rendimenti della pompa testata e al rendimento al bep della pompa piena grandezza
TIENE CONTO ANCHE DELLA MODIFICA DI RENDIMENTO IDRAULICO INTRODOTTA COL FATTORE IN S42</t>
        </r>
      </text>
    </comment>
    <comment ref="E51" authorId="0" shapeId="0" xr:uid="{00000000-0006-0000-0200-000017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G52" authorId="0" shapeId="0" xr:uid="{00000000-0006-0000-0200-000018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scalata dal diametro minimo del modello con le regole della similitudine</t>
        </r>
      </text>
    </comment>
    <comment ref="H52" authorId="0" shapeId="0" xr:uid="{00000000-0006-0000-0200-000019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scalato in proporzione al diametro tagliato nel modello (è un'approssimazione)
ATTENZIONE: la proporzione è rigorosa solo se il diametro minimo della piena grandezza è tagliato in percentuale come nel modello testato…..</t>
        </r>
      </text>
    </comment>
    <comment ref="T57" authorId="0" shapeId="0" xr:uid="{00000000-0006-0000-0200-00001A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usando Karassik</t>
        </r>
      </text>
    </comment>
    <comment ref="E58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58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TM.P. S.p.A.</author>
  </authors>
  <commentList>
    <comment ref="P7" authorId="0" shapeId="0" xr:uid="{A467F5C6-6CB2-4D1C-9BFD-3504C26958F3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coefficiente per le velocità
(se si fattura a salire di velocità deve essere = 2)</t>
        </r>
      </text>
    </comment>
    <comment ref="P8" authorId="0" shapeId="0" xr:uid="{D8BC56DE-BDD1-4891-80DD-7D9F34E68CA4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coefficiente per i diametri
(se si fattura a salire deve essere = 2)</t>
        </r>
      </text>
    </comment>
    <comment ref="D11" authorId="0" shapeId="0" xr:uid="{4951EC01-A900-4844-A227-4A7DE91CC752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PREVALENZA CALCOLATA FATTORIZZANDO LA CURVA DEL MODELLO E AGGIUNGENDO UNA CADUTA DI PREVALENZA IN MODO CRESCENTE CON LA PORTATA.
LA PERDITA DI PREVALENZA è INTRODOTTA SOTTRAENDO ALLA PREVALENZA AL CHIUSO , PUNTO PER PUNTO, LE CORRISPONDENTI PERDITE TEORICHE (DELLA CURVA FATTORIZZATA) MOLTIPLICATE PER IL FATTORE CORRETTIVO IN S42</t>
        </r>
      </text>
    </comment>
    <comment ref="E11" authorId="0" shapeId="0" xr:uid="{5BA580F6-6EB1-49F8-8818-538DEF365E3B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11" authorId="0" shapeId="0" xr:uid="{D0105BF9-A9F6-4628-A8F5-94A7E06C4E9E}">
      <text>
        <r>
          <rPr>
            <b/>
            <sz val="8"/>
            <color indexed="81"/>
            <rFont val="Tahoma"/>
            <family val="2"/>
          </rPr>
          <t>mt: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 "H REALE" (COLONNA D) / "H TEORICA FATTORIZZATA" * "PERCENTUALE RISPETTO AL RENDIMENTO TEORICO AL BEP " (COLONNA N)
L'ANDAMENTO DEL RENDIMENTO è DUNQUE  RICAVATO DA QUELLO DEL MODELLO MA CORRETTO IN FUNZIONE DELLE PERDITE IDRAULICHE AGGIUNTIVE INTRODOTTE TRAMITE IL FATTORE DI AUMENTO PERDITE IDRAULICHE IN S46</t>
        </r>
      </text>
    </comment>
    <comment ref="E12" authorId="0" shapeId="0" xr:uid="{CC2D626D-FB9A-4B9E-95BB-77979D1BBC72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F17" authorId="0" shapeId="0" xr:uid="{62E307E6-D137-4739-A142-3485325EE34B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*(H IN D17) / (H TEORICA FATTORIZZATA)
TIENE CONTO DELLA  DIMINUZIONE PERCENTUALE DEL RENDIMENTO IDRAULICO DOVUTO AL FATTORE DI AUMENTO PERDITE IDRAULICHE IN S46</t>
        </r>
      </text>
    </comment>
    <comment ref="T21" authorId="0" shapeId="0" xr:uid="{D69D82DF-684E-4615-8991-DC1B69CBE184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se rosso verificare con diametri bocche in L6 e L7</t>
        </r>
      </text>
    </comment>
    <comment ref="E24" authorId="0" shapeId="0" xr:uid="{AD80D52C-8465-4B00-B466-E55CAAF687D1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24" authorId="0" shapeId="0" xr:uid="{9299AE83-C627-441E-9DD7-BF55C89E160F}">
      <text>
        <r>
          <rPr>
            <b/>
            <sz val="8"/>
            <color indexed="81"/>
            <rFont val="Tahoma"/>
            <family val="2"/>
          </rPr>
          <t>mt:</t>
        </r>
        <r>
          <rPr>
            <sz val="8"/>
            <color indexed="81"/>
            <rFont val="Tahoma"/>
            <family val="2"/>
          </rPr>
          <t xml:space="preserve">
RENDIMENTO CALCOLATO COME PRODOTTO FRA :
RENDIMENTO SCELTO IN R42 * "H REALE" (COLONNA D) / "H TEORICA FATTORIZZATA" * "PERCENTUALE RISPETTO AL RENDIMENTO TEORICO AL BEP " (COLONNA N)
L'ANDAMENTO DEL RENDIMENTO è DUNQUE  RICAVATO DA QUELLO DEL MODELLO MA CORRETTO IN FUNZIONE DELLE PERDITE IDRAULICHE AGGIUNTIVE INTRODOTTE TRAMITE IL FATTORE DI AUMENTO PERDITE IDRAULICHE IN S46</t>
        </r>
      </text>
    </comment>
    <comment ref="E25" authorId="0" shapeId="0" xr:uid="{F48A3315-F442-4785-9ECF-67D0A5D610F8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E32" authorId="0" shapeId="0" xr:uid="{0363E3EF-C280-4DD0-93E2-1D0B97E0306C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32" authorId="0" shapeId="0" xr:uid="{A232A16D-C0F9-4AEB-9688-AAD9E83937F3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  <comment ref="E37" authorId="0" shapeId="0" xr:uid="{14971D88-A931-4452-A036-4FA62889FF96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37" authorId="0" shapeId="0" xr:uid="{9D6D79F0-59A3-4901-A221-580B3FBD0079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in proporzione  dai rendimenti della pompa testata e al rendimento al bep della pompa piena grandezza
TIENE CONTO ANCHE DELLA MODIFICA DI RENDIMENTO IDRAULICO INTRODOTTA COL FATTORE IN S42</t>
        </r>
      </text>
    </comment>
    <comment ref="E38" authorId="0" shapeId="0" xr:uid="{032902FB-0BDD-41FB-975F-1E979DC60B8A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R38" authorId="0" shapeId="0" xr:uid="{81A2AE5E-E95A-48DF-8EF5-FB47B2FABE97}">
      <text>
        <r>
          <rPr>
            <b/>
            <sz val="8"/>
            <color indexed="81"/>
            <rFont val="Tahoma"/>
            <family val="2"/>
          </rPr>
          <t xml:space="preserve">TM.P. S.p.A.:
</t>
        </r>
        <r>
          <rPr>
            <sz val="8"/>
            <color indexed="81"/>
            <rFont val="Tahoma"/>
            <family val="2"/>
          </rPr>
          <t xml:space="preserve">
SE IL FATTORE IN S42 è = 100% ALLORA CORRISPONDE AL RENDIMENTO REALE AL BEP (IN D17)
SE IL FATTORE IN S42 è &gt;100% ALLORA è MAGGIORE DEL RENDIMENTO REALE AL BEP (SCALATURA A SCENDERE CON f MOLTO GRANDI).
SE IL FATTORE IN S42 è &lt;100% ALLORA è MINORE DEL RENDIMENTO REALE AL BEP
(SCALATURA A SALIRE CON f MOLTO GRANDI).</t>
        </r>
      </text>
    </comment>
    <comment ref="S38" authorId="0" shapeId="0" xr:uid="{B3D7AD64-8E22-4B68-9DDA-6DE9F026F12C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SE MAGGIORE DI 100% IMPLICA ABBASSAMENTO DELLA Q-H. 
SE MINORE DI 100% IMPLICA INNALZAMENTO DELLA Q-H. 
SE UGUALE A 100% IMPLICA POMPA FATTORIZZATA IN SIMILITUDINE DI REYNOLDS
MOLTIPLICA LE PERDITE IDRAULICHE TEORICHE FATTORIZZATE DALLA POMPA MODELLO E INDIRETTAMENTE INFLUISCE SUL RENDIMENTO REALE DELLA MACCHINA (NE MODIFICA IL VALORE NELLA MISURA IN CUI LA MODIFICA DELLA PREVALENZA VA A INFLUIRE SUL  IL RENDIMENTO IDRAULICO RISPETTO AD UNA POMPA FATTORIZZATA IN SIMILITUDINE DI REYNOLDS)</t>
        </r>
      </text>
    </comment>
    <comment ref="E45" authorId="0" shapeId="0" xr:uid="{95BD511A-A1A5-495F-8A59-E2A394BD378C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45" authorId="0" shapeId="0" xr:uid="{04B56F69-7A0B-4507-9A69-DEECFB5BB3A7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  <comment ref="E50" authorId="0" shapeId="0" xr:uid="{8FF266A2-4E5E-4781-A607-2C3E398D6743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 rendimento
potenza al chiuso interpolata
</t>
        </r>
      </text>
    </comment>
    <comment ref="F50" authorId="0" shapeId="0" xr:uid="{42FF7775-2B31-4F77-9D4A-A64350048B61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in proporzione  dai rendimenti della pompa testata e al rendimento al bep della pompa piena grandezza
TIENE CONTO ANCHE DELLA MODIFICA DI RENDIMENTO IDRAULICO INTRODOTTA COL FATTORE IN S42</t>
        </r>
      </text>
    </comment>
    <comment ref="E51" authorId="0" shapeId="0" xr:uid="{88EC7093-AA13-4E09-BB8A-0E8BDCE1991F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dai punti successivi
</t>
        </r>
      </text>
    </comment>
    <comment ref="G52" authorId="0" shapeId="0" xr:uid="{9B64ADF3-6AAD-4AED-BBE3-32434F16B8A7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scalata dal diametro minimo del modello con le regole della similitudine</t>
        </r>
      </text>
    </comment>
    <comment ref="H52" authorId="0" shapeId="0" xr:uid="{85ADAFA4-9D3D-4A7A-9AB0-A305E4CE454A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scalato in proporzione al diametro tagliato nel modello (è un'approssimazione)
ATTENZIONE: la proporzione è rigorosa solo se il diametro minimo della piena grandezza è tagliato in percentuale come nel modello testato…..</t>
        </r>
      </text>
    </comment>
    <comment ref="T57" authorId="0" shapeId="0" xr:uid="{2BDB3914-8B86-4702-AB3F-355E5C95BE41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usando Karassik</t>
        </r>
      </text>
    </comment>
    <comment ref="E58" authorId="0" shapeId="0" xr:uid="{9EE89DB4-44A6-4CA0-9A97-E6DDCA9240D8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interpolato 
dai punti precedenti
</t>
        </r>
      </text>
    </comment>
    <comment ref="F58" authorId="0" shapeId="0" xr:uid="{AC56257B-E7ED-47F0-A46D-C02D3ED182C0}">
      <text>
        <r>
          <rPr>
            <b/>
            <sz val="8"/>
            <color indexed="81"/>
            <rFont val="Tahoma"/>
            <family val="2"/>
          </rPr>
          <t>TM.P. S.p.A.:</t>
        </r>
        <r>
          <rPr>
            <sz val="8"/>
            <color indexed="81"/>
            <rFont val="Tahoma"/>
            <family val="2"/>
          </rPr>
          <t xml:space="preserve">
calcolato dalla potenza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<sst xmlns="http://schemas.openxmlformats.org/spreadsheetml/2006/main" count="1029" uniqueCount="236">
  <si>
    <t>spline grade</t>
  </si>
  <si>
    <t>CURVE  CARATTERISTICHE  DI  FUNZIONAMENTO        -         WORKING  PERFORMANCE  CURVES</t>
  </si>
  <si>
    <t>Pompa TIPO / Pump SIZE</t>
  </si>
  <si>
    <t>Modello girante / Impeller pattern</t>
  </si>
  <si>
    <t>Diametro girante</t>
  </si>
  <si>
    <t>Max</t>
  </si>
  <si>
    <t>Min</t>
  </si>
  <si>
    <t>D CUT WATER</t>
  </si>
  <si>
    <t>m</t>
  </si>
  <si>
    <t>punto venduto</t>
  </si>
  <si>
    <t>dmax selezionabile</t>
  </si>
  <si>
    <t>GD2</t>
  </si>
  <si>
    <t>Modello voluta / Casing pattern</t>
  </si>
  <si>
    <t>Impeller diameter</t>
  </si>
  <si>
    <t>mm</t>
  </si>
  <si>
    <t>Q</t>
  </si>
  <si>
    <t>H</t>
  </si>
  <si>
    <t>m3/h</t>
  </si>
  <si>
    <t>m=</t>
  </si>
  <si>
    <t>kg m2</t>
  </si>
  <si>
    <t>Area occhio girante / Impeller eye area</t>
  </si>
  <si>
    <t>cm2</t>
  </si>
  <si>
    <t>Z</t>
  </si>
  <si>
    <t>Bocca aspirazione / Suction branch</t>
  </si>
  <si>
    <t>Verso di rotazione / Rotation</t>
  </si>
  <si>
    <t>Counterclockwise</t>
  </si>
  <si>
    <t xml:space="preserve">    Dal lato giunto / Facing coupling</t>
  </si>
  <si>
    <t>Bocca mandata / Discharge branch</t>
  </si>
  <si>
    <t>Motore Potenza / Drive Proposed</t>
  </si>
  <si>
    <t>kW</t>
  </si>
  <si>
    <t>Nq</t>
  </si>
  <si>
    <t>Velocità / Speed</t>
  </si>
  <si>
    <t>RPM</t>
  </si>
  <si>
    <t>D taglio</t>
  </si>
  <si>
    <t>Qmax</t>
  </si>
  <si>
    <t>Diametro girante tip</t>
  </si>
  <si>
    <t>MASSIMO</t>
  </si>
  <si>
    <t>GAP=</t>
  </si>
  <si>
    <t>f=</t>
  </si>
  <si>
    <t>Andamento del rendimento</t>
  </si>
  <si>
    <t>Andamento dell'NPSH</t>
  </si>
  <si>
    <t>c6</t>
  </si>
  <si>
    <t>c5</t>
  </si>
  <si>
    <t>c4</t>
  </si>
  <si>
    <t>c3</t>
  </si>
  <si>
    <t>c2</t>
  </si>
  <si>
    <t>c1</t>
  </si>
  <si>
    <t>c0</t>
  </si>
  <si>
    <t>Q [mc/h]</t>
  </si>
  <si>
    <t>H [m]</t>
  </si>
  <si>
    <t>P [kW]</t>
  </si>
  <si>
    <t>eff [%]</t>
  </si>
  <si>
    <t>Diam (mm)</t>
  </si>
  <si>
    <t>Velocità (m/s)</t>
  </si>
  <si>
    <t>suction</t>
  </si>
  <si>
    <t>NPSH [m]</t>
  </si>
  <si>
    <t>discharge</t>
  </si>
  <si>
    <t>previsione  lineare punto successivo</t>
  </si>
  <si>
    <t>Errore massimo su f</t>
  </si>
  <si>
    <t>NOMINALE</t>
  </si>
  <si>
    <t>%tornitura</t>
  </si>
  <si>
    <t>perdita rendimento al bep per la tornitura</t>
  </si>
  <si>
    <t>dato inserito</t>
  </si>
  <si>
    <t>polinomiale</t>
  </si>
  <si>
    <t>coeff. Linea di tendenza</t>
  </si>
  <si>
    <t xml:space="preserve"> x^2</t>
  </si>
  <si>
    <t xml:space="preserve"> x</t>
  </si>
  <si>
    <t xml:space="preserve"> -</t>
  </si>
  <si>
    <t>tendenza:</t>
  </si>
  <si>
    <t>qui sopra il polinomio della linea di tendenza del grafico</t>
  </si>
  <si>
    <t>PRIMO TAGLIO</t>
  </si>
  <si>
    <t>SECONDO TAGLIO</t>
  </si>
  <si>
    <t>SSS</t>
  </si>
  <si>
    <t>NQ</t>
  </si>
  <si>
    <t>Dmx</t>
  </si>
  <si>
    <t>Qbep</t>
  </si>
  <si>
    <t>Hbep</t>
  </si>
  <si>
    <t>Eta bep</t>
  </si>
  <si>
    <t>Pbep</t>
  </si>
  <si>
    <t>%</t>
  </si>
  <si>
    <t>Vdbep</t>
  </si>
  <si>
    <t>Vsbep</t>
  </si>
  <si>
    <t>Hso</t>
  </si>
  <si>
    <t>Hso/Hbep</t>
  </si>
  <si>
    <t>Pqmax</t>
  </si>
  <si>
    <t>Pmim</t>
  </si>
  <si>
    <t>NPSHbep</t>
  </si>
  <si>
    <t>Sbep</t>
  </si>
  <si>
    <t>Qnpshmax</t>
  </si>
  <si>
    <t>Npsh max</t>
  </si>
  <si>
    <t>Qmin</t>
  </si>
  <si>
    <t>Npsh min</t>
  </si>
  <si>
    <t>Eta dnom</t>
  </si>
  <si>
    <t>Eta dint</t>
  </si>
  <si>
    <t>Etadmin</t>
  </si>
  <si>
    <t>N. imp eyes</t>
  </si>
  <si>
    <t>n. stadi</t>
  </si>
  <si>
    <t xml:space="preserve"> TM.P. S.p.A. - Termomeccanica Pompe</t>
  </si>
  <si>
    <t>Diagramma N° / Curves N°</t>
  </si>
  <si>
    <t>q</t>
  </si>
  <si>
    <t>h</t>
  </si>
  <si>
    <t>kw</t>
  </si>
  <si>
    <t>npsh</t>
  </si>
  <si>
    <t>mc/h</t>
  </si>
  <si>
    <t xml:space="preserve">       m</t>
  </si>
  <si>
    <t xml:space="preserve">      Kw</t>
  </si>
  <si>
    <t xml:space="preserve">       %</t>
  </si>
  <si>
    <t>eta</t>
  </si>
  <si>
    <t>NPSH</t>
  </si>
  <si>
    <t>q.eta</t>
  </si>
  <si>
    <t>Q.eta</t>
  </si>
  <si>
    <t>spline per Q at Dmax</t>
  </si>
  <si>
    <t>coefficient for spline</t>
  </si>
  <si>
    <t>spline per eta at Dmax</t>
  </si>
  <si>
    <t>spline per NPSH at Dmax</t>
  </si>
  <si>
    <t>spline per eta al taglio 1</t>
  </si>
  <si>
    <t>PRP</t>
  </si>
  <si>
    <t>n</t>
  </si>
  <si>
    <t>D</t>
  </si>
  <si>
    <t>f.eta</t>
  </si>
  <si>
    <t>D.ave</t>
  </si>
  <si>
    <t>Note:</t>
  </si>
  <si>
    <t xml:space="preserve">INSERIMENTO DI CURVA GENERICA E DI UN PUNTO </t>
  </si>
  <si>
    <t>ETA</t>
  </si>
  <si>
    <t>P</t>
  </si>
  <si>
    <t>sss</t>
  </si>
  <si>
    <t>modifica all'NPSH al BEP del diametro massimo calcolato con SSS=cost</t>
  </si>
  <si>
    <t>Esponente "X" per  scalatura NPSHr 
secondo Gulich</t>
  </si>
  <si>
    <t>Esponente "X" per  scalatura NPSHr 
SCELTO 
(velocità e diametro)</t>
  </si>
  <si>
    <t xml:space="preserve">PUNTO </t>
  </si>
  <si>
    <t>CURVA GENERICA</t>
  </si>
  <si>
    <t>% TORNITURA</t>
  </si>
  <si>
    <t>andamento portate modello</t>
  </si>
  <si>
    <t>Andamento del rendimento modello</t>
  </si>
  <si>
    <t>NPSH CON SSS=COST</t>
  </si>
  <si>
    <t>f</t>
  </si>
  <si>
    <t>Qmin*</t>
  </si>
  <si>
    <t>D1</t>
  </si>
  <si>
    <t>Qmax*</t>
  </si>
  <si>
    <t>etabep</t>
  </si>
  <si>
    <t>% tornitura</t>
  </si>
  <si>
    <t>linea di tendenza:</t>
  </si>
  <si>
    <t xml:space="preserve"> coeff. Linea di tendenza</t>
  </si>
  <si>
    <t>rendimento HUTTON
(con numero di giri)</t>
  </si>
  <si>
    <t>rendimento HUTTON
(con prevalenza)</t>
  </si>
  <si>
    <t>rendimento secondo GULICH</t>
  </si>
  <si>
    <t>rendimento Sulzer Handbook 2nd Ed.</t>
  </si>
  <si>
    <t>Media rendimenti</t>
  </si>
  <si>
    <t>D/Dmax</t>
  </si>
  <si>
    <t>eta/etaDmax</t>
  </si>
  <si>
    <t>rendimento al BEP scelto: non implica abbassamento della curva Q-H</t>
  </si>
  <si>
    <t>aumento % delle perdite idrauliche rispetto alla H teorica fattorizzata: implica MODIFICA DELLA Q-H e del RENDIMENTO</t>
  </si>
  <si>
    <t>modifica al rendimento medio calcolato:</t>
  </si>
  <si>
    <t>modifica al rendimento secondo HUTTON:</t>
  </si>
  <si>
    <t>Nq/NqDmax</t>
  </si>
  <si>
    <t>Calcolo rendimento Gulich (Table 3.9)</t>
  </si>
  <si>
    <t>Modello</t>
  </si>
  <si>
    <t>Piena Grandezza</t>
  </si>
  <si>
    <t>curve-prp</t>
  </si>
  <si>
    <t>Esponente fQ/NQ</t>
  </si>
  <si>
    <t>Qref</t>
  </si>
  <si>
    <t>m3/sec</t>
  </si>
  <si>
    <t>NPSH CON sss=COST</t>
  </si>
  <si>
    <t>m3/sec*RPM/m</t>
  </si>
  <si>
    <t>a</t>
  </si>
  <si>
    <t>Coefficiente fQ</t>
  </si>
  <si>
    <r>
      <t>h</t>
    </r>
    <r>
      <rPr>
        <b/>
        <sz val="8"/>
        <rFont val="Arial"/>
        <family val="2"/>
      </rPr>
      <t>mod</t>
    </r>
  </si>
  <si>
    <t>Efficienza Modello</t>
  </si>
  <si>
    <r>
      <t>h</t>
    </r>
    <r>
      <rPr>
        <b/>
        <sz val="8"/>
        <rFont val="Arial"/>
        <family val="2"/>
      </rPr>
      <t>opt</t>
    </r>
  </si>
  <si>
    <t>Radial Pumps Single St.</t>
  </si>
  <si>
    <t>COEFFICIENTI PER BUILDER</t>
  </si>
  <si>
    <t>rpm</t>
  </si>
  <si>
    <t>NPSH/NPSHref</t>
  </si>
  <si>
    <t>ETA/ETAref</t>
  </si>
  <si>
    <t>Note / Notes:</t>
  </si>
  <si>
    <t>VALORI DA INSERIRE IN "AP-All Calcs"</t>
  </si>
  <si>
    <t>Speed</t>
  </si>
  <si>
    <t xml:space="preserve">Qbep </t>
  </si>
  <si>
    <t>Etabep</t>
  </si>
  <si>
    <t xml:space="preserve">Pbep </t>
  </si>
  <si>
    <t>Hqmax</t>
  </si>
  <si>
    <t>esponente MEDIO ETA SALIRE</t>
  </si>
  <si>
    <t>scalatura corve alle dimensioni del modello</t>
  </si>
  <si>
    <t>f.d</t>
  </si>
  <si>
    <t>f.n</t>
  </si>
  <si>
    <t>27 C1PP 53</t>
  </si>
  <si>
    <t>B022995</t>
  </si>
  <si>
    <t>A022906</t>
  </si>
  <si>
    <t>P27348.01-27C1PP53.B</t>
  </si>
  <si>
    <t>WORKING  PERFORMANCE  CURVES</t>
  </si>
  <si>
    <t>max</t>
  </si>
  <si>
    <t>Curves N°</t>
  </si>
  <si>
    <t>D2ave</t>
  </si>
  <si>
    <t>D2tip</t>
  </si>
  <si>
    <t>D2hub</t>
  </si>
  <si>
    <t>Impeller Diameter</t>
  </si>
  <si>
    <t>Q/Qbep</t>
  </si>
  <si>
    <t>Impeller eye area</t>
  </si>
  <si>
    <t xml:space="preserve"> Rotation sense</t>
  </si>
  <si>
    <t>Proposed motor power</t>
  </si>
  <si>
    <t>Impeller pattern</t>
  </si>
  <si>
    <t>Casing pattern</t>
  </si>
  <si>
    <t>Suction nozzle</t>
  </si>
  <si>
    <t>Discharge nozzle</t>
  </si>
  <si>
    <t>1st trim</t>
  </si>
  <si>
    <t>2nd trim</t>
  </si>
  <si>
    <t>monimum</t>
  </si>
  <si>
    <t>trim %</t>
  </si>
  <si>
    <t>1st</t>
  </si>
  <si>
    <t>2nd</t>
  </si>
  <si>
    <t>min</t>
  </si>
  <si>
    <t>n. stages</t>
  </si>
  <si>
    <t>Rotor Speed</t>
  </si>
  <si>
    <t xml:space="preserve"> Facing coupling</t>
  </si>
  <si>
    <t>Z.imp</t>
  </si>
  <si>
    <t>D2.ave</t>
  </si>
  <si>
    <t>Dh</t>
  </si>
  <si>
    <t>CHECK OF INTELLIQUIP POINTS</t>
  </si>
  <si>
    <t>mq</t>
  </si>
  <si>
    <t>mh</t>
  </si>
  <si>
    <t>mQ.eta</t>
  </si>
  <si>
    <t>Dcut</t>
  </si>
  <si>
    <t>check trimming exp</t>
  </si>
  <si>
    <t>Pump name</t>
  </si>
  <si>
    <t>inlet points for the IQ curve difinition</t>
  </si>
  <si>
    <t>examplePCH97</t>
  </si>
  <si>
    <t>test data</t>
  </si>
  <si>
    <t>tolerance error</t>
  </si>
  <si>
    <t>+</t>
  </si>
  <si>
    <t>-</t>
  </si>
  <si>
    <t>1U</t>
  </si>
  <si>
    <t>1B</t>
  </si>
  <si>
    <t>POR</t>
  </si>
  <si>
    <t>out</t>
  </si>
  <si>
    <t>Max diameter check</t>
  </si>
  <si>
    <t>trims best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</si>
</sst>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0.000"/>
    <numFmt numFmtId="167" formatCode="0.0"/>
    <numFmt numFmtId="168" formatCode="0.000000"/>
    <numFmt numFmtId="169" formatCode="0.0%"/>
    <numFmt numFmtId="170" formatCode="0.0000"/>
  </numFmts>
  <fonts count="26" x14ac:knownFonts="1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b/>
      <sz val="7"/>
      <name val="Arial"/>
      <family val="2"/>
    </font>
    <font>
      <b/>
      <sz val="10"/>
      <name val="Arial"/>
      <family val="2"/>
    </font>
    <font>
      <b/>
      <sz val="8"/>
      <name val="Symbol"/>
      <family val="1"/>
      <charset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Symbol"/>
      <family val="1"/>
      <charset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Arial"/>
      <family val="2"/>
    </font>
    <font>
      <sz val="10"/>
      <name val="Arial Narrow"/>
      <family val="2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679">
    <xf numFmtId="0" fontId="0" fillId="0" borderId="0" xfId="0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2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horizontal="right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right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2" fillId="0" borderId="14" xfId="0" applyFont="1" applyBorder="1" applyAlignment="1" applyProtection="1">
      <alignment vertical="center"/>
      <protection locked="0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 applyProtection="1">
      <alignment vertical="center"/>
      <protection locked="0"/>
    </xf>
    <xf numFmtId="0" fontId="2" fillId="0" borderId="8" xfId="0" applyFont="1" applyBorder="1" applyAlignment="1" applyProtection="1">
      <alignment horizontal="right" vertical="center"/>
      <protection locked="0"/>
    </xf>
    <xf numFmtId="0" fontId="4" fillId="0" borderId="16" xfId="0" applyFont="1" applyBorder="1" applyAlignment="1">
      <alignment horizontal="left" vertical="center"/>
    </xf>
    <xf numFmtId="0" fontId="3" fillId="0" borderId="15" xfId="0" applyFont="1" applyBorder="1" applyAlignment="1">
      <alignment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13" fillId="0" borderId="23" xfId="0" applyFont="1" applyBorder="1" applyAlignment="1">
      <alignment horizontal="center"/>
    </xf>
    <xf numFmtId="0" fontId="0" fillId="0" borderId="21" xfId="0" applyBorder="1" applyAlignment="1">
      <alignment vertical="center"/>
    </xf>
    <xf numFmtId="0" fontId="10" fillId="0" borderId="24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23" xfId="0" applyBorder="1" applyAlignment="1">
      <alignment vertical="center"/>
    </xf>
    <xf numFmtId="0" fontId="13" fillId="0" borderId="23" xfId="0" applyFont="1" applyBorder="1" applyAlignment="1">
      <alignment horizontal="center" vertical="center"/>
    </xf>
    <xf numFmtId="0" fontId="13" fillId="0" borderId="23" xfId="0" applyFont="1" applyBorder="1" applyAlignment="1">
      <alignment horizontal="right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10" xfId="0" applyFont="1" applyBorder="1" applyAlignment="1">
      <alignment horizontal="left" vertical="center"/>
    </xf>
    <xf numFmtId="0" fontId="6" fillId="0" borderId="10" xfId="0" applyFont="1" applyBorder="1" applyAlignment="1">
      <alignment horizontal="right" vertical="center"/>
    </xf>
    <xf numFmtId="0" fontId="0" fillId="0" borderId="10" xfId="0" applyBorder="1" applyAlignment="1">
      <alignment vertical="center"/>
    </xf>
    <xf numFmtId="0" fontId="4" fillId="0" borderId="10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7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1" fillId="0" borderId="25" xfId="2" applyBorder="1" applyAlignment="1">
      <alignment vertical="center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quotePrefix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9" fontId="0" fillId="0" borderId="23" xfId="2" applyNumberFormat="1" applyFont="1" applyBorder="1" applyAlignment="1">
      <alignment vertical="center"/>
    </xf>
    <xf numFmtId="169" fontId="0" fillId="0" borderId="27" xfId="2" applyNumberFormat="1" applyFont="1" applyBorder="1" applyAlignment="1">
      <alignment vertical="center"/>
    </xf>
    <xf numFmtId="169" fontId="0" fillId="0" borderId="28" xfId="2" applyNumberFormat="1" applyFont="1" applyBorder="1" applyAlignment="1">
      <alignment vertical="center"/>
    </xf>
    <xf numFmtId="169" fontId="0" fillId="0" borderId="29" xfId="2" applyNumberFormat="1" applyFont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30" xfId="0" applyBorder="1" applyAlignment="1">
      <alignment vertical="center"/>
    </xf>
    <xf numFmtId="9" fontId="0" fillId="0" borderId="0" xfId="2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31" xfId="0" applyBorder="1" applyAlignment="1">
      <alignment vertical="center"/>
    </xf>
    <xf numFmtId="9" fontId="0" fillId="0" borderId="31" xfId="2" applyFont="1" applyBorder="1" applyAlignment="1">
      <alignment vertical="center"/>
    </xf>
    <xf numFmtId="9" fontId="0" fillId="0" borderId="32" xfId="2" applyFont="1" applyBorder="1" applyAlignment="1">
      <alignment vertical="center"/>
    </xf>
    <xf numFmtId="0" fontId="0" fillId="3" borderId="23" xfId="0" applyFill="1" applyBorder="1" applyAlignment="1">
      <alignment horizontal="center" vertical="center"/>
    </xf>
    <xf numFmtId="0" fontId="0" fillId="0" borderId="23" xfId="0" applyBorder="1" applyAlignment="1">
      <alignment horizontal="right" vertical="center"/>
    </xf>
    <xf numFmtId="0" fontId="0" fillId="3" borderId="24" xfId="0" applyFill="1" applyBorder="1" applyAlignment="1">
      <alignment vertical="center"/>
    </xf>
    <xf numFmtId="9" fontId="0" fillId="0" borderId="3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left" vertical="center"/>
    </xf>
    <xf numFmtId="0" fontId="13" fillId="0" borderId="29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0" xfId="0" applyFont="1"/>
    <xf numFmtId="0" fontId="16" fillId="0" borderId="28" xfId="0" applyFont="1" applyBorder="1"/>
    <xf numFmtId="0" fontId="17" fillId="0" borderId="28" xfId="0" applyFont="1" applyBorder="1"/>
    <xf numFmtId="0" fontId="17" fillId="0" borderId="29" xfId="0" applyFont="1" applyBorder="1"/>
    <xf numFmtId="0" fontId="16" fillId="0" borderId="28" xfId="0" applyFont="1" applyBorder="1" applyAlignment="1">
      <alignment horizontal="center"/>
    </xf>
    <xf numFmtId="0" fontId="16" fillId="0" borderId="28" xfId="0" applyFont="1" applyBorder="1" applyAlignment="1">
      <alignment horizontal="left"/>
    </xf>
    <xf numFmtId="2" fontId="15" fillId="4" borderId="23" xfId="0" applyNumberFormat="1" applyFont="1" applyFill="1" applyBorder="1" applyAlignment="1">
      <alignment horizontal="center"/>
    </xf>
    <xf numFmtId="2" fontId="15" fillId="4" borderId="30" xfId="0" applyNumberFormat="1" applyFont="1" applyFill="1" applyBorder="1" applyAlignment="1">
      <alignment horizontal="center"/>
    </xf>
    <xf numFmtId="2" fontId="15" fillId="4" borderId="27" xfId="0" quotePrefix="1" applyNumberFormat="1" applyFont="1" applyFill="1" applyBorder="1" applyAlignment="1">
      <alignment horizontal="center"/>
    </xf>
    <xf numFmtId="2" fontId="15" fillId="4" borderId="36" xfId="0" quotePrefix="1" applyNumberFormat="1" applyFont="1" applyFill="1" applyBorder="1" applyAlignment="1">
      <alignment horizontal="center"/>
    </xf>
    <xf numFmtId="0" fontId="13" fillId="0" borderId="30" xfId="0" applyFont="1" applyBorder="1" applyAlignment="1">
      <alignment horizontal="center"/>
    </xf>
    <xf numFmtId="9" fontId="0" fillId="4" borderId="31" xfId="0" applyNumberFormat="1" applyFill="1" applyBorder="1" applyAlignment="1">
      <alignment horizontal="center" vertical="center"/>
    </xf>
    <xf numFmtId="9" fontId="0" fillId="4" borderId="32" xfId="0" applyNumberFormat="1" applyFill="1" applyBorder="1" applyAlignment="1">
      <alignment horizontal="center" vertical="center"/>
    </xf>
    <xf numFmtId="167" fontId="7" fillId="3" borderId="10" xfId="0" applyNumberFormat="1" applyFont="1" applyFill="1" applyBorder="1" applyAlignment="1">
      <alignment horizontal="center" vertical="center"/>
    </xf>
    <xf numFmtId="167" fontId="5" fillId="4" borderId="18" xfId="0" applyNumberFormat="1" applyFont="1" applyFill="1" applyBorder="1" applyAlignment="1">
      <alignment horizontal="center" vertical="center"/>
    </xf>
    <xf numFmtId="167" fontId="5" fillId="4" borderId="10" xfId="0" applyNumberFormat="1" applyFont="1" applyFill="1" applyBorder="1" applyAlignment="1" applyProtection="1">
      <alignment horizontal="center" vertical="center"/>
      <protection locked="0"/>
    </xf>
    <xf numFmtId="1" fontId="5" fillId="4" borderId="37" xfId="0" applyNumberFormat="1" applyFont="1" applyFill="1" applyBorder="1" applyAlignment="1" applyProtection="1">
      <alignment horizontal="center" vertical="center"/>
      <protection locked="0"/>
    </xf>
    <xf numFmtId="0" fontId="5" fillId="3" borderId="21" xfId="0" applyFont="1" applyFill="1" applyBorder="1" applyAlignment="1">
      <alignment horizontal="center" vertical="center"/>
    </xf>
    <xf numFmtId="167" fontId="4" fillId="4" borderId="23" xfId="0" applyNumberFormat="1" applyFont="1" applyFill="1" applyBorder="1" applyAlignment="1">
      <alignment horizontal="center" vertical="center"/>
    </xf>
    <xf numFmtId="167" fontId="0" fillId="4" borderId="2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left" vertical="center"/>
    </xf>
    <xf numFmtId="2" fontId="0" fillId="4" borderId="30" xfId="0" applyNumberFormat="1" applyFill="1" applyBorder="1" applyAlignment="1">
      <alignment horizontal="center" vertical="center"/>
    </xf>
    <xf numFmtId="2" fontId="0" fillId="4" borderId="36" xfId="0" applyNumberFormat="1" applyFill="1" applyBorder="1" applyAlignment="1">
      <alignment horizontal="center" vertical="center"/>
    </xf>
    <xf numFmtId="2" fontId="13" fillId="4" borderId="28" xfId="0" applyNumberFormat="1" applyFont="1" applyFill="1" applyBorder="1" applyAlignment="1">
      <alignment horizontal="center" vertical="center"/>
    </xf>
    <xf numFmtId="0" fontId="5" fillId="3" borderId="38" xfId="0" quotePrefix="1" applyFont="1" applyFill="1" applyBorder="1" applyAlignment="1" applyProtection="1">
      <alignment horizontal="center" vertical="center"/>
      <protection locked="0"/>
    </xf>
    <xf numFmtId="0" fontId="5" fillId="3" borderId="37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 applyProtection="1">
      <alignment horizontal="right" vertical="center"/>
      <protection locked="0"/>
    </xf>
    <xf numFmtId="0" fontId="5" fillId="3" borderId="10" xfId="0" applyFont="1" applyFill="1" applyBorder="1" applyAlignment="1" applyProtection="1">
      <alignment horizontal="right" vertical="center"/>
      <protection locked="0"/>
    </xf>
    <xf numFmtId="167" fontId="5" fillId="3" borderId="14" xfId="0" quotePrefix="1" applyNumberFormat="1" applyFont="1" applyFill="1" applyBorder="1" applyAlignment="1" applyProtection="1">
      <alignment horizontal="center" vertical="center"/>
      <protection locked="0"/>
    </xf>
    <xf numFmtId="0" fontId="2" fillId="3" borderId="18" xfId="0" quotePrefix="1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39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5" fillId="4" borderId="10" xfId="0" quotePrefix="1" applyFont="1" applyFill="1" applyBorder="1" applyAlignment="1" applyProtection="1">
      <alignment horizontal="center" vertical="center"/>
      <protection locked="0"/>
    </xf>
    <xf numFmtId="167" fontId="0" fillId="4" borderId="0" xfId="0" applyNumberFormat="1" applyFill="1" applyAlignment="1">
      <alignment horizontal="center" vertical="center"/>
    </xf>
    <xf numFmtId="2" fontId="13" fillId="4" borderId="41" xfId="0" quotePrefix="1" applyNumberFormat="1" applyFont="1" applyFill="1" applyBorder="1" applyAlignment="1">
      <alignment horizontal="center" vertical="center"/>
    </xf>
    <xf numFmtId="167" fontId="13" fillId="4" borderId="32" xfId="0" applyNumberFormat="1" applyFont="1" applyFill="1" applyBorder="1" applyAlignment="1">
      <alignment horizontal="center" vertical="center"/>
    </xf>
    <xf numFmtId="9" fontId="1" fillId="4" borderId="31" xfId="2" applyFill="1" applyBorder="1" applyAlignment="1">
      <alignment horizontal="center" vertical="center"/>
    </xf>
    <xf numFmtId="9" fontId="1" fillId="0" borderId="0" xfId="2" applyBorder="1" applyAlignment="1">
      <alignment horizontal="center" vertical="center"/>
    </xf>
    <xf numFmtId="9" fontId="1" fillId="4" borderId="32" xfId="2" applyFill="1" applyBorder="1" applyAlignment="1">
      <alignment horizontal="center" vertical="center"/>
    </xf>
    <xf numFmtId="167" fontId="4" fillId="4" borderId="42" xfId="0" applyNumberFormat="1" applyFont="1" applyFill="1" applyBorder="1" applyAlignment="1">
      <alignment horizontal="center" vertical="center"/>
    </xf>
    <xf numFmtId="0" fontId="0" fillId="4" borderId="22" xfId="0" applyFill="1" applyBorder="1" applyAlignment="1">
      <alignment vertical="center"/>
    </xf>
    <xf numFmtId="9" fontId="1" fillId="4" borderId="31" xfId="2" applyFill="1" applyBorder="1" applyAlignment="1">
      <alignment vertical="center"/>
    </xf>
    <xf numFmtId="0" fontId="0" fillId="0" borderId="43" xfId="0" applyBorder="1" applyAlignment="1">
      <alignment vertical="center"/>
    </xf>
    <xf numFmtId="9" fontId="1" fillId="4" borderId="44" xfId="2" applyFill="1" applyBorder="1" applyAlignment="1">
      <alignment vertical="center"/>
    </xf>
    <xf numFmtId="2" fontId="0" fillId="4" borderId="0" xfId="0" applyNumberFormat="1" applyFill="1" applyAlignment="1">
      <alignment horizontal="center" vertical="center"/>
    </xf>
    <xf numFmtId="9" fontId="0" fillId="0" borderId="25" xfId="2" applyFont="1" applyFill="1" applyBorder="1" applyAlignment="1">
      <alignment vertical="center"/>
    </xf>
    <xf numFmtId="167" fontId="0" fillId="4" borderId="25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2" fontId="0" fillId="4" borderId="21" xfId="0" applyNumberFormat="1" applyFill="1" applyBorder="1" applyAlignment="1">
      <alignment horizontal="center" vertical="center"/>
    </xf>
    <xf numFmtId="9" fontId="0" fillId="4" borderId="7" xfId="0" applyNumberFormat="1" applyFill="1" applyBorder="1" applyAlignment="1">
      <alignment horizontal="center" vertical="center"/>
    </xf>
    <xf numFmtId="9" fontId="0" fillId="4" borderId="17" xfId="0" applyNumberFormat="1" applyFill="1" applyBorder="1" applyAlignment="1">
      <alignment horizontal="center" vertical="center"/>
    </xf>
    <xf numFmtId="167" fontId="0" fillId="4" borderId="31" xfId="0" applyNumberFormat="1" applyFill="1" applyBorder="1" applyAlignment="1">
      <alignment horizontal="center" vertical="center"/>
    </xf>
    <xf numFmtId="167" fontId="0" fillId="4" borderId="32" xfId="0" applyNumberFormat="1" applyFill="1" applyBorder="1" applyAlignment="1">
      <alignment horizontal="center" vertical="center"/>
    </xf>
    <xf numFmtId="169" fontId="13" fillId="4" borderId="45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169" fontId="13" fillId="4" borderId="46" xfId="0" applyNumberFormat="1" applyFont="1" applyFill="1" applyBorder="1" applyAlignment="1" applyProtection="1">
      <alignment horizontal="center" vertical="center"/>
      <protection locked="0"/>
    </xf>
    <xf numFmtId="169" fontId="13" fillId="3" borderId="22" xfId="0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/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5" xfId="0" applyBorder="1"/>
    <xf numFmtId="9" fontId="0" fillId="4" borderId="26" xfId="0" applyNumberForma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2" fontId="13" fillId="3" borderId="41" xfId="0" quotePrefix="1" applyNumberFormat="1" applyFont="1" applyFill="1" applyBorder="1" applyAlignment="1">
      <alignment horizontal="center" vertical="center"/>
    </xf>
    <xf numFmtId="169" fontId="13" fillId="4" borderId="41" xfId="2" applyNumberFormat="1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0" fillId="3" borderId="30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7" fontId="4" fillId="4" borderId="28" xfId="0" applyNumberFormat="1" applyFont="1" applyFill="1" applyBorder="1" applyAlignment="1">
      <alignment horizontal="center" vertical="center"/>
    </xf>
    <xf numFmtId="167" fontId="4" fillId="4" borderId="29" xfId="0" applyNumberFormat="1" applyFont="1" applyFill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10" fontId="9" fillId="0" borderId="0" xfId="2" applyNumberFormat="1" applyFont="1" applyFill="1" applyBorder="1" applyAlignment="1" applyProtection="1">
      <alignment horizontal="center" vertical="center"/>
      <protection locked="0"/>
    </xf>
    <xf numFmtId="10" fontId="1" fillId="0" borderId="0" xfId="2" applyNumberFormat="1" applyFont="1" applyFill="1" applyBorder="1" applyAlignment="1">
      <alignment vertical="center"/>
    </xf>
    <xf numFmtId="10" fontId="1" fillId="0" borderId="10" xfId="2" applyNumberFormat="1" applyFont="1" applyFill="1" applyBorder="1" applyAlignment="1">
      <alignment vertical="center"/>
    </xf>
    <xf numFmtId="2" fontId="9" fillId="0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169" fontId="1" fillId="4" borderId="28" xfId="2" applyNumberFormat="1" applyFill="1" applyBorder="1" applyAlignment="1">
      <alignment horizontal="center" vertical="center"/>
    </xf>
    <xf numFmtId="169" fontId="1" fillId="4" borderId="30" xfId="2" applyNumberFormat="1" applyFill="1" applyBorder="1" applyAlignment="1">
      <alignment horizontal="center" vertical="center"/>
    </xf>
    <xf numFmtId="169" fontId="1" fillId="4" borderId="29" xfId="2" applyNumberFormat="1" applyFill="1" applyBorder="1" applyAlignment="1">
      <alignment horizontal="center" vertical="center"/>
    </xf>
    <xf numFmtId="169" fontId="1" fillId="4" borderId="36" xfId="2" applyNumberFormat="1" applyFill="1" applyBorder="1" applyAlignment="1">
      <alignment horizontal="center" vertical="center"/>
    </xf>
    <xf numFmtId="169" fontId="0" fillId="0" borderId="0" xfId="2" applyNumberFormat="1" applyFont="1" applyFill="1" applyBorder="1" applyAlignment="1">
      <alignment horizontal="center" vertical="center"/>
    </xf>
    <xf numFmtId="169" fontId="4" fillId="0" borderId="0" xfId="2" applyNumberFormat="1" applyFont="1" applyFill="1" applyBorder="1" applyAlignment="1">
      <alignment horizontal="center" vertical="center"/>
    </xf>
    <xf numFmtId="168" fontId="1" fillId="0" borderId="0" xfId="2" applyNumberFormat="1" applyFill="1" applyBorder="1" applyAlignment="1">
      <alignment horizontal="right" vertical="center"/>
    </xf>
    <xf numFmtId="0" fontId="0" fillId="4" borderId="33" xfId="0" applyFill="1" applyBorder="1" applyAlignment="1">
      <alignment vertical="center"/>
    </xf>
    <xf numFmtId="0" fontId="0" fillId="4" borderId="48" xfId="0" applyFill="1" applyBorder="1" applyAlignment="1">
      <alignment vertical="center"/>
    </xf>
    <xf numFmtId="0" fontId="0" fillId="4" borderId="49" xfId="0" applyFill="1" applyBorder="1" applyAlignment="1">
      <alignment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4" fillId="4" borderId="48" xfId="0" applyNumberFormat="1" applyFont="1" applyFill="1" applyBorder="1" applyAlignment="1">
      <alignment horizontal="center" vertical="center"/>
    </xf>
    <xf numFmtId="167" fontId="4" fillId="4" borderId="47" xfId="0" applyNumberFormat="1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167" fontId="7" fillId="0" borderId="53" xfId="0" applyNumberFormat="1" applyFont="1" applyBorder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167" fontId="0" fillId="4" borderId="28" xfId="0" applyNumberFormat="1" applyFill="1" applyBorder="1" applyAlignment="1">
      <alignment horizontal="center" vertical="center"/>
    </xf>
    <xf numFmtId="167" fontId="0" fillId="4" borderId="29" xfId="0" applyNumberFormat="1" applyFill="1" applyBorder="1" applyAlignment="1">
      <alignment horizontal="center" vertical="center"/>
    </xf>
    <xf numFmtId="2" fontId="13" fillId="0" borderId="56" xfId="0" applyNumberFormat="1" applyFont="1" applyBorder="1" applyAlignment="1">
      <alignment horizontal="center" vertical="center" wrapText="1"/>
    </xf>
    <xf numFmtId="2" fontId="13" fillId="0" borderId="48" xfId="0" applyNumberFormat="1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7" fontId="7" fillId="3" borderId="0" xfId="0" applyNumberFormat="1" applyFont="1" applyFill="1" applyAlignment="1">
      <alignment horizontal="center" vertical="center"/>
    </xf>
    <xf numFmtId="166" fontId="0" fillId="4" borderId="23" xfId="0" applyNumberFormat="1" applyFill="1" applyBorder="1" applyAlignment="1">
      <alignment horizontal="center" vertical="center"/>
    </xf>
    <xf numFmtId="166" fontId="0" fillId="4" borderId="30" xfId="0" applyNumberFormat="1" applyFill="1" applyBorder="1" applyAlignment="1">
      <alignment horizontal="center" vertical="center"/>
    </xf>
    <xf numFmtId="166" fontId="0" fillId="4" borderId="27" xfId="0" applyNumberFormat="1" applyFill="1" applyBorder="1" applyAlignment="1">
      <alignment horizontal="center" vertical="center"/>
    </xf>
    <xf numFmtId="166" fontId="0" fillId="4" borderId="36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59" xfId="0" applyBorder="1" applyAlignment="1">
      <alignment vertical="center"/>
    </xf>
    <xf numFmtId="2" fontId="0" fillId="0" borderId="27" xfId="0" applyNumberFormat="1" applyBorder="1" applyAlignment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quotePrefix="1" applyFont="1" applyBorder="1" applyAlignment="1">
      <alignment horizontal="center" vertical="center"/>
    </xf>
    <xf numFmtId="0" fontId="1" fillId="0" borderId="25" xfId="0" applyFont="1" applyBorder="1"/>
    <xf numFmtId="0" fontId="1" fillId="0" borderId="0" xfId="0" applyFont="1"/>
    <xf numFmtId="0" fontId="1" fillId="0" borderId="26" xfId="0" applyFont="1" applyBorder="1"/>
    <xf numFmtId="0" fontId="1" fillId="0" borderId="14" xfId="0" applyFont="1" applyBorder="1"/>
    <xf numFmtId="167" fontId="1" fillId="0" borderId="0" xfId="0" applyNumberFormat="1" applyFont="1" applyAlignment="1">
      <alignment horizontal="center"/>
    </xf>
    <xf numFmtId="167" fontId="1" fillId="0" borderId="21" xfId="0" applyNumberFormat="1" applyFont="1" applyBorder="1" applyAlignment="1">
      <alignment horizontal="center"/>
    </xf>
    <xf numFmtId="0" fontId="1" fillId="0" borderId="21" xfId="0" applyFont="1" applyBorder="1"/>
    <xf numFmtId="0" fontId="1" fillId="0" borderId="10" xfId="0" applyFont="1" applyBorder="1"/>
    <xf numFmtId="0" fontId="20" fillId="6" borderId="0" xfId="0" applyFont="1" applyFill="1"/>
    <xf numFmtId="0" fontId="0" fillId="5" borderId="23" xfId="0" applyFill="1" applyBorder="1"/>
    <xf numFmtId="0" fontId="0" fillId="0" borderId="6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7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67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0" fontId="0" fillId="5" borderId="25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6" xfId="0" applyFill="1" applyBorder="1" applyAlignment="1">
      <alignment vertical="center"/>
    </xf>
    <xf numFmtId="0" fontId="1" fillId="0" borderId="24" xfId="0" applyFont="1" applyBorder="1"/>
    <xf numFmtId="0" fontId="1" fillId="0" borderId="22" xfId="0" applyFont="1" applyBorder="1"/>
    <xf numFmtId="169" fontId="0" fillId="4" borderId="0" xfId="2" applyNumberFormat="1" applyFont="1" applyFill="1" applyBorder="1" applyAlignment="1">
      <alignment vertical="center"/>
    </xf>
    <xf numFmtId="0" fontId="0" fillId="4" borderId="68" xfId="0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11" fontId="0" fillId="4" borderId="70" xfId="0" applyNumberFormat="1" applyFill="1" applyBorder="1" applyAlignment="1">
      <alignment vertical="center"/>
    </xf>
    <xf numFmtId="0" fontId="0" fillId="7" borderId="0" xfId="0" applyFill="1" applyAlignment="1">
      <alignment vertical="center"/>
    </xf>
    <xf numFmtId="0" fontId="22" fillId="0" borderId="65" xfId="0" applyFont="1" applyBorder="1" applyAlignment="1">
      <alignment horizontal="center"/>
    </xf>
    <xf numFmtId="0" fontId="0" fillId="5" borderId="0" xfId="0" applyFill="1"/>
    <xf numFmtId="0" fontId="0" fillId="5" borderId="26" xfId="0" applyFill="1" applyBorder="1"/>
    <xf numFmtId="0" fontId="20" fillId="6" borderId="21" xfId="0" applyFont="1" applyFill="1" applyBorder="1"/>
    <xf numFmtId="0" fontId="13" fillId="0" borderId="26" xfId="0" applyFon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22" fillId="9" borderId="65" xfId="0" quotePrefix="1" applyNumberFormat="1" applyFont="1" applyFill="1" applyBorder="1" applyAlignment="1">
      <alignment horizontal="center" vertical="center"/>
    </xf>
    <xf numFmtId="2" fontId="22" fillId="9" borderId="42" xfId="0" quotePrefix="1" applyNumberFormat="1" applyFont="1" applyFill="1" applyBorder="1" applyAlignment="1">
      <alignment horizontal="center" vertical="center"/>
    </xf>
    <xf numFmtId="2" fontId="8" fillId="10" borderId="42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167" fontId="8" fillId="10" borderId="23" xfId="0" applyNumberFormat="1" applyFont="1" applyFill="1" applyBorder="1" applyAlignment="1">
      <alignment horizontal="center" vertical="center"/>
    </xf>
    <xf numFmtId="167" fontId="13" fillId="12" borderId="23" xfId="0" applyNumberFormat="1" applyFont="1" applyFill="1" applyBorder="1" applyAlignment="1">
      <alignment horizontal="center" vertical="center"/>
    </xf>
    <xf numFmtId="2" fontId="13" fillId="9" borderId="42" xfId="0" quotePrefix="1" applyNumberFormat="1" applyFont="1" applyFill="1" applyBorder="1" applyAlignment="1">
      <alignment horizontal="center" vertical="center"/>
    </xf>
    <xf numFmtId="167" fontId="13" fillId="10" borderId="23" xfId="0" applyNumberFormat="1" applyFont="1" applyFill="1" applyBorder="1" applyAlignment="1">
      <alignment horizontal="center" vertical="center"/>
    </xf>
    <xf numFmtId="2" fontId="13" fillId="12" borderId="42" xfId="0" quotePrefix="1" applyNumberFormat="1" applyFont="1" applyFill="1" applyBorder="1" applyAlignment="1">
      <alignment horizontal="center" vertical="center"/>
    </xf>
    <xf numFmtId="2" fontId="13" fillId="9" borderId="23" xfId="0" quotePrefix="1" applyNumberFormat="1" applyFont="1" applyFill="1" applyBorder="1" applyAlignment="1">
      <alignment horizontal="center" vertical="center"/>
    </xf>
    <xf numFmtId="2" fontId="22" fillId="11" borderId="23" xfId="0" applyNumberFormat="1" applyFont="1" applyFill="1" applyBorder="1" applyAlignment="1">
      <alignment horizontal="center" vertical="center"/>
    </xf>
    <xf numFmtId="2" fontId="22" fillId="10" borderId="23" xfId="0" quotePrefix="1" applyNumberFormat="1" applyFont="1" applyFill="1" applyBorder="1" applyAlignment="1">
      <alignment horizontal="center" vertical="center"/>
    </xf>
    <xf numFmtId="2" fontId="22" fillId="10" borderId="23" xfId="0" applyNumberFormat="1" applyFont="1" applyFill="1" applyBorder="1" applyAlignment="1" applyProtection="1">
      <alignment horizontal="center" vertical="center"/>
      <protection locked="0"/>
    </xf>
    <xf numFmtId="2" fontId="22" fillId="12" borderId="23" xfId="0" quotePrefix="1" applyNumberFormat="1" applyFont="1" applyFill="1" applyBorder="1" applyAlignment="1">
      <alignment horizontal="center" vertical="center"/>
    </xf>
    <xf numFmtId="2" fontId="22" fillId="12" borderId="23" xfId="0" applyNumberFormat="1" applyFont="1" applyFill="1" applyBorder="1" applyAlignment="1" applyProtection="1">
      <alignment horizontal="center" vertical="center"/>
      <protection locked="0"/>
    </xf>
    <xf numFmtId="0" fontId="23" fillId="10" borderId="23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" fontId="5" fillId="0" borderId="23" xfId="0" applyNumberFormat="1" applyFont="1" applyBorder="1" applyAlignment="1" applyProtection="1">
      <alignment horizontal="center" vertical="center"/>
      <protection locked="0"/>
    </xf>
    <xf numFmtId="0" fontId="5" fillId="0" borderId="23" xfId="0" quotePrefix="1" applyFont="1" applyBorder="1" applyAlignment="1" applyProtection="1">
      <alignment horizontal="center" vertical="center"/>
      <protection locked="0"/>
    </xf>
    <xf numFmtId="9" fontId="0" fillId="0" borderId="10" xfId="2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9" fontId="0" fillId="0" borderId="0" xfId="2" applyFont="1" applyFill="1" applyBorder="1" applyAlignment="1">
      <alignment vertical="center"/>
    </xf>
    <xf numFmtId="169" fontId="0" fillId="0" borderId="0" xfId="2" applyNumberFormat="1" applyFont="1" applyFill="1" applyBorder="1" applyAlignment="1">
      <alignment vertic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67" fontId="1" fillId="0" borderId="0" xfId="0" applyNumberFormat="1" applyFont="1" applyAlignment="1" applyProtection="1">
      <alignment horizontal="center"/>
      <protection locked="0"/>
    </xf>
    <xf numFmtId="167" fontId="1" fillId="0" borderId="10" xfId="0" applyNumberFormat="1" applyFont="1" applyBorder="1" applyAlignment="1">
      <alignment horizontal="center"/>
    </xf>
    <xf numFmtId="2" fontId="0" fillId="0" borderId="10" xfId="0" applyNumberFormat="1" applyBorder="1" applyAlignment="1">
      <alignment vertical="center"/>
    </xf>
    <xf numFmtId="9" fontId="0" fillId="13" borderId="25" xfId="2" applyFont="1" applyFill="1" applyBorder="1" applyAlignment="1">
      <alignment vertical="center"/>
    </xf>
    <xf numFmtId="9" fontId="1" fillId="13" borderId="31" xfId="2" applyFill="1" applyBorder="1" applyAlignment="1">
      <alignment vertical="center"/>
    </xf>
    <xf numFmtId="9" fontId="1" fillId="13" borderId="25" xfId="2" applyFill="1" applyBorder="1" applyAlignment="1">
      <alignment vertical="center"/>
    </xf>
    <xf numFmtId="0" fontId="0" fillId="13" borderId="0" xfId="0" applyFill="1" applyAlignment="1">
      <alignment vertical="center"/>
    </xf>
    <xf numFmtId="0" fontId="1" fillId="7" borderId="10" xfId="0" applyFont="1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7" fillId="3" borderId="2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167" fontId="15" fillId="4" borderId="55" xfId="4" applyNumberFormat="1" applyFont="1" applyFill="1" applyBorder="1" applyAlignment="1">
      <alignment horizontal="center" vertical="center"/>
    </xf>
    <xf numFmtId="167" fontId="15" fillId="4" borderId="9" xfId="4" applyNumberFormat="1" applyFont="1" applyFill="1" applyBorder="1" applyAlignment="1">
      <alignment horizontal="center" vertical="center"/>
    </xf>
    <xf numFmtId="167" fontId="15" fillId="4" borderId="23" xfId="4" applyNumberFormat="1" applyFont="1" applyFill="1" applyBorder="1" applyAlignment="1">
      <alignment horizontal="center" vertical="center"/>
    </xf>
    <xf numFmtId="167" fontId="15" fillId="4" borderId="60" xfId="4" applyNumberFormat="1" applyFont="1" applyFill="1" applyBorder="1" applyAlignment="1">
      <alignment horizontal="center" vertical="center"/>
    </xf>
    <xf numFmtId="167" fontId="15" fillId="4" borderId="71" xfId="4" applyNumberFormat="1" applyFont="1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26" xfId="0" applyFont="1" applyBorder="1" applyAlignment="1">
      <alignment vertical="center"/>
    </xf>
    <xf numFmtId="9" fontId="1" fillId="0" borderId="74" xfId="0" applyNumberFormat="1" applyFont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4" fillId="7" borderId="32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70" fontId="0" fillId="0" borderId="26" xfId="0" applyNumberFormat="1" applyBorder="1" applyAlignment="1">
      <alignment horizontal="left" vertical="center"/>
    </xf>
    <xf numFmtId="0" fontId="24" fillId="7" borderId="10" xfId="0" quotePrefix="1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right" vertical="center"/>
    </xf>
    <xf numFmtId="0" fontId="1" fillId="0" borderId="19" xfId="4" applyBorder="1" applyAlignment="1">
      <alignment vertical="center"/>
    </xf>
    <xf numFmtId="0" fontId="1" fillId="0" borderId="18" xfId="4" applyBorder="1" applyAlignment="1">
      <alignment vertical="center"/>
    </xf>
    <xf numFmtId="0" fontId="1" fillId="0" borderId="70" xfId="4" applyBorder="1" applyAlignment="1">
      <alignment vertical="center"/>
    </xf>
    <xf numFmtId="167" fontId="0" fillId="0" borderId="0" xfId="0" applyNumberFormat="1" applyAlignment="1">
      <alignment vertical="center"/>
    </xf>
    <xf numFmtId="9" fontId="9" fillId="0" borderId="0" xfId="2" applyFont="1" applyFill="1" applyBorder="1" applyAlignment="1">
      <alignment horizontal="center"/>
    </xf>
    <xf numFmtId="169" fontId="9" fillId="0" borderId="0" xfId="2" applyNumberFormat="1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2" fontId="0" fillId="14" borderId="0" xfId="0" applyNumberFormat="1" applyFill="1"/>
    <xf numFmtId="169" fontId="13" fillId="14" borderId="41" xfId="0" applyNumberFormat="1" applyFont="1" applyFill="1" applyBorder="1" applyAlignment="1" applyProtection="1">
      <alignment horizontal="center" vertical="center"/>
      <protection locked="0"/>
    </xf>
    <xf numFmtId="0" fontId="1" fillId="0" borderId="23" xfId="4" applyBorder="1" applyAlignment="1">
      <alignment vertical="center"/>
    </xf>
    <xf numFmtId="167" fontId="1" fillId="0" borderId="66" xfId="0" applyNumberFormat="1" applyFont="1" applyBorder="1" applyAlignment="1">
      <alignment horizontal="center"/>
    </xf>
    <xf numFmtId="2" fontId="22" fillId="10" borderId="16" xfId="0" quotePrefix="1" applyNumberFormat="1" applyFont="1" applyFill="1" applyBorder="1" applyAlignment="1">
      <alignment horizontal="center" vertical="center"/>
    </xf>
    <xf numFmtId="2" fontId="22" fillId="12" borderId="16" xfId="0" quotePrefix="1" applyNumberFormat="1" applyFont="1" applyFill="1" applyBorder="1" applyAlignment="1">
      <alignment horizontal="center" vertical="center"/>
    </xf>
    <xf numFmtId="2" fontId="22" fillId="9" borderId="23" xfId="0" quotePrefix="1" applyNumberFormat="1" applyFont="1" applyFill="1" applyBorder="1" applyAlignment="1">
      <alignment horizontal="center" vertical="center"/>
    </xf>
    <xf numFmtId="2" fontId="22" fillId="10" borderId="23" xfId="0" applyNumberFormat="1" applyFont="1" applyFill="1" applyBorder="1" applyAlignment="1">
      <alignment horizontal="center" vertical="center"/>
    </xf>
    <xf numFmtId="2" fontId="22" fillId="12" borderId="23" xfId="0" applyNumberFormat="1" applyFont="1" applyFill="1" applyBorder="1" applyAlignment="1">
      <alignment horizontal="center" vertical="center"/>
    </xf>
    <xf numFmtId="2" fontId="21" fillId="8" borderId="23" xfId="0" applyNumberFormat="1" applyFont="1" applyFill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2" xfId="0" applyFont="1" applyBorder="1"/>
    <xf numFmtId="2" fontId="1" fillId="4" borderId="23" xfId="0" applyNumberFormat="1" applyFont="1" applyFill="1" applyBorder="1" applyAlignment="1">
      <alignment horizontal="center" vertical="center"/>
    </xf>
    <xf numFmtId="0" fontId="1" fillId="0" borderId="23" xfId="0" applyFont="1" applyBorder="1"/>
    <xf numFmtId="0" fontId="4" fillId="7" borderId="23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2" xfId="0" applyFont="1" applyFill="1" applyBorder="1" applyAlignment="1" applyProtection="1">
      <alignment horizontal="right" vertical="center"/>
      <protection locked="0"/>
    </xf>
    <xf numFmtId="0" fontId="2" fillId="13" borderId="10" xfId="0" quotePrefix="1" applyFont="1" applyFill="1" applyBorder="1" applyAlignment="1" applyProtection="1">
      <alignment horizontal="center" vertical="center"/>
      <protection locked="0"/>
    </xf>
    <xf numFmtId="0" fontId="4" fillId="7" borderId="10" xfId="0" applyFont="1" applyFill="1" applyBorder="1" applyAlignment="1">
      <alignment vertical="center"/>
    </xf>
    <xf numFmtId="0" fontId="10" fillId="14" borderId="61" xfId="0" applyFont="1" applyFill="1" applyBorder="1" applyAlignment="1">
      <alignment vertical="center"/>
    </xf>
    <xf numFmtId="0" fontId="7" fillId="14" borderId="62" xfId="0" applyFont="1" applyFill="1" applyBorder="1" applyAlignment="1">
      <alignment vertical="center"/>
    </xf>
    <xf numFmtId="0" fontId="10" fillId="14" borderId="62" xfId="0" applyFont="1" applyFill="1" applyBorder="1" applyAlignment="1">
      <alignment vertical="center"/>
    </xf>
    <xf numFmtId="0" fontId="4" fillId="14" borderId="63" xfId="0" applyFont="1" applyFill="1" applyBorder="1" applyAlignment="1">
      <alignment vertical="center"/>
    </xf>
    <xf numFmtId="0" fontId="4" fillId="14" borderId="62" xfId="0" applyFont="1" applyFill="1" applyBorder="1" applyAlignment="1">
      <alignment vertical="center"/>
    </xf>
    <xf numFmtId="0" fontId="25" fillId="7" borderId="42" xfId="0" applyFont="1" applyFill="1" applyBorder="1" applyAlignment="1">
      <alignment horizontal="center" vertical="center"/>
    </xf>
    <xf numFmtId="0" fontId="25" fillId="0" borderId="0" xfId="0" applyFont="1"/>
    <xf numFmtId="0" fontId="25" fillId="0" borderId="0" xfId="0" applyFont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23" xfId="0" applyFont="1" applyBorder="1"/>
    <xf numFmtId="0" fontId="25" fillId="7" borderId="56" xfId="0" applyFont="1" applyFill="1" applyBorder="1" applyAlignment="1">
      <alignment horizontal="center" vertical="center"/>
    </xf>
    <xf numFmtId="0" fontId="25" fillId="7" borderId="79" xfId="0" applyFont="1" applyFill="1" applyBorder="1" applyAlignment="1">
      <alignment horizontal="center" vertical="center"/>
    </xf>
    <xf numFmtId="0" fontId="25" fillId="0" borderId="3" xfId="0" applyFont="1" applyBorder="1" applyAlignment="1">
      <alignment vertical="center"/>
    </xf>
    <xf numFmtId="11" fontId="25" fillId="0" borderId="28" xfId="0" applyNumberFormat="1" applyFont="1" applyBorder="1" applyAlignment="1">
      <alignment horizontal="center" vertical="center"/>
    </xf>
    <xf numFmtId="0" fontId="25" fillId="7" borderId="30" xfId="0" applyFont="1" applyFill="1" applyBorder="1" applyAlignment="1">
      <alignment vertical="center"/>
    </xf>
    <xf numFmtId="0" fontId="25" fillId="7" borderId="30" xfId="0" applyFont="1" applyFill="1" applyBorder="1"/>
    <xf numFmtId="0" fontId="25" fillId="7" borderId="50" xfId="0" applyFont="1" applyFill="1" applyBorder="1" applyAlignment="1">
      <alignment horizontal="center" vertical="center"/>
    </xf>
    <xf numFmtId="0" fontId="1" fillId="0" borderId="29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11" fontId="1" fillId="0" borderId="28" xfId="0" applyNumberFormat="1" applyFont="1" applyBorder="1" applyAlignment="1">
      <alignment horizontal="center" vertical="center"/>
    </xf>
    <xf numFmtId="0" fontId="4" fillId="7" borderId="28" xfId="0" applyFont="1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13" fillId="0" borderId="60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2" fillId="13" borderId="18" xfId="0" quotePrefix="1" applyFont="1" applyFill="1" applyBorder="1" applyAlignment="1">
      <alignment horizontal="center" vertical="center"/>
    </xf>
    <xf numFmtId="9" fontId="0" fillId="13" borderId="0" xfId="2" applyFont="1" applyFill="1"/>
    <xf numFmtId="0" fontId="1" fillId="0" borderId="23" xfId="0" applyFont="1" applyBorder="1" applyAlignment="1">
      <alignment horizontal="center" vertical="center"/>
    </xf>
    <xf numFmtId="2" fontId="1" fillId="4" borderId="0" xfId="0" applyNumberFormat="1" applyFont="1" applyFill="1" applyAlignment="1">
      <alignment horizontal="center" vertical="center"/>
    </xf>
    <xf numFmtId="167" fontId="1" fillId="0" borderId="0" xfId="0" applyNumberFormat="1" applyFont="1" applyAlignment="1" applyProtection="1">
      <alignment horizontal="center" vertical="center"/>
      <protection locked="0"/>
    </xf>
    <xf numFmtId="167" fontId="1" fillId="0" borderId="0" xfId="0" quotePrefix="1" applyNumberFormat="1" applyFont="1" applyAlignment="1">
      <alignment horizontal="center" vertical="center"/>
    </xf>
    <xf numFmtId="2" fontId="1" fillId="4" borderId="10" xfId="0" applyNumberFormat="1" applyFont="1" applyFill="1" applyBorder="1" applyAlignment="1">
      <alignment horizontal="center" vertical="center"/>
    </xf>
    <xf numFmtId="167" fontId="1" fillId="0" borderId="9" xfId="0" applyNumberFormat="1" applyFont="1" applyBorder="1" applyAlignment="1" applyProtection="1">
      <alignment horizontal="center"/>
      <protection locked="0"/>
    </xf>
    <xf numFmtId="2" fontId="1" fillId="4" borderId="0" xfId="0" quotePrefix="1" applyNumberFormat="1" applyFont="1" applyFill="1" applyAlignment="1">
      <alignment horizontal="center" vertical="center"/>
    </xf>
    <xf numFmtId="167" fontId="1" fillId="0" borderId="47" xfId="0" applyNumberFormat="1" applyFont="1" applyBorder="1" applyAlignment="1">
      <alignment horizontal="left" vertical="center"/>
    </xf>
    <xf numFmtId="2" fontId="1" fillId="4" borderId="10" xfId="0" quotePrefix="1" applyNumberFormat="1" applyFont="1" applyFill="1" applyBorder="1" applyAlignment="1">
      <alignment horizontal="center" vertical="center"/>
    </xf>
    <xf numFmtId="167" fontId="1" fillId="0" borderId="10" xfId="0" applyNumberFormat="1" applyFont="1" applyBorder="1" applyAlignment="1" applyProtection="1">
      <alignment horizontal="center" vertical="center"/>
      <protection locked="0"/>
    </xf>
    <xf numFmtId="167" fontId="1" fillId="0" borderId="3" xfId="0" quotePrefix="1" applyNumberFormat="1" applyFont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1" fontId="1" fillId="3" borderId="21" xfId="0" applyNumberFormat="1" applyFont="1" applyFill="1" applyBorder="1" applyAlignment="1">
      <alignment horizontal="center" vertical="center"/>
    </xf>
    <xf numFmtId="2" fontId="1" fillId="10" borderId="23" xfId="0" quotePrefix="1" applyNumberFormat="1" applyFont="1" applyFill="1" applyBorder="1" applyAlignment="1">
      <alignment horizontal="center" vertical="center"/>
    </xf>
    <xf numFmtId="167" fontId="1" fillId="10" borderId="23" xfId="0" applyNumberFormat="1" applyFont="1" applyFill="1" applyBorder="1" applyAlignment="1">
      <alignment horizontal="center" vertical="center"/>
    </xf>
    <xf numFmtId="2" fontId="1" fillId="10" borderId="23" xfId="0" applyNumberFormat="1" applyFont="1" applyFill="1" applyBorder="1" applyAlignment="1">
      <alignment horizontal="center" vertical="center"/>
    </xf>
    <xf numFmtId="167" fontId="1" fillId="12" borderId="23" xfId="0" applyNumberFormat="1" applyFont="1" applyFill="1" applyBorder="1" applyAlignment="1">
      <alignment horizontal="center" vertical="center"/>
    </xf>
    <xf numFmtId="2" fontId="1" fillId="11" borderId="23" xfId="0" applyNumberFormat="1" applyFont="1" applyFill="1" applyBorder="1" applyAlignment="1">
      <alignment horizontal="center" vertical="center"/>
    </xf>
    <xf numFmtId="2" fontId="1" fillId="9" borderId="23" xfId="0" quotePrefix="1" applyNumberFormat="1" applyFont="1" applyFill="1" applyBorder="1" applyAlignment="1">
      <alignment horizontal="center" vertical="center"/>
    </xf>
    <xf numFmtId="2" fontId="1" fillId="12" borderId="23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9" fontId="1" fillId="0" borderId="0" xfId="0" applyNumberFormat="1" applyFont="1" applyAlignment="1">
      <alignment horizontal="center" vertical="center"/>
    </xf>
    <xf numFmtId="1" fontId="1" fillId="0" borderId="0" xfId="0" quotePrefix="1" applyNumberFormat="1" applyFont="1" applyAlignment="1">
      <alignment horizontal="center" vertical="center"/>
    </xf>
    <xf numFmtId="2" fontId="1" fillId="0" borderId="10" xfId="0" quotePrefix="1" applyNumberFormat="1" applyFont="1" applyBorder="1" applyAlignment="1">
      <alignment horizontal="center" vertical="center"/>
    </xf>
    <xf numFmtId="1" fontId="1" fillId="13" borderId="21" xfId="0" applyNumberFormat="1" applyFont="1" applyFill="1" applyBorder="1" applyAlignment="1">
      <alignment horizontal="center" vertical="center"/>
    </xf>
    <xf numFmtId="167" fontId="1" fillId="0" borderId="21" xfId="0" applyNumberFormat="1" applyFont="1" applyBorder="1" applyAlignment="1" applyProtection="1">
      <alignment horizontal="center"/>
      <protection locked="0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7" fontId="1" fillId="0" borderId="0" xfId="2" applyNumberFormat="1" applyFont="1" applyBorder="1" applyAlignment="1">
      <alignment vertical="center"/>
    </xf>
    <xf numFmtId="0" fontId="1" fillId="0" borderId="78" xfId="2" applyNumberFormat="1" applyFont="1" applyBorder="1" applyAlignment="1">
      <alignment vertical="center"/>
    </xf>
    <xf numFmtId="10" fontId="1" fillId="0" borderId="0" xfId="2" applyNumberFormat="1" applyFont="1" applyBorder="1" applyAlignment="1">
      <alignment vertical="center"/>
    </xf>
    <xf numFmtId="10" fontId="1" fillId="0" borderId="26" xfId="2" applyNumberFormat="1" applyFont="1" applyBorder="1" applyAlignment="1">
      <alignment vertical="center"/>
    </xf>
    <xf numFmtId="2" fontId="1" fillId="4" borderId="27" xfId="0" applyNumberFormat="1" applyFont="1" applyFill="1" applyBorder="1" applyAlignment="1">
      <alignment horizontal="center" vertical="center"/>
    </xf>
    <xf numFmtId="10" fontId="1" fillId="0" borderId="0" xfId="2" applyNumberFormat="1" applyFont="1" applyFill="1" applyBorder="1" applyAlignment="1">
      <alignment horizontal="center" vertical="center"/>
    </xf>
    <xf numFmtId="167" fontId="1" fillId="0" borderId="35" xfId="0" applyNumberFormat="1" applyFont="1" applyBorder="1" applyAlignment="1">
      <alignment horizontal="left" vertical="center"/>
    </xf>
    <xf numFmtId="167" fontId="1" fillId="0" borderId="0" xfId="0" quotePrefix="1" applyNumberFormat="1" applyFont="1" applyAlignment="1" applyProtection="1">
      <alignment horizontal="center" vertical="center"/>
      <protection locked="0"/>
    </xf>
    <xf numFmtId="167" fontId="1" fillId="0" borderId="23" xfId="0" quotePrefix="1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0" fontId="1" fillId="13" borderId="0" xfId="0" applyFont="1" applyFill="1" applyAlignment="1">
      <alignment horizontal="center" vertical="center"/>
    </xf>
    <xf numFmtId="0" fontId="0" fillId="0" borderId="69" xfId="0" applyBorder="1" applyAlignment="1">
      <alignment vertical="center"/>
    </xf>
    <xf numFmtId="0" fontId="1" fillId="7" borderId="26" xfId="0" applyFont="1" applyFill="1" applyBorder="1"/>
    <xf numFmtId="2" fontId="0" fillId="0" borderId="0" xfId="0" applyNumberFormat="1"/>
    <xf numFmtId="2" fontId="1" fillId="0" borderId="0" xfId="0" quotePrefix="1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25" xfId="0" applyFont="1" applyBorder="1" applyAlignment="1">
      <alignment vertical="center"/>
    </xf>
    <xf numFmtId="0" fontId="0" fillId="7" borderId="21" xfId="0" applyFill="1" applyBorder="1" applyAlignment="1">
      <alignment vertical="center"/>
    </xf>
    <xf numFmtId="167" fontId="10" fillId="0" borderId="23" xfId="0" applyNumberFormat="1" applyFont="1" applyBorder="1" applyAlignment="1">
      <alignment horizontal="center"/>
    </xf>
    <xf numFmtId="0" fontId="1" fillId="13" borderId="23" xfId="0" applyFont="1" applyFill="1" applyBorder="1"/>
    <xf numFmtId="167" fontId="7" fillId="0" borderId="23" xfId="0" applyNumberFormat="1" applyFont="1" applyBorder="1" applyAlignment="1">
      <alignment horizontal="center" vertical="center"/>
    </xf>
    <xf numFmtId="0" fontId="1" fillId="7" borderId="23" xfId="0" applyFont="1" applyFill="1" applyBorder="1"/>
    <xf numFmtId="0" fontId="7" fillId="13" borderId="45" xfId="0" applyFont="1" applyFill="1" applyBorder="1" applyAlignment="1">
      <alignment horizontal="center" vertical="center"/>
    </xf>
    <xf numFmtId="0" fontId="12" fillId="0" borderId="69" xfId="0" applyFont="1" applyBorder="1" applyAlignment="1">
      <alignment vertical="center"/>
    </xf>
    <xf numFmtId="0" fontId="1" fillId="0" borderId="1" xfId="0" applyFont="1" applyBorder="1"/>
    <xf numFmtId="0" fontId="1" fillId="7" borderId="2" xfId="0" applyFont="1" applyFill="1" applyBorder="1"/>
    <xf numFmtId="0" fontId="1" fillId="0" borderId="3" xfId="0" applyFont="1" applyBorder="1"/>
    <xf numFmtId="0" fontId="4" fillId="7" borderId="0" xfId="0" applyFont="1" applyFill="1" applyAlignment="1">
      <alignment horizontal="left"/>
    </xf>
    <xf numFmtId="0" fontId="6" fillId="7" borderId="0" xfId="0" applyFont="1" applyFill="1" applyAlignment="1">
      <alignment horizontal="right"/>
    </xf>
    <xf numFmtId="0" fontId="4" fillId="7" borderId="0" xfId="0" applyFont="1" applyFill="1"/>
    <xf numFmtId="2" fontId="0" fillId="13" borderId="0" xfId="0" applyNumberFormat="1" applyFill="1"/>
    <xf numFmtId="2" fontId="1" fillId="13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 vertical="center"/>
    </xf>
    <xf numFmtId="0" fontId="1" fillId="7" borderId="10" xfId="0" applyFont="1" applyFill="1" applyBorder="1"/>
    <xf numFmtId="0" fontId="2" fillId="13" borderId="2" xfId="0" applyFont="1" applyFill="1" applyBorder="1" applyAlignment="1" applyProtection="1">
      <alignment horizontal="center" vertical="center"/>
      <protection locked="0"/>
    </xf>
    <xf numFmtId="0" fontId="4" fillId="0" borderId="80" xfId="0" applyFont="1" applyBorder="1" applyAlignment="1">
      <alignment vertical="center"/>
    </xf>
    <xf numFmtId="0" fontId="1" fillId="7" borderId="10" xfId="0" applyFont="1" applyFill="1" applyBorder="1" applyAlignment="1">
      <alignment horizontal="right"/>
    </xf>
    <xf numFmtId="0" fontId="1" fillId="7" borderId="14" xfId="0" applyFont="1" applyFill="1" applyBorder="1" applyAlignment="1">
      <alignment horizontal="right"/>
    </xf>
    <xf numFmtId="0" fontId="1" fillId="7" borderId="18" xfId="0" applyFont="1" applyFill="1" applyBorder="1" applyAlignment="1">
      <alignment horizontal="right"/>
    </xf>
    <xf numFmtId="49" fontId="4" fillId="7" borderId="1" xfId="0" applyNumberFormat="1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vertical="center"/>
    </xf>
    <xf numFmtId="0" fontId="4" fillId="7" borderId="7" xfId="0" applyFont="1" applyFill="1" applyBorder="1" applyAlignment="1">
      <alignment vertical="center"/>
    </xf>
    <xf numFmtId="0" fontId="4" fillId="7" borderId="17" xfId="0" applyFont="1" applyFill="1" applyBorder="1" applyAlignment="1">
      <alignment vertical="center"/>
    </xf>
    <xf numFmtId="0" fontId="4" fillId="7" borderId="4" xfId="0" applyFont="1" applyFill="1" applyBorder="1" applyAlignment="1">
      <alignment horizontal="left" vertical="center"/>
    </xf>
    <xf numFmtId="0" fontId="4" fillId="7" borderId="9" xfId="0" applyFont="1" applyFill="1" applyBorder="1" applyAlignment="1">
      <alignment horizontal="left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6" xfId="0" applyFont="1" applyFill="1" applyBorder="1" applyAlignment="1">
      <alignment horizontal="left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167" fontId="2" fillId="13" borderId="14" xfId="0" quotePrefix="1" applyNumberFormat="1" applyFont="1" applyFill="1" applyBorder="1" applyAlignment="1" applyProtection="1">
      <alignment horizontal="center" vertical="center"/>
      <protection locked="0"/>
    </xf>
    <xf numFmtId="0" fontId="2" fillId="13" borderId="8" xfId="0" applyFont="1" applyFill="1" applyBorder="1" applyAlignment="1" applyProtection="1">
      <alignment horizontal="right" vertical="center"/>
      <protection locked="0"/>
    </xf>
    <xf numFmtId="167" fontId="0" fillId="0" borderId="0" xfId="0" applyNumberFormat="1"/>
    <xf numFmtId="167" fontId="0" fillId="13" borderId="0" xfId="0" applyNumberFormat="1" applyFill="1"/>
    <xf numFmtId="167" fontId="1" fillId="13" borderId="0" xfId="0" applyNumberFormat="1" applyFont="1" applyFill="1" applyAlignment="1">
      <alignment horizontal="center" vertical="center"/>
    </xf>
    <xf numFmtId="167" fontId="0" fillId="0" borderId="10" xfId="0" applyNumberFormat="1" applyBorder="1"/>
    <xf numFmtId="167" fontId="0" fillId="13" borderId="10" xfId="0" applyNumberFormat="1" applyFill="1" applyBorder="1"/>
    <xf numFmtId="167" fontId="1" fillId="13" borderId="10" xfId="0" applyNumberFormat="1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/>
    </xf>
    <xf numFmtId="0" fontId="0" fillId="7" borderId="0" xfId="0" applyFill="1"/>
    <xf numFmtId="0" fontId="4" fillId="7" borderId="14" xfId="0" applyFont="1" applyFill="1" applyBorder="1" applyAlignment="1">
      <alignment vertical="center"/>
    </xf>
    <xf numFmtId="0" fontId="4" fillId="7" borderId="8" xfId="0" applyFont="1" applyFill="1" applyBorder="1" applyAlignment="1">
      <alignment vertical="center"/>
    </xf>
    <xf numFmtId="0" fontId="4" fillId="7" borderId="18" xfId="0" applyFont="1" applyFill="1" applyBorder="1" applyAlignment="1">
      <alignment vertical="center"/>
    </xf>
    <xf numFmtId="0" fontId="4" fillId="7" borderId="65" xfId="0" applyFont="1" applyFill="1" applyBorder="1" applyAlignment="1">
      <alignment horizontal="left" vertical="center"/>
    </xf>
    <xf numFmtId="0" fontId="4" fillId="7" borderId="19" xfId="0" applyFont="1" applyFill="1" applyBorder="1" applyAlignment="1">
      <alignment vertical="center"/>
    </xf>
    <xf numFmtId="0" fontId="2" fillId="7" borderId="2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vertical="center"/>
    </xf>
    <xf numFmtId="0" fontId="2" fillId="7" borderId="0" xfId="0" applyFont="1" applyFill="1" applyAlignment="1" applyProtection="1">
      <alignment horizontal="center" vertical="center"/>
      <protection locked="0"/>
    </xf>
    <xf numFmtId="0" fontId="6" fillId="7" borderId="10" xfId="0" applyFont="1" applyFill="1" applyBorder="1" applyAlignment="1">
      <alignment horizontal="right" vertical="center"/>
    </xf>
    <xf numFmtId="0" fontId="0" fillId="0" borderId="13" xfId="0" applyBorder="1" applyAlignment="1">
      <alignment vertical="center"/>
    </xf>
    <xf numFmtId="0" fontId="1" fillId="0" borderId="38" xfId="0" applyFont="1" applyBorder="1"/>
    <xf numFmtId="2" fontId="0" fillId="0" borderId="26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0" fillId="7" borderId="25" xfId="0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0" borderId="8" xfId="0" quotePrefix="1" applyFont="1" applyBorder="1" applyAlignment="1">
      <alignment horizontal="center" vertical="center"/>
    </xf>
    <xf numFmtId="0" fontId="5" fillId="0" borderId="10" xfId="0" applyFont="1" applyBorder="1" applyAlignment="1" applyProtection="1">
      <alignment horizontal="right" vertical="center"/>
      <protection locked="0"/>
    </xf>
    <xf numFmtId="167" fontId="5" fillId="0" borderId="10" xfId="0" applyNumberFormat="1" applyFont="1" applyBorder="1" applyAlignment="1" applyProtection="1">
      <alignment horizontal="center" vertical="center"/>
      <protection locked="0"/>
    </xf>
    <xf numFmtId="1" fontId="5" fillId="0" borderId="37" xfId="0" applyNumberFormat="1" applyFont="1" applyBorder="1" applyAlignment="1" applyProtection="1">
      <alignment horizontal="center" vertical="center"/>
      <protection locked="0"/>
    </xf>
    <xf numFmtId="167" fontId="5" fillId="0" borderId="14" xfId="0" quotePrefix="1" applyNumberFormat="1" applyFont="1" applyBorder="1" applyAlignment="1" applyProtection="1">
      <alignment horizontal="center" vertical="center"/>
      <protection locked="0"/>
    </xf>
    <xf numFmtId="0" fontId="5" fillId="0" borderId="10" xfId="0" quotePrefix="1" applyFont="1" applyBorder="1" applyAlignment="1" applyProtection="1">
      <alignment horizontal="center" vertical="center"/>
      <protection locked="0"/>
    </xf>
    <xf numFmtId="0" fontId="5" fillId="0" borderId="38" xfId="0" quotePrefix="1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>
      <alignment horizontal="center" vertical="center"/>
    </xf>
    <xf numFmtId="1" fontId="1" fillId="0" borderId="21" xfId="0" applyNumberFormat="1" applyFont="1" applyBorder="1" applyAlignment="1">
      <alignment horizontal="center" vertical="center"/>
    </xf>
    <xf numFmtId="9" fontId="0" fillId="0" borderId="0" xfId="2" applyFont="1" applyFill="1"/>
    <xf numFmtId="0" fontId="0" fillId="0" borderId="4" xfId="0" applyBorder="1" applyAlignment="1">
      <alignment vertical="center"/>
    </xf>
    <xf numFmtId="0" fontId="1" fillId="7" borderId="34" xfId="0" applyFont="1" applyFill="1" applyBorder="1" applyAlignment="1">
      <alignment vertical="center"/>
    </xf>
    <xf numFmtId="0" fontId="1" fillId="7" borderId="35" xfId="0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1" fillId="7" borderId="21" xfId="0" applyFont="1" applyFill="1" applyBorder="1" applyAlignment="1">
      <alignment horizontal="right" vertical="top"/>
    </xf>
    <xf numFmtId="0" fontId="2" fillId="13" borderId="27" xfId="0" applyFont="1" applyFill="1" applyBorder="1" applyAlignment="1" applyProtection="1">
      <alignment horizontal="center" vertical="center"/>
      <protection locked="0"/>
    </xf>
    <xf numFmtId="0" fontId="2" fillId="13" borderId="36" xfId="0" applyFont="1" applyFill="1" applyBorder="1" applyAlignment="1" applyProtection="1">
      <alignment horizontal="center" vertical="center"/>
      <protection locked="0"/>
    </xf>
    <xf numFmtId="0" fontId="4" fillId="7" borderId="60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right" vertic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13" borderId="16" xfId="0" applyFont="1" applyFill="1" applyBorder="1" applyAlignment="1" applyProtection="1">
      <alignment horizontal="right" vertical="center"/>
      <protection locked="0"/>
    </xf>
    <xf numFmtId="0" fontId="4" fillId="7" borderId="60" xfId="0" applyFont="1" applyFill="1" applyBorder="1" applyAlignment="1">
      <alignment vertical="center"/>
    </xf>
    <xf numFmtId="0" fontId="1" fillId="7" borderId="8" xfId="0" applyFont="1" applyFill="1" applyBorder="1" applyAlignment="1">
      <alignment horizontal="right"/>
    </xf>
    <xf numFmtId="167" fontId="1" fillId="0" borderId="60" xfId="0" applyNumberFormat="1" applyFont="1" applyBorder="1" applyAlignment="1">
      <alignment horizontal="center" vertical="center"/>
    </xf>
    <xf numFmtId="0" fontId="2" fillId="0" borderId="65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1" fillId="7" borderId="4" xfId="0" applyFont="1" applyFill="1" applyBorder="1"/>
    <xf numFmtId="0" fontId="1" fillId="7" borderId="76" xfId="0" applyFont="1" applyFill="1" applyBorder="1"/>
    <xf numFmtId="167" fontId="1" fillId="0" borderId="30" xfId="0" applyNumberFormat="1" applyFont="1" applyBorder="1" applyAlignment="1">
      <alignment horizontal="center" vertical="center"/>
    </xf>
    <xf numFmtId="0" fontId="2" fillId="13" borderId="51" xfId="0" quotePrefix="1" applyFont="1" applyFill="1" applyBorder="1" applyAlignment="1" applyProtection="1">
      <alignment horizontal="center" vertical="center"/>
      <protection locked="0"/>
    </xf>
    <xf numFmtId="0" fontId="2" fillId="13" borderId="47" xfId="0" applyFont="1" applyFill="1" applyBorder="1" applyAlignment="1" applyProtection="1">
      <alignment horizontal="center" vertical="center"/>
      <protection locked="0"/>
    </xf>
    <xf numFmtId="0" fontId="1" fillId="7" borderId="36" xfId="0" applyFont="1" applyFill="1" applyBorder="1" applyAlignment="1">
      <alignment horizontal="right"/>
    </xf>
    <xf numFmtId="0" fontId="1" fillId="7" borderId="60" xfId="0" applyFont="1" applyFill="1" applyBorder="1"/>
    <xf numFmtId="0" fontId="0" fillId="7" borderId="26" xfId="0" applyFill="1" applyBorder="1" applyAlignment="1">
      <alignment horizontal="center" vertical="center"/>
    </xf>
    <xf numFmtId="0" fontId="1" fillId="7" borderId="43" xfId="0" applyFont="1" applyFill="1" applyBorder="1"/>
    <xf numFmtId="9" fontId="1" fillId="13" borderId="30" xfId="0" applyNumberFormat="1" applyFont="1" applyFill="1" applyBorder="1"/>
    <xf numFmtId="0" fontId="0" fillId="13" borderId="30" xfId="0" applyFill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67" fontId="1" fillId="0" borderId="23" xfId="0" applyNumberFormat="1" applyFont="1" applyBorder="1"/>
    <xf numFmtId="0" fontId="1" fillId="7" borderId="55" xfId="0" applyFont="1" applyFill="1" applyBorder="1"/>
    <xf numFmtId="0" fontId="0" fillId="0" borderId="73" xfId="0" applyBorder="1" applyAlignment="1">
      <alignment vertical="center"/>
    </xf>
    <xf numFmtId="0" fontId="1" fillId="0" borderId="37" xfId="0" applyFont="1" applyBorder="1"/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21" fillId="8" borderId="0" xfId="0" applyNumberFormat="1" applyFont="1" applyFill="1"/>
    <xf numFmtId="0" fontId="0" fillId="0" borderId="0" xfId="0" applyAlignment="1">
      <alignment vertical="top" wrapText="1"/>
    </xf>
    <xf numFmtId="0" fontId="23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7" fontId="1" fillId="0" borderId="0" xfId="0" applyNumberFormat="1" applyFont="1" applyAlignment="1" applyProtection="1">
      <alignment horizontal="left" vertical="center"/>
      <protection locked="0"/>
    </xf>
    <xf numFmtId="167" fontId="9" fillId="0" borderId="0" xfId="0" applyNumberFormat="1" applyFont="1" applyAlignment="1" applyProtection="1">
      <alignment horizontal="center" vertical="center"/>
      <protection locked="0"/>
    </xf>
    <xf numFmtId="1" fontId="23" fillId="0" borderId="0" xfId="0" applyNumberFormat="1" applyFont="1" applyAlignment="1" applyProtection="1">
      <alignment horizontal="center" vertical="center"/>
      <protection locked="0"/>
    </xf>
    <xf numFmtId="0" fontId="0" fillId="0" borderId="24" xfId="0" applyBorder="1" applyAlignment="1">
      <alignment vertical="center"/>
    </xf>
    <xf numFmtId="0" fontId="0" fillId="16" borderId="0" xfId="0" applyFill="1" applyAlignment="1">
      <alignment vertical="center"/>
    </xf>
    <xf numFmtId="167" fontId="0" fillId="3" borderId="50" xfId="0" applyNumberFormat="1" applyFill="1" applyBorder="1" applyAlignment="1">
      <alignment horizontal="center" vertical="center"/>
    </xf>
    <xf numFmtId="167" fontId="7" fillId="17" borderId="10" xfId="0" applyNumberFormat="1" applyFont="1" applyFill="1" applyBorder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17" borderId="0" xfId="0" applyNumberFormat="1" applyFill="1"/>
    <xf numFmtId="0" fontId="1" fillId="0" borderId="70" xfId="0" applyFont="1" applyBorder="1" applyAlignment="1">
      <alignment vertical="center"/>
    </xf>
    <xf numFmtId="0" fontId="25" fillId="7" borderId="81" xfId="0" applyFont="1" applyFill="1" applyBorder="1" applyAlignment="1">
      <alignment horizontal="center" vertical="center"/>
    </xf>
    <xf numFmtId="11" fontId="1" fillId="0" borderId="16" xfId="0" applyNumberFormat="1" applyFont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9" fontId="1" fillId="0" borderId="2" xfId="2" applyFont="1" applyBorder="1" applyAlignment="1">
      <alignment horizontal="center" vertical="center"/>
    </xf>
    <xf numFmtId="0" fontId="1" fillId="0" borderId="45" xfId="0" applyFont="1" applyBorder="1" applyAlignment="1">
      <alignment vertical="center"/>
    </xf>
    <xf numFmtId="0" fontId="1" fillId="0" borderId="41" xfId="0" applyFont="1" applyBorder="1" applyAlignment="1">
      <alignment vertical="center"/>
    </xf>
    <xf numFmtId="9" fontId="1" fillId="0" borderId="0" xfId="2" applyFont="1" applyBorder="1" applyAlignment="1">
      <alignment horizontal="center" vertical="center"/>
    </xf>
    <xf numFmtId="9" fontId="1" fillId="0" borderId="3" xfId="2" applyFont="1" applyBorder="1" applyAlignment="1">
      <alignment horizontal="center" vertical="center"/>
    </xf>
    <xf numFmtId="9" fontId="1" fillId="0" borderId="26" xfId="2" applyFont="1" applyBorder="1" applyAlignment="1">
      <alignment horizontal="center" vertical="center"/>
    </xf>
    <xf numFmtId="10" fontId="1" fillId="0" borderId="0" xfId="2" applyNumberFormat="1" applyFont="1" applyBorder="1" applyAlignment="1">
      <alignment horizontal="center" vertical="center"/>
    </xf>
    <xf numFmtId="0" fontId="0" fillId="0" borderId="7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45" xfId="0" applyBorder="1" applyAlignment="1">
      <alignment vertical="center"/>
    </xf>
    <xf numFmtId="0" fontId="0" fillId="0" borderId="69" xfId="0" applyBorder="1" applyAlignment="1">
      <alignment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81" xfId="0" applyFont="1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82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4" borderId="25" xfId="0" applyFont="1" applyFill="1" applyBorder="1" applyAlignment="1">
      <alignment vertical="center" wrapText="1"/>
    </xf>
    <xf numFmtId="0" fontId="9" fillId="4" borderId="0" xfId="0" applyFont="1" applyFill="1" applyAlignment="1">
      <alignment vertical="center" wrapText="1"/>
    </xf>
    <xf numFmtId="0" fontId="9" fillId="4" borderId="26" xfId="0" applyFont="1" applyFill="1" applyBorder="1" applyAlignment="1">
      <alignment vertical="center" wrapText="1"/>
    </xf>
    <xf numFmtId="0" fontId="9" fillId="4" borderId="24" xfId="0" applyFont="1" applyFill="1" applyBorder="1" applyAlignment="1">
      <alignment vertical="center" wrapText="1"/>
    </xf>
    <xf numFmtId="0" fontId="9" fillId="4" borderId="21" xfId="0" applyFont="1" applyFill="1" applyBorder="1" applyAlignment="1">
      <alignment vertical="center" wrapText="1"/>
    </xf>
    <xf numFmtId="0" fontId="9" fillId="4" borderId="22" xfId="0" applyFont="1" applyFill="1" applyBorder="1" applyAlignment="1">
      <alignment vertical="center" wrapText="1"/>
    </xf>
    <xf numFmtId="0" fontId="0" fillId="0" borderId="5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74" xfId="0" applyFont="1" applyFill="1" applyBorder="1" applyAlignment="1">
      <alignment horizontal="center" vertical="center" wrapText="1"/>
    </xf>
    <xf numFmtId="0" fontId="13" fillId="2" borderId="75" xfId="0" applyFont="1" applyFill="1" applyBorder="1" applyAlignment="1">
      <alignment horizontal="center" vertical="center" wrapText="1"/>
    </xf>
    <xf numFmtId="0" fontId="13" fillId="2" borderId="46" xfId="0" applyFont="1" applyFill="1" applyBorder="1" applyAlignment="1">
      <alignment horizontal="center" vertical="center" wrapText="1"/>
    </xf>
    <xf numFmtId="0" fontId="16" fillId="0" borderId="33" xfId="0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1" fillId="0" borderId="72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3" fillId="2" borderId="44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6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6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4" borderId="6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2" borderId="45" xfId="0" applyFill="1" applyBorder="1" applyAlignment="1">
      <alignment vertical="center"/>
    </xf>
    <xf numFmtId="0" fontId="0" fillId="2" borderId="69" xfId="0" applyFill="1" applyBorder="1" applyAlignment="1">
      <alignment vertical="center"/>
    </xf>
    <xf numFmtId="0" fontId="0" fillId="0" borderId="32" xfId="0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3" fillId="2" borderId="72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13" fillId="0" borderId="77" xfId="0" applyFont="1" applyBorder="1" applyAlignment="1">
      <alignment horizontal="center" vertical="center"/>
    </xf>
    <xf numFmtId="0" fontId="13" fillId="0" borderId="69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15" borderId="23" xfId="0" applyFont="1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1" fillId="0" borderId="23" xfId="4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13" fillId="2" borderId="75" xfId="0" applyFont="1" applyFill="1" applyBorder="1" applyAlignment="1">
      <alignment horizontal="center" vertical="center"/>
    </xf>
    <xf numFmtId="0" fontId="13" fillId="2" borderId="4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57" xfId="0" applyNumberFormat="1" applyFont="1" applyBorder="1" applyAlignment="1">
      <alignment horizontal="center" vertical="center"/>
    </xf>
    <xf numFmtId="49" fontId="4" fillId="0" borderId="5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3" fillId="0" borderId="57" xfId="0" applyFont="1" applyBorder="1" applyAlignment="1">
      <alignment horizontal="center" vertical="center"/>
    </xf>
    <xf numFmtId="0" fontId="13" fillId="0" borderId="5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</cellXfs>
  <cellStyles count="5">
    <cellStyle name="Migliaia (0)_ Lente tarata  tamb. equilibrio" xfId="1" xr:uid="{00000000-0005-0000-0000-000000000000}"/>
    <cellStyle name="Normale" xfId="0" builtinId="0"/>
    <cellStyle name="Normale 2" xfId="4" xr:uid="{00000000-0005-0000-0000-000002000000}"/>
    <cellStyle name="Percentuale" xfId="2" builtinId="5"/>
    <cellStyle name="Valuta (0)_ Lente tarata  tamb. equilibrio" xfId="3" xr:uid="{00000000-0005-0000-0000-000004000000}"/>
  </cellStyles>
  <dxfs count="2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25422062448232E-2"/>
          <c:y val="5.7418221424682024E-2"/>
          <c:w val="0.86979589270747337"/>
          <c:h val="0.84452634012136485"/>
        </c:manualLayout>
      </c:layout>
      <c:scatterChart>
        <c:scatterStyle val="smooth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18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-7.8146632593215526E-2"/>
                  <c:y val="-8.2896812078053578E-2"/>
                </c:manualLayout>
              </c:layout>
              <c:numFmt formatCode="0.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modello'!$AM$28:$AM$31</c:f>
              <c:numCache>
                <c:formatCode>0.0%</c:formatCode>
                <c:ptCount val="4"/>
                <c:pt idx="0">
                  <c:v>0</c:v>
                </c:pt>
                <c:pt idx="1">
                  <c:v>6.0000000000000053E-2</c:v>
                </c:pt>
                <c:pt idx="2">
                  <c:v>6.0000000000000053E-2</c:v>
                </c:pt>
                <c:pt idx="3">
                  <c:v>0.12</c:v>
                </c:pt>
              </c:numCache>
            </c:numRef>
          </c:xVal>
          <c:yVal>
            <c:numRef>
              <c:f>'test modello'!$AN$28:$AN$31</c:f>
              <c:numCache>
                <c:formatCode>0.0%</c:formatCode>
                <c:ptCount val="4"/>
                <c:pt idx="0">
                  <c:v>0</c:v>
                </c:pt>
                <c:pt idx="1">
                  <c:v>5.2695203718748918E-3</c:v>
                </c:pt>
                <c:pt idx="2">
                  <c:v>5.2695203718748918E-3</c:v>
                </c:pt>
                <c:pt idx="3">
                  <c:v>1.5431352740379989E-2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E0-45CA-96D2-8E593122C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75456"/>
        <c:axId val="172786048"/>
      </c:scatterChart>
      <c:valAx>
        <c:axId val="1726754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72786048"/>
        <c:crosses val="autoZero"/>
        <c:crossBetween val="midCat"/>
        <c:majorUnit val="0.02"/>
      </c:valAx>
      <c:valAx>
        <c:axId val="172786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72675456"/>
        <c:crosses val="autoZero"/>
        <c:crossBetween val="midCat"/>
        <c:majorUnit val="0.01"/>
        <c:minorUnit val="5.0000000000000001E-3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16427597713076"/>
          <c:y val="0.47848522523201348"/>
          <c:w val="0.14884209241286694"/>
          <c:h val="9.330470054879508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Head</a:t>
            </a:r>
          </a:p>
        </c:rich>
      </c:tx>
      <c:layout>
        <c:manualLayout>
          <c:xMode val="edge"/>
          <c:yMode val="edge"/>
          <c:x val="0.45429966254218224"/>
          <c:y val="3.65458278111275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7475463260854"/>
          <c:y val="0.1063156482384921"/>
          <c:w val="0.84288296359525061"/>
          <c:h val="0.75417662969180332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5F8-4C3F-95F3-4117AD8CA5BA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modello'!$Y$12:$Y$19</c:f>
              <c:numCache>
                <c:formatCode>0.00</c:formatCode>
                <c:ptCount val="8"/>
                <c:pt idx="0">
                  <c:v>220.42660373423047</c:v>
                </c:pt>
                <c:pt idx="1">
                  <c:v>191.32757273318586</c:v>
                </c:pt>
                <c:pt idx="2">
                  <c:v>170.70519327288989</c:v>
                </c:pt>
                <c:pt idx="3">
                  <c:v>156.45552404825341</c:v>
                </c:pt>
                <c:pt idx="4">
                  <c:v>143.98921809802044</c:v>
                </c:pt>
                <c:pt idx="5">
                  <c:v>126.23152280476731</c:v>
                </c:pt>
                <c:pt idx="6">
                  <c:v>103.78318979451602</c:v>
                </c:pt>
                <c:pt idx="7">
                  <c:v>68.081175514136874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4C3F-95F3-4117AD8CA5BA}"/>
            </c:ext>
          </c:extLst>
        </c:ser>
        <c:ser>
          <c:idx val="1"/>
          <c:order val="1"/>
          <c:tx>
            <c:v>secondo diametro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5F8-4C3F-95F3-4117AD8CA5BA}"/>
              </c:ext>
            </c:extLst>
          </c:dPt>
          <c:xVal>
            <c:numRef>
              <c:f>'test modello'!$X$25:$X$32</c:f>
              <c:numCache>
                <c:formatCode>0.00</c:formatCode>
                <c:ptCount val="8"/>
                <c:pt idx="0">
                  <c:v>0</c:v>
                </c:pt>
                <c:pt idx="1">
                  <c:v>2311.8669507789064</c:v>
                </c:pt>
                <c:pt idx="2">
                  <c:v>4623.7339015578127</c:v>
                </c:pt>
                <c:pt idx="3">
                  <c:v>6935.6008523367182</c:v>
                </c:pt>
                <c:pt idx="4">
                  <c:v>9247.4678031156254</c:v>
                </c:pt>
                <c:pt idx="5">
                  <c:v>11559.334753894531</c:v>
                </c:pt>
                <c:pt idx="6">
                  <c:v>13293.234966978709</c:v>
                </c:pt>
                <c:pt idx="7">
                  <c:v>15027.135180062891</c:v>
                </c:pt>
              </c:numCache>
            </c:numRef>
          </c:xVal>
          <c:yVal>
            <c:numRef>
              <c:f>'test modello'!$Y$25:$Y$32</c:f>
              <c:numCache>
                <c:formatCode>0.00</c:formatCode>
                <c:ptCount val="8"/>
                <c:pt idx="0">
                  <c:v>197.19420392980314</c:v>
                </c:pt>
                <c:pt idx="1">
                  <c:v>171.16213631105879</c:v>
                </c:pt>
                <c:pt idx="2">
                  <c:v>152.71330285847552</c:v>
                </c:pt>
                <c:pt idx="3">
                  <c:v>139.96551229503166</c:v>
                </c:pt>
                <c:pt idx="4">
                  <c:v>128.81312308176987</c:v>
                </c:pt>
                <c:pt idx="5">
                  <c:v>112.92704341779655</c:v>
                </c:pt>
                <c:pt idx="6">
                  <c:v>92.844707245503585</c:v>
                </c:pt>
                <c:pt idx="7">
                  <c:v>60.905593883314914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4C3F-95F3-4117AD8CA5BA}"/>
            </c:ext>
          </c:extLst>
        </c:ser>
        <c:ser>
          <c:idx val="2"/>
          <c:order val="2"/>
          <c:tx>
            <c:v>terzo diametro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5F8-4C3F-95F3-4117AD8CA5BA}"/>
              </c:ext>
            </c:extLst>
          </c:dPt>
          <c:xVal>
            <c:numRef>
              <c:f>'test modello'!$X$38:$X$45</c:f>
              <c:numCache>
                <c:formatCode>0.00</c:formatCode>
                <c:ptCount val="8"/>
                <c:pt idx="0">
                  <c:v>0</c:v>
                </c:pt>
                <c:pt idx="1">
                  <c:v>2255.3501553311494</c:v>
                </c:pt>
                <c:pt idx="2">
                  <c:v>4510.7003106622988</c:v>
                </c:pt>
                <c:pt idx="3">
                  <c:v>6766.0504659934477</c:v>
                </c:pt>
                <c:pt idx="4">
                  <c:v>9021.4006213245975</c:v>
                </c:pt>
                <c:pt idx="5">
                  <c:v>11276.750776655746</c:v>
                </c:pt>
                <c:pt idx="6">
                  <c:v>12968.263393154108</c:v>
                </c:pt>
                <c:pt idx="7">
                  <c:v>14659.776009652471</c:v>
                </c:pt>
              </c:numCache>
            </c:numRef>
          </c:xVal>
          <c:yVal>
            <c:numRef>
              <c:f>'test modello'!$Y$38:$Y$45</c:f>
              <c:numCache>
                <c:formatCode>0.00</c:formatCode>
                <c:ptCount val="8"/>
                <c:pt idx="0">
                  <c:v>176.41043959645319</c:v>
                </c:pt>
                <c:pt idx="1">
                  <c:v>153.1220852700651</c:v>
                </c:pt>
                <c:pt idx="2">
                  <c:v>136.61771163963871</c:v>
                </c:pt>
                <c:pt idx="3">
                  <c:v>125.21350557087827</c:v>
                </c:pt>
                <c:pt idx="4">
                  <c:v>115.23654963376256</c:v>
                </c:pt>
                <c:pt idx="5">
                  <c:v>101.02482210254452</c:v>
                </c:pt>
                <c:pt idx="6">
                  <c:v>83.059112757765334</c:v>
                </c:pt>
                <c:pt idx="7">
                  <c:v>54.486300188941669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4C3F-95F3-4117AD8CA5BA}"/>
            </c:ext>
          </c:extLst>
        </c:ser>
        <c:ser>
          <c:idx val="3"/>
          <c:order val="3"/>
          <c:tx>
            <c:v>diametro minimo</c:v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5F8-4C3F-95F3-4117AD8CA5BA}"/>
              </c:ext>
            </c:extLst>
          </c:dPt>
          <c:xVal>
            <c:numRef>
              <c:f>'test modello'!$X$51:$X$58</c:f>
              <c:numCache>
                <c:formatCode>0.00</c:formatCode>
                <c:ptCount val="8"/>
                <c:pt idx="0">
                  <c:v>0</c:v>
                </c:pt>
                <c:pt idx="1">
                  <c:v>2200.2149913681142</c:v>
                </c:pt>
                <c:pt idx="2">
                  <c:v>4400.4299827362283</c:v>
                </c:pt>
                <c:pt idx="3">
                  <c:v>6600.6449741043416</c:v>
                </c:pt>
                <c:pt idx="4">
                  <c:v>8800.8599654724567</c:v>
                </c:pt>
                <c:pt idx="5">
                  <c:v>11001.07495684057</c:v>
                </c:pt>
                <c:pt idx="6">
                  <c:v>12651.236200366655</c:v>
                </c:pt>
                <c:pt idx="7">
                  <c:v>14301.397443892742</c:v>
                </c:pt>
              </c:numCache>
            </c:numRef>
          </c:xVal>
          <c:yVal>
            <c:numRef>
              <c:f>'test modello'!$Y$51:$Y$58</c:f>
              <c:numCache>
                <c:formatCode>0.00</c:formatCode>
                <c:ptCount val="8"/>
                <c:pt idx="0">
                  <c:v>157.81723082333664</c:v>
                </c:pt>
                <c:pt idx="1">
                  <c:v>136.98340943141301</c:v>
                </c:pt>
                <c:pt idx="2">
                  <c:v>122.21855453515006</c:v>
                </c:pt>
                <c:pt idx="3">
                  <c:v>112.016322594526</c:v>
                </c:pt>
                <c:pt idx="4">
                  <c:v>103.09091227502412</c:v>
                </c:pt>
                <c:pt idx="5">
                  <c:v>90.377064447632279</c:v>
                </c:pt>
                <c:pt idx="6">
                  <c:v>74.304894880707181</c:v>
                </c:pt>
                <c:pt idx="7">
                  <c:v>48.743583618396599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4C3F-95F3-4117AD8CA5BA}"/>
            </c:ext>
          </c:extLst>
        </c:ser>
        <c:ser>
          <c:idx val="5"/>
          <c:order val="4"/>
          <c:tx>
            <c:v>punto venduto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'test modello'!$AN$6</c:f>
              <c:numCache>
                <c:formatCode>General</c:formatCode>
                <c:ptCount val="1"/>
              </c:numCache>
            </c:numRef>
          </c:xVal>
          <c:yVal>
            <c:numRef>
              <c:f>'test modello'!$AO$6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4C3F-95F3-4117AD8CA5BA}"/>
            </c:ext>
          </c:extLst>
        </c:ser>
        <c:ser>
          <c:idx val="6"/>
          <c:order val="5"/>
          <c:tx>
            <c:v>turnitura "manuale"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5F8-4C3F-95F3-4117AD8CA5BA}"/>
              </c:ext>
            </c:extLst>
          </c:dPt>
          <c:xVal>
            <c:numRef>
              <c:f>'test modello'!$AM$12:$AM$19</c:f>
              <c:numCache>
                <c:formatCode>0.0</c:formatCode>
                <c:ptCount val="8"/>
                <c:pt idx="0">
                  <c:v>0</c:v>
                </c:pt>
                <c:pt idx="1">
                  <c:v>2296.0699574670452</c:v>
                </c:pt>
                <c:pt idx="2">
                  <c:v>4592.1399149340905</c:v>
                </c:pt>
                <c:pt idx="3">
                  <c:v>6888.2098724011357</c:v>
                </c:pt>
                <c:pt idx="4">
                  <c:v>9184.279829868181</c:v>
                </c:pt>
                <c:pt idx="5">
                  <c:v>11480.349787335226</c:v>
                </c:pt>
                <c:pt idx="6">
                  <c:v>13202.402255435509</c:v>
                </c:pt>
                <c:pt idx="7">
                  <c:v>14924.454723535795</c:v>
                </c:pt>
              </c:numCache>
            </c:numRef>
          </c:xVal>
          <c:yVal>
            <c:numRef>
              <c:f>'test modello'!$AN$12:$AN$19</c:f>
              <c:numCache>
                <c:formatCode>0.0</c:formatCode>
                <c:ptCount val="8"/>
                <c:pt idx="0">
                  <c:v>191.20286867204754</c:v>
                </c:pt>
                <c:pt idx="1">
                  <c:v>165.961731219851</c:v>
                </c:pt>
                <c:pt idx="2">
                  <c:v>148.07342715467442</c:v>
                </c:pt>
                <c:pt idx="3">
                  <c:v>135.71295166205502</c:v>
                </c:pt>
                <c:pt idx="4">
                  <c:v>124.89940457178695</c:v>
                </c:pt>
                <c:pt idx="5">
                  <c:v>109.49599035792066</c:v>
                </c:pt>
                <c:pt idx="6">
                  <c:v>90.023814151637609</c:v>
                </c:pt>
                <c:pt idx="7">
                  <c:v>59.055104240335616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4C3F-95F3-4117AD8CA5BA}"/>
            </c:ext>
          </c:extLst>
        </c:ser>
        <c:ser>
          <c:idx val="7"/>
          <c:order val="6"/>
          <c:tx>
            <c:v>329</c:v>
          </c:tx>
          <c:marker>
            <c:symbol val="none"/>
          </c:marker>
          <c:xVal>
            <c:strRef>
              <c:f>'test modello'!#REF!</c:f>
              <c:strCache>
                <c:ptCount val="1"/>
                <c:pt idx="0">
                  <c:v>#RIF!</c:v>
                </c:pt>
              </c:strCache>
            </c:strRef>
          </c:xVal>
          <c:yVal>
            <c:numRef>
              <c:f>'test modello'!#REF!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4C3F-95F3-4117AD8CA5BA}"/>
            </c:ext>
          </c:extLst>
        </c:ser>
        <c:ser>
          <c:idx val="4"/>
          <c:order val="7"/>
          <c:tx>
            <c:strRef>
              <c:f>'test modello'!$AK$68:$AL$68</c:f>
              <c:strCache>
                <c:ptCount val="1"/>
                <c:pt idx="0">
                  <c:v>487,426 1180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modello'!$AK$70:$AK$91</c:f>
              <c:numCache>
                <c:formatCode>0.00</c:formatCode>
                <c:ptCount val="22"/>
                <c:pt idx="0">
                  <c:v>0</c:v>
                </c:pt>
                <c:pt idx="1">
                  <c:v>1183</c:v>
                </c:pt>
                <c:pt idx="2">
                  <c:v>1973</c:v>
                </c:pt>
                <c:pt idx="3">
                  <c:v>2960</c:v>
                </c:pt>
                <c:pt idx="4">
                  <c:v>3986</c:v>
                </c:pt>
                <c:pt idx="5">
                  <c:v>4953</c:v>
                </c:pt>
                <c:pt idx="6">
                  <c:v>5999</c:v>
                </c:pt>
                <c:pt idx="7">
                  <c:v>6916</c:v>
                </c:pt>
                <c:pt idx="8">
                  <c:v>7923</c:v>
                </c:pt>
                <c:pt idx="9">
                  <c:v>8929</c:v>
                </c:pt>
                <c:pt idx="10">
                  <c:v>9944</c:v>
                </c:pt>
                <c:pt idx="11">
                  <c:v>10368</c:v>
                </c:pt>
                <c:pt idx="12">
                  <c:v>10892</c:v>
                </c:pt>
                <c:pt idx="13">
                  <c:v>11356</c:v>
                </c:pt>
                <c:pt idx="14" formatCode="General">
                  <c:v>11849</c:v>
                </c:pt>
                <c:pt idx="15" formatCode="General">
                  <c:v>12343</c:v>
                </c:pt>
                <c:pt idx="16" formatCode="General">
                  <c:v>12826</c:v>
                </c:pt>
                <c:pt idx="17" formatCode="General">
                  <c:v>13813</c:v>
                </c:pt>
                <c:pt idx="18" formatCode="General">
                  <c:v>14799</c:v>
                </c:pt>
                <c:pt idx="19" formatCode="General">
                  <c:v>15559</c:v>
                </c:pt>
              </c:numCache>
            </c:numRef>
          </c:xVal>
          <c:yVal>
            <c:numRef>
              <c:f>'test modello'!$AL$70:$AL$91</c:f>
              <c:numCache>
                <c:formatCode>0.00</c:formatCode>
                <c:ptCount val="22"/>
                <c:pt idx="0">
                  <c:v>220.2</c:v>
                </c:pt>
                <c:pt idx="1">
                  <c:v>204.1</c:v>
                </c:pt>
                <c:pt idx="2">
                  <c:v>197.8</c:v>
                </c:pt>
                <c:pt idx="3">
                  <c:v>186.3</c:v>
                </c:pt>
                <c:pt idx="4">
                  <c:v>177.7</c:v>
                </c:pt>
                <c:pt idx="5">
                  <c:v>169.5</c:v>
                </c:pt>
                <c:pt idx="6">
                  <c:v>162.5</c:v>
                </c:pt>
                <c:pt idx="7">
                  <c:v>157.1</c:v>
                </c:pt>
                <c:pt idx="8">
                  <c:v>151.6</c:v>
                </c:pt>
                <c:pt idx="9">
                  <c:v>145.5</c:v>
                </c:pt>
                <c:pt idx="10">
                  <c:v>141</c:v>
                </c:pt>
                <c:pt idx="11">
                  <c:v>139</c:v>
                </c:pt>
                <c:pt idx="12">
                  <c:v>135</c:v>
                </c:pt>
                <c:pt idx="13">
                  <c:v>130.9</c:v>
                </c:pt>
                <c:pt idx="14" formatCode="General">
                  <c:v>126</c:v>
                </c:pt>
                <c:pt idx="15" formatCode="General">
                  <c:v>120.3</c:v>
                </c:pt>
                <c:pt idx="16" formatCode="General">
                  <c:v>113.3</c:v>
                </c:pt>
                <c:pt idx="17" formatCode="General">
                  <c:v>99.6</c:v>
                </c:pt>
                <c:pt idx="18" formatCode="General">
                  <c:v>82.7</c:v>
                </c:pt>
                <c:pt idx="19" formatCode="General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BA-4021-98B2-D84766AC4C51}"/>
            </c:ext>
          </c:extLst>
        </c:ser>
        <c:ser>
          <c:idx val="8"/>
          <c:order val="8"/>
          <c:tx>
            <c:strRef>
              <c:f>'test modello'!$AR$68</c:f>
              <c:strCache>
                <c:ptCount val="1"/>
                <c:pt idx="0">
                  <c:v>457,962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modello'!$AR$70:$AR$96</c:f>
              <c:numCache>
                <c:formatCode>0.00</c:formatCode>
                <c:ptCount val="27"/>
                <c:pt idx="0">
                  <c:v>0</c:v>
                </c:pt>
                <c:pt idx="1">
                  <c:v>986</c:v>
                </c:pt>
                <c:pt idx="2">
                  <c:v>1972</c:v>
                </c:pt>
                <c:pt idx="3">
                  <c:v>2957</c:v>
                </c:pt>
                <c:pt idx="4">
                  <c:v>4002</c:v>
                </c:pt>
                <c:pt idx="5">
                  <c:v>4436</c:v>
                </c:pt>
                <c:pt idx="6">
                  <c:v>4998</c:v>
                </c:pt>
                <c:pt idx="7">
                  <c:v>5461</c:v>
                </c:pt>
                <c:pt idx="8">
                  <c:v>5989</c:v>
                </c:pt>
                <c:pt idx="9">
                  <c:v>6408</c:v>
                </c:pt>
                <c:pt idx="10">
                  <c:v>6901</c:v>
                </c:pt>
                <c:pt idx="11">
                  <c:v>7443</c:v>
                </c:pt>
                <c:pt idx="12" formatCode="General">
                  <c:v>7906</c:v>
                </c:pt>
                <c:pt idx="13" formatCode="General">
                  <c:v>8379</c:v>
                </c:pt>
                <c:pt idx="14" formatCode="General">
                  <c:v>8912</c:v>
                </c:pt>
                <c:pt idx="15" formatCode="General">
                  <c:v>9390</c:v>
                </c:pt>
                <c:pt idx="16" formatCode="General">
                  <c:v>9858</c:v>
                </c:pt>
                <c:pt idx="17" formatCode="General">
                  <c:v>10351</c:v>
                </c:pt>
                <c:pt idx="18" formatCode="General">
                  <c:v>10844</c:v>
                </c:pt>
                <c:pt idx="19" formatCode="General">
                  <c:v>11337</c:v>
                </c:pt>
                <c:pt idx="20" formatCode="General">
                  <c:v>11869</c:v>
                </c:pt>
                <c:pt idx="21" formatCode="General">
                  <c:v>12303</c:v>
                </c:pt>
                <c:pt idx="22" formatCode="General">
                  <c:v>12815</c:v>
                </c:pt>
                <c:pt idx="23" formatCode="General">
                  <c:v>13308</c:v>
                </c:pt>
                <c:pt idx="24" formatCode="General">
                  <c:v>13875</c:v>
                </c:pt>
                <c:pt idx="25" formatCode="General">
                  <c:v>14688</c:v>
                </c:pt>
                <c:pt idx="26" formatCode="General">
                  <c:v>15210</c:v>
                </c:pt>
              </c:numCache>
            </c:numRef>
          </c:xVal>
          <c:yVal>
            <c:numRef>
              <c:f>'test modello'!$AS$70:$AS$96</c:f>
              <c:numCache>
                <c:formatCode>0.00</c:formatCode>
                <c:ptCount val="27"/>
                <c:pt idx="0">
                  <c:v>191.8</c:v>
                </c:pt>
                <c:pt idx="1">
                  <c:v>180.3</c:v>
                </c:pt>
                <c:pt idx="2">
                  <c:v>174.5</c:v>
                </c:pt>
                <c:pt idx="3">
                  <c:v>164.1</c:v>
                </c:pt>
                <c:pt idx="4">
                  <c:v>154.30000000000001</c:v>
                </c:pt>
                <c:pt idx="5">
                  <c:v>151.4</c:v>
                </c:pt>
                <c:pt idx="6">
                  <c:v>148.1</c:v>
                </c:pt>
                <c:pt idx="7">
                  <c:v>145.19999999999999</c:v>
                </c:pt>
                <c:pt idx="8">
                  <c:v>142.80000000000001</c:v>
                </c:pt>
                <c:pt idx="9">
                  <c:v>140.80000000000001</c:v>
                </c:pt>
                <c:pt idx="10">
                  <c:v>138.4</c:v>
                </c:pt>
                <c:pt idx="11">
                  <c:v>136</c:v>
                </c:pt>
                <c:pt idx="12" formatCode="General">
                  <c:v>134.30000000000001</c:v>
                </c:pt>
                <c:pt idx="13" formatCode="General">
                  <c:v>132.4</c:v>
                </c:pt>
                <c:pt idx="14" formatCode="General">
                  <c:v>132</c:v>
                </c:pt>
                <c:pt idx="15" formatCode="General">
                  <c:v>130</c:v>
                </c:pt>
                <c:pt idx="16" formatCode="General">
                  <c:v>128.80000000000001</c:v>
                </c:pt>
                <c:pt idx="17" formatCode="General">
                  <c:v>124.8</c:v>
                </c:pt>
                <c:pt idx="18" formatCode="General">
                  <c:v>120.7</c:v>
                </c:pt>
                <c:pt idx="19" formatCode="General">
                  <c:v>115.3</c:v>
                </c:pt>
                <c:pt idx="20" formatCode="General">
                  <c:v>109.9</c:v>
                </c:pt>
                <c:pt idx="21" formatCode="General">
                  <c:v>105.3</c:v>
                </c:pt>
                <c:pt idx="22" formatCode="General">
                  <c:v>98.5</c:v>
                </c:pt>
                <c:pt idx="23" formatCode="General">
                  <c:v>93.1</c:v>
                </c:pt>
                <c:pt idx="24" formatCode="General">
                  <c:v>84.8</c:v>
                </c:pt>
                <c:pt idx="25" formatCode="General">
                  <c:v>71.7</c:v>
                </c:pt>
                <c:pt idx="26" formatCode="General">
                  <c:v>59.1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BA-4021-98B2-D84766AC4C51}"/>
            </c:ext>
          </c:extLst>
        </c:ser>
        <c:ser>
          <c:idx val="9"/>
          <c:order val="9"/>
          <c:tx>
            <c:strRef>
              <c:f>'test modello'!$AR$99</c:f>
              <c:strCache>
                <c:ptCount val="1"/>
                <c:pt idx="0">
                  <c:v>428,752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modello'!$AR$101:$AR$126</c:f>
              <c:numCache>
                <c:formatCode>0.00</c:formatCode>
                <c:ptCount val="26"/>
                <c:pt idx="0">
                  <c:v>0</c:v>
                </c:pt>
                <c:pt idx="1">
                  <c:v>946</c:v>
                </c:pt>
                <c:pt idx="2">
                  <c:v>1972</c:v>
                </c:pt>
                <c:pt idx="3">
                  <c:v>2952</c:v>
                </c:pt>
                <c:pt idx="4">
                  <c:v>3959</c:v>
                </c:pt>
                <c:pt idx="5">
                  <c:v>4446</c:v>
                </c:pt>
                <c:pt idx="6">
                  <c:v>4934</c:v>
                </c:pt>
                <c:pt idx="7">
                  <c:v>5422</c:v>
                </c:pt>
                <c:pt idx="8">
                  <c:v>5910</c:v>
                </c:pt>
                <c:pt idx="9">
                  <c:v>6427</c:v>
                </c:pt>
                <c:pt idx="10">
                  <c:v>6901</c:v>
                </c:pt>
                <c:pt idx="11">
                  <c:v>7413</c:v>
                </c:pt>
                <c:pt idx="12">
                  <c:v>7906</c:v>
                </c:pt>
                <c:pt idx="13">
                  <c:v>8379</c:v>
                </c:pt>
                <c:pt idx="14" formatCode="General">
                  <c:v>8902</c:v>
                </c:pt>
                <c:pt idx="15" formatCode="General">
                  <c:v>9365</c:v>
                </c:pt>
                <c:pt idx="16" formatCode="General">
                  <c:v>9892</c:v>
                </c:pt>
                <c:pt idx="17" formatCode="General">
                  <c:v>10361</c:v>
                </c:pt>
                <c:pt idx="18" formatCode="General">
                  <c:v>10844</c:v>
                </c:pt>
                <c:pt idx="19" formatCode="General">
                  <c:v>11376</c:v>
                </c:pt>
                <c:pt idx="20" formatCode="General">
                  <c:v>11830</c:v>
                </c:pt>
                <c:pt idx="21" formatCode="General">
                  <c:v>12352</c:v>
                </c:pt>
                <c:pt idx="22" formatCode="General">
                  <c:v>12815</c:v>
                </c:pt>
                <c:pt idx="23" formatCode="General">
                  <c:v>13284</c:v>
                </c:pt>
                <c:pt idx="24" formatCode="General">
                  <c:v>13860</c:v>
                </c:pt>
                <c:pt idx="25" formatCode="General">
                  <c:v>14860</c:v>
                </c:pt>
              </c:numCache>
            </c:numRef>
          </c:xVal>
          <c:yVal>
            <c:numRef>
              <c:f>'test modello'!$AS$101:$AS$126</c:f>
              <c:numCache>
                <c:formatCode>0.00</c:formatCode>
                <c:ptCount val="26"/>
                <c:pt idx="0">
                  <c:v>173.5</c:v>
                </c:pt>
                <c:pt idx="1">
                  <c:v>162.6</c:v>
                </c:pt>
                <c:pt idx="2">
                  <c:v>155.69999999999999</c:v>
                </c:pt>
                <c:pt idx="3">
                  <c:v>147.5</c:v>
                </c:pt>
                <c:pt idx="4">
                  <c:v>137.4</c:v>
                </c:pt>
                <c:pt idx="5">
                  <c:v>133</c:v>
                </c:pt>
                <c:pt idx="6">
                  <c:v>129.9</c:v>
                </c:pt>
                <c:pt idx="7">
                  <c:v>127.3</c:v>
                </c:pt>
                <c:pt idx="8">
                  <c:v>124.9</c:v>
                </c:pt>
                <c:pt idx="9">
                  <c:v>122.7</c:v>
                </c:pt>
                <c:pt idx="10">
                  <c:v>120.7</c:v>
                </c:pt>
                <c:pt idx="11">
                  <c:v>119.9</c:v>
                </c:pt>
                <c:pt idx="12">
                  <c:v>118.8</c:v>
                </c:pt>
                <c:pt idx="13">
                  <c:v>117.7</c:v>
                </c:pt>
                <c:pt idx="14" formatCode="General">
                  <c:v>116.9</c:v>
                </c:pt>
                <c:pt idx="15" formatCode="General">
                  <c:v>115.6</c:v>
                </c:pt>
                <c:pt idx="16" formatCode="General">
                  <c:v>111.9</c:v>
                </c:pt>
                <c:pt idx="17" formatCode="General">
                  <c:v>108.6</c:v>
                </c:pt>
                <c:pt idx="18" formatCode="General">
                  <c:v>104.2</c:v>
                </c:pt>
                <c:pt idx="19" formatCode="General">
                  <c:v>99.2</c:v>
                </c:pt>
                <c:pt idx="20" formatCode="General">
                  <c:v>94.4</c:v>
                </c:pt>
                <c:pt idx="21" formatCode="General">
                  <c:v>88.1</c:v>
                </c:pt>
                <c:pt idx="22" formatCode="General">
                  <c:v>83.4</c:v>
                </c:pt>
                <c:pt idx="23" formatCode="General">
                  <c:v>77.2</c:v>
                </c:pt>
                <c:pt idx="24" formatCode="General">
                  <c:v>69.3</c:v>
                </c:pt>
                <c:pt idx="25" formatCode="General">
                  <c:v>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BA-4021-98B2-D84766AC4C51}"/>
            </c:ext>
          </c:extLst>
        </c:ser>
        <c:ser>
          <c:idx val="10"/>
          <c:order val="10"/>
          <c:spPr>
            <a:ln>
              <a:noFill/>
            </a:ln>
          </c:spPr>
          <c:marker>
            <c:symbol val="dash"/>
            <c:size val="5"/>
          </c:marker>
          <c:dPt>
            <c:idx val="4"/>
            <c:bubble3D val="0"/>
            <c:spPr>
              <a:ln w="6350">
                <a:noFill/>
              </a:ln>
            </c:spPr>
            <c:extLst>
              <c:ext xmlns:c16="http://schemas.microsoft.com/office/drawing/2014/chart" uri="{C3380CC4-5D6E-409C-BE32-E72D297353CC}">
                <c16:uniqueId val="{00000006-966C-4CCF-8DCC-C2A867B7D7C1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modello'!$BH$12:$BH$19</c:f>
              <c:numCache>
                <c:formatCode>General</c:formatCode>
                <c:ptCount val="8"/>
                <c:pt idx="0">
                  <c:v>222.63086977157278</c:v>
                </c:pt>
                <c:pt idx="1">
                  <c:v>193.24084846051773</c:v>
                </c:pt>
                <c:pt idx="2">
                  <c:v>172.41224520561877</c:v>
                </c:pt>
                <c:pt idx="3">
                  <c:v>158.02007928873596</c:v>
                </c:pt>
                <c:pt idx="4">
                  <c:v>145.42911027900064</c:v>
                </c:pt>
                <c:pt idx="5">
                  <c:v>127.49383803281498</c:v>
                </c:pt>
                <c:pt idx="6">
                  <c:v>104.82102169246119</c:v>
                </c:pt>
                <c:pt idx="7">
                  <c:v>68.761987269278237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6C-4CCF-8DCC-C2A867B7D7C1}"/>
            </c:ext>
          </c:extLst>
        </c:ser>
        <c:ser>
          <c:idx val="11"/>
          <c:order val="11"/>
          <c:spPr>
            <a:ln>
              <a:noFill/>
            </a:ln>
          </c:spPr>
          <c:marker>
            <c:symbol val="dash"/>
            <c:size val="5"/>
          </c:marker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modello'!$BI$12:$BI$19</c:f>
              <c:numCache>
                <c:formatCode>General</c:formatCode>
                <c:ptCount val="8"/>
                <c:pt idx="0">
                  <c:v>218.22233769688816</c:v>
                </c:pt>
                <c:pt idx="1">
                  <c:v>189.414297005854</c:v>
                </c:pt>
                <c:pt idx="2">
                  <c:v>168.998141340161</c:v>
                </c:pt>
                <c:pt idx="3">
                  <c:v>154.89096880777086</c:v>
                </c:pt>
                <c:pt idx="4">
                  <c:v>142.54932591704025</c:v>
                </c:pt>
                <c:pt idx="5">
                  <c:v>124.96920757671964</c:v>
                </c:pt>
                <c:pt idx="6">
                  <c:v>102.74535789657085</c:v>
                </c:pt>
                <c:pt idx="7">
                  <c:v>67.40036375899551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6C-4CCF-8DCC-C2A867B7D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5568"/>
        <c:axId val="204928128"/>
      </c:scatterChart>
      <c:valAx>
        <c:axId val="2049255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0858702662167221"/>
              <c:y val="0.916972358653188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8128"/>
        <c:crosses val="autoZero"/>
        <c:crossBetween val="midCat"/>
      </c:valAx>
      <c:valAx>
        <c:axId val="2049281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</a:t>
                </a:r>
              </a:p>
            </c:rich>
          </c:tx>
          <c:layout>
            <c:manualLayout>
              <c:xMode val="edge"/>
              <c:yMode val="edge"/>
              <c:x val="2.5715035620547434E-2"/>
              <c:y val="0.458486006080923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556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Efficiency</a:t>
            </a:r>
          </a:p>
        </c:rich>
      </c:tx>
      <c:layout>
        <c:manualLayout>
          <c:xMode val="edge"/>
          <c:yMode val="edge"/>
          <c:x val="0.45015650821425096"/>
          <c:y val="3.571566054243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38822704536776"/>
          <c:y val="0.14610891476821433"/>
          <c:w val="0.83620850957568982"/>
          <c:h val="0.70781652043268273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40F-4AF9-A8CE-414095EC7D87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modello'!$AA$12:$AA$19</c:f>
              <c:numCache>
                <c:formatCode>0.00</c:formatCode>
                <c:ptCount val="8"/>
                <c:pt idx="0">
                  <c:v>0</c:v>
                </c:pt>
                <c:pt idx="1">
                  <c:v>32.404063859623086</c:v>
                </c:pt>
                <c:pt idx="2">
                  <c:v>55.577188119826324</c:v>
                </c:pt>
                <c:pt idx="3">
                  <c:v>72.498643236139827</c:v>
                </c:pt>
                <c:pt idx="4">
                  <c:v>84.017781444636341</c:v>
                </c:pt>
                <c:pt idx="5">
                  <c:v>88.496210143349956</c:v>
                </c:pt>
                <c:pt idx="6">
                  <c:v>84.845969873095726</c:v>
                </c:pt>
                <c:pt idx="7">
                  <c:v>72.306354481416435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F-4AF9-A8CE-414095EC7D87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40F-4AF9-A8CE-414095EC7D87}"/>
              </c:ext>
            </c:extLst>
          </c:dPt>
          <c:xVal>
            <c:numRef>
              <c:f>'test modello'!$X$25:$X$32</c:f>
              <c:numCache>
                <c:formatCode>0.00</c:formatCode>
                <c:ptCount val="8"/>
                <c:pt idx="0">
                  <c:v>0</c:v>
                </c:pt>
                <c:pt idx="1">
                  <c:v>2311.8669507789064</c:v>
                </c:pt>
                <c:pt idx="2">
                  <c:v>4623.7339015578127</c:v>
                </c:pt>
                <c:pt idx="3">
                  <c:v>6935.6008523367182</c:v>
                </c:pt>
                <c:pt idx="4">
                  <c:v>9247.4678031156254</c:v>
                </c:pt>
                <c:pt idx="5">
                  <c:v>11559.334753894531</c:v>
                </c:pt>
                <c:pt idx="6">
                  <c:v>13293.234966978709</c:v>
                </c:pt>
                <c:pt idx="7">
                  <c:v>15027.135180062891</c:v>
                </c:pt>
              </c:numCache>
            </c:numRef>
          </c:xVal>
          <c:yVal>
            <c:numRef>
              <c:f>'test modello'!$AA$25:$AA$32</c:f>
              <c:numCache>
                <c:formatCode>0.00</c:formatCode>
                <c:ptCount val="8"/>
                <c:pt idx="0">
                  <c:v>0</c:v>
                </c:pt>
                <c:pt idx="1">
                  <c:v>32.90850465981169</c:v>
                </c:pt>
                <c:pt idx="2">
                  <c:v>56.258857519996639</c:v>
                </c:pt>
                <c:pt idx="3">
                  <c:v>73.170299004137576</c:v>
                </c:pt>
                <c:pt idx="4">
                  <c:v>84.385847027663317</c:v>
                </c:pt>
                <c:pt idx="5">
                  <c:v>87.916355953923741</c:v>
                </c:pt>
                <c:pt idx="6">
                  <c:v>82.783491128243654</c:v>
                </c:pt>
                <c:pt idx="7">
                  <c:v>67.727731214325189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F-4AF9-A8CE-414095EC7D87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40F-4AF9-A8CE-414095EC7D87}"/>
              </c:ext>
            </c:extLst>
          </c:dPt>
          <c:xVal>
            <c:numRef>
              <c:f>'test modello'!$X$38:$X$45</c:f>
              <c:numCache>
                <c:formatCode>0.00</c:formatCode>
                <c:ptCount val="8"/>
                <c:pt idx="0">
                  <c:v>0</c:v>
                </c:pt>
                <c:pt idx="1">
                  <c:v>2255.3501553311494</c:v>
                </c:pt>
                <c:pt idx="2">
                  <c:v>4510.7003106622988</c:v>
                </c:pt>
                <c:pt idx="3">
                  <c:v>6766.0504659934477</c:v>
                </c:pt>
                <c:pt idx="4">
                  <c:v>9021.4006213245975</c:v>
                </c:pt>
                <c:pt idx="5">
                  <c:v>11276.750776655746</c:v>
                </c:pt>
                <c:pt idx="6">
                  <c:v>12968.263393154108</c:v>
                </c:pt>
                <c:pt idx="7">
                  <c:v>14659.776009652471</c:v>
                </c:pt>
              </c:numCache>
            </c:numRef>
          </c:xVal>
          <c:yVal>
            <c:numRef>
              <c:f>'test modello'!$AA$38:$AA$45</c:f>
              <c:numCache>
                <c:formatCode>0.00</c:formatCode>
                <c:ptCount val="8"/>
                <c:pt idx="0">
                  <c:v>0</c:v>
                </c:pt>
                <c:pt idx="1">
                  <c:v>32.233309984983215</c:v>
                </c:pt>
                <c:pt idx="2">
                  <c:v>55.284322994817401</c:v>
                </c:pt>
                <c:pt idx="3">
                  <c:v>72.116610158673794</c:v>
                </c:pt>
                <c:pt idx="4">
                  <c:v>83.57504803371414</c:v>
                </c:pt>
                <c:pt idx="5">
                  <c:v>88.029877561165819</c:v>
                </c:pt>
                <c:pt idx="6">
                  <c:v>84.398872306377967</c:v>
                </c:pt>
                <c:pt idx="7">
                  <c:v>71.925334673460611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0F-4AF9-A8CE-414095EC7D87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40F-4AF9-A8CE-414095EC7D87}"/>
              </c:ext>
            </c:extLst>
          </c:dPt>
          <c:xVal>
            <c:numRef>
              <c:f>'test modello'!$X$51:$X$58</c:f>
              <c:numCache>
                <c:formatCode>0.00</c:formatCode>
                <c:ptCount val="8"/>
                <c:pt idx="0">
                  <c:v>0</c:v>
                </c:pt>
                <c:pt idx="1">
                  <c:v>2200.2149913681142</c:v>
                </c:pt>
                <c:pt idx="2">
                  <c:v>4400.4299827362283</c:v>
                </c:pt>
                <c:pt idx="3">
                  <c:v>6600.6449741043416</c:v>
                </c:pt>
                <c:pt idx="4">
                  <c:v>8800.8599654724567</c:v>
                </c:pt>
                <c:pt idx="5">
                  <c:v>11001.07495684057</c:v>
                </c:pt>
                <c:pt idx="6">
                  <c:v>12651.236200366655</c:v>
                </c:pt>
                <c:pt idx="7">
                  <c:v>14301.397443892742</c:v>
                </c:pt>
              </c:numCache>
            </c:numRef>
          </c:xVal>
          <c:yVal>
            <c:numRef>
              <c:f>'test modello'!$AA$51:$AA$58</c:f>
              <c:numCache>
                <c:formatCode>0.00</c:formatCode>
                <c:ptCount val="8"/>
                <c:pt idx="0">
                  <c:v>0</c:v>
                </c:pt>
                <c:pt idx="1">
                  <c:v>31.568974934179565</c:v>
                </c:pt>
                <c:pt idx="2">
                  <c:v>54.319060150477881</c:v>
                </c:pt>
                <c:pt idx="3">
                  <c:v>71.06052965719708</c:v>
                </c:pt>
                <c:pt idx="4">
                  <c:v>82.718216790234976</c:v>
                </c:pt>
                <c:pt idx="5">
                  <c:v>87.975573169159929</c:v>
                </c:pt>
                <c:pt idx="6">
                  <c:v>85.662326771429861</c:v>
                </c:pt>
                <c:pt idx="7">
                  <c:v>75.465137673862074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0F-4AF9-A8CE-414095EC7D87}"/>
            </c:ext>
          </c:extLst>
        </c:ser>
        <c:ser>
          <c:idx val="6"/>
          <c:order val="4"/>
          <c:tx>
            <c:strRef>
              <c:f>'test modello'!$AR$68</c:f>
              <c:strCache>
                <c:ptCount val="1"/>
                <c:pt idx="0">
                  <c:v>457,962</c:v>
                </c:pt>
              </c:strCache>
            </c:strRef>
          </c:tx>
          <c:marker>
            <c:symbol val="none"/>
          </c:marker>
          <c:xVal>
            <c:numRef>
              <c:f>'test modello'!$AR$70:$AR$96</c:f>
              <c:numCache>
                <c:formatCode>0.00</c:formatCode>
                <c:ptCount val="27"/>
                <c:pt idx="0">
                  <c:v>0</c:v>
                </c:pt>
                <c:pt idx="1">
                  <c:v>986</c:v>
                </c:pt>
                <c:pt idx="2">
                  <c:v>1972</c:v>
                </c:pt>
                <c:pt idx="3">
                  <c:v>2957</c:v>
                </c:pt>
                <c:pt idx="4">
                  <c:v>4002</c:v>
                </c:pt>
                <c:pt idx="5">
                  <c:v>4436</c:v>
                </c:pt>
                <c:pt idx="6">
                  <c:v>4998</c:v>
                </c:pt>
                <c:pt idx="7">
                  <c:v>5461</c:v>
                </c:pt>
                <c:pt idx="8">
                  <c:v>5989</c:v>
                </c:pt>
                <c:pt idx="9">
                  <c:v>6408</c:v>
                </c:pt>
                <c:pt idx="10">
                  <c:v>6901</c:v>
                </c:pt>
                <c:pt idx="11">
                  <c:v>7443</c:v>
                </c:pt>
                <c:pt idx="12" formatCode="General">
                  <c:v>7906</c:v>
                </c:pt>
                <c:pt idx="13" formatCode="General">
                  <c:v>8379</c:v>
                </c:pt>
                <c:pt idx="14" formatCode="General">
                  <c:v>8912</c:v>
                </c:pt>
                <c:pt idx="15" formatCode="General">
                  <c:v>9390</c:v>
                </c:pt>
                <c:pt idx="16" formatCode="General">
                  <c:v>9858</c:v>
                </c:pt>
                <c:pt idx="17" formatCode="General">
                  <c:v>10351</c:v>
                </c:pt>
                <c:pt idx="18" formatCode="General">
                  <c:v>10844</c:v>
                </c:pt>
                <c:pt idx="19" formatCode="General">
                  <c:v>11337</c:v>
                </c:pt>
                <c:pt idx="20" formatCode="General">
                  <c:v>11869</c:v>
                </c:pt>
                <c:pt idx="21" formatCode="General">
                  <c:v>12303</c:v>
                </c:pt>
                <c:pt idx="22" formatCode="General">
                  <c:v>12815</c:v>
                </c:pt>
                <c:pt idx="23" formatCode="General">
                  <c:v>13308</c:v>
                </c:pt>
                <c:pt idx="24" formatCode="General">
                  <c:v>13875</c:v>
                </c:pt>
                <c:pt idx="25" formatCode="General">
                  <c:v>14688</c:v>
                </c:pt>
                <c:pt idx="26" formatCode="General">
                  <c:v>15210</c:v>
                </c:pt>
              </c:numCache>
            </c:numRef>
          </c:xVal>
          <c:yVal>
            <c:numRef>
              <c:f>'test modello'!$AU$70:$AU$96</c:f>
              <c:numCache>
                <c:formatCode>0.0</c:formatCode>
                <c:ptCount val="27"/>
                <c:pt idx="0">
                  <c:v>0</c:v>
                </c:pt>
                <c:pt idx="1">
                  <c:v>13.51</c:v>
                </c:pt>
                <c:pt idx="2">
                  <c:v>26.35</c:v>
                </c:pt>
                <c:pt idx="3">
                  <c:v>38.39</c:v>
                </c:pt>
                <c:pt idx="4">
                  <c:v>50.26</c:v>
                </c:pt>
                <c:pt idx="5">
                  <c:v>54.879999999999903</c:v>
                </c:pt>
                <c:pt idx="6">
                  <c:v>59.77</c:v>
                </c:pt>
                <c:pt idx="7">
                  <c:v>63.47</c:v>
                </c:pt>
                <c:pt idx="8" formatCode="0.00">
                  <c:v>67.67</c:v>
                </c:pt>
                <c:pt idx="9" formatCode="0.00">
                  <c:v>70.37</c:v>
                </c:pt>
                <c:pt idx="10" formatCode="0.00">
                  <c:v>73.260000000000005</c:v>
                </c:pt>
                <c:pt idx="11" formatCode="0.00">
                  <c:v>76.39</c:v>
                </c:pt>
                <c:pt idx="12" formatCode="General">
                  <c:v>78.209999999999994</c:v>
                </c:pt>
                <c:pt idx="13" formatCode="General">
                  <c:v>79.8</c:v>
                </c:pt>
                <c:pt idx="14" formatCode="General">
                  <c:v>82.69</c:v>
                </c:pt>
                <c:pt idx="15" formatCode="General">
                  <c:v>84.3</c:v>
                </c:pt>
                <c:pt idx="16" formatCode="General">
                  <c:v>86.36</c:v>
                </c:pt>
                <c:pt idx="17" formatCode="General">
                  <c:v>86.97</c:v>
                </c:pt>
                <c:pt idx="18" formatCode="General">
                  <c:v>87.62</c:v>
                </c:pt>
                <c:pt idx="19" formatCode="General">
                  <c:v>87.229999999999905</c:v>
                </c:pt>
                <c:pt idx="20" formatCode="General">
                  <c:v>86.99</c:v>
                </c:pt>
                <c:pt idx="21" formatCode="General">
                  <c:v>86.8</c:v>
                </c:pt>
                <c:pt idx="22" formatCode="General">
                  <c:v>85</c:v>
                </c:pt>
                <c:pt idx="23" formatCode="General">
                  <c:v>84.26</c:v>
                </c:pt>
                <c:pt idx="24" formatCode="General">
                  <c:v>81.44</c:v>
                </c:pt>
                <c:pt idx="25" formatCode="General">
                  <c:v>74.929999999999893</c:v>
                </c:pt>
                <c:pt idx="26" formatCode="General">
                  <c:v>66.869999999999905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40F-4AF9-A8CE-414095EC7D87}"/>
            </c:ext>
          </c:extLst>
        </c:ser>
        <c:ser>
          <c:idx val="4"/>
          <c:order val="5"/>
          <c:tx>
            <c:strRef>
              <c:f>'test modello'!$AR$99</c:f>
              <c:strCache>
                <c:ptCount val="1"/>
                <c:pt idx="0">
                  <c:v>428,752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modello'!$AR$101:$AR$126</c:f>
              <c:numCache>
                <c:formatCode>0.00</c:formatCode>
                <c:ptCount val="26"/>
                <c:pt idx="0">
                  <c:v>0</c:v>
                </c:pt>
                <c:pt idx="1">
                  <c:v>946</c:v>
                </c:pt>
                <c:pt idx="2">
                  <c:v>1972</c:v>
                </c:pt>
                <c:pt idx="3">
                  <c:v>2952</c:v>
                </c:pt>
                <c:pt idx="4">
                  <c:v>3959</c:v>
                </c:pt>
                <c:pt idx="5">
                  <c:v>4446</c:v>
                </c:pt>
                <c:pt idx="6">
                  <c:v>4934</c:v>
                </c:pt>
                <c:pt idx="7">
                  <c:v>5422</c:v>
                </c:pt>
                <c:pt idx="8">
                  <c:v>5910</c:v>
                </c:pt>
                <c:pt idx="9">
                  <c:v>6427</c:v>
                </c:pt>
                <c:pt idx="10">
                  <c:v>6901</c:v>
                </c:pt>
                <c:pt idx="11">
                  <c:v>7413</c:v>
                </c:pt>
                <c:pt idx="12">
                  <c:v>7906</c:v>
                </c:pt>
                <c:pt idx="13">
                  <c:v>8379</c:v>
                </c:pt>
                <c:pt idx="14" formatCode="General">
                  <c:v>8902</c:v>
                </c:pt>
                <c:pt idx="15" formatCode="General">
                  <c:v>9365</c:v>
                </c:pt>
                <c:pt idx="16" formatCode="General">
                  <c:v>9892</c:v>
                </c:pt>
                <c:pt idx="17" formatCode="General">
                  <c:v>10361</c:v>
                </c:pt>
                <c:pt idx="18" formatCode="General">
                  <c:v>10844</c:v>
                </c:pt>
                <c:pt idx="19" formatCode="General">
                  <c:v>11376</c:v>
                </c:pt>
                <c:pt idx="20" formatCode="General">
                  <c:v>11830</c:v>
                </c:pt>
                <c:pt idx="21" formatCode="General">
                  <c:v>12352</c:v>
                </c:pt>
                <c:pt idx="22" formatCode="General">
                  <c:v>12815</c:v>
                </c:pt>
                <c:pt idx="23" formatCode="General">
                  <c:v>13284</c:v>
                </c:pt>
                <c:pt idx="24" formatCode="General">
                  <c:v>13860</c:v>
                </c:pt>
                <c:pt idx="25" formatCode="General">
                  <c:v>14860</c:v>
                </c:pt>
              </c:numCache>
            </c:numRef>
          </c:xVal>
          <c:yVal>
            <c:numRef>
              <c:f>'test modello'!$AU$101:$AU$126</c:f>
              <c:numCache>
                <c:formatCode>0.0</c:formatCode>
                <c:ptCount val="26"/>
                <c:pt idx="0">
                  <c:v>0</c:v>
                </c:pt>
                <c:pt idx="1">
                  <c:v>12.889999999999899</c:v>
                </c:pt>
                <c:pt idx="2">
                  <c:v>25.96</c:v>
                </c:pt>
                <c:pt idx="3">
                  <c:v>37.909999999999997</c:v>
                </c:pt>
                <c:pt idx="4">
                  <c:v>49.72</c:v>
                </c:pt>
                <c:pt idx="5">
                  <c:v>55.2</c:v>
                </c:pt>
                <c:pt idx="6">
                  <c:v>59.84</c:v>
                </c:pt>
                <c:pt idx="7">
                  <c:v>63.79</c:v>
                </c:pt>
                <c:pt idx="8" formatCode="0.00">
                  <c:v>67.540000000000006</c:v>
                </c:pt>
                <c:pt idx="9" formatCode="0.00">
                  <c:v>70.98</c:v>
                </c:pt>
                <c:pt idx="10" formatCode="0.00">
                  <c:v>73.53</c:v>
                </c:pt>
                <c:pt idx="11" formatCode="0.00">
                  <c:v>76.759999999999906</c:v>
                </c:pt>
                <c:pt idx="12" formatCode="0.00">
                  <c:v>79.13</c:v>
                </c:pt>
                <c:pt idx="13" formatCode="0.00">
                  <c:v>81.099999999999994</c:v>
                </c:pt>
                <c:pt idx="14" formatCode="General">
                  <c:v>84.07</c:v>
                </c:pt>
                <c:pt idx="15" formatCode="General">
                  <c:v>85.68</c:v>
                </c:pt>
                <c:pt idx="16" formatCode="General">
                  <c:v>86.56</c:v>
                </c:pt>
                <c:pt idx="17" formatCode="General">
                  <c:v>86.929999999999893</c:v>
                </c:pt>
                <c:pt idx="18" formatCode="General">
                  <c:v>86.74</c:v>
                </c:pt>
                <c:pt idx="19" formatCode="General">
                  <c:v>86.32</c:v>
                </c:pt>
                <c:pt idx="20" formatCode="General">
                  <c:v>86.13</c:v>
                </c:pt>
                <c:pt idx="21" formatCode="General">
                  <c:v>84.41</c:v>
                </c:pt>
                <c:pt idx="22" formatCode="General">
                  <c:v>83.63</c:v>
                </c:pt>
                <c:pt idx="23" formatCode="General">
                  <c:v>81.179999999999893</c:v>
                </c:pt>
                <c:pt idx="24" formatCode="General">
                  <c:v>77.349999999999994</c:v>
                </c:pt>
                <c:pt idx="25" formatCode="General">
                  <c:v>67.319999999999993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33-4A3E-A42E-AA79D81B2A97}"/>
            </c:ext>
          </c:extLst>
        </c:ser>
        <c:ser>
          <c:idx val="5"/>
          <c:order val="6"/>
          <c:tx>
            <c:strRef>
              <c:f>'test modello'!$AK$68</c:f>
              <c:strCache>
                <c:ptCount val="1"/>
                <c:pt idx="0">
                  <c:v>487,426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modello'!$AK$70:$AK$91</c:f>
              <c:numCache>
                <c:formatCode>0.00</c:formatCode>
                <c:ptCount val="22"/>
                <c:pt idx="0">
                  <c:v>0</c:v>
                </c:pt>
                <c:pt idx="1">
                  <c:v>1183</c:v>
                </c:pt>
                <c:pt idx="2">
                  <c:v>1973</c:v>
                </c:pt>
                <c:pt idx="3">
                  <c:v>2960</c:v>
                </c:pt>
                <c:pt idx="4">
                  <c:v>3986</c:v>
                </c:pt>
                <c:pt idx="5">
                  <c:v>4953</c:v>
                </c:pt>
                <c:pt idx="6">
                  <c:v>5999</c:v>
                </c:pt>
                <c:pt idx="7">
                  <c:v>6916</c:v>
                </c:pt>
                <c:pt idx="8">
                  <c:v>7923</c:v>
                </c:pt>
                <c:pt idx="9">
                  <c:v>8929</c:v>
                </c:pt>
                <c:pt idx="10">
                  <c:v>9944</c:v>
                </c:pt>
                <c:pt idx="11">
                  <c:v>10368</c:v>
                </c:pt>
                <c:pt idx="12">
                  <c:v>10892</c:v>
                </c:pt>
                <c:pt idx="13">
                  <c:v>11356</c:v>
                </c:pt>
                <c:pt idx="14" formatCode="General">
                  <c:v>11849</c:v>
                </c:pt>
                <c:pt idx="15" formatCode="General">
                  <c:v>12343</c:v>
                </c:pt>
                <c:pt idx="16" formatCode="General">
                  <c:v>12826</c:v>
                </c:pt>
                <c:pt idx="17" formatCode="General">
                  <c:v>13813</c:v>
                </c:pt>
                <c:pt idx="18" formatCode="General">
                  <c:v>14799</c:v>
                </c:pt>
                <c:pt idx="19" formatCode="General">
                  <c:v>15559</c:v>
                </c:pt>
              </c:numCache>
            </c:numRef>
          </c:xVal>
          <c:yVal>
            <c:numRef>
              <c:f>'test modello'!$AN$70:$AN$91</c:f>
              <c:numCache>
                <c:formatCode>0.00</c:formatCode>
                <c:ptCount val="22"/>
                <c:pt idx="0">
                  <c:v>0</c:v>
                </c:pt>
                <c:pt idx="1">
                  <c:v>16.61</c:v>
                </c:pt>
                <c:pt idx="2">
                  <c:v>27.25</c:v>
                </c:pt>
                <c:pt idx="3">
                  <c:v>39.340000000000003</c:v>
                </c:pt>
                <c:pt idx="4">
                  <c:v>50.72</c:v>
                </c:pt>
                <c:pt idx="5">
                  <c:v>59.57</c:v>
                </c:pt>
                <c:pt idx="6">
                  <c:v>67.09</c:v>
                </c:pt>
                <c:pt idx="7">
                  <c:v>72.41</c:v>
                </c:pt>
                <c:pt idx="8">
                  <c:v>77.45</c:v>
                </c:pt>
                <c:pt idx="9">
                  <c:v>80.599999999999994</c:v>
                </c:pt>
                <c:pt idx="10">
                  <c:v>84.36</c:v>
                </c:pt>
                <c:pt idx="11">
                  <c:v>86.15</c:v>
                </c:pt>
                <c:pt idx="12">
                  <c:v>87.33</c:v>
                </c:pt>
                <c:pt idx="13">
                  <c:v>88.06</c:v>
                </c:pt>
                <c:pt idx="14" formatCode="General">
                  <c:v>88.6</c:v>
                </c:pt>
                <c:pt idx="15" formatCode="General">
                  <c:v>88.44</c:v>
                </c:pt>
                <c:pt idx="16" formatCode="General">
                  <c:v>87.28</c:v>
                </c:pt>
                <c:pt idx="17" formatCode="General">
                  <c:v>84.47</c:v>
                </c:pt>
                <c:pt idx="18" formatCode="General">
                  <c:v>77.98</c:v>
                </c:pt>
                <c:pt idx="19" formatCode="General">
                  <c:v>66.91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33-4A3E-A42E-AA79D81B2A97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modello'!$AL$119:$AL$126</c:f>
              <c:numCache>
                <c:formatCode>0.00</c:formatCode>
                <c:ptCount val="8"/>
              </c:numCache>
            </c:numRef>
          </c:xVal>
          <c:yVal>
            <c:numRef>
              <c:f>'test modello'!$AK$119:$AK$126</c:f>
              <c:numCache>
                <c:formatCode>0.00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A33-4A3E-A42E-AA79D81B2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05024"/>
        <c:axId val="274371328"/>
      </c:scatterChart>
      <c:valAx>
        <c:axId val="274305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114120136692315"/>
              <c:y val="0.9188629337999416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74371328"/>
        <c:crosses val="autoZero"/>
        <c:crossBetween val="midCat"/>
      </c:valAx>
      <c:valAx>
        <c:axId val="2743713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%</a:t>
                </a:r>
              </a:p>
            </c:rich>
          </c:tx>
          <c:layout>
            <c:manualLayout>
              <c:xMode val="edge"/>
              <c:yMode val="edge"/>
              <c:x val="3.2764579641220065E-2"/>
              <c:y val="0.4805357247010790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743050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NPSHr</a:t>
            </a:r>
          </a:p>
        </c:rich>
      </c:tx>
      <c:layout>
        <c:manualLayout>
          <c:xMode val="edge"/>
          <c:yMode val="edge"/>
          <c:x val="0.47512117173120078"/>
          <c:y val="3.5715649180216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68889351948323"/>
          <c:y val="0.12987459090507941"/>
          <c:w val="0.84924359241508651"/>
          <c:h val="0.72405084429581767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34D-4A60-ACE0-01A35BE58275}"/>
              </c:ext>
            </c:extLst>
          </c:dPt>
          <c:xVal>
            <c:numRef>
              <c:f>'test modello'!$AB$14:$AB$19</c:f>
              <c:numCache>
                <c:formatCode>0.00</c:formatCode>
                <c:ptCount val="6"/>
                <c:pt idx="0">
                  <c:v>5500</c:v>
                </c:pt>
                <c:pt idx="1">
                  <c:v>7109.4</c:v>
                </c:pt>
                <c:pt idx="2">
                  <c:v>9479.2000000000007</c:v>
                </c:pt>
                <c:pt idx="3">
                  <c:v>11849</c:v>
                </c:pt>
                <c:pt idx="4">
                  <c:v>13626.349999999999</c:v>
                </c:pt>
                <c:pt idx="5">
                  <c:v>15403.7</c:v>
                </c:pt>
              </c:numCache>
            </c:numRef>
          </c:xVal>
          <c:yVal>
            <c:numRef>
              <c:f>'test modello'!$AC$14:$AC$19</c:f>
              <c:numCache>
                <c:formatCode>0.00</c:formatCode>
                <c:ptCount val="6"/>
                <c:pt idx="0">
                  <c:v>19.718813087648144</c:v>
                </c:pt>
                <c:pt idx="1">
                  <c:v>21.436994761608574</c:v>
                </c:pt>
                <c:pt idx="2">
                  <c:v>24.112123737167025</c:v>
                </c:pt>
                <c:pt idx="3">
                  <c:v>27.663358209317863</c:v>
                </c:pt>
                <c:pt idx="4">
                  <c:v>34.088732475392874</c:v>
                </c:pt>
                <c:pt idx="5">
                  <c:v>48.379977728865128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D-4A60-ACE0-01A35BE58275}"/>
            </c:ext>
          </c:extLst>
        </c:ser>
        <c:ser>
          <c:idx val="3"/>
          <c:order val="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34D-4A60-ACE0-01A35BE58275}"/>
              </c:ext>
            </c:extLst>
          </c:dPt>
          <c:xVal>
            <c:numRef>
              <c:f>'test modello'!$AB$53:$AB$58</c:f>
              <c:numCache>
                <c:formatCode>0.00</c:formatCode>
                <c:ptCount val="6"/>
                <c:pt idx="0">
                  <c:v>5225.8357835575389</c:v>
                </c:pt>
                <c:pt idx="1">
                  <c:v>6755.0103490225383</c:v>
                </c:pt>
                <c:pt idx="2">
                  <c:v>9006.6804653633862</c:v>
                </c:pt>
                <c:pt idx="3">
                  <c:v>11258.350581704231</c:v>
                </c:pt>
                <c:pt idx="4">
                  <c:v>12947.103168959864</c:v>
                </c:pt>
                <c:pt idx="5">
                  <c:v>14635.855756215502</c:v>
                </c:pt>
              </c:numCache>
            </c:numRef>
          </c:xVal>
          <c:yVal>
            <c:numRef>
              <c:f>'test modello'!$AC$53:$AC$58</c:f>
              <c:numCache>
                <c:formatCode>0.00</c:formatCode>
                <c:ptCount val="6"/>
                <c:pt idx="0">
                  <c:v>19.7</c:v>
                </c:pt>
                <c:pt idx="1">
                  <c:v>21.5</c:v>
                </c:pt>
                <c:pt idx="2">
                  <c:v>24</c:v>
                </c:pt>
                <c:pt idx="3">
                  <c:v>27.8</c:v>
                </c:pt>
                <c:pt idx="4">
                  <c:v>34</c:v>
                </c:pt>
                <c:pt idx="5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4D-4A60-ACE0-01A35BE58275}"/>
            </c:ext>
          </c:extLst>
        </c:ser>
        <c:ser>
          <c:idx val="2"/>
          <c:order val="2"/>
          <c:tx>
            <c:v>diametro minimo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'test modello'!$AB$53:$AB$58</c:f>
              <c:numCache>
                <c:formatCode>0.00</c:formatCode>
                <c:ptCount val="6"/>
                <c:pt idx="0">
                  <c:v>5225.8357835575389</c:v>
                </c:pt>
                <c:pt idx="1">
                  <c:v>6755.0103490225383</c:v>
                </c:pt>
                <c:pt idx="2">
                  <c:v>9006.6804653633862</c:v>
                </c:pt>
                <c:pt idx="3">
                  <c:v>11258.350581704231</c:v>
                </c:pt>
                <c:pt idx="4">
                  <c:v>12947.103168959864</c:v>
                </c:pt>
                <c:pt idx="5">
                  <c:v>14635.855756215502</c:v>
                </c:pt>
              </c:numCache>
            </c:numRef>
          </c:xVal>
          <c:yVal>
            <c:numRef>
              <c:f>'test modello'!$AC$53:$AC$58</c:f>
              <c:numCache>
                <c:formatCode>0.00</c:formatCode>
                <c:ptCount val="6"/>
                <c:pt idx="0">
                  <c:v>19.7</c:v>
                </c:pt>
                <c:pt idx="1">
                  <c:v>21.5</c:v>
                </c:pt>
                <c:pt idx="2">
                  <c:v>24</c:v>
                </c:pt>
                <c:pt idx="3">
                  <c:v>27.8</c:v>
                </c:pt>
                <c:pt idx="4">
                  <c:v>34</c:v>
                </c:pt>
                <c:pt idx="5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4D-4A60-ACE0-01A35BE58275}"/>
            </c:ext>
          </c:extLst>
        </c:ser>
        <c:ser>
          <c:idx val="1"/>
          <c:order val="3"/>
          <c:marker>
            <c:symbol val="none"/>
          </c:marker>
          <c:xVal>
            <c:numRef>
              <c:f>'test modello'!$AO$70:$AO$75</c:f>
              <c:numCache>
                <c:formatCode>0.00</c:formatCode>
                <c:ptCount val="6"/>
              </c:numCache>
            </c:numRef>
          </c:xVal>
          <c:yVal>
            <c:numRef>
              <c:f>'test modello'!$AP$70:$AP$75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4D-4A60-ACE0-01A35BE58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74208"/>
        <c:axId val="276576512"/>
      </c:scatterChart>
      <c:valAx>
        <c:axId val="276574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092616196801858"/>
              <c:y val="0.918862869414050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76576512"/>
        <c:crosses val="autoZero"/>
        <c:crossBetween val="midCat"/>
      </c:valAx>
      <c:valAx>
        <c:axId val="276576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</a:t>
                </a:r>
              </a:p>
            </c:rich>
          </c:tx>
          <c:layout>
            <c:manualLayout>
              <c:xMode val="edge"/>
              <c:yMode val="edge"/>
              <c:x val="3.2717972842299409E-2"/>
              <c:y val="0.4675484882571496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7657420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Power</a:t>
            </a:r>
          </a:p>
        </c:rich>
      </c:tx>
      <c:layout>
        <c:manualLayout>
          <c:xMode val="edge"/>
          <c:yMode val="edge"/>
          <c:x val="0.46649143892676753"/>
          <c:y val="3.5948600887429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9343936685797"/>
          <c:y val="0.16667215203280689"/>
          <c:w val="0.85166777736018939"/>
          <c:h val="0.69283325943049134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C66-48F2-9649-49ACE03C3BB9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modello'!$Z$12:$Z$19</c:f>
              <c:numCache>
                <c:formatCode>0.00</c:formatCode>
                <c:ptCount val="8"/>
                <c:pt idx="0">
                  <c:v>4150</c:v>
                </c:pt>
                <c:pt idx="1">
                  <c:v>3812.907629207868</c:v>
                </c:pt>
                <c:pt idx="2">
                  <c:v>3966.964927220044</c:v>
                </c:pt>
                <c:pt idx="3">
                  <c:v>4180.810459996499</c:v>
                </c:pt>
                <c:pt idx="4">
                  <c:v>4426.8719200608593</c:v>
                </c:pt>
                <c:pt idx="5">
                  <c:v>4605.6544944326943</c:v>
                </c:pt>
                <c:pt idx="6">
                  <c:v>4541.9447049316468</c:v>
                </c:pt>
                <c:pt idx="7">
                  <c:v>3952.2293433246459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66-48F2-9649-49ACE03C3BB9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C66-48F2-9649-49ACE03C3BB9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8.4386201228354052E-2"/>
                  <c:y val="6.2310042264522303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modello'!$X$25:$X$32</c:f>
              <c:numCache>
                <c:formatCode>0.00</c:formatCode>
                <c:ptCount val="8"/>
                <c:pt idx="0">
                  <c:v>0</c:v>
                </c:pt>
                <c:pt idx="1">
                  <c:v>2311.8669507789064</c:v>
                </c:pt>
                <c:pt idx="2">
                  <c:v>4623.7339015578127</c:v>
                </c:pt>
                <c:pt idx="3">
                  <c:v>6935.6008523367182</c:v>
                </c:pt>
                <c:pt idx="4">
                  <c:v>9247.4678031156254</c:v>
                </c:pt>
                <c:pt idx="5">
                  <c:v>11559.334753894531</c:v>
                </c:pt>
                <c:pt idx="6">
                  <c:v>13293.234966978709</c:v>
                </c:pt>
                <c:pt idx="7">
                  <c:v>15027.135180062891</c:v>
                </c:pt>
              </c:numCache>
            </c:numRef>
          </c:xVal>
          <c:yVal>
            <c:numRef>
              <c:f>'test modello'!$Z$25:$Z$32</c:f>
              <c:numCache>
                <c:formatCode>0.00</c:formatCode>
                <c:ptCount val="8"/>
                <c:pt idx="0">
                  <c:v>3600</c:v>
                </c:pt>
                <c:pt idx="1">
                  <c:v>3276.6412389103807</c:v>
                </c:pt>
                <c:pt idx="2">
                  <c:v>3420.1511565540445</c:v>
                </c:pt>
                <c:pt idx="3">
                  <c:v>3615.2372757310272</c:v>
                </c:pt>
                <c:pt idx="4">
                  <c:v>3846.6248275032567</c:v>
                </c:pt>
                <c:pt idx="5">
                  <c:v>4046.0162872499059</c:v>
                </c:pt>
                <c:pt idx="6">
                  <c:v>4062.661154769743</c:v>
                </c:pt>
                <c:pt idx="7">
                  <c:v>3682.4202876190989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C66-48F2-9649-49ACE03C3BB9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7C66-48F2-9649-49ACE03C3BB9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0.10689742551835424"/>
                  <c:y val="5.5164724582130509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modello'!$X$38:$X$45</c:f>
              <c:numCache>
                <c:formatCode>0.00</c:formatCode>
                <c:ptCount val="8"/>
                <c:pt idx="0">
                  <c:v>0</c:v>
                </c:pt>
                <c:pt idx="1">
                  <c:v>2255.3501553311494</c:v>
                </c:pt>
                <c:pt idx="2">
                  <c:v>4510.7003106622988</c:v>
                </c:pt>
                <c:pt idx="3">
                  <c:v>6766.0504659934477</c:v>
                </c:pt>
                <c:pt idx="4">
                  <c:v>9021.4006213245975</c:v>
                </c:pt>
                <c:pt idx="5">
                  <c:v>11276.750776655746</c:v>
                </c:pt>
                <c:pt idx="6">
                  <c:v>12968.263393154108</c:v>
                </c:pt>
                <c:pt idx="7">
                  <c:v>14659.776009652471</c:v>
                </c:pt>
              </c:numCache>
            </c:numRef>
          </c:xVal>
          <c:yVal>
            <c:numRef>
              <c:f>'test modello'!$Z$38:$Z$45</c:f>
              <c:numCache>
                <c:formatCode>0.00</c:formatCode>
                <c:ptCount val="8"/>
                <c:pt idx="0">
                  <c:v>3600</c:v>
                </c:pt>
                <c:pt idx="1">
                  <c:v>2919.5331759730948</c:v>
                </c:pt>
                <c:pt idx="2">
                  <c:v>3037.4944371119427</c:v>
                </c:pt>
                <c:pt idx="3">
                  <c:v>3201.2353897361222</c:v>
                </c:pt>
                <c:pt idx="4">
                  <c:v>3389.6439917392941</c:v>
                </c:pt>
                <c:pt idx="5">
                  <c:v>3526.5373308713774</c:v>
                </c:pt>
                <c:pt idx="6">
                  <c:v>3477.7549154103399</c:v>
                </c:pt>
                <c:pt idx="7">
                  <c:v>3026.2114399261759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C66-48F2-9649-49ACE03C3BB9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C66-48F2-9649-49ACE03C3BB9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0.11490310530767739"/>
                  <c:y val="5.4691597680118442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modello'!$X$51:$X$59</c:f>
              <c:numCache>
                <c:formatCode>0.00</c:formatCode>
                <c:ptCount val="9"/>
                <c:pt idx="0">
                  <c:v>0</c:v>
                </c:pt>
                <c:pt idx="1">
                  <c:v>2200.2149913681142</c:v>
                </c:pt>
                <c:pt idx="2">
                  <c:v>4400.4299827362283</c:v>
                </c:pt>
                <c:pt idx="3">
                  <c:v>6600.6449741043416</c:v>
                </c:pt>
                <c:pt idx="4">
                  <c:v>8800.8599654724567</c:v>
                </c:pt>
                <c:pt idx="5">
                  <c:v>11001.07495684057</c:v>
                </c:pt>
                <c:pt idx="6">
                  <c:v>12651.236200366655</c:v>
                </c:pt>
                <c:pt idx="7">
                  <c:v>14301.397443892742</c:v>
                </c:pt>
              </c:numCache>
            </c:numRef>
          </c:xVal>
          <c:yVal>
            <c:numRef>
              <c:f>'test modello'!$Z$51:$Z$59</c:f>
              <c:numCache>
                <c:formatCode>0.00</c:formatCode>
                <c:ptCount val="9"/>
                <c:pt idx="0">
                  <c:v>3200</c:v>
                </c:pt>
                <c:pt idx="1">
                  <c:v>2601.5915726962694</c:v>
                </c:pt>
                <c:pt idx="2">
                  <c:v>2698.0284059741962</c:v>
                </c:pt>
                <c:pt idx="3">
                  <c:v>2835.3439615025181</c:v>
                </c:pt>
                <c:pt idx="4">
                  <c:v>2988.8962264238385</c:v>
                </c:pt>
                <c:pt idx="5">
                  <c:v>3079.6244308545251</c:v>
                </c:pt>
                <c:pt idx="6">
                  <c:v>2990.384467816943</c:v>
                </c:pt>
                <c:pt idx="7">
                  <c:v>2517.1904146159586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C66-48F2-9649-49ACE03C3BB9}"/>
            </c:ext>
          </c:extLst>
        </c:ser>
        <c:ser>
          <c:idx val="4"/>
          <c:order val="4"/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modello'!$AK$70:$AK$89</c:f>
              <c:numCache>
                <c:formatCode>0.00</c:formatCode>
                <c:ptCount val="20"/>
                <c:pt idx="0">
                  <c:v>0</c:v>
                </c:pt>
                <c:pt idx="1">
                  <c:v>1183</c:v>
                </c:pt>
                <c:pt idx="2">
                  <c:v>1973</c:v>
                </c:pt>
                <c:pt idx="3">
                  <c:v>2960</c:v>
                </c:pt>
                <c:pt idx="4">
                  <c:v>3986</c:v>
                </c:pt>
                <c:pt idx="5">
                  <c:v>4953</c:v>
                </c:pt>
                <c:pt idx="6">
                  <c:v>5999</c:v>
                </c:pt>
                <c:pt idx="7">
                  <c:v>6916</c:v>
                </c:pt>
                <c:pt idx="8">
                  <c:v>7923</c:v>
                </c:pt>
                <c:pt idx="9">
                  <c:v>8929</c:v>
                </c:pt>
                <c:pt idx="10">
                  <c:v>9944</c:v>
                </c:pt>
                <c:pt idx="11">
                  <c:v>10368</c:v>
                </c:pt>
                <c:pt idx="12">
                  <c:v>10892</c:v>
                </c:pt>
                <c:pt idx="13">
                  <c:v>11356</c:v>
                </c:pt>
                <c:pt idx="14" formatCode="General">
                  <c:v>11849</c:v>
                </c:pt>
                <c:pt idx="15" formatCode="General">
                  <c:v>12343</c:v>
                </c:pt>
                <c:pt idx="16" formatCode="General">
                  <c:v>12826</c:v>
                </c:pt>
                <c:pt idx="17" formatCode="General">
                  <c:v>13813</c:v>
                </c:pt>
                <c:pt idx="18" formatCode="General">
                  <c:v>14799</c:v>
                </c:pt>
                <c:pt idx="19" formatCode="General">
                  <c:v>15559</c:v>
                </c:pt>
              </c:numCache>
            </c:numRef>
          </c:xVal>
          <c:yVal>
            <c:numRef>
              <c:f>'test modello'!$AM$70:$AM$89</c:f>
              <c:numCache>
                <c:formatCode>0.00</c:formatCode>
                <c:ptCount val="20"/>
                <c:pt idx="1">
                  <c:v>3959.5652582112511</c:v>
                </c:pt>
                <c:pt idx="2">
                  <c:v>3901.0027282364931</c:v>
                </c:pt>
                <c:pt idx="3">
                  <c:v>3818.2081342145389</c:v>
                </c:pt>
                <c:pt idx="4">
                  <c:v>3803.9505746144414</c:v>
                </c:pt>
                <c:pt idx="5">
                  <c:v>3838.8382952828597</c:v>
                </c:pt>
                <c:pt idx="6">
                  <c:v>3957.8909445852169</c:v>
                </c:pt>
                <c:pt idx="7">
                  <c:v>4087.1634909235991</c:v>
                </c:pt>
                <c:pt idx="8">
                  <c:v>4224.3201351409498</c:v>
                </c:pt>
                <c:pt idx="9">
                  <c:v>4390.5624886269643</c:v>
                </c:pt>
                <c:pt idx="10">
                  <c:v>4527.2350719140177</c:v>
                </c:pt>
                <c:pt idx="11">
                  <c:v>4556.6313639001737</c:v>
                </c:pt>
                <c:pt idx="12">
                  <c:v>4586.3514256269318</c:v>
                </c:pt>
                <c:pt idx="13">
                  <c:v>4598.0716816816812</c:v>
                </c:pt>
                <c:pt idx="14">
                  <c:v>4589.9495372460497</c:v>
                </c:pt>
                <c:pt idx="15">
                  <c:v>4573.2717716342522</c:v>
                </c:pt>
                <c:pt idx="16">
                  <c:v>4535.193233399531</c:v>
                </c:pt>
                <c:pt idx="17">
                  <c:v>4436.436239296002</c:v>
                </c:pt>
                <c:pt idx="18">
                  <c:v>4275.0779415662128</c:v>
                </c:pt>
                <c:pt idx="19">
                  <c:v>4053.7784818744913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C66-48F2-9649-49ACE03C3BB9}"/>
            </c:ext>
          </c:extLst>
        </c:ser>
        <c:ser>
          <c:idx val="5"/>
          <c:order val="5"/>
          <c:marker>
            <c:symbol val="none"/>
          </c:marker>
          <c:xVal>
            <c:numRef>
              <c:f>'test modello'!$AR$70:$AR$96</c:f>
              <c:numCache>
                <c:formatCode>0.00</c:formatCode>
                <c:ptCount val="27"/>
                <c:pt idx="0">
                  <c:v>0</c:v>
                </c:pt>
                <c:pt idx="1">
                  <c:v>986</c:v>
                </c:pt>
                <c:pt idx="2">
                  <c:v>1972</c:v>
                </c:pt>
                <c:pt idx="3">
                  <c:v>2957</c:v>
                </c:pt>
                <c:pt idx="4">
                  <c:v>4002</c:v>
                </c:pt>
                <c:pt idx="5">
                  <c:v>4436</c:v>
                </c:pt>
                <c:pt idx="6">
                  <c:v>4998</c:v>
                </c:pt>
                <c:pt idx="7">
                  <c:v>5461</c:v>
                </c:pt>
                <c:pt idx="8">
                  <c:v>5989</c:v>
                </c:pt>
                <c:pt idx="9">
                  <c:v>6408</c:v>
                </c:pt>
                <c:pt idx="10">
                  <c:v>6901</c:v>
                </c:pt>
                <c:pt idx="11">
                  <c:v>7443</c:v>
                </c:pt>
                <c:pt idx="12" formatCode="General">
                  <c:v>7906</c:v>
                </c:pt>
                <c:pt idx="13" formatCode="General">
                  <c:v>8379</c:v>
                </c:pt>
                <c:pt idx="14" formatCode="General">
                  <c:v>8912</c:v>
                </c:pt>
                <c:pt idx="15" formatCode="General">
                  <c:v>9390</c:v>
                </c:pt>
                <c:pt idx="16" formatCode="General">
                  <c:v>9858</c:v>
                </c:pt>
                <c:pt idx="17" formatCode="General">
                  <c:v>10351</c:v>
                </c:pt>
                <c:pt idx="18" formatCode="General">
                  <c:v>10844</c:v>
                </c:pt>
                <c:pt idx="19" formatCode="General">
                  <c:v>11337</c:v>
                </c:pt>
                <c:pt idx="20" formatCode="General">
                  <c:v>11869</c:v>
                </c:pt>
                <c:pt idx="21" formatCode="General">
                  <c:v>12303</c:v>
                </c:pt>
                <c:pt idx="22" formatCode="General">
                  <c:v>12815</c:v>
                </c:pt>
                <c:pt idx="23" formatCode="General">
                  <c:v>13308</c:v>
                </c:pt>
                <c:pt idx="24" formatCode="General">
                  <c:v>13875</c:v>
                </c:pt>
                <c:pt idx="25" formatCode="General">
                  <c:v>14688</c:v>
                </c:pt>
                <c:pt idx="26" formatCode="General">
                  <c:v>15210</c:v>
                </c:pt>
              </c:numCache>
            </c:numRef>
          </c:xVal>
          <c:yVal>
            <c:numRef>
              <c:f>'test modello'!$AT$70:$AT$96</c:f>
              <c:numCache>
                <c:formatCode>0.00</c:formatCode>
                <c:ptCount val="27"/>
                <c:pt idx="1">
                  <c:v>3584.3192178633108</c:v>
                </c:pt>
                <c:pt idx="2">
                  <c:v>3557.2231541218634</c:v>
                </c:pt>
                <c:pt idx="3">
                  <c:v>3442.9536932360843</c:v>
                </c:pt>
                <c:pt idx="4">
                  <c:v>3346.6470639342092</c:v>
                </c:pt>
                <c:pt idx="5">
                  <c:v>3333.4404267897694</c:v>
                </c:pt>
                <c:pt idx="6">
                  <c:v>3373.3192342869888</c:v>
                </c:pt>
                <c:pt idx="7">
                  <c:v>3402.9822414789128</c:v>
                </c:pt>
                <c:pt idx="8">
                  <c:v>3442.5141352642731</c:v>
                </c:pt>
                <c:pt idx="9">
                  <c:v>3492.4242489697313</c:v>
                </c:pt>
                <c:pt idx="10">
                  <c:v>3551.1628713562041</c:v>
                </c:pt>
                <c:pt idx="11">
                  <c:v>3609.4398219662257</c:v>
                </c:pt>
                <c:pt idx="12">
                  <c:v>3697.9405499438835</c:v>
                </c:pt>
                <c:pt idx="13">
                  <c:v>3786.7503333333334</c:v>
                </c:pt>
                <c:pt idx="14">
                  <c:v>3875.1231184746243</c:v>
                </c:pt>
                <c:pt idx="15">
                  <c:v>3944.3074337682874</c:v>
                </c:pt>
                <c:pt idx="16">
                  <c:v>4004.8055241624206</c:v>
                </c:pt>
                <c:pt idx="17">
                  <c:v>4045.9155356253113</c:v>
                </c:pt>
                <c:pt idx="18">
                  <c:v>4068.9552945801306</c:v>
                </c:pt>
                <c:pt idx="19">
                  <c:v>4081.7929345790853</c:v>
                </c:pt>
                <c:pt idx="20">
                  <c:v>4084.4339702520087</c:v>
                </c:pt>
                <c:pt idx="21">
                  <c:v>4065.4540627880183</c:v>
                </c:pt>
                <c:pt idx="22">
                  <c:v>4045.0631258169933</c:v>
                </c:pt>
                <c:pt idx="23">
                  <c:v>4005.257169871034</c:v>
                </c:pt>
                <c:pt idx="24">
                  <c:v>3935.3237557301891</c:v>
                </c:pt>
                <c:pt idx="25">
                  <c:v>3828.3838462565109</c:v>
                </c:pt>
                <c:pt idx="26">
                  <c:v>3661.6325482279099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C66-48F2-9649-49ACE03C3BB9}"/>
            </c:ext>
          </c:extLst>
        </c:ser>
        <c:ser>
          <c:idx val="6"/>
          <c:order val="6"/>
          <c:marker>
            <c:symbol val="none"/>
          </c:marker>
          <c:xVal>
            <c:numRef>
              <c:f>'test modello'!$AR$101:$AR$127</c:f>
              <c:numCache>
                <c:formatCode>0.00</c:formatCode>
                <c:ptCount val="27"/>
                <c:pt idx="0">
                  <c:v>0</c:v>
                </c:pt>
                <c:pt idx="1">
                  <c:v>946</c:v>
                </c:pt>
                <c:pt idx="2">
                  <c:v>1972</c:v>
                </c:pt>
                <c:pt idx="3">
                  <c:v>2952</c:v>
                </c:pt>
                <c:pt idx="4">
                  <c:v>3959</c:v>
                </c:pt>
                <c:pt idx="5">
                  <c:v>4446</c:v>
                </c:pt>
                <c:pt idx="6">
                  <c:v>4934</c:v>
                </c:pt>
                <c:pt idx="7">
                  <c:v>5422</c:v>
                </c:pt>
                <c:pt idx="8">
                  <c:v>5910</c:v>
                </c:pt>
                <c:pt idx="9">
                  <c:v>6427</c:v>
                </c:pt>
                <c:pt idx="10">
                  <c:v>6901</c:v>
                </c:pt>
                <c:pt idx="11">
                  <c:v>7413</c:v>
                </c:pt>
                <c:pt idx="12">
                  <c:v>7906</c:v>
                </c:pt>
                <c:pt idx="13">
                  <c:v>8379</c:v>
                </c:pt>
                <c:pt idx="14" formatCode="General">
                  <c:v>8902</c:v>
                </c:pt>
                <c:pt idx="15" formatCode="General">
                  <c:v>9365</c:v>
                </c:pt>
                <c:pt idx="16" formatCode="General">
                  <c:v>9892</c:v>
                </c:pt>
                <c:pt idx="17" formatCode="General">
                  <c:v>10361</c:v>
                </c:pt>
                <c:pt idx="18" formatCode="General">
                  <c:v>10844</c:v>
                </c:pt>
                <c:pt idx="19" formatCode="General">
                  <c:v>11376</c:v>
                </c:pt>
                <c:pt idx="20" formatCode="General">
                  <c:v>11830</c:v>
                </c:pt>
                <c:pt idx="21" formatCode="General">
                  <c:v>12352</c:v>
                </c:pt>
                <c:pt idx="22" formatCode="General">
                  <c:v>12815</c:v>
                </c:pt>
                <c:pt idx="23" formatCode="General">
                  <c:v>13284</c:v>
                </c:pt>
                <c:pt idx="24" formatCode="General">
                  <c:v>13860</c:v>
                </c:pt>
                <c:pt idx="25" formatCode="General">
                  <c:v>14860</c:v>
                </c:pt>
              </c:numCache>
            </c:numRef>
          </c:xVal>
          <c:yVal>
            <c:numRef>
              <c:f>'test modello'!$AT$101:$AT$127</c:f>
              <c:numCache>
                <c:formatCode>0.00</c:formatCode>
                <c:ptCount val="27"/>
                <c:pt idx="1">
                  <c:v>3250.484866821851</c:v>
                </c:pt>
                <c:pt idx="2">
                  <c:v>3221.663844375963</c:v>
                </c:pt>
                <c:pt idx="3">
                  <c:v>3128.5563175943016</c:v>
                </c:pt>
                <c:pt idx="4">
                  <c:v>2980.0977024671492</c:v>
                </c:pt>
                <c:pt idx="5">
                  <c:v>2917.9067572463764</c:v>
                </c:pt>
                <c:pt idx="6">
                  <c:v>2917.4679885249552</c:v>
                </c:pt>
                <c:pt idx="7">
                  <c:v>2947.3024348992353</c:v>
                </c:pt>
                <c:pt idx="8">
                  <c:v>2976.9959999012922</c:v>
                </c:pt>
                <c:pt idx="9">
                  <c:v>3026.2601270310884</c:v>
                </c:pt>
                <c:pt idx="10">
                  <c:v>3085.631928086797</c:v>
                </c:pt>
                <c:pt idx="11">
                  <c:v>3154.0429666058744</c:v>
                </c:pt>
                <c:pt idx="12">
                  <c:v>3233.1173865790465</c:v>
                </c:pt>
                <c:pt idx="13">
                  <c:v>3312.3573742293465</c:v>
                </c:pt>
                <c:pt idx="14">
                  <c:v>3371.7117688962903</c:v>
                </c:pt>
                <c:pt idx="15">
                  <c:v>3441.7200837742489</c:v>
                </c:pt>
                <c:pt idx="16">
                  <c:v>3483.2635451324704</c:v>
                </c:pt>
                <c:pt idx="17">
                  <c:v>3525.7475068062458</c:v>
                </c:pt>
                <c:pt idx="18">
                  <c:v>3548.3561053467579</c:v>
                </c:pt>
                <c:pt idx="19">
                  <c:v>3561.0593512511587</c:v>
                </c:pt>
                <c:pt idx="20">
                  <c:v>3531.7640362759139</c:v>
                </c:pt>
                <c:pt idx="21">
                  <c:v>3511.6294235806704</c:v>
                </c:pt>
                <c:pt idx="22">
                  <c:v>3481.0635557415603</c:v>
                </c:pt>
                <c:pt idx="23">
                  <c:v>3441.0145454545495</c:v>
                </c:pt>
                <c:pt idx="24">
                  <c:v>3382.4044343891401</c:v>
                </c:pt>
                <c:pt idx="25">
                  <c:v>3276.8804136132571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C66-48F2-9649-49ACE03C3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81088"/>
        <c:axId val="259471616"/>
      </c:scatterChart>
      <c:valAx>
        <c:axId val="24028108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1071532606213099"/>
              <c:y val="0.918330811254456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59471616"/>
        <c:crosses val="autoZero"/>
        <c:crossBetween val="midCat"/>
      </c:valAx>
      <c:valAx>
        <c:axId val="2594716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kW</a:t>
                </a:r>
              </a:p>
            </c:rich>
          </c:tx>
          <c:layout>
            <c:manualLayout>
              <c:xMode val="edge"/>
              <c:yMode val="edge"/>
              <c:x val="2.425181873663795E-2"/>
              <c:y val="0.48040797831867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4028108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Power</a:t>
            </a:r>
          </a:p>
        </c:rich>
      </c:tx>
      <c:layout>
        <c:manualLayout>
          <c:xMode val="edge"/>
          <c:yMode val="edge"/>
          <c:x val="0.46649143892676753"/>
          <c:y val="3.5948600887429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9343936685797"/>
          <c:y val="0.16667215203280689"/>
          <c:w val="0.85166777736018939"/>
          <c:h val="0.69283325943049134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392-414B-B4AC-58CBCB4330A4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modello'!$Z$12:$Z$19</c:f>
              <c:numCache>
                <c:formatCode>0.00</c:formatCode>
                <c:ptCount val="8"/>
                <c:pt idx="0">
                  <c:v>4150</c:v>
                </c:pt>
                <c:pt idx="1">
                  <c:v>3812.907629207868</c:v>
                </c:pt>
                <c:pt idx="2">
                  <c:v>3966.964927220044</c:v>
                </c:pt>
                <c:pt idx="3">
                  <c:v>4180.810459996499</c:v>
                </c:pt>
                <c:pt idx="4">
                  <c:v>4426.8719200608593</c:v>
                </c:pt>
                <c:pt idx="5">
                  <c:v>4605.6544944326943</c:v>
                </c:pt>
                <c:pt idx="6">
                  <c:v>4541.9447049316468</c:v>
                </c:pt>
                <c:pt idx="7">
                  <c:v>3952.2293433246459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2-414B-B4AC-58CBCB4330A4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392-414B-B4AC-58CBCB4330A4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8.4386201228354052E-2"/>
                  <c:y val="6.2310042264522303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modello'!$X$25:$X$32</c:f>
              <c:numCache>
                <c:formatCode>0.00</c:formatCode>
                <c:ptCount val="8"/>
                <c:pt idx="0">
                  <c:v>0</c:v>
                </c:pt>
                <c:pt idx="1">
                  <c:v>2311.8669507789064</c:v>
                </c:pt>
                <c:pt idx="2">
                  <c:v>4623.7339015578127</c:v>
                </c:pt>
                <c:pt idx="3">
                  <c:v>6935.6008523367182</c:v>
                </c:pt>
                <c:pt idx="4">
                  <c:v>9247.4678031156254</c:v>
                </c:pt>
                <c:pt idx="5">
                  <c:v>11559.334753894531</c:v>
                </c:pt>
                <c:pt idx="6">
                  <c:v>13293.234966978709</c:v>
                </c:pt>
                <c:pt idx="7">
                  <c:v>15027.135180062891</c:v>
                </c:pt>
              </c:numCache>
            </c:numRef>
          </c:xVal>
          <c:yVal>
            <c:numRef>
              <c:f>'test modello'!$Z$25:$Z$32</c:f>
              <c:numCache>
                <c:formatCode>0.00</c:formatCode>
                <c:ptCount val="8"/>
                <c:pt idx="0">
                  <c:v>3600</c:v>
                </c:pt>
                <c:pt idx="1">
                  <c:v>3276.6412389103807</c:v>
                </c:pt>
                <c:pt idx="2">
                  <c:v>3420.1511565540445</c:v>
                </c:pt>
                <c:pt idx="3">
                  <c:v>3615.2372757310272</c:v>
                </c:pt>
                <c:pt idx="4">
                  <c:v>3846.6248275032567</c:v>
                </c:pt>
                <c:pt idx="5">
                  <c:v>4046.0162872499059</c:v>
                </c:pt>
                <c:pt idx="6">
                  <c:v>4062.661154769743</c:v>
                </c:pt>
                <c:pt idx="7">
                  <c:v>3682.4202876190989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92-414B-B4AC-58CBCB4330A4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392-414B-B4AC-58CBCB4330A4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0.10689742551835424"/>
                  <c:y val="5.5164724582130509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modello'!$X$38:$X$45</c:f>
              <c:numCache>
                <c:formatCode>0.00</c:formatCode>
                <c:ptCount val="8"/>
                <c:pt idx="0">
                  <c:v>0</c:v>
                </c:pt>
                <c:pt idx="1">
                  <c:v>2255.3501553311494</c:v>
                </c:pt>
                <c:pt idx="2">
                  <c:v>4510.7003106622988</c:v>
                </c:pt>
                <c:pt idx="3">
                  <c:v>6766.0504659934477</c:v>
                </c:pt>
                <c:pt idx="4">
                  <c:v>9021.4006213245975</c:v>
                </c:pt>
                <c:pt idx="5">
                  <c:v>11276.750776655746</c:v>
                </c:pt>
                <c:pt idx="6">
                  <c:v>12968.263393154108</c:v>
                </c:pt>
                <c:pt idx="7">
                  <c:v>14659.776009652471</c:v>
                </c:pt>
              </c:numCache>
            </c:numRef>
          </c:xVal>
          <c:yVal>
            <c:numRef>
              <c:f>'test modello'!$Z$38:$Z$45</c:f>
              <c:numCache>
                <c:formatCode>0.00</c:formatCode>
                <c:ptCount val="8"/>
                <c:pt idx="0">
                  <c:v>3600</c:v>
                </c:pt>
                <c:pt idx="1">
                  <c:v>2919.5331759730948</c:v>
                </c:pt>
                <c:pt idx="2">
                  <c:v>3037.4944371119427</c:v>
                </c:pt>
                <c:pt idx="3">
                  <c:v>3201.2353897361222</c:v>
                </c:pt>
                <c:pt idx="4">
                  <c:v>3389.6439917392941</c:v>
                </c:pt>
                <c:pt idx="5">
                  <c:v>3526.5373308713774</c:v>
                </c:pt>
                <c:pt idx="6">
                  <c:v>3477.7549154103399</c:v>
                </c:pt>
                <c:pt idx="7">
                  <c:v>3026.2114399261759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392-414B-B4AC-58CBCB4330A4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squar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392-414B-B4AC-58CBCB4330A4}"/>
              </c:ext>
            </c:extLst>
          </c:dPt>
          <c:trendline>
            <c:spPr>
              <a:ln w="3175">
                <a:solidFill>
                  <a:srgbClr val="000000"/>
                </a:solidFill>
                <a:prstDash val="sysDash"/>
              </a:ln>
            </c:spPr>
            <c:trendlineType val="linear"/>
            <c:dispRSqr val="0"/>
            <c:dispEq val="1"/>
            <c:trendlineLbl>
              <c:layout>
                <c:manualLayout>
                  <c:x val="0.11490310530767739"/>
                  <c:y val="5.4691597680118442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'test modello'!$X$51:$X$59</c:f>
              <c:numCache>
                <c:formatCode>0.00</c:formatCode>
                <c:ptCount val="9"/>
                <c:pt idx="0">
                  <c:v>0</c:v>
                </c:pt>
                <c:pt idx="1">
                  <c:v>2200.2149913681142</c:v>
                </c:pt>
                <c:pt idx="2">
                  <c:v>4400.4299827362283</c:v>
                </c:pt>
                <c:pt idx="3">
                  <c:v>6600.6449741043416</c:v>
                </c:pt>
                <c:pt idx="4">
                  <c:v>8800.8599654724567</c:v>
                </c:pt>
                <c:pt idx="5">
                  <c:v>11001.07495684057</c:v>
                </c:pt>
                <c:pt idx="6">
                  <c:v>12651.236200366655</c:v>
                </c:pt>
                <c:pt idx="7">
                  <c:v>14301.397443892742</c:v>
                </c:pt>
              </c:numCache>
            </c:numRef>
          </c:xVal>
          <c:yVal>
            <c:numRef>
              <c:f>'test modello'!$Z$51:$Z$59</c:f>
              <c:numCache>
                <c:formatCode>0.00</c:formatCode>
                <c:ptCount val="9"/>
                <c:pt idx="0">
                  <c:v>3200</c:v>
                </c:pt>
                <c:pt idx="1">
                  <c:v>2601.5915726962694</c:v>
                </c:pt>
                <c:pt idx="2">
                  <c:v>2698.0284059741962</c:v>
                </c:pt>
                <c:pt idx="3">
                  <c:v>2835.3439615025181</c:v>
                </c:pt>
                <c:pt idx="4">
                  <c:v>2988.8962264238385</c:v>
                </c:pt>
                <c:pt idx="5">
                  <c:v>3079.6244308545251</c:v>
                </c:pt>
                <c:pt idx="6">
                  <c:v>2990.384467816943</c:v>
                </c:pt>
                <c:pt idx="7">
                  <c:v>2517.1904146159586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392-414B-B4AC-58CBCB4330A4}"/>
            </c:ext>
          </c:extLst>
        </c:ser>
        <c:ser>
          <c:idx val="4"/>
          <c:order val="4"/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modello'!$AK$70:$AK$89</c:f>
              <c:numCache>
                <c:formatCode>0.00</c:formatCode>
                <c:ptCount val="20"/>
                <c:pt idx="0">
                  <c:v>0</c:v>
                </c:pt>
                <c:pt idx="1">
                  <c:v>1183</c:v>
                </c:pt>
                <c:pt idx="2">
                  <c:v>1973</c:v>
                </c:pt>
                <c:pt idx="3">
                  <c:v>2960</c:v>
                </c:pt>
                <c:pt idx="4">
                  <c:v>3986</c:v>
                </c:pt>
                <c:pt idx="5">
                  <c:v>4953</c:v>
                </c:pt>
                <c:pt idx="6">
                  <c:v>5999</c:v>
                </c:pt>
                <c:pt idx="7">
                  <c:v>6916</c:v>
                </c:pt>
                <c:pt idx="8">
                  <c:v>7923</c:v>
                </c:pt>
                <c:pt idx="9">
                  <c:v>8929</c:v>
                </c:pt>
                <c:pt idx="10">
                  <c:v>9944</c:v>
                </c:pt>
                <c:pt idx="11">
                  <c:v>10368</c:v>
                </c:pt>
                <c:pt idx="12">
                  <c:v>10892</c:v>
                </c:pt>
                <c:pt idx="13">
                  <c:v>11356</c:v>
                </c:pt>
                <c:pt idx="14" formatCode="General">
                  <c:v>11849</c:v>
                </c:pt>
                <c:pt idx="15" formatCode="General">
                  <c:v>12343</c:v>
                </c:pt>
                <c:pt idx="16" formatCode="General">
                  <c:v>12826</c:v>
                </c:pt>
                <c:pt idx="17" formatCode="General">
                  <c:v>13813</c:v>
                </c:pt>
                <c:pt idx="18" formatCode="General">
                  <c:v>14799</c:v>
                </c:pt>
                <c:pt idx="19" formatCode="General">
                  <c:v>15559</c:v>
                </c:pt>
              </c:numCache>
            </c:numRef>
          </c:xVal>
          <c:yVal>
            <c:numRef>
              <c:f>'test modello'!$AM$70:$AM$89</c:f>
              <c:numCache>
                <c:formatCode>0.00</c:formatCode>
                <c:ptCount val="20"/>
                <c:pt idx="1">
                  <c:v>3959.5652582112511</c:v>
                </c:pt>
                <c:pt idx="2">
                  <c:v>3901.0027282364931</c:v>
                </c:pt>
                <c:pt idx="3">
                  <c:v>3818.2081342145389</c:v>
                </c:pt>
                <c:pt idx="4">
                  <c:v>3803.9505746144414</c:v>
                </c:pt>
                <c:pt idx="5">
                  <c:v>3838.8382952828597</c:v>
                </c:pt>
                <c:pt idx="6">
                  <c:v>3957.8909445852169</c:v>
                </c:pt>
                <c:pt idx="7">
                  <c:v>4087.1634909235991</c:v>
                </c:pt>
                <c:pt idx="8">
                  <c:v>4224.3201351409498</c:v>
                </c:pt>
                <c:pt idx="9">
                  <c:v>4390.5624886269643</c:v>
                </c:pt>
                <c:pt idx="10">
                  <c:v>4527.2350719140177</c:v>
                </c:pt>
                <c:pt idx="11">
                  <c:v>4556.6313639001737</c:v>
                </c:pt>
                <c:pt idx="12">
                  <c:v>4586.3514256269318</c:v>
                </c:pt>
                <c:pt idx="13">
                  <c:v>4598.0716816816812</c:v>
                </c:pt>
                <c:pt idx="14">
                  <c:v>4589.9495372460497</c:v>
                </c:pt>
                <c:pt idx="15">
                  <c:v>4573.2717716342522</c:v>
                </c:pt>
                <c:pt idx="16">
                  <c:v>4535.193233399531</c:v>
                </c:pt>
                <c:pt idx="17">
                  <c:v>4436.436239296002</c:v>
                </c:pt>
                <c:pt idx="18">
                  <c:v>4275.0779415662128</c:v>
                </c:pt>
                <c:pt idx="19">
                  <c:v>4053.7784818744913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392-414B-B4AC-58CBCB4330A4}"/>
            </c:ext>
          </c:extLst>
        </c:ser>
        <c:ser>
          <c:idx val="5"/>
          <c:order val="5"/>
          <c:marker>
            <c:symbol val="none"/>
          </c:marker>
          <c:xVal>
            <c:numRef>
              <c:f>'test modello'!$AR$70:$AR$96</c:f>
              <c:numCache>
                <c:formatCode>0.00</c:formatCode>
                <c:ptCount val="27"/>
                <c:pt idx="0">
                  <c:v>0</c:v>
                </c:pt>
                <c:pt idx="1">
                  <c:v>986</c:v>
                </c:pt>
                <c:pt idx="2">
                  <c:v>1972</c:v>
                </c:pt>
                <c:pt idx="3">
                  <c:v>2957</c:v>
                </c:pt>
                <c:pt idx="4">
                  <c:v>4002</c:v>
                </c:pt>
                <c:pt idx="5">
                  <c:v>4436</c:v>
                </c:pt>
                <c:pt idx="6">
                  <c:v>4998</c:v>
                </c:pt>
                <c:pt idx="7">
                  <c:v>5461</c:v>
                </c:pt>
                <c:pt idx="8">
                  <c:v>5989</c:v>
                </c:pt>
                <c:pt idx="9">
                  <c:v>6408</c:v>
                </c:pt>
                <c:pt idx="10">
                  <c:v>6901</c:v>
                </c:pt>
                <c:pt idx="11">
                  <c:v>7443</c:v>
                </c:pt>
                <c:pt idx="12" formatCode="General">
                  <c:v>7906</c:v>
                </c:pt>
                <c:pt idx="13" formatCode="General">
                  <c:v>8379</c:v>
                </c:pt>
                <c:pt idx="14" formatCode="General">
                  <c:v>8912</c:v>
                </c:pt>
                <c:pt idx="15" formatCode="General">
                  <c:v>9390</c:v>
                </c:pt>
                <c:pt idx="16" formatCode="General">
                  <c:v>9858</c:v>
                </c:pt>
                <c:pt idx="17" formatCode="General">
                  <c:v>10351</c:v>
                </c:pt>
                <c:pt idx="18" formatCode="General">
                  <c:v>10844</c:v>
                </c:pt>
                <c:pt idx="19" formatCode="General">
                  <c:v>11337</c:v>
                </c:pt>
                <c:pt idx="20" formatCode="General">
                  <c:v>11869</c:v>
                </c:pt>
                <c:pt idx="21" formatCode="General">
                  <c:v>12303</c:v>
                </c:pt>
                <c:pt idx="22" formatCode="General">
                  <c:v>12815</c:v>
                </c:pt>
                <c:pt idx="23" formatCode="General">
                  <c:v>13308</c:v>
                </c:pt>
                <c:pt idx="24" formatCode="General">
                  <c:v>13875</c:v>
                </c:pt>
                <c:pt idx="25" formatCode="General">
                  <c:v>14688</c:v>
                </c:pt>
                <c:pt idx="26" formatCode="General">
                  <c:v>15210</c:v>
                </c:pt>
              </c:numCache>
            </c:numRef>
          </c:xVal>
          <c:yVal>
            <c:numRef>
              <c:f>'test modello'!$AT$70:$AT$96</c:f>
              <c:numCache>
                <c:formatCode>0.00</c:formatCode>
                <c:ptCount val="27"/>
                <c:pt idx="1">
                  <c:v>3584.3192178633108</c:v>
                </c:pt>
                <c:pt idx="2">
                  <c:v>3557.2231541218634</c:v>
                </c:pt>
                <c:pt idx="3">
                  <c:v>3442.9536932360843</c:v>
                </c:pt>
                <c:pt idx="4">
                  <c:v>3346.6470639342092</c:v>
                </c:pt>
                <c:pt idx="5">
                  <c:v>3333.4404267897694</c:v>
                </c:pt>
                <c:pt idx="6">
                  <c:v>3373.3192342869888</c:v>
                </c:pt>
                <c:pt idx="7">
                  <c:v>3402.9822414789128</c:v>
                </c:pt>
                <c:pt idx="8">
                  <c:v>3442.5141352642731</c:v>
                </c:pt>
                <c:pt idx="9">
                  <c:v>3492.4242489697313</c:v>
                </c:pt>
                <c:pt idx="10">
                  <c:v>3551.1628713562041</c:v>
                </c:pt>
                <c:pt idx="11">
                  <c:v>3609.4398219662257</c:v>
                </c:pt>
                <c:pt idx="12">
                  <c:v>3697.9405499438835</c:v>
                </c:pt>
                <c:pt idx="13">
                  <c:v>3786.7503333333334</c:v>
                </c:pt>
                <c:pt idx="14">
                  <c:v>3875.1231184746243</c:v>
                </c:pt>
                <c:pt idx="15">
                  <c:v>3944.3074337682874</c:v>
                </c:pt>
                <c:pt idx="16">
                  <c:v>4004.8055241624206</c:v>
                </c:pt>
                <c:pt idx="17">
                  <c:v>4045.9155356253113</c:v>
                </c:pt>
                <c:pt idx="18">
                  <c:v>4068.9552945801306</c:v>
                </c:pt>
                <c:pt idx="19">
                  <c:v>4081.7929345790853</c:v>
                </c:pt>
                <c:pt idx="20">
                  <c:v>4084.4339702520087</c:v>
                </c:pt>
                <c:pt idx="21">
                  <c:v>4065.4540627880183</c:v>
                </c:pt>
                <c:pt idx="22">
                  <c:v>4045.0631258169933</c:v>
                </c:pt>
                <c:pt idx="23">
                  <c:v>4005.257169871034</c:v>
                </c:pt>
                <c:pt idx="24">
                  <c:v>3935.3237557301891</c:v>
                </c:pt>
                <c:pt idx="25">
                  <c:v>3828.3838462565109</c:v>
                </c:pt>
                <c:pt idx="26">
                  <c:v>3661.6325482279099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392-414B-B4AC-58CBCB4330A4}"/>
            </c:ext>
          </c:extLst>
        </c:ser>
        <c:ser>
          <c:idx val="6"/>
          <c:order val="6"/>
          <c:marker>
            <c:symbol val="none"/>
          </c:marker>
          <c:xVal>
            <c:numRef>
              <c:f>'test modello'!$AR$101:$AR$127</c:f>
              <c:numCache>
                <c:formatCode>0.00</c:formatCode>
                <c:ptCount val="27"/>
                <c:pt idx="0">
                  <c:v>0</c:v>
                </c:pt>
                <c:pt idx="1">
                  <c:v>946</c:v>
                </c:pt>
                <c:pt idx="2">
                  <c:v>1972</c:v>
                </c:pt>
                <c:pt idx="3">
                  <c:v>2952</c:v>
                </c:pt>
                <c:pt idx="4">
                  <c:v>3959</c:v>
                </c:pt>
                <c:pt idx="5">
                  <c:v>4446</c:v>
                </c:pt>
                <c:pt idx="6">
                  <c:v>4934</c:v>
                </c:pt>
                <c:pt idx="7">
                  <c:v>5422</c:v>
                </c:pt>
                <c:pt idx="8">
                  <c:v>5910</c:v>
                </c:pt>
                <c:pt idx="9">
                  <c:v>6427</c:v>
                </c:pt>
                <c:pt idx="10">
                  <c:v>6901</c:v>
                </c:pt>
                <c:pt idx="11">
                  <c:v>7413</c:v>
                </c:pt>
                <c:pt idx="12">
                  <c:v>7906</c:v>
                </c:pt>
                <c:pt idx="13">
                  <c:v>8379</c:v>
                </c:pt>
                <c:pt idx="14" formatCode="General">
                  <c:v>8902</c:v>
                </c:pt>
                <c:pt idx="15" formatCode="General">
                  <c:v>9365</c:v>
                </c:pt>
                <c:pt idx="16" formatCode="General">
                  <c:v>9892</c:v>
                </c:pt>
                <c:pt idx="17" formatCode="General">
                  <c:v>10361</c:v>
                </c:pt>
                <c:pt idx="18" formatCode="General">
                  <c:v>10844</c:v>
                </c:pt>
                <c:pt idx="19" formatCode="General">
                  <c:v>11376</c:v>
                </c:pt>
                <c:pt idx="20" formatCode="General">
                  <c:v>11830</c:v>
                </c:pt>
                <c:pt idx="21" formatCode="General">
                  <c:v>12352</c:v>
                </c:pt>
                <c:pt idx="22" formatCode="General">
                  <c:v>12815</c:v>
                </c:pt>
                <c:pt idx="23" formatCode="General">
                  <c:v>13284</c:v>
                </c:pt>
                <c:pt idx="24" formatCode="General">
                  <c:v>13860</c:v>
                </c:pt>
                <c:pt idx="25" formatCode="General">
                  <c:v>14860</c:v>
                </c:pt>
              </c:numCache>
            </c:numRef>
          </c:xVal>
          <c:yVal>
            <c:numRef>
              <c:f>'test modello'!$AT$101:$AT$127</c:f>
              <c:numCache>
                <c:formatCode>0.00</c:formatCode>
                <c:ptCount val="27"/>
                <c:pt idx="1">
                  <c:v>3250.484866821851</c:v>
                </c:pt>
                <c:pt idx="2">
                  <c:v>3221.663844375963</c:v>
                </c:pt>
                <c:pt idx="3">
                  <c:v>3128.5563175943016</c:v>
                </c:pt>
                <c:pt idx="4">
                  <c:v>2980.0977024671492</c:v>
                </c:pt>
                <c:pt idx="5">
                  <c:v>2917.9067572463764</c:v>
                </c:pt>
                <c:pt idx="6">
                  <c:v>2917.4679885249552</c:v>
                </c:pt>
                <c:pt idx="7">
                  <c:v>2947.3024348992353</c:v>
                </c:pt>
                <c:pt idx="8">
                  <c:v>2976.9959999012922</c:v>
                </c:pt>
                <c:pt idx="9">
                  <c:v>3026.2601270310884</c:v>
                </c:pt>
                <c:pt idx="10">
                  <c:v>3085.631928086797</c:v>
                </c:pt>
                <c:pt idx="11">
                  <c:v>3154.0429666058744</c:v>
                </c:pt>
                <c:pt idx="12">
                  <c:v>3233.1173865790465</c:v>
                </c:pt>
                <c:pt idx="13">
                  <c:v>3312.3573742293465</c:v>
                </c:pt>
                <c:pt idx="14">
                  <c:v>3371.7117688962903</c:v>
                </c:pt>
                <c:pt idx="15">
                  <c:v>3441.7200837742489</c:v>
                </c:pt>
                <c:pt idx="16">
                  <c:v>3483.2635451324704</c:v>
                </c:pt>
                <c:pt idx="17">
                  <c:v>3525.7475068062458</c:v>
                </c:pt>
                <c:pt idx="18">
                  <c:v>3548.3561053467579</c:v>
                </c:pt>
                <c:pt idx="19">
                  <c:v>3561.0593512511587</c:v>
                </c:pt>
                <c:pt idx="20">
                  <c:v>3531.7640362759139</c:v>
                </c:pt>
                <c:pt idx="21">
                  <c:v>3511.6294235806704</c:v>
                </c:pt>
                <c:pt idx="22">
                  <c:v>3481.0635557415603</c:v>
                </c:pt>
                <c:pt idx="23">
                  <c:v>3441.0145454545495</c:v>
                </c:pt>
                <c:pt idx="24">
                  <c:v>3382.4044343891401</c:v>
                </c:pt>
                <c:pt idx="25">
                  <c:v>3276.8804136132571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392-414B-B4AC-58CBCB43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81088"/>
        <c:axId val="259471616"/>
      </c:scatterChart>
      <c:valAx>
        <c:axId val="24028108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1071532606213099"/>
              <c:y val="0.918330811254456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59471616"/>
        <c:crosses val="autoZero"/>
        <c:crossBetween val="midCat"/>
      </c:valAx>
      <c:valAx>
        <c:axId val="2594716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kW</a:t>
                </a:r>
              </a:p>
            </c:rich>
          </c:tx>
          <c:layout>
            <c:manualLayout>
              <c:xMode val="edge"/>
              <c:yMode val="edge"/>
              <c:x val="2.425181873663795E-2"/>
              <c:y val="0.48040797831867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4028108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Head</a:t>
            </a:r>
          </a:p>
        </c:rich>
      </c:tx>
      <c:layout>
        <c:manualLayout>
          <c:xMode val="edge"/>
          <c:yMode val="edge"/>
          <c:x val="0.45429966254218224"/>
          <c:y val="3.65458278111275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7475463260854"/>
          <c:y val="0.1063156482384921"/>
          <c:w val="0.84288296359525061"/>
          <c:h val="0.75417662969180332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108-44A9-8BDF-F6D744BD97EA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modello'!$Y$12:$Y$19</c:f>
              <c:numCache>
                <c:formatCode>0.00</c:formatCode>
                <c:ptCount val="8"/>
                <c:pt idx="0">
                  <c:v>220.42660373423047</c:v>
                </c:pt>
                <c:pt idx="1">
                  <c:v>191.32757273318586</c:v>
                </c:pt>
                <c:pt idx="2">
                  <c:v>170.70519327288989</c:v>
                </c:pt>
                <c:pt idx="3">
                  <c:v>156.45552404825341</c:v>
                </c:pt>
                <c:pt idx="4">
                  <c:v>143.98921809802044</c:v>
                </c:pt>
                <c:pt idx="5">
                  <c:v>126.23152280476731</c:v>
                </c:pt>
                <c:pt idx="6">
                  <c:v>103.78318979451602</c:v>
                </c:pt>
                <c:pt idx="7">
                  <c:v>68.081175514136874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08-44A9-8BDF-F6D744BD97EA}"/>
            </c:ext>
          </c:extLst>
        </c:ser>
        <c:ser>
          <c:idx val="5"/>
          <c:order val="1"/>
          <c:tx>
            <c:v>punto venduto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'test modello'!$AN$6</c:f>
              <c:numCache>
                <c:formatCode>General</c:formatCode>
                <c:ptCount val="1"/>
              </c:numCache>
            </c:numRef>
          </c:xVal>
          <c:yVal>
            <c:numRef>
              <c:f>'test modello'!$AO$6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108-44A9-8BDF-F6D744BD97EA}"/>
            </c:ext>
          </c:extLst>
        </c:ser>
        <c:ser>
          <c:idx val="7"/>
          <c:order val="2"/>
          <c:tx>
            <c:v>329</c:v>
          </c:tx>
          <c:marker>
            <c:symbol val="none"/>
          </c:marker>
          <c:xVal>
            <c:strRef>
              <c:f>'test modello'!#REF!</c:f>
              <c:strCache>
                <c:ptCount val="1"/>
                <c:pt idx="0">
                  <c:v>#RIF!</c:v>
                </c:pt>
              </c:strCache>
            </c:strRef>
          </c:xVal>
          <c:yVal>
            <c:numRef>
              <c:f>'test modello'!#REF!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108-44A9-8BDF-F6D744BD97EA}"/>
            </c:ext>
          </c:extLst>
        </c:ser>
        <c:ser>
          <c:idx val="4"/>
          <c:order val="3"/>
          <c:tx>
            <c:strRef>
              <c:f>'test modello'!$AK$68:$AL$68</c:f>
              <c:strCache>
                <c:ptCount val="1"/>
                <c:pt idx="0">
                  <c:v>487,426 1180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</c:marker>
          <c:xVal>
            <c:numRef>
              <c:f>'test modello'!$AK$70:$AK$91</c:f>
              <c:numCache>
                <c:formatCode>0.00</c:formatCode>
                <c:ptCount val="22"/>
                <c:pt idx="0">
                  <c:v>0</c:v>
                </c:pt>
                <c:pt idx="1">
                  <c:v>1183</c:v>
                </c:pt>
                <c:pt idx="2">
                  <c:v>1973</c:v>
                </c:pt>
                <c:pt idx="3">
                  <c:v>2960</c:v>
                </c:pt>
                <c:pt idx="4">
                  <c:v>3986</c:v>
                </c:pt>
                <c:pt idx="5">
                  <c:v>4953</c:v>
                </c:pt>
                <c:pt idx="6">
                  <c:v>5999</c:v>
                </c:pt>
                <c:pt idx="7">
                  <c:v>6916</c:v>
                </c:pt>
                <c:pt idx="8">
                  <c:v>7923</c:v>
                </c:pt>
                <c:pt idx="9">
                  <c:v>8929</c:v>
                </c:pt>
                <c:pt idx="10">
                  <c:v>9944</c:v>
                </c:pt>
                <c:pt idx="11">
                  <c:v>10368</c:v>
                </c:pt>
                <c:pt idx="12">
                  <c:v>10892</c:v>
                </c:pt>
                <c:pt idx="13">
                  <c:v>11356</c:v>
                </c:pt>
                <c:pt idx="14" formatCode="General">
                  <c:v>11849</c:v>
                </c:pt>
                <c:pt idx="15" formatCode="General">
                  <c:v>12343</c:v>
                </c:pt>
                <c:pt idx="16" formatCode="General">
                  <c:v>12826</c:v>
                </c:pt>
                <c:pt idx="17" formatCode="General">
                  <c:v>13813</c:v>
                </c:pt>
                <c:pt idx="18" formatCode="General">
                  <c:v>14799</c:v>
                </c:pt>
                <c:pt idx="19" formatCode="General">
                  <c:v>15559</c:v>
                </c:pt>
              </c:numCache>
            </c:numRef>
          </c:xVal>
          <c:yVal>
            <c:numRef>
              <c:f>'test modello'!$AL$70:$AL$91</c:f>
              <c:numCache>
                <c:formatCode>0.00</c:formatCode>
                <c:ptCount val="22"/>
                <c:pt idx="0">
                  <c:v>220.2</c:v>
                </c:pt>
                <c:pt idx="1">
                  <c:v>204.1</c:v>
                </c:pt>
                <c:pt idx="2">
                  <c:v>197.8</c:v>
                </c:pt>
                <c:pt idx="3">
                  <c:v>186.3</c:v>
                </c:pt>
                <c:pt idx="4">
                  <c:v>177.7</c:v>
                </c:pt>
                <c:pt idx="5">
                  <c:v>169.5</c:v>
                </c:pt>
                <c:pt idx="6">
                  <c:v>162.5</c:v>
                </c:pt>
                <c:pt idx="7">
                  <c:v>157.1</c:v>
                </c:pt>
                <c:pt idx="8">
                  <c:v>151.6</c:v>
                </c:pt>
                <c:pt idx="9">
                  <c:v>145.5</c:v>
                </c:pt>
                <c:pt idx="10">
                  <c:v>141</c:v>
                </c:pt>
                <c:pt idx="11">
                  <c:v>139</c:v>
                </c:pt>
                <c:pt idx="12">
                  <c:v>135</c:v>
                </c:pt>
                <c:pt idx="13">
                  <c:v>130.9</c:v>
                </c:pt>
                <c:pt idx="14" formatCode="General">
                  <c:v>126</c:v>
                </c:pt>
                <c:pt idx="15" formatCode="General">
                  <c:v>120.3</c:v>
                </c:pt>
                <c:pt idx="16" formatCode="General">
                  <c:v>113.3</c:v>
                </c:pt>
                <c:pt idx="17" formatCode="General">
                  <c:v>99.6</c:v>
                </c:pt>
                <c:pt idx="18" formatCode="General">
                  <c:v>82.7</c:v>
                </c:pt>
                <c:pt idx="19" formatCode="General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108-44A9-8BDF-F6D744BD97EA}"/>
            </c:ext>
          </c:extLst>
        </c:ser>
        <c:ser>
          <c:idx val="10"/>
          <c:order val="4"/>
          <c:spPr>
            <a:ln>
              <a:noFill/>
            </a:ln>
          </c:spPr>
          <c:marker>
            <c:symbol val="dash"/>
            <c:size val="5"/>
          </c:marker>
          <c:dPt>
            <c:idx val="4"/>
            <c:bubble3D val="0"/>
            <c:spPr>
              <a:ln w="6350">
                <a:noFill/>
              </a:ln>
            </c:spPr>
            <c:extLst>
              <c:ext xmlns:c16="http://schemas.microsoft.com/office/drawing/2014/chart" uri="{C3380CC4-5D6E-409C-BE32-E72D297353CC}">
                <c16:uniqueId val="{00000010-1108-44A9-8BDF-F6D744BD97EA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modello'!$BH$12:$BH$19</c:f>
              <c:numCache>
                <c:formatCode>General</c:formatCode>
                <c:ptCount val="8"/>
                <c:pt idx="0">
                  <c:v>222.63086977157278</c:v>
                </c:pt>
                <c:pt idx="1">
                  <c:v>193.24084846051773</c:v>
                </c:pt>
                <c:pt idx="2">
                  <c:v>172.41224520561877</c:v>
                </c:pt>
                <c:pt idx="3">
                  <c:v>158.02007928873596</c:v>
                </c:pt>
                <c:pt idx="4">
                  <c:v>145.42911027900064</c:v>
                </c:pt>
                <c:pt idx="5">
                  <c:v>127.49383803281498</c:v>
                </c:pt>
                <c:pt idx="6">
                  <c:v>104.82102169246119</c:v>
                </c:pt>
                <c:pt idx="7">
                  <c:v>68.761987269278237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108-44A9-8BDF-F6D744BD97EA}"/>
            </c:ext>
          </c:extLst>
        </c:ser>
        <c:ser>
          <c:idx val="11"/>
          <c:order val="5"/>
          <c:spPr>
            <a:ln>
              <a:noFill/>
            </a:ln>
          </c:spPr>
          <c:marker>
            <c:symbol val="dash"/>
            <c:size val="5"/>
          </c:marker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modello'!$BI$12:$BI$19</c:f>
              <c:numCache>
                <c:formatCode>General</c:formatCode>
                <c:ptCount val="8"/>
                <c:pt idx="0">
                  <c:v>218.22233769688816</c:v>
                </c:pt>
                <c:pt idx="1">
                  <c:v>189.414297005854</c:v>
                </c:pt>
                <c:pt idx="2">
                  <c:v>168.998141340161</c:v>
                </c:pt>
                <c:pt idx="3">
                  <c:v>154.89096880777086</c:v>
                </c:pt>
                <c:pt idx="4">
                  <c:v>142.54932591704025</c:v>
                </c:pt>
                <c:pt idx="5">
                  <c:v>124.96920757671964</c:v>
                </c:pt>
                <c:pt idx="6">
                  <c:v>102.74535789657085</c:v>
                </c:pt>
                <c:pt idx="7">
                  <c:v>67.40036375899551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108-44A9-8BDF-F6D744BD9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5568"/>
        <c:axId val="204928128"/>
      </c:scatterChart>
      <c:valAx>
        <c:axId val="2049255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0858702662167221"/>
              <c:y val="0.916972358653188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8128"/>
        <c:crosses val="autoZero"/>
        <c:crossBetween val="midCat"/>
      </c:valAx>
      <c:valAx>
        <c:axId val="2049281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</a:t>
                </a:r>
              </a:p>
            </c:rich>
          </c:tx>
          <c:layout>
            <c:manualLayout>
              <c:xMode val="edge"/>
              <c:yMode val="edge"/>
              <c:x val="2.5715035620547434E-2"/>
              <c:y val="0.458486006080923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556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Head</a:t>
            </a:r>
          </a:p>
        </c:rich>
      </c:tx>
      <c:layout>
        <c:manualLayout>
          <c:xMode val="edge"/>
          <c:yMode val="edge"/>
          <c:x val="0.45429966254218224"/>
          <c:y val="3.65458278111275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7475463260854"/>
          <c:y val="0.1063156482384921"/>
          <c:w val="0.84288296359525061"/>
          <c:h val="0.75417662969180332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37D-4EAD-878B-4F5284CA99A8}"/>
              </c:ext>
            </c:extLst>
          </c:dPt>
          <c:xVal>
            <c:numRef>
              <c:f>'test modello'!$X$12:$X$19</c:f>
              <c:numCache>
                <c:formatCode>0.00</c:formatCode>
                <c:ptCount val="8"/>
                <c:pt idx="0">
                  <c:v>0</c:v>
                </c:pt>
                <c:pt idx="1">
                  <c:v>2369.8000000000002</c:v>
                </c:pt>
                <c:pt idx="2">
                  <c:v>4739.6000000000004</c:v>
                </c:pt>
                <c:pt idx="3">
                  <c:v>7109.4</c:v>
                </c:pt>
                <c:pt idx="4">
                  <c:v>9479.2000000000007</c:v>
                </c:pt>
                <c:pt idx="5">
                  <c:v>11849</c:v>
                </c:pt>
                <c:pt idx="6">
                  <c:v>13626.349999999999</c:v>
                </c:pt>
                <c:pt idx="7">
                  <c:v>15403.7</c:v>
                </c:pt>
              </c:numCache>
            </c:numRef>
          </c:xVal>
          <c:yVal>
            <c:numRef>
              <c:f>'test modello'!$Y$12:$Y$19</c:f>
              <c:numCache>
                <c:formatCode>0.00</c:formatCode>
                <c:ptCount val="8"/>
                <c:pt idx="0">
                  <c:v>220.42660373423047</c:v>
                </c:pt>
                <c:pt idx="1">
                  <c:v>191.32757273318586</c:v>
                </c:pt>
                <c:pt idx="2">
                  <c:v>170.70519327288989</c:v>
                </c:pt>
                <c:pt idx="3">
                  <c:v>156.45552404825341</c:v>
                </c:pt>
                <c:pt idx="4">
                  <c:v>143.98921809802044</c:v>
                </c:pt>
                <c:pt idx="5">
                  <c:v>126.23152280476731</c:v>
                </c:pt>
                <c:pt idx="6">
                  <c:v>103.78318979451602</c:v>
                </c:pt>
                <c:pt idx="7">
                  <c:v>68.081175514136874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7D-4EAD-878B-4F5284CA99A8}"/>
            </c:ext>
          </c:extLst>
        </c:ser>
        <c:ser>
          <c:idx val="1"/>
          <c:order val="1"/>
          <c:tx>
            <c:v>secondo diametro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37D-4EAD-878B-4F5284CA99A8}"/>
              </c:ext>
            </c:extLst>
          </c:dPt>
          <c:xVal>
            <c:numRef>
              <c:f>'test modello'!$X$25:$X$32</c:f>
              <c:numCache>
                <c:formatCode>0.00</c:formatCode>
                <c:ptCount val="8"/>
                <c:pt idx="0">
                  <c:v>0</c:v>
                </c:pt>
                <c:pt idx="1">
                  <c:v>2311.8669507789064</c:v>
                </c:pt>
                <c:pt idx="2">
                  <c:v>4623.7339015578127</c:v>
                </c:pt>
                <c:pt idx="3">
                  <c:v>6935.6008523367182</c:v>
                </c:pt>
                <c:pt idx="4">
                  <c:v>9247.4678031156254</c:v>
                </c:pt>
                <c:pt idx="5">
                  <c:v>11559.334753894531</c:v>
                </c:pt>
                <c:pt idx="6">
                  <c:v>13293.234966978709</c:v>
                </c:pt>
                <c:pt idx="7">
                  <c:v>15027.135180062891</c:v>
                </c:pt>
              </c:numCache>
            </c:numRef>
          </c:xVal>
          <c:yVal>
            <c:numRef>
              <c:f>'test modello'!$Y$25:$Y$32</c:f>
              <c:numCache>
                <c:formatCode>0.00</c:formatCode>
                <c:ptCount val="8"/>
                <c:pt idx="0">
                  <c:v>197.19420392980314</c:v>
                </c:pt>
                <c:pt idx="1">
                  <c:v>171.16213631105879</c:v>
                </c:pt>
                <c:pt idx="2">
                  <c:v>152.71330285847552</c:v>
                </c:pt>
                <c:pt idx="3">
                  <c:v>139.96551229503166</c:v>
                </c:pt>
                <c:pt idx="4">
                  <c:v>128.81312308176987</c:v>
                </c:pt>
                <c:pt idx="5">
                  <c:v>112.92704341779655</c:v>
                </c:pt>
                <c:pt idx="6">
                  <c:v>92.844707245503585</c:v>
                </c:pt>
                <c:pt idx="7">
                  <c:v>60.905593883314914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7D-4EAD-878B-4F5284CA99A8}"/>
            </c:ext>
          </c:extLst>
        </c:ser>
        <c:ser>
          <c:idx val="2"/>
          <c:order val="2"/>
          <c:tx>
            <c:v>terzo diametro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37D-4EAD-878B-4F5284CA99A8}"/>
              </c:ext>
            </c:extLst>
          </c:dPt>
          <c:xVal>
            <c:numRef>
              <c:f>'test modello'!$X$38:$X$45</c:f>
              <c:numCache>
                <c:formatCode>0.00</c:formatCode>
                <c:ptCount val="8"/>
                <c:pt idx="0">
                  <c:v>0</c:v>
                </c:pt>
                <c:pt idx="1">
                  <c:v>2255.3501553311494</c:v>
                </c:pt>
                <c:pt idx="2">
                  <c:v>4510.7003106622988</c:v>
                </c:pt>
                <c:pt idx="3">
                  <c:v>6766.0504659934477</c:v>
                </c:pt>
                <c:pt idx="4">
                  <c:v>9021.4006213245975</c:v>
                </c:pt>
                <c:pt idx="5">
                  <c:v>11276.750776655746</c:v>
                </c:pt>
                <c:pt idx="6">
                  <c:v>12968.263393154108</c:v>
                </c:pt>
                <c:pt idx="7">
                  <c:v>14659.776009652471</c:v>
                </c:pt>
              </c:numCache>
            </c:numRef>
          </c:xVal>
          <c:yVal>
            <c:numRef>
              <c:f>'test modello'!$Y$38:$Y$45</c:f>
              <c:numCache>
                <c:formatCode>0.00</c:formatCode>
                <c:ptCount val="8"/>
                <c:pt idx="0">
                  <c:v>176.41043959645319</c:v>
                </c:pt>
                <c:pt idx="1">
                  <c:v>153.1220852700651</c:v>
                </c:pt>
                <c:pt idx="2">
                  <c:v>136.61771163963871</c:v>
                </c:pt>
                <c:pt idx="3">
                  <c:v>125.21350557087827</c:v>
                </c:pt>
                <c:pt idx="4">
                  <c:v>115.23654963376256</c:v>
                </c:pt>
                <c:pt idx="5">
                  <c:v>101.02482210254452</c:v>
                </c:pt>
                <c:pt idx="6">
                  <c:v>83.059112757765334</c:v>
                </c:pt>
                <c:pt idx="7">
                  <c:v>54.486300188941669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7D-4EAD-878B-4F5284CA99A8}"/>
            </c:ext>
          </c:extLst>
        </c:ser>
        <c:ser>
          <c:idx val="3"/>
          <c:order val="3"/>
          <c:tx>
            <c:v>diametro minimo</c:v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37D-4EAD-878B-4F5284CA99A8}"/>
              </c:ext>
            </c:extLst>
          </c:dPt>
          <c:xVal>
            <c:numRef>
              <c:f>'test modello'!$X$51:$X$58</c:f>
              <c:numCache>
                <c:formatCode>0.00</c:formatCode>
                <c:ptCount val="8"/>
                <c:pt idx="0">
                  <c:v>0</c:v>
                </c:pt>
                <c:pt idx="1">
                  <c:v>2200.2149913681142</c:v>
                </c:pt>
                <c:pt idx="2">
                  <c:v>4400.4299827362283</c:v>
                </c:pt>
                <c:pt idx="3">
                  <c:v>6600.6449741043416</c:v>
                </c:pt>
                <c:pt idx="4">
                  <c:v>8800.8599654724567</c:v>
                </c:pt>
                <c:pt idx="5">
                  <c:v>11001.07495684057</c:v>
                </c:pt>
                <c:pt idx="6">
                  <c:v>12651.236200366655</c:v>
                </c:pt>
                <c:pt idx="7">
                  <c:v>14301.397443892742</c:v>
                </c:pt>
              </c:numCache>
            </c:numRef>
          </c:xVal>
          <c:yVal>
            <c:numRef>
              <c:f>'test modello'!$Y$51:$Y$58</c:f>
              <c:numCache>
                <c:formatCode>0.00</c:formatCode>
                <c:ptCount val="8"/>
                <c:pt idx="0">
                  <c:v>157.81723082333664</c:v>
                </c:pt>
                <c:pt idx="1">
                  <c:v>136.98340943141301</c:v>
                </c:pt>
                <c:pt idx="2">
                  <c:v>122.21855453515006</c:v>
                </c:pt>
                <c:pt idx="3">
                  <c:v>112.016322594526</c:v>
                </c:pt>
                <c:pt idx="4">
                  <c:v>103.09091227502412</c:v>
                </c:pt>
                <c:pt idx="5">
                  <c:v>90.377064447632279</c:v>
                </c:pt>
                <c:pt idx="6">
                  <c:v>74.304894880707181</c:v>
                </c:pt>
                <c:pt idx="7">
                  <c:v>48.743583618396599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7D-4EAD-878B-4F5284CA99A8}"/>
            </c:ext>
          </c:extLst>
        </c:ser>
        <c:ser>
          <c:idx val="5"/>
          <c:order val="4"/>
          <c:tx>
            <c:v>punto venduto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'test modello'!$AN$6</c:f>
              <c:numCache>
                <c:formatCode>General</c:formatCode>
                <c:ptCount val="1"/>
              </c:numCache>
            </c:numRef>
          </c:xVal>
          <c:yVal>
            <c:numRef>
              <c:f>'test modello'!$AO$6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7D-4EAD-878B-4F5284CA99A8}"/>
            </c:ext>
          </c:extLst>
        </c:ser>
        <c:ser>
          <c:idx val="6"/>
          <c:order val="5"/>
          <c:tx>
            <c:v>turnitura "manuale"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6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37D-4EAD-878B-4F5284CA99A8}"/>
              </c:ext>
            </c:extLst>
          </c:dPt>
          <c:xVal>
            <c:numRef>
              <c:f>'test modello'!$AM$12:$AM$19</c:f>
              <c:numCache>
                <c:formatCode>0.0</c:formatCode>
                <c:ptCount val="8"/>
                <c:pt idx="0">
                  <c:v>0</c:v>
                </c:pt>
                <c:pt idx="1">
                  <c:v>2296.0699574670452</c:v>
                </c:pt>
                <c:pt idx="2">
                  <c:v>4592.1399149340905</c:v>
                </c:pt>
                <c:pt idx="3">
                  <c:v>6888.2098724011357</c:v>
                </c:pt>
                <c:pt idx="4">
                  <c:v>9184.279829868181</c:v>
                </c:pt>
                <c:pt idx="5">
                  <c:v>11480.349787335226</c:v>
                </c:pt>
                <c:pt idx="6">
                  <c:v>13202.402255435509</c:v>
                </c:pt>
                <c:pt idx="7">
                  <c:v>14924.454723535795</c:v>
                </c:pt>
              </c:numCache>
            </c:numRef>
          </c:xVal>
          <c:yVal>
            <c:numRef>
              <c:f>'test modello'!$AN$12:$AN$19</c:f>
              <c:numCache>
                <c:formatCode>0.0</c:formatCode>
                <c:ptCount val="8"/>
                <c:pt idx="0">
                  <c:v>191.20286867204754</c:v>
                </c:pt>
                <c:pt idx="1">
                  <c:v>165.961731219851</c:v>
                </c:pt>
                <c:pt idx="2">
                  <c:v>148.07342715467442</c:v>
                </c:pt>
                <c:pt idx="3">
                  <c:v>135.71295166205502</c:v>
                </c:pt>
                <c:pt idx="4">
                  <c:v>124.89940457178695</c:v>
                </c:pt>
                <c:pt idx="5">
                  <c:v>109.49599035792066</c:v>
                </c:pt>
                <c:pt idx="6">
                  <c:v>90.023814151637609</c:v>
                </c:pt>
                <c:pt idx="7">
                  <c:v>59.055104240335616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37D-4EAD-878B-4F5284CA99A8}"/>
            </c:ext>
          </c:extLst>
        </c:ser>
        <c:ser>
          <c:idx val="7"/>
          <c:order val="6"/>
          <c:tx>
            <c:v>329</c:v>
          </c:tx>
          <c:marker>
            <c:symbol val="none"/>
          </c:marker>
          <c:xVal>
            <c:strRef>
              <c:f>'test modello'!#REF!</c:f>
              <c:strCache>
                <c:ptCount val="1"/>
                <c:pt idx="0">
                  <c:v>#RIF!</c:v>
                </c:pt>
              </c:strCache>
            </c:strRef>
          </c:xVal>
          <c:yVal>
            <c:numRef>
              <c:f>'test modello'!#REF!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37D-4EAD-878B-4F5284CA99A8}"/>
            </c:ext>
          </c:extLst>
        </c:ser>
        <c:ser>
          <c:idx val="8"/>
          <c:order val="7"/>
          <c:tx>
            <c:strRef>
              <c:f>'test modello'!$AR$68</c:f>
              <c:strCache>
                <c:ptCount val="1"/>
                <c:pt idx="0">
                  <c:v>457,962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modello'!$AR$70:$AR$96</c:f>
              <c:numCache>
                <c:formatCode>0.00</c:formatCode>
                <c:ptCount val="27"/>
                <c:pt idx="0">
                  <c:v>0</c:v>
                </c:pt>
                <c:pt idx="1">
                  <c:v>986</c:v>
                </c:pt>
                <c:pt idx="2">
                  <c:v>1972</c:v>
                </c:pt>
                <c:pt idx="3">
                  <c:v>2957</c:v>
                </c:pt>
                <c:pt idx="4">
                  <c:v>4002</c:v>
                </c:pt>
                <c:pt idx="5">
                  <c:v>4436</c:v>
                </c:pt>
                <c:pt idx="6">
                  <c:v>4998</c:v>
                </c:pt>
                <c:pt idx="7">
                  <c:v>5461</c:v>
                </c:pt>
                <c:pt idx="8">
                  <c:v>5989</c:v>
                </c:pt>
                <c:pt idx="9">
                  <c:v>6408</c:v>
                </c:pt>
                <c:pt idx="10">
                  <c:v>6901</c:v>
                </c:pt>
                <c:pt idx="11">
                  <c:v>7443</c:v>
                </c:pt>
                <c:pt idx="12" formatCode="General">
                  <c:v>7906</c:v>
                </c:pt>
                <c:pt idx="13" formatCode="General">
                  <c:v>8379</c:v>
                </c:pt>
                <c:pt idx="14" formatCode="General">
                  <c:v>8912</c:v>
                </c:pt>
                <c:pt idx="15" formatCode="General">
                  <c:v>9390</c:v>
                </c:pt>
                <c:pt idx="16" formatCode="General">
                  <c:v>9858</c:v>
                </c:pt>
                <c:pt idx="17" formatCode="General">
                  <c:v>10351</c:v>
                </c:pt>
                <c:pt idx="18" formatCode="General">
                  <c:v>10844</c:v>
                </c:pt>
                <c:pt idx="19" formatCode="General">
                  <c:v>11337</c:v>
                </c:pt>
                <c:pt idx="20" formatCode="General">
                  <c:v>11869</c:v>
                </c:pt>
                <c:pt idx="21" formatCode="General">
                  <c:v>12303</c:v>
                </c:pt>
                <c:pt idx="22" formatCode="General">
                  <c:v>12815</c:v>
                </c:pt>
                <c:pt idx="23" formatCode="General">
                  <c:v>13308</c:v>
                </c:pt>
                <c:pt idx="24" formatCode="General">
                  <c:v>13875</c:v>
                </c:pt>
                <c:pt idx="25" formatCode="General">
                  <c:v>14688</c:v>
                </c:pt>
                <c:pt idx="26" formatCode="General">
                  <c:v>15210</c:v>
                </c:pt>
              </c:numCache>
            </c:numRef>
          </c:xVal>
          <c:yVal>
            <c:numRef>
              <c:f>'test modello'!$AS$70:$AS$96</c:f>
              <c:numCache>
                <c:formatCode>0.00</c:formatCode>
                <c:ptCount val="27"/>
                <c:pt idx="0">
                  <c:v>191.8</c:v>
                </c:pt>
                <c:pt idx="1">
                  <c:v>180.3</c:v>
                </c:pt>
                <c:pt idx="2">
                  <c:v>174.5</c:v>
                </c:pt>
                <c:pt idx="3">
                  <c:v>164.1</c:v>
                </c:pt>
                <c:pt idx="4">
                  <c:v>154.30000000000001</c:v>
                </c:pt>
                <c:pt idx="5">
                  <c:v>151.4</c:v>
                </c:pt>
                <c:pt idx="6">
                  <c:v>148.1</c:v>
                </c:pt>
                <c:pt idx="7">
                  <c:v>145.19999999999999</c:v>
                </c:pt>
                <c:pt idx="8">
                  <c:v>142.80000000000001</c:v>
                </c:pt>
                <c:pt idx="9">
                  <c:v>140.80000000000001</c:v>
                </c:pt>
                <c:pt idx="10">
                  <c:v>138.4</c:v>
                </c:pt>
                <c:pt idx="11">
                  <c:v>136</c:v>
                </c:pt>
                <c:pt idx="12" formatCode="General">
                  <c:v>134.30000000000001</c:v>
                </c:pt>
                <c:pt idx="13" formatCode="General">
                  <c:v>132.4</c:v>
                </c:pt>
                <c:pt idx="14" formatCode="General">
                  <c:v>132</c:v>
                </c:pt>
                <c:pt idx="15" formatCode="General">
                  <c:v>130</c:v>
                </c:pt>
                <c:pt idx="16" formatCode="General">
                  <c:v>128.80000000000001</c:v>
                </c:pt>
                <c:pt idx="17" formatCode="General">
                  <c:v>124.8</c:v>
                </c:pt>
                <c:pt idx="18" formatCode="General">
                  <c:v>120.7</c:v>
                </c:pt>
                <c:pt idx="19" formatCode="General">
                  <c:v>115.3</c:v>
                </c:pt>
                <c:pt idx="20" formatCode="General">
                  <c:v>109.9</c:v>
                </c:pt>
                <c:pt idx="21" formatCode="General">
                  <c:v>105.3</c:v>
                </c:pt>
                <c:pt idx="22" formatCode="General">
                  <c:v>98.5</c:v>
                </c:pt>
                <c:pt idx="23" formatCode="General">
                  <c:v>93.1</c:v>
                </c:pt>
                <c:pt idx="24" formatCode="General">
                  <c:v>84.8</c:v>
                </c:pt>
                <c:pt idx="25" formatCode="General">
                  <c:v>71.7</c:v>
                </c:pt>
                <c:pt idx="26" formatCode="General">
                  <c:v>59.1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37D-4EAD-878B-4F5284CA99A8}"/>
            </c:ext>
          </c:extLst>
        </c:ser>
        <c:ser>
          <c:idx val="9"/>
          <c:order val="8"/>
          <c:tx>
            <c:strRef>
              <c:f>'test modello'!$AR$99</c:f>
              <c:strCache>
                <c:ptCount val="1"/>
                <c:pt idx="0">
                  <c:v>428,752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'test modello'!$AR$101:$AR$126</c:f>
              <c:numCache>
                <c:formatCode>0.00</c:formatCode>
                <c:ptCount val="26"/>
                <c:pt idx="0">
                  <c:v>0</c:v>
                </c:pt>
                <c:pt idx="1">
                  <c:v>946</c:v>
                </c:pt>
                <c:pt idx="2">
                  <c:v>1972</c:v>
                </c:pt>
                <c:pt idx="3">
                  <c:v>2952</c:v>
                </c:pt>
                <c:pt idx="4">
                  <c:v>3959</c:v>
                </c:pt>
                <c:pt idx="5">
                  <c:v>4446</c:v>
                </c:pt>
                <c:pt idx="6">
                  <c:v>4934</c:v>
                </c:pt>
                <c:pt idx="7">
                  <c:v>5422</c:v>
                </c:pt>
                <c:pt idx="8">
                  <c:v>5910</c:v>
                </c:pt>
                <c:pt idx="9">
                  <c:v>6427</c:v>
                </c:pt>
                <c:pt idx="10">
                  <c:v>6901</c:v>
                </c:pt>
                <c:pt idx="11">
                  <c:v>7413</c:v>
                </c:pt>
                <c:pt idx="12">
                  <c:v>7906</c:v>
                </c:pt>
                <c:pt idx="13">
                  <c:v>8379</c:v>
                </c:pt>
                <c:pt idx="14" formatCode="General">
                  <c:v>8902</c:v>
                </c:pt>
                <c:pt idx="15" formatCode="General">
                  <c:v>9365</c:v>
                </c:pt>
                <c:pt idx="16" formatCode="General">
                  <c:v>9892</c:v>
                </c:pt>
                <c:pt idx="17" formatCode="General">
                  <c:v>10361</c:v>
                </c:pt>
                <c:pt idx="18" formatCode="General">
                  <c:v>10844</c:v>
                </c:pt>
                <c:pt idx="19" formatCode="General">
                  <c:v>11376</c:v>
                </c:pt>
                <c:pt idx="20" formatCode="General">
                  <c:v>11830</c:v>
                </c:pt>
                <c:pt idx="21" formatCode="General">
                  <c:v>12352</c:v>
                </c:pt>
                <c:pt idx="22" formatCode="General">
                  <c:v>12815</c:v>
                </c:pt>
                <c:pt idx="23" formatCode="General">
                  <c:v>13284</c:v>
                </c:pt>
                <c:pt idx="24" formatCode="General">
                  <c:v>13860</c:v>
                </c:pt>
                <c:pt idx="25" formatCode="General">
                  <c:v>14860</c:v>
                </c:pt>
              </c:numCache>
            </c:numRef>
          </c:xVal>
          <c:yVal>
            <c:numRef>
              <c:f>'test modello'!$AS$101:$AS$126</c:f>
              <c:numCache>
                <c:formatCode>0.00</c:formatCode>
                <c:ptCount val="26"/>
                <c:pt idx="0">
                  <c:v>173.5</c:v>
                </c:pt>
                <c:pt idx="1">
                  <c:v>162.6</c:v>
                </c:pt>
                <c:pt idx="2">
                  <c:v>155.69999999999999</c:v>
                </c:pt>
                <c:pt idx="3">
                  <c:v>147.5</c:v>
                </c:pt>
                <c:pt idx="4">
                  <c:v>137.4</c:v>
                </c:pt>
                <c:pt idx="5">
                  <c:v>133</c:v>
                </c:pt>
                <c:pt idx="6">
                  <c:v>129.9</c:v>
                </c:pt>
                <c:pt idx="7">
                  <c:v>127.3</c:v>
                </c:pt>
                <c:pt idx="8">
                  <c:v>124.9</c:v>
                </c:pt>
                <c:pt idx="9">
                  <c:v>122.7</c:v>
                </c:pt>
                <c:pt idx="10">
                  <c:v>120.7</c:v>
                </c:pt>
                <c:pt idx="11">
                  <c:v>119.9</c:v>
                </c:pt>
                <c:pt idx="12">
                  <c:v>118.8</c:v>
                </c:pt>
                <c:pt idx="13">
                  <c:v>117.7</c:v>
                </c:pt>
                <c:pt idx="14" formatCode="General">
                  <c:v>116.9</c:v>
                </c:pt>
                <c:pt idx="15" formatCode="General">
                  <c:v>115.6</c:v>
                </c:pt>
                <c:pt idx="16" formatCode="General">
                  <c:v>111.9</c:v>
                </c:pt>
                <c:pt idx="17" formatCode="General">
                  <c:v>108.6</c:v>
                </c:pt>
                <c:pt idx="18" formatCode="General">
                  <c:v>104.2</c:v>
                </c:pt>
                <c:pt idx="19" formatCode="General">
                  <c:v>99.2</c:v>
                </c:pt>
                <c:pt idx="20" formatCode="General">
                  <c:v>94.4</c:v>
                </c:pt>
                <c:pt idx="21" formatCode="General">
                  <c:v>88.1</c:v>
                </c:pt>
                <c:pt idx="22" formatCode="General">
                  <c:v>83.4</c:v>
                </c:pt>
                <c:pt idx="23" formatCode="General">
                  <c:v>77.2</c:v>
                </c:pt>
                <c:pt idx="24" formatCode="General">
                  <c:v>69.3</c:v>
                </c:pt>
                <c:pt idx="25" formatCode="General">
                  <c:v>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37D-4EAD-878B-4F5284CA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5568"/>
        <c:axId val="204928128"/>
      </c:scatterChart>
      <c:valAx>
        <c:axId val="2049255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m3/h</a:t>
                </a:r>
              </a:p>
            </c:rich>
          </c:tx>
          <c:layout>
            <c:manualLayout>
              <c:xMode val="edge"/>
              <c:yMode val="edge"/>
              <c:x val="0.50858702662167221"/>
              <c:y val="0.916972358653188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8128"/>
        <c:crosses val="autoZero"/>
        <c:crossBetween val="midCat"/>
      </c:valAx>
      <c:valAx>
        <c:axId val="2049281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m</a:t>
                </a:r>
              </a:p>
            </c:rich>
          </c:tx>
          <c:layout>
            <c:manualLayout>
              <c:xMode val="edge"/>
              <c:yMode val="edge"/>
              <c:x val="2.5715035620547434E-2"/>
              <c:y val="0.458486006080923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0492556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Prevalenza</a:t>
            </a:r>
          </a:p>
        </c:rich>
      </c:tx>
      <c:layout>
        <c:manualLayout>
          <c:xMode val="edge"/>
          <c:yMode val="edge"/>
          <c:x val="0.45784608249270048"/>
          <c:y val="3.654589687916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9850338110544"/>
          <c:y val="0.136216924305568"/>
          <c:w val="0.85009437058752446"/>
          <c:h val="0.72427535362472739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88D-4BD9-A2D8-D50686A1540A}"/>
              </c:ext>
            </c:extLst>
          </c:dPt>
          <c:xVal>
            <c:numRef>
              <c:f>'example 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'example '!$D$12:$D$19</c:f>
              <c:numCache>
                <c:formatCode>0.00</c:formatCode>
                <c:ptCount val="8"/>
                <c:pt idx="0">
                  <c:v>220.81240580054671</c:v>
                </c:pt>
                <c:pt idx="1">
                  <c:v>191.66244416727434</c:v>
                </c:pt>
                <c:pt idx="2">
                  <c:v>171.00397034961244</c:v>
                </c:pt>
                <c:pt idx="3">
                  <c:v>156.72936061535484</c:v>
                </c:pt>
                <c:pt idx="4">
                  <c:v>144.24123549033328</c:v>
                </c:pt>
                <c:pt idx="5">
                  <c:v>126.45245975841671</c:v>
                </c:pt>
                <c:pt idx="6">
                  <c:v>103.96483651225927</c:v>
                </c:pt>
                <c:pt idx="7">
                  <c:v>68.20033471609176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8D-4BD9-A2D8-D50686A1540A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88D-4BD9-A2D8-D50686A1540A}"/>
              </c:ext>
            </c:extLst>
          </c:dPt>
          <c:xVal>
            <c:numRef>
              <c:f>'example 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'!$D$25:$D$32</c:f>
              <c:numCache>
                <c:formatCode>0.00</c:formatCode>
                <c:ptCount val="8"/>
                <c:pt idx="0">
                  <c:v>197.53934344587279</c:v>
                </c:pt>
                <c:pt idx="1">
                  <c:v>171.4617131531696</c:v>
                </c:pt>
                <c:pt idx="2">
                  <c:v>152.98058959609551</c:v>
                </c:pt>
                <c:pt idx="3">
                  <c:v>140.21048718890398</c:v>
                </c:pt>
                <c:pt idx="4">
                  <c:v>129.0385784860255</c:v>
                </c:pt>
                <c:pt idx="5">
                  <c:v>113.12469418206682</c:v>
                </c:pt>
                <c:pt idx="6">
                  <c:v>93.007208864160432</c:v>
                </c:pt>
                <c:pt idx="7">
                  <c:v>61.01219401039728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8D-4BD9-A2D8-D50686A1540A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88D-4BD9-A2D8-D50686A1540A}"/>
              </c:ext>
            </c:extLst>
          </c:dPt>
          <c:xVal>
            <c:numRef>
              <c:f>'example 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'!$D$38:$D$45</c:f>
              <c:numCache>
                <c:formatCode>0.00</c:formatCode>
                <c:ptCount val="8"/>
                <c:pt idx="0">
                  <c:v>197.53934344587279</c:v>
                </c:pt>
                <c:pt idx="1">
                  <c:v>171.4617131531696</c:v>
                </c:pt>
                <c:pt idx="2">
                  <c:v>152.98058959609551</c:v>
                </c:pt>
                <c:pt idx="3">
                  <c:v>140.21048718890398</c:v>
                </c:pt>
                <c:pt idx="4">
                  <c:v>129.0385784860255</c:v>
                </c:pt>
                <c:pt idx="5">
                  <c:v>113.12469418206682</c:v>
                </c:pt>
                <c:pt idx="6">
                  <c:v>93.007208864160432</c:v>
                </c:pt>
                <c:pt idx="7">
                  <c:v>61.01219401039728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8D-4BD9-A2D8-D50686A1540A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88D-4BD9-A2D8-D50686A1540A}"/>
              </c:ext>
            </c:extLst>
          </c:dPt>
          <c:xVal>
            <c:numRef>
              <c:f>'example 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'example '!$D$51:$D$58</c:f>
              <c:numCache>
                <c:formatCode>0.00</c:formatCode>
                <c:ptCount val="8"/>
                <c:pt idx="0">
                  <c:v>175.42532079285448</c:v>
                </c:pt>
                <c:pt idx="1">
                  <c:v>152.26701430152806</c:v>
                </c:pt>
                <c:pt idx="2">
                  <c:v>135.85480510786712</c:v>
                </c:pt>
                <c:pt idx="3">
                  <c:v>124.5142828996772</c:v>
                </c:pt>
                <c:pt idx="4">
                  <c:v>114.59304071124221</c:v>
                </c:pt>
                <c:pt idx="5">
                  <c:v>100.46067492332377</c:v>
                </c:pt>
                <c:pt idx="6">
                  <c:v>82.59529046938448</c:v>
                </c:pt>
                <c:pt idx="7">
                  <c:v>54.182035435804423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8D-4BD9-A2D8-D50686A1540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'example '!$R$6</c:f>
              <c:numCache>
                <c:formatCode>General</c:formatCode>
                <c:ptCount val="1"/>
              </c:numCache>
            </c:numRef>
          </c:xVal>
          <c:yVal>
            <c:numRef>
              <c:f>'example '!$S$6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8D-4BD9-A2D8-D50686A1540A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'example '!$R$12:$R$19</c:f>
              <c:numCache>
                <c:formatCode>0.0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'example '!$S$12:$S$19</c:f>
              <c:numCache>
                <c:formatCode>0.0</c:formatCode>
                <c:ptCount val="8"/>
                <c:pt idx="0">
                  <c:v>220.81240580054671</c:v>
                </c:pt>
                <c:pt idx="1">
                  <c:v>191.66244416727434</c:v>
                </c:pt>
                <c:pt idx="2">
                  <c:v>171.00397034961244</c:v>
                </c:pt>
                <c:pt idx="3">
                  <c:v>156.72936061535484</c:v>
                </c:pt>
                <c:pt idx="4">
                  <c:v>144.24123549033328</c:v>
                </c:pt>
                <c:pt idx="5">
                  <c:v>126.45245975841671</c:v>
                </c:pt>
                <c:pt idx="6">
                  <c:v>103.96483651225927</c:v>
                </c:pt>
                <c:pt idx="7">
                  <c:v>68.20033471609176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8D-4BD9-A2D8-D50686A1540A}"/>
            </c:ext>
          </c:extLst>
        </c:ser>
        <c:ser>
          <c:idx val="6"/>
          <c:order val="6"/>
          <c:tx>
            <c:strRef>
              <c:f>'example 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'!$AA$4:$AA$11</c:f>
              <c:numCache>
                <c:formatCode>0.0</c:formatCode>
                <c:ptCount val="8"/>
              </c:numCache>
            </c:numRef>
          </c:xVal>
          <c:yVal>
            <c:numRef>
              <c:f>'example '!$AB$4:$AB$11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8D-4BD9-A2D8-D50686A1540A}"/>
            </c:ext>
          </c:extLst>
        </c:ser>
        <c:ser>
          <c:idx val="7"/>
          <c:order val="7"/>
          <c:tx>
            <c:strRef>
              <c:f>'example 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'example 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'example '!$AK$4:$AK$11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8D-4BD9-A2D8-D50686A1540A}"/>
            </c:ext>
          </c:extLst>
        </c:ser>
        <c:ser>
          <c:idx val="8"/>
          <c:order val="8"/>
          <c:tx>
            <c:strRef>
              <c:f>'example 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'!$AS$4:$AS$11</c:f>
              <c:numCache>
                <c:formatCode>0.0</c:formatCode>
                <c:ptCount val="8"/>
              </c:numCache>
            </c:numRef>
          </c:xVal>
          <c:yVal>
            <c:numRef>
              <c:f>'example '!$AT$4:$AT$11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88D-4BD9-A2D8-D50686A1540A}"/>
            </c:ext>
          </c:extLst>
        </c:ser>
        <c:ser>
          <c:idx val="9"/>
          <c:order val="9"/>
          <c:tx>
            <c:strRef>
              <c:f>'example 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'!$AZ$4:$AZ$11</c:f>
              <c:numCache>
                <c:formatCode>0.0</c:formatCode>
                <c:ptCount val="8"/>
              </c:numCache>
            </c:numRef>
          </c:xVal>
          <c:yVal>
            <c:numRef>
              <c:f>'example '!$BA$4:$BA$11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88D-4BD9-A2D8-D50686A1540A}"/>
            </c:ext>
          </c:extLst>
        </c:ser>
        <c:ser>
          <c:idx val="10"/>
          <c:order val="10"/>
          <c:tx>
            <c:strRef>
              <c:f>'example 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'!$AA$26:$AA$33</c:f>
              <c:numCache>
                <c:formatCode>0.0</c:formatCode>
                <c:ptCount val="8"/>
              </c:numCache>
            </c:numRef>
          </c:xVal>
          <c:yVal>
            <c:numRef>
              <c:f>'example '!$AB$26:$AB$33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4C-48F6-A7EB-E46E2E040707}"/>
            </c:ext>
          </c:extLst>
        </c:ser>
        <c:ser>
          <c:idx val="11"/>
          <c:order val="11"/>
          <c:tx>
            <c:strRef>
              <c:f>'example 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'example '!$AA$48:$AA$55</c:f>
              <c:numCache>
                <c:formatCode>0.0</c:formatCode>
                <c:ptCount val="8"/>
              </c:numCache>
            </c:numRef>
          </c:xVal>
          <c:yVal>
            <c:numRef>
              <c:f>'example '!$AB$48:$AB$55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4C-48F6-A7EB-E46E2E04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39776"/>
        <c:axId val="260941696"/>
      </c:scatterChart>
      <c:valAx>
        <c:axId val="2609397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1139529245591298"/>
              <c:y val="0.916972471464322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0941696"/>
        <c:crosses val="autoZero"/>
        <c:crossBetween val="midCat"/>
      </c:valAx>
      <c:valAx>
        <c:axId val="260941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2.1419712094221156E-2"/>
              <c:y val="0.475098054603639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093977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Potenza</a:t>
            </a:r>
          </a:p>
        </c:rich>
      </c:tx>
      <c:layout>
        <c:manualLayout>
          <c:xMode val="edge"/>
          <c:yMode val="edge"/>
          <c:x val="0.46792917596530381"/>
          <c:y val="3.5948741701404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5525203719432"/>
          <c:y val="0.13399133790872711"/>
          <c:w val="0.85029425369569489"/>
          <c:h val="0.72878215496697907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4FD-4111-A4B3-DBE2FB66B9C6}"/>
              </c:ext>
            </c:extLst>
          </c:dPt>
          <c:xVal>
            <c:numRef>
              <c:f>'example 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'example '!$E$12:$E$19</c:f>
              <c:numCache>
                <c:formatCode>0.00</c:formatCode>
                <c:ptCount val="8"/>
                <c:pt idx="0">
                  <c:v>4145.6396298798127</c:v>
                </c:pt>
                <c:pt idx="1">
                  <c:v>4004.4816254342513</c:v>
                </c:pt>
                <c:pt idx="2">
                  <c:v>3863.3236209886895</c:v>
                </c:pt>
                <c:pt idx="3">
                  <c:v>4217.6303894265211</c:v>
                </c:pt>
                <c:pt idx="4">
                  <c:v>4492.796204301696</c:v>
                </c:pt>
                <c:pt idx="5">
                  <c:v>4623.7865773964631</c:v>
                </c:pt>
                <c:pt idx="6">
                  <c:v>4528.5501528067807</c:v>
                </c:pt>
                <c:pt idx="7">
                  <c:v>3987.845674587471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D-4111-A4B3-DBE2FB66B9C6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4FD-4111-A4B3-DBE2FB66B9C6}"/>
              </c:ext>
            </c:extLst>
          </c:dPt>
          <c:xVal>
            <c:numRef>
              <c:f>'example 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'!$E$25:$E$32</c:f>
              <c:numCache>
                <c:formatCode>0.00</c:formatCode>
                <c:ptCount val="8"/>
                <c:pt idx="0">
                  <c:v>3637.201820407955</c:v>
                </c:pt>
                <c:pt idx="1">
                  <c:v>3513.3559976707202</c:v>
                </c:pt>
                <c:pt idx="2">
                  <c:v>3389.5101749334854</c:v>
                </c:pt>
                <c:pt idx="3">
                  <c:v>3700.3633455411536</c:v>
                </c:pt>
                <c:pt idx="4">
                  <c:v>3941.7817253647372</c:v>
                </c:pt>
                <c:pt idx="5">
                  <c:v>4056.7069156881466</c:v>
                </c:pt>
                <c:pt idx="6">
                  <c:v>3973.1506667585259</c:v>
                </c:pt>
                <c:pt idx="7">
                  <c:v>3498.76034631019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D-4111-A4B3-DBE2FB66B9C6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4FD-4111-A4B3-DBE2FB66B9C6}"/>
              </c:ext>
            </c:extLst>
          </c:dPt>
          <c:xVal>
            <c:numRef>
              <c:f>'example 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'!$E$38:$E$45</c:f>
              <c:numCache>
                <c:formatCode>0.00</c:formatCode>
                <c:ptCount val="8"/>
                <c:pt idx="0">
                  <c:v>3637.201820407955</c:v>
                </c:pt>
                <c:pt idx="1">
                  <c:v>3513.3559976707202</c:v>
                </c:pt>
                <c:pt idx="2">
                  <c:v>3389.5101749334854</c:v>
                </c:pt>
                <c:pt idx="3">
                  <c:v>3700.3633455411536</c:v>
                </c:pt>
                <c:pt idx="4">
                  <c:v>3941.7817253647372</c:v>
                </c:pt>
                <c:pt idx="5">
                  <c:v>4056.7069156881466</c:v>
                </c:pt>
                <c:pt idx="6">
                  <c:v>3973.1506667585259</c:v>
                </c:pt>
                <c:pt idx="7">
                  <c:v>3498.76034631019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FD-4111-A4B3-DBE2FB66B9C6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4FD-4111-A4B3-DBE2FB66B9C6}"/>
              </c:ext>
            </c:extLst>
          </c:dPt>
          <c:xVal>
            <c:numRef>
              <c:f>'example 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'example '!$E$51:$E$58</c:f>
              <c:numCache>
                <c:formatCode>0.00</c:formatCode>
                <c:ptCount val="8"/>
                <c:pt idx="0">
                  <c:v>3178.3917448590755</c:v>
                </c:pt>
                <c:pt idx="1">
                  <c:v>3070.1682917598573</c:v>
                </c:pt>
                <c:pt idx="2">
                  <c:v>2961.9448386606396</c:v>
                </c:pt>
                <c:pt idx="3">
                  <c:v>3233.5858418568455</c:v>
                </c:pt>
                <c:pt idx="4">
                  <c:v>3444.5508153106603</c:v>
                </c:pt>
                <c:pt idx="5">
                  <c:v>3544.9789175266956</c:v>
                </c:pt>
                <c:pt idx="6">
                  <c:v>3471.9627625420626</c:v>
                </c:pt>
                <c:pt idx="7">
                  <c:v>3057.4137897867017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FD-4111-A4B3-DBE2FB66B9C6}"/>
            </c:ext>
          </c:extLst>
        </c:ser>
        <c:ser>
          <c:idx val="4"/>
          <c:order val="4"/>
          <c:tx>
            <c:strRef>
              <c:f>'example 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'!$AA$4:$AA$11</c:f>
              <c:numCache>
                <c:formatCode>0.0</c:formatCode>
                <c:ptCount val="8"/>
              </c:numCache>
            </c:numRef>
          </c:xVal>
          <c:yVal>
            <c:numRef>
              <c:f>'example '!$AC$4:$AC$11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FD-4111-A4B3-DBE2FB66B9C6}"/>
            </c:ext>
          </c:extLst>
        </c:ser>
        <c:ser>
          <c:idx val="5"/>
          <c:order val="5"/>
          <c:tx>
            <c:strRef>
              <c:f>'example 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'example 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'example '!$AL$4:$AL$11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4FD-4111-A4B3-DBE2FB66B9C6}"/>
            </c:ext>
          </c:extLst>
        </c:ser>
        <c:ser>
          <c:idx val="6"/>
          <c:order val="6"/>
          <c:tx>
            <c:strRef>
              <c:f>'example 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'!$AS$4:$AS$11</c:f>
              <c:numCache>
                <c:formatCode>0.0</c:formatCode>
                <c:ptCount val="8"/>
              </c:numCache>
            </c:numRef>
          </c:xVal>
          <c:yVal>
            <c:numRef>
              <c:f>'example '!$AU$4:$AU$11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4FD-4111-A4B3-DBE2FB66B9C6}"/>
            </c:ext>
          </c:extLst>
        </c:ser>
        <c:ser>
          <c:idx val="7"/>
          <c:order val="7"/>
          <c:tx>
            <c:strRef>
              <c:f>'example 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'!$AZ$4:$AZ$11</c:f>
              <c:numCache>
                <c:formatCode>0.0</c:formatCode>
                <c:ptCount val="8"/>
              </c:numCache>
            </c:numRef>
          </c:xVal>
          <c:yVal>
            <c:numRef>
              <c:f>'example '!$BB$4:$BB$11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FD-4111-A4B3-DBE2FB66B9C6}"/>
            </c:ext>
          </c:extLst>
        </c:ser>
        <c:ser>
          <c:idx val="8"/>
          <c:order val="8"/>
          <c:tx>
            <c:strRef>
              <c:f>'example 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'!$AA$26:$AA$33</c:f>
              <c:numCache>
                <c:formatCode>0.0</c:formatCode>
                <c:ptCount val="8"/>
              </c:numCache>
            </c:numRef>
          </c:xVal>
          <c:yVal>
            <c:numRef>
              <c:f>'example '!$AC$26:$AC$33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89-4BC5-802E-197F32D7C424}"/>
            </c:ext>
          </c:extLst>
        </c:ser>
        <c:ser>
          <c:idx val="9"/>
          <c:order val="9"/>
          <c:tx>
            <c:strRef>
              <c:f>'example 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'example '!$AA$48:$AA$55</c:f>
              <c:numCache>
                <c:formatCode>0.0</c:formatCode>
                <c:ptCount val="8"/>
              </c:numCache>
            </c:numRef>
          </c:xVal>
          <c:yVal>
            <c:numRef>
              <c:f>'example '!$AC$48:$AC$55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89-4BC5-802E-197F32D7C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04672"/>
        <c:axId val="261006848"/>
      </c:scatterChart>
      <c:valAx>
        <c:axId val="2610046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1204822659199678"/>
              <c:y val="0.9183308458991645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06848"/>
        <c:crosses val="autoZero"/>
        <c:crossBetween val="midCat"/>
      </c:valAx>
      <c:valAx>
        <c:axId val="2610068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kW</a:t>
                </a:r>
              </a:p>
            </c:rich>
          </c:tx>
          <c:layout>
            <c:manualLayout>
              <c:xMode val="edge"/>
              <c:yMode val="edge"/>
              <c:x val="2.1391076115485564E-2"/>
              <c:y val="0.464067726828264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04672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Rendimento</a:t>
            </a:r>
          </a:p>
        </c:rich>
      </c:tx>
      <c:layout>
        <c:manualLayout>
          <c:xMode val="edge"/>
          <c:yMode val="edge"/>
          <c:x val="0.45395260171917762"/>
          <c:y val="3.58316448228987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8014546428886E-2"/>
          <c:y val="0.13029722663100671"/>
          <c:w val="0.85850453155915374"/>
          <c:h val="0.73292189979941269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D92-4B78-BCA8-702B5FE15811}"/>
              </c:ext>
            </c:extLst>
          </c:dPt>
          <c:xVal>
            <c:numRef>
              <c:f>'example 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'example '!$F$12:$F$19</c:f>
              <c:numCache>
                <c:formatCode>0.00</c:formatCode>
                <c:ptCount val="8"/>
                <c:pt idx="0">
                  <c:v>0</c:v>
                </c:pt>
                <c:pt idx="1">
                  <c:v>30.976403345058323</c:v>
                </c:pt>
                <c:pt idx="2">
                  <c:v>57.294821909741458</c:v>
                </c:pt>
                <c:pt idx="3">
                  <c:v>72.151169084106328</c:v>
                </c:pt>
                <c:pt idx="4">
                  <c:v>83.113769491387529</c:v>
                </c:pt>
                <c:pt idx="5">
                  <c:v>88.499288633370568</c:v>
                </c:pt>
                <c:pt idx="6">
                  <c:v>85.434918903306027</c:v>
                </c:pt>
                <c:pt idx="7">
                  <c:v>71.945194865941929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92-4B78-BCA8-702B5FE15811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D92-4B78-BCA8-702B5FE15811}"/>
              </c:ext>
            </c:extLst>
          </c:dPt>
          <c:xVal>
            <c:numRef>
              <c:f>'example 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'!$F$25:$F$32</c:f>
              <c:numCache>
                <c:formatCode>0.00</c:formatCode>
                <c:ptCount val="8"/>
                <c:pt idx="0">
                  <c:v>0</c:v>
                </c:pt>
                <c:pt idx="1">
                  <c:v>30.813172556584124</c:v>
                </c:pt>
                <c:pt idx="2">
                  <c:v>56.992905678485137</c:v>
                </c:pt>
                <c:pt idx="3">
                  <c:v>71.770967028763039</c:v>
                </c:pt>
                <c:pt idx="4">
                  <c:v>82.675799789869359</c:v>
                </c:pt>
                <c:pt idx="5">
                  <c:v>88.032939829020592</c:v>
                </c:pt>
                <c:pt idx="6">
                  <c:v>84.984717857675577</c:v>
                </c:pt>
                <c:pt idx="7">
                  <c:v>71.566078195937337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92-4B78-BCA8-702B5FE15811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D92-4B78-BCA8-702B5FE15811}"/>
              </c:ext>
            </c:extLst>
          </c:dPt>
          <c:xVal>
            <c:numRef>
              <c:f>'example 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'example '!$F$38:$F$45</c:f>
              <c:numCache>
                <c:formatCode>0.00</c:formatCode>
                <c:ptCount val="8"/>
                <c:pt idx="0">
                  <c:v>0</c:v>
                </c:pt>
                <c:pt idx="1">
                  <c:v>30.813172556584124</c:v>
                </c:pt>
                <c:pt idx="2">
                  <c:v>56.992905678485137</c:v>
                </c:pt>
                <c:pt idx="3">
                  <c:v>71.770967028763039</c:v>
                </c:pt>
                <c:pt idx="4">
                  <c:v>82.675799789869359</c:v>
                </c:pt>
                <c:pt idx="5">
                  <c:v>88.032939829020592</c:v>
                </c:pt>
                <c:pt idx="6">
                  <c:v>84.984717857675577</c:v>
                </c:pt>
                <c:pt idx="7">
                  <c:v>71.566078195937337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D92-4B78-BCA8-702B5FE15811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D92-4B78-BCA8-702B5FE15811}"/>
              </c:ext>
            </c:extLst>
          </c:dPt>
          <c:xVal>
            <c:numRef>
              <c:f>'example 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'example '!$F$51:$F$58</c:f>
              <c:numCache>
                <c:formatCode>0.00</c:formatCode>
                <c:ptCount val="8"/>
                <c:pt idx="0">
                  <c:v>0</c:v>
                </c:pt>
                <c:pt idx="1">
                  <c:v>30.498395538412442</c:v>
                </c:pt>
                <c:pt idx="2">
                  <c:v>56.410685302654997</c:v>
                </c:pt>
                <c:pt idx="3">
                  <c:v>71.037778943338679</c:v>
                </c:pt>
                <c:pt idx="4">
                  <c:v>81.831211596783305</c:v>
                </c:pt>
                <c:pt idx="5">
                  <c:v>87.133624893196327</c:v>
                </c:pt>
                <c:pt idx="6">
                  <c:v>84.116542533363344</c:v>
                </c:pt>
                <c:pt idx="7">
                  <c:v>70.834983185990211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D92-4B78-BCA8-702B5FE15811}"/>
            </c:ext>
          </c:extLst>
        </c:ser>
        <c:ser>
          <c:idx val="4"/>
          <c:order val="4"/>
          <c:tx>
            <c:strRef>
              <c:f>'example 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'!$AA$4:$AA$11</c:f>
              <c:numCache>
                <c:formatCode>0.0</c:formatCode>
                <c:ptCount val="8"/>
              </c:numCache>
            </c:numRef>
          </c:xVal>
          <c:yVal>
            <c:numRef>
              <c:f>'example '!$Z$4:$Z$11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D92-4B78-BCA8-702B5FE15811}"/>
            </c:ext>
          </c:extLst>
        </c:ser>
        <c:ser>
          <c:idx val="5"/>
          <c:order val="5"/>
          <c:tx>
            <c:strRef>
              <c:f>'example 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'example 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'example '!$AI$4:$AI$11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D92-4B78-BCA8-702B5FE15811}"/>
            </c:ext>
          </c:extLst>
        </c:ser>
        <c:ser>
          <c:idx val="6"/>
          <c:order val="6"/>
          <c:tx>
            <c:strRef>
              <c:f>'example 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'!$AS$4:$AS$11</c:f>
              <c:numCache>
                <c:formatCode>0.0</c:formatCode>
                <c:ptCount val="8"/>
              </c:numCache>
            </c:numRef>
          </c:xVal>
          <c:yVal>
            <c:numRef>
              <c:f>'example '!$AR$4:$AR$11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D92-4B78-BCA8-702B5FE15811}"/>
            </c:ext>
          </c:extLst>
        </c:ser>
        <c:ser>
          <c:idx val="7"/>
          <c:order val="7"/>
          <c:tx>
            <c:strRef>
              <c:f>'example 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'!$AZ$4:$AZ$11</c:f>
              <c:numCache>
                <c:formatCode>0.0</c:formatCode>
                <c:ptCount val="8"/>
              </c:numCache>
            </c:numRef>
          </c:xVal>
          <c:yVal>
            <c:numRef>
              <c:f>'example '!$AY$4:$AY$11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D92-4B78-BCA8-702B5FE15811}"/>
            </c:ext>
          </c:extLst>
        </c:ser>
        <c:ser>
          <c:idx val="8"/>
          <c:order val="8"/>
          <c:tx>
            <c:strRef>
              <c:f>'example 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'!$AA$26:$AA$33</c:f>
              <c:numCache>
                <c:formatCode>0.0</c:formatCode>
                <c:ptCount val="8"/>
              </c:numCache>
            </c:numRef>
          </c:xVal>
          <c:yVal>
            <c:numRef>
              <c:f>'example '!$Z$26:$Z$33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404-4455-B4D9-EAF9AF640A38}"/>
            </c:ext>
          </c:extLst>
        </c:ser>
        <c:ser>
          <c:idx val="9"/>
          <c:order val="9"/>
          <c:tx>
            <c:strRef>
              <c:f>'example 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'example '!$AA$48:$AA$55</c:f>
              <c:numCache>
                <c:formatCode>0.0</c:formatCode>
                <c:ptCount val="8"/>
              </c:numCache>
            </c:numRef>
          </c:xVal>
          <c:yVal>
            <c:numRef>
              <c:f>'example '!$Z$48:$Z$55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404-4455-B4D9-EAF9AF640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45248"/>
        <c:axId val="261059712"/>
      </c:scatterChart>
      <c:valAx>
        <c:axId val="261045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0735882313776204"/>
              <c:y val="0.918595501295237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59712"/>
        <c:crosses val="autoZero"/>
        <c:crossBetween val="midCat"/>
      </c:valAx>
      <c:valAx>
        <c:axId val="261059712"/>
        <c:scaling>
          <c:orientation val="minMax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</a:t>
                </a:r>
              </a:p>
            </c:rich>
          </c:tx>
          <c:layout>
            <c:manualLayout>
              <c:xMode val="edge"/>
              <c:yMode val="edge"/>
              <c:x val="2.1362516601312689E-2"/>
              <c:y val="0.475584737575555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452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NPSHr</a:t>
            </a:r>
          </a:p>
        </c:rich>
      </c:tx>
      <c:layout>
        <c:manualLayout>
          <c:xMode val="edge"/>
          <c:yMode val="edge"/>
          <c:x val="0.47601539807524063"/>
          <c:y val="3.5715649180216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33634124276792E-2"/>
          <c:y val="0.12013399658719845"/>
          <c:w val="0.86536122095080537"/>
          <c:h val="0.74028516815895262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F88-464F-988A-E77C331C9912}"/>
              </c:ext>
            </c:extLst>
          </c:dPt>
          <c:xVal>
            <c:numRef>
              <c:f>'example '!$G$14:$G$19</c:f>
              <c:numCache>
                <c:formatCode>0.00</c:formatCode>
                <c:ptCount val="6"/>
                <c:pt idx="1">
                  <c:v>7128.0730251989262</c:v>
                </c:pt>
                <c:pt idx="2">
                  <c:v>9504.0973669319028</c:v>
                </c:pt>
                <c:pt idx="3">
                  <c:v>11880.121708664878</c:v>
                </c:pt>
                <c:pt idx="4">
                  <c:v>13662.139964964606</c:v>
                </c:pt>
                <c:pt idx="5">
                  <c:v>15444.158221264341</c:v>
                </c:pt>
              </c:numCache>
            </c:numRef>
          </c:xVal>
          <c:yVal>
            <c:numRef>
              <c:f>'example '!$H$14:$H$19</c:f>
              <c:numCache>
                <c:formatCode>0.00</c:formatCode>
                <c:ptCount val="6"/>
                <c:pt idx="1">
                  <c:v>21.474514900895439</c:v>
                </c:pt>
                <c:pt idx="2">
                  <c:v>24.154326025835811</c:v>
                </c:pt>
                <c:pt idx="3">
                  <c:v>27.711776052616258</c:v>
                </c:pt>
                <c:pt idx="4">
                  <c:v>34.148396341751607</c:v>
                </c:pt>
                <c:pt idx="5">
                  <c:v>48.464654873365504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88-464F-988A-E77C331C9912}"/>
            </c:ext>
          </c:extLst>
        </c:ser>
        <c:ser>
          <c:idx val="3"/>
          <c:order val="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F88-464F-988A-E77C331C9912}"/>
              </c:ext>
            </c:extLst>
          </c:dPt>
          <c:xVal>
            <c:numRef>
              <c:f>'example '!$G$53:$G$58</c:f>
              <c:numCache>
                <c:formatCode>0.00</c:formatCode>
                <c:ptCount val="6"/>
                <c:pt idx="0">
                  <c:v>5239.5615780369353</c:v>
                </c:pt>
                <c:pt idx="1">
                  <c:v>6772.7525605265055</c:v>
                </c:pt>
                <c:pt idx="2">
                  <c:v>9030.3367473686758</c:v>
                </c:pt>
                <c:pt idx="3">
                  <c:v>11287.920934210844</c:v>
                </c:pt>
                <c:pt idx="4">
                  <c:v>12981.109074342468</c:v>
                </c:pt>
                <c:pt idx="5">
                  <c:v>14674.297214474098</c:v>
                </c:pt>
              </c:numCache>
            </c:numRef>
          </c:xVal>
          <c:yVal>
            <c:numRef>
              <c:f>'example '!$H$53:$H$58</c:f>
              <c:numCache>
                <c:formatCode>0.00</c:formatCode>
                <c:ptCount val="6"/>
                <c:pt idx="0">
                  <c:v>19.734479961028629</c:v>
                </c:pt>
                <c:pt idx="1">
                  <c:v>21.537630414320589</c:v>
                </c:pt>
                <c:pt idx="2">
                  <c:v>24.042006043892751</c:v>
                </c:pt>
                <c:pt idx="3">
                  <c:v>27.848657000842437</c:v>
                </c:pt>
                <c:pt idx="4">
                  <c:v>34.059508562181392</c:v>
                </c:pt>
                <c:pt idx="5">
                  <c:v>48.484712188517044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88-464F-988A-E77C331C9912}"/>
            </c:ext>
          </c:extLst>
        </c:ser>
        <c:ser>
          <c:idx val="1"/>
          <c:order val="2"/>
          <c:tx>
            <c:strRef>
              <c:f>'example 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'!$AD$4:$AD$9</c:f>
              <c:numCache>
                <c:formatCode>0.0</c:formatCode>
                <c:ptCount val="6"/>
              </c:numCache>
            </c:numRef>
          </c:xVal>
          <c:yVal>
            <c:numRef>
              <c:f>'example '!$AE$4:$AE$9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88-464F-988A-E77C331C9912}"/>
            </c:ext>
          </c:extLst>
        </c:ser>
        <c:ser>
          <c:idx val="2"/>
          <c:order val="3"/>
          <c:tx>
            <c:strRef>
              <c:f>'example '!$AI$1:$AL$1</c:f>
              <c:strCache>
                <c:ptCount val="1"/>
                <c:pt idx="0">
                  <c:v>P27348.01-27C1PP53.B n 1180</c:v>
                </c:pt>
              </c:strCache>
            </c:strRef>
          </c:tx>
          <c:marker>
            <c:symbol val="none"/>
          </c:marker>
          <c:xVal>
            <c:numRef>
              <c:f>'example '!$AM$4:$AM$9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'example '!$AN$4:$AN$9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88-464F-988A-E77C331C9912}"/>
            </c:ext>
          </c:extLst>
        </c:ser>
        <c:ser>
          <c:idx val="4"/>
          <c:order val="4"/>
          <c:tx>
            <c:strRef>
              <c:f>'example 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'!$AV$4:$AV$9</c:f>
              <c:numCache>
                <c:formatCode>0.0</c:formatCode>
                <c:ptCount val="6"/>
              </c:numCache>
            </c:numRef>
          </c:xVal>
          <c:yVal>
            <c:numRef>
              <c:f>'example '!$AW$4:$AW$9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88-464F-988A-E77C331C9912}"/>
            </c:ext>
          </c:extLst>
        </c:ser>
        <c:ser>
          <c:idx val="5"/>
          <c:order val="5"/>
          <c:tx>
            <c:strRef>
              <c:f>'example 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'example '!$BC$4:$BC$9</c:f>
              <c:numCache>
                <c:formatCode>0.0</c:formatCode>
                <c:ptCount val="6"/>
              </c:numCache>
            </c:numRef>
          </c:xVal>
          <c:yVal>
            <c:numRef>
              <c:f>'example '!$BD$4:$BD$9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88-464F-988A-E77C331C9912}"/>
            </c:ext>
          </c:extLst>
        </c:ser>
        <c:ser>
          <c:idx val="6"/>
          <c:order val="6"/>
          <c:tx>
            <c:strRef>
              <c:f>'example 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'example '!$AD$26:$AD$30</c:f>
              <c:numCache>
                <c:formatCode>0.0</c:formatCode>
                <c:ptCount val="5"/>
              </c:numCache>
            </c:numRef>
          </c:xVal>
          <c:yVal>
            <c:numRef>
              <c:f>'example '!$AE$26:$AE$30</c:f>
              <c:numCache>
                <c:formatCode>0.0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83-474D-8942-D192EB21CFE6}"/>
            </c:ext>
          </c:extLst>
        </c:ser>
        <c:ser>
          <c:idx val="7"/>
          <c:order val="7"/>
          <c:tx>
            <c:strRef>
              <c:f>'example 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'example '!$AD$48:$AD$52</c:f>
              <c:numCache>
                <c:formatCode>0.0</c:formatCode>
                <c:ptCount val="5"/>
              </c:numCache>
            </c:numRef>
          </c:xVal>
          <c:yVal>
            <c:numRef>
              <c:f>'example '!$AE$48:$AE$52</c:f>
              <c:numCache>
                <c:formatCode>0.0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83-474D-8942-D192EB21C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06304"/>
        <c:axId val="261112576"/>
      </c:scatterChart>
      <c:valAx>
        <c:axId val="2611063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0534957130358704"/>
              <c:y val="0.9188628694140504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112576"/>
        <c:crosses val="autoZero"/>
        <c:crossBetween val="midCat"/>
      </c:valAx>
      <c:valAx>
        <c:axId val="2611125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2.4000839895013126E-2"/>
              <c:y val="0.467548488257149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10630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Prevalenza</a:t>
            </a:r>
          </a:p>
        </c:rich>
      </c:tx>
      <c:layout>
        <c:manualLayout>
          <c:xMode val="edge"/>
          <c:yMode val="edge"/>
          <c:x val="0.45784608249270048"/>
          <c:y val="3.654589687916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9850338110544"/>
          <c:y val="0.136216924305568"/>
          <c:w val="0.85009437058752446"/>
          <c:h val="0.72427535362472739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3A1-489B-A4AF-1709EDF42309}"/>
              </c:ext>
            </c:extLst>
          </c:dPt>
          <c:xVal>
            <c:numRef>
              <c:f>'master for scaling'!$C$12:$C$19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'master for scaling'!$D$12:$D$19</c:f>
              <c:numCache>
                <c:formatCode>0.00</c:formatCode>
                <c:ptCount val="8"/>
                <c:pt idx="0">
                  <c:v>220.81240580054671</c:v>
                </c:pt>
                <c:pt idx="1">
                  <c:v>191.66244416727434</c:v>
                </c:pt>
                <c:pt idx="2">
                  <c:v>171.00397034961244</c:v>
                </c:pt>
                <c:pt idx="3">
                  <c:v>156.72936061535484</c:v>
                </c:pt>
                <c:pt idx="4">
                  <c:v>144.24123549033328</c:v>
                </c:pt>
                <c:pt idx="5">
                  <c:v>126.45245975841671</c:v>
                </c:pt>
                <c:pt idx="6">
                  <c:v>103.96483651225927</c:v>
                </c:pt>
                <c:pt idx="7">
                  <c:v>68.20033471609176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A1-489B-A4AF-1709EDF42309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3A1-489B-A4AF-1709EDF42309}"/>
              </c:ext>
            </c:extLst>
          </c:dPt>
          <c:xVal>
            <c:numRef>
              <c:f>'master for scaling'!$C$25:$C$32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scaling'!$D$25:$D$32</c:f>
              <c:numCache>
                <c:formatCode>0.00</c:formatCode>
                <c:ptCount val="8"/>
                <c:pt idx="0">
                  <c:v>197.53934344587279</c:v>
                </c:pt>
                <c:pt idx="1">
                  <c:v>171.4617131531696</c:v>
                </c:pt>
                <c:pt idx="2">
                  <c:v>152.98058959609551</c:v>
                </c:pt>
                <c:pt idx="3">
                  <c:v>140.21048718890398</c:v>
                </c:pt>
                <c:pt idx="4">
                  <c:v>129.0385784860255</c:v>
                </c:pt>
                <c:pt idx="5">
                  <c:v>113.12469418206682</c:v>
                </c:pt>
                <c:pt idx="6">
                  <c:v>93.007208864160432</c:v>
                </c:pt>
                <c:pt idx="7">
                  <c:v>61.01219401039728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A1-489B-A4AF-1709EDF42309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3A1-489B-A4AF-1709EDF42309}"/>
              </c:ext>
            </c:extLst>
          </c:dPt>
          <c:xVal>
            <c:numRef>
              <c:f>'master for scaling'!$C$38:$C$45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scaling'!$D$38:$D$45</c:f>
              <c:numCache>
                <c:formatCode>0.00</c:formatCode>
                <c:ptCount val="8"/>
                <c:pt idx="0">
                  <c:v>197.53934344587279</c:v>
                </c:pt>
                <c:pt idx="1">
                  <c:v>171.4617131531696</c:v>
                </c:pt>
                <c:pt idx="2">
                  <c:v>152.98058959609551</c:v>
                </c:pt>
                <c:pt idx="3">
                  <c:v>140.21048718890398</c:v>
                </c:pt>
                <c:pt idx="4">
                  <c:v>129.0385784860255</c:v>
                </c:pt>
                <c:pt idx="5">
                  <c:v>113.12469418206682</c:v>
                </c:pt>
                <c:pt idx="6">
                  <c:v>93.007208864160432</c:v>
                </c:pt>
                <c:pt idx="7">
                  <c:v>61.01219401039728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A1-489B-A4AF-1709EDF42309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3A1-489B-A4AF-1709EDF42309}"/>
              </c:ext>
            </c:extLst>
          </c:dPt>
          <c:xVal>
            <c:numRef>
              <c:f>'master for scaling'!$C$51:$C$58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'master for scaling'!$D$51:$D$58</c:f>
              <c:numCache>
                <c:formatCode>0.00</c:formatCode>
                <c:ptCount val="8"/>
                <c:pt idx="0">
                  <c:v>175.42532079285448</c:v>
                </c:pt>
                <c:pt idx="1">
                  <c:v>152.26701430152806</c:v>
                </c:pt>
                <c:pt idx="2">
                  <c:v>135.85480510786712</c:v>
                </c:pt>
                <c:pt idx="3">
                  <c:v>124.5142828996772</c:v>
                </c:pt>
                <c:pt idx="4">
                  <c:v>114.59304071124221</c:v>
                </c:pt>
                <c:pt idx="5">
                  <c:v>100.46067492332377</c:v>
                </c:pt>
                <c:pt idx="6">
                  <c:v>82.59529046938448</c:v>
                </c:pt>
                <c:pt idx="7">
                  <c:v>54.182035435804423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A1-489B-A4AF-1709EDF42309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'master for scaling'!$R$6</c:f>
              <c:numCache>
                <c:formatCode>General</c:formatCode>
                <c:ptCount val="1"/>
              </c:numCache>
            </c:numRef>
          </c:xVal>
          <c:yVal>
            <c:numRef>
              <c:f>'master for scaling'!$S$6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A1-489B-A4AF-1709EDF42309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'master for scaling'!$R$12:$R$19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'master for scaling'!$S$12:$S$19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3A1-489B-A4AF-1709EDF42309}"/>
            </c:ext>
          </c:extLst>
        </c:ser>
        <c:ser>
          <c:idx val="6"/>
          <c:order val="6"/>
          <c:tx>
            <c:strRef>
              <c:f>'master for scaling'!$Z$1:$AE$1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scaling'!$AA$4:$AA$11</c:f>
              <c:numCache>
                <c:formatCode>0.0</c:formatCode>
                <c:ptCount val="8"/>
              </c:numCache>
            </c:numRef>
          </c:xVal>
          <c:yVal>
            <c:numRef>
              <c:f>'master for scaling'!$AB$4:$AB$11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3A1-489B-A4AF-1709EDF42309}"/>
            </c:ext>
          </c:extLst>
        </c:ser>
        <c:ser>
          <c:idx val="7"/>
          <c:order val="7"/>
          <c:tx>
            <c:strRef>
              <c:f>'master for scaling'!$AI$1:$AL$1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'master for scaling'!$AJ$4:$AJ$11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'master for scaling'!$AK$4:$AK$11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3A1-489B-A4AF-1709EDF42309}"/>
            </c:ext>
          </c:extLst>
        </c:ser>
        <c:ser>
          <c:idx val="8"/>
          <c:order val="8"/>
          <c:tx>
            <c:strRef>
              <c:f>'master for scaling'!$AR$1:$AU$1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scaling'!$AS$4:$AS$11</c:f>
              <c:numCache>
                <c:formatCode>0.0</c:formatCode>
                <c:ptCount val="8"/>
              </c:numCache>
            </c:numRef>
          </c:xVal>
          <c:yVal>
            <c:numRef>
              <c:f>'master for scaling'!$AT$4:$AT$11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3A1-489B-A4AF-1709EDF42309}"/>
            </c:ext>
          </c:extLst>
        </c:ser>
        <c:ser>
          <c:idx val="9"/>
          <c:order val="9"/>
          <c:tx>
            <c:strRef>
              <c:f>'master for scaling'!$AY$1:$BB$1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scaling'!$AZ$4:$AZ$11</c:f>
              <c:numCache>
                <c:formatCode>0.0</c:formatCode>
                <c:ptCount val="8"/>
              </c:numCache>
            </c:numRef>
          </c:xVal>
          <c:yVal>
            <c:numRef>
              <c:f>'master for scaling'!$BA$4:$BA$11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3A1-489B-A4AF-1709EDF42309}"/>
            </c:ext>
          </c:extLst>
        </c:ser>
        <c:ser>
          <c:idx val="10"/>
          <c:order val="10"/>
          <c:tx>
            <c:strRef>
              <c:f>'master for scaling'!$Z$23:$AE$23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scaling'!$AA$26:$AA$33</c:f>
              <c:numCache>
                <c:formatCode>0.0</c:formatCode>
                <c:ptCount val="8"/>
              </c:numCache>
            </c:numRef>
          </c:xVal>
          <c:yVal>
            <c:numRef>
              <c:f>'master for scaling'!$AB$26:$AB$33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3A1-489B-A4AF-1709EDF42309}"/>
            </c:ext>
          </c:extLst>
        </c:ser>
        <c:ser>
          <c:idx val="11"/>
          <c:order val="11"/>
          <c:tx>
            <c:strRef>
              <c:f>'master for scaling'!$Z$45:$AE$45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'master for scaling'!$AA$48:$AA$55</c:f>
              <c:numCache>
                <c:formatCode>0.0</c:formatCode>
                <c:ptCount val="8"/>
              </c:numCache>
            </c:numRef>
          </c:xVal>
          <c:yVal>
            <c:numRef>
              <c:f>'master for scaling'!$AB$48:$AB$55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3A1-489B-A4AF-1709EDF42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39776"/>
        <c:axId val="260941696"/>
      </c:scatterChart>
      <c:valAx>
        <c:axId val="2609397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1139529245591298"/>
              <c:y val="0.916972471464322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0941696"/>
        <c:crosses val="autoZero"/>
        <c:crossBetween val="midCat"/>
      </c:valAx>
      <c:valAx>
        <c:axId val="260941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2.1419712094221156E-2"/>
              <c:y val="0.475098054603639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093977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Potenza</a:t>
            </a:r>
          </a:p>
        </c:rich>
      </c:tx>
      <c:layout>
        <c:manualLayout>
          <c:xMode val="edge"/>
          <c:yMode val="edge"/>
          <c:x val="0.46792917596530381"/>
          <c:y val="3.5948741701404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5525203719432"/>
          <c:y val="0.13399133790872711"/>
          <c:w val="0.85029425369569489"/>
          <c:h val="0.72878215496697907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275-45A5-AEE4-AD78B2136F5E}"/>
              </c:ext>
            </c:extLst>
          </c:dPt>
          <c:xVal>
            <c:numRef>
              <c:f>'master for scaling'!$C$12:$C$19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'master for scaling'!$E$12:$E$19</c:f>
              <c:numCache>
                <c:formatCode>0.00</c:formatCode>
                <c:ptCount val="8"/>
                <c:pt idx="0">
                  <c:v>4145.6396298798127</c:v>
                </c:pt>
                <c:pt idx="1">
                  <c:v>4004.4816254342513</c:v>
                </c:pt>
                <c:pt idx="2">
                  <c:v>3863.3236209886895</c:v>
                </c:pt>
                <c:pt idx="3">
                  <c:v>4217.6303894265211</c:v>
                </c:pt>
                <c:pt idx="4">
                  <c:v>4492.796204301696</c:v>
                </c:pt>
                <c:pt idx="5">
                  <c:v>4623.7865773964631</c:v>
                </c:pt>
                <c:pt idx="6">
                  <c:v>4528.5501528067807</c:v>
                </c:pt>
                <c:pt idx="7">
                  <c:v>3987.845674587471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75-45A5-AEE4-AD78B2136F5E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275-45A5-AEE4-AD78B2136F5E}"/>
              </c:ext>
            </c:extLst>
          </c:dPt>
          <c:xVal>
            <c:numRef>
              <c:f>'master for scaling'!$C$25:$C$32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scaling'!$E$25:$E$32</c:f>
              <c:numCache>
                <c:formatCode>0.00</c:formatCode>
                <c:ptCount val="8"/>
                <c:pt idx="0">
                  <c:v>3637.201820407955</c:v>
                </c:pt>
                <c:pt idx="1">
                  <c:v>3513.3559976707202</c:v>
                </c:pt>
                <c:pt idx="2">
                  <c:v>3389.5101749334854</c:v>
                </c:pt>
                <c:pt idx="3">
                  <c:v>3700.3633455411536</c:v>
                </c:pt>
                <c:pt idx="4">
                  <c:v>3941.7817253647372</c:v>
                </c:pt>
                <c:pt idx="5">
                  <c:v>4056.7069156881466</c:v>
                </c:pt>
                <c:pt idx="6">
                  <c:v>3973.1506667585259</c:v>
                </c:pt>
                <c:pt idx="7">
                  <c:v>3498.76034631019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75-45A5-AEE4-AD78B2136F5E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275-45A5-AEE4-AD78B2136F5E}"/>
              </c:ext>
            </c:extLst>
          </c:dPt>
          <c:xVal>
            <c:numRef>
              <c:f>'master for scaling'!$C$38:$C$45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scaling'!$E$38:$E$45</c:f>
              <c:numCache>
                <c:formatCode>0.00</c:formatCode>
                <c:ptCount val="8"/>
                <c:pt idx="0">
                  <c:v>3637.201820407955</c:v>
                </c:pt>
                <c:pt idx="1">
                  <c:v>3513.3559976707202</c:v>
                </c:pt>
                <c:pt idx="2">
                  <c:v>3389.5101749334854</c:v>
                </c:pt>
                <c:pt idx="3">
                  <c:v>3700.3633455411536</c:v>
                </c:pt>
                <c:pt idx="4">
                  <c:v>3941.7817253647372</c:v>
                </c:pt>
                <c:pt idx="5">
                  <c:v>4056.7069156881466</c:v>
                </c:pt>
                <c:pt idx="6">
                  <c:v>3973.1506667585259</c:v>
                </c:pt>
                <c:pt idx="7">
                  <c:v>3498.76034631019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75-45A5-AEE4-AD78B2136F5E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275-45A5-AEE4-AD78B2136F5E}"/>
              </c:ext>
            </c:extLst>
          </c:dPt>
          <c:xVal>
            <c:numRef>
              <c:f>'master for scaling'!$C$51:$C$58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'master for scaling'!$E$51:$E$58</c:f>
              <c:numCache>
                <c:formatCode>0.00</c:formatCode>
                <c:ptCount val="8"/>
                <c:pt idx="0">
                  <c:v>3178.3917448590755</c:v>
                </c:pt>
                <c:pt idx="1">
                  <c:v>3070.1682917598573</c:v>
                </c:pt>
                <c:pt idx="2">
                  <c:v>2961.9448386606396</c:v>
                </c:pt>
                <c:pt idx="3">
                  <c:v>3233.5858418568455</c:v>
                </c:pt>
                <c:pt idx="4">
                  <c:v>3444.5508153106603</c:v>
                </c:pt>
                <c:pt idx="5">
                  <c:v>3544.9789175266956</c:v>
                </c:pt>
                <c:pt idx="6">
                  <c:v>3471.9627625420626</c:v>
                </c:pt>
                <c:pt idx="7">
                  <c:v>3057.4137897867017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75-45A5-AEE4-AD78B2136F5E}"/>
            </c:ext>
          </c:extLst>
        </c:ser>
        <c:ser>
          <c:idx val="4"/>
          <c:order val="4"/>
          <c:tx>
            <c:strRef>
              <c:f>'master for scaling'!$Z$1:$AE$1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scaling'!$AA$4:$AA$11</c:f>
              <c:numCache>
                <c:formatCode>0.0</c:formatCode>
                <c:ptCount val="8"/>
              </c:numCache>
            </c:numRef>
          </c:xVal>
          <c:yVal>
            <c:numRef>
              <c:f>'master for scaling'!$AC$4:$AC$11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75-45A5-AEE4-AD78B2136F5E}"/>
            </c:ext>
          </c:extLst>
        </c:ser>
        <c:ser>
          <c:idx val="5"/>
          <c:order val="5"/>
          <c:tx>
            <c:strRef>
              <c:f>'master for scaling'!$AI$1:$AL$1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'master for scaling'!$AJ$4:$AJ$11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'master for scaling'!$AL$4:$AL$11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75-45A5-AEE4-AD78B2136F5E}"/>
            </c:ext>
          </c:extLst>
        </c:ser>
        <c:ser>
          <c:idx val="6"/>
          <c:order val="6"/>
          <c:tx>
            <c:strRef>
              <c:f>'master for scaling'!$AR$1:$AU$1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scaling'!$AS$4:$AS$11</c:f>
              <c:numCache>
                <c:formatCode>0.0</c:formatCode>
                <c:ptCount val="8"/>
              </c:numCache>
            </c:numRef>
          </c:xVal>
          <c:yVal>
            <c:numRef>
              <c:f>'master for scaling'!$AU$4:$AU$11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275-45A5-AEE4-AD78B2136F5E}"/>
            </c:ext>
          </c:extLst>
        </c:ser>
        <c:ser>
          <c:idx val="7"/>
          <c:order val="7"/>
          <c:tx>
            <c:strRef>
              <c:f>'master for scaling'!$AY$1:$BB$1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scaling'!$AZ$4:$AZ$11</c:f>
              <c:numCache>
                <c:formatCode>0.0</c:formatCode>
                <c:ptCount val="8"/>
              </c:numCache>
            </c:numRef>
          </c:xVal>
          <c:yVal>
            <c:numRef>
              <c:f>'master for scaling'!$BB$4:$BB$11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275-45A5-AEE4-AD78B2136F5E}"/>
            </c:ext>
          </c:extLst>
        </c:ser>
        <c:ser>
          <c:idx val="8"/>
          <c:order val="8"/>
          <c:tx>
            <c:strRef>
              <c:f>'master for scaling'!$Z$23:$AE$23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scaling'!$AA$26:$AA$33</c:f>
              <c:numCache>
                <c:formatCode>0.0</c:formatCode>
                <c:ptCount val="8"/>
              </c:numCache>
            </c:numRef>
          </c:xVal>
          <c:yVal>
            <c:numRef>
              <c:f>'master for scaling'!$AC$26:$AC$33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275-45A5-AEE4-AD78B2136F5E}"/>
            </c:ext>
          </c:extLst>
        </c:ser>
        <c:ser>
          <c:idx val="9"/>
          <c:order val="9"/>
          <c:tx>
            <c:strRef>
              <c:f>'master for scaling'!$Z$45:$AE$45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'master for scaling'!$AA$48:$AA$55</c:f>
              <c:numCache>
                <c:formatCode>0.0</c:formatCode>
                <c:ptCount val="8"/>
              </c:numCache>
            </c:numRef>
          </c:xVal>
          <c:yVal>
            <c:numRef>
              <c:f>'master for scaling'!$AC$48:$AC$55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275-45A5-AEE4-AD78B213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04672"/>
        <c:axId val="261006848"/>
      </c:scatterChart>
      <c:valAx>
        <c:axId val="2610046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1204822659199678"/>
              <c:y val="0.9183308458991645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06848"/>
        <c:crosses val="autoZero"/>
        <c:crossBetween val="midCat"/>
      </c:valAx>
      <c:valAx>
        <c:axId val="2610068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kW</a:t>
                </a:r>
              </a:p>
            </c:rich>
          </c:tx>
          <c:layout>
            <c:manualLayout>
              <c:xMode val="edge"/>
              <c:yMode val="edge"/>
              <c:x val="2.1391076115485564E-2"/>
              <c:y val="0.464067726828264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04672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Rendimento</a:t>
            </a:r>
          </a:p>
        </c:rich>
      </c:tx>
      <c:layout>
        <c:manualLayout>
          <c:xMode val="edge"/>
          <c:yMode val="edge"/>
          <c:x val="0.45395260171917762"/>
          <c:y val="3.58316448228987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8014546428886E-2"/>
          <c:y val="0.13029722663100671"/>
          <c:w val="0.85850453155915374"/>
          <c:h val="0.73292189979941269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4FA-43C3-A6EC-2B5FA6D306E7}"/>
              </c:ext>
            </c:extLst>
          </c:dPt>
          <c:xVal>
            <c:numRef>
              <c:f>'master for scaling'!$C$12:$C$19</c:f>
              <c:numCache>
                <c:formatCode>0.00</c:formatCode>
                <c:ptCount val="8"/>
                <c:pt idx="0">
                  <c:v>0</c:v>
                </c:pt>
                <c:pt idx="1">
                  <c:v>2376.0243417329757</c:v>
                </c:pt>
                <c:pt idx="2">
                  <c:v>4752.0486834659514</c:v>
                </c:pt>
                <c:pt idx="3">
                  <c:v>7128.0730251989262</c:v>
                </c:pt>
                <c:pt idx="4">
                  <c:v>9504.0973669319028</c:v>
                </c:pt>
                <c:pt idx="5">
                  <c:v>11880.121708664878</c:v>
                </c:pt>
                <c:pt idx="6">
                  <c:v>13662.139964964606</c:v>
                </c:pt>
                <c:pt idx="7">
                  <c:v>15444.158221264341</c:v>
                </c:pt>
              </c:numCache>
            </c:numRef>
          </c:xVal>
          <c:yVal>
            <c:numRef>
              <c:f>'master for scaling'!$F$12:$F$19</c:f>
              <c:numCache>
                <c:formatCode>0.00</c:formatCode>
                <c:ptCount val="8"/>
                <c:pt idx="0">
                  <c:v>0</c:v>
                </c:pt>
                <c:pt idx="1">
                  <c:v>30.976403345058323</c:v>
                </c:pt>
                <c:pt idx="2">
                  <c:v>57.294821909741458</c:v>
                </c:pt>
                <c:pt idx="3">
                  <c:v>72.151169084106328</c:v>
                </c:pt>
                <c:pt idx="4">
                  <c:v>83.113769491387529</c:v>
                </c:pt>
                <c:pt idx="5">
                  <c:v>88.499288633370568</c:v>
                </c:pt>
                <c:pt idx="6">
                  <c:v>85.434918903306027</c:v>
                </c:pt>
                <c:pt idx="7">
                  <c:v>71.945194865941929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A-43C3-A6EC-2B5FA6D306E7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4FA-43C3-A6EC-2B5FA6D306E7}"/>
              </c:ext>
            </c:extLst>
          </c:dPt>
          <c:xVal>
            <c:numRef>
              <c:f>'master for scaling'!$C$25:$C$32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scaling'!$F$25:$F$32</c:f>
              <c:numCache>
                <c:formatCode>0.00</c:formatCode>
                <c:ptCount val="8"/>
                <c:pt idx="0">
                  <c:v>0</c:v>
                </c:pt>
                <c:pt idx="1">
                  <c:v>30.813172556584124</c:v>
                </c:pt>
                <c:pt idx="2">
                  <c:v>56.992905678485137</c:v>
                </c:pt>
                <c:pt idx="3">
                  <c:v>71.770967028763039</c:v>
                </c:pt>
                <c:pt idx="4">
                  <c:v>82.675799789869359</c:v>
                </c:pt>
                <c:pt idx="5">
                  <c:v>88.032939829020592</c:v>
                </c:pt>
                <c:pt idx="6">
                  <c:v>84.984717857675577</c:v>
                </c:pt>
                <c:pt idx="7">
                  <c:v>71.566078195937337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A-43C3-A6EC-2B5FA6D306E7}"/>
            </c:ext>
          </c:extLst>
        </c:ser>
        <c:ser>
          <c:idx val="2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4FA-43C3-A6EC-2B5FA6D306E7}"/>
              </c:ext>
            </c:extLst>
          </c:dPt>
          <c:xVal>
            <c:numRef>
              <c:f>'master for scaling'!$C$38:$C$45</c:f>
              <c:numCache>
                <c:formatCode>0.00</c:formatCode>
                <c:ptCount val="8"/>
                <c:pt idx="0">
                  <c:v>0</c:v>
                </c:pt>
                <c:pt idx="1">
                  <c:v>2317.9391298416203</c:v>
                </c:pt>
                <c:pt idx="2">
                  <c:v>4635.8782596832407</c:v>
                </c:pt>
                <c:pt idx="3">
                  <c:v>6953.817389524861</c:v>
                </c:pt>
                <c:pt idx="4">
                  <c:v>9271.7565193664814</c:v>
                </c:pt>
                <c:pt idx="5">
                  <c:v>11589.695649208103</c:v>
                </c:pt>
                <c:pt idx="6">
                  <c:v>13328.149996589314</c:v>
                </c:pt>
                <c:pt idx="7">
                  <c:v>15066.604343970532</c:v>
                </c:pt>
              </c:numCache>
            </c:numRef>
          </c:xVal>
          <c:yVal>
            <c:numRef>
              <c:f>'master for scaling'!$F$38:$F$45</c:f>
              <c:numCache>
                <c:formatCode>0.00</c:formatCode>
                <c:ptCount val="8"/>
                <c:pt idx="0">
                  <c:v>0</c:v>
                </c:pt>
                <c:pt idx="1">
                  <c:v>30.813172556584124</c:v>
                </c:pt>
                <c:pt idx="2">
                  <c:v>56.992905678485137</c:v>
                </c:pt>
                <c:pt idx="3">
                  <c:v>71.770967028763039</c:v>
                </c:pt>
                <c:pt idx="4">
                  <c:v>82.675799789869359</c:v>
                </c:pt>
                <c:pt idx="5">
                  <c:v>88.032939829020592</c:v>
                </c:pt>
                <c:pt idx="6">
                  <c:v>84.984717857675577</c:v>
                </c:pt>
                <c:pt idx="7">
                  <c:v>71.566078195937337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FA-43C3-A6EC-2B5FA6D306E7}"/>
            </c:ext>
          </c:extLst>
        </c:ser>
        <c:ser>
          <c:idx val="3"/>
          <c:order val="3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5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4FA-43C3-A6EC-2B5FA6D306E7}"/>
              </c:ext>
            </c:extLst>
          </c:dPt>
          <c:xVal>
            <c:numRef>
              <c:f>'master for scaling'!$C$51:$C$58</c:f>
              <c:numCache>
                <c:formatCode>0.00</c:formatCode>
                <c:ptCount val="8"/>
                <c:pt idx="0">
                  <c:v>0</c:v>
                </c:pt>
                <c:pt idx="1">
                  <c:v>2257.5841868421689</c:v>
                </c:pt>
                <c:pt idx="2">
                  <c:v>4515.1683736843379</c:v>
                </c:pt>
                <c:pt idx="3">
                  <c:v>6772.7525605265055</c:v>
                </c:pt>
                <c:pt idx="4">
                  <c:v>9030.3367473686758</c:v>
                </c:pt>
                <c:pt idx="5">
                  <c:v>11287.920934210842</c:v>
                </c:pt>
                <c:pt idx="6">
                  <c:v>12981.109074342467</c:v>
                </c:pt>
                <c:pt idx="7">
                  <c:v>14674.297214474096</c:v>
                </c:pt>
              </c:numCache>
            </c:numRef>
          </c:xVal>
          <c:yVal>
            <c:numRef>
              <c:f>'master for scaling'!$F$51:$F$58</c:f>
              <c:numCache>
                <c:formatCode>0.00</c:formatCode>
                <c:ptCount val="8"/>
                <c:pt idx="0">
                  <c:v>0</c:v>
                </c:pt>
                <c:pt idx="1">
                  <c:v>30.498395538412442</c:v>
                </c:pt>
                <c:pt idx="2">
                  <c:v>56.410685302654997</c:v>
                </c:pt>
                <c:pt idx="3">
                  <c:v>71.037778943338679</c:v>
                </c:pt>
                <c:pt idx="4">
                  <c:v>81.831211596783305</c:v>
                </c:pt>
                <c:pt idx="5">
                  <c:v>87.133624893196327</c:v>
                </c:pt>
                <c:pt idx="6">
                  <c:v>84.116542533363344</c:v>
                </c:pt>
                <c:pt idx="7">
                  <c:v>70.834983185990211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FA-43C3-A6EC-2B5FA6D306E7}"/>
            </c:ext>
          </c:extLst>
        </c:ser>
        <c:ser>
          <c:idx val="4"/>
          <c:order val="4"/>
          <c:tx>
            <c:strRef>
              <c:f>'master for scaling'!$Z$1:$AE$1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scaling'!$AA$4:$AA$11</c:f>
              <c:numCache>
                <c:formatCode>0.0</c:formatCode>
                <c:ptCount val="8"/>
              </c:numCache>
            </c:numRef>
          </c:xVal>
          <c:yVal>
            <c:numRef>
              <c:f>'master for scaling'!$Z$4:$Z$11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FA-43C3-A6EC-2B5FA6D306E7}"/>
            </c:ext>
          </c:extLst>
        </c:ser>
        <c:ser>
          <c:idx val="5"/>
          <c:order val="5"/>
          <c:tx>
            <c:strRef>
              <c:f>'master for scaling'!$AI$1:$AL$1</c:f>
              <c:strCache>
                <c:ptCount val="1"/>
                <c:pt idx="0">
                  <c:v>P27348.01-27C1PP53.B n 1180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xVal>
            <c:numRef>
              <c:f>'master for scaling'!$AJ$4:$AJ$11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'master for scaling'!$AI$4:$AI$11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4FA-43C3-A6EC-2B5FA6D306E7}"/>
            </c:ext>
          </c:extLst>
        </c:ser>
        <c:ser>
          <c:idx val="6"/>
          <c:order val="6"/>
          <c:tx>
            <c:strRef>
              <c:f>'master for scaling'!$AR$1:$AU$1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scaling'!$AS$4:$AS$11</c:f>
              <c:numCache>
                <c:formatCode>0.0</c:formatCode>
                <c:ptCount val="8"/>
              </c:numCache>
            </c:numRef>
          </c:xVal>
          <c:yVal>
            <c:numRef>
              <c:f>'master for scaling'!$AR$4:$AR$11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4FA-43C3-A6EC-2B5FA6D306E7}"/>
            </c:ext>
          </c:extLst>
        </c:ser>
        <c:ser>
          <c:idx val="7"/>
          <c:order val="7"/>
          <c:tx>
            <c:strRef>
              <c:f>'master for scaling'!$AY$1:$BB$1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scaling'!$AZ$4:$AZ$11</c:f>
              <c:numCache>
                <c:formatCode>0.0</c:formatCode>
                <c:ptCount val="8"/>
              </c:numCache>
            </c:numRef>
          </c:xVal>
          <c:yVal>
            <c:numRef>
              <c:f>'master for scaling'!$AY$4:$AY$11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FA-43C3-A6EC-2B5FA6D306E7}"/>
            </c:ext>
          </c:extLst>
        </c:ser>
        <c:ser>
          <c:idx val="8"/>
          <c:order val="8"/>
          <c:tx>
            <c:strRef>
              <c:f>'master for scaling'!$Z$23:$AE$23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scaling'!$AA$26:$AA$33</c:f>
              <c:numCache>
                <c:formatCode>0.0</c:formatCode>
                <c:ptCount val="8"/>
              </c:numCache>
            </c:numRef>
          </c:xVal>
          <c:yVal>
            <c:numRef>
              <c:f>'master for scaling'!$Z$26:$Z$33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4FA-43C3-A6EC-2B5FA6D306E7}"/>
            </c:ext>
          </c:extLst>
        </c:ser>
        <c:ser>
          <c:idx val="9"/>
          <c:order val="9"/>
          <c:tx>
            <c:strRef>
              <c:f>'master for scaling'!$Z$45:$AE$45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'master for scaling'!$AA$48:$AA$55</c:f>
              <c:numCache>
                <c:formatCode>0.0</c:formatCode>
                <c:ptCount val="8"/>
              </c:numCache>
            </c:numRef>
          </c:xVal>
          <c:yVal>
            <c:numRef>
              <c:f>'master for scaling'!$Z$48:$Z$55</c:f>
              <c:numCache>
                <c:formatCode>0.0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4FA-43C3-A6EC-2B5FA6D30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45248"/>
        <c:axId val="261059712"/>
      </c:scatterChart>
      <c:valAx>
        <c:axId val="261045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0735882313776204"/>
              <c:y val="0.918595501295237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59712"/>
        <c:crosses val="autoZero"/>
        <c:crossBetween val="midCat"/>
      </c:valAx>
      <c:valAx>
        <c:axId val="261059712"/>
        <c:scaling>
          <c:orientation val="minMax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</a:t>
                </a:r>
              </a:p>
            </c:rich>
          </c:tx>
          <c:layout>
            <c:manualLayout>
              <c:xMode val="edge"/>
              <c:yMode val="edge"/>
              <c:x val="2.1362516601312689E-2"/>
              <c:y val="0.475584737575555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0452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NPSHr</a:t>
            </a:r>
          </a:p>
        </c:rich>
      </c:tx>
      <c:layout>
        <c:manualLayout>
          <c:xMode val="edge"/>
          <c:yMode val="edge"/>
          <c:x val="0.47601539807524063"/>
          <c:y val="3.5715649180216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33634124276792E-2"/>
          <c:y val="0.12013399658719845"/>
          <c:w val="0.86536122095080537"/>
          <c:h val="0.74028516815895262"/>
        </c:manualLayout>
      </c:layout>
      <c:scatterChart>
        <c:scatterStyle val="smoothMarker"/>
        <c:varyColors val="0"/>
        <c:ser>
          <c:idx val="0"/>
          <c:order val="0"/>
          <c:tx>
            <c:v>diametro massimo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51B-46DA-B92E-4AFAE24AE638}"/>
              </c:ext>
            </c:extLst>
          </c:dPt>
          <c:xVal>
            <c:numRef>
              <c:f>'master for scaling'!$G$14:$G$19</c:f>
              <c:numCache>
                <c:formatCode>0.00</c:formatCode>
                <c:ptCount val="6"/>
                <c:pt idx="1">
                  <c:v>7128.0730251989262</c:v>
                </c:pt>
                <c:pt idx="2">
                  <c:v>9504.0973669319028</c:v>
                </c:pt>
                <c:pt idx="3">
                  <c:v>11880.121708664878</c:v>
                </c:pt>
                <c:pt idx="4">
                  <c:v>13662.139964964606</c:v>
                </c:pt>
                <c:pt idx="5">
                  <c:v>15444.158221264341</c:v>
                </c:pt>
              </c:numCache>
            </c:numRef>
          </c:xVal>
          <c:yVal>
            <c:numRef>
              <c:f>'master for scaling'!$H$14:$H$19</c:f>
              <c:numCache>
                <c:formatCode>0.00</c:formatCode>
                <c:ptCount val="6"/>
                <c:pt idx="1">
                  <c:v>21.474514900895439</c:v>
                </c:pt>
                <c:pt idx="2">
                  <c:v>24.154326025835811</c:v>
                </c:pt>
                <c:pt idx="3">
                  <c:v>27.711776052616258</c:v>
                </c:pt>
                <c:pt idx="4">
                  <c:v>34.148396341751607</c:v>
                </c:pt>
                <c:pt idx="5">
                  <c:v>48.464654873365504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1B-46DA-B92E-4AFAE24AE638}"/>
            </c:ext>
          </c:extLst>
        </c:ser>
        <c:ser>
          <c:idx val="3"/>
          <c:order val="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Pt>
            <c:idx val="3"/>
            <c:marker>
              <c:symbol val="circle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51B-46DA-B92E-4AFAE24AE638}"/>
              </c:ext>
            </c:extLst>
          </c:dPt>
          <c:xVal>
            <c:numRef>
              <c:f>'master for scaling'!$G$53:$G$58</c:f>
              <c:numCache>
                <c:formatCode>0.00</c:formatCode>
                <c:ptCount val="6"/>
                <c:pt idx="0">
                  <c:v>5239.5615780369353</c:v>
                </c:pt>
                <c:pt idx="1">
                  <c:v>6772.7525605265055</c:v>
                </c:pt>
                <c:pt idx="2">
                  <c:v>9030.3367473686758</c:v>
                </c:pt>
                <c:pt idx="3">
                  <c:v>11287.920934210844</c:v>
                </c:pt>
                <c:pt idx="4">
                  <c:v>12981.109074342468</c:v>
                </c:pt>
                <c:pt idx="5">
                  <c:v>14674.297214474098</c:v>
                </c:pt>
              </c:numCache>
            </c:numRef>
          </c:xVal>
          <c:yVal>
            <c:numRef>
              <c:f>'master for scaling'!$H$53:$H$58</c:f>
              <c:numCache>
                <c:formatCode>0.00</c:formatCode>
                <c:ptCount val="6"/>
                <c:pt idx="0">
                  <c:v>19.734479961028629</c:v>
                </c:pt>
                <c:pt idx="1">
                  <c:v>21.537630414320589</c:v>
                </c:pt>
                <c:pt idx="2">
                  <c:v>24.042006043892751</c:v>
                </c:pt>
                <c:pt idx="3">
                  <c:v>27.848657000842437</c:v>
                </c:pt>
                <c:pt idx="4">
                  <c:v>34.059508562181392</c:v>
                </c:pt>
                <c:pt idx="5">
                  <c:v>48.484712188517044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1B-46DA-B92E-4AFAE24AE638}"/>
            </c:ext>
          </c:extLst>
        </c:ser>
        <c:ser>
          <c:idx val="1"/>
          <c:order val="2"/>
          <c:tx>
            <c:strRef>
              <c:f>'master for scaling'!$Z$1:$AE$1</c:f>
              <c:strCache>
                <c:ptCount val="1"/>
                <c:pt idx="0">
                  <c:v>PRP n 1485 D 399,3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scaling'!$AD$4:$AD$9</c:f>
              <c:numCache>
                <c:formatCode>0.0</c:formatCode>
                <c:ptCount val="6"/>
              </c:numCache>
            </c:numRef>
          </c:xVal>
          <c:yVal>
            <c:numRef>
              <c:f>'master for scaling'!$AE$4:$AE$9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1B-46DA-B92E-4AFAE24AE638}"/>
            </c:ext>
          </c:extLst>
        </c:ser>
        <c:ser>
          <c:idx val="2"/>
          <c:order val="3"/>
          <c:tx>
            <c:strRef>
              <c:f>'master for scaling'!$AI$1:$AL$1</c:f>
              <c:strCache>
                <c:ptCount val="1"/>
                <c:pt idx="0">
                  <c:v>P27348.01-27C1PP53.B n 1180</c:v>
                </c:pt>
              </c:strCache>
            </c:strRef>
          </c:tx>
          <c:marker>
            <c:symbol val="none"/>
          </c:marker>
          <c:xVal>
            <c:numRef>
              <c:f>'master for scaling'!$AM$4:$AM$9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'master for scaling'!$AN$4:$AN$9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51B-46DA-B92E-4AFAE24AE638}"/>
            </c:ext>
          </c:extLst>
        </c:ser>
        <c:ser>
          <c:idx val="4"/>
          <c:order val="4"/>
          <c:tx>
            <c:strRef>
              <c:f>'master for scaling'!$AR$1:$AU$1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scaling'!$AV$4:$AV$9</c:f>
              <c:numCache>
                <c:formatCode>0.0</c:formatCode>
                <c:ptCount val="6"/>
              </c:numCache>
            </c:numRef>
          </c:xVal>
          <c:yVal>
            <c:numRef>
              <c:f>'master for scaling'!$AW$4:$AW$9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51B-46DA-B92E-4AFAE24AE638}"/>
            </c:ext>
          </c:extLst>
        </c:ser>
        <c:ser>
          <c:idx val="5"/>
          <c:order val="5"/>
          <c:tx>
            <c:strRef>
              <c:f>'master for scaling'!$AY$1:$BB$1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'master for scaling'!$BC$4:$BC$9</c:f>
              <c:numCache>
                <c:formatCode>0.0</c:formatCode>
                <c:ptCount val="6"/>
              </c:numCache>
            </c:numRef>
          </c:xVal>
          <c:yVal>
            <c:numRef>
              <c:f>'master for scaling'!$BD$4:$BD$9</c:f>
              <c:numCache>
                <c:formatCode>0.0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51B-46DA-B92E-4AFAE24AE638}"/>
            </c:ext>
          </c:extLst>
        </c:ser>
        <c:ser>
          <c:idx val="6"/>
          <c:order val="6"/>
          <c:tx>
            <c:strRef>
              <c:f>'master for scaling'!$Z$23:$AE$23</c:f>
              <c:strCache>
                <c:ptCount val="1"/>
                <c:pt idx="0">
                  <c:v>curve-prp n D</c:v>
                </c:pt>
              </c:strCache>
            </c:strRef>
          </c:tx>
          <c:marker>
            <c:symbol val="square"/>
            <c:size val="5"/>
          </c:marker>
          <c:xVal>
            <c:numRef>
              <c:f>'master for scaling'!$AD$26:$AD$30</c:f>
              <c:numCache>
                <c:formatCode>0.0</c:formatCode>
                <c:ptCount val="5"/>
              </c:numCache>
            </c:numRef>
          </c:xVal>
          <c:yVal>
            <c:numRef>
              <c:f>'master for scaling'!$AE$26:$AE$30</c:f>
              <c:numCache>
                <c:formatCode>0.0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51B-46DA-B92E-4AFAE24AE638}"/>
            </c:ext>
          </c:extLst>
        </c:ser>
        <c:ser>
          <c:idx val="7"/>
          <c:order val="7"/>
          <c:tx>
            <c:strRef>
              <c:f>'master for scaling'!$Z$45:$AE$45</c:f>
              <c:strCache>
                <c:ptCount val="1"/>
              </c:strCache>
            </c:strRef>
          </c:tx>
          <c:marker>
            <c:symbol val="square"/>
            <c:size val="5"/>
          </c:marker>
          <c:xVal>
            <c:numRef>
              <c:f>'master for scaling'!$AD$48:$AD$52</c:f>
              <c:numCache>
                <c:formatCode>0.0</c:formatCode>
                <c:ptCount val="5"/>
              </c:numCache>
            </c:numRef>
          </c:xVal>
          <c:yVal>
            <c:numRef>
              <c:f>'master for scaling'!$AE$48:$AE$52</c:f>
              <c:numCache>
                <c:formatCode>0.0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51B-46DA-B92E-4AFAE24AE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06304"/>
        <c:axId val="261112576"/>
      </c:scatterChart>
      <c:valAx>
        <c:axId val="2611063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m3/h</a:t>
                </a:r>
              </a:p>
            </c:rich>
          </c:tx>
          <c:layout>
            <c:manualLayout>
              <c:xMode val="edge"/>
              <c:yMode val="edge"/>
              <c:x val="0.50534957130358704"/>
              <c:y val="0.9188628694140504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112576"/>
        <c:crosses val="autoZero"/>
        <c:crossBetween val="midCat"/>
      </c:valAx>
      <c:valAx>
        <c:axId val="2611125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2.4000839895013126E-2"/>
              <c:y val="0.467548488257149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6110630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39</xdr:row>
      <xdr:rowOff>47625</xdr:rowOff>
    </xdr:from>
    <xdr:to>
      <xdr:col>47</xdr:col>
      <xdr:colOff>314325</xdr:colOff>
      <xdr:row>63</xdr:row>
      <xdr:rowOff>38100</xdr:rowOff>
    </xdr:to>
    <xdr:graphicFrame macro="">
      <xdr:nvGraphicFramePr>
        <xdr:cNvPr id="6563607" name="Grafico 1">
          <a:extLst>
            <a:ext uri="{FF2B5EF4-FFF2-40B4-BE49-F238E27FC236}">
              <a16:creationId xmlns:a16="http://schemas.microsoft.com/office/drawing/2014/main" id="{00000000-0008-0000-0100-00001727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51954</xdr:colOff>
      <xdr:row>12</xdr:row>
      <xdr:rowOff>22389</xdr:rowOff>
    </xdr:from>
    <xdr:to>
      <xdr:col>21</xdr:col>
      <xdr:colOff>517071</xdr:colOff>
      <xdr:row>32</xdr:row>
      <xdr:rowOff>149678</xdr:rowOff>
    </xdr:to>
    <xdr:graphicFrame macro="">
      <xdr:nvGraphicFramePr>
        <xdr:cNvPr id="6563608" name="Grafico 2">
          <a:extLst>
            <a:ext uri="{FF2B5EF4-FFF2-40B4-BE49-F238E27FC236}">
              <a16:creationId xmlns:a16="http://schemas.microsoft.com/office/drawing/2014/main" id="{00000000-0008-0000-0100-00001827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70509</xdr:colOff>
      <xdr:row>33</xdr:row>
      <xdr:rowOff>4205</xdr:rowOff>
    </xdr:from>
    <xdr:to>
      <xdr:col>21</xdr:col>
      <xdr:colOff>530678</xdr:colOff>
      <xdr:row>50</xdr:row>
      <xdr:rowOff>149679</xdr:rowOff>
    </xdr:to>
    <xdr:graphicFrame macro="">
      <xdr:nvGraphicFramePr>
        <xdr:cNvPr id="6563610" name="Grafico 4">
          <a:extLst>
            <a:ext uri="{FF2B5EF4-FFF2-40B4-BE49-F238E27FC236}">
              <a16:creationId xmlns:a16="http://schemas.microsoft.com/office/drawing/2014/main" id="{00000000-0008-0000-0100-00001A27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40822</xdr:colOff>
      <xdr:row>0</xdr:row>
      <xdr:rowOff>81645</xdr:rowOff>
    </xdr:from>
    <xdr:to>
      <xdr:col>21</xdr:col>
      <xdr:colOff>530679</xdr:colOff>
      <xdr:row>12</xdr:row>
      <xdr:rowOff>1</xdr:rowOff>
    </xdr:to>
    <xdr:graphicFrame macro="">
      <xdr:nvGraphicFramePr>
        <xdr:cNvPr id="3" name="Grafico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81645</xdr:colOff>
      <xdr:row>51</xdr:row>
      <xdr:rowOff>54430</xdr:rowOff>
    </xdr:from>
    <xdr:to>
      <xdr:col>21</xdr:col>
      <xdr:colOff>598717</xdr:colOff>
      <xdr:row>66</xdr:row>
      <xdr:rowOff>163287</xdr:rowOff>
    </xdr:to>
    <xdr:graphicFrame macro="">
      <xdr:nvGraphicFramePr>
        <xdr:cNvPr id="5" name="Grafico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67</xdr:row>
      <xdr:rowOff>0</xdr:rowOff>
    </xdr:from>
    <xdr:to>
      <xdr:col>13</xdr:col>
      <xdr:colOff>98612</xdr:colOff>
      <xdr:row>95</xdr:row>
      <xdr:rowOff>8965</xdr:rowOff>
    </xdr:to>
    <xdr:graphicFrame macro="">
      <xdr:nvGraphicFramePr>
        <xdr:cNvPr id="2" name="Grafico 3">
          <a:extLst>
            <a:ext uri="{FF2B5EF4-FFF2-40B4-BE49-F238E27FC236}">
              <a16:creationId xmlns:a16="http://schemas.microsoft.com/office/drawing/2014/main" id="{BFAB4321-5B9D-4E0C-8A1F-7D42EF7E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70</xdr:row>
      <xdr:rowOff>0</xdr:rowOff>
    </xdr:from>
    <xdr:to>
      <xdr:col>31</xdr:col>
      <xdr:colOff>84117</xdr:colOff>
      <xdr:row>90</xdr:row>
      <xdr:rowOff>70139</xdr:rowOff>
    </xdr:to>
    <xdr:graphicFrame macro="">
      <xdr:nvGraphicFramePr>
        <xdr:cNvPr id="6" name="Grafico 2">
          <a:extLst>
            <a:ext uri="{FF2B5EF4-FFF2-40B4-BE49-F238E27FC236}">
              <a16:creationId xmlns:a16="http://schemas.microsoft.com/office/drawing/2014/main" id="{E79336FC-57CC-466D-97C3-958DC679D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617220</xdr:colOff>
      <xdr:row>92</xdr:row>
      <xdr:rowOff>91440</xdr:rowOff>
    </xdr:from>
    <xdr:to>
      <xdr:col>31</xdr:col>
      <xdr:colOff>46017</xdr:colOff>
      <xdr:row>113</xdr:row>
      <xdr:rowOff>134909</xdr:rowOff>
    </xdr:to>
    <xdr:graphicFrame macro="">
      <xdr:nvGraphicFramePr>
        <xdr:cNvPr id="7" name="Grafico 2">
          <a:extLst>
            <a:ext uri="{FF2B5EF4-FFF2-40B4-BE49-F238E27FC236}">
              <a16:creationId xmlns:a16="http://schemas.microsoft.com/office/drawing/2014/main" id="{B37BB59A-05E0-4675-998C-45A29A0E0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75</xdr:row>
      <xdr:rowOff>0</xdr:rowOff>
    </xdr:from>
    <xdr:to>
      <xdr:col>11</xdr:col>
      <xdr:colOff>561975</xdr:colOff>
      <xdr:row>89</xdr:row>
      <xdr:rowOff>66675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85725</xdr:rowOff>
    </xdr:from>
    <xdr:to>
      <xdr:col>11</xdr:col>
      <xdr:colOff>561975</xdr:colOff>
      <xdr:row>104</xdr:row>
      <xdr:rowOff>0</xdr:rowOff>
    </xdr:to>
    <xdr:graphicFrame macro="">
      <xdr:nvGraphicFramePr>
        <xdr:cNvPr id="3" name="Grafico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9525</xdr:rowOff>
    </xdr:from>
    <xdr:to>
      <xdr:col>11</xdr:col>
      <xdr:colOff>571500</xdr:colOff>
      <xdr:row>118</xdr:row>
      <xdr:rowOff>133350</xdr:rowOff>
    </xdr:to>
    <xdr:graphicFrame macro="">
      <xdr:nvGraphicFramePr>
        <xdr:cNvPr id="4" name="Grafico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118</xdr:row>
      <xdr:rowOff>152400</xdr:rowOff>
    </xdr:from>
    <xdr:to>
      <xdr:col>11</xdr:col>
      <xdr:colOff>590550</xdr:colOff>
      <xdr:row>133</xdr:row>
      <xdr:rowOff>85725</xdr:rowOff>
    </xdr:to>
    <xdr:graphicFrame macro="">
      <xdr:nvGraphicFramePr>
        <xdr:cNvPr id="5" name="Grafico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75</xdr:row>
      <xdr:rowOff>0</xdr:rowOff>
    </xdr:from>
    <xdr:to>
      <xdr:col>11</xdr:col>
      <xdr:colOff>561975</xdr:colOff>
      <xdr:row>89</xdr:row>
      <xdr:rowOff>66675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669D44FA-BFC6-4782-B516-6DA806370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85725</xdr:rowOff>
    </xdr:from>
    <xdr:to>
      <xdr:col>11</xdr:col>
      <xdr:colOff>561975</xdr:colOff>
      <xdr:row>104</xdr:row>
      <xdr:rowOff>0</xdr:rowOff>
    </xdr:to>
    <xdr:graphicFrame macro="">
      <xdr:nvGraphicFramePr>
        <xdr:cNvPr id="3" name="Grafico 3">
          <a:extLst>
            <a:ext uri="{FF2B5EF4-FFF2-40B4-BE49-F238E27FC236}">
              <a16:creationId xmlns:a16="http://schemas.microsoft.com/office/drawing/2014/main" id="{9462090A-35D9-43AD-843D-CE4AD59A2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9525</xdr:rowOff>
    </xdr:from>
    <xdr:to>
      <xdr:col>11</xdr:col>
      <xdr:colOff>571500</xdr:colOff>
      <xdr:row>118</xdr:row>
      <xdr:rowOff>133350</xdr:rowOff>
    </xdr:to>
    <xdr:graphicFrame macro="">
      <xdr:nvGraphicFramePr>
        <xdr:cNvPr id="4" name="Grafico 4">
          <a:extLst>
            <a:ext uri="{FF2B5EF4-FFF2-40B4-BE49-F238E27FC236}">
              <a16:creationId xmlns:a16="http://schemas.microsoft.com/office/drawing/2014/main" id="{F67F5660-5281-488B-A8F2-CCD5AA43E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118</xdr:row>
      <xdr:rowOff>152400</xdr:rowOff>
    </xdr:from>
    <xdr:to>
      <xdr:col>11</xdr:col>
      <xdr:colOff>590550</xdr:colOff>
      <xdr:row>133</xdr:row>
      <xdr:rowOff>85725</xdr:rowOff>
    </xdr:to>
    <xdr:graphicFrame macro="">
      <xdr:nvGraphicFramePr>
        <xdr:cNvPr id="5" name="Grafico 5">
          <a:extLst>
            <a:ext uri="{FF2B5EF4-FFF2-40B4-BE49-F238E27FC236}">
              <a16:creationId xmlns:a16="http://schemas.microsoft.com/office/drawing/2014/main" id="{87187389-4B00-4AA1-9B5A-A64C0B6DF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BR171"/>
  <sheetViews>
    <sheetView tabSelected="1" zoomScale="70" zoomScaleNormal="70" zoomScaleSheetLayoutView="120" workbookViewId="0">
      <selection activeCell="X17" sqref="X17"/>
    </sheetView>
  </sheetViews>
  <sheetFormatPr defaultColWidth="9.140625" defaultRowHeight="12.75" x14ac:dyDescent="0.2"/>
  <cols>
    <col min="1" max="24" width="9.140625" style="53"/>
    <col min="25" max="25" width="12.7109375" style="53" customWidth="1"/>
    <col min="26" max="26" width="9.5703125" style="53" bestFit="1" customWidth="1"/>
    <col min="27" max="28" width="9.140625" style="53"/>
    <col min="29" max="29" width="13.7109375" style="53" customWidth="1"/>
    <col min="30" max="30" width="15.7109375" style="53" customWidth="1"/>
    <col min="31" max="31" width="9.140625" style="53"/>
    <col min="32" max="32" width="8.85546875" style="53" bestFit="1" customWidth="1"/>
    <col min="33" max="33" width="7.5703125" style="53" bestFit="1" customWidth="1"/>
    <col min="34" max="34" width="9.140625" style="53"/>
    <col min="35" max="36" width="14.85546875" style="53" customWidth="1"/>
    <col min="37" max="37" width="18" style="53" bestFit="1" customWidth="1"/>
    <col min="38" max="39" width="9.140625" style="53"/>
    <col min="40" max="40" width="11.140625" style="53" bestFit="1" customWidth="1"/>
    <col min="41" max="41" width="12.140625" style="53" bestFit="1" customWidth="1"/>
    <col min="42" max="43" width="9.140625" style="53"/>
    <col min="44" max="44" width="9.28515625" style="53" bestFit="1" customWidth="1"/>
    <col min="45" max="50" width="9.140625" style="53"/>
    <col min="51" max="54" width="13.140625" style="53" bestFit="1" customWidth="1"/>
    <col min="55" max="58" width="9.140625" style="53"/>
    <col min="59" max="59" width="9.140625" style="53" customWidth="1"/>
    <col min="60" max="72" width="9.140625" style="53"/>
    <col min="73" max="74" width="9.5703125" style="53" bestFit="1" customWidth="1"/>
    <col min="75" max="16384" width="9.140625" style="53"/>
  </cols>
  <sheetData>
    <row r="1" spans="1:70" ht="15" customHeight="1" thickBot="1" x14ac:dyDescent="0.25">
      <c r="B1" s="593" t="s">
        <v>224</v>
      </c>
      <c r="C1" s="594"/>
      <c r="D1" s="594"/>
      <c r="E1" s="594"/>
      <c r="F1" s="594"/>
      <c r="G1" s="595"/>
      <c r="H1" s="525"/>
      <c r="I1" s="2"/>
      <c r="J1" s="526" t="s">
        <v>16</v>
      </c>
      <c r="K1" s="526" t="s">
        <v>107</v>
      </c>
      <c r="L1" s="527" t="s">
        <v>108</v>
      </c>
      <c r="W1" s="599" t="s">
        <v>217</v>
      </c>
      <c r="X1" s="599"/>
      <c r="Y1" s="599"/>
      <c r="Z1" s="599"/>
      <c r="AA1" s="599"/>
      <c r="AB1" s="599"/>
      <c r="AC1"/>
    </row>
    <row r="2" spans="1:70" ht="13.5" thickBot="1" x14ac:dyDescent="0.25">
      <c r="B2" s="596"/>
      <c r="C2" s="597"/>
      <c r="D2" s="597"/>
      <c r="E2" s="597"/>
      <c r="F2" s="597"/>
      <c r="G2" s="598"/>
      <c r="H2" s="528"/>
      <c r="I2" s="529" t="s">
        <v>0</v>
      </c>
      <c r="J2" s="530">
        <v>4</v>
      </c>
      <c r="K2" s="530">
        <f>+J2</f>
        <v>4</v>
      </c>
      <c r="L2" s="531">
        <f>+J2</f>
        <v>4</v>
      </c>
      <c r="W2" s="597"/>
      <c r="X2" s="597"/>
      <c r="Y2" s="597"/>
      <c r="Z2" s="597"/>
      <c r="AA2" s="597"/>
      <c r="AB2" s="597"/>
      <c r="AC2" s="448"/>
      <c r="AD2" s="448"/>
      <c r="AE2" s="448"/>
      <c r="AF2" s="448"/>
      <c r="AG2" s="448"/>
      <c r="BL2" s="579" t="s">
        <v>230</v>
      </c>
      <c r="BM2" s="442"/>
      <c r="BN2" s="580" t="s">
        <v>231</v>
      </c>
    </row>
    <row r="3" spans="1:70" ht="13.5" thickBot="1" x14ac:dyDescent="0.25">
      <c r="B3" s="447"/>
      <c r="C3" s="70"/>
      <c r="D3" s="54" t="s">
        <v>189</v>
      </c>
      <c r="E3" s="70"/>
      <c r="F3" s="70"/>
      <c r="G3" s="70"/>
      <c r="H3" s="70"/>
      <c r="I3" s="446"/>
      <c r="J3" s="70"/>
      <c r="K3" s="70"/>
      <c r="L3" s="339"/>
      <c r="W3" s="1"/>
      <c r="X3" s="2"/>
      <c r="Y3" s="3" t="s">
        <v>189</v>
      </c>
      <c r="Z3" s="2"/>
      <c r="AA3" s="2"/>
      <c r="AB3" s="2"/>
      <c r="AC3" s="2"/>
      <c r="AD3" s="4"/>
      <c r="AE3" s="2"/>
      <c r="AF3" s="2"/>
      <c r="AG3" s="5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8" t="s">
        <v>228</v>
      </c>
      <c r="BM3" s="78" t="s">
        <v>229</v>
      </c>
      <c r="BN3" s="78" t="s">
        <v>229</v>
      </c>
      <c r="BO3" s="70"/>
      <c r="BP3" s="70"/>
      <c r="BQ3" s="70"/>
      <c r="BR3" s="70"/>
    </row>
    <row r="4" spans="1:70" ht="14.45" customHeight="1" x14ac:dyDescent="0.2">
      <c r="B4" s="472" t="s">
        <v>223</v>
      </c>
      <c r="C4" s="467"/>
      <c r="D4" s="467"/>
      <c r="E4" s="477" t="s">
        <v>200</v>
      </c>
      <c r="F4" s="500"/>
      <c r="G4" s="252"/>
      <c r="H4" s="373"/>
      <c r="I4" s="468"/>
      <c r="J4" s="4"/>
      <c r="K4" s="541" t="s">
        <v>5</v>
      </c>
      <c r="L4" s="542" t="s">
        <v>6</v>
      </c>
      <c r="W4" s="6" t="s">
        <v>2</v>
      </c>
      <c r="X4" s="7"/>
      <c r="Y4" s="512"/>
      <c r="Z4" s="8"/>
      <c r="AA4" s="8" t="s">
        <v>3</v>
      </c>
      <c r="AB4" s="10"/>
      <c r="AC4" s="513"/>
      <c r="AD4" s="11" t="s">
        <v>4</v>
      </c>
      <c r="AE4" s="12"/>
      <c r="AF4" s="13" t="s">
        <v>5</v>
      </c>
      <c r="AG4" s="14" t="s">
        <v>6</v>
      </c>
      <c r="AH4" s="58"/>
      <c r="AI4" s="307" t="s">
        <v>7</v>
      </c>
      <c r="AJ4" s="61" t="s">
        <v>8</v>
      </c>
      <c r="AK4" s="61" t="s">
        <v>8</v>
      </c>
      <c r="AL4" s="61" t="s">
        <v>8</v>
      </c>
      <c r="AN4" s="398" t="s">
        <v>9</v>
      </c>
      <c r="AO4" s="399"/>
      <c r="AQ4" s="60"/>
      <c r="AR4" s="108"/>
      <c r="AS4" s="62" t="s">
        <v>10</v>
      </c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250"/>
      <c r="BH4" s="251" t="s">
        <v>227</v>
      </c>
      <c r="BI4" s="251"/>
      <c r="BJ4" s="251" t="s">
        <v>232</v>
      </c>
      <c r="BK4" s="251" t="s">
        <v>16</v>
      </c>
      <c r="BL4" s="578">
        <v>0.01</v>
      </c>
      <c r="BM4" s="578">
        <v>0.01</v>
      </c>
      <c r="BN4" s="582">
        <v>0.01</v>
      </c>
      <c r="BO4" s="70"/>
      <c r="BP4" s="70"/>
      <c r="BQ4" s="70"/>
      <c r="BR4" s="70"/>
    </row>
    <row r="5" spans="1:70" ht="14.45" customHeight="1" thickBot="1" x14ac:dyDescent="0.25">
      <c r="B5" s="473" t="s">
        <v>11</v>
      </c>
      <c r="C5" s="372"/>
      <c r="D5" s="479" t="s">
        <v>19</v>
      </c>
      <c r="E5" s="532" t="s">
        <v>201</v>
      </c>
      <c r="F5" s="533"/>
      <c r="G5" s="534"/>
      <c r="H5" s="535"/>
      <c r="I5" s="536"/>
      <c r="J5" s="537" t="s">
        <v>13</v>
      </c>
      <c r="K5" s="538">
        <f>E10</f>
        <v>487</v>
      </c>
      <c r="L5" s="543">
        <f>E49</f>
        <v>428.56</v>
      </c>
      <c r="W5" s="15" t="s">
        <v>11</v>
      </c>
      <c r="X5" s="514"/>
      <c r="Y5" s="16"/>
      <c r="Z5" s="17"/>
      <c r="AA5" s="17" t="s">
        <v>12</v>
      </c>
      <c r="AB5" s="19"/>
      <c r="AC5" s="515"/>
      <c r="AD5" s="20" t="s">
        <v>13</v>
      </c>
      <c r="AE5" s="21"/>
      <c r="AF5" s="516">
        <f>Z10</f>
        <v>487</v>
      </c>
      <c r="AG5" s="517">
        <f>Z49</f>
        <v>428.56</v>
      </c>
      <c r="AH5" s="92"/>
      <c r="AI5" s="308" t="s">
        <v>14</v>
      </c>
      <c r="AJ5" s="63" t="s">
        <v>15</v>
      </c>
      <c r="AK5" s="63" t="s">
        <v>16</v>
      </c>
      <c r="AL5" s="63" t="s">
        <v>109</v>
      </c>
      <c r="AN5" s="402" t="s">
        <v>17</v>
      </c>
      <c r="AO5" s="402" t="s">
        <v>8</v>
      </c>
      <c r="AQ5" s="62" t="s">
        <v>18</v>
      </c>
      <c r="AR5" s="140">
        <f>AN10</f>
        <v>0.4</v>
      </c>
      <c r="AS5" s="139">
        <f>Z10*(1.05)^-(1/AR5)</f>
        <v>431.0778553523225</v>
      </c>
      <c r="AT5" s="53" t="s">
        <v>14</v>
      </c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447"/>
      <c r="BH5" s="70"/>
      <c r="BI5" s="70"/>
      <c r="BJ5" s="70" t="s">
        <v>233</v>
      </c>
      <c r="BK5" s="70" t="s">
        <v>16</v>
      </c>
      <c r="BL5" s="581">
        <v>0.02</v>
      </c>
      <c r="BM5" s="581">
        <v>0.02</v>
      </c>
      <c r="BN5" s="583">
        <v>0.03</v>
      </c>
      <c r="BO5" s="70"/>
      <c r="BP5" s="70"/>
      <c r="BQ5" s="70"/>
      <c r="BR5" s="70"/>
    </row>
    <row r="6" spans="1:70" ht="14.45" customHeight="1" x14ac:dyDescent="0.2">
      <c r="B6" s="474" t="s">
        <v>197</v>
      </c>
      <c r="C6" s="495"/>
      <c r="D6" s="24"/>
      <c r="E6" s="485"/>
      <c r="F6" s="480" t="s">
        <v>21</v>
      </c>
      <c r="G6" s="483" t="s">
        <v>214</v>
      </c>
      <c r="H6" s="374"/>
      <c r="I6" s="498"/>
      <c r="J6" s="470" t="s">
        <v>202</v>
      </c>
      <c r="K6" s="539"/>
      <c r="L6" s="544"/>
      <c r="W6" s="22" t="s">
        <v>20</v>
      </c>
      <c r="X6" s="23"/>
      <c r="Y6" s="24"/>
      <c r="Z6" s="518"/>
      <c r="AA6" s="25" t="s">
        <v>21</v>
      </c>
      <c r="AB6" s="26" t="s">
        <v>22</v>
      </c>
      <c r="AC6" s="519"/>
      <c r="AD6" s="27" t="s">
        <v>23</v>
      </c>
      <c r="AE6" s="28"/>
      <c r="AF6" s="29"/>
      <c r="AG6" s="520"/>
      <c r="AH6" s="93"/>
      <c r="AI6" s="309"/>
      <c r="AN6" s="107"/>
      <c r="AO6" s="107"/>
      <c r="AQ6" s="62" t="s">
        <v>18</v>
      </c>
      <c r="AR6" s="140">
        <v>2.2999999999999998</v>
      </c>
      <c r="AS6" s="139">
        <f>Z10*(1.05)^-(1/AR6)</f>
        <v>476.77801643897118</v>
      </c>
      <c r="AT6" s="53" t="s">
        <v>14</v>
      </c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447"/>
      <c r="BH6" s="70"/>
      <c r="BI6" s="70"/>
      <c r="BJ6" s="251" t="s">
        <v>232</v>
      </c>
      <c r="BK6" s="70" t="s">
        <v>123</v>
      </c>
      <c r="BL6" s="584">
        <v>2.5000000000000001E-3</v>
      </c>
      <c r="BM6" s="584">
        <v>2.5000000000000001E-3</v>
      </c>
      <c r="BN6" s="583">
        <v>0.01</v>
      </c>
      <c r="BO6" s="70"/>
      <c r="BP6" s="70"/>
      <c r="BQ6" s="70"/>
      <c r="BR6" s="70"/>
    </row>
    <row r="7" spans="1:70" ht="14.45" customHeight="1" x14ac:dyDescent="0.2">
      <c r="B7" s="475" t="s">
        <v>198</v>
      </c>
      <c r="C7" s="496"/>
      <c r="D7" s="32"/>
      <c r="E7" s="486"/>
      <c r="F7" s="481" t="s">
        <v>213</v>
      </c>
      <c r="G7" s="501"/>
      <c r="H7" s="502"/>
      <c r="I7" s="478"/>
      <c r="J7" s="469" t="s">
        <v>203</v>
      </c>
      <c r="K7" s="540"/>
      <c r="L7" s="545"/>
      <c r="W7" s="30" t="s">
        <v>24</v>
      </c>
      <c r="X7" s="31"/>
      <c r="Y7" s="32"/>
      <c r="Z7" s="33" t="s">
        <v>25</v>
      </c>
      <c r="AA7" s="34" t="s">
        <v>26</v>
      </c>
      <c r="AB7" s="35"/>
      <c r="AC7" s="36"/>
      <c r="AD7" s="17" t="s">
        <v>27</v>
      </c>
      <c r="AE7" s="18"/>
      <c r="AF7" s="37"/>
      <c r="AG7" s="521"/>
      <c r="AH7" s="94"/>
      <c r="AI7" s="94"/>
      <c r="AJ7" s="94"/>
      <c r="AK7" s="94"/>
      <c r="AL7" s="94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447"/>
      <c r="BH7" s="70"/>
      <c r="BI7" s="70"/>
      <c r="BJ7" s="70" t="s">
        <v>233</v>
      </c>
      <c r="BK7" s="70" t="s">
        <v>123</v>
      </c>
      <c r="BL7" s="581">
        <v>0.05</v>
      </c>
      <c r="BM7" s="581">
        <v>0.01</v>
      </c>
      <c r="BN7" s="583">
        <v>0.03</v>
      </c>
      <c r="BO7" s="70"/>
      <c r="BP7" s="70"/>
      <c r="BQ7" s="70"/>
      <c r="BR7" s="70"/>
    </row>
    <row r="8" spans="1:70" ht="13.5" customHeight="1" thickBot="1" x14ac:dyDescent="0.25">
      <c r="B8" s="476" t="s">
        <v>199</v>
      </c>
      <c r="C8" s="497"/>
      <c r="D8" s="39"/>
      <c r="E8" s="400"/>
      <c r="F8" s="482" t="s">
        <v>29</v>
      </c>
      <c r="G8" s="484" t="s">
        <v>30</v>
      </c>
      <c r="H8" s="465">
        <f>K8/60*(C17/H65)^0.5/(D17/J65)^0.75</f>
        <v>56.845454164807514</v>
      </c>
      <c r="I8" s="499"/>
      <c r="J8" s="471" t="s">
        <v>212</v>
      </c>
      <c r="K8" s="41">
        <v>1180</v>
      </c>
      <c r="L8" s="546" t="s">
        <v>32</v>
      </c>
      <c r="W8" s="38" t="s">
        <v>28</v>
      </c>
      <c r="X8" s="39"/>
      <c r="Y8" s="39"/>
      <c r="Z8" s="253"/>
      <c r="AA8" s="40" t="s">
        <v>29</v>
      </c>
      <c r="AB8" s="41" t="s">
        <v>30</v>
      </c>
      <c r="AC8" s="464">
        <f>AF8/60*(X17/AC65)^0.5/(Y17/AE65)^0.75</f>
        <v>56.845454164807492</v>
      </c>
      <c r="AD8" s="42" t="s">
        <v>31</v>
      </c>
      <c r="AE8" s="43"/>
      <c r="AF8" s="522">
        <f>+K8</f>
        <v>1180</v>
      </c>
      <c r="AG8" s="44" t="s">
        <v>32</v>
      </c>
      <c r="AH8" s="58"/>
      <c r="AI8" s="58"/>
      <c r="AJ8" s="58"/>
      <c r="AK8" s="58"/>
      <c r="AL8" s="58"/>
      <c r="AN8" s="61" t="s">
        <v>8</v>
      </c>
      <c r="AO8" s="61" t="s">
        <v>8</v>
      </c>
      <c r="AP8" s="61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447"/>
      <c r="BH8" s="70"/>
      <c r="BI8" s="70"/>
      <c r="BJ8" s="70"/>
      <c r="BK8" s="70"/>
      <c r="BL8" s="70"/>
      <c r="BM8" s="70"/>
      <c r="BN8" s="339"/>
      <c r="BO8" s="70"/>
      <c r="BP8" s="70"/>
      <c r="BQ8" s="70"/>
      <c r="BR8" s="70"/>
    </row>
    <row r="9" spans="1:70" ht="13.5" thickBot="1" x14ac:dyDescent="0.25">
      <c r="B9" s="455"/>
      <c r="D9" s="368"/>
      <c r="E9" s="456" t="s">
        <v>192</v>
      </c>
      <c r="F9" s="456" t="s">
        <v>193</v>
      </c>
      <c r="G9" s="456" t="s">
        <v>194</v>
      </c>
      <c r="H9" s="368"/>
      <c r="I9" s="368"/>
      <c r="J9" s="368"/>
      <c r="K9" s="368"/>
      <c r="L9" s="457"/>
      <c r="W9" s="64"/>
      <c r="AG9" s="65"/>
      <c r="AN9" s="63" t="s">
        <v>15</v>
      </c>
      <c r="AO9" s="63" t="s">
        <v>16</v>
      </c>
      <c r="AP9" s="63" t="s">
        <v>110</v>
      </c>
      <c r="AQ9" s="115" t="s">
        <v>34</v>
      </c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447"/>
      <c r="BH9" s="70"/>
      <c r="BI9" s="70"/>
      <c r="BJ9" s="70"/>
      <c r="BK9" s="70"/>
      <c r="BL9" s="70"/>
      <c r="BM9" s="70"/>
      <c r="BN9" s="339"/>
      <c r="BO9" s="70"/>
      <c r="BP9" s="70"/>
      <c r="BQ9" s="70"/>
      <c r="BR9" s="70"/>
    </row>
    <row r="10" spans="1:70" ht="13.5" thickBot="1" x14ac:dyDescent="0.25">
      <c r="B10" s="460" t="s">
        <v>190</v>
      </c>
      <c r="C10" s="458" t="s">
        <v>195</v>
      </c>
      <c r="D10" s="459"/>
      <c r="E10" s="449">
        <f>+((F10^2+G10^2)/2)^0.5</f>
        <v>487</v>
      </c>
      <c r="F10" s="450">
        <v>487</v>
      </c>
      <c r="G10" s="450">
        <v>487</v>
      </c>
      <c r="I10" s="255"/>
      <c r="J10" s="255"/>
      <c r="K10" s="452" t="s">
        <v>135</v>
      </c>
      <c r="L10" s="370">
        <v>1</v>
      </c>
      <c r="W10" s="64"/>
      <c r="X10" s="55" t="s">
        <v>35</v>
      </c>
      <c r="Y10" s="85"/>
      <c r="Z10" s="86">
        <f>+E10</f>
        <v>487</v>
      </c>
      <c r="AC10" s="87" t="s">
        <v>36</v>
      </c>
      <c r="AD10" s="338" t="s">
        <v>37</v>
      </c>
      <c r="AE10" s="310">
        <f>(AI6-Z10)/Z10</f>
        <v>-1</v>
      </c>
      <c r="AF10" s="338" t="s">
        <v>38</v>
      </c>
      <c r="AG10" s="344">
        <v>1</v>
      </c>
      <c r="AI10" s="585" t="s">
        <v>39</v>
      </c>
      <c r="AJ10" s="585" t="s">
        <v>40</v>
      </c>
      <c r="AK10" s="103"/>
      <c r="AN10" s="63">
        <f>+L25</f>
        <v>0.4</v>
      </c>
      <c r="AO10" s="63">
        <f>+L26</f>
        <v>1.8</v>
      </c>
      <c r="AP10" s="53">
        <f>+L27</f>
        <v>0.8</v>
      </c>
      <c r="AQ10" s="143">
        <f>MAX(X12:X19)</f>
        <v>15403.7</v>
      </c>
      <c r="AW10" s="70"/>
      <c r="AX10" s="382" t="s">
        <v>111</v>
      </c>
      <c r="AY10" s="382"/>
      <c r="AZ10" s="383"/>
      <c r="BA10" s="383"/>
      <c r="BB10" s="383"/>
      <c r="BC10" s="383"/>
      <c r="BD10" s="383"/>
      <c r="BE10" s="383"/>
      <c r="BF10" s="70"/>
      <c r="BG10" s="447"/>
      <c r="BH10" s="70"/>
      <c r="BI10" s="70"/>
      <c r="BJ10" s="70"/>
      <c r="BK10" s="70"/>
      <c r="BL10" s="70"/>
      <c r="BM10" s="70"/>
      <c r="BN10" s="339"/>
      <c r="BO10" s="70"/>
      <c r="BP10" s="70"/>
      <c r="BQ10" s="70"/>
      <c r="BR10" s="70"/>
    </row>
    <row r="11" spans="1:70" ht="12.75" customHeight="1" x14ac:dyDescent="0.2">
      <c r="A11" s="413" t="s">
        <v>196</v>
      </c>
      <c r="B11" s="254"/>
      <c r="C11" s="493" t="s">
        <v>48</v>
      </c>
      <c r="D11" s="493" t="s">
        <v>49</v>
      </c>
      <c r="E11" s="493" t="s">
        <v>50</v>
      </c>
      <c r="F11" s="493" t="s">
        <v>51</v>
      </c>
      <c r="G11" s="257"/>
      <c r="H11" s="257"/>
      <c r="I11" s="257"/>
      <c r="J11" s="452" t="s">
        <v>137</v>
      </c>
      <c r="K11" s="452" t="s">
        <v>215</v>
      </c>
      <c r="L11" s="452" t="s">
        <v>216</v>
      </c>
      <c r="W11" s="64"/>
      <c r="X11" s="25" t="s">
        <v>48</v>
      </c>
      <c r="Y11" s="25" t="s">
        <v>49</v>
      </c>
      <c r="Z11" s="25" t="s">
        <v>50</v>
      </c>
      <c r="AA11" s="25" t="s">
        <v>51</v>
      </c>
      <c r="AB11" s="82"/>
      <c r="AC11" s="82"/>
      <c r="AF11" s="71"/>
      <c r="AG11" s="65"/>
      <c r="AI11" s="586"/>
      <c r="AJ11" s="586"/>
      <c r="AK11" s="103"/>
      <c r="AM11" s="72" t="s">
        <v>15</v>
      </c>
      <c r="AN11" s="73" t="s">
        <v>16</v>
      </c>
      <c r="AO11" s="86" t="s">
        <v>107</v>
      </c>
      <c r="AW11" s="70"/>
      <c r="AX11" s="386" t="s">
        <v>41</v>
      </c>
      <c r="AY11" s="387" t="s">
        <v>42</v>
      </c>
      <c r="AZ11" s="387" t="s">
        <v>43</v>
      </c>
      <c r="BA11" s="387" t="s">
        <v>44</v>
      </c>
      <c r="BB11" s="387" t="s">
        <v>45</v>
      </c>
      <c r="BC11" s="387" t="s">
        <v>46</v>
      </c>
      <c r="BD11" s="387" t="s">
        <v>47</v>
      </c>
      <c r="BE11" s="388"/>
      <c r="BF11" s="70"/>
      <c r="BG11" s="447"/>
      <c r="BH11" s="70"/>
      <c r="BI11" s="70"/>
      <c r="BJ11" s="70"/>
      <c r="BK11" s="70"/>
      <c r="BL11" s="70"/>
      <c r="BM11" s="70"/>
      <c r="BN11" s="339"/>
      <c r="BO11" s="70"/>
      <c r="BP11" s="70"/>
      <c r="BQ11" s="70"/>
      <c r="BR11" s="70"/>
    </row>
    <row r="12" spans="1:70" x14ac:dyDescent="0.2">
      <c r="A12" s="401">
        <v>0</v>
      </c>
      <c r="B12" s="169"/>
      <c r="C12" s="487">
        <v>0</v>
      </c>
      <c r="D12" s="488">
        <v>220.42660373423044</v>
      </c>
      <c r="E12" s="488">
        <v>4150</v>
      </c>
      <c r="F12" s="489">
        <v>0</v>
      </c>
      <c r="G12"/>
      <c r="H12"/>
      <c r="I12" s="255"/>
      <c r="J12" s="450">
        <v>395</v>
      </c>
      <c r="K12" s="554">
        <f>+E10</f>
        <v>487</v>
      </c>
      <c r="L12" s="450">
        <v>180</v>
      </c>
      <c r="W12" s="169"/>
      <c r="X12" s="444">
        <f t="shared" ref="X12:X19" si="0">+C12</f>
        <v>0</v>
      </c>
      <c r="Y12" s="444">
        <f t="shared" ref="Y12:Y19" si="1">+$BD$19+$BC$19*X12+$BB$19*X12^2+$BA$19*X12^3+$AZ$19*X12^4+$AY$19*X12^5+$AX$19*X12^6</f>
        <v>220.42660373423047</v>
      </c>
      <c r="Z12" s="444">
        <f>+E12</f>
        <v>4150</v>
      </c>
      <c r="AA12" s="573">
        <v>0</v>
      </c>
      <c r="AB12"/>
      <c r="AC12"/>
      <c r="AE12" s="258"/>
      <c r="AF12" s="61"/>
      <c r="AG12" s="65"/>
      <c r="AI12" s="105"/>
      <c r="AJ12" s="105"/>
      <c r="AK12" s="101"/>
      <c r="AM12" s="138">
        <f t="shared" ref="AM12:AM19" si="2">X12*($L$24/$Z$10)^$AN$10</f>
        <v>0</v>
      </c>
      <c r="AN12" s="138">
        <f t="shared" ref="AN12:AN19" si="3">Y12*($L$24/$Z$10)^$AO$10</f>
        <v>191.20286867204754</v>
      </c>
      <c r="AO12" s="58"/>
      <c r="AW12" s="70"/>
      <c r="AX12" s="389" cm="1">
        <f t="array" ref="AX12:BD12">LINEST(D12:D19,C12:C19^{1,2,3,4,5,6})</f>
        <v>-2.2929884784068412E-36</v>
      </c>
      <c r="AY12" s="384">
        <v>1.1160912789745128E-31</v>
      </c>
      <c r="AZ12" s="384">
        <v>-3.2835169315047513E-15</v>
      </c>
      <c r="BA12" s="384">
        <v>2.0339693035267884E-11</v>
      </c>
      <c r="BB12" s="384">
        <v>7.3917158378041359E-7</v>
      </c>
      <c r="BC12" s="384">
        <v>-1.4101324637412331E-2</v>
      </c>
      <c r="BD12" s="384">
        <v>220.42660373423044</v>
      </c>
      <c r="BE12" s="390">
        <v>6</v>
      </c>
      <c r="BF12" s="70"/>
      <c r="BG12" s="447"/>
      <c r="BH12" s="70">
        <f>Y12*IF(AND(A12&lt;0.7,A12&gt;1.2),(1+$BL$5),(1+$BL$4))</f>
        <v>222.63086977157278</v>
      </c>
      <c r="BI12" s="70">
        <f>Y12*IF(AND(B12&lt;0.7,B12&gt;1.2),(1-$BM$5),(1-$BM$4))</f>
        <v>218.22233769688816</v>
      </c>
      <c r="BJ12" s="70"/>
      <c r="BK12" s="70"/>
      <c r="BL12" s="70"/>
      <c r="BM12" s="70"/>
      <c r="BN12" s="339"/>
      <c r="BO12" s="70"/>
      <c r="BP12" s="70"/>
      <c r="BQ12" s="70"/>
      <c r="BR12" s="70"/>
    </row>
    <row r="13" spans="1:70" x14ac:dyDescent="0.2">
      <c r="A13" s="401">
        <f>$X$13/C17</f>
        <v>0.2</v>
      </c>
      <c r="B13" s="169"/>
      <c r="C13" s="487">
        <f>0.2*$X$17</f>
        <v>2369.8000000000002</v>
      </c>
      <c r="D13" s="488">
        <v>191.3275727331858</v>
      </c>
      <c r="E13" s="75">
        <f>C13/3600*D13*9.806/(F13/100)*1000/1000</f>
        <v>3983.9781816752643</v>
      </c>
      <c r="F13" s="489">
        <v>31</v>
      </c>
      <c r="G13" s="494" t="s">
        <v>48</v>
      </c>
      <c r="H13" s="494" t="s">
        <v>55</v>
      </c>
      <c r="I13" s="255"/>
      <c r="J13" s="255"/>
      <c r="K13" s="255"/>
      <c r="L13" s="256"/>
      <c r="W13" s="169"/>
      <c r="X13" s="444">
        <f t="shared" si="0"/>
        <v>2369.8000000000002</v>
      </c>
      <c r="Y13" s="444">
        <f t="shared" si="1"/>
        <v>191.32757273318586</v>
      </c>
      <c r="Z13" s="444">
        <f>1000*9.81/3600*X13*Y13/AA13/10</f>
        <v>3812.907629207868</v>
      </c>
      <c r="AA13" s="444">
        <f t="shared" ref="AA13:AA19" si="4">$BD$32+$BC$32*X13+$BB$32*X13^2+$BA$32*X13^3+$AZ$32*X13^4+$AY$32*X13^5+$AX$32*X13^6</f>
        <v>32.404063859623086</v>
      </c>
      <c r="AB13" t="s">
        <v>48</v>
      </c>
      <c r="AC13" t="s">
        <v>55</v>
      </c>
      <c r="AE13" s="258"/>
      <c r="AF13" s="63"/>
      <c r="AG13" s="65"/>
      <c r="AI13" s="105">
        <f t="shared" ref="AI13:AI19" si="5">F13/$F$17</f>
        <v>0.35001867047073643</v>
      </c>
      <c r="AJ13" s="104"/>
      <c r="AM13" s="138">
        <f t="shared" si="2"/>
        <v>2296.0699574670452</v>
      </c>
      <c r="AN13" s="138">
        <f t="shared" si="3"/>
        <v>165.961731219851</v>
      </c>
      <c r="AO13" s="75"/>
      <c r="AW13" s="255"/>
      <c r="AX13" s="389"/>
      <c r="AY13" s="385" cm="1">
        <f t="array" ref="AY13:BD13">LINEST(D12:D19,C12:C19^{1,2,3,4,5})</f>
        <v>-8.6313359066788413E-33</v>
      </c>
      <c r="AZ13" s="385">
        <v>-3.2835169315023023E-15</v>
      </c>
      <c r="BA13" s="385">
        <v>2.0339693035243876E-11</v>
      </c>
      <c r="BB13" s="385">
        <v>7.3917158378052592E-7</v>
      </c>
      <c r="BC13" s="385">
        <v>-1.4101324637412529E-2</v>
      </c>
      <c r="BD13" s="385">
        <v>220.42660373423038</v>
      </c>
      <c r="BE13" s="391">
        <v>5</v>
      </c>
      <c r="BF13" s="255"/>
      <c r="BG13" s="254"/>
      <c r="BH13" s="70">
        <f t="shared" ref="BH13:BH19" si="6">Y13*IF(AND(A13&lt;0.7,A13&gt;1.2),(1+$BL$5),(1+$BL$4))</f>
        <v>193.24084846051773</v>
      </c>
      <c r="BI13" s="70">
        <f t="shared" ref="BI13:BI19" si="7">Y13*IF(AND(B13&lt;0.7,B13&gt;1.2),(1-$BM$5),(1-$BM$4))</f>
        <v>189.414297005854</v>
      </c>
      <c r="BJ13" s="255"/>
      <c r="BK13" s="255"/>
      <c r="BL13" s="255"/>
      <c r="BM13" s="255"/>
      <c r="BN13" s="256"/>
      <c r="BO13" s="255"/>
      <c r="BP13" s="255"/>
      <c r="BQ13" s="255"/>
      <c r="BR13" s="255"/>
    </row>
    <row r="14" spans="1:70" x14ac:dyDescent="0.2">
      <c r="A14" s="401">
        <f>$X$14/C17</f>
        <v>0.4</v>
      </c>
      <c r="B14" s="169"/>
      <c r="C14" s="487">
        <f>0.4*C17</f>
        <v>4739.6000000000004</v>
      </c>
      <c r="D14" s="488">
        <v>170.70519327288977</v>
      </c>
      <c r="E14" s="75">
        <f t="shared" ref="E14:E19" si="8">C14/3600*D14*9.806/(F14/100)*1000/1000</f>
        <v>3843.5429237612125</v>
      </c>
      <c r="F14" s="489">
        <v>57.338466942623064</v>
      </c>
      <c r="G14" s="487">
        <v>5500</v>
      </c>
      <c r="H14" s="488">
        <v>19.7</v>
      </c>
      <c r="I14" s="255"/>
      <c r="J14" s="255"/>
      <c r="K14" s="255"/>
      <c r="L14" s="256"/>
      <c r="W14" s="169"/>
      <c r="X14" s="444">
        <f t="shared" si="0"/>
        <v>4739.6000000000004</v>
      </c>
      <c r="Y14" s="444">
        <f t="shared" si="1"/>
        <v>170.70519327288989</v>
      </c>
      <c r="Z14" s="444">
        <f t="shared" ref="Z14:Z19" si="9">1000*9.81/3600*X14*Y14/AA14/10</f>
        <v>3966.964927220044</v>
      </c>
      <c r="AA14" s="444">
        <f t="shared" si="4"/>
        <v>55.577188119826324</v>
      </c>
      <c r="AB14" s="444">
        <f>+G14</f>
        <v>5500</v>
      </c>
      <c r="AC14" s="444">
        <f>+$BD$45+$BC$45*AB14+$BB$45*AB14^2+$BA$45*AB14^3+$AZ$45*AB14^4+$AY$45*AB14^5+$AX$45*AB14^6</f>
        <v>19.718813087648144</v>
      </c>
      <c r="AD14" s="312"/>
      <c r="AE14" s="258"/>
      <c r="AG14" s="65"/>
      <c r="AI14" s="105">
        <f t="shared" si="5"/>
        <v>0.64740432148668381</v>
      </c>
      <c r="AJ14" s="105">
        <f t="shared" ref="AJ14:AJ19" si="10">AC14/$AC$17</f>
        <v>0.71281342411299309</v>
      </c>
      <c r="AK14" s="101"/>
      <c r="AM14" s="138">
        <f t="shared" si="2"/>
        <v>4592.1399149340905</v>
      </c>
      <c r="AN14" s="138">
        <f t="shared" si="3"/>
        <v>148.07342715467442</v>
      </c>
      <c r="AO14" s="75"/>
      <c r="AP14" s="404"/>
      <c r="AQ14" s="76"/>
      <c r="AW14" s="255"/>
      <c r="AX14" s="389"/>
      <c r="AY14" s="385"/>
      <c r="AZ14" s="385" cm="1">
        <f t="array" ref="AZ14:BD14">LINEST(D12:D19,C12:C19^{1,2,3,4})</f>
        <v>-3.2835169315026577E-15</v>
      </c>
      <c r="BA14" s="385">
        <v>2.0339693035249101E-11</v>
      </c>
      <c r="BB14" s="385">
        <v>7.3917158378049374E-7</v>
      </c>
      <c r="BC14" s="385">
        <v>-1.4101324637412463E-2</v>
      </c>
      <c r="BD14" s="385">
        <v>220.42660373423047</v>
      </c>
      <c r="BE14" s="391">
        <v>4</v>
      </c>
      <c r="BF14" s="255"/>
      <c r="BG14" s="254"/>
      <c r="BH14" s="70">
        <f t="shared" si="6"/>
        <v>172.41224520561877</v>
      </c>
      <c r="BI14" s="70">
        <f t="shared" si="7"/>
        <v>168.998141340161</v>
      </c>
      <c r="BJ14" s="255"/>
      <c r="BK14" s="255"/>
      <c r="BL14" s="255"/>
      <c r="BM14" s="255"/>
      <c r="BN14" s="256"/>
      <c r="BO14" s="255"/>
      <c r="BP14" s="255"/>
      <c r="BQ14" s="255"/>
      <c r="BR14" s="255"/>
    </row>
    <row r="15" spans="1:70" x14ac:dyDescent="0.2">
      <c r="A15" s="401">
        <f>$X$15/C17</f>
        <v>0.6</v>
      </c>
      <c r="B15" s="169"/>
      <c r="C15" s="487">
        <f>0.6*C17</f>
        <v>7109.4</v>
      </c>
      <c r="D15" s="488">
        <v>156.45552404825341</v>
      </c>
      <c r="E15" s="75">
        <f t="shared" si="8"/>
        <v>4196.0355974972617</v>
      </c>
      <c r="F15" s="489">
        <v>72.206131121549831</v>
      </c>
      <c r="G15" s="487">
        <f>C15</f>
        <v>7109.4</v>
      </c>
      <c r="H15" s="488">
        <v>21.5</v>
      </c>
      <c r="I15" s="255"/>
      <c r="J15" s="255"/>
      <c r="K15" s="547"/>
      <c r="L15" s="549" t="s">
        <v>207</v>
      </c>
      <c r="W15" s="169">
        <f>($Y$12-Y15)/Y15</f>
        <v>0.40887709190918275</v>
      </c>
      <c r="X15" s="444">
        <f t="shared" si="0"/>
        <v>7109.4</v>
      </c>
      <c r="Y15" s="444">
        <f t="shared" si="1"/>
        <v>156.45552404825341</v>
      </c>
      <c r="Z15" s="444">
        <f t="shared" si="9"/>
        <v>4180.810459996499</v>
      </c>
      <c r="AA15" s="444">
        <f t="shared" si="4"/>
        <v>72.498643236139827</v>
      </c>
      <c r="AB15" s="444">
        <f t="shared" ref="AB15:AB19" si="11">+G15</f>
        <v>7109.4</v>
      </c>
      <c r="AC15" s="444">
        <f t="shared" ref="AC15:AC19" si="12">+$BD$45+$BC$45*AB15+$BB$45*AB15^2+$BA$45*AB15^3+$AZ$45*AB15^4+$AY$45*AB15^5+$AX$45*AB15^6</f>
        <v>21.436994761608574</v>
      </c>
      <c r="AD15" s="312"/>
      <c r="AE15" s="258"/>
      <c r="AF15" s="316"/>
      <c r="AG15" s="339"/>
      <c r="AI15" s="105">
        <f t="shared" si="5"/>
        <v>0.81527400048388832</v>
      </c>
      <c r="AJ15" s="105">
        <f t="shared" si="10"/>
        <v>0.77492380351666557</v>
      </c>
      <c r="AK15" s="101"/>
      <c r="AM15" s="138">
        <f t="shared" si="2"/>
        <v>6888.2098724011357</v>
      </c>
      <c r="AN15" s="138">
        <f t="shared" si="3"/>
        <v>135.71295166205502</v>
      </c>
      <c r="AO15" s="75"/>
      <c r="AP15" s="404"/>
      <c r="AQ15" s="58"/>
      <c r="AR15" s="58"/>
      <c r="AS15" s="58"/>
      <c r="AW15" s="255"/>
      <c r="AX15" s="389"/>
      <c r="AY15" s="385"/>
      <c r="AZ15" s="385"/>
      <c r="BA15" s="385" cm="1">
        <f t="array" ref="BA15:BD15">LINEST(D12:D19,C12:C19^{1,2,3})</f>
        <v>-8.1345608422488721E-11</v>
      </c>
      <c r="BB15" s="385">
        <v>1.7164659616244025E-6</v>
      </c>
      <c r="BC15" s="385">
        <v>-1.701668362666145E-2</v>
      </c>
      <c r="BD15" s="385">
        <v>221.30456795170039</v>
      </c>
      <c r="BE15" s="390">
        <v>3</v>
      </c>
      <c r="BF15" s="255"/>
      <c r="BG15" s="254"/>
      <c r="BH15" s="70">
        <f t="shared" si="6"/>
        <v>158.02007928873596</v>
      </c>
      <c r="BI15" s="70">
        <f t="shared" si="7"/>
        <v>154.89096880777086</v>
      </c>
      <c r="BJ15" s="255"/>
      <c r="BK15" s="255"/>
      <c r="BL15" s="255"/>
      <c r="BM15" s="255"/>
      <c r="BN15" s="256"/>
      <c r="BO15" s="255"/>
      <c r="BP15" s="255"/>
      <c r="BQ15" s="255"/>
      <c r="BR15" s="255"/>
    </row>
    <row r="16" spans="1:70" x14ac:dyDescent="0.2">
      <c r="A16" s="401">
        <f>$X$16/C17</f>
        <v>0.8</v>
      </c>
      <c r="B16" s="169"/>
      <c r="C16" s="487">
        <f>0.8*C17</f>
        <v>9479.2000000000007</v>
      </c>
      <c r="D16" s="488">
        <v>143.98921809802039</v>
      </c>
      <c r="E16" s="75">
        <f t="shared" si="8"/>
        <v>4469.7925291916872</v>
      </c>
      <c r="F16" s="489">
        <v>83.177082424065475</v>
      </c>
      <c r="G16" s="487">
        <f t="shared" ref="G16:G19" si="13">C16</f>
        <v>9479.2000000000007</v>
      </c>
      <c r="H16" s="488">
        <v>24</v>
      </c>
      <c r="I16" s="255"/>
      <c r="J16" s="255"/>
      <c r="K16" s="452" t="s">
        <v>190</v>
      </c>
      <c r="L16" s="550">
        <v>0</v>
      </c>
      <c r="W16" s="169">
        <f>($Y$12-Y16)/Y16</f>
        <v>0.53085492543042623</v>
      </c>
      <c r="X16" s="444">
        <f t="shared" si="0"/>
        <v>9479.2000000000007</v>
      </c>
      <c r="Y16" s="444">
        <f t="shared" si="1"/>
        <v>143.98921809802044</v>
      </c>
      <c r="Z16" s="444">
        <f t="shared" si="9"/>
        <v>4426.8719200608593</v>
      </c>
      <c r="AA16" s="444">
        <f t="shared" si="4"/>
        <v>84.017781444636341</v>
      </c>
      <c r="AB16" s="444">
        <f t="shared" si="11"/>
        <v>9479.2000000000007</v>
      </c>
      <c r="AC16" s="444">
        <f t="shared" si="12"/>
        <v>24.112123737167025</v>
      </c>
      <c r="AE16" s="258"/>
      <c r="AF16" s="316"/>
      <c r="AG16" s="65"/>
      <c r="AI16" s="105">
        <f t="shared" si="5"/>
        <v>0.93914618721633092</v>
      </c>
      <c r="AJ16" s="105">
        <f t="shared" si="10"/>
        <v>0.87162677628363017</v>
      </c>
      <c r="AK16" s="101"/>
      <c r="AM16" s="138">
        <f t="shared" si="2"/>
        <v>9184.279829868181</v>
      </c>
      <c r="AN16" s="138">
        <f t="shared" si="3"/>
        <v>124.89940457178695</v>
      </c>
      <c r="AO16" s="75"/>
      <c r="AP16" s="404"/>
      <c r="AQ16" s="89"/>
      <c r="AS16" s="405"/>
      <c r="AW16" s="255"/>
      <c r="AX16" s="389"/>
      <c r="AY16" s="385"/>
      <c r="AZ16" s="385"/>
      <c r="BA16" s="385"/>
      <c r="BB16" s="385" cm="1">
        <f t="array" ref="BB16:BD16">LINEST(D12:D19,C12:C19^{1,2})</f>
        <v>-1.6068215272054417E-7</v>
      </c>
      <c r="BC16" s="385">
        <v>-6.2175569197282258E-3</v>
      </c>
      <c r="BD16" s="385">
        <v>212.51291288625819</v>
      </c>
      <c r="BE16" s="390">
        <v>2</v>
      </c>
      <c r="BF16" s="255"/>
      <c r="BG16" s="254"/>
      <c r="BH16" s="70">
        <f t="shared" si="6"/>
        <v>145.42911027900064</v>
      </c>
      <c r="BI16" s="70">
        <f t="shared" si="7"/>
        <v>142.54932591704025</v>
      </c>
      <c r="BJ16" s="255"/>
      <c r="BK16" s="255"/>
      <c r="BL16" s="255"/>
      <c r="BM16" s="255"/>
      <c r="BN16" s="256"/>
      <c r="BO16" s="255"/>
      <c r="BP16" s="255"/>
      <c r="BQ16" s="255"/>
      <c r="BR16" s="255"/>
    </row>
    <row r="17" spans="1:70" x14ac:dyDescent="0.2">
      <c r="A17" s="401">
        <v>1</v>
      </c>
      <c r="B17" s="169"/>
      <c r="C17" s="488">
        <v>11849</v>
      </c>
      <c r="D17" s="488">
        <v>126.23152280476728</v>
      </c>
      <c r="E17" s="75">
        <f t="shared" si="8"/>
        <v>4600.1122152915004</v>
      </c>
      <c r="F17" s="489">
        <v>88.566704051267962</v>
      </c>
      <c r="G17" s="487">
        <f t="shared" si="13"/>
        <v>11849</v>
      </c>
      <c r="H17" s="488">
        <v>27.8</v>
      </c>
      <c r="I17" s="255"/>
      <c r="J17" s="255"/>
      <c r="K17" s="452" t="s">
        <v>208</v>
      </c>
      <c r="L17" s="550">
        <v>0.06</v>
      </c>
      <c r="W17" s="169">
        <f>($Y$12-Y17)/Y17</f>
        <v>0.74620886159432243</v>
      </c>
      <c r="X17" s="444">
        <f t="shared" si="0"/>
        <v>11849</v>
      </c>
      <c r="Y17" s="444">
        <f t="shared" si="1"/>
        <v>126.23152280476731</v>
      </c>
      <c r="Z17" s="444">
        <f t="shared" si="9"/>
        <v>4605.6544944326943</v>
      </c>
      <c r="AA17" s="444">
        <f t="shared" si="4"/>
        <v>88.496210143349956</v>
      </c>
      <c r="AB17" s="444">
        <f t="shared" si="11"/>
        <v>11849</v>
      </c>
      <c r="AC17" s="444">
        <f t="shared" si="12"/>
        <v>27.663358209317863</v>
      </c>
      <c r="AE17" s="258"/>
      <c r="AF17" s="316"/>
      <c r="AG17" s="65"/>
      <c r="AI17" s="105">
        <f t="shared" si="5"/>
        <v>1</v>
      </c>
      <c r="AJ17" s="105">
        <f t="shared" si="10"/>
        <v>1</v>
      </c>
      <c r="AK17" s="101"/>
      <c r="AM17" s="138">
        <f t="shared" si="2"/>
        <v>11480.349787335226</v>
      </c>
      <c r="AN17" s="138">
        <f t="shared" si="3"/>
        <v>109.49599035792066</v>
      </c>
      <c r="AO17" s="75"/>
      <c r="AP17" s="404"/>
      <c r="AQ17" s="89"/>
      <c r="AW17" s="255"/>
      <c r="AX17" s="64" t="s">
        <v>112</v>
      </c>
      <c r="AY17" s="255"/>
      <c r="AZ17" s="255"/>
      <c r="BA17" s="255"/>
      <c r="BB17" s="255"/>
      <c r="BC17" s="255"/>
      <c r="BD17" s="255"/>
      <c r="BE17" s="256"/>
      <c r="BF17" s="255"/>
      <c r="BG17" s="254"/>
      <c r="BH17" s="70">
        <f t="shared" si="6"/>
        <v>127.49383803281498</v>
      </c>
      <c r="BI17" s="70">
        <f t="shared" si="7"/>
        <v>124.96920757671964</v>
      </c>
      <c r="BJ17" s="255"/>
      <c r="BK17" s="255"/>
      <c r="BL17" s="255"/>
      <c r="BM17" s="255"/>
      <c r="BN17" s="256"/>
      <c r="BO17" s="255"/>
      <c r="BP17" s="255"/>
      <c r="BQ17" s="255"/>
      <c r="BR17" s="255"/>
    </row>
    <row r="18" spans="1:70" x14ac:dyDescent="0.2">
      <c r="A18" s="401">
        <v>1.1499999999999999</v>
      </c>
      <c r="B18" s="169"/>
      <c r="C18" s="487">
        <f>C17*A18</f>
        <v>13626.349999999999</v>
      </c>
      <c r="D18" s="488">
        <v>103.78318979451598</v>
      </c>
      <c r="E18" s="75">
        <f t="shared" si="8"/>
        <v>4505.3634130354985</v>
      </c>
      <c r="F18" s="489">
        <v>85.5</v>
      </c>
      <c r="G18" s="487">
        <f t="shared" si="13"/>
        <v>13626.349999999999</v>
      </c>
      <c r="H18" s="488">
        <v>34</v>
      </c>
      <c r="I18" s="255"/>
      <c r="J18" s="255"/>
      <c r="K18" s="452" t="s">
        <v>209</v>
      </c>
      <c r="L18" s="550">
        <v>0.06</v>
      </c>
      <c r="W18" s="169"/>
      <c r="X18" s="444">
        <f t="shared" si="0"/>
        <v>13626.349999999999</v>
      </c>
      <c r="Y18" s="444">
        <f t="shared" si="1"/>
        <v>103.78318979451602</v>
      </c>
      <c r="Z18" s="444">
        <f t="shared" si="9"/>
        <v>4541.9447049316468</v>
      </c>
      <c r="AA18" s="444">
        <f t="shared" si="4"/>
        <v>84.845969873095726</v>
      </c>
      <c r="AB18" s="444">
        <f t="shared" si="11"/>
        <v>13626.349999999999</v>
      </c>
      <c r="AC18" s="444">
        <f t="shared" si="12"/>
        <v>34.088732475392874</v>
      </c>
      <c r="AD18" s="70"/>
      <c r="AE18" s="258"/>
      <c r="AF18" s="316"/>
      <c r="AG18" s="65"/>
      <c r="AI18" s="105">
        <f t="shared" si="5"/>
        <v>0.96537407500799888</v>
      </c>
      <c r="AJ18" s="105">
        <f t="shared" si="10"/>
        <v>1.2322702188742489</v>
      </c>
      <c r="AK18" s="101"/>
      <c r="AM18" s="138">
        <f t="shared" si="2"/>
        <v>13202.402255435509</v>
      </c>
      <c r="AN18" s="138">
        <f t="shared" si="3"/>
        <v>90.023814151637609</v>
      </c>
      <c r="AO18" s="75"/>
      <c r="AP18" s="404"/>
      <c r="AQ18" s="89"/>
      <c r="AW18" s="255"/>
      <c r="AX18" s="392" t="s">
        <v>41</v>
      </c>
      <c r="AY18" s="381" t="s">
        <v>42</v>
      </c>
      <c r="AZ18" s="381" t="s">
        <v>43</v>
      </c>
      <c r="BA18" s="381" t="s">
        <v>44</v>
      </c>
      <c r="BB18" s="381" t="s">
        <v>45</v>
      </c>
      <c r="BC18" s="381" t="s">
        <v>46</v>
      </c>
      <c r="BD18" s="381" t="s">
        <v>47</v>
      </c>
      <c r="BE18" s="256"/>
      <c r="BF18" s="255"/>
      <c r="BG18" s="254"/>
      <c r="BH18" s="70">
        <f t="shared" si="6"/>
        <v>104.82102169246119</v>
      </c>
      <c r="BI18" s="70">
        <f t="shared" si="7"/>
        <v>102.74535789657085</v>
      </c>
      <c r="BJ18" s="255"/>
      <c r="BK18" s="255"/>
      <c r="BL18" s="255"/>
      <c r="BM18" s="255"/>
      <c r="BN18" s="256"/>
      <c r="BO18" s="255"/>
      <c r="BP18" s="255"/>
      <c r="BQ18" s="255"/>
      <c r="BR18" s="255"/>
    </row>
    <row r="19" spans="1:70" ht="13.5" thickBot="1" x14ac:dyDescent="0.25">
      <c r="A19" s="401">
        <v>1.3</v>
      </c>
      <c r="B19" s="169"/>
      <c r="C19" s="490">
        <f>C17*A19</f>
        <v>15403.7</v>
      </c>
      <c r="D19" s="491">
        <v>68.081175514136817</v>
      </c>
      <c r="E19" s="88">
        <f t="shared" si="8"/>
        <v>3967.4274089649966</v>
      </c>
      <c r="F19" s="492">
        <v>72</v>
      </c>
      <c r="G19" s="487">
        <f t="shared" si="13"/>
        <v>15403.7</v>
      </c>
      <c r="H19" s="491">
        <v>48.4</v>
      </c>
      <c r="I19" s="255"/>
      <c r="J19" s="255"/>
      <c r="K19" s="452" t="s">
        <v>210</v>
      </c>
      <c r="L19" s="550">
        <v>0.12</v>
      </c>
      <c r="W19" s="169"/>
      <c r="X19" s="444">
        <f t="shared" si="0"/>
        <v>15403.7</v>
      </c>
      <c r="Y19" s="444">
        <f t="shared" si="1"/>
        <v>68.081175514136874</v>
      </c>
      <c r="Z19" s="444">
        <f t="shared" si="9"/>
        <v>3952.2293433246459</v>
      </c>
      <c r="AA19" s="444">
        <f t="shared" si="4"/>
        <v>72.306354481416435</v>
      </c>
      <c r="AB19" s="444">
        <f t="shared" si="11"/>
        <v>15403.7</v>
      </c>
      <c r="AC19" s="444">
        <f t="shared" si="12"/>
        <v>48.379977728865128</v>
      </c>
      <c r="AD19" s="68"/>
      <c r="AE19" s="258"/>
      <c r="AF19" s="407"/>
      <c r="AG19" s="65"/>
      <c r="AI19" s="105">
        <f t="shared" si="5"/>
        <v>0.8129465894804202</v>
      </c>
      <c r="AJ19" s="106">
        <f t="shared" si="10"/>
        <v>1.7488830301365681</v>
      </c>
      <c r="AK19" s="101"/>
      <c r="AM19" s="163">
        <f t="shared" si="2"/>
        <v>14924.454723535795</v>
      </c>
      <c r="AN19" s="138">
        <f t="shared" si="3"/>
        <v>59.055104240335616</v>
      </c>
      <c r="AO19" s="75"/>
      <c r="AP19" s="404"/>
      <c r="AQ19" s="89"/>
      <c r="AW19" s="255"/>
      <c r="AX19" s="393">
        <f t="shared" ref="AX19:BD19" si="14">+_xlfn.XLOOKUP($J$2,$BE$12:$BE$16,AX12:AX16)</f>
        <v>0</v>
      </c>
      <c r="AY19" s="394">
        <f t="shared" si="14"/>
        <v>0</v>
      </c>
      <c r="AZ19" s="394">
        <f t="shared" si="14"/>
        <v>-3.2835169315026577E-15</v>
      </c>
      <c r="BA19" s="394">
        <f t="shared" si="14"/>
        <v>2.0339693035249101E-11</v>
      </c>
      <c r="BB19" s="394">
        <f t="shared" si="14"/>
        <v>7.3917158378049374E-7</v>
      </c>
      <c r="BC19" s="394">
        <f t="shared" si="14"/>
        <v>-1.4101324637412463E-2</v>
      </c>
      <c r="BD19" s="394">
        <f t="shared" si="14"/>
        <v>220.42660373423047</v>
      </c>
      <c r="BE19" s="278"/>
      <c r="BF19" s="255"/>
      <c r="BG19" s="254"/>
      <c r="BH19" s="70">
        <f t="shared" si="6"/>
        <v>68.761987269278237</v>
      </c>
      <c r="BI19" s="70">
        <f t="shared" si="7"/>
        <v>67.40036375899551</v>
      </c>
      <c r="BJ19" s="255"/>
      <c r="BK19" s="255"/>
      <c r="BL19" s="255"/>
      <c r="BM19" s="255"/>
      <c r="BN19" s="256"/>
      <c r="BO19" s="255"/>
      <c r="BP19" s="255"/>
      <c r="BQ19" s="255"/>
      <c r="BR19" s="255"/>
    </row>
    <row r="20" spans="1:70" ht="12.75" customHeight="1" x14ac:dyDescent="0.2">
      <c r="A20" s="101"/>
      <c r="B20" s="64"/>
      <c r="C20" s="70"/>
      <c r="D20" s="70"/>
      <c r="E20" s="70"/>
      <c r="F20" s="70"/>
      <c r="G20" s="78"/>
      <c r="H20" s="70"/>
      <c r="I20" s="255"/>
      <c r="J20" s="255"/>
      <c r="K20" s="255"/>
      <c r="L20" s="256"/>
      <c r="W20" s="64"/>
      <c r="X20" s="70"/>
      <c r="Y20" s="70"/>
      <c r="Z20" s="70"/>
      <c r="AA20" s="70"/>
      <c r="AB20" s="78"/>
      <c r="AC20" s="70"/>
      <c r="AF20" s="74"/>
      <c r="AG20" s="65"/>
      <c r="AM20" s="587" t="s">
        <v>57</v>
      </c>
      <c r="AN20" s="588"/>
      <c r="AO20" s="405"/>
      <c r="AP20" s="75"/>
      <c r="AQ20" s="404"/>
      <c r="AR20" s="89"/>
      <c r="AW20" s="255"/>
      <c r="BE20" s="255"/>
      <c r="BF20" s="255"/>
      <c r="BG20" s="254"/>
      <c r="BH20" s="255"/>
      <c r="BI20" s="255"/>
      <c r="BJ20" s="255"/>
      <c r="BK20" s="255"/>
      <c r="BL20" s="255"/>
      <c r="BM20" s="255"/>
      <c r="BN20" s="256"/>
      <c r="BO20" s="255"/>
      <c r="BP20" s="255"/>
      <c r="BQ20" s="255"/>
      <c r="BR20" s="255"/>
    </row>
    <row r="21" spans="1:70" ht="13.5" thickBot="1" x14ac:dyDescent="0.25">
      <c r="B21" s="64"/>
      <c r="C21" s="70"/>
      <c r="D21" s="70"/>
      <c r="E21" s="70"/>
      <c r="F21" s="70"/>
      <c r="G21" s="78"/>
      <c r="H21" s="255"/>
      <c r="I21" s="255"/>
      <c r="J21" s="255"/>
      <c r="L21" s="256"/>
      <c r="W21" s="64"/>
      <c r="X21" s="70"/>
      <c r="Y21" s="70"/>
      <c r="Z21" s="70"/>
      <c r="AA21" s="70"/>
      <c r="AB21" s="78"/>
      <c r="AC21" s="70"/>
      <c r="AF21" s="74"/>
      <c r="AG21" s="65"/>
      <c r="AM21" s="589"/>
      <c r="AN21" s="590"/>
      <c r="AP21" s="54"/>
      <c r="AW21" s="255"/>
      <c r="BE21" s="255"/>
      <c r="BF21" s="255"/>
      <c r="BG21" s="254"/>
      <c r="BH21" s="255"/>
      <c r="BI21" s="255"/>
      <c r="BJ21" s="255"/>
      <c r="BK21" s="255"/>
      <c r="BL21" s="255"/>
      <c r="BM21" s="255"/>
      <c r="BN21" s="256"/>
      <c r="BO21" s="255"/>
      <c r="BP21" s="255"/>
      <c r="BQ21" s="255"/>
      <c r="BR21" s="255"/>
    </row>
    <row r="22" spans="1:70" ht="13.5" thickBot="1" x14ac:dyDescent="0.25">
      <c r="B22" s="504"/>
      <c r="C22" s="83"/>
      <c r="D22" s="82"/>
      <c r="E22" s="452" t="s">
        <v>192</v>
      </c>
      <c r="F22" s="452" t="s">
        <v>193</v>
      </c>
      <c r="G22" s="452" t="s">
        <v>194</v>
      </c>
      <c r="H22" s="257"/>
      <c r="I22" s="257"/>
      <c r="J22" s="257"/>
      <c r="K22" s="83"/>
      <c r="L22" s="505"/>
      <c r="W22" s="64"/>
      <c r="X22" s="70"/>
      <c r="Y22" s="70"/>
      <c r="Z22" s="70">
        <f>18.03*25.4</f>
        <v>457.96199999999999</v>
      </c>
      <c r="AA22" s="70"/>
      <c r="AB22" s="78"/>
      <c r="AC22" s="70"/>
      <c r="AF22" s="74"/>
      <c r="AG22" s="65"/>
      <c r="AK22" s="340" t="s">
        <v>58</v>
      </c>
      <c r="AM22" s="109">
        <v>90</v>
      </c>
      <c r="AN22" s="164">
        <f>FORECAST(AM22,AN18:AN19,AM18:AM19)</f>
        <v>325.83206576481433</v>
      </c>
      <c r="AP22" s="54"/>
      <c r="AW22" s="255"/>
      <c r="AX22" s="255"/>
      <c r="AY22" s="255"/>
      <c r="AZ22" s="255"/>
      <c r="BA22" s="255"/>
      <c r="BB22" s="255"/>
      <c r="BC22" s="255"/>
      <c r="BD22" s="255"/>
      <c r="BE22" s="255"/>
      <c r="BF22" s="255"/>
      <c r="BG22" s="254"/>
      <c r="BH22" s="255"/>
      <c r="BI22" s="255"/>
      <c r="BJ22" s="255"/>
      <c r="BK22" s="255"/>
      <c r="BL22" s="255"/>
      <c r="BM22" s="255"/>
      <c r="BN22" s="256"/>
      <c r="BO22" s="255"/>
      <c r="BP22" s="255"/>
      <c r="BQ22" s="255"/>
      <c r="BR22" s="255"/>
    </row>
    <row r="23" spans="1:70" ht="13.5" thickBot="1" x14ac:dyDescent="0.25">
      <c r="B23" s="375" t="s">
        <v>204</v>
      </c>
      <c r="C23" s="458" t="s">
        <v>195</v>
      </c>
      <c r="D23" s="503"/>
      <c r="E23" s="451">
        <f>+$E$10*(1-$L$17)</f>
        <v>457.78</v>
      </c>
      <c r="F23" s="451">
        <f>+$F$10*(1-$L$17)</f>
        <v>457.78</v>
      </c>
      <c r="G23" s="451">
        <f>+$G$10*(1-$L$17)</f>
        <v>457.78</v>
      </c>
      <c r="H23" s="70"/>
      <c r="I23" s="255"/>
      <c r="J23" s="255"/>
      <c r="K23" s="466" t="s">
        <v>222</v>
      </c>
      <c r="L23" s="443"/>
      <c r="W23" s="64"/>
      <c r="X23" s="66" t="s">
        <v>4</v>
      </c>
      <c r="Y23" s="67"/>
      <c r="Z23" s="552">
        <f>+E23</f>
        <v>457.78</v>
      </c>
      <c r="AA23" s="79"/>
      <c r="AB23" s="80"/>
      <c r="AC23" s="69" t="s">
        <v>59</v>
      </c>
      <c r="AD23" s="68"/>
      <c r="AE23" s="68"/>
      <c r="AF23" s="77"/>
      <c r="AG23" s="65"/>
      <c r="AI23" s="585" t="s">
        <v>39</v>
      </c>
      <c r="AJ23" s="103"/>
      <c r="AK23" s="341">
        <v>5.0000000000000001E-3</v>
      </c>
      <c r="AP23" s="54"/>
      <c r="AW23" s="255"/>
      <c r="AX23" s="255" t="s">
        <v>113</v>
      </c>
      <c r="AY23" s="255"/>
      <c r="AZ23" s="255"/>
      <c r="BA23" s="255"/>
      <c r="BB23" s="255"/>
      <c r="BC23" s="255"/>
      <c r="BD23" s="255"/>
      <c r="BE23" s="255"/>
      <c r="BF23" s="255"/>
      <c r="BG23" s="254"/>
      <c r="BH23" s="255"/>
      <c r="BI23" s="255"/>
      <c r="BJ23" s="255"/>
      <c r="BK23" s="255"/>
      <c r="BL23" s="255"/>
      <c r="BM23" s="255"/>
      <c r="BN23" s="256"/>
      <c r="BO23" s="255"/>
      <c r="BP23" s="255"/>
      <c r="BQ23" s="255"/>
      <c r="BR23" s="255"/>
    </row>
    <row r="24" spans="1:70" ht="12.75" customHeight="1" thickBot="1" x14ac:dyDescent="0.25">
      <c r="A24" s="413" t="s">
        <v>196</v>
      </c>
      <c r="B24" s="64"/>
      <c r="C24" s="375" t="s">
        <v>48</v>
      </c>
      <c r="D24" s="375" t="s">
        <v>49</v>
      </c>
      <c r="E24" s="375" t="s">
        <v>50</v>
      </c>
      <c r="F24" s="375" t="s">
        <v>110</v>
      </c>
      <c r="G24" s="375" t="s">
        <v>51</v>
      </c>
      <c r="H24" s="70"/>
      <c r="I24" s="255"/>
      <c r="J24" s="255"/>
      <c r="K24" s="452" t="s">
        <v>221</v>
      </c>
      <c r="L24" s="397">
        <v>450</v>
      </c>
      <c r="W24" s="64"/>
      <c r="X24" s="25" t="s">
        <v>48</v>
      </c>
      <c r="Y24" s="25" t="s">
        <v>49</v>
      </c>
      <c r="Z24" s="58" t="s">
        <v>50</v>
      </c>
      <c r="AA24" s="25" t="s">
        <v>51</v>
      </c>
      <c r="AB24" s="81"/>
      <c r="AC24" s="82"/>
      <c r="AD24" s="83"/>
      <c r="AE24" s="83"/>
      <c r="AG24" s="65"/>
      <c r="AI24" s="586"/>
      <c r="AJ24" s="103"/>
      <c r="AK24" s="103"/>
      <c r="AP24" s="54"/>
      <c r="AS24" s="57"/>
      <c r="AT24" s="56"/>
      <c r="AU24" s="58"/>
      <c r="AW24" s="255"/>
      <c r="AX24" s="386" t="s">
        <v>41</v>
      </c>
      <c r="AY24" s="387" t="s">
        <v>42</v>
      </c>
      <c r="AZ24" s="387" t="s">
        <v>43</v>
      </c>
      <c r="BA24" s="387" t="s">
        <v>44</v>
      </c>
      <c r="BB24" s="387" t="s">
        <v>45</v>
      </c>
      <c r="BC24" s="387" t="s">
        <v>46</v>
      </c>
      <c r="BD24" s="387" t="s">
        <v>47</v>
      </c>
      <c r="BE24" s="388"/>
      <c r="BF24" s="255"/>
      <c r="BG24" s="254"/>
      <c r="BH24" s="255"/>
      <c r="BI24" s="255"/>
      <c r="BJ24" s="255"/>
      <c r="BK24" s="255"/>
      <c r="BL24" s="255"/>
      <c r="BM24" s="255"/>
      <c r="BN24" s="256"/>
      <c r="BO24" s="255"/>
      <c r="BP24" s="255"/>
      <c r="BQ24" s="255"/>
      <c r="BR24" s="255"/>
    </row>
    <row r="25" spans="1:70" ht="12.75" customHeight="1" x14ac:dyDescent="0.2">
      <c r="A25" s="524">
        <v>0</v>
      </c>
      <c r="B25" s="169"/>
      <c r="C25" s="445">
        <f t="shared" ref="C25:C32" si="15">C12*($E$23/$E$10)^$L$25</f>
        <v>0</v>
      </c>
      <c r="D25" s="445">
        <f t="shared" ref="D25:D32" si="16">D12*($E$23/$E$10)^$L$26</f>
        <v>197.19420392980311</v>
      </c>
      <c r="E25" s="488">
        <v>3600</v>
      </c>
      <c r="F25" s="53">
        <f t="shared" ref="F25:F32" si="17">C12*($Z$23/$Z$10)^$L$27</f>
        <v>0</v>
      </c>
      <c r="G25" s="343">
        <f>$G$30*F12/$F$17</f>
        <v>0</v>
      </c>
      <c r="H25" s="70"/>
      <c r="I25" s="255"/>
      <c r="J25" s="255"/>
      <c r="K25" s="452" t="s">
        <v>218</v>
      </c>
      <c r="L25" s="551">
        <v>0.4</v>
      </c>
      <c r="W25" s="169"/>
      <c r="X25" s="445">
        <f t="shared" ref="X25:X32" si="18">X12*($Z$23/$Z$10)^$L$25</f>
        <v>0</v>
      </c>
      <c r="Y25" s="445">
        <f>Y12*($Z$23/$Z$10)^$L$26</f>
        <v>197.19420392980314</v>
      </c>
      <c r="Z25" s="444">
        <f>+E25</f>
        <v>3600</v>
      </c>
      <c r="AA25" s="572">
        <v>0</v>
      </c>
      <c r="AB25" s="78"/>
      <c r="AG25" s="65"/>
      <c r="AI25" s="105"/>
      <c r="AJ25" s="316"/>
      <c r="AM25" s="607" t="s">
        <v>60</v>
      </c>
      <c r="AN25" s="609" t="s">
        <v>61</v>
      </c>
      <c r="AO25" s="610"/>
      <c r="AW25" s="255"/>
      <c r="AX25" s="395" cm="1">
        <f t="array" ref="AX25:BD25">LINEST(F12:F19,C12:C19^{1,2,3,4,5,6})</f>
        <v>1.2047809850015157E-22</v>
      </c>
      <c r="AY25" s="370">
        <v>-6.2740615579646803E-18</v>
      </c>
      <c r="AZ25" s="370">
        <v>1.2062351156024619E-13</v>
      </c>
      <c r="BA25" s="370">
        <v>-1.0534790696542643E-9</v>
      </c>
      <c r="BB25" s="370">
        <v>3.4457878661751261E-6</v>
      </c>
      <c r="BC25" s="370">
        <v>9.4375288422805549E-3</v>
      </c>
      <c r="BD25" s="370">
        <v>-6.4712853677519888E-3</v>
      </c>
      <c r="BE25" s="390">
        <v>6</v>
      </c>
      <c r="BF25" s="255"/>
      <c r="BG25" s="254"/>
      <c r="BH25" s="255"/>
      <c r="BI25" s="255"/>
      <c r="BJ25" s="255"/>
      <c r="BK25" s="255"/>
      <c r="BL25" s="255"/>
      <c r="BM25" s="255"/>
      <c r="BN25" s="256"/>
      <c r="BO25" s="255"/>
      <c r="BP25" s="255"/>
      <c r="BQ25" s="255"/>
      <c r="BR25" s="255"/>
    </row>
    <row r="26" spans="1:70" x14ac:dyDescent="0.2">
      <c r="A26" s="524">
        <f>$X$13/C30</f>
        <v>0.20501179786333079</v>
      </c>
      <c r="B26" s="169"/>
      <c r="C26" s="445">
        <f t="shared" si="15"/>
        <v>2311.8669507789064</v>
      </c>
      <c r="D26" s="445">
        <f t="shared" si="16"/>
        <v>171.16213631105873</v>
      </c>
      <c r="E26" s="343">
        <f>Z26</f>
        <v>3276.6412389103807</v>
      </c>
      <c r="F26" s="53">
        <f t="shared" si="17"/>
        <v>2255.3501553311494</v>
      </c>
      <c r="G26" s="343">
        <f>$G$30*F13/$F$17</f>
        <v>30.836644868471879</v>
      </c>
      <c r="H26" s="70"/>
      <c r="I26" s="255"/>
      <c r="J26" s="255"/>
      <c r="K26" s="452" t="s">
        <v>219</v>
      </c>
      <c r="L26" s="551">
        <v>1.8</v>
      </c>
      <c r="W26" s="169"/>
      <c r="X26" s="445">
        <f t="shared" si="18"/>
        <v>2311.8669507789064</v>
      </c>
      <c r="Y26" s="445">
        <f t="shared" ref="Y26:Y32" si="19">Y13*($Z$23/$Z$10)^$L$26</f>
        <v>171.16213631105879</v>
      </c>
      <c r="Z26" s="444">
        <f>1000*9.81/3600*X26*Y26/AA26/10</f>
        <v>3276.6412389103807</v>
      </c>
      <c r="AA26" s="343">
        <f t="shared" ref="AA26:AA32" si="20">$BD$56+$BC$56*X26+$BB$56*X26^2+$BA$56*X26^3+$AZ$56*X26^4+$AY$56*X26^5+$AX$56*X26^6</f>
        <v>32.90850465981169</v>
      </c>
      <c r="AB26" s="78"/>
      <c r="AD26" s="316"/>
      <c r="AG26" s="65"/>
      <c r="AI26" s="105">
        <f>+AI13</f>
        <v>0.35001867047073643</v>
      </c>
      <c r="AJ26" s="316"/>
      <c r="AM26" s="608"/>
      <c r="AN26" s="611"/>
      <c r="AO26" s="612"/>
      <c r="AW26" s="255"/>
      <c r="AX26" s="395"/>
      <c r="AY26" s="370" cm="1">
        <f t="array" ref="AY26:BD26">LINEST(F12:F19,C12:C19^{1,2,3,4,5})</f>
        <v>-6.2490834487799402E-19</v>
      </c>
      <c r="AZ26" s="370">
        <v>2.0993069175584503E-14</v>
      </c>
      <c r="BA26" s="370">
        <v>-2.4053176196676835E-10</v>
      </c>
      <c r="BB26" s="370">
        <v>4.4759678353160919E-7</v>
      </c>
      <c r="BC26" s="370">
        <v>1.3303045033175769E-2</v>
      </c>
      <c r="BD26" s="370">
        <v>-7.0387372073525967E-2</v>
      </c>
      <c r="BE26" s="391">
        <v>5</v>
      </c>
      <c r="BF26" s="255"/>
      <c r="BG26" s="254"/>
      <c r="BH26" s="255"/>
      <c r="BI26" s="255"/>
      <c r="BJ26" s="255"/>
      <c r="BK26" s="255"/>
      <c r="BL26" s="255"/>
      <c r="BM26" s="255"/>
      <c r="BN26" s="256"/>
      <c r="BO26" s="255"/>
      <c r="BP26" s="255"/>
      <c r="BQ26" s="255"/>
      <c r="BR26" s="255"/>
    </row>
    <row r="27" spans="1:70" ht="13.5" thickBot="1" x14ac:dyDescent="0.25">
      <c r="A27" s="524">
        <f>$X$14/C30</f>
        <v>0.41002359572666158</v>
      </c>
      <c r="B27" s="169"/>
      <c r="C27" s="445">
        <f t="shared" si="15"/>
        <v>4623.7339015578127</v>
      </c>
      <c r="D27" s="445">
        <f t="shared" si="16"/>
        <v>152.71330285847543</v>
      </c>
      <c r="E27" s="343">
        <f t="shared" ref="E27:E32" si="21">Z27</f>
        <v>3420.1511565540445</v>
      </c>
      <c r="F27" s="53">
        <f t="shared" si="17"/>
        <v>4510.7003106622988</v>
      </c>
      <c r="G27" s="343">
        <f>$G$30*F14/$F$17</f>
        <v>57.036320722976839</v>
      </c>
      <c r="H27" s="70"/>
      <c r="I27" s="255"/>
      <c r="J27" s="255"/>
      <c r="K27" s="452" t="s">
        <v>220</v>
      </c>
      <c r="L27" s="551">
        <v>0.8</v>
      </c>
      <c r="W27" s="169"/>
      <c r="X27" s="445">
        <f t="shared" si="18"/>
        <v>4623.7339015578127</v>
      </c>
      <c r="Y27" s="445">
        <f t="shared" si="19"/>
        <v>152.71330285847552</v>
      </c>
      <c r="Z27" s="444">
        <f t="shared" ref="Z27:Z32" si="22">1000*9.81/3600*X27*Y27/AA27/10</f>
        <v>3420.1511565540445</v>
      </c>
      <c r="AA27" s="343">
        <f t="shared" si="20"/>
        <v>56.258857519996639</v>
      </c>
      <c r="AB27" s="58"/>
      <c r="AD27" s="316"/>
      <c r="AE27" s="58"/>
      <c r="AG27" s="65"/>
      <c r="AI27" s="105">
        <f t="shared" ref="AI27:AI32" si="23">+AI14</f>
        <v>0.64740432148668381</v>
      </c>
      <c r="AJ27" s="316"/>
      <c r="AM27" s="99"/>
      <c r="AN27" s="60" t="s">
        <v>62</v>
      </c>
      <c r="AO27" s="100" t="s">
        <v>63</v>
      </c>
      <c r="AS27" s="76"/>
      <c r="AW27" s="255"/>
      <c r="AX27" s="395"/>
      <c r="AY27" s="370"/>
      <c r="AZ27" s="370" cm="1">
        <f t="array" ref="AZ27:BD27">LINEST(F12:F19,C12:C19^{1,2,3,4})</f>
        <v>-3.2866072693963598E-15</v>
      </c>
      <c r="BA27" s="370">
        <v>8.8522586525874622E-11</v>
      </c>
      <c r="BB27" s="370">
        <v>-1.3538484616683621E-6</v>
      </c>
      <c r="BC27" s="370">
        <v>1.6579701024594929E-2</v>
      </c>
      <c r="BD27" s="370">
        <v>-0.35782661858129927</v>
      </c>
      <c r="BE27" s="391">
        <v>4</v>
      </c>
      <c r="BF27" s="255"/>
      <c r="BG27" s="254"/>
      <c r="BH27" s="255"/>
      <c r="BI27" s="255"/>
      <c r="BJ27" s="255"/>
      <c r="BK27" s="255"/>
      <c r="BL27" s="255"/>
      <c r="BM27" s="255"/>
      <c r="BN27" s="256"/>
      <c r="BO27" s="255"/>
      <c r="BP27" s="255"/>
      <c r="BQ27" s="255"/>
      <c r="BR27" s="255"/>
    </row>
    <row r="28" spans="1:70" ht="12.75" customHeight="1" thickBot="1" x14ac:dyDescent="0.25">
      <c r="A28" s="524">
        <f>$X$15/C30</f>
        <v>0.61503539358999226</v>
      </c>
      <c r="B28" s="169"/>
      <c r="C28" s="445">
        <f t="shared" si="15"/>
        <v>6935.6008523367182</v>
      </c>
      <c r="D28" s="445">
        <f t="shared" si="16"/>
        <v>139.96551229503166</v>
      </c>
      <c r="E28" s="343">
        <f t="shared" si="21"/>
        <v>3615.2372757310272</v>
      </c>
      <c r="F28" s="53">
        <f>C15*($Z$23/$Z$10)^$L$27</f>
        <v>6766.0504659934477</v>
      </c>
      <c r="G28" s="343">
        <f>$G$30*F15/$F$17</f>
        <v>71.82563944263056</v>
      </c>
      <c r="H28" s="70"/>
      <c r="I28" s="255"/>
      <c r="J28" s="255"/>
      <c r="L28" s="256"/>
      <c r="W28" s="169">
        <f t="shared" ref="W28" si="24">($Y$25-Y28)/Y28</f>
        <v>0.40887709190918253</v>
      </c>
      <c r="X28" s="445">
        <f t="shared" si="18"/>
        <v>6935.6008523367182</v>
      </c>
      <c r="Y28" s="445">
        <f t="shared" si="19"/>
        <v>139.96551229503166</v>
      </c>
      <c r="Z28" s="444">
        <f t="shared" si="22"/>
        <v>3615.2372757310272</v>
      </c>
      <c r="AA28" s="343">
        <f t="shared" si="20"/>
        <v>73.170299004137576</v>
      </c>
      <c r="AB28" s="75"/>
      <c r="AD28" s="316"/>
      <c r="AE28" s="404"/>
      <c r="AG28" s="65"/>
      <c r="AI28" s="105">
        <f t="shared" si="23"/>
        <v>0.81527400048388832</v>
      </c>
      <c r="AJ28" s="316"/>
      <c r="AM28" s="97">
        <f>1-Z10/$Z$10</f>
        <v>0</v>
      </c>
      <c r="AN28" s="95">
        <v>0</v>
      </c>
      <c r="AO28" s="206">
        <v>0</v>
      </c>
      <c r="AP28" s="591" t="s">
        <v>64</v>
      </c>
      <c r="AQ28" s="592"/>
      <c r="AR28" s="211"/>
      <c r="AS28" s="209"/>
      <c r="AW28" s="255"/>
      <c r="AX28" s="395"/>
      <c r="AY28" s="370"/>
      <c r="AZ28" s="370"/>
      <c r="BA28" s="370" cm="1">
        <f t="array" ref="BA28:BD28">LINEST(F12:F19,C12:C19^{1,2,3})</f>
        <v>-1.3258417785505252E-11</v>
      </c>
      <c r="BB28" s="370">
        <v>-3.7563428657286508E-7</v>
      </c>
      <c r="BC28" s="370">
        <v>1.3661598195571062E-2</v>
      </c>
      <c r="BD28" s="370">
        <v>0.52096390986773145</v>
      </c>
      <c r="BE28" s="390">
        <v>3</v>
      </c>
      <c r="BF28" s="255"/>
      <c r="BG28" s="254"/>
      <c r="BH28" s="255"/>
      <c r="BI28" s="255"/>
      <c r="BJ28" s="255"/>
      <c r="BK28" s="255"/>
      <c r="BL28" s="255"/>
      <c r="BM28" s="255"/>
      <c r="BN28" s="256"/>
      <c r="BO28" s="255"/>
      <c r="BP28" s="255"/>
      <c r="BQ28" s="255"/>
      <c r="BR28" s="255"/>
    </row>
    <row r="29" spans="1:70" ht="12.75" customHeight="1" x14ac:dyDescent="0.2">
      <c r="A29" s="524">
        <f>$X$16/C30</f>
        <v>0.82004719145332317</v>
      </c>
      <c r="B29" s="169"/>
      <c r="C29" s="445">
        <f t="shared" si="15"/>
        <v>9247.4678031156254</v>
      </c>
      <c r="D29" s="445">
        <f t="shared" si="16"/>
        <v>128.81312308176982</v>
      </c>
      <c r="E29" s="343">
        <f t="shared" si="21"/>
        <v>3846.6248275032567</v>
      </c>
      <c r="F29" s="53">
        <f t="shared" si="17"/>
        <v>9021.4006213245975</v>
      </c>
      <c r="G29" s="343">
        <f>$G$30*F16/$F$17</f>
        <v>82.738779093758751</v>
      </c>
      <c r="H29" s="70"/>
      <c r="I29" s="255"/>
      <c r="J29" s="255"/>
      <c r="L29" s="256"/>
      <c r="W29" s="169">
        <f>($Y$25-Y29)/Y29</f>
        <v>0.53085492543042623</v>
      </c>
      <c r="X29" s="445">
        <f t="shared" si="18"/>
        <v>9247.4678031156254</v>
      </c>
      <c r="Y29" s="445">
        <f t="shared" si="19"/>
        <v>128.81312308176987</v>
      </c>
      <c r="Z29" s="444">
        <f t="shared" si="22"/>
        <v>3846.6248275032567</v>
      </c>
      <c r="AA29" s="343">
        <f t="shared" si="20"/>
        <v>84.385847027663317</v>
      </c>
      <c r="AB29" s="75"/>
      <c r="AD29" s="316"/>
      <c r="AE29" s="404"/>
      <c r="AG29" s="65"/>
      <c r="AI29" s="105">
        <f t="shared" si="23"/>
        <v>0.93914618721633092</v>
      </c>
      <c r="AJ29" s="316"/>
      <c r="AM29" s="97">
        <f>1-Z23/$Z$10</f>
        <v>6.0000000000000053E-2</v>
      </c>
      <c r="AN29" s="95">
        <f>1-G30/$F$17</f>
        <v>5.2695203718748918E-3</v>
      </c>
      <c r="AO29" s="206">
        <f>AM29^2*$AP$29+AM29*$AP$30+$AP$31</f>
        <v>5.2695203718748918E-3</v>
      </c>
      <c r="AP29" s="280">
        <f>AM34</f>
        <v>0.67948777730975252</v>
      </c>
      <c r="AQ29" s="409" t="s">
        <v>65</v>
      </c>
      <c r="AR29" s="211"/>
      <c r="AS29" s="209"/>
      <c r="AW29" s="255"/>
      <c r="AX29" s="395"/>
      <c r="AY29" s="370"/>
      <c r="AZ29" s="370"/>
      <c r="BA29" s="370"/>
      <c r="BB29" s="370" cm="1">
        <f t="array" ref="BB29:BD29">LINEST(F12:F19,C12:C19^{1,2})</f>
        <v>-6.815882824664923E-7</v>
      </c>
      <c r="BC29" s="370">
        <v>1.5421734192778081E-2</v>
      </c>
      <c r="BD29" s="370">
        <v>-0.91197682466199836</v>
      </c>
      <c r="BE29" s="390">
        <v>2</v>
      </c>
      <c r="BF29" s="255"/>
      <c r="BG29" s="254"/>
      <c r="BH29" s="255"/>
      <c r="BI29" s="255"/>
      <c r="BJ29" s="255"/>
      <c r="BK29" s="255"/>
      <c r="BL29" s="255"/>
      <c r="BM29" s="255"/>
      <c r="BN29" s="256"/>
      <c r="BO29" s="255"/>
      <c r="BP29" s="255"/>
      <c r="BQ29" s="255"/>
      <c r="BR29" s="255"/>
    </row>
    <row r="30" spans="1:70" x14ac:dyDescent="0.2">
      <c r="A30" s="524">
        <v>1</v>
      </c>
      <c r="B30" s="169"/>
      <c r="C30" s="445">
        <f t="shared" si="15"/>
        <v>11559.334753894531</v>
      </c>
      <c r="D30" s="445">
        <f t="shared" si="16"/>
        <v>112.92704341779654</v>
      </c>
      <c r="E30" s="343">
        <f t="shared" si="21"/>
        <v>4046.0162872499059</v>
      </c>
      <c r="F30" s="53">
        <f t="shared" si="17"/>
        <v>11276.750776655746</v>
      </c>
      <c r="G30" s="462">
        <v>88.1</v>
      </c>
      <c r="H30" s="70"/>
      <c r="I30" s="255"/>
      <c r="J30" s="255"/>
      <c r="L30" s="256"/>
      <c r="W30" s="169">
        <f>($Y$25-Y30)/Y30</f>
        <v>0.74620886159432243</v>
      </c>
      <c r="X30" s="445">
        <f t="shared" si="18"/>
        <v>11559.334753894531</v>
      </c>
      <c r="Y30" s="445">
        <f t="shared" si="19"/>
        <v>112.92704341779655</v>
      </c>
      <c r="Z30" s="444">
        <f t="shared" si="22"/>
        <v>4046.0162872499059</v>
      </c>
      <c r="AA30" s="343">
        <f t="shared" si="20"/>
        <v>87.916355953923741</v>
      </c>
      <c r="AB30" s="75"/>
      <c r="AD30" s="316"/>
      <c r="AE30" s="404"/>
      <c r="AG30" s="65"/>
      <c r="AI30" s="105">
        <f t="shared" si="23"/>
        <v>1</v>
      </c>
      <c r="AJ30" s="316"/>
      <c r="AK30" s="316"/>
      <c r="AM30" s="97">
        <f>1-Z36/$Z$10</f>
        <v>6.0000000000000053E-2</v>
      </c>
      <c r="AN30" s="95">
        <f>1-G43/$F$17</f>
        <v>5.2695203718748918E-3</v>
      </c>
      <c r="AO30" s="206">
        <f>AM30^2*$AP$29+AM30*$AP$30+$AP$31</f>
        <v>5.2695203718748918E-3</v>
      </c>
      <c r="AP30" s="281">
        <f>AN34</f>
        <v>4.7056072892662955E-2</v>
      </c>
      <c r="AQ30" s="203" t="s">
        <v>66</v>
      </c>
      <c r="AR30" s="211"/>
      <c r="AS30" s="210"/>
      <c r="AW30" s="255"/>
      <c r="AX30" s="64" t="s">
        <v>112</v>
      </c>
      <c r="AY30" s="255"/>
      <c r="AZ30" s="255"/>
      <c r="BA30" s="255"/>
      <c r="BB30" s="255"/>
      <c r="BC30" s="255"/>
      <c r="BD30" s="255"/>
      <c r="BE30" s="256"/>
      <c r="BF30" s="255"/>
      <c r="BG30" s="254"/>
      <c r="BH30" s="255"/>
      <c r="BI30" s="255"/>
      <c r="BJ30" s="255"/>
      <c r="BK30" s="255"/>
      <c r="BL30" s="255"/>
      <c r="BM30" s="255"/>
      <c r="BN30" s="256"/>
      <c r="BO30" s="255"/>
      <c r="BP30" s="255"/>
      <c r="BQ30" s="255"/>
      <c r="BR30" s="255"/>
    </row>
    <row r="31" spans="1:70" ht="12.75" customHeight="1" thickBot="1" x14ac:dyDescent="0.25">
      <c r="A31" s="524">
        <f>C31/C30</f>
        <v>1.1499999999999999</v>
      </c>
      <c r="B31" s="169"/>
      <c r="C31" s="445">
        <f t="shared" si="15"/>
        <v>13293.234966978709</v>
      </c>
      <c r="D31" s="445">
        <f t="shared" si="16"/>
        <v>92.844707245503557</v>
      </c>
      <c r="E31" s="343">
        <f t="shared" si="21"/>
        <v>4062.661154769743</v>
      </c>
      <c r="F31" s="53">
        <f t="shared" si="17"/>
        <v>12968.263393154108</v>
      </c>
      <c r="G31" s="343">
        <f>$G$30*F18/$F$17</f>
        <v>85.0494560082047</v>
      </c>
      <c r="H31" s="70"/>
      <c r="I31" s="255"/>
      <c r="J31" s="255"/>
      <c r="L31" s="256"/>
      <c r="W31" s="169"/>
      <c r="X31" s="445">
        <f t="shared" si="18"/>
        <v>13293.234966978709</v>
      </c>
      <c r="Y31" s="445">
        <f t="shared" si="19"/>
        <v>92.844707245503585</v>
      </c>
      <c r="Z31" s="444">
        <f t="shared" si="22"/>
        <v>4062.661154769743</v>
      </c>
      <c r="AA31" s="343">
        <f t="shared" si="20"/>
        <v>82.783491128243654</v>
      </c>
      <c r="AB31" s="75"/>
      <c r="AD31" s="316"/>
      <c r="AE31" s="404"/>
      <c r="AG31" s="65"/>
      <c r="AI31" s="105">
        <f t="shared" si="23"/>
        <v>0.96537407500799888</v>
      </c>
      <c r="AJ31" s="316"/>
      <c r="AK31" s="316"/>
      <c r="AM31" s="98">
        <f>1-Z49/$Z$10</f>
        <v>0.12</v>
      </c>
      <c r="AN31" s="96">
        <f>1-G56/$F$17</f>
        <v>1.5431352740379989E-2</v>
      </c>
      <c r="AO31" s="206">
        <f>AM31^2*$AP$29+AM31*$AP$30+$AP$31</f>
        <v>1.5431352740379991E-2</v>
      </c>
      <c r="AP31" s="282">
        <f>AO34</f>
        <v>-1.3010426069826053E-18</v>
      </c>
      <c r="AQ31" s="204" t="s">
        <v>67</v>
      </c>
      <c r="AR31" s="211"/>
      <c r="AS31" s="209"/>
      <c r="AW31" s="255"/>
      <c r="AX31" s="396" t="str">
        <f>+AX18</f>
        <v>c6</v>
      </c>
      <c r="AY31" s="371" t="str">
        <f t="shared" ref="AY31:BD31" si="25">+AY18</f>
        <v>c5</v>
      </c>
      <c r="AZ31" s="371" t="str">
        <f t="shared" si="25"/>
        <v>c4</v>
      </c>
      <c r="BA31" s="371" t="str">
        <f t="shared" si="25"/>
        <v>c3</v>
      </c>
      <c r="BB31" s="371" t="str">
        <f t="shared" si="25"/>
        <v>c2</v>
      </c>
      <c r="BC31" s="371" t="str">
        <f t="shared" si="25"/>
        <v>c1</v>
      </c>
      <c r="BD31" s="371" t="str">
        <f t="shared" si="25"/>
        <v>c0</v>
      </c>
      <c r="BE31" s="256"/>
      <c r="BF31" s="255"/>
      <c r="BG31" s="254"/>
      <c r="BH31" s="255"/>
      <c r="BI31" s="255"/>
      <c r="BJ31" s="255"/>
      <c r="BK31" s="255"/>
      <c r="BL31" s="255"/>
      <c r="BM31" s="255"/>
      <c r="BN31" s="256"/>
      <c r="BO31" s="255"/>
      <c r="BP31" s="255"/>
      <c r="BQ31" s="255"/>
      <c r="BR31" s="255"/>
    </row>
    <row r="32" spans="1:70" ht="13.5" thickBot="1" x14ac:dyDescent="0.25">
      <c r="A32" s="524">
        <f>C32/C30</f>
        <v>1.3</v>
      </c>
      <c r="B32" s="169"/>
      <c r="C32" s="445">
        <f t="shared" si="15"/>
        <v>15027.135180062891</v>
      </c>
      <c r="D32" s="445">
        <f t="shared" si="16"/>
        <v>60.905593883314864</v>
      </c>
      <c r="E32" s="343">
        <f t="shared" si="21"/>
        <v>3682.4202876190989</v>
      </c>
      <c r="F32" s="53">
        <f t="shared" si="17"/>
        <v>14659.776009652471</v>
      </c>
      <c r="G32" s="343">
        <f>$G$30*F19/$F$17</f>
        <v>71.620594533225017</v>
      </c>
      <c r="H32" s="70"/>
      <c r="I32" s="255"/>
      <c r="J32" s="255"/>
      <c r="L32" s="256"/>
      <c r="W32" s="169"/>
      <c r="X32" s="445">
        <f t="shared" si="18"/>
        <v>15027.135180062891</v>
      </c>
      <c r="Y32" s="445">
        <f t="shared" si="19"/>
        <v>60.905593883314914</v>
      </c>
      <c r="Z32" s="444">
        <f t="shared" si="22"/>
        <v>3682.4202876190989</v>
      </c>
      <c r="AA32" s="343">
        <f t="shared" si="20"/>
        <v>67.727731214325189</v>
      </c>
      <c r="AB32" s="88"/>
      <c r="AC32" s="68"/>
      <c r="AD32" s="68"/>
      <c r="AE32" s="411"/>
      <c r="AG32" s="65"/>
      <c r="AI32" s="105">
        <f t="shared" si="23"/>
        <v>0.8129465894804202</v>
      </c>
      <c r="AJ32" s="316"/>
      <c r="AK32" s="316"/>
      <c r="AO32" s="405"/>
      <c r="AP32" s="54"/>
      <c r="AS32" s="90"/>
      <c r="AT32" s="90"/>
      <c r="AU32" s="404"/>
      <c r="AW32" s="255"/>
      <c r="AX32" s="393">
        <f t="shared" ref="AX32:BD32" si="26">+_xlfn.XLOOKUP($K$2,$BE$25:$BE$29,AX25:AX29)</f>
        <v>0</v>
      </c>
      <c r="AY32" s="394">
        <f t="shared" si="26"/>
        <v>0</v>
      </c>
      <c r="AZ32" s="394">
        <f t="shared" si="26"/>
        <v>-3.2866072693963598E-15</v>
      </c>
      <c r="BA32" s="394">
        <f t="shared" si="26"/>
        <v>8.8522586525874622E-11</v>
      </c>
      <c r="BB32" s="394">
        <f t="shared" si="26"/>
        <v>-1.3538484616683621E-6</v>
      </c>
      <c r="BC32" s="394">
        <f t="shared" si="26"/>
        <v>1.6579701024594929E-2</v>
      </c>
      <c r="BD32" s="394">
        <f t="shared" si="26"/>
        <v>-0.35782661858129927</v>
      </c>
      <c r="BE32" s="278"/>
      <c r="BF32" s="255"/>
      <c r="BG32" s="254"/>
      <c r="BH32" s="255"/>
      <c r="BI32" s="255"/>
      <c r="BJ32" s="255"/>
      <c r="BK32" s="255"/>
      <c r="BL32" s="255"/>
      <c r="BM32" s="255"/>
      <c r="BN32" s="256"/>
      <c r="BO32" s="255"/>
      <c r="BP32" s="255"/>
      <c r="BQ32" s="255"/>
      <c r="BR32" s="255"/>
    </row>
    <row r="33" spans="1:70" x14ac:dyDescent="0.2">
      <c r="B33" s="64"/>
      <c r="C33" s="70"/>
      <c r="D33" s="70"/>
      <c r="E33" s="70"/>
      <c r="F33" s="70"/>
      <c r="G33" s="78"/>
      <c r="H33" s="70"/>
      <c r="I33" s="255"/>
      <c r="J33" s="255"/>
      <c r="K33" s="74"/>
      <c r="L33" s="256"/>
      <c r="W33" s="64"/>
      <c r="X33" s="70"/>
      <c r="Y33" s="70"/>
      <c r="Z33" s="70"/>
      <c r="AA33" s="70"/>
      <c r="AB33" s="78"/>
      <c r="AC33" s="70"/>
      <c r="AF33" s="74"/>
      <c r="AG33" s="65"/>
      <c r="AJ33" s="316"/>
      <c r="AK33" s="316"/>
      <c r="AM33" s="1" t="s">
        <v>68</v>
      </c>
      <c r="AN33" s="2"/>
      <c r="AO33" s="412"/>
      <c r="AR33" s="405"/>
      <c r="AS33" s="89"/>
      <c r="AT33" s="404"/>
      <c r="AU33" s="404"/>
      <c r="AW33" s="255"/>
      <c r="AY33" s="255"/>
      <c r="AZ33" s="255"/>
      <c r="BA33" s="255"/>
      <c r="BB33" s="255"/>
      <c r="BC33" s="255"/>
      <c r="BD33" s="255"/>
      <c r="BE33" s="255"/>
      <c r="BF33" s="255"/>
      <c r="BG33" s="254"/>
      <c r="BH33" s="255"/>
      <c r="BI33" s="255"/>
      <c r="BJ33" s="255"/>
      <c r="BK33" s="255"/>
      <c r="BL33" s="255"/>
      <c r="BM33" s="255"/>
      <c r="BN33" s="256"/>
      <c r="BO33" s="255"/>
      <c r="BP33" s="255"/>
      <c r="BQ33" s="255"/>
      <c r="BR33" s="255"/>
    </row>
    <row r="34" spans="1:70" x14ac:dyDescent="0.2">
      <c r="B34" s="556"/>
      <c r="C34" s="79"/>
      <c r="D34" s="79"/>
      <c r="E34" s="79"/>
      <c r="F34" s="79"/>
      <c r="G34" s="80"/>
      <c r="H34" s="79"/>
      <c r="I34" s="261"/>
      <c r="J34" s="261"/>
      <c r="K34" s="77"/>
      <c r="L34" s="557"/>
      <c r="W34" s="64"/>
      <c r="X34" s="70"/>
      <c r="Y34" s="70"/>
      <c r="Z34" s="70"/>
      <c r="AA34" s="70"/>
      <c r="AB34" s="78"/>
      <c r="AC34" s="70"/>
      <c r="AF34" s="74"/>
      <c r="AG34" s="65"/>
      <c r="AM34" s="274">
        <f t="array" ref="AM34:AO34">LINEST(AN28:AN31,AM28:AM31^{1,2})</f>
        <v>0.67948777730975252</v>
      </c>
      <c r="AN34" s="275">
        <v>4.7056072892662955E-2</v>
      </c>
      <c r="AO34" s="276">
        <v>-1.3010426069826053E-18</v>
      </c>
      <c r="AR34" s="405"/>
      <c r="AS34" s="89"/>
      <c r="AT34" s="404"/>
      <c r="AU34" s="404"/>
      <c r="AW34" s="25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4"/>
      <c r="BH34" s="255"/>
      <c r="BI34" s="255"/>
      <c r="BJ34" s="255"/>
      <c r="BK34" s="255"/>
      <c r="BL34" s="255"/>
      <c r="BM34" s="255"/>
      <c r="BN34" s="256"/>
      <c r="BO34" s="255"/>
      <c r="BP34" s="255"/>
      <c r="BQ34" s="255"/>
      <c r="BR34" s="255"/>
    </row>
    <row r="35" spans="1:70" ht="13.5" thickBot="1" x14ac:dyDescent="0.25">
      <c r="B35" s="504"/>
      <c r="C35" s="83"/>
      <c r="D35" s="82"/>
      <c r="E35" s="452" t="s">
        <v>192</v>
      </c>
      <c r="F35" s="452" t="s">
        <v>193</v>
      </c>
      <c r="G35" s="452" t="s">
        <v>194</v>
      </c>
      <c r="H35" s="82"/>
      <c r="I35" s="257"/>
      <c r="J35" s="257"/>
      <c r="K35" s="84"/>
      <c r="L35" s="505"/>
      <c r="W35" s="64"/>
      <c r="X35" s="70"/>
      <c r="Y35" s="70"/>
      <c r="Z35" s="70"/>
      <c r="AA35" s="70"/>
      <c r="AB35" s="78"/>
      <c r="AC35" s="70"/>
      <c r="AF35" s="74"/>
      <c r="AG35" s="65"/>
      <c r="AM35" s="601" t="s">
        <v>69</v>
      </c>
      <c r="AN35" s="602"/>
      <c r="AO35" s="603"/>
      <c r="AR35" s="405"/>
      <c r="AS35" s="89"/>
      <c r="AT35" s="404"/>
      <c r="AU35" s="404"/>
      <c r="AW35" s="255"/>
      <c r="AX35" s="255"/>
      <c r="AY35" s="255"/>
      <c r="AZ35" s="255"/>
      <c r="BA35" s="255"/>
      <c r="BB35" s="255"/>
      <c r="BC35" s="255"/>
      <c r="BD35" s="255"/>
      <c r="BE35" s="255"/>
      <c r="BF35" s="255"/>
      <c r="BG35" s="254"/>
      <c r="BH35" s="255"/>
      <c r="BI35" s="255"/>
      <c r="BJ35" s="255"/>
      <c r="BK35" s="255"/>
      <c r="BL35" s="255"/>
      <c r="BM35" s="255"/>
      <c r="BN35" s="256"/>
      <c r="BO35" s="255"/>
      <c r="BP35" s="255"/>
      <c r="BQ35" s="255"/>
      <c r="BR35" s="255"/>
    </row>
    <row r="36" spans="1:70" ht="13.5" thickBot="1" x14ac:dyDescent="0.25">
      <c r="B36" s="375" t="s">
        <v>205</v>
      </c>
      <c r="C36" s="458" t="s">
        <v>195</v>
      </c>
      <c r="D36" s="503"/>
      <c r="E36" s="451">
        <f>+E10*(1-L18)</f>
        <v>457.78</v>
      </c>
      <c r="F36" s="451">
        <f>+F10*(1-L18)</f>
        <v>457.78</v>
      </c>
      <c r="G36" s="451">
        <f>+G10*(1-L18)</f>
        <v>457.78</v>
      </c>
      <c r="I36" s="255"/>
      <c r="J36" s="255"/>
      <c r="K36" s="255"/>
      <c r="L36" s="256"/>
      <c r="W36" s="64"/>
      <c r="X36" s="66" t="s">
        <v>4</v>
      </c>
      <c r="Y36" s="67"/>
      <c r="Z36" s="552">
        <f>+E36</f>
        <v>457.78</v>
      </c>
      <c r="AA36" s="79"/>
      <c r="AB36" s="80"/>
      <c r="AC36" s="69"/>
      <c r="AD36" s="68"/>
      <c r="AE36" s="68"/>
      <c r="AF36" s="77"/>
      <c r="AG36" s="65"/>
      <c r="AI36" s="585" t="s">
        <v>39</v>
      </c>
      <c r="AJ36" s="103"/>
      <c r="AK36" s="103"/>
      <c r="AM36" s="604"/>
      <c r="AN36" s="605"/>
      <c r="AO36" s="606"/>
      <c r="AR36" s="405"/>
      <c r="AS36" s="89"/>
      <c r="AT36" s="404"/>
      <c r="AU36" s="404"/>
      <c r="AW36" s="255"/>
      <c r="AX36" s="255" t="s">
        <v>114</v>
      </c>
      <c r="AY36" s="255"/>
      <c r="AZ36" s="255"/>
      <c r="BA36" s="255"/>
      <c r="BB36" s="255"/>
      <c r="BC36" s="255"/>
      <c r="BD36" s="255"/>
      <c r="BE36" s="255"/>
      <c r="BF36" s="255"/>
      <c r="BG36" s="254"/>
      <c r="BH36" s="255"/>
      <c r="BI36" s="255"/>
      <c r="BJ36" s="255"/>
      <c r="BK36" s="255"/>
      <c r="BL36" s="255"/>
      <c r="BM36" s="255"/>
      <c r="BN36" s="256"/>
      <c r="BO36" s="255"/>
      <c r="BP36" s="255"/>
      <c r="BQ36" s="255"/>
      <c r="BR36" s="255"/>
    </row>
    <row r="37" spans="1:70" ht="13.5" customHeight="1" x14ac:dyDescent="0.2">
      <c r="A37" s="413" t="s">
        <v>196</v>
      </c>
      <c r="B37" s="64"/>
      <c r="C37" s="375" t="s">
        <v>48</v>
      </c>
      <c r="D37" s="375" t="s">
        <v>49</v>
      </c>
      <c r="E37" s="375" t="s">
        <v>50</v>
      </c>
      <c r="F37" s="375" t="s">
        <v>110</v>
      </c>
      <c r="G37" s="375" t="s">
        <v>51</v>
      </c>
      <c r="H37" s="70"/>
      <c r="I37" s="255"/>
      <c r="J37" s="255"/>
      <c r="L37" s="256"/>
      <c r="W37" s="64"/>
      <c r="X37" s="58" t="s">
        <v>48</v>
      </c>
      <c r="Y37" s="58" t="s">
        <v>49</v>
      </c>
      <c r="Z37" s="58" t="s">
        <v>50</v>
      </c>
      <c r="AA37" s="58" t="s">
        <v>51</v>
      </c>
      <c r="AB37" s="78"/>
      <c r="AC37" s="70"/>
      <c r="AG37" s="65"/>
      <c r="AI37" s="586"/>
      <c r="AJ37" s="103"/>
      <c r="AK37" s="103"/>
      <c r="AS37" s="76"/>
      <c r="AW37" s="255"/>
      <c r="AX37" s="386" t="s">
        <v>41</v>
      </c>
      <c r="AY37" s="387" t="s">
        <v>42</v>
      </c>
      <c r="AZ37" s="387" t="s">
        <v>43</v>
      </c>
      <c r="BA37" s="387" t="s">
        <v>44</v>
      </c>
      <c r="BB37" s="387" t="s">
        <v>45</v>
      </c>
      <c r="BC37" s="387" t="s">
        <v>46</v>
      </c>
      <c r="BD37" s="387" t="s">
        <v>47</v>
      </c>
      <c r="BE37" s="388"/>
      <c r="BF37" s="255"/>
      <c r="BG37" s="254"/>
      <c r="BH37" s="255"/>
      <c r="BI37" s="255"/>
      <c r="BJ37" s="255"/>
      <c r="BK37" s="255"/>
      <c r="BL37" s="255"/>
      <c r="BM37" s="255"/>
      <c r="BN37" s="256"/>
      <c r="BO37" s="255"/>
      <c r="BP37" s="255"/>
      <c r="BQ37" s="255"/>
      <c r="BR37" s="255"/>
    </row>
    <row r="38" spans="1:70" x14ac:dyDescent="0.2">
      <c r="A38" s="524">
        <v>0</v>
      </c>
      <c r="B38" s="169"/>
      <c r="C38" s="445">
        <f t="shared" ref="C38:C45" si="27">C12*($E$36/$E$10)^$L$25</f>
        <v>0</v>
      </c>
      <c r="D38" s="445">
        <f t="shared" ref="D38:D45" si="28">D12*($E$36/$E$10)^$L$26</f>
        <v>197.19420392980311</v>
      </c>
      <c r="E38" s="488">
        <v>3600</v>
      </c>
      <c r="F38" s="53">
        <f t="shared" ref="F38:F45" si="29">C12*($Z$36/$Z$10)^$L$27</f>
        <v>0</v>
      </c>
      <c r="G38" s="343">
        <f>$G$43*F12/$F$17</f>
        <v>0</v>
      </c>
      <c r="H38" s="316"/>
      <c r="I38" s="255"/>
      <c r="J38" s="255"/>
      <c r="L38" s="256"/>
      <c r="W38" s="169"/>
      <c r="X38" s="445">
        <f t="shared" ref="X38:X45" si="30">X25*($Z$23/$Z$10)^$L$25</f>
        <v>0</v>
      </c>
      <c r="Y38" s="445">
        <f>Y25*($Z$23/$Z$10)^$L$26</f>
        <v>176.41043959645319</v>
      </c>
      <c r="Z38" s="444">
        <f>+E38</f>
        <v>3600</v>
      </c>
      <c r="AA38" s="572">
        <v>0</v>
      </c>
      <c r="AB38" s="78"/>
      <c r="AC38" s="316"/>
      <c r="AD38" s="316"/>
      <c r="AE38" s="258"/>
      <c r="AG38" s="65"/>
      <c r="AI38" s="105"/>
      <c r="AJ38" s="101"/>
      <c r="AK38" s="101"/>
      <c r="AS38" s="76"/>
      <c r="AW38" s="255"/>
      <c r="AX38" s="395" cm="1">
        <f t="array" ref="AX38:BD38">LINEST(H14:H19,G14:G19^{1,2,3,4,5,6})</f>
        <v>3.4883810801623793E-23</v>
      </c>
      <c r="AY38" s="370">
        <v>-1.484422400665635E-18</v>
      </c>
      <c r="AZ38" s="370">
        <v>2.6325658670375558E-14</v>
      </c>
      <c r="BA38" s="370">
        <v>-2.3371198117898005E-10</v>
      </c>
      <c r="BB38" s="370">
        <v>9.6997719028231828E-7</v>
      </c>
      <c r="BC38" s="370">
        <v>0</v>
      </c>
      <c r="BD38" s="370">
        <v>11.657657596671896</v>
      </c>
      <c r="BE38" s="390">
        <v>6</v>
      </c>
      <c r="BF38" s="255"/>
      <c r="BG38" s="254"/>
      <c r="BH38" s="255"/>
      <c r="BI38" s="255"/>
      <c r="BJ38" s="255"/>
      <c r="BK38" s="255"/>
      <c r="BL38" s="255"/>
      <c r="BM38" s="255"/>
      <c r="BN38" s="256"/>
      <c r="BO38" s="255"/>
      <c r="BP38" s="255"/>
      <c r="BQ38" s="255"/>
      <c r="BR38" s="255"/>
    </row>
    <row r="39" spans="1:70" x14ac:dyDescent="0.2">
      <c r="A39" s="524">
        <f>$X$13/C43</f>
        <v>0.20501179786333079</v>
      </c>
      <c r="B39" s="169"/>
      <c r="C39" s="445">
        <f t="shared" si="27"/>
        <v>2311.8669507789064</v>
      </c>
      <c r="D39" s="445">
        <f t="shared" si="28"/>
        <v>171.16213631105873</v>
      </c>
      <c r="E39" s="343">
        <f>Z39</f>
        <v>2919.5331759730948</v>
      </c>
      <c r="F39" s="53">
        <f t="shared" si="29"/>
        <v>2255.3501553311494</v>
      </c>
      <c r="G39" s="343">
        <f>$G$43*F13/$F$17</f>
        <v>30.836644868471879</v>
      </c>
      <c r="H39" s="316"/>
      <c r="I39" s="255"/>
      <c r="J39" s="255"/>
      <c r="L39" s="256"/>
      <c r="W39" s="169"/>
      <c r="X39" s="445">
        <f t="shared" si="30"/>
        <v>2255.3501553311494</v>
      </c>
      <c r="Y39" s="445">
        <f t="shared" ref="Y39:Y45" si="31">Y26*($Z$23/$Z$10)^$L$26</f>
        <v>153.1220852700651</v>
      </c>
      <c r="Z39" s="444">
        <f>1000*9.81/3600*X39*Y39/AA39/10</f>
        <v>2919.5331759730948</v>
      </c>
      <c r="AA39" s="343">
        <f t="shared" ref="AA39:AA45" si="32">$BD$56+$BC$56*X39+$BB$56*X39^2+$BA$56*X39^3+$AZ$56*X39^4+$AY$56*X39^5+$AX$56*X39^6</f>
        <v>32.233309984983215</v>
      </c>
      <c r="AB39" s="78"/>
      <c r="AC39" s="316"/>
      <c r="AD39" s="316"/>
      <c r="AE39" s="258"/>
      <c r="AG39" s="65"/>
      <c r="AI39" s="105">
        <f>+AI13</f>
        <v>0.35001867047073643</v>
      </c>
      <c r="AJ39" s="101"/>
      <c r="AK39" s="101"/>
      <c r="AS39" s="76"/>
      <c r="AW39" s="255"/>
      <c r="AX39" s="395"/>
      <c r="AY39" s="370" cm="1">
        <f t="array" ref="AY39:BD39">LINEST(H14:H19,G14:G19^{1,2,3,4,5})</f>
        <v>7.1212918855743073E-19</v>
      </c>
      <c r="AZ39" s="370">
        <v>-3.0027846220113418E-14</v>
      </c>
      <c r="BA39" s="370">
        <v>5.189616905165832E-10</v>
      </c>
      <c r="BB39" s="370">
        <v>-4.5398447908504967E-6</v>
      </c>
      <c r="BC39" s="370">
        <v>2.092379386552741E-2</v>
      </c>
      <c r="BD39" s="370">
        <v>-20.499491500900973</v>
      </c>
      <c r="BE39" s="391">
        <v>5</v>
      </c>
      <c r="BF39" s="255"/>
      <c r="BG39" s="254"/>
      <c r="BH39" s="255"/>
      <c r="BI39" s="255"/>
      <c r="BJ39" s="255"/>
      <c r="BK39" s="255"/>
      <c r="BL39" s="255"/>
      <c r="BM39" s="255"/>
      <c r="BN39" s="256"/>
      <c r="BO39" s="255"/>
      <c r="BP39" s="255"/>
      <c r="BQ39" s="255"/>
      <c r="BR39" s="255"/>
    </row>
    <row r="40" spans="1:70" x14ac:dyDescent="0.2">
      <c r="A40" s="524">
        <f>$X$14/C43</f>
        <v>0.41002359572666158</v>
      </c>
      <c r="B40" s="169"/>
      <c r="C40" s="445">
        <f t="shared" si="27"/>
        <v>4623.7339015578127</v>
      </c>
      <c r="D40" s="445">
        <f t="shared" si="28"/>
        <v>152.71330285847543</v>
      </c>
      <c r="E40" s="343">
        <f t="shared" ref="E40:E45" si="33">Z40</f>
        <v>3037.4944371119427</v>
      </c>
      <c r="F40" s="53">
        <f t="shared" si="29"/>
        <v>4510.7003106622988</v>
      </c>
      <c r="G40" s="343">
        <f>$G$43*F14/$F$17</f>
        <v>57.036320722976839</v>
      </c>
      <c r="H40" s="316"/>
      <c r="I40" s="255"/>
      <c r="J40" s="255"/>
      <c r="L40" s="256"/>
      <c r="W40" s="169"/>
      <c r="X40" s="445">
        <f t="shared" si="30"/>
        <v>4510.7003106622988</v>
      </c>
      <c r="Y40" s="445">
        <f t="shared" si="31"/>
        <v>136.61771163963871</v>
      </c>
      <c r="Z40" s="444">
        <f t="shared" ref="Z40:Z45" si="34">1000*9.81/3600*X40*Y40/AA40/10</f>
        <v>3037.4944371119427</v>
      </c>
      <c r="AA40" s="343">
        <f t="shared" si="32"/>
        <v>55.284322994817401</v>
      </c>
      <c r="AB40" s="58"/>
      <c r="AC40" s="316"/>
      <c r="AD40" s="316"/>
      <c r="AE40" s="258"/>
      <c r="AG40" s="65"/>
      <c r="AI40" s="105">
        <f t="shared" ref="AI40:AI45" si="35">+AI14</f>
        <v>0.64740432148668381</v>
      </c>
      <c r="AJ40" s="101"/>
      <c r="AK40" s="101"/>
      <c r="AO40" s="55"/>
      <c r="AR40" s="55"/>
      <c r="AS40" s="76"/>
      <c r="AT40" s="87"/>
      <c r="AW40" s="255"/>
      <c r="AX40" s="395"/>
      <c r="AY40" s="370"/>
      <c r="AZ40" s="370" cm="1">
        <f t="array" ref="AZ40:BD40">LINEST(H14:H19,G14:G19^{1,2,3,4})</f>
        <v>6.9508324271686943E-15</v>
      </c>
      <c r="BA40" s="370">
        <v>-2.2603334586509889E-10</v>
      </c>
      <c r="BB40" s="370">
        <v>2.7193998577332459E-6</v>
      </c>
      <c r="BC40" s="370">
        <v>-1.3203299526113689E-2</v>
      </c>
      <c r="BD40" s="370">
        <v>41.320966605262527</v>
      </c>
      <c r="BE40" s="391">
        <v>4</v>
      </c>
      <c r="BF40" s="255"/>
      <c r="BG40" s="254"/>
      <c r="BH40" s="255"/>
      <c r="BI40" s="255"/>
      <c r="BJ40" s="255"/>
      <c r="BK40" s="255"/>
      <c r="BL40" s="255"/>
      <c r="BM40" s="255"/>
      <c r="BN40" s="256"/>
      <c r="BO40" s="255"/>
      <c r="BP40" s="255"/>
      <c r="BQ40" s="255"/>
      <c r="BR40" s="255"/>
    </row>
    <row r="41" spans="1:70" x14ac:dyDescent="0.2">
      <c r="A41" s="524">
        <f>$X$15/C43</f>
        <v>0.61503539358999226</v>
      </c>
      <c r="B41" s="169"/>
      <c r="C41" s="445">
        <f t="shared" si="27"/>
        <v>6935.6008523367182</v>
      </c>
      <c r="D41" s="445">
        <f t="shared" si="28"/>
        <v>139.96551229503166</v>
      </c>
      <c r="E41" s="343">
        <f t="shared" si="33"/>
        <v>3201.2353897361222</v>
      </c>
      <c r="F41" s="53">
        <f t="shared" si="29"/>
        <v>6766.0504659934477</v>
      </c>
      <c r="G41" s="343">
        <f>$G$43*F15/$F$17</f>
        <v>71.82563944263056</v>
      </c>
      <c r="H41" s="316"/>
      <c r="I41" s="255"/>
      <c r="J41" s="255"/>
      <c r="L41" s="256"/>
      <c r="W41" s="169">
        <f t="shared" ref="W41:W42" si="36">($Y$38-Y41)/Y41</f>
        <v>0.40887709190918242</v>
      </c>
      <c r="X41" s="445">
        <f t="shared" si="30"/>
        <v>6766.0504659934477</v>
      </c>
      <c r="Y41" s="445">
        <f t="shared" si="31"/>
        <v>125.21350557087827</v>
      </c>
      <c r="Z41" s="444">
        <f t="shared" si="34"/>
        <v>3201.2353897361222</v>
      </c>
      <c r="AA41" s="343">
        <f t="shared" si="32"/>
        <v>72.116610158673794</v>
      </c>
      <c r="AB41" s="75"/>
      <c r="AC41" s="316"/>
      <c r="AD41" s="316"/>
      <c r="AE41" s="258"/>
      <c r="AG41" s="65"/>
      <c r="AI41" s="105">
        <f t="shared" si="35"/>
        <v>0.81527400048388832</v>
      </c>
      <c r="AJ41" s="101"/>
      <c r="AK41" s="101"/>
      <c r="AO41" s="58"/>
      <c r="AR41" s="58"/>
      <c r="AS41" s="76"/>
      <c r="AW41" s="255"/>
      <c r="AX41" s="395"/>
      <c r="AY41" s="370"/>
      <c r="AZ41" s="370"/>
      <c r="BA41" s="370" cm="1">
        <f t="array" ref="BA41:BD41">LINEST(H14:H19,G14:G19^{1,2,3})</f>
        <v>6.4899430082038207E-11</v>
      </c>
      <c r="BB41" s="370">
        <v>-1.6616755401718258E-6</v>
      </c>
      <c r="BC41" s="370">
        <v>1.4772856641901333E-2</v>
      </c>
      <c r="BD41" s="370">
        <v>-22.31824776055052</v>
      </c>
      <c r="BE41" s="390">
        <v>3</v>
      </c>
      <c r="BF41" s="255"/>
      <c r="BG41" s="254"/>
      <c r="BH41" s="255"/>
      <c r="BI41" s="255"/>
      <c r="BJ41" s="255"/>
      <c r="BK41" s="255"/>
      <c r="BL41" s="255"/>
      <c r="BM41" s="255"/>
      <c r="BN41" s="256"/>
      <c r="BO41" s="255"/>
      <c r="BP41" s="255"/>
      <c r="BQ41" s="255"/>
      <c r="BR41" s="255"/>
    </row>
    <row r="42" spans="1:70" x14ac:dyDescent="0.2">
      <c r="A42" s="524">
        <f>$X$16/C43</f>
        <v>0.82004719145332317</v>
      </c>
      <c r="B42" s="169"/>
      <c r="C42" s="445">
        <f t="shared" si="27"/>
        <v>9247.4678031156254</v>
      </c>
      <c r="D42" s="445">
        <f t="shared" si="28"/>
        <v>128.81312308176982</v>
      </c>
      <c r="E42" s="343">
        <f t="shared" si="33"/>
        <v>3389.6439917392941</v>
      </c>
      <c r="F42" s="53">
        <f t="shared" si="29"/>
        <v>9021.4006213245975</v>
      </c>
      <c r="G42" s="343">
        <f>$G$43*F16/$F$17</f>
        <v>82.738779093758751</v>
      </c>
      <c r="H42" s="316"/>
      <c r="I42" s="255"/>
      <c r="J42" s="255"/>
      <c r="L42" s="256"/>
      <c r="W42" s="169">
        <f t="shared" si="36"/>
        <v>0.53085492543042612</v>
      </c>
      <c r="X42" s="445">
        <f t="shared" si="30"/>
        <v>9021.4006213245975</v>
      </c>
      <c r="Y42" s="445">
        <f t="shared" si="31"/>
        <v>115.23654963376256</v>
      </c>
      <c r="Z42" s="444">
        <f t="shared" si="34"/>
        <v>3389.6439917392941</v>
      </c>
      <c r="AA42" s="343">
        <f t="shared" si="32"/>
        <v>83.57504803371414</v>
      </c>
      <c r="AB42" s="75"/>
      <c r="AC42" s="316"/>
      <c r="AD42" s="316"/>
      <c r="AE42" s="258"/>
      <c r="AG42" s="65"/>
      <c r="AI42" s="105">
        <f t="shared" si="35"/>
        <v>0.93914618721633092</v>
      </c>
      <c r="AJ42" s="101"/>
      <c r="AK42" s="101"/>
      <c r="AO42" s="405"/>
      <c r="AR42" s="405"/>
      <c r="AS42" s="76"/>
      <c r="AW42" s="255"/>
      <c r="AX42" s="395"/>
      <c r="AY42" s="370"/>
      <c r="AZ42" s="370"/>
      <c r="BA42" s="370"/>
      <c r="BB42" s="370" cm="1">
        <f t="array" ref="BB42:BD42">LINEST(H14:H19,G14:G19^{1,2})</f>
        <v>3.8332893335777451E-7</v>
      </c>
      <c r="BC42" s="370">
        <v>-5.4337561597174247E-3</v>
      </c>
      <c r="BD42" s="370">
        <v>39.3646343538759</v>
      </c>
      <c r="BE42" s="390">
        <v>2</v>
      </c>
      <c r="BF42" s="255"/>
      <c r="BG42" s="254"/>
      <c r="BH42" s="255"/>
      <c r="BI42" s="255"/>
      <c r="BJ42" s="255"/>
      <c r="BK42" s="255"/>
      <c r="BL42" s="255"/>
      <c r="BM42" s="255"/>
      <c r="BN42" s="256"/>
      <c r="BO42" s="255"/>
      <c r="BP42" s="255"/>
      <c r="BQ42" s="255"/>
      <c r="BR42" s="255"/>
    </row>
    <row r="43" spans="1:70" x14ac:dyDescent="0.2">
      <c r="A43" s="524">
        <v>1</v>
      </c>
      <c r="B43" s="169"/>
      <c r="C43" s="445">
        <f t="shared" si="27"/>
        <v>11559.334753894531</v>
      </c>
      <c r="D43" s="445">
        <f t="shared" si="28"/>
        <v>112.92704341779654</v>
      </c>
      <c r="E43" s="343">
        <f t="shared" si="33"/>
        <v>3526.5373308713774</v>
      </c>
      <c r="F43" s="53">
        <f t="shared" si="29"/>
        <v>11276.750776655746</v>
      </c>
      <c r="G43" s="462">
        <v>88.1</v>
      </c>
      <c r="H43" s="316"/>
      <c r="I43" s="255"/>
      <c r="J43" s="255"/>
      <c r="L43" s="256"/>
      <c r="W43" s="169">
        <f>($Y$38-Y43)/Y43</f>
        <v>0.7462088615943222</v>
      </c>
      <c r="X43" s="445">
        <f t="shared" si="30"/>
        <v>11276.750776655746</v>
      </c>
      <c r="Y43" s="445">
        <f t="shared" si="31"/>
        <v>101.02482210254452</v>
      </c>
      <c r="Z43" s="444">
        <f t="shared" si="34"/>
        <v>3526.5373308713774</v>
      </c>
      <c r="AA43" s="343">
        <f t="shared" si="32"/>
        <v>88.029877561165819</v>
      </c>
      <c r="AB43" s="75"/>
      <c r="AC43" s="316"/>
      <c r="AD43" s="316"/>
      <c r="AE43" s="258"/>
      <c r="AG43" s="65"/>
      <c r="AI43" s="105">
        <f t="shared" si="35"/>
        <v>1</v>
      </c>
      <c r="AJ43" s="101"/>
      <c r="AK43" s="101"/>
      <c r="AO43" s="405"/>
      <c r="AR43" s="405"/>
      <c r="AS43" s="76"/>
      <c r="AW43" s="255"/>
      <c r="AX43" s="64" t="s">
        <v>112</v>
      </c>
      <c r="AY43" s="255"/>
      <c r="AZ43" s="255"/>
      <c r="BA43" s="255"/>
      <c r="BB43" s="255"/>
      <c r="BC43" s="255"/>
      <c r="BD43" s="255"/>
      <c r="BE43" s="256"/>
      <c r="BF43" s="255"/>
      <c r="BG43" s="254"/>
      <c r="BH43" s="255"/>
      <c r="BI43" s="255"/>
      <c r="BJ43" s="255"/>
      <c r="BK43" s="255"/>
      <c r="BL43" s="255"/>
      <c r="BM43" s="255"/>
      <c r="BN43" s="256"/>
      <c r="BO43" s="255"/>
      <c r="BP43" s="255"/>
      <c r="BQ43" s="255"/>
      <c r="BR43" s="255"/>
    </row>
    <row r="44" spans="1:70" x14ac:dyDescent="0.2">
      <c r="A44" s="524">
        <f>C44/C43</f>
        <v>1.1499999999999999</v>
      </c>
      <c r="B44" s="169"/>
      <c r="C44" s="445">
        <f t="shared" si="27"/>
        <v>13293.234966978709</v>
      </c>
      <c r="D44" s="445">
        <f t="shared" si="28"/>
        <v>92.844707245503557</v>
      </c>
      <c r="E44" s="343">
        <f t="shared" si="33"/>
        <v>3477.7549154103399</v>
      </c>
      <c r="F44" s="53">
        <f t="shared" si="29"/>
        <v>12968.263393154108</v>
      </c>
      <c r="G44" s="343">
        <f>$G$43*F18/$F$17</f>
        <v>85.0494560082047</v>
      </c>
      <c r="H44" s="316"/>
      <c r="I44" s="255"/>
      <c r="J44" s="255"/>
      <c r="L44" s="256"/>
      <c r="W44" s="169"/>
      <c r="X44" s="445">
        <f t="shared" si="30"/>
        <v>12968.263393154108</v>
      </c>
      <c r="Y44" s="445">
        <f t="shared" si="31"/>
        <v>83.059112757765334</v>
      </c>
      <c r="Z44" s="444">
        <f t="shared" si="34"/>
        <v>3477.7549154103399</v>
      </c>
      <c r="AA44" s="343">
        <f t="shared" si="32"/>
        <v>84.398872306377967</v>
      </c>
      <c r="AB44" s="75"/>
      <c r="AC44" s="316"/>
      <c r="AD44" s="316"/>
      <c r="AE44" s="258"/>
      <c r="AG44" s="65"/>
      <c r="AI44" s="105">
        <f t="shared" si="35"/>
        <v>0.96537407500799888</v>
      </c>
      <c r="AJ44" s="101"/>
      <c r="AK44" s="101"/>
      <c r="AO44" s="405"/>
      <c r="AR44" s="405"/>
      <c r="AS44" s="58"/>
      <c r="AT44" s="58"/>
      <c r="AW44" s="255"/>
      <c r="AX44" s="396" t="str">
        <f>+AX31</f>
        <v>c6</v>
      </c>
      <c r="AY44" s="371" t="str">
        <f t="shared" ref="AY44:BD44" si="37">+AY31</f>
        <v>c5</v>
      </c>
      <c r="AZ44" s="371" t="str">
        <f t="shared" si="37"/>
        <v>c4</v>
      </c>
      <c r="BA44" s="371" t="str">
        <f t="shared" si="37"/>
        <v>c3</v>
      </c>
      <c r="BB44" s="371" t="str">
        <f t="shared" si="37"/>
        <v>c2</v>
      </c>
      <c r="BC44" s="371" t="str">
        <f t="shared" si="37"/>
        <v>c1</v>
      </c>
      <c r="BD44" s="371" t="str">
        <f t="shared" si="37"/>
        <v>c0</v>
      </c>
      <c r="BE44" s="256"/>
      <c r="BF44" s="255"/>
      <c r="BG44" s="254"/>
      <c r="BH44" s="255"/>
      <c r="BI44" s="255"/>
      <c r="BJ44" s="255"/>
      <c r="BK44" s="255"/>
      <c r="BL44" s="255"/>
      <c r="BM44" s="255"/>
      <c r="BN44" s="256"/>
      <c r="BO44" s="255"/>
      <c r="BP44" s="255"/>
      <c r="BQ44" s="255"/>
      <c r="BR44" s="255"/>
    </row>
    <row r="45" spans="1:70" ht="13.5" thickBot="1" x14ac:dyDescent="0.25">
      <c r="A45" s="524">
        <f>C45/C43</f>
        <v>1.3</v>
      </c>
      <c r="B45" s="169"/>
      <c r="C45" s="445">
        <f t="shared" si="27"/>
        <v>15027.135180062891</v>
      </c>
      <c r="D45" s="445">
        <f t="shared" si="28"/>
        <v>60.905593883314864</v>
      </c>
      <c r="E45" s="343">
        <f t="shared" si="33"/>
        <v>3026.2114399261759</v>
      </c>
      <c r="F45" s="53">
        <f t="shared" si="29"/>
        <v>14659.776009652471</v>
      </c>
      <c r="G45" s="343">
        <f>$G$43*F19/$F$17</f>
        <v>71.620594533225017</v>
      </c>
      <c r="H45" s="255"/>
      <c r="I45" s="255"/>
      <c r="J45" s="255"/>
      <c r="L45" s="256"/>
      <c r="W45" s="169"/>
      <c r="X45" s="445">
        <f t="shared" si="30"/>
        <v>14659.776009652471</v>
      </c>
      <c r="Y45" s="445">
        <f t="shared" si="31"/>
        <v>54.486300188941669</v>
      </c>
      <c r="Z45" s="444">
        <f t="shared" si="34"/>
        <v>3026.2114399261759</v>
      </c>
      <c r="AA45" s="343">
        <f t="shared" si="32"/>
        <v>71.925334673460611</v>
      </c>
      <c r="AB45" s="88"/>
      <c r="AC45" s="317"/>
      <c r="AD45" s="317"/>
      <c r="AE45" s="317"/>
      <c r="AG45" s="65"/>
      <c r="AI45" s="105">
        <f t="shared" si="35"/>
        <v>0.8129465894804202</v>
      </c>
      <c r="AJ45" s="101"/>
      <c r="AK45" s="101"/>
      <c r="AO45" s="405"/>
      <c r="AR45" s="405"/>
      <c r="AS45" s="89"/>
      <c r="AT45" s="404"/>
      <c r="AW45" s="255"/>
      <c r="AX45" s="393">
        <f t="shared" ref="AX45:BD45" si="38">+_xlfn.XLOOKUP($L$2,$BE$38:$BE$42,AX38:AX42)</f>
        <v>0</v>
      </c>
      <c r="AY45" s="394">
        <f t="shared" si="38"/>
        <v>0</v>
      </c>
      <c r="AZ45" s="394">
        <f t="shared" si="38"/>
        <v>6.9508324271686943E-15</v>
      </c>
      <c r="BA45" s="394">
        <f t="shared" si="38"/>
        <v>-2.2603334586509889E-10</v>
      </c>
      <c r="BB45" s="394">
        <f t="shared" si="38"/>
        <v>2.7193998577332459E-6</v>
      </c>
      <c r="BC45" s="394">
        <f t="shared" si="38"/>
        <v>-1.3203299526113689E-2</v>
      </c>
      <c r="BD45" s="394">
        <f t="shared" si="38"/>
        <v>41.320966605262527</v>
      </c>
      <c r="BE45" s="278"/>
      <c r="BF45" s="255"/>
      <c r="BG45" s="254"/>
      <c r="BH45" s="255"/>
      <c r="BI45" s="255"/>
      <c r="BJ45" s="255"/>
      <c r="BK45" s="255"/>
      <c r="BL45" s="255"/>
      <c r="BM45" s="255"/>
      <c r="BN45" s="256"/>
      <c r="BO45" s="255"/>
      <c r="BP45" s="255"/>
      <c r="BQ45" s="255"/>
      <c r="BR45" s="255"/>
    </row>
    <row r="46" spans="1:70" x14ac:dyDescent="0.2">
      <c r="A46" s="524"/>
      <c r="B46" s="64"/>
      <c r="C46" s="70"/>
      <c r="D46" s="70"/>
      <c r="E46" s="70"/>
      <c r="F46" s="70"/>
      <c r="G46" s="78"/>
      <c r="I46" s="255"/>
      <c r="J46" s="255"/>
      <c r="L46" s="256"/>
      <c r="W46" s="64"/>
      <c r="X46" s="70"/>
      <c r="Y46" s="70"/>
      <c r="Z46" s="70"/>
      <c r="AA46" s="70"/>
      <c r="AB46" s="78"/>
      <c r="AG46" s="65"/>
      <c r="AO46" s="405"/>
      <c r="AR46" s="405"/>
      <c r="AS46" s="89"/>
      <c r="AT46" s="404"/>
      <c r="AW46" s="255"/>
      <c r="AX46" s="255"/>
      <c r="AY46" s="255"/>
      <c r="AZ46" s="255"/>
      <c r="BA46" s="255"/>
      <c r="BB46" s="255"/>
      <c r="BC46" s="255"/>
      <c r="BD46" s="255"/>
      <c r="BE46" s="255"/>
      <c r="BF46" s="255"/>
      <c r="BG46" s="254"/>
      <c r="BH46" s="255"/>
      <c r="BI46" s="255"/>
      <c r="BJ46" s="255"/>
      <c r="BK46" s="255"/>
      <c r="BL46" s="255"/>
      <c r="BM46" s="255"/>
      <c r="BN46" s="256"/>
      <c r="BO46" s="255"/>
      <c r="BP46" s="255"/>
      <c r="BQ46" s="255"/>
      <c r="BR46" s="255"/>
    </row>
    <row r="47" spans="1:70" ht="13.5" thickBot="1" x14ac:dyDescent="0.25">
      <c r="B47" s="556"/>
      <c r="C47" s="79"/>
      <c r="D47" s="79"/>
      <c r="E47" s="79"/>
      <c r="F47" s="79"/>
      <c r="G47" s="80"/>
      <c r="H47" s="79"/>
      <c r="I47" s="261"/>
      <c r="J47" s="261"/>
      <c r="K47" s="77"/>
      <c r="L47" s="557"/>
      <c r="W47" s="64"/>
      <c r="X47" s="70"/>
      <c r="Y47" s="70"/>
      <c r="Z47" s="70"/>
      <c r="AA47" s="70"/>
      <c r="AB47" s="78"/>
      <c r="AC47" s="70"/>
      <c r="AF47" s="74"/>
      <c r="AG47" s="65"/>
      <c r="AO47" s="405"/>
      <c r="AR47" s="405"/>
      <c r="AS47" s="89"/>
      <c r="AT47" s="404"/>
      <c r="AW47" s="255"/>
      <c r="AX47" s="255" t="s">
        <v>115</v>
      </c>
      <c r="AY47" s="255"/>
      <c r="AZ47" s="255"/>
      <c r="BA47" s="255"/>
      <c r="BB47" s="255"/>
      <c r="BC47" s="255"/>
      <c r="BD47" s="255"/>
      <c r="BE47" s="255"/>
      <c r="BF47" s="255"/>
      <c r="BG47" s="254"/>
      <c r="BH47" s="255"/>
      <c r="BI47" s="255"/>
      <c r="BJ47" s="255"/>
      <c r="BK47" s="255"/>
      <c r="BL47" s="255"/>
      <c r="BM47" s="255"/>
      <c r="BN47" s="256"/>
      <c r="BO47" s="255"/>
      <c r="BP47" s="255"/>
      <c r="BQ47" s="255"/>
      <c r="BR47" s="255"/>
    </row>
    <row r="48" spans="1:70" ht="13.5" thickBot="1" x14ac:dyDescent="0.25">
      <c r="B48" s="64"/>
      <c r="D48" s="70"/>
      <c r="E48" s="555" t="s">
        <v>192</v>
      </c>
      <c r="F48" s="555" t="s">
        <v>193</v>
      </c>
      <c r="G48" s="555" t="s">
        <v>194</v>
      </c>
      <c r="H48" s="70"/>
      <c r="I48" s="255"/>
      <c r="J48" s="255"/>
      <c r="K48" s="74"/>
      <c r="L48" s="256"/>
      <c r="W48" s="64"/>
      <c r="X48" s="70"/>
      <c r="Y48" s="70"/>
      <c r="Z48" s="70"/>
      <c r="AA48" s="70"/>
      <c r="AB48" s="78"/>
      <c r="AC48" s="70"/>
      <c r="AF48" s="74"/>
      <c r="AG48" s="65"/>
      <c r="AO48" s="405"/>
      <c r="AR48" s="405"/>
      <c r="AS48" s="89"/>
      <c r="AT48" s="404"/>
      <c r="AW48" s="255"/>
      <c r="AX48" s="386" t="s">
        <v>41</v>
      </c>
      <c r="AY48" s="387" t="s">
        <v>42</v>
      </c>
      <c r="AZ48" s="387" t="s">
        <v>43</v>
      </c>
      <c r="BA48" s="387" t="s">
        <v>44</v>
      </c>
      <c r="BB48" s="387" t="s">
        <v>45</v>
      </c>
      <c r="BC48" s="387" t="s">
        <v>46</v>
      </c>
      <c r="BD48" s="387" t="s">
        <v>47</v>
      </c>
      <c r="BE48" s="388"/>
      <c r="BF48" s="255"/>
      <c r="BG48" s="254"/>
      <c r="BH48" s="255"/>
      <c r="BI48" s="255"/>
      <c r="BJ48" s="255"/>
      <c r="BK48" s="255"/>
      <c r="BL48" s="255"/>
      <c r="BM48" s="255"/>
      <c r="BN48" s="256"/>
      <c r="BO48" s="255"/>
      <c r="BP48" s="255"/>
      <c r="BQ48" s="255"/>
      <c r="BR48" s="255"/>
    </row>
    <row r="49" spans="1:70" x14ac:dyDescent="0.2">
      <c r="B49" s="375" t="s">
        <v>206</v>
      </c>
      <c r="C49" s="458" t="s">
        <v>195</v>
      </c>
      <c r="D49" s="503"/>
      <c r="E49" s="451">
        <f>+E10*(1-L19)</f>
        <v>428.56</v>
      </c>
      <c r="F49" s="451">
        <f>+F10*(1-L19)</f>
        <v>428.56</v>
      </c>
      <c r="G49" s="451">
        <f>+G10*(1-L19)</f>
        <v>428.56</v>
      </c>
      <c r="I49" s="255"/>
      <c r="J49" s="255"/>
      <c r="K49" s="255"/>
      <c r="L49" s="256"/>
      <c r="W49" s="64"/>
      <c r="X49" s="66" t="s">
        <v>4</v>
      </c>
      <c r="Y49" s="67"/>
      <c r="Z49" s="552">
        <f>+E49</f>
        <v>428.56</v>
      </c>
      <c r="AA49" s="79"/>
      <c r="AB49" s="80"/>
      <c r="AC49" s="69" t="s">
        <v>71</v>
      </c>
      <c r="AD49" s="68"/>
      <c r="AE49" s="68"/>
      <c r="AF49" s="77"/>
      <c r="AG49" s="65"/>
      <c r="AI49" s="585" t="s">
        <v>39</v>
      </c>
      <c r="AJ49" s="585" t="s">
        <v>40</v>
      </c>
      <c r="AK49" s="103"/>
      <c r="AO49" s="405"/>
      <c r="AR49" s="405"/>
      <c r="AS49" s="89"/>
      <c r="AT49" s="404"/>
      <c r="AW49" s="255"/>
      <c r="AX49" s="395" cm="1">
        <f t="array" ref="AX49:BD49">LINEST(G25:G32,F25:F32^{1,2,3,4,5,6})</f>
        <v>1.6128717404349158E-22</v>
      </c>
      <c r="AY49" s="370">
        <v>-7.9936068858426103E-18</v>
      </c>
      <c r="AZ49" s="370">
        <v>1.4626090666545534E-13</v>
      </c>
      <c r="BA49" s="370">
        <v>-1.215694601949521E-9</v>
      </c>
      <c r="BB49" s="370">
        <v>3.7843334542231791E-6</v>
      </c>
      <c r="BC49" s="370">
        <v>9.8641901260547397E-3</v>
      </c>
      <c r="BD49" s="370">
        <v>-6.4371847976758545E-3</v>
      </c>
      <c r="BE49" s="390">
        <v>6</v>
      </c>
      <c r="BF49" s="255"/>
      <c r="BG49" s="254"/>
      <c r="BH49" s="255"/>
      <c r="BI49" s="255"/>
      <c r="BJ49" s="255"/>
      <c r="BK49" s="255"/>
      <c r="BL49" s="255"/>
      <c r="BM49" s="255"/>
      <c r="BN49" s="256"/>
      <c r="BO49" s="255"/>
      <c r="BP49" s="255"/>
      <c r="BQ49" s="255"/>
      <c r="BR49" s="255"/>
    </row>
    <row r="50" spans="1:70" ht="12.75" customHeight="1" x14ac:dyDescent="0.2">
      <c r="A50" s="413" t="s">
        <v>196</v>
      </c>
      <c r="C50" s="463" t="s">
        <v>48</v>
      </c>
      <c r="D50" s="463" t="s">
        <v>49</v>
      </c>
      <c r="E50" s="463" t="s">
        <v>50</v>
      </c>
      <c r="F50" s="375" t="s">
        <v>110</v>
      </c>
      <c r="G50" s="463" t="s">
        <v>51</v>
      </c>
      <c r="H50" s="78"/>
      <c r="I50" s="70"/>
      <c r="J50" s="255"/>
      <c r="L50" s="256"/>
      <c r="W50" s="64"/>
      <c r="X50" s="58" t="s">
        <v>48</v>
      </c>
      <c r="Y50" s="58" t="s">
        <v>49</v>
      </c>
      <c r="Z50" s="58" t="s">
        <v>50</v>
      </c>
      <c r="AA50" s="58" t="s">
        <v>51</v>
      </c>
      <c r="AB50" s="78"/>
      <c r="AC50" s="70"/>
      <c r="AG50" s="65"/>
      <c r="AI50" s="586"/>
      <c r="AJ50" s="586"/>
      <c r="AK50" s="103"/>
      <c r="AS50" s="76"/>
      <c r="AW50" s="255"/>
      <c r="AX50" s="395"/>
      <c r="AY50" s="370" cm="1">
        <f t="array" ref="AY50:BD50">LINEST(G25:G32,F25:F32^{1,2,3,4,5})</f>
        <v>-7.9617829734168482E-19</v>
      </c>
      <c r="AZ50" s="370">
        <v>2.5454948969695151E-14</v>
      </c>
      <c r="BA50" s="370">
        <v>-2.775690310737257E-10</v>
      </c>
      <c r="BB50" s="370">
        <v>4.9157276875581955E-7</v>
      </c>
      <c r="BC50" s="370">
        <v>1.3904462455768459E-2</v>
      </c>
      <c r="BD50" s="370">
        <v>-7.0016464382518961E-2</v>
      </c>
      <c r="BE50" s="391">
        <v>5</v>
      </c>
      <c r="BF50" s="255"/>
      <c r="BG50" s="254"/>
      <c r="BH50" s="255"/>
      <c r="BI50" s="255"/>
      <c r="BJ50" s="255"/>
      <c r="BK50" s="255"/>
      <c r="BL50" s="255"/>
      <c r="BM50" s="255"/>
      <c r="BN50" s="256"/>
      <c r="BO50" s="255"/>
      <c r="BP50" s="255"/>
      <c r="BQ50" s="255"/>
      <c r="BR50" s="255"/>
    </row>
    <row r="51" spans="1:70" x14ac:dyDescent="0.2">
      <c r="A51" s="524">
        <v>0</v>
      </c>
      <c r="B51" s="169"/>
      <c r="C51" s="445">
        <f t="shared" ref="C51:C58" si="39">C12*($E$49/$E$10)^$L$25</f>
        <v>0</v>
      </c>
      <c r="D51" s="445">
        <f t="shared" ref="D51:D58" si="40">D12*($E$49/$E$10)^$L$26</f>
        <v>175.11881876005114</v>
      </c>
      <c r="E51" s="488">
        <v>3200</v>
      </c>
      <c r="F51" s="53">
        <f t="shared" ref="F51:F58" si="41">C12*($Z$49/$Z$10)^$L$27</f>
        <v>0</v>
      </c>
      <c r="G51" s="343">
        <f>$G$56*F12/$F$17</f>
        <v>0</v>
      </c>
      <c r="H51" s="78"/>
      <c r="I51" s="70"/>
      <c r="J51" s="255"/>
      <c r="L51" s="256"/>
      <c r="W51" s="169"/>
      <c r="X51" s="445">
        <f t="shared" ref="X51:X58" si="42">X38*($Z$23/$Z$10)^$L$25</f>
        <v>0</v>
      </c>
      <c r="Y51" s="445">
        <f>Y38*($Z$23/$Z$10)^$L$26</f>
        <v>157.81723082333664</v>
      </c>
      <c r="Z51" s="444">
        <f>+E51</f>
        <v>3200</v>
      </c>
      <c r="AA51" s="572">
        <v>0</v>
      </c>
      <c r="AB51" s="78"/>
      <c r="AC51" s="70"/>
      <c r="AG51" s="65"/>
      <c r="AI51" s="105"/>
      <c r="AJ51" s="105"/>
      <c r="AK51" s="101"/>
      <c r="AS51" s="76"/>
      <c r="AW51" s="255"/>
      <c r="AX51" s="395"/>
      <c r="AY51" s="370"/>
      <c r="AZ51" s="370" cm="1">
        <f t="array" ref="AZ51:BD51">LINEST(G25:G32,F25:F32^{1,2,3,4})</f>
        <v>-3.9851447935594191E-15</v>
      </c>
      <c r="BA51" s="370">
        <v>1.0215336373548048E-10</v>
      </c>
      <c r="BB51" s="370">
        <v>-1.4868628669027062E-6</v>
      </c>
      <c r="BC51" s="370">
        <v>1.7329252802604906E-2</v>
      </c>
      <c r="BD51" s="370">
        <v>-0.3559410439250712</v>
      </c>
      <c r="BE51" s="391">
        <v>4</v>
      </c>
      <c r="BF51" s="255"/>
      <c r="BG51" s="254"/>
      <c r="BH51" s="255"/>
      <c r="BI51" s="255"/>
      <c r="BJ51" s="255"/>
      <c r="BK51" s="255"/>
      <c r="BL51" s="255"/>
      <c r="BM51" s="255"/>
      <c r="BN51" s="256"/>
      <c r="BO51" s="255"/>
      <c r="BP51" s="255"/>
      <c r="BQ51" s="255"/>
      <c r="BR51" s="255"/>
    </row>
    <row r="52" spans="1:70" x14ac:dyDescent="0.2">
      <c r="A52" s="524">
        <f>$X$13/C56</f>
        <v>0.2104926456856944</v>
      </c>
      <c r="B52" s="169"/>
      <c r="C52" s="445">
        <f t="shared" si="39"/>
        <v>2251.6701163408466</v>
      </c>
      <c r="D52" s="445">
        <f t="shared" si="40"/>
        <v>152.00097431823835</v>
      </c>
      <c r="E52" s="343">
        <f>Z52</f>
        <v>2601.5915726962694</v>
      </c>
      <c r="F52" s="53">
        <f t="shared" si="41"/>
        <v>2139.4287757711199</v>
      </c>
      <c r="G52" s="343">
        <f>$G$56*F13/$F$17</f>
        <v>30.521628065048223</v>
      </c>
      <c r="H52" s="356" t="s">
        <v>48</v>
      </c>
      <c r="I52" s="356" t="s">
        <v>55</v>
      </c>
      <c r="J52" s="255"/>
      <c r="L52" s="256"/>
      <c r="W52" s="169"/>
      <c r="X52" s="445">
        <f t="shared" si="42"/>
        <v>2200.2149913681142</v>
      </c>
      <c r="Y52" s="445">
        <f t="shared" ref="Y52:Y58" si="43">Y39*($Z$23/$Z$10)^$L$26</f>
        <v>136.98340943141301</v>
      </c>
      <c r="Z52" s="444">
        <f>1000*9.81/3600*X52*Y52/AA52/10</f>
        <v>2601.5915726962694</v>
      </c>
      <c r="AA52" s="343">
        <f t="shared" ref="AA52:AA58" si="44">$BD$56+$BC$56*X52+$BB$56*X52^2+$BA$56*X52^3+$AZ$56*X52^4+$AY$56*X52^5+$AX$56*X52^6</f>
        <v>31.568974934179565</v>
      </c>
      <c r="AB52" t="s">
        <v>48</v>
      </c>
      <c r="AC52" t="s">
        <v>55</v>
      </c>
      <c r="AD52" s="70" t="s">
        <v>72</v>
      </c>
      <c r="AG52" s="65"/>
      <c r="AI52" s="105">
        <f>+AI13</f>
        <v>0.35001867047073643</v>
      </c>
      <c r="AJ52" s="104"/>
      <c r="AS52" s="76"/>
      <c r="AW52" s="255"/>
      <c r="AX52" s="395"/>
      <c r="AY52" s="370"/>
      <c r="AZ52" s="370"/>
      <c r="BA52" s="370" cm="1">
        <f t="array" ref="BA52:BD52">LINEST(G25:G32,F25:F32^{1,2,3})</f>
        <v>-1.5299959340928729E-11</v>
      </c>
      <c r="BB52" s="370">
        <v>-4.1254002058135173E-7</v>
      </c>
      <c r="BC52" s="370">
        <v>1.4279225449690965E-2</v>
      </c>
      <c r="BD52" s="370">
        <v>0.51821867993164794</v>
      </c>
      <c r="BE52" s="390">
        <v>3</v>
      </c>
      <c r="BF52" s="255"/>
      <c r="BG52" s="254"/>
      <c r="BH52" s="255"/>
      <c r="BI52" s="255"/>
      <c r="BJ52" s="255"/>
      <c r="BK52" s="255"/>
      <c r="BL52" s="255"/>
      <c r="BM52" s="255"/>
      <c r="BN52" s="256"/>
      <c r="BO52" s="255"/>
      <c r="BP52" s="255"/>
      <c r="BQ52" s="255"/>
      <c r="BR52" s="255"/>
    </row>
    <row r="53" spans="1:70" x14ac:dyDescent="0.2">
      <c r="A53" s="524">
        <f>$X$14/C56</f>
        <v>0.42098529137138879</v>
      </c>
      <c r="B53" s="169"/>
      <c r="C53" s="445">
        <f t="shared" si="39"/>
        <v>4503.3402326816931</v>
      </c>
      <c r="D53" s="445">
        <f t="shared" si="40"/>
        <v>135.61744043472027</v>
      </c>
      <c r="E53" s="343">
        <f t="shared" ref="E53:E58" si="45">Z53</f>
        <v>2698.0284059741962</v>
      </c>
      <c r="F53" s="53">
        <f t="shared" si="41"/>
        <v>4278.8575515422399</v>
      </c>
      <c r="G53" s="343">
        <f>$G$56*F14/$F$17</f>
        <v>56.453656833638831</v>
      </c>
      <c r="H53" s="444">
        <f>G14/G17*H56</f>
        <v>5225.8357835575389</v>
      </c>
      <c r="I53" s="461">
        <f>H14</f>
        <v>19.7</v>
      </c>
      <c r="J53" s="255"/>
      <c r="L53" s="256"/>
      <c r="W53" s="169"/>
      <c r="X53" s="445">
        <f t="shared" si="42"/>
        <v>4400.4299827362283</v>
      </c>
      <c r="Y53" s="445">
        <f t="shared" si="43"/>
        <v>122.21855453515006</v>
      </c>
      <c r="Z53" s="444">
        <f t="shared" ref="Z53:Z58" si="46">1000*9.81/3600*X53*Y53/AA53/10</f>
        <v>2698.0284059741962</v>
      </c>
      <c r="AA53" s="343">
        <f t="shared" si="44"/>
        <v>54.319060150477881</v>
      </c>
      <c r="AB53" s="444">
        <f>H53</f>
        <v>5225.8357835575389</v>
      </c>
      <c r="AC53" s="444">
        <f>I53</f>
        <v>19.7</v>
      </c>
      <c r="AD53" s="343">
        <f>$AF$8/60*(AB53/2)^0.5/AC53^0.75</f>
        <v>107.50878868744469</v>
      </c>
      <c r="AE53" s="192"/>
      <c r="AG53" s="65"/>
      <c r="AI53" s="105">
        <f t="shared" ref="AI53:AI58" si="47">+AI14</f>
        <v>0.64740432148668381</v>
      </c>
      <c r="AJ53" s="105">
        <f t="shared" ref="AJ53:AJ58" si="48">AC53/$AC$56</f>
        <v>0.70863309352517978</v>
      </c>
      <c r="AK53" s="101"/>
      <c r="AO53" s="55"/>
      <c r="AR53" s="55"/>
      <c r="AS53" s="76"/>
      <c r="AT53" s="87"/>
      <c r="AW53" s="255"/>
      <c r="AX53" s="395"/>
      <c r="AY53" s="370"/>
      <c r="AZ53" s="370"/>
      <c r="BA53" s="370"/>
      <c r="BB53" s="370" cm="1">
        <f t="array" ref="BB53:BD53">LINEST(G25:G32,F25:F32^{1,2})</f>
        <v>-7.485537240014178E-7</v>
      </c>
      <c r="BC53" s="370">
        <v>1.6118935443093015E-2</v>
      </c>
      <c r="BD53" s="370">
        <v>-0.90717114420575484</v>
      </c>
      <c r="BE53" s="390">
        <v>2</v>
      </c>
      <c r="BF53" s="255"/>
      <c r="BG53" s="254"/>
      <c r="BH53" s="255"/>
      <c r="BI53" s="255"/>
      <c r="BJ53" s="255"/>
      <c r="BK53" s="255"/>
      <c r="BL53" s="255"/>
      <c r="BM53" s="255"/>
      <c r="BN53" s="256"/>
      <c r="BO53" s="255"/>
      <c r="BP53" s="255"/>
      <c r="BQ53" s="255"/>
      <c r="BR53" s="255"/>
    </row>
    <row r="54" spans="1:70" x14ac:dyDescent="0.2">
      <c r="A54" s="524">
        <f>$X$15/C56</f>
        <v>0.63147793705708311</v>
      </c>
      <c r="B54" s="169"/>
      <c r="C54" s="445">
        <f t="shared" si="39"/>
        <v>6755.0103490225383</v>
      </c>
      <c r="D54" s="445">
        <f t="shared" si="40"/>
        <v>124.29673231661818</v>
      </c>
      <c r="E54" s="343">
        <f t="shared" si="45"/>
        <v>2835.3439615025181</v>
      </c>
      <c r="F54" s="53">
        <f t="shared" si="41"/>
        <v>6418.2863273133598</v>
      </c>
      <c r="G54" s="343">
        <f>$G$56*F15/$F$17</f>
        <v>71.091892842195065</v>
      </c>
      <c r="H54" s="444">
        <f>C54</f>
        <v>6755.0103490225383</v>
      </c>
      <c r="I54" s="461">
        <f t="shared" ref="I54:I58" si="49">H15</f>
        <v>21.5</v>
      </c>
      <c r="J54" s="255"/>
      <c r="L54" s="256"/>
      <c r="W54" s="169">
        <f t="shared" ref="W54:W55" si="50">($Y$51-Y54)/Y54</f>
        <v>0.40887709190918248</v>
      </c>
      <c r="X54" s="445">
        <f t="shared" si="42"/>
        <v>6600.6449741043416</v>
      </c>
      <c r="Y54" s="445">
        <f t="shared" si="43"/>
        <v>112.016322594526</v>
      </c>
      <c r="Z54" s="444">
        <f t="shared" si="46"/>
        <v>2835.3439615025181</v>
      </c>
      <c r="AA54" s="343">
        <f t="shared" si="44"/>
        <v>71.06052965719708</v>
      </c>
      <c r="AB54" s="444">
        <f t="shared" ref="AB54:AB58" si="51">H54</f>
        <v>6755.0103490225383</v>
      </c>
      <c r="AC54" s="444">
        <f t="shared" ref="AC54:AC58" si="52">I54</f>
        <v>21.5</v>
      </c>
      <c r="AD54" s="343">
        <f t="shared" ref="AD54:AD58" si="53">$AF$8/60*(AB54/2)^0.5/AC54^0.75</f>
        <v>114.47217207746044</v>
      </c>
      <c r="AE54" s="192"/>
      <c r="AG54" s="65"/>
      <c r="AI54" s="105">
        <f t="shared" si="47"/>
        <v>0.81527400048388832</v>
      </c>
      <c r="AJ54" s="105">
        <f t="shared" si="48"/>
        <v>0.77338129496402874</v>
      </c>
      <c r="AK54" s="101"/>
      <c r="AO54" s="58"/>
      <c r="AR54" s="58"/>
      <c r="AS54" s="76"/>
      <c r="AW54" s="255"/>
      <c r="AX54" s="64" t="s">
        <v>112</v>
      </c>
      <c r="AY54" s="255"/>
      <c r="AZ54" s="255"/>
      <c r="BA54" s="255"/>
      <c r="BB54" s="255"/>
      <c r="BC54" s="255"/>
      <c r="BD54" s="255"/>
      <c r="BE54" s="256"/>
      <c r="BF54" s="255"/>
      <c r="BG54" s="254"/>
      <c r="BH54" s="255"/>
      <c r="BI54" s="255"/>
      <c r="BJ54" s="255"/>
      <c r="BK54" s="255"/>
      <c r="BL54" s="255"/>
      <c r="BM54" s="255"/>
      <c r="BN54" s="256"/>
      <c r="BO54" s="255"/>
      <c r="BP54" s="255"/>
      <c r="BQ54" s="255"/>
      <c r="BR54" s="255"/>
    </row>
    <row r="55" spans="1:70" x14ac:dyDescent="0.2">
      <c r="A55" s="524">
        <f>$X$16/C56</f>
        <v>0.84197058274277758</v>
      </c>
      <c r="B55" s="169"/>
      <c r="C55" s="445">
        <f t="shared" si="39"/>
        <v>9006.6804653633862</v>
      </c>
      <c r="D55" s="445">
        <f t="shared" si="40"/>
        <v>114.39282446102031</v>
      </c>
      <c r="E55" s="343">
        <f t="shared" si="45"/>
        <v>2988.8962264238385</v>
      </c>
      <c r="F55" s="53">
        <f t="shared" si="41"/>
        <v>8557.7151030844798</v>
      </c>
      <c r="G55" s="343">
        <f>$G$56*F16/$F$17</f>
        <v>81.893547525264054</v>
      </c>
      <c r="H55" s="444">
        <f>C55</f>
        <v>9006.6804653633862</v>
      </c>
      <c r="I55" s="461">
        <f t="shared" si="49"/>
        <v>24</v>
      </c>
      <c r="J55" s="255"/>
      <c r="L55" s="256"/>
      <c r="W55" s="169">
        <f t="shared" si="50"/>
        <v>0.53085492543042601</v>
      </c>
      <c r="X55" s="445">
        <f t="shared" si="42"/>
        <v>8800.8599654724567</v>
      </c>
      <c r="Y55" s="445">
        <f t="shared" si="43"/>
        <v>103.09091227502412</v>
      </c>
      <c r="Z55" s="444">
        <f t="shared" si="46"/>
        <v>2988.8962264238385</v>
      </c>
      <c r="AA55" s="343">
        <f t="shared" si="44"/>
        <v>82.718216790234976</v>
      </c>
      <c r="AB55" s="444">
        <f t="shared" si="51"/>
        <v>9006.6804653633862</v>
      </c>
      <c r="AC55" s="444">
        <f t="shared" si="52"/>
        <v>24</v>
      </c>
      <c r="AD55" s="343">
        <f t="shared" si="53"/>
        <v>121.71376744037673</v>
      </c>
      <c r="AE55" s="192"/>
      <c r="AG55" s="65"/>
      <c r="AI55" s="105">
        <f t="shared" si="47"/>
        <v>0.93914618721633092</v>
      </c>
      <c r="AJ55" s="105">
        <f t="shared" si="48"/>
        <v>0.86330935251798557</v>
      </c>
      <c r="AK55" s="101"/>
      <c r="AO55" s="405"/>
      <c r="AR55" s="405"/>
      <c r="AS55" s="76"/>
      <c r="AW55" s="255"/>
      <c r="AX55" s="396">
        <f>+AX42</f>
        <v>0</v>
      </c>
      <c r="AY55" s="371">
        <f t="shared" ref="AY55:BD55" si="54">+AY42</f>
        <v>0</v>
      </c>
      <c r="AZ55" s="371">
        <f t="shared" si="54"/>
        <v>0</v>
      </c>
      <c r="BA55" s="371">
        <f t="shared" si="54"/>
        <v>0</v>
      </c>
      <c r="BB55" s="371">
        <f t="shared" si="54"/>
        <v>3.8332893335777451E-7</v>
      </c>
      <c r="BC55" s="371">
        <f t="shared" si="54"/>
        <v>-5.4337561597174247E-3</v>
      </c>
      <c r="BD55" s="371">
        <f t="shared" si="54"/>
        <v>39.3646343538759</v>
      </c>
      <c r="BE55" s="256"/>
      <c r="BF55" s="255"/>
      <c r="BG55" s="254"/>
      <c r="BH55" s="255"/>
      <c r="BI55" s="255"/>
      <c r="BJ55" s="255"/>
      <c r="BK55" s="255"/>
      <c r="BL55" s="255"/>
      <c r="BM55" s="255"/>
      <c r="BN55" s="256"/>
      <c r="BO55" s="255"/>
      <c r="BP55" s="255"/>
      <c r="BQ55" s="255"/>
      <c r="BR55" s="255"/>
    </row>
    <row r="56" spans="1:70" ht="13.5" thickBot="1" x14ac:dyDescent="0.25">
      <c r="A56" s="524">
        <v>1</v>
      </c>
      <c r="B56" s="169"/>
      <c r="C56" s="445">
        <f t="shared" si="39"/>
        <v>11258.350581704231</v>
      </c>
      <c r="D56" s="445">
        <f t="shared" si="40"/>
        <v>100.28515065498193</v>
      </c>
      <c r="E56" s="343">
        <f t="shared" si="45"/>
        <v>3079.6244308545251</v>
      </c>
      <c r="F56" s="53">
        <f t="shared" si="41"/>
        <v>10697.143878855601</v>
      </c>
      <c r="G56" s="462">
        <v>87.2</v>
      </c>
      <c r="H56" s="444">
        <f>C56</f>
        <v>11258.350581704231</v>
      </c>
      <c r="I56" s="461">
        <f t="shared" si="49"/>
        <v>27.8</v>
      </c>
      <c r="J56" s="255"/>
      <c r="L56" s="256"/>
      <c r="W56" s="169">
        <f>($Y$51-Y56)/Y56</f>
        <v>0.74620886159432209</v>
      </c>
      <c r="X56" s="445">
        <f t="shared" si="42"/>
        <v>11001.07495684057</v>
      </c>
      <c r="Y56" s="445">
        <f t="shared" si="43"/>
        <v>90.377064447632279</v>
      </c>
      <c r="Z56" s="444">
        <f t="shared" si="46"/>
        <v>3079.6244308545251</v>
      </c>
      <c r="AA56" s="343">
        <f t="shared" si="44"/>
        <v>87.975573169159929</v>
      </c>
      <c r="AB56" s="444">
        <f t="shared" si="51"/>
        <v>11258.350581704231</v>
      </c>
      <c r="AC56" s="444">
        <f t="shared" si="52"/>
        <v>27.8</v>
      </c>
      <c r="AD56" s="343">
        <f t="shared" si="53"/>
        <v>121.87638002568642</v>
      </c>
      <c r="AE56" s="192"/>
      <c r="AG56" s="65"/>
      <c r="AI56" s="105">
        <f t="shared" si="47"/>
        <v>1</v>
      </c>
      <c r="AJ56" s="105">
        <f t="shared" si="48"/>
        <v>1</v>
      </c>
      <c r="AK56" s="101"/>
      <c r="AO56" s="405"/>
      <c r="AR56" s="405"/>
      <c r="AS56" s="76"/>
      <c r="AW56" s="255"/>
      <c r="AX56" s="393">
        <f t="shared" ref="AX56:BD56" si="55">+_xlfn.XLOOKUP($K$2,$BE$49:$BE$53,AX49:AX53)</f>
        <v>0</v>
      </c>
      <c r="AY56" s="393">
        <f t="shared" si="55"/>
        <v>0</v>
      </c>
      <c r="AZ56" s="393">
        <f t="shared" si="55"/>
        <v>-3.9851447935594191E-15</v>
      </c>
      <c r="BA56" s="393">
        <f t="shared" si="55"/>
        <v>1.0215336373548048E-10</v>
      </c>
      <c r="BB56" s="393">
        <f t="shared" si="55"/>
        <v>-1.4868628669027062E-6</v>
      </c>
      <c r="BC56" s="393">
        <f t="shared" si="55"/>
        <v>1.7329252802604906E-2</v>
      </c>
      <c r="BD56" s="393">
        <f t="shared" si="55"/>
        <v>-0.3559410439250712</v>
      </c>
      <c r="BE56" s="278"/>
      <c r="BF56" s="255"/>
      <c r="BG56" s="254"/>
      <c r="BH56" s="255"/>
      <c r="BI56" s="255"/>
      <c r="BJ56" s="255"/>
      <c r="BK56" s="255"/>
      <c r="BL56" s="255"/>
      <c r="BM56" s="255"/>
      <c r="BN56" s="256"/>
      <c r="BO56" s="255"/>
      <c r="BP56" s="255"/>
      <c r="BQ56" s="255"/>
      <c r="BR56" s="255"/>
    </row>
    <row r="57" spans="1:70" x14ac:dyDescent="0.2">
      <c r="A57" s="524">
        <f>C57/C56</f>
        <v>1.1499999999999999</v>
      </c>
      <c r="B57" s="169"/>
      <c r="C57" s="445">
        <f t="shared" si="39"/>
        <v>12947.103168959864</v>
      </c>
      <c r="D57" s="445">
        <f t="shared" si="40"/>
        <v>82.450980489990187</v>
      </c>
      <c r="E57" s="343">
        <f t="shared" si="45"/>
        <v>2990.384467816943</v>
      </c>
      <c r="F57" s="53">
        <f t="shared" si="41"/>
        <v>12301.715460683938</v>
      </c>
      <c r="G57" s="343">
        <f>$G$56*F18/$F$17</f>
        <v>84.180619340697504</v>
      </c>
      <c r="H57" s="444">
        <f>C57</f>
        <v>12947.103168959864</v>
      </c>
      <c r="I57" s="461">
        <f t="shared" si="49"/>
        <v>34</v>
      </c>
      <c r="J57" s="255"/>
      <c r="L57" s="256"/>
      <c r="W57" s="169"/>
      <c r="X57" s="445">
        <f t="shared" si="42"/>
        <v>12651.236200366655</v>
      </c>
      <c r="Y57" s="445">
        <f t="shared" si="43"/>
        <v>74.304894880707181</v>
      </c>
      <c r="Z57" s="444">
        <f t="shared" si="46"/>
        <v>2990.384467816943</v>
      </c>
      <c r="AA57" s="343">
        <f t="shared" si="44"/>
        <v>85.662326771429861</v>
      </c>
      <c r="AB57" s="444">
        <f t="shared" si="51"/>
        <v>12947.103168959864</v>
      </c>
      <c r="AC57" s="444">
        <f t="shared" si="52"/>
        <v>34</v>
      </c>
      <c r="AD57" s="343">
        <f t="shared" si="53"/>
        <v>112.38099570305995</v>
      </c>
      <c r="AE57" s="192"/>
      <c r="AG57" s="65"/>
      <c r="AI57" s="105">
        <f t="shared" si="47"/>
        <v>0.96537407500799888</v>
      </c>
      <c r="AJ57" s="105">
        <f t="shared" si="48"/>
        <v>1.2230215827338129</v>
      </c>
      <c r="AK57" s="101"/>
      <c r="AO57" s="405"/>
      <c r="AR57" s="405"/>
      <c r="AS57" s="58"/>
      <c r="AT57" s="58"/>
      <c r="AW57" s="255"/>
      <c r="AX57" s="255"/>
      <c r="AY57" s="255"/>
      <c r="AZ57" s="255"/>
      <c r="BA57" s="255"/>
      <c r="BB57" s="255"/>
      <c r="BC57" s="255"/>
      <c r="BD57" s="255"/>
      <c r="BE57" s="255"/>
      <c r="BF57" s="255"/>
      <c r="BG57" s="254"/>
      <c r="BH57" s="255"/>
      <c r="BI57" s="255"/>
      <c r="BJ57" s="255"/>
      <c r="BK57" s="255"/>
      <c r="BL57" s="255"/>
      <c r="BM57" s="255"/>
      <c r="BN57" s="256"/>
      <c r="BO57" s="255"/>
      <c r="BP57" s="255"/>
      <c r="BQ57" s="255"/>
      <c r="BR57" s="255"/>
    </row>
    <row r="58" spans="1:70" ht="13.5" thickBot="1" x14ac:dyDescent="0.25">
      <c r="A58" s="524">
        <f>C58/C56</f>
        <v>1.3</v>
      </c>
      <c r="B58" s="169"/>
      <c r="C58" s="445">
        <f t="shared" si="39"/>
        <v>14635.855756215502</v>
      </c>
      <c r="D58" s="445">
        <f t="shared" si="40"/>
        <v>54.08736891943466</v>
      </c>
      <c r="E58" s="343">
        <f t="shared" si="45"/>
        <v>2517.1904146159586</v>
      </c>
      <c r="F58" s="53">
        <f t="shared" si="41"/>
        <v>13906.28704251228</v>
      </c>
      <c r="G58" s="343">
        <f>$G$56*F19/$F$17</f>
        <v>70.888942602692637</v>
      </c>
      <c r="H58" s="444">
        <f>C58</f>
        <v>14635.855756215502</v>
      </c>
      <c r="I58" s="461">
        <f t="shared" si="49"/>
        <v>48.4</v>
      </c>
      <c r="J58" s="255"/>
      <c r="L58" s="256"/>
      <c r="W58" s="169"/>
      <c r="X58" s="445">
        <f t="shared" si="42"/>
        <v>14301.397443892742</v>
      </c>
      <c r="Y58" s="445">
        <f t="shared" si="43"/>
        <v>48.743583618396599</v>
      </c>
      <c r="Z58" s="444">
        <f t="shared" si="46"/>
        <v>2517.1904146159586</v>
      </c>
      <c r="AA58" s="343">
        <f t="shared" si="44"/>
        <v>75.465137673862074</v>
      </c>
      <c r="AB58" s="444">
        <f t="shared" si="51"/>
        <v>14635.855756215502</v>
      </c>
      <c r="AC58" s="444">
        <f t="shared" si="52"/>
        <v>48.4</v>
      </c>
      <c r="AD58" s="343">
        <f t="shared" si="53"/>
        <v>91.683418539506022</v>
      </c>
      <c r="AE58" s="318"/>
      <c r="AG58" s="65"/>
      <c r="AI58" s="105">
        <f t="shared" si="47"/>
        <v>0.8129465894804202</v>
      </c>
      <c r="AJ58" s="106">
        <f t="shared" si="48"/>
        <v>1.7410071942446042</v>
      </c>
      <c r="AK58" s="101"/>
      <c r="AO58" s="405"/>
      <c r="AR58" s="405"/>
      <c r="AS58" s="89"/>
      <c r="AT58" s="404"/>
      <c r="AW58" s="255"/>
      <c r="AX58" s="255" t="s">
        <v>115</v>
      </c>
      <c r="AY58" s="255"/>
      <c r="AZ58" s="255"/>
      <c r="BA58" s="255"/>
      <c r="BB58" s="255"/>
      <c r="BC58" s="255"/>
      <c r="BD58" s="255"/>
      <c r="BE58" s="255"/>
      <c r="BF58" s="255"/>
      <c r="BG58" s="254"/>
      <c r="BH58" s="255"/>
      <c r="BI58" s="255"/>
      <c r="BJ58" s="255"/>
      <c r="BK58" s="255"/>
      <c r="BL58" s="255"/>
      <c r="BM58" s="255"/>
      <c r="BN58" s="256"/>
      <c r="BO58" s="255"/>
      <c r="BP58" s="255"/>
      <c r="BQ58" s="255"/>
      <c r="BR58" s="255"/>
    </row>
    <row r="59" spans="1:70" ht="13.5" thickBot="1" x14ac:dyDescent="0.25">
      <c r="B59" s="277"/>
      <c r="C59" s="259"/>
      <c r="D59" s="259"/>
      <c r="E59" s="259"/>
      <c r="F59" s="259"/>
      <c r="G59" s="259"/>
      <c r="H59" s="427"/>
      <c r="I59" s="260"/>
      <c r="J59" s="260"/>
      <c r="K59" s="260"/>
      <c r="L59" s="278"/>
      <c r="W59" s="64"/>
      <c r="X59" s="64"/>
      <c r="Y59" s="64"/>
      <c r="Z59" s="343"/>
      <c r="AG59" s="65"/>
      <c r="AO59" s="405"/>
      <c r="AR59" s="405"/>
      <c r="AS59" s="89"/>
      <c r="AT59" s="404"/>
      <c r="AW59" s="255"/>
      <c r="AX59" s="386" t="s">
        <v>41</v>
      </c>
      <c r="AY59" s="387" t="s">
        <v>42</v>
      </c>
      <c r="AZ59" s="387" t="s">
        <v>43</v>
      </c>
      <c r="BA59" s="387" t="s">
        <v>44</v>
      </c>
      <c r="BB59" s="387" t="s">
        <v>45</v>
      </c>
      <c r="BC59" s="387" t="s">
        <v>46</v>
      </c>
      <c r="BD59" s="387" t="s">
        <v>47</v>
      </c>
      <c r="BE59" s="388"/>
      <c r="BF59" s="255"/>
      <c r="BG59" s="254"/>
      <c r="BH59" s="255"/>
      <c r="BI59" s="255"/>
      <c r="BJ59" s="255"/>
      <c r="BK59" s="255"/>
      <c r="BL59" s="255"/>
      <c r="BM59" s="255"/>
      <c r="BN59" s="256"/>
      <c r="BO59" s="255"/>
      <c r="BP59" s="255"/>
      <c r="BQ59" s="255"/>
      <c r="BR59" s="255"/>
    </row>
    <row r="60" spans="1:70" x14ac:dyDescent="0.2">
      <c r="B60" s="509" t="s">
        <v>73</v>
      </c>
      <c r="C60" s="283" t="s">
        <v>74</v>
      </c>
      <c r="D60" s="510" t="s">
        <v>32</v>
      </c>
      <c r="E60" s="510" t="s">
        <v>75</v>
      </c>
      <c r="F60" s="510" t="s">
        <v>76</v>
      </c>
      <c r="G60" s="510" t="s">
        <v>77</v>
      </c>
      <c r="H60" s="510" t="s">
        <v>78</v>
      </c>
      <c r="I60" s="510" t="s">
        <v>34</v>
      </c>
      <c r="J60" s="510" t="s">
        <v>79</v>
      </c>
      <c r="K60" s="510" t="s">
        <v>80</v>
      </c>
      <c r="L60" s="548" t="s">
        <v>81</v>
      </c>
      <c r="W60" s="64" t="s">
        <v>73</v>
      </c>
      <c r="X60" s="53" t="s">
        <v>74</v>
      </c>
      <c r="Y60" s="76" t="s">
        <v>32</v>
      </c>
      <c r="Z60" s="76" t="s">
        <v>75</v>
      </c>
      <c r="AA60" s="76" t="s">
        <v>76</v>
      </c>
      <c r="AB60" s="76" t="s">
        <v>77</v>
      </c>
      <c r="AC60" s="76" t="s">
        <v>78</v>
      </c>
      <c r="AD60" s="76" t="s">
        <v>34</v>
      </c>
      <c r="AE60" s="76" t="s">
        <v>79</v>
      </c>
      <c r="AF60" s="76" t="s">
        <v>80</v>
      </c>
      <c r="AG60" s="152" t="s">
        <v>81</v>
      </c>
      <c r="AO60" s="405"/>
      <c r="AR60" s="405"/>
      <c r="AS60" s="89"/>
      <c r="AT60" s="404"/>
      <c r="AW60" s="255"/>
      <c r="AX60" s="395" cm="1">
        <f t="array" ref="AX60:BD60">LINEST(G38:G45,F38:F45^{1,2,3,4,5,6})</f>
        <v>1.6128717404349158E-22</v>
      </c>
      <c r="AY60" s="370">
        <v>-7.9936068858426103E-18</v>
      </c>
      <c r="AZ60" s="370">
        <v>1.4626090666545534E-13</v>
      </c>
      <c r="BA60" s="370">
        <v>-1.215694601949521E-9</v>
      </c>
      <c r="BB60" s="370">
        <v>3.7843334542231791E-6</v>
      </c>
      <c r="BC60" s="370">
        <v>9.8641901260547397E-3</v>
      </c>
      <c r="BD60" s="370">
        <v>-6.4371847976758545E-3</v>
      </c>
      <c r="BE60" s="390">
        <v>6</v>
      </c>
      <c r="BF60" s="255"/>
      <c r="BG60" s="254"/>
      <c r="BH60" s="255"/>
      <c r="BI60" s="255"/>
      <c r="BJ60" s="255"/>
      <c r="BK60" s="255"/>
      <c r="BL60" s="255"/>
      <c r="BM60" s="255"/>
      <c r="BN60" s="256"/>
      <c r="BO60" s="255"/>
      <c r="BP60" s="255"/>
      <c r="BQ60" s="255"/>
      <c r="BR60" s="255"/>
    </row>
    <row r="61" spans="1:70" x14ac:dyDescent="0.2">
      <c r="B61" s="289">
        <f>H8</f>
        <v>56.845454164807514</v>
      </c>
      <c r="C61" s="89">
        <f>K5</f>
        <v>487</v>
      </c>
      <c r="D61" s="76">
        <f>K8</f>
        <v>1180</v>
      </c>
      <c r="E61" s="89">
        <f>C17</f>
        <v>11849</v>
      </c>
      <c r="F61" s="89">
        <f>D17</f>
        <v>126.23152280476728</v>
      </c>
      <c r="G61" s="89">
        <f>F17</f>
        <v>88.566704051267962</v>
      </c>
      <c r="H61" s="89">
        <f>E17</f>
        <v>4600.1122152915004</v>
      </c>
      <c r="I61" s="89">
        <f>C19</f>
        <v>15403.7</v>
      </c>
      <c r="J61" s="111">
        <f>I61/E61</f>
        <v>1.3</v>
      </c>
      <c r="K61" s="90" t="e">
        <f>(E61/3600)/(((L7/1000)^2)*(3.14/4))</f>
        <v>#DIV/0!</v>
      </c>
      <c r="L61" s="506" t="e">
        <f>(E61/3600)/(((L6/1000)^2)*(3.14/4))</f>
        <v>#DIV/0!</v>
      </c>
      <c r="W61" s="289">
        <f>AC8</f>
        <v>56.845454164807492</v>
      </c>
      <c r="X61" s="89">
        <f>AF5</f>
        <v>487</v>
      </c>
      <c r="Y61" s="76">
        <f>AF8</f>
        <v>1180</v>
      </c>
      <c r="Z61" s="89">
        <f>X17</f>
        <v>11849</v>
      </c>
      <c r="AA61" s="89">
        <f>Y17</f>
        <v>126.23152280476731</v>
      </c>
      <c r="AB61" s="89">
        <f>AA17</f>
        <v>88.496210143349956</v>
      </c>
      <c r="AC61" s="89">
        <f>Z17</f>
        <v>4605.6544944326943</v>
      </c>
      <c r="AD61" s="89">
        <f>X19</f>
        <v>15403.7</v>
      </c>
      <c r="AE61" s="111">
        <f>AD61/Z61</f>
        <v>1.3</v>
      </c>
      <c r="AF61" s="90" t="e">
        <f>(Z61/3600)/(((AG7/1000)^2)*(3.14/4))</f>
        <v>#DIV/0!</v>
      </c>
      <c r="AG61" s="506" t="e">
        <f>(Z61/3600)/(((AG6/1000)^2)*(3.14/4))</f>
        <v>#DIV/0!</v>
      </c>
      <c r="AO61" s="405"/>
      <c r="AR61" s="405"/>
      <c r="AS61" s="89"/>
      <c r="AT61" s="404"/>
      <c r="AW61" s="255"/>
      <c r="AX61" s="395"/>
      <c r="AY61" s="370" cm="1">
        <f t="array" ref="AY61:BD61">LINEST(G38:G45,F38:F45^{1,2,3,4,5})</f>
        <v>-7.9617829734168482E-19</v>
      </c>
      <c r="AZ61" s="370">
        <v>2.5454948969695151E-14</v>
      </c>
      <c r="BA61" s="370">
        <v>-2.775690310737257E-10</v>
      </c>
      <c r="BB61" s="370">
        <v>4.9157276875581955E-7</v>
      </c>
      <c r="BC61" s="370">
        <v>1.3904462455768459E-2</v>
      </c>
      <c r="BD61" s="370">
        <v>-7.0016464382518961E-2</v>
      </c>
      <c r="BE61" s="391">
        <v>5</v>
      </c>
      <c r="BF61" s="255"/>
      <c r="BG61" s="254"/>
      <c r="BH61" s="255"/>
      <c r="BI61" s="255"/>
      <c r="BJ61" s="255"/>
      <c r="BK61" s="255"/>
      <c r="BL61" s="255"/>
      <c r="BM61" s="255"/>
      <c r="BN61" s="256"/>
      <c r="BO61" s="255"/>
      <c r="BP61" s="255"/>
      <c r="BQ61" s="255"/>
      <c r="BR61" s="255"/>
    </row>
    <row r="62" spans="1:70" x14ac:dyDescent="0.2">
      <c r="B62" s="509" t="s">
        <v>82</v>
      </c>
      <c r="C62" s="283" t="s">
        <v>83</v>
      </c>
      <c r="D62" s="283" t="s">
        <v>84</v>
      </c>
      <c r="E62" s="510" t="s">
        <v>85</v>
      </c>
      <c r="F62" s="510" t="s">
        <v>86</v>
      </c>
      <c r="G62" s="510" t="s">
        <v>87</v>
      </c>
      <c r="H62" s="510" t="s">
        <v>88</v>
      </c>
      <c r="I62" s="510" t="s">
        <v>89</v>
      </c>
      <c r="J62" s="510" t="s">
        <v>90</v>
      </c>
      <c r="K62" s="510" t="s">
        <v>91</v>
      </c>
      <c r="L62" s="324"/>
      <c r="W62" s="64" t="s">
        <v>82</v>
      </c>
      <c r="X62" s="53" t="s">
        <v>83</v>
      </c>
      <c r="Y62" s="53" t="s">
        <v>84</v>
      </c>
      <c r="Z62" s="76" t="s">
        <v>85</v>
      </c>
      <c r="AA62" s="76" t="s">
        <v>86</v>
      </c>
      <c r="AB62" s="76" t="s">
        <v>87</v>
      </c>
      <c r="AC62" s="76" t="s">
        <v>88</v>
      </c>
      <c r="AD62" s="76" t="s">
        <v>89</v>
      </c>
      <c r="AE62" s="76" t="s">
        <v>90</v>
      </c>
      <c r="AF62" s="76" t="s">
        <v>91</v>
      </c>
      <c r="AG62" s="65"/>
      <c r="AO62" s="405"/>
      <c r="AR62" s="405"/>
      <c r="AS62" s="89"/>
      <c r="AT62" s="404"/>
      <c r="AW62" s="255"/>
      <c r="AX62" s="395"/>
      <c r="AY62" s="370"/>
      <c r="AZ62" s="370" cm="1">
        <f t="array" ref="AZ62:BD62">LINEST(G38:G45,F38:F45^{1,2,3,4})</f>
        <v>-3.9851447935594191E-15</v>
      </c>
      <c r="BA62" s="370">
        <v>1.0215336373548048E-10</v>
      </c>
      <c r="BB62" s="370">
        <v>-1.4868628669027062E-6</v>
      </c>
      <c r="BC62" s="370">
        <v>1.7329252802604906E-2</v>
      </c>
      <c r="BD62" s="370">
        <v>-0.3559410439250712</v>
      </c>
      <c r="BE62" s="391">
        <v>4</v>
      </c>
      <c r="BF62" s="255"/>
      <c r="BG62" s="254"/>
      <c r="BH62" s="255"/>
      <c r="BI62" s="255"/>
      <c r="BJ62" s="255"/>
      <c r="BK62" s="255"/>
      <c r="BL62" s="255"/>
      <c r="BM62" s="255"/>
      <c r="BN62" s="256"/>
      <c r="BO62" s="255"/>
      <c r="BP62" s="255"/>
      <c r="BQ62" s="255"/>
      <c r="BR62" s="255"/>
    </row>
    <row r="63" spans="1:70" x14ac:dyDescent="0.2">
      <c r="B63" s="289">
        <f>D12</f>
        <v>220.42660373423044</v>
      </c>
      <c r="C63" s="90">
        <f>D12/D17</f>
        <v>1.7462088615943225</v>
      </c>
      <c r="D63" s="89">
        <f>E19</f>
        <v>3967.4274089649966</v>
      </c>
      <c r="E63" s="89">
        <f>E51</f>
        <v>3200</v>
      </c>
      <c r="F63" s="89">
        <f>H17</f>
        <v>27.8</v>
      </c>
      <c r="G63" s="89">
        <f>K8/60*(G17/H65)^0.5/H17^0.75</f>
        <v>176.82269672817816</v>
      </c>
      <c r="H63" s="89">
        <f>G19</f>
        <v>15403.7</v>
      </c>
      <c r="I63" s="90">
        <f>H19</f>
        <v>48.4</v>
      </c>
      <c r="J63" s="89">
        <f>G14</f>
        <v>5500</v>
      </c>
      <c r="K63" s="90">
        <f>H14</f>
        <v>19.7</v>
      </c>
      <c r="L63" s="152"/>
      <c r="W63" s="289">
        <f>Y12</f>
        <v>220.42660373423047</v>
      </c>
      <c r="X63" s="90">
        <f>Y12/Y17</f>
        <v>1.7462088615943223</v>
      </c>
      <c r="Y63" s="89">
        <f>Z19</f>
        <v>3952.2293433246459</v>
      </c>
      <c r="Z63" s="89">
        <f>Z51</f>
        <v>3200</v>
      </c>
      <c r="AA63" s="89">
        <f>AC17</f>
        <v>27.663358209317863</v>
      </c>
      <c r="AB63" s="89">
        <f>AF8/60*(AB17/AC65)^0.5/AC17^0.75</f>
        <v>177.4773483352601</v>
      </c>
      <c r="AC63" s="89">
        <f>AB19</f>
        <v>15403.7</v>
      </c>
      <c r="AD63" s="90">
        <f>AC19</f>
        <v>48.379977728865128</v>
      </c>
      <c r="AE63" s="89">
        <f>AB14</f>
        <v>5500</v>
      </c>
      <c r="AF63" s="90">
        <f>AC14</f>
        <v>19.718813087648144</v>
      </c>
      <c r="AG63" s="152"/>
      <c r="AS63" s="76"/>
      <c r="AW63" s="255"/>
      <c r="AX63" s="395"/>
      <c r="AY63" s="370"/>
      <c r="AZ63" s="370"/>
      <c r="BA63" s="370" cm="1">
        <f t="array" ref="BA63:BD63">LINEST(G38:G45,F38:F45^{1,2,3})</f>
        <v>-1.5299959340928729E-11</v>
      </c>
      <c r="BB63" s="370">
        <v>-4.1254002058135173E-7</v>
      </c>
      <c r="BC63" s="370">
        <v>1.4279225449690965E-2</v>
      </c>
      <c r="BD63" s="370">
        <v>0.51821867993164794</v>
      </c>
      <c r="BE63" s="390">
        <v>3</v>
      </c>
      <c r="BF63" s="255"/>
      <c r="BG63" s="254"/>
      <c r="BH63" s="255"/>
      <c r="BI63" s="255"/>
      <c r="BJ63" s="255"/>
      <c r="BK63" s="255"/>
      <c r="BL63" s="255"/>
      <c r="BM63" s="255"/>
      <c r="BN63" s="256"/>
      <c r="BO63" s="255"/>
      <c r="BP63" s="255"/>
      <c r="BQ63" s="255"/>
      <c r="BR63" s="255"/>
    </row>
    <row r="64" spans="1:70" x14ac:dyDescent="0.2">
      <c r="B64" s="511" t="s">
        <v>92</v>
      </c>
      <c r="C64" s="510" t="s">
        <v>93</v>
      </c>
      <c r="D64" s="510" t="s">
        <v>94</v>
      </c>
      <c r="H64" s="413" t="s">
        <v>95</v>
      </c>
      <c r="J64" s="413" t="s">
        <v>211</v>
      </c>
      <c r="K64" s="255"/>
      <c r="L64" s="256"/>
      <c r="W64" s="153" t="s">
        <v>92</v>
      </c>
      <c r="X64" s="76" t="s">
        <v>93</v>
      </c>
      <c r="Y64" s="76" t="s">
        <v>94</v>
      </c>
      <c r="AC64" s="70" t="s">
        <v>95</v>
      </c>
      <c r="AE64" s="53" t="s">
        <v>96</v>
      </c>
      <c r="AG64" s="65"/>
      <c r="AS64" s="76"/>
      <c r="AW64" s="255"/>
      <c r="AX64" s="395"/>
      <c r="AY64" s="370"/>
      <c r="AZ64" s="370"/>
      <c r="BA64" s="370"/>
      <c r="BB64" s="370" cm="1">
        <f t="array" ref="BB64:BD64">LINEST(G38:G45,F38:F45^{1,2})</f>
        <v>-7.485537240014178E-7</v>
      </c>
      <c r="BC64" s="370">
        <v>1.6118935443093015E-2</v>
      </c>
      <c r="BD64" s="370">
        <v>-0.90717114420575484</v>
      </c>
      <c r="BE64" s="390">
        <v>2</v>
      </c>
      <c r="BF64" s="255"/>
      <c r="BG64" s="254"/>
      <c r="BH64" s="255"/>
      <c r="BI64" s="255"/>
      <c r="BJ64" s="255"/>
      <c r="BK64" s="255"/>
      <c r="BL64" s="255"/>
      <c r="BM64" s="255"/>
      <c r="BN64" s="256"/>
      <c r="BO64" s="255"/>
      <c r="BP64" s="255"/>
      <c r="BQ64" s="255"/>
      <c r="BR64" s="255"/>
    </row>
    <row r="65" spans="2:70" ht="13.5" thickBot="1" x14ac:dyDescent="0.25">
      <c r="B65" s="507">
        <f>G30</f>
        <v>88.1</v>
      </c>
      <c r="C65" s="508">
        <f>G43</f>
        <v>88.1</v>
      </c>
      <c r="D65" s="508">
        <f>G56</f>
        <v>87.2</v>
      </c>
      <c r="E65" s="48"/>
      <c r="F65" s="48"/>
      <c r="G65" s="48"/>
      <c r="H65" s="426">
        <v>1</v>
      </c>
      <c r="I65" s="48"/>
      <c r="J65" s="426">
        <v>1</v>
      </c>
      <c r="K65" s="260"/>
      <c r="L65" s="278"/>
      <c r="W65" s="507">
        <f>AA30</f>
        <v>87.916355953923741</v>
      </c>
      <c r="X65" s="508">
        <f>AA43</f>
        <v>88.029877561165819</v>
      </c>
      <c r="Y65" s="508">
        <f>AA56</f>
        <v>87.975573169159929</v>
      </c>
      <c r="Z65" s="48"/>
      <c r="AA65" s="48"/>
      <c r="AB65" s="48"/>
      <c r="AC65" s="523">
        <v>1</v>
      </c>
      <c r="AD65" s="48"/>
      <c r="AE65" s="523">
        <v>1</v>
      </c>
      <c r="AF65" s="48"/>
      <c r="AG65" s="102"/>
      <c r="AS65" s="76"/>
      <c r="AW65" s="255"/>
      <c r="AX65" s="64" t="s">
        <v>112</v>
      </c>
      <c r="AY65" s="255"/>
      <c r="AZ65" s="255"/>
      <c r="BA65" s="255"/>
      <c r="BB65" s="255"/>
      <c r="BC65" s="255"/>
      <c r="BD65" s="255"/>
      <c r="BE65" s="256"/>
      <c r="BF65" s="255"/>
      <c r="BG65" s="254"/>
      <c r="BH65" s="255"/>
      <c r="BI65" s="255"/>
      <c r="BJ65" s="255"/>
      <c r="BK65" s="255"/>
      <c r="BL65" s="255"/>
      <c r="BM65" s="255"/>
      <c r="BN65" s="256"/>
      <c r="BO65" s="255"/>
      <c r="BP65" s="255"/>
      <c r="BQ65" s="255"/>
      <c r="BR65" s="255"/>
    </row>
    <row r="66" spans="2:70" ht="13.5" thickBot="1" x14ac:dyDescent="0.25">
      <c r="B66" s="376"/>
      <c r="C66" s="377"/>
      <c r="D66" s="377"/>
      <c r="E66" s="377"/>
      <c r="F66" s="378"/>
      <c r="G66" s="378"/>
      <c r="H66" s="378"/>
      <c r="I66" s="379" t="s">
        <v>191</v>
      </c>
      <c r="J66" s="380"/>
      <c r="K66" s="453"/>
      <c r="L66" s="454"/>
      <c r="W66" s="49"/>
      <c r="X66" s="50"/>
      <c r="Y66" s="50"/>
      <c r="Z66" s="50"/>
      <c r="AA66" s="51"/>
      <c r="AB66" s="51"/>
      <c r="AC66" s="51"/>
      <c r="AD66" s="154" t="s">
        <v>98</v>
      </c>
      <c r="AE66" s="155"/>
      <c r="AF66" s="553"/>
      <c r="AG66" s="52"/>
      <c r="AO66" s="55"/>
      <c r="AP66" s="85"/>
      <c r="AQ66" s="86"/>
      <c r="AT66" s="87"/>
      <c r="AW66" s="255"/>
      <c r="AX66" s="396">
        <f>+AX53</f>
        <v>0</v>
      </c>
      <c r="AY66" s="371">
        <f t="shared" ref="AY66:BD66" si="56">+AY53</f>
        <v>0</v>
      </c>
      <c r="AZ66" s="371">
        <f t="shared" si="56"/>
        <v>0</v>
      </c>
      <c r="BA66" s="371">
        <f t="shared" si="56"/>
        <v>0</v>
      </c>
      <c r="BB66" s="371">
        <f t="shared" si="56"/>
        <v>-7.485537240014178E-7</v>
      </c>
      <c r="BC66" s="371">
        <f t="shared" si="56"/>
        <v>1.6118935443093015E-2</v>
      </c>
      <c r="BD66" s="371">
        <f t="shared" si="56"/>
        <v>-0.90717114420575484</v>
      </c>
      <c r="BE66" s="256"/>
      <c r="BF66" s="255"/>
      <c r="BG66" s="277"/>
      <c r="BH66" s="260"/>
      <c r="BI66" s="260"/>
      <c r="BJ66" s="260"/>
      <c r="BK66" s="260"/>
      <c r="BL66" s="260"/>
      <c r="BM66" s="260"/>
      <c r="BN66" s="278"/>
      <c r="BO66" s="255"/>
      <c r="BP66" s="255"/>
      <c r="BQ66" s="255"/>
      <c r="BR66" s="255"/>
    </row>
    <row r="67" spans="2:70" ht="15.75" thickBot="1" x14ac:dyDescent="0.25">
      <c r="AI67" s="613" t="s">
        <v>226</v>
      </c>
      <c r="AJ67" s="614"/>
      <c r="AK67" s="614"/>
      <c r="AL67" s="614"/>
      <c r="AM67" s="614"/>
      <c r="AN67" s="614"/>
      <c r="AO67" s="614"/>
      <c r="AP67" s="614"/>
      <c r="AQ67" s="614"/>
      <c r="AR67" s="614"/>
      <c r="AS67" s="614"/>
      <c r="AT67" s="614"/>
      <c r="AU67" s="614"/>
      <c r="AV67" s="614"/>
      <c r="AW67" s="615"/>
      <c r="AX67" s="574">
        <f t="shared" ref="AX67:BD67" si="57">+_xlfn.XLOOKUP($K$2,$BE$60:$BE$64,AX60:AX64)</f>
        <v>0</v>
      </c>
      <c r="AY67" s="393">
        <f t="shared" si="57"/>
        <v>0</v>
      </c>
      <c r="AZ67" s="393">
        <f t="shared" si="57"/>
        <v>-3.9851447935594191E-15</v>
      </c>
      <c r="BA67" s="393">
        <f t="shared" si="57"/>
        <v>1.0215336373548048E-10</v>
      </c>
      <c r="BB67" s="393">
        <f t="shared" si="57"/>
        <v>-1.4868628669027062E-6</v>
      </c>
      <c r="BC67" s="393">
        <f t="shared" si="57"/>
        <v>1.7329252802604906E-2</v>
      </c>
      <c r="BD67" s="393">
        <f t="shared" si="57"/>
        <v>-0.3559410439250712</v>
      </c>
      <c r="BE67" s="278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</row>
    <row r="68" spans="2:70" x14ac:dyDescent="0.2">
      <c r="AI68" s="64"/>
      <c r="AK68" s="284">
        <v>487.42599999999999</v>
      </c>
      <c r="AL68" s="265">
        <v>1180</v>
      </c>
      <c r="AM68" s="265"/>
      <c r="AN68" s="265"/>
      <c r="AO68" s="265"/>
      <c r="AP68" s="266"/>
      <c r="AQ68"/>
      <c r="AR68" s="284">
        <v>457.96199999999999</v>
      </c>
      <c r="AS68" s="184"/>
      <c r="AT68" s="184"/>
      <c r="AU68" s="184"/>
      <c r="AV68" s="184"/>
      <c r="AW68" s="256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</row>
    <row r="69" spans="2:70" ht="13.5" thickBot="1" x14ac:dyDescent="0.25">
      <c r="AI69" s="64"/>
      <c r="AK69" s="267" t="s">
        <v>99</v>
      </c>
      <c r="AL69" s="558" t="s">
        <v>100</v>
      </c>
      <c r="AM69" s="45" t="s">
        <v>101</v>
      </c>
      <c r="AN69" s="45" t="s">
        <v>79</v>
      </c>
      <c r="AO69" s="45" t="s">
        <v>99</v>
      </c>
      <c r="AP69" s="268" t="s">
        <v>102</v>
      </c>
      <c r="AR69" s="267" t="s">
        <v>103</v>
      </c>
      <c r="AS69" s="45" t="s">
        <v>104</v>
      </c>
      <c r="AT69" s="45" t="s">
        <v>105</v>
      </c>
      <c r="AU69" s="45" t="s">
        <v>106</v>
      </c>
      <c r="AV69" s="45" t="s">
        <v>103</v>
      </c>
      <c r="AW69" s="256"/>
      <c r="AX69" s="255" t="s">
        <v>115</v>
      </c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</row>
    <row r="70" spans="2:70" x14ac:dyDescent="0.2">
      <c r="V70" s="53">
        <v>1</v>
      </c>
      <c r="W70" s="70" t="s">
        <v>234</v>
      </c>
      <c r="AI70" s="64"/>
      <c r="AK70" s="291">
        <v>0</v>
      </c>
      <c r="AL70" s="292">
        <v>220.2</v>
      </c>
      <c r="AM70" s="403"/>
      <c r="AN70" s="294">
        <v>0</v>
      </c>
      <c r="AO70" s="415"/>
      <c r="AP70" s="302"/>
      <c r="AR70" s="297">
        <v>0</v>
      </c>
      <c r="AS70" s="297">
        <v>191.8</v>
      </c>
      <c r="AT70" s="298"/>
      <c r="AU70" s="295">
        <v>0</v>
      </c>
      <c r="AV70" s="559"/>
      <c r="AW70" s="256"/>
      <c r="AX70" s="575" t="s">
        <v>41</v>
      </c>
      <c r="AY70" s="387" t="s">
        <v>42</v>
      </c>
      <c r="AZ70" s="387" t="s">
        <v>43</v>
      </c>
      <c r="BA70" s="387" t="s">
        <v>44</v>
      </c>
      <c r="BB70" s="387" t="s">
        <v>45</v>
      </c>
      <c r="BC70" s="387" t="s">
        <v>46</v>
      </c>
      <c r="BD70" s="387" t="s">
        <v>47</v>
      </c>
      <c r="BE70" s="388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</row>
    <row r="71" spans="2:70" x14ac:dyDescent="0.2">
      <c r="AI71" s="64"/>
      <c r="AJ71" s="101"/>
      <c r="AK71" s="362">
        <v>1183</v>
      </c>
      <c r="AL71" s="362">
        <v>204.1</v>
      </c>
      <c r="AM71" s="403">
        <f>AK71/3600*AL71*9.806/(AN71/100)*1000/1000</f>
        <v>3959.5652582112511</v>
      </c>
      <c r="AN71" s="301">
        <v>16.61</v>
      </c>
      <c r="AO71" s="360"/>
      <c r="AP71" s="303"/>
      <c r="AR71" s="297">
        <v>986</v>
      </c>
      <c r="AS71" s="297">
        <v>180.3</v>
      </c>
      <c r="AT71" s="403">
        <f>AR71/3600*AS71*9.806/(AU71/100)*1000/1000</f>
        <v>3584.3192178633108</v>
      </c>
      <c r="AU71" s="416">
        <v>13.51</v>
      </c>
      <c r="AV71" s="559"/>
      <c r="AW71" s="256"/>
      <c r="AX71" s="576" cm="1">
        <f t="array" ref="AX71:BD71">LINEST(G51:G58,F51:F58^{1,2,3,4,5,6})</f>
        <v>2.1909742834691083E-22</v>
      </c>
      <c r="AY71" s="370">
        <v>-1.0300637145082924E-17</v>
      </c>
      <c r="AZ71" s="370">
        <v>1.7878596313983203E-13</v>
      </c>
      <c r="BA71" s="370">
        <v>-1.4096571558736271E-9</v>
      </c>
      <c r="BB71" s="370">
        <v>4.1625768429241665E-6</v>
      </c>
      <c r="BC71" s="370">
        <v>1.0292435548182542E-2</v>
      </c>
      <c r="BD71" s="370">
        <v>-6.3714246801964691E-3</v>
      </c>
      <c r="BE71" s="390">
        <v>6</v>
      </c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</row>
    <row r="72" spans="2:70" x14ac:dyDescent="0.2">
      <c r="AI72" s="64"/>
      <c r="AJ72" s="101"/>
      <c r="AK72" s="362">
        <v>1973</v>
      </c>
      <c r="AL72" s="362">
        <v>197.8</v>
      </c>
      <c r="AM72" s="403">
        <f t="shared" ref="AM72:AM89" si="58">AK72/3600*AL72*9.806/(AN72/100)*1000/1000</f>
        <v>3901.0027282364931</v>
      </c>
      <c r="AN72" s="363">
        <v>27.25</v>
      </c>
      <c r="AO72" s="360"/>
      <c r="AP72" s="303"/>
      <c r="AR72" s="297">
        <v>1972</v>
      </c>
      <c r="AS72" s="297">
        <v>174.5</v>
      </c>
      <c r="AT72" s="403">
        <f t="shared" ref="AT72:AT96" si="59">AR72/3600*AS72*9.806/(AU72/100)*1000/1000</f>
        <v>3557.2231541218634</v>
      </c>
      <c r="AU72" s="416">
        <v>26.35</v>
      </c>
      <c r="AV72" s="559"/>
      <c r="AW72" s="256"/>
      <c r="AX72" s="576"/>
      <c r="AY72" s="370" cm="1">
        <f t="array" ref="AY72:BD72">LINEST(G51:G58,F51:F58^{1,2,3,4,5})</f>
        <v>-1.0259628551699335E-18</v>
      </c>
      <c r="AZ72" s="370">
        <v>3.1115543257442704E-14</v>
      </c>
      <c r="BA72" s="370">
        <v>-3.2185482297488491E-10</v>
      </c>
      <c r="BB72" s="370">
        <v>5.4070537086317895E-7</v>
      </c>
      <c r="BC72" s="370">
        <v>1.4508112863730965E-2</v>
      </c>
      <c r="BD72" s="370">
        <v>-6.9301199706558236E-2</v>
      </c>
      <c r="BE72" s="391">
        <v>5</v>
      </c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</row>
    <row r="73" spans="2:70" x14ac:dyDescent="0.2">
      <c r="AI73" s="64"/>
      <c r="AJ73" s="101"/>
      <c r="AK73" s="362">
        <v>2960</v>
      </c>
      <c r="AL73" s="362">
        <v>186.3</v>
      </c>
      <c r="AM73" s="403">
        <f t="shared" si="58"/>
        <v>3818.2081342145389</v>
      </c>
      <c r="AN73" s="363">
        <v>39.340000000000003</v>
      </c>
      <c r="AO73" s="361"/>
      <c r="AP73" s="305"/>
      <c r="AR73" s="297">
        <v>2957</v>
      </c>
      <c r="AS73" s="297">
        <v>164.1</v>
      </c>
      <c r="AT73" s="403">
        <f t="shared" si="59"/>
        <v>3442.9536932360843</v>
      </c>
      <c r="AU73" s="416">
        <v>38.39</v>
      </c>
      <c r="AV73" s="559"/>
      <c r="AW73" s="256"/>
      <c r="AX73" s="576"/>
      <c r="AY73" s="370"/>
      <c r="AZ73" s="370" cm="1">
        <f t="array" ref="AZ73:BD73">LINEST(G51:G58,F51:F58^{1,2,3,4})</f>
        <v>-4.8713491965274453E-15</v>
      </c>
      <c r="BA73" s="370">
        <v>1.1845180521107423E-10</v>
      </c>
      <c r="BB73" s="370">
        <v>-1.6354745196849825E-6</v>
      </c>
      <c r="BC73" s="370">
        <v>1.8081587569753383E-2</v>
      </c>
      <c r="BD73" s="370">
        <v>-0.35230486981001263</v>
      </c>
      <c r="BE73" s="391">
        <v>4</v>
      </c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</row>
    <row r="74" spans="2:70" x14ac:dyDescent="0.2">
      <c r="AI74" s="64"/>
      <c r="AJ74" s="101"/>
      <c r="AK74" s="362">
        <v>3986</v>
      </c>
      <c r="AL74" s="362">
        <v>177.7</v>
      </c>
      <c r="AM74" s="403">
        <f t="shared" si="58"/>
        <v>3803.9505746144414</v>
      </c>
      <c r="AN74" s="301">
        <v>50.72</v>
      </c>
      <c r="AO74" s="360"/>
      <c r="AP74" s="303"/>
      <c r="AR74" s="297">
        <v>4002</v>
      </c>
      <c r="AS74" s="297">
        <v>154.30000000000001</v>
      </c>
      <c r="AT74" s="403">
        <f t="shared" si="59"/>
        <v>3346.6470639342092</v>
      </c>
      <c r="AU74" s="416">
        <v>50.26</v>
      </c>
      <c r="AV74" s="559"/>
      <c r="AW74" s="65"/>
      <c r="AX74" s="576"/>
      <c r="AY74" s="370"/>
      <c r="AZ74" s="370"/>
      <c r="BA74" s="370" cm="1">
        <f t="array" ref="BA74:BD74">LINEST(G51:G58,F51:F58^{1,2,3})</f>
        <v>-1.7741048726323711E-11</v>
      </c>
      <c r="BB74" s="370">
        <v>-4.5377331496385459E-7</v>
      </c>
      <c r="BC74" s="370">
        <v>1.4899145874196398E-2</v>
      </c>
      <c r="BD74" s="370">
        <v>0.51292473200956223</v>
      </c>
      <c r="BE74" s="390">
        <v>3</v>
      </c>
    </row>
    <row r="75" spans="2:70" x14ac:dyDescent="0.2">
      <c r="AI75" s="64"/>
      <c r="AJ75" s="101"/>
      <c r="AK75" s="304">
        <v>4953</v>
      </c>
      <c r="AL75" s="304">
        <v>169.5</v>
      </c>
      <c r="AM75" s="403">
        <f t="shared" si="58"/>
        <v>3838.8382952828597</v>
      </c>
      <c r="AN75" s="364">
        <v>59.57</v>
      </c>
      <c r="AO75" s="360"/>
      <c r="AP75" s="306"/>
      <c r="AR75" s="299">
        <v>4436</v>
      </c>
      <c r="AS75" s="299">
        <v>151.4</v>
      </c>
      <c r="AT75" s="403">
        <f t="shared" si="59"/>
        <v>3333.4404267897694</v>
      </c>
      <c r="AU75" s="418">
        <v>54.879999999999903</v>
      </c>
      <c r="AV75" s="559"/>
      <c r="AW75" s="65"/>
      <c r="AX75" s="576"/>
      <c r="AY75" s="370"/>
      <c r="AZ75" s="370"/>
      <c r="BA75" s="370"/>
      <c r="BB75" s="370" cm="1">
        <f t="array" ref="BB75:BD75">LINEST(G51:G58,F51:F58^{1,2})</f>
        <v>-8.2337152233132949E-7</v>
      </c>
      <c r="BC75" s="370">
        <v>1.6818725311784695E-2</v>
      </c>
      <c r="BD75" s="370">
        <v>-0.89790378858950248</v>
      </c>
      <c r="BE75" s="390">
        <v>2</v>
      </c>
    </row>
    <row r="76" spans="2:70" x14ac:dyDescent="0.2">
      <c r="AI76" s="64"/>
      <c r="AJ76" s="101"/>
      <c r="AK76" s="362">
        <v>5999</v>
      </c>
      <c r="AL76" s="362">
        <v>162.5</v>
      </c>
      <c r="AM76" s="403">
        <f t="shared" si="58"/>
        <v>3957.8909445852169</v>
      </c>
      <c r="AN76" s="301">
        <v>67.09</v>
      </c>
      <c r="AO76" s="560"/>
      <c r="AP76" s="270"/>
      <c r="AR76" s="297">
        <v>4998</v>
      </c>
      <c r="AS76" s="297">
        <v>148.1</v>
      </c>
      <c r="AT76" s="403">
        <f t="shared" si="59"/>
        <v>3373.3192342869888</v>
      </c>
      <c r="AU76" s="416">
        <v>59.77</v>
      </c>
      <c r="AV76" s="559"/>
      <c r="AW76" s="65"/>
      <c r="AX76" s="53" t="s">
        <v>112</v>
      </c>
      <c r="AY76" s="255"/>
      <c r="AZ76" s="255"/>
      <c r="BA76" s="255"/>
      <c r="BB76" s="255"/>
      <c r="BC76" s="255"/>
      <c r="BD76" s="255"/>
      <c r="BE76" s="256"/>
    </row>
    <row r="77" spans="2:70" x14ac:dyDescent="0.2">
      <c r="AI77" s="64"/>
      <c r="AJ77" s="101"/>
      <c r="AK77" s="362">
        <v>6916</v>
      </c>
      <c r="AL77" s="362">
        <v>157.1</v>
      </c>
      <c r="AM77" s="403">
        <f t="shared" si="58"/>
        <v>4087.1634909235991</v>
      </c>
      <c r="AN77" s="301">
        <v>72.41</v>
      </c>
      <c r="AO77" s="560"/>
      <c r="AP77" s="270"/>
      <c r="AR77" s="300">
        <v>5461</v>
      </c>
      <c r="AS77" s="300">
        <v>145.19999999999999</v>
      </c>
      <c r="AT77" s="403">
        <f t="shared" si="59"/>
        <v>3402.9822414789128</v>
      </c>
      <c r="AU77" s="416">
        <v>63.47</v>
      </c>
      <c r="AV77" s="559"/>
      <c r="AW77" s="65"/>
      <c r="AX77" s="577">
        <f>+AX64</f>
        <v>0</v>
      </c>
      <c r="AY77" s="371">
        <f t="shared" ref="AY77:BD77" si="60">+AY64</f>
        <v>0</v>
      </c>
      <c r="AZ77" s="371">
        <f t="shared" si="60"/>
        <v>0</v>
      </c>
      <c r="BA77" s="371">
        <f t="shared" si="60"/>
        <v>0</v>
      </c>
      <c r="BB77" s="371">
        <f t="shared" si="60"/>
        <v>-7.485537240014178E-7</v>
      </c>
      <c r="BC77" s="371">
        <f t="shared" si="60"/>
        <v>1.6118935443093015E-2</v>
      </c>
      <c r="BD77" s="371">
        <f t="shared" si="60"/>
        <v>-0.90717114420575484</v>
      </c>
      <c r="BE77" s="256"/>
    </row>
    <row r="78" spans="2:70" ht="13.5" thickBot="1" x14ac:dyDescent="0.25">
      <c r="AI78" s="64"/>
      <c r="AJ78" s="101"/>
      <c r="AK78" s="365">
        <v>7923</v>
      </c>
      <c r="AL78" s="365">
        <v>151.6</v>
      </c>
      <c r="AM78" s="403">
        <f t="shared" si="58"/>
        <v>4224.3201351409498</v>
      </c>
      <c r="AN78" s="365">
        <v>77.45</v>
      </c>
      <c r="AO78" s="560"/>
      <c r="AP78" s="270"/>
      <c r="AR78" s="269">
        <v>5989</v>
      </c>
      <c r="AS78" s="269">
        <v>142.80000000000001</v>
      </c>
      <c r="AT78" s="403">
        <f t="shared" si="59"/>
        <v>3442.5141352642731</v>
      </c>
      <c r="AU78" s="559">
        <v>67.67</v>
      </c>
      <c r="AV78" s="559"/>
      <c r="AW78" s="65"/>
      <c r="AX78" s="574">
        <f t="shared" ref="AX78:BD78" si="61">+_xlfn.XLOOKUP($K$2,$BE$71:$BE$75,AX71:AX75)</f>
        <v>0</v>
      </c>
      <c r="AY78" s="393">
        <f t="shared" si="61"/>
        <v>0</v>
      </c>
      <c r="AZ78" s="393">
        <f t="shared" si="61"/>
        <v>-4.8713491965274453E-15</v>
      </c>
      <c r="BA78" s="393">
        <f t="shared" si="61"/>
        <v>1.1845180521107423E-10</v>
      </c>
      <c r="BB78" s="393">
        <f t="shared" si="61"/>
        <v>-1.6354745196849825E-6</v>
      </c>
      <c r="BC78" s="393">
        <f t="shared" si="61"/>
        <v>1.8081587569753383E-2</v>
      </c>
      <c r="BD78" s="393">
        <f t="shared" si="61"/>
        <v>-0.35230486981001263</v>
      </c>
      <c r="BE78" s="278"/>
    </row>
    <row r="79" spans="2:70" x14ac:dyDescent="0.2">
      <c r="AI79" s="64"/>
      <c r="AJ79" s="101"/>
      <c r="AK79" s="366">
        <v>8929</v>
      </c>
      <c r="AL79" s="366">
        <v>145.5</v>
      </c>
      <c r="AM79" s="403">
        <f t="shared" si="58"/>
        <v>4390.5624886269643</v>
      </c>
      <c r="AN79" s="366">
        <v>80.599999999999994</v>
      </c>
      <c r="AO79" s="559"/>
      <c r="AP79" s="270"/>
      <c r="AR79" s="269">
        <v>6408</v>
      </c>
      <c r="AS79" s="559">
        <v>140.80000000000001</v>
      </c>
      <c r="AT79" s="403">
        <f t="shared" si="59"/>
        <v>3492.4242489697313</v>
      </c>
      <c r="AU79" s="559">
        <v>70.37</v>
      </c>
      <c r="AV79" s="559"/>
      <c r="AW79" s="65"/>
    </row>
    <row r="80" spans="2:70" x14ac:dyDescent="0.2">
      <c r="AI80" s="64"/>
      <c r="AJ80" s="101"/>
      <c r="AK80" s="366">
        <v>9944</v>
      </c>
      <c r="AL80" s="366">
        <v>141</v>
      </c>
      <c r="AM80" s="403">
        <f t="shared" si="58"/>
        <v>4527.2350719140177</v>
      </c>
      <c r="AN80" s="366">
        <v>84.36</v>
      </c>
      <c r="AO80" s="559"/>
      <c r="AP80" s="270"/>
      <c r="AR80" s="269">
        <v>6901</v>
      </c>
      <c r="AS80" s="559">
        <v>138.4</v>
      </c>
      <c r="AT80" s="403">
        <f t="shared" si="59"/>
        <v>3551.1628713562041</v>
      </c>
      <c r="AU80" s="559">
        <v>73.260000000000005</v>
      </c>
      <c r="AV80" s="559"/>
      <c r="AW80" s="65"/>
    </row>
    <row r="81" spans="22:49" x14ac:dyDescent="0.2">
      <c r="AI81" s="64"/>
      <c r="AJ81" s="101"/>
      <c r="AK81" s="366">
        <v>10368</v>
      </c>
      <c r="AL81" s="366">
        <v>139</v>
      </c>
      <c r="AM81" s="403">
        <f t="shared" si="58"/>
        <v>4556.6313639001737</v>
      </c>
      <c r="AN81" s="366">
        <v>86.15</v>
      </c>
      <c r="AO81" s="559"/>
      <c r="AP81" s="270"/>
      <c r="AR81" s="271">
        <v>7443</v>
      </c>
      <c r="AS81" s="272">
        <v>136</v>
      </c>
      <c r="AT81" s="403">
        <f t="shared" si="59"/>
        <v>3609.4398219662257</v>
      </c>
      <c r="AU81" s="272">
        <v>76.39</v>
      </c>
      <c r="AV81" s="272"/>
      <c r="AW81" s="65"/>
    </row>
    <row r="82" spans="22:49" x14ac:dyDescent="0.2">
      <c r="AI82" s="64"/>
      <c r="AJ82" s="101"/>
      <c r="AK82" s="366">
        <v>10892</v>
      </c>
      <c r="AL82" s="366">
        <v>135</v>
      </c>
      <c r="AM82" s="403">
        <f t="shared" si="58"/>
        <v>4586.3514256269318</v>
      </c>
      <c r="AN82" s="366">
        <v>87.33</v>
      </c>
      <c r="AO82" s="559"/>
      <c r="AP82" s="270"/>
      <c r="AR82">
        <v>7906</v>
      </c>
      <c r="AS82">
        <v>134.30000000000001</v>
      </c>
      <c r="AT82" s="403">
        <f t="shared" si="59"/>
        <v>3697.9405499438835</v>
      </c>
      <c r="AU82">
        <v>78.209999999999994</v>
      </c>
      <c r="AV82"/>
      <c r="AW82" s="65"/>
    </row>
    <row r="83" spans="22:49" x14ac:dyDescent="0.2">
      <c r="AI83" s="64"/>
      <c r="AK83" s="366">
        <v>11356</v>
      </c>
      <c r="AL83" s="366">
        <v>130.9</v>
      </c>
      <c r="AM83" s="403">
        <f t="shared" si="58"/>
        <v>4598.0716816816812</v>
      </c>
      <c r="AN83" s="366">
        <v>88.06</v>
      </c>
      <c r="AO83" s="272"/>
      <c r="AP83" s="273"/>
      <c r="AR83">
        <v>8379</v>
      </c>
      <c r="AS83">
        <v>132.4</v>
      </c>
      <c r="AT83" s="403">
        <f t="shared" si="59"/>
        <v>3786.7503333333334</v>
      </c>
      <c r="AU83">
        <v>79.8</v>
      </c>
      <c r="AV83"/>
      <c r="AW83" s="65"/>
    </row>
    <row r="84" spans="22:49" x14ac:dyDescent="0.2">
      <c r="AI84" s="64"/>
      <c r="AK84" s="367">
        <v>11849</v>
      </c>
      <c r="AL84" s="367">
        <v>126</v>
      </c>
      <c r="AM84" s="403">
        <f t="shared" si="58"/>
        <v>4589.9495372460497</v>
      </c>
      <c r="AN84" s="367">
        <v>88.6</v>
      </c>
      <c r="AO84"/>
      <c r="AP84"/>
      <c r="AR84">
        <v>8912</v>
      </c>
      <c r="AS84">
        <v>132</v>
      </c>
      <c r="AT84" s="403">
        <f t="shared" si="59"/>
        <v>3875.1231184746243</v>
      </c>
      <c r="AU84">
        <v>82.69</v>
      </c>
      <c r="AV84"/>
      <c r="AW84" s="65"/>
    </row>
    <row r="85" spans="22:49" x14ac:dyDescent="0.2">
      <c r="AI85" s="64"/>
      <c r="AK85" s="63">
        <v>12343</v>
      </c>
      <c r="AL85" s="63">
        <v>120.3</v>
      </c>
      <c r="AM85" s="403">
        <f t="shared" si="58"/>
        <v>4573.2717716342522</v>
      </c>
      <c r="AN85" s="63">
        <v>88.44</v>
      </c>
      <c r="AR85" s="53">
        <v>9390</v>
      </c>
      <c r="AS85" s="53">
        <v>130</v>
      </c>
      <c r="AT85" s="403">
        <f t="shared" si="59"/>
        <v>3944.3074337682874</v>
      </c>
      <c r="AU85" s="53">
        <v>84.3</v>
      </c>
      <c r="AW85" s="65"/>
    </row>
    <row r="86" spans="22:49" x14ac:dyDescent="0.2">
      <c r="AI86" s="64"/>
      <c r="AK86" s="63">
        <v>12826</v>
      </c>
      <c r="AL86" s="63">
        <v>113.3</v>
      </c>
      <c r="AM86" s="403">
        <f t="shared" si="58"/>
        <v>4535.193233399531</v>
      </c>
      <c r="AN86" s="63">
        <v>87.28</v>
      </c>
      <c r="AR86" s="53">
        <v>9858</v>
      </c>
      <c r="AS86" s="53">
        <v>128.80000000000001</v>
      </c>
      <c r="AT86" s="403">
        <f t="shared" si="59"/>
        <v>4004.8055241624206</v>
      </c>
      <c r="AU86" s="53">
        <v>86.36</v>
      </c>
      <c r="AW86" s="65"/>
    </row>
    <row r="87" spans="22:49" x14ac:dyDescent="0.2">
      <c r="AI87" s="64"/>
      <c r="AK87" s="63">
        <v>13813</v>
      </c>
      <c r="AL87" s="63">
        <v>99.6</v>
      </c>
      <c r="AM87" s="403">
        <f t="shared" si="58"/>
        <v>4436.436239296002</v>
      </c>
      <c r="AN87" s="63">
        <v>84.47</v>
      </c>
      <c r="AR87" s="53">
        <v>10351</v>
      </c>
      <c r="AS87" s="53">
        <v>124.8</v>
      </c>
      <c r="AT87" s="403">
        <f t="shared" si="59"/>
        <v>4045.9155356253113</v>
      </c>
      <c r="AU87" s="53">
        <v>86.97</v>
      </c>
      <c r="AW87" s="65"/>
    </row>
    <row r="88" spans="22:49" x14ac:dyDescent="0.2">
      <c r="AI88" s="64"/>
      <c r="AK88" s="63">
        <v>14799</v>
      </c>
      <c r="AL88" s="63">
        <v>82.7</v>
      </c>
      <c r="AM88" s="403">
        <f t="shared" si="58"/>
        <v>4275.0779415662128</v>
      </c>
      <c r="AN88" s="63">
        <v>77.98</v>
      </c>
      <c r="AR88" s="53">
        <v>10844</v>
      </c>
      <c r="AS88" s="53">
        <v>120.7</v>
      </c>
      <c r="AT88" s="403">
        <f t="shared" si="59"/>
        <v>4068.9552945801306</v>
      </c>
      <c r="AU88" s="53">
        <v>87.62</v>
      </c>
      <c r="AW88" s="65"/>
    </row>
    <row r="89" spans="22:49" x14ac:dyDescent="0.2">
      <c r="AI89" s="64"/>
      <c r="AK89" s="63">
        <v>15559</v>
      </c>
      <c r="AL89" s="63">
        <v>64</v>
      </c>
      <c r="AM89" s="403">
        <f t="shared" si="58"/>
        <v>4053.7784818744913</v>
      </c>
      <c r="AN89" s="63">
        <v>66.91</v>
      </c>
      <c r="AR89" s="53">
        <v>11337</v>
      </c>
      <c r="AS89" s="53">
        <v>115.3</v>
      </c>
      <c r="AT89" s="403">
        <f t="shared" si="59"/>
        <v>4081.7929345790853</v>
      </c>
      <c r="AU89" s="53">
        <v>87.229999999999905</v>
      </c>
      <c r="AW89" s="65"/>
    </row>
    <row r="90" spans="22:49" x14ac:dyDescent="0.2">
      <c r="AI90" s="64"/>
      <c r="AR90" s="53">
        <v>11869</v>
      </c>
      <c r="AS90" s="53">
        <v>109.9</v>
      </c>
      <c r="AT90" s="403">
        <f t="shared" si="59"/>
        <v>4084.4339702520087</v>
      </c>
      <c r="AU90" s="53">
        <v>86.99</v>
      </c>
      <c r="AW90" s="65"/>
    </row>
    <row r="91" spans="22:49" x14ac:dyDescent="0.2">
      <c r="AI91" s="64"/>
      <c r="AR91" s="53">
        <v>12303</v>
      </c>
      <c r="AS91" s="53">
        <v>105.3</v>
      </c>
      <c r="AT91" s="403">
        <f t="shared" si="59"/>
        <v>4065.4540627880183</v>
      </c>
      <c r="AU91" s="53">
        <v>86.8</v>
      </c>
      <c r="AW91" s="65"/>
    </row>
    <row r="92" spans="22:49" x14ac:dyDescent="0.2">
      <c r="V92" s="53">
        <v>2</v>
      </c>
      <c r="W92" s="70" t="s">
        <v>235</v>
      </c>
      <c r="AI92" s="64"/>
      <c r="AR92" s="53">
        <v>12815</v>
      </c>
      <c r="AS92" s="53">
        <v>98.5</v>
      </c>
      <c r="AT92" s="403">
        <f t="shared" si="59"/>
        <v>4045.0631258169933</v>
      </c>
      <c r="AU92" s="53">
        <v>85</v>
      </c>
      <c r="AW92" s="65"/>
    </row>
    <row r="93" spans="22:49" x14ac:dyDescent="0.2">
      <c r="AI93" s="64"/>
      <c r="AR93" s="53">
        <v>13308</v>
      </c>
      <c r="AS93" s="53">
        <v>93.1</v>
      </c>
      <c r="AT93" s="403">
        <f t="shared" si="59"/>
        <v>4005.257169871034</v>
      </c>
      <c r="AU93" s="53">
        <v>84.26</v>
      </c>
      <c r="AW93" s="65"/>
    </row>
    <row r="94" spans="22:49" x14ac:dyDescent="0.2">
      <c r="AI94" s="64"/>
      <c r="AR94" s="53">
        <v>13875</v>
      </c>
      <c r="AS94" s="53">
        <v>84.8</v>
      </c>
      <c r="AT94" s="403">
        <f t="shared" si="59"/>
        <v>3935.3237557301891</v>
      </c>
      <c r="AU94" s="53">
        <v>81.44</v>
      </c>
      <c r="AW94" s="65"/>
    </row>
    <row r="95" spans="22:49" x14ac:dyDescent="0.2">
      <c r="AI95" s="64"/>
      <c r="AR95" s="53">
        <v>14688</v>
      </c>
      <c r="AS95" s="53">
        <v>71.7</v>
      </c>
      <c r="AT95" s="403">
        <f t="shared" si="59"/>
        <v>3828.3838462565109</v>
      </c>
      <c r="AU95" s="53">
        <v>74.929999999999893</v>
      </c>
      <c r="AW95" s="65"/>
    </row>
    <row r="96" spans="22:49" x14ac:dyDescent="0.2">
      <c r="AI96" s="64"/>
      <c r="AR96" s="53">
        <v>15210</v>
      </c>
      <c r="AS96" s="53">
        <v>59.1</v>
      </c>
      <c r="AT96" s="403">
        <f t="shared" si="59"/>
        <v>3661.6325482279099</v>
      </c>
      <c r="AU96" s="53">
        <v>66.869999999999905</v>
      </c>
      <c r="AW96" s="65"/>
    </row>
    <row r="97" spans="35:49" x14ac:dyDescent="0.2">
      <c r="AI97" s="64"/>
      <c r="AW97" s="65"/>
    </row>
    <row r="98" spans="35:49" x14ac:dyDescent="0.2">
      <c r="AI98" s="64"/>
      <c r="AW98" s="65"/>
    </row>
    <row r="99" spans="35:49" x14ac:dyDescent="0.2">
      <c r="AI99" s="64"/>
      <c r="AK99" s="284"/>
      <c r="AL99" s="265">
        <v>1485</v>
      </c>
      <c r="AM99" s="265"/>
      <c r="AN99" s="265"/>
      <c r="AO99" s="265"/>
      <c r="AP99" s="266"/>
      <c r="AQ99"/>
      <c r="AR99" s="264">
        <v>428.7519999999999</v>
      </c>
      <c r="AS99" s="265"/>
      <c r="AT99" s="265"/>
      <c r="AU99" s="265"/>
      <c r="AV99" s="265"/>
      <c r="AW99" s="65"/>
    </row>
    <row r="100" spans="35:49" x14ac:dyDescent="0.2">
      <c r="AI100" s="64"/>
      <c r="AK100" s="267" t="s">
        <v>103</v>
      </c>
      <c r="AL100" s="45" t="s">
        <v>104</v>
      </c>
      <c r="AM100" s="45" t="s">
        <v>101</v>
      </c>
      <c r="AN100" s="45" t="s">
        <v>79</v>
      </c>
      <c r="AO100" s="45" t="s">
        <v>99</v>
      </c>
      <c r="AP100" s="268" t="s">
        <v>102</v>
      </c>
      <c r="AR100" s="267" t="s">
        <v>103</v>
      </c>
      <c r="AS100" s="45" t="s">
        <v>104</v>
      </c>
      <c r="AT100" s="45" t="s">
        <v>105</v>
      </c>
      <c r="AU100" s="45" t="s">
        <v>106</v>
      </c>
      <c r="AV100" s="45" t="s">
        <v>99</v>
      </c>
      <c r="AW100" s="65"/>
    </row>
    <row r="101" spans="35:49" x14ac:dyDescent="0.2">
      <c r="AI101" s="64"/>
      <c r="AK101" s="420"/>
      <c r="AL101" s="420"/>
      <c r="AM101" s="293" t="e">
        <f>1000*9.81/3600*AK101*AL101/AN101/10</f>
        <v>#DIV/0!</v>
      </c>
      <c r="AN101" s="417"/>
      <c r="AO101" s="559"/>
      <c r="AP101" s="270"/>
      <c r="AR101" s="420">
        <v>0</v>
      </c>
      <c r="AS101" s="420">
        <v>173.5</v>
      </c>
      <c r="AT101" s="417"/>
      <c r="AU101" s="295">
        <v>0</v>
      </c>
      <c r="AV101" s="559"/>
      <c r="AW101" s="65"/>
    </row>
    <row r="102" spans="35:49" x14ac:dyDescent="0.2">
      <c r="AI102" s="64"/>
      <c r="AK102" s="420"/>
      <c r="AL102" s="420"/>
      <c r="AM102" s="293" t="e">
        <f t="shared" ref="AM102:AM108" si="62">1000*9.81/3600*AK102*AL102/AN102/10</f>
        <v>#DIV/0!</v>
      </c>
      <c r="AN102" s="417"/>
      <c r="AO102" s="559"/>
      <c r="AP102" s="270"/>
      <c r="AR102" s="420">
        <v>946</v>
      </c>
      <c r="AS102" s="420">
        <v>162.6</v>
      </c>
      <c r="AT102" s="403">
        <f t="shared" ref="AT102:AT126" si="63">AR102/3600*AS102*9.806/(AU102/100)*1000/1000</f>
        <v>3250.484866821851</v>
      </c>
      <c r="AU102" s="416">
        <v>12.889999999999899</v>
      </c>
      <c r="AV102" s="559"/>
      <c r="AW102" s="65"/>
    </row>
    <row r="103" spans="35:49" x14ac:dyDescent="0.2">
      <c r="AI103" s="64"/>
      <c r="AK103" s="420"/>
      <c r="AL103" s="420"/>
      <c r="AM103" s="293" t="e">
        <f t="shared" si="62"/>
        <v>#DIV/0!</v>
      </c>
      <c r="AN103" s="417"/>
      <c r="AO103" s="559"/>
      <c r="AP103" s="270"/>
      <c r="AR103" s="420">
        <v>1972</v>
      </c>
      <c r="AS103" s="420">
        <v>155.69999999999999</v>
      </c>
      <c r="AT103" s="403">
        <f t="shared" si="63"/>
        <v>3221.663844375963</v>
      </c>
      <c r="AU103" s="416">
        <v>25.96</v>
      </c>
      <c r="AV103" s="559"/>
      <c r="AW103" s="65"/>
    </row>
    <row r="104" spans="35:49" x14ac:dyDescent="0.2">
      <c r="AI104" s="64"/>
      <c r="AK104" s="420"/>
      <c r="AL104" s="420"/>
      <c r="AM104" s="293" t="e">
        <f t="shared" si="62"/>
        <v>#DIV/0!</v>
      </c>
      <c r="AN104" s="417"/>
      <c r="AO104" s="559"/>
      <c r="AP104" s="270"/>
      <c r="AR104" s="420">
        <v>2952</v>
      </c>
      <c r="AS104" s="420">
        <v>147.5</v>
      </c>
      <c r="AT104" s="403">
        <f t="shared" si="63"/>
        <v>3128.5563175943016</v>
      </c>
      <c r="AU104" s="416">
        <v>37.909999999999997</v>
      </c>
      <c r="AV104" s="559"/>
      <c r="AW104" s="65"/>
    </row>
    <row r="105" spans="35:49" x14ac:dyDescent="0.2">
      <c r="AI105" s="64"/>
      <c r="AK105" s="420"/>
      <c r="AL105" s="420"/>
      <c r="AM105" s="293" t="e">
        <f t="shared" si="62"/>
        <v>#DIV/0!</v>
      </c>
      <c r="AN105" s="417"/>
      <c r="AO105" s="559"/>
      <c r="AP105" s="270"/>
      <c r="AR105" s="420">
        <v>3959</v>
      </c>
      <c r="AS105" s="420">
        <v>137.4</v>
      </c>
      <c r="AT105" s="403">
        <f t="shared" si="63"/>
        <v>2980.0977024671492</v>
      </c>
      <c r="AU105" s="416">
        <v>49.72</v>
      </c>
      <c r="AV105" s="559"/>
      <c r="AW105" s="65"/>
    </row>
    <row r="106" spans="35:49" x14ac:dyDescent="0.2">
      <c r="AI106" s="64"/>
      <c r="AK106" s="421"/>
      <c r="AL106" s="421"/>
      <c r="AM106" s="293" t="e">
        <f t="shared" si="62"/>
        <v>#DIV/0!</v>
      </c>
      <c r="AN106" s="296"/>
      <c r="AO106" s="559"/>
      <c r="AP106" s="270"/>
      <c r="AR106" s="421">
        <v>4446</v>
      </c>
      <c r="AS106" s="421">
        <v>133</v>
      </c>
      <c r="AT106" s="403">
        <f t="shared" si="63"/>
        <v>2917.9067572463764</v>
      </c>
      <c r="AU106" s="418">
        <v>55.2</v>
      </c>
      <c r="AV106" s="559"/>
      <c r="AW106" s="65"/>
    </row>
    <row r="107" spans="35:49" x14ac:dyDescent="0.2">
      <c r="AI107" s="64"/>
      <c r="AK107" s="420"/>
      <c r="AL107" s="420"/>
      <c r="AM107" s="293" t="e">
        <f t="shared" si="62"/>
        <v>#DIV/0!</v>
      </c>
      <c r="AN107" s="419"/>
      <c r="AO107" s="559"/>
      <c r="AP107" s="270"/>
      <c r="AR107" s="420">
        <v>4934</v>
      </c>
      <c r="AS107" s="420">
        <v>129.9</v>
      </c>
      <c r="AT107" s="403">
        <f t="shared" si="63"/>
        <v>2917.4679885249552</v>
      </c>
      <c r="AU107" s="416">
        <v>59.84</v>
      </c>
      <c r="AV107" s="559"/>
      <c r="AW107" s="65"/>
    </row>
    <row r="108" spans="35:49" x14ac:dyDescent="0.2">
      <c r="AI108" s="64"/>
      <c r="AK108" s="420"/>
      <c r="AL108" s="420"/>
      <c r="AM108" s="293" t="e">
        <f t="shared" si="62"/>
        <v>#DIV/0!</v>
      </c>
      <c r="AN108" s="419"/>
      <c r="AO108" s="559"/>
      <c r="AP108" s="270"/>
      <c r="AR108" s="420">
        <v>5422</v>
      </c>
      <c r="AS108" s="420">
        <v>127.3</v>
      </c>
      <c r="AT108" s="403">
        <f t="shared" si="63"/>
        <v>2947.3024348992353</v>
      </c>
      <c r="AU108" s="416">
        <v>63.79</v>
      </c>
      <c r="AV108" s="559"/>
      <c r="AW108" s="65"/>
    </row>
    <row r="109" spans="35:49" x14ac:dyDescent="0.2">
      <c r="AI109" s="64"/>
      <c r="AK109" s="560"/>
      <c r="AL109" s="560"/>
      <c r="AM109" s="560"/>
      <c r="AN109" s="560"/>
      <c r="AO109" s="559"/>
      <c r="AP109" s="270"/>
      <c r="AR109" s="269">
        <v>5910</v>
      </c>
      <c r="AS109" s="559">
        <v>124.9</v>
      </c>
      <c r="AT109" s="403">
        <f t="shared" si="63"/>
        <v>2976.9959999012922</v>
      </c>
      <c r="AU109" s="559">
        <v>67.540000000000006</v>
      </c>
      <c r="AV109" s="559"/>
      <c r="AW109" s="65"/>
    </row>
    <row r="110" spans="35:49" x14ac:dyDescent="0.2">
      <c r="AI110" s="64"/>
      <c r="AK110" s="269"/>
      <c r="AL110" s="559"/>
      <c r="AM110" s="559"/>
      <c r="AN110" s="559"/>
      <c r="AO110" s="559"/>
      <c r="AP110" s="270"/>
      <c r="AR110" s="269">
        <v>6427</v>
      </c>
      <c r="AS110" s="559">
        <v>122.7</v>
      </c>
      <c r="AT110" s="403">
        <f t="shared" si="63"/>
        <v>3026.2601270310884</v>
      </c>
      <c r="AU110" s="559">
        <v>70.98</v>
      </c>
      <c r="AV110" s="559"/>
      <c r="AW110" s="65"/>
    </row>
    <row r="111" spans="35:49" x14ac:dyDescent="0.2">
      <c r="AI111" s="64"/>
      <c r="AK111" s="269"/>
      <c r="AL111" s="559"/>
      <c r="AM111" s="559"/>
      <c r="AN111" s="559"/>
      <c r="AO111" s="559"/>
      <c r="AP111" s="270"/>
      <c r="AR111" s="269">
        <v>6901</v>
      </c>
      <c r="AS111" s="559">
        <v>120.7</v>
      </c>
      <c r="AT111" s="403">
        <f t="shared" si="63"/>
        <v>3085.631928086797</v>
      </c>
      <c r="AU111" s="559">
        <v>73.53</v>
      </c>
      <c r="AV111" s="559"/>
      <c r="AW111" s="65"/>
    </row>
    <row r="112" spans="35:49" x14ac:dyDescent="0.2">
      <c r="AI112" s="64"/>
      <c r="AK112" s="269"/>
      <c r="AL112" s="559"/>
      <c r="AM112" s="559"/>
      <c r="AN112" s="559"/>
      <c r="AO112" s="559"/>
      <c r="AP112" s="270"/>
      <c r="AR112" s="269">
        <v>7413</v>
      </c>
      <c r="AS112" s="559">
        <v>119.9</v>
      </c>
      <c r="AT112" s="403">
        <f t="shared" si="63"/>
        <v>3154.0429666058744</v>
      </c>
      <c r="AU112" s="559">
        <v>76.759999999999906</v>
      </c>
      <c r="AV112" s="559"/>
      <c r="AW112" s="65"/>
    </row>
    <row r="113" spans="35:49" x14ac:dyDescent="0.2">
      <c r="AI113" s="64"/>
      <c r="AK113" s="269"/>
      <c r="AL113" s="559"/>
      <c r="AM113" s="559"/>
      <c r="AN113" s="559"/>
      <c r="AO113" s="559"/>
      <c r="AP113" s="270"/>
      <c r="AR113" s="269">
        <v>7906</v>
      </c>
      <c r="AS113" s="559">
        <v>118.8</v>
      </c>
      <c r="AT113" s="403">
        <f t="shared" si="63"/>
        <v>3233.1173865790465</v>
      </c>
      <c r="AU113" s="559">
        <v>79.13</v>
      </c>
      <c r="AV113" s="559"/>
      <c r="AW113" s="65"/>
    </row>
    <row r="114" spans="35:49" x14ac:dyDescent="0.2">
      <c r="AI114" s="64"/>
      <c r="AK114" s="271"/>
      <c r="AL114" s="272"/>
      <c r="AM114" s="272"/>
      <c r="AN114" s="272"/>
      <c r="AO114" s="272"/>
      <c r="AP114" s="273"/>
      <c r="AR114" s="271">
        <v>8379</v>
      </c>
      <c r="AS114" s="272">
        <v>117.7</v>
      </c>
      <c r="AT114" s="403">
        <f t="shared" si="63"/>
        <v>3312.3573742293465</v>
      </c>
      <c r="AU114" s="272">
        <v>81.099999999999994</v>
      </c>
      <c r="AV114" s="272"/>
      <c r="AW114" s="65"/>
    </row>
    <row r="115" spans="35:49" x14ac:dyDescent="0.2">
      <c r="AI115" s="64"/>
      <c r="AK115" s="269"/>
      <c r="AL115" s="559"/>
      <c r="AM115" s="559"/>
      <c r="AN115" s="559"/>
      <c r="AO115" s="559"/>
      <c r="AP115" s="270"/>
      <c r="AR115" s="53">
        <v>8902</v>
      </c>
      <c r="AS115" s="53">
        <v>116.9</v>
      </c>
      <c r="AT115" s="403">
        <f t="shared" si="63"/>
        <v>3371.7117688962903</v>
      </c>
      <c r="AU115" s="53">
        <v>84.07</v>
      </c>
      <c r="AW115" s="65"/>
    </row>
    <row r="116" spans="35:49" x14ac:dyDescent="0.2">
      <c r="AI116" s="64"/>
      <c r="AK116" s="271"/>
      <c r="AL116" s="272"/>
      <c r="AM116" s="272"/>
      <c r="AN116" s="272"/>
      <c r="AO116" s="272"/>
      <c r="AP116" s="273"/>
      <c r="AR116" s="53">
        <v>9365</v>
      </c>
      <c r="AS116" s="53">
        <v>115.6</v>
      </c>
      <c r="AT116" s="403">
        <f t="shared" si="63"/>
        <v>3441.7200837742489</v>
      </c>
      <c r="AU116" s="53">
        <v>85.68</v>
      </c>
      <c r="AW116" s="65"/>
    </row>
    <row r="117" spans="35:49" x14ac:dyDescent="0.2">
      <c r="AI117" s="64"/>
      <c r="AK117" s="269"/>
      <c r="AL117" s="559"/>
      <c r="AM117" s="559"/>
      <c r="AN117" s="559"/>
      <c r="AO117" s="559"/>
      <c r="AP117" s="270"/>
      <c r="AR117" s="53">
        <v>9892</v>
      </c>
      <c r="AS117" s="53">
        <v>111.9</v>
      </c>
      <c r="AT117" s="403">
        <f t="shared" si="63"/>
        <v>3483.2635451324704</v>
      </c>
      <c r="AU117" s="53">
        <v>86.56</v>
      </c>
      <c r="AW117" s="65"/>
    </row>
    <row r="118" spans="35:49" x14ac:dyDescent="0.2">
      <c r="AI118" s="64"/>
      <c r="AK118" s="271"/>
      <c r="AL118" s="272"/>
      <c r="AM118" s="272"/>
      <c r="AN118" s="272"/>
      <c r="AO118" s="272"/>
      <c r="AP118" s="273"/>
      <c r="AR118" s="53">
        <v>10361</v>
      </c>
      <c r="AS118" s="53">
        <v>108.6</v>
      </c>
      <c r="AT118" s="403">
        <f t="shared" si="63"/>
        <v>3525.7475068062458</v>
      </c>
      <c r="AU118" s="53">
        <v>86.929999999999893</v>
      </c>
      <c r="AW118" s="65"/>
    </row>
    <row r="119" spans="35:49" x14ac:dyDescent="0.2">
      <c r="AI119" s="64"/>
      <c r="AK119" s="269"/>
      <c r="AL119" s="559"/>
      <c r="AM119" s="559"/>
      <c r="AN119" s="559"/>
      <c r="AO119" s="559"/>
      <c r="AP119" s="270"/>
      <c r="AR119" s="53">
        <v>10844</v>
      </c>
      <c r="AS119" s="53">
        <v>104.2</v>
      </c>
      <c r="AT119" s="403">
        <f t="shared" si="63"/>
        <v>3548.3561053467579</v>
      </c>
      <c r="AU119" s="53">
        <v>86.74</v>
      </c>
      <c r="AW119" s="65"/>
    </row>
    <row r="120" spans="35:49" x14ac:dyDescent="0.2">
      <c r="AI120" s="64"/>
      <c r="AK120" s="271"/>
      <c r="AL120" s="272"/>
      <c r="AM120" s="272"/>
      <c r="AN120" s="272"/>
      <c r="AO120" s="272"/>
      <c r="AP120" s="273"/>
      <c r="AR120" s="53">
        <v>11376</v>
      </c>
      <c r="AS120" s="53">
        <v>99.2</v>
      </c>
      <c r="AT120" s="403">
        <f t="shared" si="63"/>
        <v>3561.0593512511587</v>
      </c>
      <c r="AU120" s="53">
        <v>86.32</v>
      </c>
      <c r="AW120" s="65"/>
    </row>
    <row r="121" spans="35:49" x14ac:dyDescent="0.2">
      <c r="AI121" s="64"/>
      <c r="AK121" s="269"/>
      <c r="AL121" s="559"/>
      <c r="AM121" s="559"/>
      <c r="AN121" s="559"/>
      <c r="AO121" s="559"/>
      <c r="AP121" s="270"/>
      <c r="AR121" s="53">
        <v>11830</v>
      </c>
      <c r="AS121" s="53">
        <v>94.4</v>
      </c>
      <c r="AT121" s="403">
        <f t="shared" si="63"/>
        <v>3531.7640362759139</v>
      </c>
      <c r="AU121" s="53">
        <v>86.13</v>
      </c>
      <c r="AW121" s="65"/>
    </row>
    <row r="122" spans="35:49" x14ac:dyDescent="0.2">
      <c r="AI122" s="64"/>
      <c r="AK122" s="271"/>
      <c r="AL122" s="272"/>
      <c r="AM122" s="272"/>
      <c r="AN122" s="272"/>
      <c r="AO122" s="272"/>
      <c r="AP122" s="273"/>
      <c r="AR122" s="53">
        <v>12352</v>
      </c>
      <c r="AS122" s="53">
        <v>88.1</v>
      </c>
      <c r="AT122" s="403">
        <f t="shared" si="63"/>
        <v>3511.6294235806704</v>
      </c>
      <c r="AU122" s="53">
        <v>84.41</v>
      </c>
      <c r="AW122" s="65"/>
    </row>
    <row r="123" spans="35:49" x14ac:dyDescent="0.2">
      <c r="AI123" s="64"/>
      <c r="AK123" s="269"/>
      <c r="AL123" s="559"/>
      <c r="AM123" s="559"/>
      <c r="AN123" s="559"/>
      <c r="AO123" s="559"/>
      <c r="AP123" s="270"/>
      <c r="AR123" s="53">
        <v>12815</v>
      </c>
      <c r="AS123" s="53">
        <v>83.4</v>
      </c>
      <c r="AT123" s="403">
        <f t="shared" si="63"/>
        <v>3481.0635557415603</v>
      </c>
      <c r="AU123" s="53">
        <v>83.63</v>
      </c>
      <c r="AW123" s="65"/>
    </row>
    <row r="124" spans="35:49" x14ac:dyDescent="0.2">
      <c r="AI124" s="64"/>
      <c r="AK124" s="271"/>
      <c r="AL124" s="272"/>
      <c r="AM124" s="272"/>
      <c r="AN124" s="272"/>
      <c r="AO124" s="272"/>
      <c r="AP124" s="273"/>
      <c r="AR124" s="53">
        <v>13284</v>
      </c>
      <c r="AS124" s="53">
        <v>77.2</v>
      </c>
      <c r="AT124" s="403">
        <f t="shared" si="63"/>
        <v>3441.0145454545495</v>
      </c>
      <c r="AU124" s="53">
        <v>81.179999999999893</v>
      </c>
      <c r="AW124" s="65"/>
    </row>
    <row r="125" spans="35:49" x14ac:dyDescent="0.2">
      <c r="AI125" s="64"/>
      <c r="AK125" s="269"/>
      <c r="AL125" s="559"/>
      <c r="AM125" s="559"/>
      <c r="AN125" s="559"/>
      <c r="AO125" s="559"/>
      <c r="AP125" s="270"/>
      <c r="AR125" s="53">
        <v>13860</v>
      </c>
      <c r="AS125" s="53">
        <v>69.3</v>
      </c>
      <c r="AT125" s="403">
        <f t="shared" si="63"/>
        <v>3382.4044343891401</v>
      </c>
      <c r="AU125" s="53">
        <v>77.349999999999994</v>
      </c>
      <c r="AW125" s="65"/>
    </row>
    <row r="126" spans="35:49" x14ac:dyDescent="0.2">
      <c r="AI126" s="64"/>
      <c r="AK126" s="271"/>
      <c r="AL126" s="272"/>
      <c r="AM126" s="272"/>
      <c r="AN126" s="272"/>
      <c r="AO126" s="272"/>
      <c r="AP126" s="273"/>
      <c r="AR126" s="53">
        <v>14860</v>
      </c>
      <c r="AS126" s="53">
        <v>54.5</v>
      </c>
      <c r="AT126" s="403">
        <f t="shared" si="63"/>
        <v>3276.8804136132571</v>
      </c>
      <c r="AU126" s="53">
        <v>67.319999999999993</v>
      </c>
      <c r="AW126" s="65"/>
    </row>
    <row r="127" spans="35:49" x14ac:dyDescent="0.2">
      <c r="AI127" s="64"/>
      <c r="AK127" s="269"/>
      <c r="AL127" s="559"/>
      <c r="AM127" s="559"/>
      <c r="AN127" s="559"/>
      <c r="AO127" s="559"/>
      <c r="AP127" s="270"/>
      <c r="AW127" s="65"/>
    </row>
    <row r="128" spans="35:49" x14ac:dyDescent="0.2">
      <c r="AI128" s="64"/>
      <c r="AK128" s="271"/>
      <c r="AL128" s="272"/>
      <c r="AM128" s="272"/>
      <c r="AN128" s="272"/>
      <c r="AO128" s="272"/>
      <c r="AP128" s="273"/>
      <c r="AW128" s="65"/>
    </row>
    <row r="129" spans="35:49" x14ac:dyDescent="0.2">
      <c r="AI129" s="64"/>
      <c r="AK129" s="269"/>
      <c r="AL129" s="559"/>
      <c r="AM129" s="559"/>
      <c r="AN129" s="559"/>
      <c r="AO129" s="559"/>
      <c r="AP129" s="270"/>
      <c r="AW129" s="65"/>
    </row>
    <row r="130" spans="35:49" x14ac:dyDescent="0.2">
      <c r="AI130" s="64"/>
      <c r="AK130" s="271"/>
      <c r="AL130" s="272"/>
      <c r="AM130" s="272"/>
      <c r="AN130" s="272"/>
      <c r="AO130" s="272"/>
      <c r="AP130" s="273"/>
      <c r="AW130" s="65"/>
    </row>
    <row r="131" spans="35:49" x14ac:dyDescent="0.2">
      <c r="AI131" s="64"/>
      <c r="AK131" s="269"/>
      <c r="AL131" s="559"/>
      <c r="AM131" s="559"/>
      <c r="AN131" s="559"/>
      <c r="AO131" s="559"/>
      <c r="AP131" s="270"/>
      <c r="AW131" s="65"/>
    </row>
    <row r="132" spans="35:49" x14ac:dyDescent="0.2">
      <c r="AI132" s="64"/>
      <c r="AK132" s="271"/>
      <c r="AL132" s="272"/>
      <c r="AM132" s="272"/>
      <c r="AN132" s="272"/>
      <c r="AO132" s="272"/>
      <c r="AP132" s="273"/>
      <c r="AW132" s="65"/>
    </row>
    <row r="133" spans="35:49" x14ac:dyDescent="0.2">
      <c r="AI133" s="64"/>
      <c r="AK133" s="269"/>
      <c r="AL133" s="559"/>
      <c r="AM133" s="559"/>
      <c r="AN133" s="559"/>
      <c r="AO133" s="559"/>
      <c r="AP133" s="270"/>
      <c r="AW133" s="65"/>
    </row>
    <row r="134" spans="35:49" x14ac:dyDescent="0.2">
      <c r="AI134" s="64"/>
      <c r="AK134" s="271"/>
      <c r="AL134" s="272"/>
      <c r="AM134" s="272"/>
      <c r="AN134" s="272"/>
      <c r="AO134" s="272"/>
      <c r="AP134" s="273"/>
      <c r="AW134" s="65"/>
    </row>
    <row r="135" spans="35:49" x14ac:dyDescent="0.2">
      <c r="AI135" s="64"/>
      <c r="AK135" s="561"/>
      <c r="AL135" s="561"/>
      <c r="AM135" s="561"/>
      <c r="AW135" s="65"/>
    </row>
    <row r="136" spans="35:49" x14ac:dyDescent="0.2">
      <c r="AI136" s="64"/>
      <c r="AK136" s="562"/>
      <c r="AL136" s="563"/>
      <c r="AM136" s="564"/>
      <c r="AW136" s="65"/>
    </row>
    <row r="137" spans="35:49" x14ac:dyDescent="0.2">
      <c r="AI137" s="64"/>
      <c r="AK137" s="70"/>
      <c r="AL137" s="74"/>
      <c r="AW137" s="65"/>
    </row>
    <row r="138" spans="35:49" x14ac:dyDescent="0.2">
      <c r="AI138" s="64"/>
      <c r="AK138" s="192"/>
      <c r="AL138" s="343"/>
      <c r="AW138" s="65"/>
    </row>
    <row r="139" spans="35:49" x14ac:dyDescent="0.2">
      <c r="AI139" s="64"/>
      <c r="AK139" s="70"/>
      <c r="AL139" s="562"/>
      <c r="AW139" s="65"/>
    </row>
    <row r="140" spans="35:49" x14ac:dyDescent="0.2">
      <c r="AI140" s="64"/>
      <c r="AK140" s="58"/>
      <c r="AL140" s="74"/>
      <c r="AW140" s="65"/>
    </row>
    <row r="141" spans="35:49" x14ac:dyDescent="0.2">
      <c r="AI141" s="64"/>
      <c r="AK141" s="565"/>
      <c r="AL141" s="566"/>
      <c r="AW141" s="65"/>
    </row>
    <row r="142" spans="35:49" x14ac:dyDescent="0.2">
      <c r="AI142" s="64"/>
      <c r="AK142" s="404"/>
      <c r="AL142" s="404"/>
      <c r="AW142" s="65"/>
    </row>
    <row r="143" spans="35:49" x14ac:dyDescent="0.2">
      <c r="AI143" s="64"/>
      <c r="AK143" s="404"/>
      <c r="AL143" s="567"/>
      <c r="AW143" s="65"/>
    </row>
    <row r="144" spans="35:49" ht="13.5" thickBot="1" x14ac:dyDescent="0.25">
      <c r="AI144" s="56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102"/>
    </row>
    <row r="145" spans="37:42" x14ac:dyDescent="0.2">
      <c r="AK145" s="70"/>
      <c r="AN145" s="422"/>
      <c r="AO145" s="58"/>
      <c r="AP145" s="58"/>
    </row>
    <row r="146" spans="37:42" x14ac:dyDescent="0.2">
      <c r="AN146" s="405"/>
      <c r="AO146" s="405"/>
      <c r="AP146" s="75"/>
    </row>
    <row r="147" spans="37:42" x14ac:dyDescent="0.2">
      <c r="AL147" s="78"/>
      <c r="AN147" s="78"/>
      <c r="AO147" s="76"/>
      <c r="AP147" s="423"/>
    </row>
    <row r="148" spans="37:42" x14ac:dyDescent="0.2">
      <c r="AL148" s="45"/>
      <c r="AM148" s="314"/>
      <c r="AN148" s="424"/>
      <c r="AO148" s="424"/>
      <c r="AP148" s="423"/>
    </row>
    <row r="149" spans="37:42" x14ac:dyDescent="0.2">
      <c r="AL149" s="45"/>
      <c r="AM149" s="314"/>
      <c r="AN149" s="424"/>
      <c r="AO149" s="424"/>
      <c r="AP149" s="423"/>
    </row>
    <row r="150" spans="37:42" x14ac:dyDescent="0.2">
      <c r="AL150" s="45"/>
      <c r="AM150" s="314"/>
      <c r="AN150" s="424"/>
      <c r="AO150" s="424"/>
      <c r="AP150" s="423"/>
    </row>
    <row r="151" spans="37:42" x14ac:dyDescent="0.2">
      <c r="AL151" s="45"/>
      <c r="AM151" s="314"/>
      <c r="AN151" s="424"/>
      <c r="AO151" s="424"/>
      <c r="AP151" s="423"/>
    </row>
    <row r="152" spans="37:42" x14ac:dyDescent="0.2">
      <c r="AL152" s="45"/>
      <c r="AM152" s="314"/>
      <c r="AN152" s="315"/>
      <c r="AO152" s="76"/>
      <c r="AP152" s="111"/>
    </row>
    <row r="153" spans="37:42" x14ac:dyDescent="0.2">
      <c r="AL153" s="76"/>
      <c r="AM153" s="314"/>
      <c r="AN153" s="315"/>
      <c r="AO153" s="76"/>
      <c r="AP153" s="111"/>
    </row>
    <row r="154" spans="37:42" x14ac:dyDescent="0.2">
      <c r="AL154" s="76"/>
      <c r="AM154" s="314"/>
    </row>
    <row r="155" spans="37:42" x14ac:dyDescent="0.2">
      <c r="AL155" s="76"/>
      <c r="AM155" s="314"/>
    </row>
    <row r="156" spans="37:42" x14ac:dyDescent="0.2">
      <c r="AL156" s="76"/>
      <c r="AM156" s="314"/>
    </row>
    <row r="157" spans="37:42" x14ac:dyDescent="0.2">
      <c r="AK157" s="311"/>
    </row>
    <row r="159" spans="37:42" x14ac:dyDescent="0.2">
      <c r="AK159" s="70"/>
    </row>
    <row r="160" spans="37:42" x14ac:dyDescent="0.2">
      <c r="AK160" s="600"/>
      <c r="AL160" s="600"/>
      <c r="AM160" s="600"/>
      <c r="AN160" s="600"/>
    </row>
    <row r="161" spans="37:42" x14ac:dyDescent="0.2">
      <c r="AK161" s="70"/>
      <c r="AL161" s="70"/>
      <c r="AM161" s="311"/>
      <c r="AN161" s="59"/>
      <c r="AO161" s="59"/>
      <c r="AP161" s="59"/>
    </row>
    <row r="162" spans="37:42" x14ac:dyDescent="0.2">
      <c r="AL162" s="76"/>
      <c r="AM162" s="312"/>
      <c r="AN162" s="313"/>
    </row>
    <row r="163" spans="37:42" x14ac:dyDescent="0.2">
      <c r="AL163" s="76"/>
      <c r="AM163" s="312"/>
      <c r="AN163" s="313"/>
    </row>
    <row r="164" spans="37:42" x14ac:dyDescent="0.2">
      <c r="AL164" s="76"/>
      <c r="AM164" s="312"/>
      <c r="AN164" s="313"/>
    </row>
    <row r="166" spans="37:42" x14ac:dyDescent="0.2">
      <c r="AK166" s="600"/>
      <c r="AL166" s="600"/>
      <c r="AM166" s="600"/>
      <c r="AN166" s="600"/>
    </row>
    <row r="167" spans="37:42" x14ac:dyDescent="0.2">
      <c r="AK167" s="70"/>
      <c r="AL167" s="70"/>
      <c r="AM167" s="311"/>
      <c r="AN167" s="59"/>
    </row>
    <row r="168" spans="37:42" x14ac:dyDescent="0.2">
      <c r="AL168" s="76"/>
      <c r="AM168" s="312"/>
      <c r="AN168" s="313"/>
    </row>
    <row r="169" spans="37:42" x14ac:dyDescent="0.2">
      <c r="AL169" s="76"/>
      <c r="AM169" s="312"/>
      <c r="AN169" s="313"/>
    </row>
    <row r="170" spans="37:42" x14ac:dyDescent="0.2">
      <c r="AL170" s="76"/>
      <c r="AM170" s="312"/>
      <c r="AN170" s="313"/>
    </row>
    <row r="171" spans="37:42" x14ac:dyDescent="0.2">
      <c r="AL171" s="76"/>
      <c r="AM171" s="312"/>
      <c r="AN171" s="313"/>
    </row>
  </sheetData>
  <mergeCells count="16">
    <mergeCell ref="AK160:AN160"/>
    <mergeCell ref="AK166:AN166"/>
    <mergeCell ref="AM35:AO36"/>
    <mergeCell ref="AM25:AM26"/>
    <mergeCell ref="AN25:AO26"/>
    <mergeCell ref="AI67:AW67"/>
    <mergeCell ref="AJ49:AJ50"/>
    <mergeCell ref="AJ10:AJ11"/>
    <mergeCell ref="AM20:AN21"/>
    <mergeCell ref="AP28:AQ28"/>
    <mergeCell ref="B1:G2"/>
    <mergeCell ref="W1:AB2"/>
    <mergeCell ref="AI49:AI50"/>
    <mergeCell ref="AI10:AI11"/>
    <mergeCell ref="AI23:AI24"/>
    <mergeCell ref="AI36:AI37"/>
  </mergeCells>
  <phoneticPr fontId="0" type="noConversion"/>
  <pageMargins left="0.75" right="0.75" top="1" bottom="1" header="0.5" footer="0.5"/>
  <pageSetup paperSize="9" scale="70" orientation="portrait" horizontalDpi="2400" verticalDpi="2400" r:id="rId1"/>
  <headerFooter alignWithMargins="0"/>
  <colBreaks count="1" manualBreakCount="1">
    <brk id="3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9">
    <tabColor rgb="FFFFC000"/>
  </sheetPr>
  <dimension ref="A1:BD141"/>
  <sheetViews>
    <sheetView topLeftCell="B1" zoomScale="70" zoomScaleNormal="70" workbookViewId="0">
      <selection activeCell="E15" sqref="E15"/>
    </sheetView>
  </sheetViews>
  <sheetFormatPr defaultColWidth="9.140625" defaultRowHeight="15.75" customHeight="1" x14ac:dyDescent="0.2"/>
  <cols>
    <col min="1" max="1" width="13.5703125" style="53" customWidth="1"/>
    <col min="2" max="2" width="9.28515625" style="53" bestFit="1" customWidth="1"/>
    <col min="3" max="3" width="12.7109375" style="53" bestFit="1" customWidth="1"/>
    <col min="4" max="4" width="12.140625" style="53" customWidth="1"/>
    <col min="5" max="6" width="9.28515625" style="53" bestFit="1" customWidth="1"/>
    <col min="7" max="8" width="10.28515625" style="53" bestFit="1" customWidth="1"/>
    <col min="9" max="9" width="9.28515625" style="53" bestFit="1" customWidth="1"/>
    <col min="10" max="10" width="9.42578125" style="53" bestFit="1" customWidth="1"/>
    <col min="11" max="12" width="9.28515625" style="53" bestFit="1" customWidth="1"/>
    <col min="13" max="13" width="3.7109375" style="53" customWidth="1"/>
    <col min="14" max="14" width="16.85546875" style="76" customWidth="1"/>
    <col min="15" max="15" width="11.7109375" style="76" customWidth="1"/>
    <col min="16" max="16" width="22" style="76" bestFit="1" customWidth="1"/>
    <col min="17" max="17" width="2.42578125" style="53" customWidth="1"/>
    <col min="18" max="18" width="20.7109375" style="53" customWidth="1"/>
    <col min="19" max="19" width="24.42578125" style="53" customWidth="1"/>
    <col min="20" max="20" width="18.5703125" style="53" customWidth="1"/>
    <col min="21" max="21" width="18.85546875" style="53" customWidth="1"/>
    <col min="22" max="22" width="17" style="53" customWidth="1"/>
    <col min="23" max="23" width="19" style="53" customWidth="1"/>
    <col min="24" max="24" width="3.28515625" style="569" customWidth="1"/>
    <col min="25" max="34" width="9.140625" style="53"/>
    <col min="35" max="49" width="9.140625" style="53" customWidth="1"/>
    <col min="50" max="16384" width="9.140625" style="53"/>
  </cols>
  <sheetData>
    <row r="1" spans="1:56" ht="15.75" customHeight="1" thickBot="1" x14ac:dyDescent="0.25">
      <c r="A1" s="189"/>
      <c r="B1" s="189"/>
      <c r="Z1" s="348" t="s">
        <v>116</v>
      </c>
      <c r="AA1" s="349"/>
      <c r="AB1" s="349" t="s">
        <v>117</v>
      </c>
      <c r="AC1" s="350">
        <v>1485</v>
      </c>
      <c r="AD1" s="326" t="s">
        <v>118</v>
      </c>
      <c r="AE1" s="327">
        <v>399.3</v>
      </c>
      <c r="AH1" s="53" t="s">
        <v>119</v>
      </c>
      <c r="AI1" s="358" t="str">
        <f>+AI23</f>
        <v>P27348.01-27C1PP53.B</v>
      </c>
      <c r="AJ1" s="358"/>
      <c r="AK1" s="358" t="s">
        <v>117</v>
      </c>
      <c r="AL1" s="358">
        <f>+$K$8</f>
        <v>1180</v>
      </c>
      <c r="AM1" s="326" t="s">
        <v>120</v>
      </c>
      <c r="AN1" s="359">
        <f>+AN23</f>
        <v>408.42599999999999</v>
      </c>
      <c r="AR1" s="656"/>
      <c r="AS1" s="656"/>
      <c r="AT1" s="656"/>
      <c r="AU1" s="656"/>
      <c r="AV1" s="326"/>
      <c r="AW1" s="327"/>
      <c r="AY1" s="656"/>
      <c r="AZ1" s="656"/>
      <c r="BA1" s="656"/>
      <c r="BB1" s="656"/>
      <c r="BC1" s="326"/>
      <c r="BD1" s="327"/>
    </row>
    <row r="2" spans="1:56" ht="26.25" thickBot="1" x14ac:dyDescent="0.25">
      <c r="B2" s="347" t="s">
        <v>121</v>
      </c>
      <c r="C2" s="654"/>
      <c r="D2" s="655"/>
      <c r="E2" s="655"/>
      <c r="F2" s="655"/>
      <c r="G2" s="655"/>
      <c r="H2" s="655"/>
      <c r="I2" s="655"/>
      <c r="J2" s="655"/>
      <c r="K2" s="655"/>
      <c r="L2" s="655"/>
      <c r="R2" s="657" t="s">
        <v>122</v>
      </c>
      <c r="S2" s="658"/>
      <c r="U2" s="229" t="s">
        <v>10</v>
      </c>
      <c r="V2" s="197" t="s">
        <v>8</v>
      </c>
      <c r="Y2" s="53" t="s">
        <v>30</v>
      </c>
      <c r="Z2" s="328" t="s">
        <v>123</v>
      </c>
      <c r="AA2" s="329" t="s">
        <v>15</v>
      </c>
      <c r="AB2" s="329" t="s">
        <v>16</v>
      </c>
      <c r="AC2" s="329" t="s">
        <v>124</v>
      </c>
      <c r="AD2" s="329" t="s">
        <v>15</v>
      </c>
      <c r="AE2" s="330" t="s">
        <v>108</v>
      </c>
      <c r="AF2" s="53" t="s">
        <v>125</v>
      </c>
      <c r="AH2" s="53" t="e">
        <f>+(1-(1-MAX(AI$26:AI$43)/100)*(0.3+0.7*(AL$1/AL$23)^-0.2))/(MAX(AI$26:AI$43)/100)</f>
        <v>#DIV/0!</v>
      </c>
      <c r="AI2" s="328" t="s">
        <v>123</v>
      </c>
      <c r="AJ2" s="329" t="s">
        <v>15</v>
      </c>
      <c r="AK2" s="329" t="s">
        <v>16</v>
      </c>
      <c r="AL2" s="329" t="s">
        <v>124</v>
      </c>
      <c r="AM2" s="329" t="s">
        <v>15</v>
      </c>
      <c r="AN2" s="330" t="s">
        <v>108</v>
      </c>
      <c r="AR2" s="328" t="s">
        <v>123</v>
      </c>
      <c r="AS2" s="329" t="s">
        <v>15</v>
      </c>
      <c r="AT2" s="329" t="s">
        <v>16</v>
      </c>
      <c r="AU2" s="329" t="s">
        <v>124</v>
      </c>
      <c r="AV2" s="329" t="s">
        <v>15</v>
      </c>
      <c r="AW2" s="330" t="s">
        <v>108</v>
      </c>
      <c r="AY2" s="328" t="s">
        <v>123</v>
      </c>
      <c r="AZ2" s="329" t="s">
        <v>15</v>
      </c>
      <c r="BA2" s="329" t="s">
        <v>16</v>
      </c>
      <c r="BB2" s="329" t="s">
        <v>124</v>
      </c>
      <c r="BC2" s="329" t="s">
        <v>15</v>
      </c>
      <c r="BD2" s="330" t="s">
        <v>108</v>
      </c>
    </row>
    <row r="3" spans="1:56" ht="15.75" customHeight="1" thickBot="1" x14ac:dyDescent="0.25">
      <c r="B3" s="661" t="s">
        <v>1</v>
      </c>
      <c r="C3" s="662"/>
      <c r="D3" s="662"/>
      <c r="E3" s="662"/>
      <c r="F3" s="662"/>
      <c r="G3" s="662"/>
      <c r="H3" s="662"/>
      <c r="I3" s="662"/>
      <c r="J3" s="662"/>
      <c r="K3" s="662"/>
      <c r="L3" s="663"/>
      <c r="N3" s="664" t="s">
        <v>126</v>
      </c>
      <c r="O3" s="619" t="s">
        <v>127</v>
      </c>
      <c r="P3" s="619" t="s">
        <v>128</v>
      </c>
      <c r="R3" s="659"/>
      <c r="S3" s="660"/>
      <c r="U3" s="230"/>
      <c r="V3" s="231"/>
      <c r="Y3" s="351" t="e">
        <f>INDEX(Y4:Y11,MATCH(MAX(Z4:Z11),Z4:Z11,0))</f>
        <v>#N/A</v>
      </c>
      <c r="Z3" s="331" t="s">
        <v>79</v>
      </c>
      <c r="AA3" s="249" t="s">
        <v>17</v>
      </c>
      <c r="AB3" s="249" t="s">
        <v>8</v>
      </c>
      <c r="AC3" s="249" t="s">
        <v>29</v>
      </c>
      <c r="AD3" s="249" t="s">
        <v>103</v>
      </c>
      <c r="AE3" s="332" t="s">
        <v>8</v>
      </c>
      <c r="AF3" s="351" t="e">
        <f>INDEX(AF4:AF11,MATCH(AE18,AD4:AD11,0))</f>
        <v>#N/A</v>
      </c>
      <c r="AI3" s="331" t="s">
        <v>79</v>
      </c>
      <c r="AJ3" s="249" t="s">
        <v>17</v>
      </c>
      <c r="AK3" s="249" t="s">
        <v>8</v>
      </c>
      <c r="AL3" s="249" t="s">
        <v>29</v>
      </c>
      <c r="AM3" s="249" t="s">
        <v>103</v>
      </c>
      <c r="AN3" s="332" t="s">
        <v>8</v>
      </c>
      <c r="AR3" s="331" t="s">
        <v>79</v>
      </c>
      <c r="AS3" s="249" t="s">
        <v>17</v>
      </c>
      <c r="AT3" s="249" t="s">
        <v>8</v>
      </c>
      <c r="AU3" s="249" t="s">
        <v>29</v>
      </c>
      <c r="AV3" s="249" t="s">
        <v>103</v>
      </c>
      <c r="AW3" s="332" t="s">
        <v>8</v>
      </c>
      <c r="AY3" s="331" t="s">
        <v>79</v>
      </c>
      <c r="AZ3" s="249" t="s">
        <v>17</v>
      </c>
      <c r="BA3" s="249" t="s">
        <v>8</v>
      </c>
      <c r="BB3" s="249" t="s">
        <v>29</v>
      </c>
      <c r="BC3" s="249" t="s">
        <v>103</v>
      </c>
      <c r="BD3" s="332" t="s">
        <v>8</v>
      </c>
    </row>
    <row r="4" spans="1:56" ht="15" x14ac:dyDescent="0.2">
      <c r="B4" s="671" t="s">
        <v>2</v>
      </c>
      <c r="C4" s="672"/>
      <c r="D4" s="146" t="s">
        <v>185</v>
      </c>
      <c r="E4" s="8" t="s">
        <v>3</v>
      </c>
      <c r="F4" s="9"/>
      <c r="G4" s="10"/>
      <c r="H4" s="148" t="s">
        <v>186</v>
      </c>
      <c r="I4" s="673" t="s">
        <v>4</v>
      </c>
      <c r="J4" s="674"/>
      <c r="K4" s="13" t="s">
        <v>5</v>
      </c>
      <c r="L4" s="14" t="s">
        <v>6</v>
      </c>
      <c r="M4" s="58"/>
      <c r="N4" s="665"/>
      <c r="O4" s="667"/>
      <c r="P4" s="667"/>
      <c r="Q4" s="58"/>
      <c r="R4" s="675" t="s">
        <v>129</v>
      </c>
      <c r="S4" s="676"/>
      <c r="U4" s="227">
        <f>E10*(1.05)^-(1/V4)</f>
        <v>431.45493782948904</v>
      </c>
      <c r="V4" s="193">
        <f>S10</f>
        <v>0.4</v>
      </c>
      <c r="Y4" s="351" t="e">
        <f t="shared" ref="Y4:Y11" si="0">$AC$1/60*(AA4/2)^0.5/AB4^0.75</f>
        <v>#DIV/0!</v>
      </c>
      <c r="Z4" s="333"/>
      <c r="AA4" s="333"/>
      <c r="AB4" s="333"/>
      <c r="AC4" s="334"/>
      <c r="AD4" s="335"/>
      <c r="AE4" s="333"/>
      <c r="AF4" s="351" t="e">
        <f>$AC$1/60*(AD4/2)^0.5/AE4^0.75</f>
        <v>#DIV/0!</v>
      </c>
      <c r="AG4" s="351"/>
      <c r="AI4" s="333" t="e">
        <f>+AI26*AH$2</f>
        <v>#DIV/0!</v>
      </c>
      <c r="AJ4" s="333">
        <f>+AJ26*(AL$1/AL$23)^1</f>
        <v>0</v>
      </c>
      <c r="AK4" s="333">
        <f>+AK26*(AL$1/AL$23)^2</f>
        <v>0</v>
      </c>
      <c r="AL4" s="334" t="e">
        <f>1000*9.81/3600*AJ4*AK4/AI4/10</f>
        <v>#DIV/0!</v>
      </c>
      <c r="AM4" s="333">
        <f>+AM26*(AL$1/AL$23)^1</f>
        <v>0</v>
      </c>
      <c r="AN4" s="333">
        <f>+AN26*(AL$1/AL$23)^2</f>
        <v>0</v>
      </c>
      <c r="AR4" s="333"/>
      <c r="AS4" s="333"/>
      <c r="AT4" s="333"/>
      <c r="AU4" s="334"/>
      <c r="AV4" s="335"/>
      <c r="AW4" s="333"/>
      <c r="AY4" s="333"/>
      <c r="AZ4" s="333"/>
      <c r="BA4" s="333"/>
      <c r="BB4" s="334"/>
      <c r="BC4" s="333"/>
      <c r="BD4" s="333"/>
    </row>
    <row r="5" spans="1:56" thickBot="1" x14ac:dyDescent="0.25">
      <c r="B5" s="15" t="s">
        <v>11</v>
      </c>
      <c r="C5" s="147" t="e">
        <v>#N/A</v>
      </c>
      <c r="D5" s="16"/>
      <c r="E5" s="17" t="s">
        <v>12</v>
      </c>
      <c r="F5" s="18"/>
      <c r="G5" s="19"/>
      <c r="H5" s="149" t="s">
        <v>187</v>
      </c>
      <c r="I5" s="677" t="s">
        <v>13</v>
      </c>
      <c r="J5" s="678"/>
      <c r="K5" s="135">
        <f>E10</f>
        <v>487.42599999999999</v>
      </c>
      <c r="L5" s="136">
        <f>E49</f>
        <v>428.93487999999996</v>
      </c>
      <c r="M5" s="92"/>
      <c r="N5" s="665"/>
      <c r="O5" s="667"/>
      <c r="P5" s="667"/>
      <c r="Q5" s="92"/>
      <c r="R5" s="428" t="s">
        <v>17</v>
      </c>
      <c r="S5" s="429" t="s">
        <v>8</v>
      </c>
      <c r="U5" s="228">
        <f>E10*(1.05)^-(1/V5)</f>
        <v>477.19507482706769</v>
      </c>
      <c r="V5" s="198">
        <v>2.2999999999999998</v>
      </c>
      <c r="Y5" s="351" t="e">
        <f t="shared" si="0"/>
        <v>#DIV/0!</v>
      </c>
      <c r="Z5" s="335"/>
      <c r="AA5" s="335"/>
      <c r="AB5" s="335"/>
      <c r="AC5" s="336"/>
      <c r="AD5" s="335"/>
      <c r="AE5" s="337"/>
      <c r="AF5" s="351" t="e">
        <f t="shared" ref="AF5:AF8" si="1">$AC$1/60*(AD5/2)^0.5/AE5^0.75</f>
        <v>#DIV/0!</v>
      </c>
      <c r="AI5" s="333" t="e">
        <f t="shared" ref="AI5:AI21" si="2">+AI27*AH$2</f>
        <v>#DIV/0!</v>
      </c>
      <c r="AJ5" s="333">
        <f t="shared" ref="AJ5:AJ21" si="3">+AJ27*(AL$1/AL$23)^1</f>
        <v>0</v>
      </c>
      <c r="AK5" s="333">
        <f t="shared" ref="AK5:AK21" si="4">+AK27*(AL$1/AL$23)^2</f>
        <v>0</v>
      </c>
      <c r="AL5" s="334" t="e">
        <f t="shared" ref="AL5:AL21" si="5">1000*9.81/3600*AJ5*AK5/AI5/10</f>
        <v>#DIV/0!</v>
      </c>
      <c r="AM5" s="333">
        <f t="shared" ref="AM5:AM21" si="6">+AM27*(AL$1/AL$23)^1</f>
        <v>0</v>
      </c>
      <c r="AN5" s="333">
        <f t="shared" ref="AN5:AN21" si="7">+AN27*(AL$1/AL$23)^2</f>
        <v>0</v>
      </c>
      <c r="AR5" s="335"/>
      <c r="AS5" s="335"/>
      <c r="AT5" s="335"/>
      <c r="AU5" s="336"/>
      <c r="AV5" s="335"/>
      <c r="AW5" s="337"/>
      <c r="AY5" s="335"/>
      <c r="AZ5" s="335"/>
      <c r="BA5" s="335"/>
      <c r="BB5" s="336"/>
      <c r="BC5" s="335"/>
      <c r="BD5" s="337"/>
    </row>
    <row r="6" spans="1:56" thickBot="1" x14ac:dyDescent="0.25">
      <c r="B6" s="644" t="s">
        <v>20</v>
      </c>
      <c r="C6" s="645"/>
      <c r="D6" s="645"/>
      <c r="E6" s="150"/>
      <c r="F6" s="25" t="s">
        <v>21</v>
      </c>
      <c r="G6" s="26" t="s">
        <v>22</v>
      </c>
      <c r="H6" s="156">
        <f>'test modello'!AC6</f>
        <v>0</v>
      </c>
      <c r="I6" s="669" t="s">
        <v>23</v>
      </c>
      <c r="J6" s="670"/>
      <c r="K6" s="670"/>
      <c r="L6" s="144">
        <v>250</v>
      </c>
      <c r="M6" s="93"/>
      <c r="N6" s="666"/>
      <c r="O6" s="668"/>
      <c r="P6" s="668"/>
      <c r="Q6" s="93"/>
      <c r="R6" s="217"/>
      <c r="S6" s="218"/>
      <c r="Y6" s="351" t="e">
        <f t="shared" si="0"/>
        <v>#DIV/0!</v>
      </c>
      <c r="Z6" s="335"/>
      <c r="AA6" s="335"/>
      <c r="AB6" s="335"/>
      <c r="AC6" s="336"/>
      <c r="AD6" s="335"/>
      <c r="AE6" s="337"/>
      <c r="AF6" s="351" t="e">
        <f t="shared" si="1"/>
        <v>#DIV/0!</v>
      </c>
      <c r="AI6" s="333" t="e">
        <f t="shared" si="2"/>
        <v>#DIV/0!</v>
      </c>
      <c r="AJ6" s="333">
        <f t="shared" si="3"/>
        <v>0</v>
      </c>
      <c r="AK6" s="333">
        <f t="shared" si="4"/>
        <v>0</v>
      </c>
      <c r="AL6" s="334" t="e">
        <f t="shared" si="5"/>
        <v>#DIV/0!</v>
      </c>
      <c r="AM6" s="333">
        <f t="shared" si="6"/>
        <v>0</v>
      </c>
      <c r="AN6" s="333">
        <f t="shared" si="7"/>
        <v>0</v>
      </c>
      <c r="AR6" s="335"/>
      <c r="AS6" s="335"/>
      <c r="AT6" s="335"/>
      <c r="AU6" s="336"/>
      <c r="AV6" s="335"/>
      <c r="AW6" s="337"/>
      <c r="AY6" s="335"/>
      <c r="AZ6" s="335"/>
      <c r="BA6" s="335"/>
      <c r="BB6" s="336"/>
      <c r="BC6" s="335"/>
      <c r="BD6" s="337"/>
    </row>
    <row r="7" spans="1:56" ht="15.75" customHeight="1" thickBot="1" x14ac:dyDescent="0.25">
      <c r="B7" s="644" t="s">
        <v>24</v>
      </c>
      <c r="C7" s="645"/>
      <c r="D7" s="32"/>
      <c r="E7" s="33" t="s">
        <v>25</v>
      </c>
      <c r="F7" s="34" t="s">
        <v>26</v>
      </c>
      <c r="G7" s="35"/>
      <c r="H7" s="36"/>
      <c r="I7" s="646" t="s">
        <v>27</v>
      </c>
      <c r="J7" s="647"/>
      <c r="K7" s="647"/>
      <c r="L7" s="145">
        <v>200</v>
      </c>
      <c r="M7" s="94"/>
      <c r="N7" s="179">
        <f>H17/('test modello'!AC17*(($E$10/'test modello'!$Z$10)*($K$8/'test modello'!$AF$8))^2)</f>
        <v>1</v>
      </c>
      <c r="O7" s="158">
        <f>MIN(2*(H17/20)^0.3,2)</f>
        <v>2</v>
      </c>
      <c r="P7" s="190">
        <v>2</v>
      </c>
      <c r="Q7" s="94"/>
      <c r="R7" s="648" t="s">
        <v>130</v>
      </c>
      <c r="S7" s="649"/>
      <c r="T7" s="649"/>
      <c r="U7" s="650"/>
      <c r="Y7" s="351" t="e">
        <f t="shared" si="0"/>
        <v>#DIV/0!</v>
      </c>
      <c r="Z7" s="335"/>
      <c r="AA7" s="335"/>
      <c r="AB7" s="335"/>
      <c r="AC7" s="336"/>
      <c r="AD7" s="335"/>
      <c r="AE7" s="337"/>
      <c r="AF7" s="351" t="e">
        <f t="shared" si="1"/>
        <v>#DIV/0!</v>
      </c>
      <c r="AI7" s="333" t="e">
        <f t="shared" si="2"/>
        <v>#DIV/0!</v>
      </c>
      <c r="AJ7" s="333">
        <f t="shared" si="3"/>
        <v>0</v>
      </c>
      <c r="AK7" s="333">
        <f t="shared" si="4"/>
        <v>0</v>
      </c>
      <c r="AL7" s="334" t="e">
        <f t="shared" si="5"/>
        <v>#DIV/0!</v>
      </c>
      <c r="AM7" s="333">
        <f t="shared" si="6"/>
        <v>0</v>
      </c>
      <c r="AN7" s="333">
        <f t="shared" si="7"/>
        <v>0</v>
      </c>
      <c r="AR7" s="335"/>
      <c r="AS7" s="335"/>
      <c r="AT7" s="335"/>
      <c r="AU7" s="336"/>
      <c r="AV7" s="335"/>
      <c r="AW7" s="337"/>
      <c r="AY7" s="335"/>
      <c r="AZ7" s="335"/>
      <c r="BA7" s="335"/>
      <c r="BB7" s="336"/>
      <c r="BC7" s="335"/>
      <c r="BD7" s="337"/>
    </row>
    <row r="8" spans="1:56" ht="15.75" customHeight="1" thickBot="1" x14ac:dyDescent="0.25">
      <c r="B8" s="651" t="s">
        <v>28</v>
      </c>
      <c r="C8" s="652"/>
      <c r="D8" s="652"/>
      <c r="E8" s="151"/>
      <c r="F8" s="40" t="s">
        <v>29</v>
      </c>
      <c r="G8" s="41" t="s">
        <v>30</v>
      </c>
      <c r="H8" s="134">
        <f>K8/60*(C17/H65)^0.5/(D17/J65)^0.75</f>
        <v>56.845454164807485</v>
      </c>
      <c r="I8" s="653" t="s">
        <v>31</v>
      </c>
      <c r="J8" s="652"/>
      <c r="K8" s="137">
        <v>1180</v>
      </c>
      <c r="L8" s="44" t="s">
        <v>32</v>
      </c>
      <c r="M8" s="58"/>
      <c r="N8" s="58"/>
      <c r="O8" s="158">
        <f>IF($E$10&lt;'test modello'!$Z$10,2*('test modello'!AC17/20)^0.3,2)</f>
        <v>2</v>
      </c>
      <c r="P8" s="190">
        <v>2</v>
      </c>
      <c r="Q8" s="58"/>
      <c r="R8" s="232" t="s">
        <v>33</v>
      </c>
      <c r="S8" s="233" t="s">
        <v>8</v>
      </c>
      <c r="T8" s="233" t="s">
        <v>8</v>
      </c>
      <c r="U8" s="65"/>
      <c r="Y8" s="351" t="e">
        <f t="shared" si="0"/>
        <v>#DIV/0!</v>
      </c>
      <c r="Z8" s="335"/>
      <c r="AA8" s="335"/>
      <c r="AB8" s="335"/>
      <c r="AC8" s="336"/>
      <c r="AD8" s="335"/>
      <c r="AE8" s="337"/>
      <c r="AF8" s="351" t="e">
        <f t="shared" si="1"/>
        <v>#DIV/0!</v>
      </c>
      <c r="AI8" s="333" t="e">
        <f t="shared" si="2"/>
        <v>#DIV/0!</v>
      </c>
      <c r="AJ8" s="333">
        <f t="shared" si="3"/>
        <v>0</v>
      </c>
      <c r="AK8" s="333">
        <f t="shared" si="4"/>
        <v>0</v>
      </c>
      <c r="AL8" s="334" t="e">
        <f t="shared" si="5"/>
        <v>#DIV/0!</v>
      </c>
      <c r="AM8" s="333">
        <f t="shared" si="6"/>
        <v>0</v>
      </c>
      <c r="AN8" s="333">
        <f t="shared" si="7"/>
        <v>0</v>
      </c>
      <c r="AR8" s="335"/>
      <c r="AS8" s="335"/>
      <c r="AT8" s="335"/>
      <c r="AU8" s="336"/>
      <c r="AV8" s="335"/>
      <c r="AW8" s="337"/>
      <c r="AY8" s="335"/>
      <c r="AZ8" s="335"/>
      <c r="BA8" s="335"/>
      <c r="BB8" s="336"/>
      <c r="BC8" s="335"/>
      <c r="BD8" s="337"/>
    </row>
    <row r="9" spans="1:56" ht="15.75" customHeight="1" thickBot="1" x14ac:dyDescent="0.25">
      <c r="B9" s="64"/>
      <c r="L9" s="65"/>
      <c r="R9" s="180" t="s">
        <v>14</v>
      </c>
      <c r="S9" s="194" t="s">
        <v>15</v>
      </c>
      <c r="T9" s="194" t="s">
        <v>16</v>
      </c>
      <c r="U9" s="65"/>
      <c r="V9" s="53" t="s">
        <v>131</v>
      </c>
      <c r="Y9" s="351" t="e">
        <f t="shared" si="0"/>
        <v>#DIV/0!</v>
      </c>
      <c r="Z9" s="335"/>
      <c r="AA9" s="335"/>
      <c r="AB9" s="335"/>
      <c r="AC9" s="336"/>
      <c r="AD9" s="337"/>
      <c r="AE9" s="337"/>
      <c r="AI9" s="333" t="e">
        <f t="shared" si="2"/>
        <v>#DIV/0!</v>
      </c>
      <c r="AJ9" s="333">
        <f t="shared" si="3"/>
        <v>0</v>
      </c>
      <c r="AK9" s="333">
        <f t="shared" si="4"/>
        <v>0</v>
      </c>
      <c r="AL9" s="334" t="e">
        <f t="shared" si="5"/>
        <v>#DIV/0!</v>
      </c>
      <c r="AM9" s="333">
        <f t="shared" si="6"/>
        <v>0</v>
      </c>
      <c r="AN9" s="333">
        <f t="shared" si="7"/>
        <v>0</v>
      </c>
      <c r="AR9" s="335"/>
      <c r="AS9" s="335"/>
      <c r="AT9" s="335"/>
      <c r="AU9" s="336"/>
      <c r="AV9" s="337"/>
      <c r="AW9" s="337"/>
      <c r="AY9" s="335"/>
      <c r="AZ9" s="335"/>
      <c r="BA9" s="335"/>
      <c r="BB9" s="336"/>
      <c r="BC9" s="337"/>
      <c r="BD9" s="337"/>
    </row>
    <row r="10" spans="1:56" ht="15.75" customHeight="1" thickBot="1" x14ac:dyDescent="0.25">
      <c r="A10" s="585" t="s">
        <v>132</v>
      </c>
      <c r="B10" s="64"/>
      <c r="C10" s="66" t="s">
        <v>4</v>
      </c>
      <c r="D10" s="67"/>
      <c r="E10" s="236">
        <f>19.19*25.4</f>
        <v>487.42599999999999</v>
      </c>
      <c r="F10" s="571">
        <f>'test modello'!F10/'test modello'!$L$10*'example '!$L$11</f>
        <v>487</v>
      </c>
      <c r="G10" s="571">
        <f>'test modello'!G10/'test modello'!$L$10*'example '!$L$11</f>
        <v>487</v>
      </c>
      <c r="H10" s="69" t="s">
        <v>36</v>
      </c>
      <c r="I10" s="68"/>
      <c r="J10" s="68"/>
      <c r="K10" s="323" t="s">
        <v>38</v>
      </c>
      <c r="L10" s="324">
        <f>E10/'test modello'!Z10*'test modello'!AG10</f>
        <v>1.0008747433264886</v>
      </c>
      <c r="N10" s="585" t="s">
        <v>133</v>
      </c>
      <c r="O10" s="639" t="s">
        <v>40</v>
      </c>
      <c r="P10" s="641" t="s">
        <v>134</v>
      </c>
      <c r="Q10" s="643"/>
      <c r="R10" s="570">
        <f>E10</f>
        <v>487.42599999999999</v>
      </c>
      <c r="S10" s="218">
        <f>'test modello'!AN10</f>
        <v>0.4</v>
      </c>
      <c r="T10" s="218">
        <f>'test modello'!AO10</f>
        <v>1.8</v>
      </c>
      <c r="U10" s="65"/>
      <c r="V10" s="279">
        <f>1-R10/E10</f>
        <v>0</v>
      </c>
      <c r="Y10" s="351" t="e">
        <f t="shared" si="0"/>
        <v>#DIV/0!</v>
      </c>
      <c r="Z10" s="335"/>
      <c r="AA10" s="335"/>
      <c r="AB10" s="335"/>
      <c r="AC10" s="337"/>
      <c r="AI10" s="333" t="e">
        <f t="shared" si="2"/>
        <v>#DIV/0!</v>
      </c>
      <c r="AJ10" s="333">
        <f t="shared" si="3"/>
        <v>0</v>
      </c>
      <c r="AK10" s="333">
        <f t="shared" si="4"/>
        <v>0</v>
      </c>
      <c r="AL10" s="334" t="e">
        <f t="shared" si="5"/>
        <v>#DIV/0!</v>
      </c>
      <c r="AM10" s="333">
        <f t="shared" si="6"/>
        <v>0</v>
      </c>
      <c r="AN10" s="333">
        <f t="shared" si="7"/>
        <v>0</v>
      </c>
      <c r="AR10" s="335"/>
      <c r="AS10" s="335"/>
      <c r="AT10" s="335"/>
      <c r="AU10" s="337"/>
      <c r="AY10" s="335"/>
      <c r="AZ10" s="335"/>
      <c r="BA10" s="335"/>
      <c r="BB10" s="337"/>
    </row>
    <row r="11" spans="1:56" ht="15.75" customHeight="1" thickBot="1" x14ac:dyDescent="0.25">
      <c r="A11" s="638"/>
      <c r="B11" s="64"/>
      <c r="C11" s="58" t="s">
        <v>48</v>
      </c>
      <c r="D11" s="58" t="s">
        <v>49</v>
      </c>
      <c r="E11" s="25" t="s">
        <v>50</v>
      </c>
      <c r="F11" s="58" t="s">
        <v>51</v>
      </c>
      <c r="G11" s="70"/>
      <c r="H11" s="70"/>
      <c r="J11" s="71"/>
      <c r="K11" s="71"/>
      <c r="L11" s="144">
        <v>1</v>
      </c>
      <c r="N11" s="586"/>
      <c r="O11" s="640"/>
      <c r="P11" s="642"/>
      <c r="Q11" s="643"/>
      <c r="R11" s="221" t="s">
        <v>15</v>
      </c>
      <c r="S11" s="222" t="s">
        <v>16</v>
      </c>
      <c r="T11" s="223" t="s">
        <v>124</v>
      </c>
      <c r="U11" s="224" t="s">
        <v>107</v>
      </c>
      <c r="Y11" s="351" t="e">
        <f t="shared" si="0"/>
        <v>#DIV/0!</v>
      </c>
      <c r="Z11" s="335"/>
      <c r="AA11" s="335"/>
      <c r="AB11" s="335"/>
      <c r="AC11" s="337"/>
      <c r="AD11" s="120"/>
      <c r="AE11" s="120"/>
      <c r="AI11" s="333" t="e">
        <f t="shared" si="2"/>
        <v>#DIV/0!</v>
      </c>
      <c r="AJ11" s="333">
        <f t="shared" si="3"/>
        <v>0</v>
      </c>
      <c r="AK11" s="333">
        <f t="shared" si="4"/>
        <v>0</v>
      </c>
      <c r="AL11" s="334" t="e">
        <f t="shared" si="5"/>
        <v>#DIV/0!</v>
      </c>
      <c r="AM11" s="333">
        <f t="shared" si="6"/>
        <v>0</v>
      </c>
      <c r="AN11" s="333">
        <f t="shared" si="7"/>
        <v>0</v>
      </c>
      <c r="AR11" s="335"/>
      <c r="AS11" s="335"/>
      <c r="AT11" s="335"/>
      <c r="AU11" s="337"/>
      <c r="AV11" s="120"/>
      <c r="AW11" s="120"/>
      <c r="AY11" s="335"/>
      <c r="AZ11" s="335"/>
      <c r="BA11" s="335"/>
      <c r="BB11" s="337"/>
      <c r="BC11" s="120"/>
      <c r="BD11" s="120"/>
    </row>
    <row r="12" spans="1:56" ht="15.75" customHeight="1" x14ac:dyDescent="0.2">
      <c r="A12" s="167">
        <f>'test modello'!Q12</f>
        <v>0</v>
      </c>
      <c r="B12" s="64"/>
      <c r="C12" s="408">
        <f>'test modello'!X12*($E$10/'test modello'!$Z$10)^3*($K$8/'test modello'!$AF$8)</f>
        <v>0</v>
      </c>
      <c r="D12" s="408">
        <f>'test modello'!Y12*($E$10/'test modello'!$Z$10)^2*($K$8/'test modello'!$AF$8)^2</f>
        <v>220.81240580054671</v>
      </c>
      <c r="E12" s="168">
        <f>FORECAST(C12,E13:E14,C13:C14)</f>
        <v>4145.6396298798127</v>
      </c>
      <c r="F12" s="408">
        <f>$F$17*N12</f>
        <v>0</v>
      </c>
      <c r="G12" s="70"/>
      <c r="H12" s="70"/>
      <c r="I12" s="78"/>
      <c r="J12" s="71"/>
      <c r="K12" s="432"/>
      <c r="L12" s="65"/>
      <c r="N12" s="131">
        <f>'test modello'!AI12</f>
        <v>0</v>
      </c>
      <c r="O12" s="112"/>
      <c r="P12" s="110"/>
      <c r="R12" s="219">
        <f t="shared" ref="R12:R19" si="8">C12*($R$10/$E$10)^$S$10</f>
        <v>0</v>
      </c>
      <c r="S12" s="220">
        <f t="shared" ref="S12:S19" si="9">D12*($R$10/$E$10)^$T$10</f>
        <v>220.81240580054671</v>
      </c>
      <c r="T12" s="225"/>
      <c r="U12" s="226">
        <v>0</v>
      </c>
      <c r="V12" s="58"/>
      <c r="Z12" s="335"/>
      <c r="AA12" s="335"/>
      <c r="AB12" s="335"/>
      <c r="AC12" s="337"/>
      <c r="AD12" s="45" t="s">
        <v>136</v>
      </c>
      <c r="AE12" s="354" t="e">
        <f>AD4/(INDEX(AA4:AA11,MATCH(MAX(Z4:Z11),Z4:Z11,0)))</f>
        <v>#N/A</v>
      </c>
      <c r="AI12" s="333" t="e">
        <f t="shared" si="2"/>
        <v>#DIV/0!</v>
      </c>
      <c r="AJ12" s="333">
        <f t="shared" si="3"/>
        <v>0</v>
      </c>
      <c r="AK12" s="333">
        <f t="shared" si="4"/>
        <v>0</v>
      </c>
      <c r="AL12" s="334" t="e">
        <f t="shared" si="5"/>
        <v>#DIV/0!</v>
      </c>
      <c r="AM12" s="333">
        <f t="shared" si="6"/>
        <v>0</v>
      </c>
      <c r="AN12" s="333">
        <f t="shared" si="7"/>
        <v>0</v>
      </c>
      <c r="AR12" s="335"/>
      <c r="AS12" s="335"/>
      <c r="AT12" s="335"/>
      <c r="AU12" s="337"/>
      <c r="AV12"/>
      <c r="AW12"/>
      <c r="AY12" s="335"/>
      <c r="AZ12" s="335"/>
      <c r="BA12" s="335"/>
      <c r="BB12" s="337"/>
      <c r="BC12"/>
      <c r="BD12"/>
    </row>
    <row r="13" spans="1:56" ht="15.75" customHeight="1" x14ac:dyDescent="0.2">
      <c r="A13" s="165">
        <f>'test modello'!Q13</f>
        <v>0</v>
      </c>
      <c r="B13" s="64"/>
      <c r="C13" s="408">
        <f>'test modello'!X13*($E$10/'test modello'!$Z$10)^3*($K$8/'test modello'!$AF$8)</f>
        <v>2376.0243417329757</v>
      </c>
      <c r="D13" s="408">
        <f>$D$12-($D$12-('test modello'!Y13*($E$10/'test modello'!$Z$10)^2*($K$8/'test modello'!$AF$8)^2))*(1+$S$42)</f>
        <v>191.66244416727434</v>
      </c>
      <c r="E13" s="403">
        <f t="shared" ref="E13:E19" si="10">C13/3600*D13*9.806/F13*100</f>
        <v>4004.4816254342513</v>
      </c>
      <c r="F13" s="408">
        <f>$R$42*N13*(D13/('test modello'!Y13*($E$10/'test modello'!$Z$10)^2*($K$8/'test modello'!$AF$8)^2))*100</f>
        <v>30.976403345058323</v>
      </c>
      <c r="G13" s="75" t="s">
        <v>48</v>
      </c>
      <c r="H13" s="404" t="s">
        <v>55</v>
      </c>
      <c r="I13" s="78"/>
      <c r="J13" s="71"/>
      <c r="K13" s="430"/>
      <c r="L13" s="431"/>
      <c r="N13" s="131">
        <f>'test modello'!AI13</f>
        <v>0.35001867047073643</v>
      </c>
      <c r="O13" s="113"/>
      <c r="P13" s="114"/>
      <c r="R13" s="195">
        <f t="shared" si="8"/>
        <v>2376.0243417329757</v>
      </c>
      <c r="S13" s="220">
        <f t="shared" si="9"/>
        <v>191.66244416727434</v>
      </c>
      <c r="T13" s="369">
        <f t="shared" ref="T13:T19" si="11">R13/3600*S13*9.806/U13*100</f>
        <v>4004.4816254342513</v>
      </c>
      <c r="U13" s="138">
        <f>$F$17*(1-($T$28*$V$10^2+$T$29*$V$10+$T$30))*N13*(D13/('test modello'!Y13*($E$10/'test modello'!$Z$10)^2*($K$8/'test modello'!$AF$8)^2))</f>
        <v>30.976403345058323</v>
      </c>
      <c r="V13" s="76"/>
      <c r="W13" s="192"/>
      <c r="Z13" s="335"/>
      <c r="AA13" s="335"/>
      <c r="AB13" s="335"/>
      <c r="AC13" s="337"/>
      <c r="AD13" s="46" t="s">
        <v>138</v>
      </c>
      <c r="AE13" s="352" t="e">
        <f>MAX(AA4:AA11)/(INDEX(AA4:AA11,MATCH(MAX(Z4:Z11),Z4:Z11,0)))</f>
        <v>#N/A</v>
      </c>
      <c r="AI13" s="333" t="e">
        <f t="shared" si="2"/>
        <v>#DIV/0!</v>
      </c>
      <c r="AJ13" s="333">
        <f t="shared" si="3"/>
        <v>0</v>
      </c>
      <c r="AK13" s="333">
        <f t="shared" si="4"/>
        <v>0</v>
      </c>
      <c r="AL13" s="334" t="e">
        <f t="shared" si="5"/>
        <v>#DIV/0!</v>
      </c>
      <c r="AM13" s="333">
        <f t="shared" si="6"/>
        <v>0</v>
      </c>
      <c r="AN13" s="333">
        <f t="shared" si="7"/>
        <v>0</v>
      </c>
      <c r="AR13" s="335"/>
      <c r="AS13" s="335"/>
      <c r="AT13" s="335"/>
      <c r="AU13" s="337"/>
      <c r="AV13" s="46"/>
      <c r="AW13" s="46"/>
      <c r="AY13" s="335"/>
      <c r="AZ13" s="335"/>
      <c r="BA13" s="335"/>
      <c r="BB13" s="337"/>
      <c r="BC13" s="46"/>
      <c r="BD13" s="46"/>
    </row>
    <row r="14" spans="1:56" ht="15.75" customHeight="1" x14ac:dyDescent="0.2">
      <c r="A14" s="165">
        <f>'test modello'!Q14</f>
        <v>0</v>
      </c>
      <c r="B14" s="64"/>
      <c r="C14" s="408">
        <f>'test modello'!X14*($E$10/'test modello'!$Z$10)^3*($K$8/'test modello'!$AF$8)</f>
        <v>4752.0486834659514</v>
      </c>
      <c r="D14" s="408">
        <f>$D$12-($D$12-('test modello'!Y14*($E$10/'test modello'!$Z$10)^2*($K$8/'test modello'!$AF$8)^2))*(1+$S$42)</f>
        <v>171.00397034961244</v>
      </c>
      <c r="E14" s="403">
        <f t="shared" si="10"/>
        <v>3863.3236209886895</v>
      </c>
      <c r="F14" s="408">
        <f>$R$42*N14*(D14/('test modello'!Y14*($E$10/'test modello'!$Z$10)^2*($K$8/'test modello'!$AF$8)^2))*100</f>
        <v>57.294821909741458</v>
      </c>
      <c r="G14" s="408"/>
      <c r="H14" s="408"/>
      <c r="I14" s="78"/>
      <c r="J14" s="71"/>
      <c r="K14" s="432"/>
      <c r="L14" s="433"/>
      <c r="N14" s="131">
        <f>'test modello'!AI14</f>
        <v>0.64740432148668381</v>
      </c>
      <c r="O14" s="175">
        <f>'test modello'!AJ14</f>
        <v>0.71281342411299309</v>
      </c>
      <c r="P14" s="177">
        <f>('test modello'!AC14*(($E$10/'test modello'!$Z$10)*($K$8/'test modello'!$AF$8))^2)</f>
        <v>19.753325976317839</v>
      </c>
      <c r="R14" s="195">
        <f t="shared" si="8"/>
        <v>4752.0486834659514</v>
      </c>
      <c r="S14" s="220">
        <f t="shared" si="9"/>
        <v>171.00397034961244</v>
      </c>
      <c r="T14" s="369">
        <f t="shared" si="11"/>
        <v>3863.3236209886895</v>
      </c>
      <c r="U14" s="138">
        <f>$F$17*(1-($T$28*$V$10^2+$T$29*$V$10+$T$30))*N14*(D14/('test modello'!Y14*($E$10/'test modello'!$Z$10)^2*($K$8/'test modello'!$AF$8)^2))</f>
        <v>57.294821909741465</v>
      </c>
      <c r="V14" s="76"/>
      <c r="W14" s="192"/>
      <c r="Z14" s="335"/>
      <c r="AA14" s="335"/>
      <c r="AB14" s="335"/>
      <c r="AC14" s="337"/>
      <c r="AD14" s="46"/>
      <c r="AE14" s="46"/>
      <c r="AI14" s="333" t="e">
        <f t="shared" si="2"/>
        <v>#DIV/0!</v>
      </c>
      <c r="AJ14" s="333">
        <f t="shared" si="3"/>
        <v>0</v>
      </c>
      <c r="AK14" s="333">
        <f t="shared" si="4"/>
        <v>0</v>
      </c>
      <c r="AL14" s="334" t="e">
        <f t="shared" si="5"/>
        <v>#DIV/0!</v>
      </c>
      <c r="AM14" s="333">
        <f t="shared" si="6"/>
        <v>0</v>
      </c>
      <c r="AN14" s="333">
        <f t="shared" si="7"/>
        <v>0</v>
      </c>
      <c r="AR14" s="335"/>
      <c r="AS14" s="335"/>
      <c r="AT14" s="335"/>
      <c r="AU14" s="337"/>
      <c r="AV14" s="46"/>
      <c r="AW14" s="46"/>
      <c r="AY14" s="335"/>
      <c r="AZ14" s="335"/>
      <c r="BA14" s="335"/>
      <c r="BB14" s="337"/>
      <c r="BC14" s="46"/>
      <c r="BD14" s="46"/>
    </row>
    <row r="15" spans="1:56" ht="15.75" customHeight="1" x14ac:dyDescent="0.2">
      <c r="A15" s="165">
        <f>'test modello'!Q15</f>
        <v>0</v>
      </c>
      <c r="B15" s="319">
        <f>($D$12-D15)/D15</f>
        <v>0.4088770919091827</v>
      </c>
      <c r="C15" s="408">
        <f>'test modello'!X15*($E$10/'test modello'!$Z$10)^3*($K$8/'test modello'!$AF$8)</f>
        <v>7128.0730251989262</v>
      </c>
      <c r="D15" s="408">
        <f>$D$12-($D$12-('test modello'!Y15*($E$10/'test modello'!$Z$10)^2*($K$8/'test modello'!$AF$8)^2))*(1+$S$42)</f>
        <v>156.72936061535484</v>
      </c>
      <c r="E15" s="403">
        <f t="shared" si="10"/>
        <v>4217.6303894265211</v>
      </c>
      <c r="F15" s="408">
        <f>$R$42*N15*(D15/('test modello'!Y15*($E$10/'test modello'!$Z$10)^2*($K$8/'test modello'!$AF$8)^2))*100</f>
        <v>72.151169084106328</v>
      </c>
      <c r="G15" s="408">
        <f>'test modello'!AB15*($E$10/'test modello'!$Z$10)^3*($K$8/'test modello'!$AF$8)</f>
        <v>7128.0730251989262</v>
      </c>
      <c r="H15" s="408">
        <f>'test modello'!AC15*($E$10/'test modello'!$Z$10)^$P$8*($K$8/'test modello'!$AF$8)^$P$7</f>
        <v>21.474514900895439</v>
      </c>
      <c r="I15" s="78"/>
      <c r="J15" s="71"/>
      <c r="K15" s="432"/>
      <c r="L15" s="433"/>
      <c r="N15" s="131">
        <f>'test modello'!AI15</f>
        <v>0.81527400048388832</v>
      </c>
      <c r="O15" s="175">
        <f>'test modello'!AJ15</f>
        <v>0.77492380351666557</v>
      </c>
      <c r="P15" s="177">
        <f>('test modello'!AC15*(($E$10/'test modello'!$Z$10)*($K$8/'test modello'!$AF$8))^2)</f>
        <v>21.474514900895439</v>
      </c>
      <c r="R15" s="195">
        <f t="shared" si="8"/>
        <v>7128.0730251989262</v>
      </c>
      <c r="S15" s="220">
        <f t="shared" si="9"/>
        <v>156.72936061535484</v>
      </c>
      <c r="T15" s="369">
        <f t="shared" si="11"/>
        <v>4217.6303894265211</v>
      </c>
      <c r="U15" s="138">
        <f>$F$17*(1-($T$28*$V$10^2+$T$29*$V$10+$T$30))*N15*(D15/('test modello'!Y15*($E$10/'test modello'!$Z$10)^2*($K$8/'test modello'!$AF$8)^2))</f>
        <v>72.151169084106328</v>
      </c>
      <c r="V15" s="76"/>
      <c r="W15" s="192"/>
      <c r="Z15" s="335"/>
      <c r="AA15" s="335"/>
      <c r="AB15" s="335"/>
      <c r="AC15" s="337"/>
      <c r="AI15" s="333" t="e">
        <f t="shared" si="2"/>
        <v>#DIV/0!</v>
      </c>
      <c r="AJ15" s="333">
        <f t="shared" si="3"/>
        <v>0</v>
      </c>
      <c r="AK15" s="333">
        <f t="shared" si="4"/>
        <v>0</v>
      </c>
      <c r="AL15" s="334" t="e">
        <f t="shared" si="5"/>
        <v>#DIV/0!</v>
      </c>
      <c r="AM15" s="333">
        <f t="shared" si="6"/>
        <v>0</v>
      </c>
      <c r="AN15" s="333">
        <f t="shared" si="7"/>
        <v>0</v>
      </c>
      <c r="AR15" s="335"/>
      <c r="AS15" s="335"/>
      <c r="AT15" s="335"/>
      <c r="AU15" s="337"/>
      <c r="AY15" s="335"/>
      <c r="AZ15" s="335"/>
      <c r="BA15" s="335"/>
      <c r="BB15" s="337"/>
    </row>
    <row r="16" spans="1:56" ht="15.75" customHeight="1" x14ac:dyDescent="0.2">
      <c r="A16" s="165">
        <f>'test modello'!Q16</f>
        <v>0</v>
      </c>
      <c r="B16" s="319">
        <f>($D$12-D16)/D16</f>
        <v>0.53085492543042634</v>
      </c>
      <c r="C16" s="408">
        <f>'test modello'!X16*($E$10/'test modello'!$Z$10)^3*($K$8/'test modello'!$AF$8)</f>
        <v>9504.0973669319028</v>
      </c>
      <c r="D16" s="408">
        <f>$D$12-($D$12-('test modello'!Y16*($E$10/'test modello'!$Z$10)^2*($K$8/'test modello'!$AF$8)^2))*(1+$S$42)</f>
        <v>144.24123549033328</v>
      </c>
      <c r="E16" s="403">
        <f t="shared" si="10"/>
        <v>4492.796204301696</v>
      </c>
      <c r="F16" s="408">
        <f>$R$42*N16*(D16/('test modello'!Y16*($E$10/'test modello'!$Z$10)^2*($K$8/'test modello'!$AF$8)^2))*100</f>
        <v>83.113769491387529</v>
      </c>
      <c r="G16" s="408">
        <f>'test modello'!AB16*($E$10/'test modello'!$Z$10)^3*($K$8/'test modello'!$AF$8)</f>
        <v>9504.0973669319028</v>
      </c>
      <c r="H16" s="408">
        <f>'test modello'!AC16*($E$10/'test modello'!$Z$10)^$P$8*($K$8/'test modello'!$AF$8)^$P$7</f>
        <v>24.154326025835811</v>
      </c>
      <c r="I16" s="78"/>
      <c r="J16" s="71"/>
      <c r="K16" s="432"/>
      <c r="L16" s="433"/>
      <c r="N16" s="131">
        <f>'test modello'!AI16</f>
        <v>0.93914618721633092</v>
      </c>
      <c r="O16" s="175">
        <f>'test modello'!AJ16</f>
        <v>0.87162677628363017</v>
      </c>
      <c r="P16" s="177">
        <f>('test modello'!AC16*(($E$10/'test modello'!$Z$10)*($K$8/'test modello'!$AF$8))^2)</f>
        <v>24.154326025835811</v>
      </c>
      <c r="R16" s="195">
        <f t="shared" si="8"/>
        <v>9504.0973669319028</v>
      </c>
      <c r="S16" s="220">
        <f t="shared" si="9"/>
        <v>144.24123549033328</v>
      </c>
      <c r="T16" s="369">
        <f t="shared" si="11"/>
        <v>4492.7962043016951</v>
      </c>
      <c r="U16" s="138">
        <f>$F$17*(1-($T$28*$V$10^2+$T$29*$V$10+$T$30))*N16*(D16/('test modello'!Y16*($E$10/'test modello'!$Z$10)^2*($K$8/'test modello'!$AF$8)^2))</f>
        <v>83.113769491387544</v>
      </c>
      <c r="V16" s="76"/>
      <c r="W16" s="192"/>
      <c r="Z16" s="335"/>
      <c r="AA16" s="335"/>
      <c r="AB16" s="335"/>
      <c r="AC16" s="335"/>
      <c r="AI16" s="333" t="e">
        <f t="shared" si="2"/>
        <v>#DIV/0!</v>
      </c>
      <c r="AJ16" s="333">
        <f t="shared" si="3"/>
        <v>0</v>
      </c>
      <c r="AK16" s="333">
        <f t="shared" si="4"/>
        <v>0</v>
      </c>
      <c r="AL16" s="334" t="e">
        <f t="shared" si="5"/>
        <v>#DIV/0!</v>
      </c>
      <c r="AM16" s="333">
        <f t="shared" si="6"/>
        <v>0</v>
      </c>
      <c r="AN16" s="333">
        <f t="shared" si="7"/>
        <v>0</v>
      </c>
      <c r="AR16" s="335"/>
      <c r="AS16" s="335"/>
      <c r="AT16" s="335"/>
      <c r="AU16" s="335"/>
      <c r="AY16" s="335"/>
      <c r="AZ16" s="335"/>
      <c r="BA16" s="335"/>
      <c r="BB16" s="335"/>
    </row>
    <row r="17" spans="1:54" ht="15.75" customHeight="1" x14ac:dyDescent="0.2">
      <c r="A17" s="320">
        <f>'test modello'!Q17</f>
        <v>0</v>
      </c>
      <c r="B17" s="319">
        <f>($D$12-D17)/D17</f>
        <v>0.74620886159432243</v>
      </c>
      <c r="C17" s="408">
        <f>'test modello'!X17*($E$10/'test modello'!$Z$10)^3*($K$8/'test modello'!$AF$8)</f>
        <v>11880.121708664878</v>
      </c>
      <c r="D17" s="408">
        <f>$D$12-($D$12-('test modello'!Y17*($E$10/'test modello'!$Z$10)^2*($K$8/'test modello'!$AF$8)^2))*(1+$S$42)</f>
        <v>126.45245975841671</v>
      </c>
      <c r="E17" s="403">
        <f t="shared" si="10"/>
        <v>4623.7865773964631</v>
      </c>
      <c r="F17" s="408">
        <f>$R$42*N17*(D17/('test modello'!Y17*($E$10/'test modello'!$Z$10)^2*($K$8/'test modello'!$AF$8)^2))*100</f>
        <v>88.499288633370568</v>
      </c>
      <c r="G17" s="408">
        <f>'test modello'!AB17*($E$10/'test modello'!$Z$10)^3*($K$8/'test modello'!$AF$8)</f>
        <v>11880.121708664878</v>
      </c>
      <c r="H17" s="408">
        <f>'test modello'!AC17*($E$10/'test modello'!$Z$10)^$P$8*($K$8/'test modello'!$AF$8)^$P$7</f>
        <v>27.711776052616258</v>
      </c>
      <c r="I17" s="441"/>
      <c r="J17" s="71"/>
      <c r="K17" s="432"/>
      <c r="L17" s="433"/>
      <c r="N17" s="131">
        <f>'test modello'!AI17</f>
        <v>1</v>
      </c>
      <c r="O17" s="175">
        <f>'test modello'!AJ17</f>
        <v>1</v>
      </c>
      <c r="P17" s="177">
        <f>('test modello'!AC17*(($E$10/'test modello'!$Z$10)*($K$8/'test modello'!$AF$8))^2)</f>
        <v>27.711776052616258</v>
      </c>
      <c r="R17" s="195">
        <f t="shared" si="8"/>
        <v>11880.121708664878</v>
      </c>
      <c r="S17" s="220">
        <f t="shared" si="9"/>
        <v>126.45245975841671</v>
      </c>
      <c r="T17" s="369">
        <f t="shared" si="11"/>
        <v>4623.7865773964631</v>
      </c>
      <c r="U17" s="138">
        <f>$F$17*(1-($T$28*$V$10^2+$T$29*$V$10+$T$30))*N17*(D17/('test modello'!Y17*($E$10/'test modello'!$Z$10)^2*($K$8/'test modello'!$AF$8)^2))</f>
        <v>88.499288633370568</v>
      </c>
      <c r="V17" s="76"/>
      <c r="W17" s="192"/>
      <c r="Z17" s="335"/>
      <c r="AA17" s="335"/>
      <c r="AB17" s="335"/>
      <c r="AC17" s="335"/>
      <c r="AD17" s="53" t="s">
        <v>30</v>
      </c>
      <c r="AE17" s="351" t="e">
        <f>Y3</f>
        <v>#N/A</v>
      </c>
      <c r="AI17" s="333" t="e">
        <f t="shared" si="2"/>
        <v>#DIV/0!</v>
      </c>
      <c r="AJ17" s="333">
        <f t="shared" si="3"/>
        <v>0</v>
      </c>
      <c r="AK17" s="333">
        <f t="shared" si="4"/>
        <v>0</v>
      </c>
      <c r="AL17" s="334" t="e">
        <f t="shared" si="5"/>
        <v>#DIV/0!</v>
      </c>
      <c r="AM17" s="333">
        <f t="shared" si="6"/>
        <v>0</v>
      </c>
      <c r="AN17" s="333">
        <f t="shared" si="7"/>
        <v>0</v>
      </c>
      <c r="AR17" s="335"/>
      <c r="AS17" s="335"/>
      <c r="AT17" s="335"/>
      <c r="AU17" s="335"/>
      <c r="AY17" s="335"/>
      <c r="AZ17" s="335"/>
      <c r="BA17" s="335"/>
      <c r="BB17" s="335"/>
    </row>
    <row r="18" spans="1:54" ht="15.75" customHeight="1" x14ac:dyDescent="0.2">
      <c r="A18" s="165">
        <f>'test modello'!Q18</f>
        <v>0</v>
      </c>
      <c r="B18" s="64"/>
      <c r="C18" s="408">
        <f>'test modello'!X18*($E$10/'test modello'!$Z$10)^3*($K$8/'test modello'!$AF$8)</f>
        <v>13662.139964964606</v>
      </c>
      <c r="D18" s="408">
        <f>$D$12-($D$12-('test modello'!Y18*($E$10/'test modello'!$Z$10)^2*($K$8/'test modello'!$AF$8)^2))*(1+$S$42)</f>
        <v>103.96483651225927</v>
      </c>
      <c r="E18" s="403">
        <f t="shared" si="10"/>
        <v>4528.5501528067807</v>
      </c>
      <c r="F18" s="408">
        <f>$R$42*N18*(D18/('test modello'!Y18*($E$10/'test modello'!$Z$10)^2*($K$8/'test modello'!$AF$8)^2))*100</f>
        <v>85.434918903306027</v>
      </c>
      <c r="G18" s="408">
        <f>'test modello'!AB18*($E$10/'test modello'!$Z$10)^3*($K$8/'test modello'!$AF$8)</f>
        <v>13662.139964964606</v>
      </c>
      <c r="H18" s="408">
        <f>'test modello'!AC18*($E$10/'test modello'!$Z$10)^$P$8*($K$8/'test modello'!$AF$8)^$P$7</f>
        <v>34.148396341751607</v>
      </c>
      <c r="I18" s="78"/>
      <c r="J18" s="71"/>
      <c r="K18" s="432"/>
      <c r="L18" s="433"/>
      <c r="N18" s="131">
        <f>'test modello'!AI18</f>
        <v>0.96537407500799888</v>
      </c>
      <c r="O18" s="175">
        <f>'test modello'!AJ18</f>
        <v>1.2322702188742489</v>
      </c>
      <c r="P18" s="177">
        <f>('test modello'!AC18*(($E$10/'test modello'!$Z$10)*($K$8/'test modello'!$AF$8))^2)</f>
        <v>34.148396341751607</v>
      </c>
      <c r="R18" s="195">
        <f t="shared" si="8"/>
        <v>13662.139964964606</v>
      </c>
      <c r="S18" s="220">
        <f t="shared" si="9"/>
        <v>103.96483651225927</v>
      </c>
      <c r="T18" s="369">
        <f t="shared" si="11"/>
        <v>4528.5501528067807</v>
      </c>
      <c r="U18" s="138">
        <f>$F$17*(1-($T$28*$V$10^2+$T$29*$V$10+$T$30))*N18*(D18/('test modello'!Y18*($E$10/'test modello'!$Z$10)^2*($K$8/'test modello'!$AF$8)^2))</f>
        <v>85.434918903306027</v>
      </c>
      <c r="V18" s="76"/>
      <c r="W18" s="192"/>
      <c r="Z18" s="335"/>
      <c r="AA18" s="335"/>
      <c r="AB18" s="335"/>
      <c r="AC18" s="335"/>
      <c r="AD18" s="53" t="s">
        <v>75</v>
      </c>
      <c r="AE18" s="53" t="e">
        <f>INDEX(AA4:AA11,MATCH(MAX(Z4:Z11),Z4:Z11,0))</f>
        <v>#N/A</v>
      </c>
      <c r="AI18" s="333" t="e">
        <f t="shared" si="2"/>
        <v>#DIV/0!</v>
      </c>
      <c r="AJ18" s="333">
        <f t="shared" si="3"/>
        <v>0</v>
      </c>
      <c r="AK18" s="333">
        <f t="shared" si="4"/>
        <v>0</v>
      </c>
      <c r="AL18" s="334" t="e">
        <f t="shared" si="5"/>
        <v>#DIV/0!</v>
      </c>
      <c r="AM18" s="333">
        <f t="shared" si="6"/>
        <v>0</v>
      </c>
      <c r="AN18" s="333">
        <f t="shared" si="7"/>
        <v>0</v>
      </c>
      <c r="AR18" s="335"/>
      <c r="AS18" s="335"/>
      <c r="AT18" s="335"/>
      <c r="AU18" s="335"/>
      <c r="AY18" s="335"/>
      <c r="AZ18" s="335"/>
      <c r="BA18" s="335"/>
      <c r="BB18" s="335"/>
    </row>
    <row r="19" spans="1:54" ht="15.75" customHeight="1" thickBot="1" x14ac:dyDescent="0.25">
      <c r="A19" s="165">
        <f>'test modello'!Q19</f>
        <v>0</v>
      </c>
      <c r="B19" s="64"/>
      <c r="C19" s="410">
        <f>'test modello'!X19*($E$10/'test modello'!$Z$10)^3*($K$8/'test modello'!$AF$8)</f>
        <v>15444.158221264341</v>
      </c>
      <c r="D19" s="410">
        <f>$D$12-($D$12-('test modello'!Y19*($E$10/'test modello'!$Z$10)^2*($K$8/'test modello'!$AF$8)^2))*(1+$S$42)</f>
        <v>68.20033471609176</v>
      </c>
      <c r="E19" s="406">
        <f t="shared" si="10"/>
        <v>3987.845674587471</v>
      </c>
      <c r="F19" s="410">
        <f>$R$42*N19*(D19/('test modello'!Y19*($E$10/'test modello'!$Z$10)^2*($K$8/'test modello'!$AF$8)^2))*100</f>
        <v>71.945194865941929</v>
      </c>
      <c r="G19" s="410">
        <f>'test modello'!AB19*($E$10/'test modello'!$Z$10)^3*($K$8/'test modello'!$AF$8)</f>
        <v>15444.158221264341</v>
      </c>
      <c r="H19" s="410">
        <f>'test modello'!AC19*($E$10/'test modello'!$Z$10)^$P$8*($K$8/'test modello'!$AF$8)^$P$7</f>
        <v>48.464654873365504</v>
      </c>
      <c r="I19" s="78"/>
      <c r="J19" s="71"/>
      <c r="K19" s="432"/>
      <c r="L19" s="433"/>
      <c r="N19" s="132">
        <f>'test modello'!AI19</f>
        <v>0.8129465894804202</v>
      </c>
      <c r="O19" s="176">
        <f>'test modello'!AJ19</f>
        <v>1.7488830301365681</v>
      </c>
      <c r="P19" s="178">
        <f>('test modello'!AC19*(($E$10/'test modello'!$Z$10)*($K$8/'test modello'!$AF$8))^2)</f>
        <v>48.464654873365504</v>
      </c>
      <c r="R19" s="196">
        <f t="shared" si="8"/>
        <v>15444.158221264341</v>
      </c>
      <c r="S19" s="220">
        <f t="shared" si="9"/>
        <v>68.20033471609176</v>
      </c>
      <c r="T19" s="434">
        <f t="shared" si="11"/>
        <v>3987.845674587471</v>
      </c>
      <c r="U19" s="138">
        <f>$F$17*(1-($T$28*$V$10^2+$T$29*$V$10+$T$30))*N19*(D19/('test modello'!Y19*($E$10/'test modello'!$Z$10)^2*($K$8/'test modello'!$AF$8)^2))</f>
        <v>71.945194865941929</v>
      </c>
      <c r="V19" s="76"/>
      <c r="W19" s="192"/>
      <c r="Z19" s="335"/>
      <c r="AA19" s="335"/>
      <c r="AB19" s="335"/>
      <c r="AC19" s="335"/>
      <c r="AD19" s="53" t="s">
        <v>76</v>
      </c>
      <c r="AE19" s="53" t="e">
        <f>INDEX(AB4:AB11,MATCH(MAX(Z4:Z11),Z4:Z11,0))</f>
        <v>#N/A</v>
      </c>
      <c r="AI19" s="333" t="e">
        <f t="shared" si="2"/>
        <v>#DIV/0!</v>
      </c>
      <c r="AJ19" s="333">
        <f t="shared" si="3"/>
        <v>0</v>
      </c>
      <c r="AK19" s="333">
        <f t="shared" si="4"/>
        <v>0</v>
      </c>
      <c r="AL19" s="334" t="e">
        <f t="shared" si="5"/>
        <v>#DIV/0!</v>
      </c>
      <c r="AM19" s="333">
        <f t="shared" si="6"/>
        <v>0</v>
      </c>
      <c r="AN19" s="333">
        <f t="shared" si="7"/>
        <v>0</v>
      </c>
      <c r="AR19" s="335"/>
      <c r="AS19" s="335"/>
      <c r="AT19" s="335"/>
      <c r="AU19" s="335"/>
      <c r="AY19" s="335"/>
      <c r="AZ19" s="335"/>
      <c r="BA19" s="335"/>
      <c r="BB19" s="335"/>
    </row>
    <row r="20" spans="1:54" ht="15.75" customHeight="1" thickBot="1" x14ac:dyDescent="0.25">
      <c r="A20" s="166"/>
      <c r="B20" s="64"/>
      <c r="C20" s="70"/>
      <c r="D20" s="70"/>
      <c r="E20" s="70"/>
      <c r="F20" s="70"/>
      <c r="G20" s="78"/>
      <c r="H20" s="70"/>
      <c r="J20" s="71"/>
      <c r="K20" s="435"/>
      <c r="L20" s="433"/>
      <c r="N20" s="111"/>
      <c r="O20" s="111"/>
      <c r="P20" s="111"/>
      <c r="S20" s="405"/>
      <c r="T20" s="405"/>
      <c r="U20" s="75"/>
      <c r="V20" s="404"/>
      <c r="W20" s="89"/>
      <c r="Z20" s="337"/>
      <c r="AA20" s="337"/>
      <c r="AB20" s="337"/>
      <c r="AC20" s="337"/>
      <c r="AD20" s="53" t="s">
        <v>139</v>
      </c>
      <c r="AE20" s="351">
        <f>MAX(Z4:Z11)</f>
        <v>0</v>
      </c>
      <c r="AI20" s="333" t="e">
        <f t="shared" si="2"/>
        <v>#DIV/0!</v>
      </c>
      <c r="AJ20" s="333">
        <f t="shared" si="3"/>
        <v>0</v>
      </c>
      <c r="AK20" s="333">
        <f t="shared" si="4"/>
        <v>0</v>
      </c>
      <c r="AL20" s="334" t="e">
        <f t="shared" si="5"/>
        <v>#DIV/0!</v>
      </c>
      <c r="AM20" s="333">
        <f t="shared" si="6"/>
        <v>0</v>
      </c>
      <c r="AN20" s="333">
        <f t="shared" si="7"/>
        <v>0</v>
      </c>
      <c r="AR20" s="337"/>
      <c r="AS20" s="337"/>
      <c r="AT20" s="337"/>
      <c r="AU20" s="337"/>
      <c r="AY20" s="337"/>
      <c r="AZ20" s="337"/>
      <c r="BA20" s="337"/>
      <c r="BB20" s="337"/>
    </row>
    <row r="21" spans="1:54" ht="15.75" customHeight="1" x14ac:dyDescent="0.2">
      <c r="A21" s="166"/>
      <c r="B21" s="64"/>
      <c r="C21" s="70"/>
      <c r="D21" s="70"/>
      <c r="E21" s="70"/>
      <c r="F21" s="70"/>
      <c r="G21" s="78"/>
      <c r="H21" s="70"/>
      <c r="J21" s="74"/>
      <c r="K21" s="74"/>
      <c r="L21" s="65"/>
      <c r="N21" s="111"/>
      <c r="O21" s="111"/>
      <c r="P21" s="340" t="s">
        <v>58</v>
      </c>
      <c r="R21" s="115" t="s">
        <v>34</v>
      </c>
      <c r="S21" s="116"/>
      <c r="T21" s="116" t="s">
        <v>52</v>
      </c>
      <c r="U21" s="117" t="s">
        <v>53</v>
      </c>
      <c r="W21" s="76"/>
      <c r="Z21" s="337"/>
      <c r="AA21" s="337"/>
      <c r="AB21" s="337"/>
      <c r="AC21" s="337"/>
      <c r="AD21" s="53" t="s">
        <v>125</v>
      </c>
      <c r="AE21" s="351" t="e">
        <f>AF3</f>
        <v>#N/A</v>
      </c>
      <c r="AI21" s="333" t="e">
        <f t="shared" si="2"/>
        <v>#DIV/0!</v>
      </c>
      <c r="AJ21" s="333">
        <f t="shared" si="3"/>
        <v>0</v>
      </c>
      <c r="AK21" s="333">
        <f t="shared" si="4"/>
        <v>0</v>
      </c>
      <c r="AL21" s="334" t="e">
        <f t="shared" si="5"/>
        <v>#DIV/0!</v>
      </c>
      <c r="AM21" s="333">
        <f t="shared" si="6"/>
        <v>0</v>
      </c>
      <c r="AN21" s="333">
        <f t="shared" si="7"/>
        <v>0</v>
      </c>
      <c r="AR21" s="337"/>
      <c r="AS21" s="337"/>
      <c r="AT21" s="337"/>
      <c r="AU21" s="337"/>
      <c r="AY21" s="337"/>
      <c r="AZ21" s="337"/>
      <c r="BA21" s="337"/>
      <c r="BB21" s="337"/>
    </row>
    <row r="22" spans="1:54" ht="13.5" thickBot="1" x14ac:dyDescent="0.25">
      <c r="A22" s="166"/>
      <c r="B22" s="64"/>
      <c r="C22" s="70"/>
      <c r="D22" s="70"/>
      <c r="E22" s="70"/>
      <c r="F22" s="70"/>
      <c r="G22" s="78"/>
      <c r="H22" s="70"/>
      <c r="J22" s="74"/>
      <c r="K22" s="74"/>
      <c r="L22" s="65"/>
      <c r="N22" s="111"/>
      <c r="O22" s="111"/>
      <c r="P22" s="342">
        <f>+'test modello'!AK23</f>
        <v>5.0000000000000001E-3</v>
      </c>
      <c r="R22" s="143">
        <f>MAX(C12:C19)</f>
        <v>15444.158221264341</v>
      </c>
      <c r="S22" s="63" t="s">
        <v>54</v>
      </c>
      <c r="T22" s="215">
        <f>L6</f>
        <v>250</v>
      </c>
      <c r="U22" s="141">
        <f>R22/3600/(T22/1000)^2/PI()*4</f>
        <v>87.396057699824127</v>
      </c>
      <c r="W22" s="76"/>
    </row>
    <row r="23" spans="1:54" ht="15.75" customHeight="1" thickBot="1" x14ac:dyDescent="0.25">
      <c r="A23" s="166"/>
      <c r="B23" s="64"/>
      <c r="C23" s="66" t="s">
        <v>4</v>
      </c>
      <c r="D23" s="67"/>
      <c r="E23" s="345">
        <f>E10*(1-'test modello'!L17)</f>
        <v>458.18043999999998</v>
      </c>
      <c r="F23" s="79"/>
      <c r="G23" s="80"/>
      <c r="H23" s="69" t="s">
        <v>59</v>
      </c>
      <c r="I23" s="68"/>
      <c r="J23" s="77"/>
      <c r="K23" s="77"/>
      <c r="L23" s="65"/>
      <c r="N23" s="585" t="s">
        <v>133</v>
      </c>
      <c r="O23" s="103"/>
      <c r="P23" s="103"/>
      <c r="R23" s="118"/>
      <c r="S23" s="119" t="s">
        <v>56</v>
      </c>
      <c r="T23" s="216">
        <f>L7</f>
        <v>200</v>
      </c>
      <c r="U23" s="142">
        <f>R22/3600/(T23/1000)^2/PI()*4</f>
        <v>136.55634015597516</v>
      </c>
      <c r="W23" s="76"/>
      <c r="Z23" s="348" t="s">
        <v>158</v>
      </c>
      <c r="AA23" s="349"/>
      <c r="AB23" s="349" t="s">
        <v>117</v>
      </c>
      <c r="AC23" s="350"/>
      <c r="AD23" s="326" t="s">
        <v>118</v>
      </c>
      <c r="AE23" s="327"/>
      <c r="AI23" s="348" t="s">
        <v>188</v>
      </c>
      <c r="AJ23" s="349"/>
      <c r="AK23" s="349" t="s">
        <v>117</v>
      </c>
      <c r="AL23" s="350">
        <v>1480</v>
      </c>
      <c r="AM23" s="326" t="s">
        <v>118</v>
      </c>
      <c r="AN23" s="359">
        <f>+AO23-F10+E10</f>
        <v>408.42599999999999</v>
      </c>
      <c r="AO23" s="53">
        <v>408</v>
      </c>
    </row>
    <row r="24" spans="1:54" ht="16.5" thickBot="1" x14ac:dyDescent="0.25">
      <c r="A24" s="166"/>
      <c r="B24" s="64"/>
      <c r="C24" s="25" t="s">
        <v>48</v>
      </c>
      <c r="D24" s="25" t="s">
        <v>49</v>
      </c>
      <c r="E24" s="58" t="s">
        <v>50</v>
      </c>
      <c r="F24" s="58" t="s">
        <v>51</v>
      </c>
      <c r="G24" s="81"/>
      <c r="H24" s="82"/>
      <c r="I24" s="83"/>
      <c r="J24" s="84"/>
      <c r="K24" s="84"/>
      <c r="L24" s="65"/>
      <c r="N24" s="586"/>
      <c r="O24" s="103"/>
      <c r="P24" s="103"/>
      <c r="S24" s="55"/>
      <c r="T24" s="85"/>
      <c r="U24" s="86"/>
      <c r="W24" s="76"/>
      <c r="Y24" s="53" t="s">
        <v>30</v>
      </c>
      <c r="Z24" s="328" t="s">
        <v>123</v>
      </c>
      <c r="AA24" s="329" t="s">
        <v>15</v>
      </c>
      <c r="AB24" s="329" t="s">
        <v>16</v>
      </c>
      <c r="AC24" s="329" t="s">
        <v>124</v>
      </c>
      <c r="AD24" s="329" t="s">
        <v>15</v>
      </c>
      <c r="AE24" s="330" t="s">
        <v>108</v>
      </c>
      <c r="AF24" s="53" t="s">
        <v>125</v>
      </c>
      <c r="AI24" s="328" t="s">
        <v>123</v>
      </c>
      <c r="AJ24" s="329" t="s">
        <v>15</v>
      </c>
      <c r="AK24" s="329" t="s">
        <v>16</v>
      </c>
      <c r="AL24" s="329" t="s">
        <v>124</v>
      </c>
      <c r="AM24" s="329" t="s">
        <v>15</v>
      </c>
      <c r="AN24" s="330" t="s">
        <v>108</v>
      </c>
    </row>
    <row r="25" spans="1:54" ht="15.75" customHeight="1" thickBot="1" x14ac:dyDescent="0.25">
      <c r="A25" s="165">
        <f>'test modello'!Q25</f>
        <v>0</v>
      </c>
      <c r="B25" s="91"/>
      <c r="C25" s="408">
        <f t="shared" ref="C25:C32" si="12">C12*($E$23/$E$10)^$S$10</f>
        <v>0</v>
      </c>
      <c r="D25" s="408">
        <f t="shared" ref="D25:D32" si="13">D12*($E$23/$E$10)^$T$10</f>
        <v>197.53934344587279</v>
      </c>
      <c r="E25" s="168">
        <f>FORECAST(C25,E26:E27,C26:C27)</f>
        <v>3637.201820407955</v>
      </c>
      <c r="F25" s="408">
        <f>$R$42*(1-$S$28)*N25*(D12/('test modello'!Y12*($E$10/'test modello'!$Z$10)^2*($K$8/'test modello'!$AF$8)^2))*100</f>
        <v>0</v>
      </c>
      <c r="G25" s="78"/>
      <c r="H25" s="200"/>
      <c r="J25" s="202"/>
      <c r="K25" s="432"/>
      <c r="L25" s="433"/>
      <c r="N25" s="160">
        <f>'test modello'!AI25</f>
        <v>0</v>
      </c>
      <c r="O25" s="161"/>
      <c r="P25" s="161"/>
      <c r="R25" s="628" t="s">
        <v>140</v>
      </c>
      <c r="S25" s="630" t="s">
        <v>61</v>
      </c>
      <c r="T25" s="632" t="s">
        <v>141</v>
      </c>
      <c r="U25" s="633"/>
      <c r="Y25" s="351" t="e">
        <f>INDEX(Y26:Y33,MATCH(MAX(Z26:Z33),Z26:Z33,0))</f>
        <v>#N/A</v>
      </c>
      <c r="Z25" s="331" t="s">
        <v>79</v>
      </c>
      <c r="AA25" s="249" t="s">
        <v>17</v>
      </c>
      <c r="AB25" s="249" t="s">
        <v>8</v>
      </c>
      <c r="AC25" s="249" t="s">
        <v>29</v>
      </c>
      <c r="AD25" s="249" t="s">
        <v>103</v>
      </c>
      <c r="AE25" s="332" t="s">
        <v>8</v>
      </c>
      <c r="AF25" s="351" t="e">
        <f>INDEX(AF26:AF33,MATCH(AE40,AD26:AD33,0))</f>
        <v>#N/A</v>
      </c>
      <c r="AH25" s="351"/>
      <c r="AI25" s="331" t="s">
        <v>79</v>
      </c>
      <c r="AJ25" s="249" t="s">
        <v>17</v>
      </c>
      <c r="AK25" s="249" t="s">
        <v>8</v>
      </c>
      <c r="AL25" s="249" t="s">
        <v>29</v>
      </c>
      <c r="AM25" s="249" t="s">
        <v>103</v>
      </c>
      <c r="AN25" s="332" t="s">
        <v>8</v>
      </c>
      <c r="AO25" s="351"/>
      <c r="AP25" s="351"/>
      <c r="AQ25" s="351"/>
    </row>
    <row r="26" spans="1:54" ht="15.75" customHeight="1" thickBot="1" x14ac:dyDescent="0.25">
      <c r="A26" s="165">
        <f>'test modello'!Q26</f>
        <v>0</v>
      </c>
      <c r="B26" s="91"/>
      <c r="C26" s="408">
        <f t="shared" si="12"/>
        <v>2317.9391298416203</v>
      </c>
      <c r="D26" s="408">
        <f t="shared" si="13"/>
        <v>171.4617131531696</v>
      </c>
      <c r="E26" s="403">
        <f t="shared" ref="E26:E30" si="14">C26/3600*D26*9.806/F26*100</f>
        <v>3513.3559976707202</v>
      </c>
      <c r="F26" s="408">
        <f>$R$42*(1-$S$28)*N26*(D13/('test modello'!Y13*($E$10/'test modello'!$Z$10)^2*($K$8/'test modello'!$AF$8)^2))*100</f>
        <v>30.813172556584124</v>
      </c>
      <c r="G26" s="78"/>
      <c r="H26" s="200"/>
      <c r="J26" s="202"/>
      <c r="K26" s="432"/>
      <c r="L26" s="433"/>
      <c r="N26" s="160">
        <f>'test modello'!AI26</f>
        <v>0.35001867047073643</v>
      </c>
      <c r="O26" s="161"/>
      <c r="P26" s="161"/>
      <c r="R26" s="629"/>
      <c r="S26" s="631"/>
      <c r="T26" s="634">
        <f>'test modello'!AM34</f>
        <v>0.67948777730975252</v>
      </c>
      <c r="U26" s="635"/>
      <c r="Y26" s="351" t="e">
        <f>$AC$23/60*(AA26/2)^0.5/AB26^0.75</f>
        <v>#DIV/0!</v>
      </c>
      <c r="Z26" s="333"/>
      <c r="AA26" s="333"/>
      <c r="AB26" s="333"/>
      <c r="AC26" s="334"/>
      <c r="AD26" s="335"/>
      <c r="AE26" s="333"/>
      <c r="AF26" s="351" t="e">
        <f>$AC$1/60*(AD26/2)^0.5/AE26^0.75</f>
        <v>#DIV/0!</v>
      </c>
      <c r="AH26" s="351"/>
      <c r="AI26" s="333"/>
      <c r="AJ26" s="333"/>
      <c r="AK26" s="333"/>
      <c r="AL26" s="334"/>
      <c r="AM26" s="335"/>
      <c r="AN26" s="333"/>
      <c r="AO26" s="351"/>
      <c r="AP26" s="351"/>
      <c r="AQ26" s="351"/>
    </row>
    <row r="27" spans="1:54" ht="15.75" customHeight="1" thickBot="1" x14ac:dyDescent="0.25">
      <c r="A27" s="165">
        <f>'test modello'!Q27</f>
        <v>0</v>
      </c>
      <c r="B27" s="91"/>
      <c r="C27" s="408">
        <f t="shared" si="12"/>
        <v>4635.8782596832407</v>
      </c>
      <c r="D27" s="408">
        <f t="shared" si="13"/>
        <v>152.98058959609551</v>
      </c>
      <c r="E27" s="403">
        <f t="shared" si="14"/>
        <v>3389.5101749334854</v>
      </c>
      <c r="F27" s="408">
        <f>$R$42*(1-$S$28)*N27*(D14/('test modello'!Y14*($E$10/'test modello'!$Z$10)^2*($K$8/'test modello'!$AF$8)^2))*100</f>
        <v>56.992905678485137</v>
      </c>
      <c r="G27" s="58"/>
      <c r="H27" s="200"/>
      <c r="J27" s="202"/>
      <c r="K27" s="432"/>
      <c r="L27" s="433"/>
      <c r="N27" s="160">
        <f>'test modello'!AI27</f>
        <v>0.64740432148668381</v>
      </c>
      <c r="O27" s="161"/>
      <c r="R27" s="205">
        <f>1-E10/$E$10</f>
        <v>0</v>
      </c>
      <c r="S27" s="206">
        <v>0</v>
      </c>
      <c r="T27" s="636" t="s">
        <v>142</v>
      </c>
      <c r="U27" s="637"/>
      <c r="Y27" s="351" t="e">
        <f t="shared" ref="Y27:Y33" si="15">$AC$23/60*(AA27/2)^0.5/AB27^0.75</f>
        <v>#DIV/0!</v>
      </c>
      <c r="Z27" s="335"/>
      <c r="AA27" s="335"/>
      <c r="AB27" s="335"/>
      <c r="AC27" s="334"/>
      <c r="AD27" s="335"/>
      <c r="AE27" s="337"/>
      <c r="AF27" s="351" t="e">
        <f t="shared" ref="AF27:AF30" si="16">$AC$1/60*(AD27/2)^0.5/AE27^0.75</f>
        <v>#DIV/0!</v>
      </c>
      <c r="AH27" s="351"/>
      <c r="AI27" s="335"/>
      <c r="AJ27" s="335"/>
      <c r="AK27" s="335"/>
      <c r="AL27" s="334"/>
      <c r="AM27" s="335"/>
      <c r="AN27" s="337"/>
      <c r="AO27" s="351"/>
      <c r="AP27" s="351"/>
      <c r="AQ27" s="351"/>
    </row>
    <row r="28" spans="1:54" ht="15.75" customHeight="1" x14ac:dyDescent="0.2">
      <c r="A28" s="165">
        <f>'test modello'!Q28</f>
        <v>0</v>
      </c>
      <c r="B28" s="321">
        <f>($D$25-D28)/D28</f>
        <v>0.40887709190918292</v>
      </c>
      <c r="C28" s="408">
        <f t="shared" si="12"/>
        <v>6953.817389524861</v>
      </c>
      <c r="D28" s="408">
        <f t="shared" si="13"/>
        <v>140.21048718890398</v>
      </c>
      <c r="E28" s="403">
        <f t="shared" si="14"/>
        <v>3700.3633455411536</v>
      </c>
      <c r="F28" s="408">
        <f>$R$42*(1-$S$28)*N28*(D15/('test modello'!Y15*($E$10/'test modello'!$Z$10)^2*($K$8/'test modello'!$AF$8)^2))*100</f>
        <v>71.770967028763039</v>
      </c>
      <c r="G28" s="75"/>
      <c r="H28" s="200"/>
      <c r="I28" s="346"/>
      <c r="J28" s="202"/>
      <c r="K28" s="432"/>
      <c r="L28" s="433"/>
      <c r="N28" s="160">
        <f>'test modello'!AI28</f>
        <v>0.81527400048388832</v>
      </c>
      <c r="O28" s="161"/>
      <c r="R28" s="205">
        <f>1-E23/$E$10</f>
        <v>6.0000000000000053E-2</v>
      </c>
      <c r="S28" s="206">
        <f>$T$28*R28^2+$T$29*R28+$T$30</f>
        <v>5.2695203718748918E-3</v>
      </c>
      <c r="T28" s="212">
        <f>'test modello'!AP29</f>
        <v>0.67948777730975252</v>
      </c>
      <c r="U28" s="436" t="s">
        <v>65</v>
      </c>
      <c r="V28" s="405"/>
      <c r="W28" s="437"/>
      <c r="Y28" s="351" t="e">
        <f t="shared" si="15"/>
        <v>#DIV/0!</v>
      </c>
      <c r="Z28" s="335"/>
      <c r="AA28" s="335"/>
      <c r="AB28" s="335"/>
      <c r="AC28" s="334"/>
      <c r="AD28" s="335"/>
      <c r="AE28" s="337"/>
      <c r="AF28" s="351" t="e">
        <f t="shared" si="16"/>
        <v>#DIV/0!</v>
      </c>
      <c r="AH28" s="351"/>
      <c r="AI28" s="335"/>
      <c r="AJ28" s="335"/>
      <c r="AK28" s="335"/>
      <c r="AL28" s="334"/>
      <c r="AM28" s="335"/>
      <c r="AN28" s="337"/>
      <c r="AO28" s="351"/>
      <c r="AP28" s="351"/>
      <c r="AQ28" s="351"/>
    </row>
    <row r="29" spans="1:54" ht="15.75" customHeight="1" x14ac:dyDescent="0.2">
      <c r="A29" s="165">
        <f>'test modello'!Q29</f>
        <v>0</v>
      </c>
      <c r="B29" s="321">
        <f>($D$25-D29)/D29</f>
        <v>0.53085492543042634</v>
      </c>
      <c r="C29" s="408">
        <f t="shared" si="12"/>
        <v>9271.7565193664814</v>
      </c>
      <c r="D29" s="408">
        <f t="shared" si="13"/>
        <v>129.0385784860255</v>
      </c>
      <c r="E29" s="403">
        <f t="shared" si="14"/>
        <v>3941.7817253647372</v>
      </c>
      <c r="F29" s="408">
        <f>$R$42*(1-$S$28)*N29*(D16/('test modello'!Y16*($E$10/'test modello'!$Z$10)^2*($K$8/'test modello'!$AF$8)^2))*100</f>
        <v>82.675799789869359</v>
      </c>
      <c r="G29" s="75"/>
      <c r="H29" s="200"/>
      <c r="I29" s="346"/>
      <c r="J29" s="202"/>
      <c r="K29" s="432"/>
      <c r="L29" s="433"/>
      <c r="N29" s="160">
        <f>'test modello'!AI29</f>
        <v>0.93914618721633092</v>
      </c>
      <c r="O29" s="161"/>
      <c r="R29" s="205">
        <f>1-E36/$E$10</f>
        <v>6.0000000000000053E-2</v>
      </c>
      <c r="S29" s="206">
        <f>$T$28*R29^2+$T$29*R29+$T$30</f>
        <v>5.2695203718748918E-3</v>
      </c>
      <c r="T29" s="213">
        <f>'test modello'!AP30</f>
        <v>4.7056072892662955E-2</v>
      </c>
      <c r="U29" s="203" t="s">
        <v>66</v>
      </c>
      <c r="V29" s="405"/>
      <c r="W29" s="405"/>
      <c r="Y29" s="351" t="e">
        <f t="shared" si="15"/>
        <v>#DIV/0!</v>
      </c>
      <c r="Z29" s="335"/>
      <c r="AA29" s="335"/>
      <c r="AB29" s="335"/>
      <c r="AC29" s="334"/>
      <c r="AD29" s="335"/>
      <c r="AE29" s="337"/>
      <c r="AF29" s="351" t="e">
        <f t="shared" si="16"/>
        <v>#DIV/0!</v>
      </c>
      <c r="AH29" s="351"/>
      <c r="AI29" s="335"/>
      <c r="AJ29" s="335"/>
      <c r="AK29" s="335"/>
      <c r="AL29" s="334"/>
      <c r="AM29" s="335"/>
      <c r="AN29" s="337"/>
      <c r="AO29" s="351"/>
      <c r="AP29" s="351"/>
      <c r="AQ29" s="351"/>
    </row>
    <row r="30" spans="1:54" ht="15.75" customHeight="1" thickBot="1" x14ac:dyDescent="0.25">
      <c r="A30" s="320">
        <f>'test modello'!Q30</f>
        <v>0</v>
      </c>
      <c r="B30" s="321">
        <f>($D$25-D30)/D30</f>
        <v>0.74620886159432265</v>
      </c>
      <c r="C30" s="408">
        <f t="shared" si="12"/>
        <v>11589.695649208103</v>
      </c>
      <c r="D30" s="408">
        <f t="shared" si="13"/>
        <v>113.12469418206682</v>
      </c>
      <c r="E30" s="403">
        <f t="shared" si="14"/>
        <v>4056.7069156881466</v>
      </c>
      <c r="F30" s="408">
        <f>$R$42*(1-$S$28)*N30*(D17/('test modello'!Y17*($E$10/'test modello'!$Z$10)^2*($K$8/'test modello'!$AF$8)^2))*100</f>
        <v>88.032939829020592</v>
      </c>
      <c r="G30" s="75"/>
      <c r="H30" s="200"/>
      <c r="J30" s="202"/>
      <c r="K30" s="432"/>
      <c r="L30" s="433"/>
      <c r="N30" s="160">
        <f>'test modello'!AI30</f>
        <v>1</v>
      </c>
      <c r="O30" s="161"/>
      <c r="R30" s="207">
        <f>1-E49/$E$10</f>
        <v>0.12000000000000011</v>
      </c>
      <c r="S30" s="208">
        <f>$T$28*R30^2+$T$29*R30+$T$30</f>
        <v>1.5431352740380011E-2</v>
      </c>
      <c r="T30" s="214">
        <f>'test modello'!AP31</f>
        <v>-1.3010426069826053E-18</v>
      </c>
      <c r="U30" s="204" t="s">
        <v>67</v>
      </c>
      <c r="V30" s="405"/>
      <c r="W30" s="405"/>
      <c r="Y30" s="351" t="e">
        <f t="shared" si="15"/>
        <v>#DIV/0!</v>
      </c>
      <c r="Z30" s="335"/>
      <c r="AA30" s="335"/>
      <c r="AB30" s="335"/>
      <c r="AC30" s="334"/>
      <c r="AD30" s="335"/>
      <c r="AE30" s="337"/>
      <c r="AF30" s="351" t="e">
        <f t="shared" si="16"/>
        <v>#DIV/0!</v>
      </c>
      <c r="AH30" s="351"/>
      <c r="AI30" s="335"/>
      <c r="AJ30" s="335"/>
      <c r="AK30" s="335"/>
      <c r="AL30" s="334"/>
      <c r="AM30" s="335"/>
      <c r="AN30" s="337"/>
      <c r="AO30" s="351"/>
      <c r="AP30" s="351"/>
      <c r="AQ30" s="351"/>
    </row>
    <row r="31" spans="1:54" ht="15.75" customHeight="1" thickBot="1" x14ac:dyDescent="0.25">
      <c r="A31" s="165">
        <f>'test modello'!Q31</f>
        <v>0</v>
      </c>
      <c r="B31" s="91"/>
      <c r="C31" s="408">
        <f t="shared" si="12"/>
        <v>13328.149996589314</v>
      </c>
      <c r="D31" s="408">
        <f t="shared" si="13"/>
        <v>93.007208864160432</v>
      </c>
      <c r="E31" s="403">
        <f t="shared" ref="E31:E32" si="17">C31/3600*D31*9.806/F31*100</f>
        <v>3973.1506667585259</v>
      </c>
      <c r="F31" s="408">
        <f>$R$42*(1-$S$28)*N31*(D18/('test modello'!Y18*($E$10/'test modello'!$Z$10)^2*($K$8/'test modello'!$AF$8)^2))*100</f>
        <v>84.984717857675577</v>
      </c>
      <c r="G31" s="75"/>
      <c r="H31" s="200"/>
      <c r="J31" s="202"/>
      <c r="K31" s="432"/>
      <c r="L31" s="433"/>
      <c r="N31" s="160">
        <f>'test modello'!AI31</f>
        <v>0.96537407500799888</v>
      </c>
      <c r="O31" s="161"/>
      <c r="P31" s="161"/>
      <c r="S31" s="2"/>
      <c r="V31" s="405"/>
      <c r="W31" s="405"/>
      <c r="Y31" s="351" t="e">
        <f t="shared" si="15"/>
        <v>#DIV/0!</v>
      </c>
      <c r="Z31" s="335"/>
      <c r="AA31" s="335"/>
      <c r="AB31" s="335"/>
      <c r="AC31" s="334"/>
      <c r="AD31" s="337"/>
      <c r="AE31" s="337"/>
      <c r="AH31" s="351"/>
      <c r="AI31" s="335"/>
      <c r="AJ31" s="335"/>
      <c r="AK31" s="335"/>
      <c r="AL31" s="334"/>
      <c r="AM31" s="337"/>
      <c r="AN31" s="337"/>
    </row>
    <row r="32" spans="1:54" ht="15.75" customHeight="1" thickBot="1" x14ac:dyDescent="0.25">
      <c r="A32" s="165">
        <f>'test modello'!Q32</f>
        <v>0</v>
      </c>
      <c r="B32" s="91"/>
      <c r="C32" s="408">
        <f t="shared" si="12"/>
        <v>15066.604343970532</v>
      </c>
      <c r="D32" s="408">
        <f t="shared" si="13"/>
        <v>61.01219401039728</v>
      </c>
      <c r="E32" s="403">
        <f t="shared" si="17"/>
        <v>3498.76034631019</v>
      </c>
      <c r="F32" s="408">
        <f>$R$42*(1-$S$28)*N32*(D19/('test modello'!Y19*($E$10/'test modello'!$Z$10)^2*($K$8/'test modello'!$AF$8)^2))*100</f>
        <v>71.566078195937337</v>
      </c>
      <c r="G32" s="425"/>
      <c r="H32" s="425"/>
      <c r="I32" s="68"/>
      <c r="J32" s="202"/>
      <c r="K32" s="432"/>
      <c r="L32" s="433"/>
      <c r="N32" s="162">
        <f>'test modello'!AI32</f>
        <v>0.8129465894804202</v>
      </c>
      <c r="O32" s="161"/>
      <c r="P32" s="161"/>
      <c r="R32" s="619" t="s">
        <v>143</v>
      </c>
      <c r="S32" s="619" t="s">
        <v>144</v>
      </c>
      <c r="T32" s="619" t="s">
        <v>145</v>
      </c>
      <c r="U32" s="619" t="s">
        <v>146</v>
      </c>
      <c r="V32" s="619" t="s">
        <v>147</v>
      </c>
      <c r="W32" s="405"/>
      <c r="Y32" s="351" t="e">
        <f t="shared" si="15"/>
        <v>#DIV/0!</v>
      </c>
      <c r="Z32" s="335"/>
      <c r="AA32" s="335"/>
      <c r="AB32" s="335"/>
      <c r="AC32" s="334"/>
      <c r="AH32" s="351"/>
      <c r="AI32" s="335"/>
      <c r="AJ32" s="335"/>
      <c r="AK32" s="335"/>
      <c r="AL32" s="334"/>
    </row>
    <row r="33" spans="1:40" ht="15.75" customHeight="1" x14ac:dyDescent="0.2">
      <c r="A33" s="166"/>
      <c r="B33" s="64"/>
      <c r="C33" s="70"/>
      <c r="D33" s="70"/>
      <c r="E33" s="70"/>
      <c r="F33" s="70"/>
      <c r="G33" s="78"/>
      <c r="H33" s="70"/>
      <c r="J33" s="74"/>
      <c r="K33" s="74"/>
      <c r="L33" s="65"/>
      <c r="R33" s="627"/>
      <c r="S33" s="627"/>
      <c r="T33" s="627"/>
      <c r="U33" s="627"/>
      <c r="V33" s="627"/>
      <c r="W33" s="405"/>
      <c r="Y33" s="351" t="e">
        <f t="shared" si="15"/>
        <v>#DIV/0!</v>
      </c>
      <c r="Z33" s="335"/>
      <c r="AA33" s="335"/>
      <c r="AB33" s="335"/>
      <c r="AC33" s="334"/>
      <c r="AD33" s="120"/>
      <c r="AE33" s="120"/>
      <c r="AH33" s="351"/>
      <c r="AI33" s="335"/>
      <c r="AJ33" s="335"/>
      <c r="AK33" s="335"/>
      <c r="AL33" s="334"/>
      <c r="AM33" s="120"/>
      <c r="AN33" s="120"/>
    </row>
    <row r="34" spans="1:40" ht="15.75" customHeight="1" thickBot="1" x14ac:dyDescent="0.25">
      <c r="A34" s="166"/>
      <c r="B34" s="64"/>
      <c r="C34" s="70"/>
      <c r="D34" s="70"/>
      <c r="E34" s="70"/>
      <c r="F34" s="70"/>
      <c r="G34" s="78"/>
      <c r="H34" s="70"/>
      <c r="J34" s="74"/>
      <c r="K34" s="74"/>
      <c r="L34" s="65"/>
      <c r="R34" s="159">
        <f>IF(($E$10/'test modello'!$Z$10)&gt;1,(1-(1-'test modello'!AA17/100)*(0.3+0.7*($E$10/'test modello'!$Z$10)^-0.4*($K$8/'test modello'!$AF$8)^-0.2))*100,(1-(1-'test modello'!AA17/100)/(0.3+0.7*($E$10/'test modello'!$Z$10)^0.4*($K$8/'test modello'!$AF$8)^0.2))*100)</f>
        <v>88.499026021035363</v>
      </c>
      <c r="S34" s="159">
        <f>IF($E$10/'test modello'!$Z$10&gt;1,(1-(1-'test modello'!AA17/100)*(0.3+0.7*($E$10/'test modello'!$Z$10)^-0.8*($K$8/'test modello'!$AF$8)^-0.4))*100,(1-(1-'test modello'!AA17/100)/(0.3+0.7*($E$10/'test modello'!$Z$10)^0.8*($K$8/'test modello'!$AF$8)^0.4))*100)</f>
        <v>88.501840914055563</v>
      </c>
      <c r="T34" s="159">
        <f>(U52-T52+T51)*100</f>
        <v>88.497020088105188</v>
      </c>
      <c r="U34" s="159">
        <f>(1-(1-'test modello'!AA17/100)*($E$10/'test modello'!$Z$10)^-0.15*($D$17/'test modello'!$Y$17)^(-0.077))*100</f>
        <v>88.499267510286188</v>
      </c>
      <c r="V34" s="159">
        <f>AVERAGE(R34:U34)</f>
        <v>88.499288633370568</v>
      </c>
      <c r="Z34" s="335"/>
      <c r="AA34" s="335"/>
      <c r="AB34" s="335"/>
      <c r="AC34" s="337"/>
      <c r="AD34" s="45" t="s">
        <v>136</v>
      </c>
      <c r="AE34" s="354" t="e">
        <f>AD26/(INDEX(AA26:AA33,MATCH(MAX(Z26:Z33),Z26:Z33,0)))</f>
        <v>#N/A</v>
      </c>
      <c r="AI34" s="335"/>
      <c r="AJ34" s="335"/>
      <c r="AK34" s="335"/>
      <c r="AL34" s="337"/>
      <c r="AM34" s="45"/>
      <c r="AN34" s="354"/>
    </row>
    <row r="35" spans="1:40" ht="15.75" customHeight="1" thickBot="1" x14ac:dyDescent="0.25">
      <c r="A35" s="166"/>
      <c r="B35" s="64"/>
      <c r="C35" s="70"/>
      <c r="D35" s="70"/>
      <c r="E35" s="70"/>
      <c r="F35" s="70"/>
      <c r="G35" s="78"/>
      <c r="H35" s="70"/>
      <c r="J35" s="74"/>
      <c r="K35" s="74"/>
      <c r="L35" s="65"/>
      <c r="Z35" s="335"/>
      <c r="AA35" s="335"/>
      <c r="AB35" s="335"/>
      <c r="AC35" s="337"/>
      <c r="AD35" s="46" t="s">
        <v>138</v>
      </c>
      <c r="AE35" s="352" t="e">
        <f>MAX(AA26:AA33)/(INDEX(AA26:AA33,MATCH(MAX(Z26:Z33),Z26:Z33,0)))</f>
        <v>#N/A</v>
      </c>
      <c r="AI35" s="335"/>
      <c r="AJ35" s="335"/>
      <c r="AK35" s="335"/>
      <c r="AL35" s="337"/>
      <c r="AM35" s="46"/>
      <c r="AN35" s="352"/>
    </row>
    <row r="36" spans="1:40" ht="15.75" customHeight="1" x14ac:dyDescent="0.2">
      <c r="A36" s="166"/>
      <c r="B36" s="64"/>
      <c r="C36" s="66" t="s">
        <v>4</v>
      </c>
      <c r="D36" s="67"/>
      <c r="E36" s="345">
        <f>$E$10*(1-'test modello'!L18)</f>
        <v>458.18043999999998</v>
      </c>
      <c r="F36" s="79"/>
      <c r="G36" s="80"/>
      <c r="H36" s="69" t="s">
        <v>70</v>
      </c>
      <c r="I36" s="68"/>
      <c r="J36" s="77"/>
      <c r="K36" s="77"/>
      <c r="L36" s="65"/>
      <c r="N36" s="585" t="s">
        <v>133</v>
      </c>
      <c r="O36" s="103"/>
      <c r="Z36" s="335"/>
      <c r="AA36" s="335"/>
      <c r="AB36" s="335"/>
      <c r="AC36" s="337"/>
      <c r="AD36" s="46" t="s">
        <v>148</v>
      </c>
      <c r="AE36" s="353">
        <f>AE23/AE1</f>
        <v>0</v>
      </c>
      <c r="AI36" s="335"/>
      <c r="AJ36" s="335"/>
      <c r="AK36" s="335"/>
      <c r="AL36" s="337"/>
      <c r="AM36" s="46"/>
      <c r="AN36" s="353"/>
    </row>
    <row r="37" spans="1:40" ht="15.75" customHeight="1" thickBot="1" x14ac:dyDescent="0.25">
      <c r="A37" s="166"/>
      <c r="B37" s="91"/>
      <c r="C37" s="58" t="s">
        <v>48</v>
      </c>
      <c r="D37" s="58" t="s">
        <v>49</v>
      </c>
      <c r="E37" s="58" t="s">
        <v>50</v>
      </c>
      <c r="F37" s="25" t="s">
        <v>51</v>
      </c>
      <c r="G37" s="78"/>
      <c r="H37" s="70"/>
      <c r="J37" s="74"/>
      <c r="K37" s="74"/>
      <c r="L37" s="65"/>
      <c r="N37" s="586"/>
      <c r="O37" s="103"/>
      <c r="P37" s="103"/>
      <c r="T37" s="85"/>
      <c r="V37" s="55"/>
      <c r="W37" s="85"/>
      <c r="Z37" s="335"/>
      <c r="AA37" s="335"/>
      <c r="AB37" s="335"/>
      <c r="AC37" s="337"/>
      <c r="AD37" s="76" t="s">
        <v>149</v>
      </c>
      <c r="AE37" s="209" t="e">
        <f>MAX(Z26:Z33)/MAX(Z4:Z11)</f>
        <v>#DIV/0!</v>
      </c>
      <c r="AI37" s="335"/>
      <c r="AJ37" s="335"/>
      <c r="AK37" s="335"/>
      <c r="AL37" s="337"/>
      <c r="AM37" s="76"/>
      <c r="AN37" s="209"/>
    </row>
    <row r="38" spans="1:40" ht="15.75" customHeight="1" x14ac:dyDescent="0.2">
      <c r="A38" s="165">
        <f>'test modello'!Q38</f>
        <v>0</v>
      </c>
      <c r="B38" s="91"/>
      <c r="C38" s="408">
        <f t="shared" ref="C38:C45" si="18">C12*($E$36/$E$10)^$S$10</f>
        <v>0</v>
      </c>
      <c r="D38" s="408">
        <f t="shared" ref="D38:D45" si="19">D12*($E$36/$E$10)^$T$10</f>
        <v>197.53934344587279</v>
      </c>
      <c r="E38" s="168">
        <f>FORECAST(C38,E39:E40,C39:C40)</f>
        <v>3637.201820407955</v>
      </c>
      <c r="F38" s="408">
        <f>$R$42*(1-$S$29)*N38*(D12/('test modello'!Y12*($E$10/'test modello'!$Z$10)^2*($K$8/'test modello'!$AF$8)^2))*100</f>
        <v>0</v>
      </c>
      <c r="G38" s="70"/>
      <c r="H38" s="200"/>
      <c r="J38" s="199"/>
      <c r="K38" s="432"/>
      <c r="L38" s="433"/>
      <c r="N38" s="160">
        <f>'test modello'!AI38</f>
        <v>0</v>
      </c>
      <c r="O38" s="161"/>
      <c r="P38" s="161"/>
      <c r="R38" s="619" t="s">
        <v>150</v>
      </c>
      <c r="S38" s="619" t="s">
        <v>151</v>
      </c>
      <c r="T38" s="619" t="s">
        <v>152</v>
      </c>
      <c r="U38" s="619" t="s">
        <v>153</v>
      </c>
      <c r="Z38" s="335"/>
      <c r="AA38" s="335"/>
      <c r="AB38" s="335"/>
      <c r="AC38" s="335"/>
      <c r="AD38" s="313" t="s">
        <v>154</v>
      </c>
      <c r="AE38" s="313" t="e">
        <f>Y25/$Y$3</f>
        <v>#N/A</v>
      </c>
      <c r="AI38" s="335"/>
      <c r="AJ38" s="335"/>
      <c r="AK38" s="335"/>
      <c r="AL38" s="335"/>
      <c r="AM38" s="313"/>
      <c r="AN38" s="313"/>
    </row>
    <row r="39" spans="1:40" ht="15.75" customHeight="1" x14ac:dyDescent="0.2">
      <c r="A39" s="165">
        <f>'test modello'!Q39</f>
        <v>0</v>
      </c>
      <c r="B39" s="91"/>
      <c r="C39" s="408">
        <f t="shared" si="18"/>
        <v>2317.9391298416203</v>
      </c>
      <c r="D39" s="408">
        <f t="shared" si="19"/>
        <v>171.4617131531696</v>
      </c>
      <c r="E39" s="403">
        <f t="shared" ref="E39:E43" si="20">C39/3600*D39*9.806/F39*100</f>
        <v>3513.3559976707202</v>
      </c>
      <c r="F39" s="408">
        <f>$R$42*(1-$S$29)*N39*(D13/('test modello'!Y13*($E$10/'test modello'!$Z$10)^2*($K$8/'test modello'!$AF$8)^2))*100</f>
        <v>30.813172556584124</v>
      </c>
      <c r="G39" s="70"/>
      <c r="H39" s="200"/>
      <c r="J39" s="199"/>
      <c r="K39" s="432"/>
      <c r="L39" s="433"/>
      <c r="N39" s="160">
        <f>'test modello'!AI39</f>
        <v>0.35001867047073643</v>
      </c>
      <c r="O39" s="161"/>
      <c r="P39" s="161"/>
      <c r="R39" s="620"/>
      <c r="S39" s="620"/>
      <c r="T39" s="620"/>
      <c r="U39" s="620"/>
      <c r="Z39" s="335"/>
      <c r="AA39" s="335"/>
      <c r="AB39" s="335"/>
      <c r="AC39" s="335"/>
      <c r="AD39" s="53" t="s">
        <v>30</v>
      </c>
      <c r="AE39" s="351" t="e">
        <f>Y25</f>
        <v>#N/A</v>
      </c>
      <c r="AI39" s="335"/>
      <c r="AJ39" s="335"/>
      <c r="AK39" s="335"/>
      <c r="AL39" s="335"/>
      <c r="AN39" s="351"/>
    </row>
    <row r="40" spans="1:40" ht="15.75" customHeight="1" x14ac:dyDescent="0.2">
      <c r="A40" s="165">
        <f>'test modello'!Q40</f>
        <v>0</v>
      </c>
      <c r="B40" s="91"/>
      <c r="C40" s="408">
        <f t="shared" si="18"/>
        <v>4635.8782596832407</v>
      </c>
      <c r="D40" s="408">
        <f t="shared" si="19"/>
        <v>152.98058959609551</v>
      </c>
      <c r="E40" s="403">
        <f t="shared" si="20"/>
        <v>3389.5101749334854</v>
      </c>
      <c r="F40" s="408">
        <f>$R$42*(1-$S$29)*N40*(D14/('test modello'!Y14*($E$10/'test modello'!$Z$10)^2*($K$8/'test modello'!$AF$8)^2))*100</f>
        <v>56.992905678485137</v>
      </c>
      <c r="G40" s="58"/>
      <c r="H40" s="200"/>
      <c r="J40" s="199"/>
      <c r="K40" s="432"/>
      <c r="L40" s="433"/>
      <c r="N40" s="160">
        <f>'test modello'!AI40</f>
        <v>0.64740432148668381</v>
      </c>
      <c r="O40" s="161"/>
      <c r="P40" s="161"/>
      <c r="R40" s="620"/>
      <c r="S40" s="620"/>
      <c r="T40" s="620"/>
      <c r="U40" s="620"/>
      <c r="Z40" s="335"/>
      <c r="AA40" s="335"/>
      <c r="AB40" s="335"/>
      <c r="AC40" s="335"/>
      <c r="AD40" s="53" t="s">
        <v>75</v>
      </c>
      <c r="AE40" s="53" t="e">
        <f>INDEX(AA26:AA33,MATCH(MAX(Z26:Z33),Z26:Z33,0))</f>
        <v>#N/A</v>
      </c>
      <c r="AI40" s="335"/>
      <c r="AJ40" s="335"/>
      <c r="AK40" s="335"/>
      <c r="AL40" s="335"/>
    </row>
    <row r="41" spans="1:40" ht="15.75" customHeight="1" thickBot="1" x14ac:dyDescent="0.25">
      <c r="A41" s="165">
        <f>'test modello'!Q41</f>
        <v>0</v>
      </c>
      <c r="B41" s="321">
        <f t="shared" ref="B41:B42" si="21">($D$38-D41)/D41</f>
        <v>0.40887709190918292</v>
      </c>
      <c r="C41" s="408">
        <f t="shared" si="18"/>
        <v>6953.817389524861</v>
      </c>
      <c r="D41" s="408">
        <f t="shared" si="19"/>
        <v>140.21048718890398</v>
      </c>
      <c r="E41" s="403">
        <f t="shared" si="20"/>
        <v>3700.3633455411536</v>
      </c>
      <c r="F41" s="408">
        <f>$R$42*(1-$S$29)*N41*(D15/('test modello'!Y15*($E$10/'test modello'!$Z$10)^2*($K$8/'test modello'!$AF$8)^2))*100</f>
        <v>71.770967028763039</v>
      </c>
      <c r="G41" s="404"/>
      <c r="H41" s="200"/>
      <c r="J41" s="199"/>
      <c r="K41" s="432"/>
      <c r="L41" s="433"/>
      <c r="N41" s="160">
        <f>'test modello'!AI41</f>
        <v>0.81527400048388832</v>
      </c>
      <c r="O41" s="161"/>
      <c r="P41" s="161"/>
      <c r="R41" s="621"/>
      <c r="S41" s="621"/>
      <c r="T41" s="621"/>
      <c r="U41" s="621"/>
      <c r="Z41" s="335"/>
      <c r="AA41" s="335"/>
      <c r="AB41" s="335"/>
      <c r="AC41" s="335"/>
      <c r="AD41" s="53" t="s">
        <v>76</v>
      </c>
      <c r="AE41" s="53" t="e">
        <f>INDEX(AB26:AB33,MATCH(MAX(Z26:Z33),Z26:Z33,0))</f>
        <v>#N/A</v>
      </c>
      <c r="AI41" s="335"/>
      <c r="AJ41" s="335"/>
      <c r="AK41" s="335"/>
      <c r="AL41" s="335"/>
    </row>
    <row r="42" spans="1:40" ht="15.75" customHeight="1" thickBot="1" x14ac:dyDescent="0.25">
      <c r="A42" s="165">
        <f>'test modello'!Q42</f>
        <v>0</v>
      </c>
      <c r="B42" s="321">
        <f t="shared" si="21"/>
        <v>0.53085492543042634</v>
      </c>
      <c r="C42" s="408">
        <f t="shared" si="18"/>
        <v>9271.7565193664814</v>
      </c>
      <c r="D42" s="408">
        <f t="shared" si="19"/>
        <v>129.0385784860255</v>
      </c>
      <c r="E42" s="403">
        <f t="shared" si="20"/>
        <v>3941.7817253647372</v>
      </c>
      <c r="F42" s="408">
        <f>$R$42*(1-$S$29)*N42*(D16/('test modello'!Y16*($E$10/'test modello'!$Z$10)^2*($K$8/'test modello'!$AF$8)^2))*100</f>
        <v>82.675799789869359</v>
      </c>
      <c r="G42" s="404"/>
      <c r="H42" s="200"/>
      <c r="J42" s="199"/>
      <c r="K42" s="432"/>
      <c r="L42" s="433"/>
      <c r="N42" s="160">
        <f>'test modello'!AI42</f>
        <v>0.93914618721633092</v>
      </c>
      <c r="O42" s="161"/>
      <c r="R42" s="357">
        <f>V34/100</f>
        <v>0.88499288633370565</v>
      </c>
      <c r="S42" s="182"/>
      <c r="T42" s="181">
        <f>F17/V34</f>
        <v>1</v>
      </c>
      <c r="U42" s="191">
        <f>F17/R34</f>
        <v>1.0000029674036768</v>
      </c>
      <c r="Z42" s="337"/>
      <c r="AA42" s="337"/>
      <c r="AB42" s="337"/>
      <c r="AC42" s="337"/>
      <c r="AD42" s="53" t="s">
        <v>139</v>
      </c>
      <c r="AE42" s="351">
        <f>MAX(Z26:Z33)</f>
        <v>0</v>
      </c>
      <c r="AI42" s="337"/>
      <c r="AJ42" s="337"/>
      <c r="AK42" s="337"/>
      <c r="AL42" s="337"/>
      <c r="AN42" s="351"/>
    </row>
    <row r="43" spans="1:40" ht="15.75" customHeight="1" thickBot="1" x14ac:dyDescent="0.25">
      <c r="A43" s="320">
        <f>'test modello'!Q43</f>
        <v>0</v>
      </c>
      <c r="B43" s="321">
        <f>($D$38-D43)/D43</f>
        <v>0.74620886159432265</v>
      </c>
      <c r="C43" s="408">
        <f t="shared" si="18"/>
        <v>11589.695649208103</v>
      </c>
      <c r="D43" s="408">
        <f t="shared" si="19"/>
        <v>113.12469418206682</v>
      </c>
      <c r="E43" s="403">
        <f t="shared" si="20"/>
        <v>4056.7069156881466</v>
      </c>
      <c r="F43" s="408">
        <f>$R$42*(1-$S$29)*N43*(D17/('test modello'!Y17*($E$10/'test modello'!$Z$10)^2*($K$8/'test modello'!$AF$8)^2))*100</f>
        <v>88.032939829020592</v>
      </c>
      <c r="G43" s="404"/>
      <c r="H43" s="200"/>
      <c r="J43" s="199"/>
      <c r="K43" s="432"/>
      <c r="L43" s="433"/>
      <c r="N43" s="160">
        <f>'test modello'!AI43</f>
        <v>1</v>
      </c>
      <c r="O43" s="161"/>
      <c r="P43" s="161"/>
      <c r="T43" s="405"/>
      <c r="V43" s="405"/>
      <c r="W43" s="405"/>
      <c r="Z43" s="337"/>
      <c r="AA43" s="337"/>
      <c r="AB43" s="337"/>
      <c r="AC43" s="337"/>
      <c r="AD43" s="53" t="s">
        <v>125</v>
      </c>
      <c r="AE43" s="351" t="e">
        <f>AF25</f>
        <v>#N/A</v>
      </c>
      <c r="AI43" s="337"/>
      <c r="AJ43" s="337"/>
      <c r="AK43" s="337"/>
      <c r="AL43" s="337"/>
      <c r="AN43" s="351"/>
    </row>
    <row r="44" spans="1:40" ht="15.75" customHeight="1" x14ac:dyDescent="0.25">
      <c r="A44" s="165">
        <f>'test modello'!Q44</f>
        <v>0</v>
      </c>
      <c r="B44" s="91"/>
      <c r="C44" s="408">
        <f t="shared" si="18"/>
        <v>13328.149996589314</v>
      </c>
      <c r="D44" s="408">
        <f t="shared" si="19"/>
        <v>93.007208864160432</v>
      </c>
      <c r="E44" s="403">
        <f t="shared" ref="E44:E45" si="22">C44/3600*D44*9.806/F44*100</f>
        <v>3973.1506667585259</v>
      </c>
      <c r="F44" s="408">
        <f>$R$42*(1-$S$29)*N44*(D18/('test modello'!Y18*($E$10/'test modello'!$Z$10)^2*($K$8/'test modello'!$AF$8)^2))*100</f>
        <v>84.984717857675577</v>
      </c>
      <c r="G44" s="404"/>
      <c r="H44" s="200"/>
      <c r="J44" s="199"/>
      <c r="K44" s="432"/>
      <c r="L44" s="433"/>
      <c r="N44" s="160">
        <f>'test modello'!AI44</f>
        <v>0.96537407500799888</v>
      </c>
      <c r="O44" s="161"/>
      <c r="P44" s="161"/>
      <c r="R44" s="622" t="s">
        <v>155</v>
      </c>
      <c r="S44" s="623"/>
      <c r="T44" s="623"/>
      <c r="U44" s="624"/>
      <c r="V44" s="405"/>
    </row>
    <row r="45" spans="1:40" ht="15.75" customHeight="1" thickBot="1" x14ac:dyDescent="0.3">
      <c r="A45" s="165">
        <f>'test modello'!Q45</f>
        <v>0</v>
      </c>
      <c r="B45" s="91"/>
      <c r="C45" s="408">
        <f t="shared" si="18"/>
        <v>15066.604343970532</v>
      </c>
      <c r="D45" s="408">
        <f t="shared" si="19"/>
        <v>61.01219401039728</v>
      </c>
      <c r="E45" s="403">
        <f t="shared" si="22"/>
        <v>3498.76034631019</v>
      </c>
      <c r="F45" s="408">
        <f>$R$42*(1-$S$29)*N45*(D19/('test modello'!Y19*($E$10/'test modello'!$Z$10)^2*($K$8/'test modello'!$AF$8)^2))*100</f>
        <v>71.566078195937337</v>
      </c>
      <c r="G45" s="411"/>
      <c r="H45" s="201"/>
      <c r="I45" s="68"/>
      <c r="J45" s="199"/>
      <c r="K45" s="432"/>
      <c r="L45" s="433"/>
      <c r="N45" s="162">
        <f>'test modello'!AI45</f>
        <v>0.8129465894804202</v>
      </c>
      <c r="O45" s="161"/>
      <c r="P45" s="161"/>
      <c r="R45" s="124"/>
      <c r="S45" s="438"/>
      <c r="T45" s="47" t="s">
        <v>156</v>
      </c>
      <c r="U45" s="130" t="s">
        <v>157</v>
      </c>
      <c r="V45" s="405"/>
      <c r="Z45" s="348"/>
      <c r="AA45" s="349"/>
      <c r="AB45" s="349" t="s">
        <v>117</v>
      </c>
      <c r="AC45" s="350"/>
      <c r="AD45" s="326" t="s">
        <v>118</v>
      </c>
      <c r="AE45" s="327"/>
    </row>
    <row r="46" spans="1:40" ht="15.75" customHeight="1" x14ac:dyDescent="0.25">
      <c r="A46" s="166"/>
      <c r="B46" s="64"/>
      <c r="C46" s="70"/>
      <c r="D46" s="70"/>
      <c r="E46" s="70"/>
      <c r="F46" s="70"/>
      <c r="G46" s="78"/>
      <c r="H46" s="70"/>
      <c r="J46" s="74"/>
      <c r="K46" s="74"/>
      <c r="L46" s="65"/>
      <c r="R46" s="125" t="s">
        <v>8</v>
      </c>
      <c r="S46" s="439" t="s">
        <v>159</v>
      </c>
      <c r="T46" s="126">
        <f>0.1*T50*(T47/(T48/3600))^0.15*(45/T49)^0.06</f>
        <v>4.1235772118932076E-2</v>
      </c>
      <c r="U46" s="127">
        <f>0.1*U50*(U47/(U48/3600))^0.15*(45/U49)^0.06</f>
        <v>4.1219550583212479E-2</v>
      </c>
      <c r="V46" s="405"/>
      <c r="Y46" s="53" t="s">
        <v>30</v>
      </c>
      <c r="Z46" s="328" t="s">
        <v>123</v>
      </c>
      <c r="AA46" s="329" t="s">
        <v>15</v>
      </c>
      <c r="AB46" s="329" t="s">
        <v>16</v>
      </c>
      <c r="AC46" s="329" t="s">
        <v>124</v>
      </c>
      <c r="AD46" s="329" t="s">
        <v>15</v>
      </c>
      <c r="AE46" s="330" t="s">
        <v>108</v>
      </c>
      <c r="AF46" s="53" t="s">
        <v>125</v>
      </c>
    </row>
    <row r="47" spans="1:40" ht="15.75" customHeight="1" thickBot="1" x14ac:dyDescent="0.3">
      <c r="A47" s="166"/>
      <c r="B47" s="64"/>
      <c r="C47" s="70"/>
      <c r="D47" s="70"/>
      <c r="E47" s="70"/>
      <c r="F47" s="70"/>
      <c r="G47" s="78"/>
      <c r="H47" s="70"/>
      <c r="J47" s="74"/>
      <c r="K47" s="74"/>
      <c r="L47" s="65"/>
      <c r="R47" s="121" t="s">
        <v>160</v>
      </c>
      <c r="S47" s="439" t="s">
        <v>161</v>
      </c>
      <c r="T47" s="126">
        <v>1</v>
      </c>
      <c r="U47" s="127">
        <v>1</v>
      </c>
      <c r="Y47" s="351" t="e">
        <f>INDEX(Y48:Y55,MATCH(MAX(Z48:Z55),Z48:Z55,0))</f>
        <v>#N/A</v>
      </c>
      <c r="Z47" s="331" t="s">
        <v>79</v>
      </c>
      <c r="AA47" s="249" t="s">
        <v>17</v>
      </c>
      <c r="AB47" s="249" t="s">
        <v>8</v>
      </c>
      <c r="AC47" s="249" t="s">
        <v>29</v>
      </c>
      <c r="AD47" s="249" t="s">
        <v>103</v>
      </c>
      <c r="AE47" s="332" t="s">
        <v>8</v>
      </c>
      <c r="AF47" s="351" t="e">
        <f>INDEX(AF48:AF55,MATCH(AE62,AD48:AD55,0))</f>
        <v>#N/A</v>
      </c>
    </row>
    <row r="48" spans="1:40" ht="15.75" customHeight="1" thickBot="1" x14ac:dyDescent="0.3">
      <c r="A48" s="166"/>
      <c r="B48" s="64"/>
      <c r="C48" s="70"/>
      <c r="D48" s="70"/>
      <c r="E48" s="70"/>
      <c r="F48" s="70"/>
      <c r="G48" s="78"/>
      <c r="H48" s="70"/>
      <c r="J48" s="74"/>
      <c r="K48" s="74"/>
      <c r="L48" s="65"/>
      <c r="R48" s="121" t="s">
        <v>15</v>
      </c>
      <c r="S48" s="439" t="s">
        <v>17</v>
      </c>
      <c r="T48" s="126">
        <f>'test modello'!X17</f>
        <v>11849</v>
      </c>
      <c r="U48" s="127">
        <f>C17</f>
        <v>11880.121708664878</v>
      </c>
      <c r="Y48" s="351" t="e">
        <f>$AC$45/60*(AA48/2)^0.5/AB48^0.75</f>
        <v>#DIV/0!</v>
      </c>
      <c r="Z48" s="333"/>
      <c r="AA48" s="333"/>
      <c r="AB48" s="333"/>
      <c r="AC48" s="334"/>
      <c r="AD48" s="335"/>
      <c r="AE48" s="333"/>
      <c r="AF48" s="351" t="e">
        <f>$AC$1/60*(AD48/2)^0.5/AE48^0.75</f>
        <v>#DIV/0!</v>
      </c>
    </row>
    <row r="49" spans="1:32" ht="15.75" customHeight="1" x14ac:dyDescent="0.25">
      <c r="A49" s="166"/>
      <c r="B49" s="64"/>
      <c r="C49" s="66" t="s">
        <v>4</v>
      </c>
      <c r="D49" s="67"/>
      <c r="E49" s="345">
        <f>$E$10*(1-'test modello'!L19)</f>
        <v>428.93487999999996</v>
      </c>
      <c r="F49" s="79"/>
      <c r="G49" s="80"/>
      <c r="H49" s="69" t="s">
        <v>71</v>
      </c>
      <c r="I49" s="68"/>
      <c r="J49" s="77"/>
      <c r="K49" s="77"/>
      <c r="L49" s="65"/>
      <c r="N49" s="585" t="s">
        <v>133</v>
      </c>
      <c r="O49" s="625" t="s">
        <v>40</v>
      </c>
      <c r="P49" s="625" t="s">
        <v>162</v>
      </c>
      <c r="R49" s="121" t="s">
        <v>73</v>
      </c>
      <c r="S49" s="439" t="s">
        <v>163</v>
      </c>
      <c r="T49" s="126">
        <f>'test modello'!AC8</f>
        <v>56.845454164807492</v>
      </c>
      <c r="U49" s="127">
        <f>T49</f>
        <v>56.845454164807492</v>
      </c>
      <c r="Y49" s="351" t="e">
        <f t="shared" ref="Y49:Y55" si="23">$AC$45/60*(AA49/2)^0.5/AB49^0.75</f>
        <v>#DIV/0!</v>
      </c>
      <c r="Z49" s="335"/>
      <c r="AA49" s="335"/>
      <c r="AB49" s="335"/>
      <c r="AC49" s="334"/>
      <c r="AD49" s="335"/>
      <c r="AE49" s="337"/>
      <c r="AF49" s="351" t="e">
        <f t="shared" ref="AF49:AF52" si="24">$AC$1/60*(AD49/2)^0.5/AE49^0.75</f>
        <v>#DIV/0!</v>
      </c>
    </row>
    <row r="50" spans="1:32" ht="15.75" customHeight="1" x14ac:dyDescent="0.25">
      <c r="A50" s="166"/>
      <c r="B50" s="64"/>
      <c r="C50" s="58" t="s">
        <v>48</v>
      </c>
      <c r="D50" s="58" t="s">
        <v>49</v>
      </c>
      <c r="E50" s="58" t="s">
        <v>50</v>
      </c>
      <c r="F50" s="25" t="s">
        <v>51</v>
      </c>
      <c r="G50" s="78"/>
      <c r="H50" s="70"/>
      <c r="J50" s="199"/>
      <c r="K50" s="432"/>
      <c r="L50" s="433"/>
      <c r="N50" s="586"/>
      <c r="O50" s="586"/>
      <c r="P50" s="626"/>
      <c r="R50" s="121" t="s">
        <v>164</v>
      </c>
      <c r="S50" s="439" t="s">
        <v>165</v>
      </c>
      <c r="T50" s="126">
        <f>IF(T48/3600&lt;1,1,0.5)</f>
        <v>0.5</v>
      </c>
      <c r="U50" s="127">
        <f>IF(U48/3600&lt;1,1,0.5)</f>
        <v>0.5</v>
      </c>
      <c r="V50" s="55"/>
      <c r="Y50" s="351" t="e">
        <f t="shared" si="23"/>
        <v>#DIV/0!</v>
      </c>
      <c r="Z50" s="335"/>
      <c r="AA50" s="335"/>
      <c r="AB50" s="335"/>
      <c r="AC50" s="334"/>
      <c r="AD50" s="335"/>
      <c r="AE50" s="337"/>
      <c r="AF50" s="351" t="e">
        <f t="shared" si="24"/>
        <v>#DIV/0!</v>
      </c>
    </row>
    <row r="51" spans="1:32" ht="15.75" customHeight="1" x14ac:dyDescent="0.25">
      <c r="A51" s="165">
        <f>'test modello'!Q51</f>
        <v>0</v>
      </c>
      <c r="B51" s="91"/>
      <c r="C51" s="408">
        <f t="shared" ref="C51:C58" si="25">C12*($E$49/$E$10)^$S$10</f>
        <v>0</v>
      </c>
      <c r="D51" s="408">
        <f t="shared" ref="D51:D58" si="26">D12*($E$49/$E$10)^$T$10</f>
        <v>175.42532079285448</v>
      </c>
      <c r="E51" s="168">
        <f>FORECAST(C51,E52:E53,C52:C53)</f>
        <v>3178.3917448590755</v>
      </c>
      <c r="F51" s="408">
        <f>$R$42*(1-$S$30)*N51*(D12/('test modello'!Y12*($E$10/'test modello'!$Z$10)^2*($K$8/'test modello'!$AF$8)^2))*100</f>
        <v>0</v>
      </c>
      <c r="G51" s="78"/>
      <c r="H51" s="70"/>
      <c r="J51" s="199"/>
      <c r="K51" s="432"/>
      <c r="L51" s="433"/>
      <c r="N51" s="160">
        <f>'test modello'!AI51</f>
        <v>0</v>
      </c>
      <c r="O51" s="110"/>
      <c r="P51" s="110"/>
      <c r="R51" s="122" t="s">
        <v>166</v>
      </c>
      <c r="S51" s="439" t="s">
        <v>167</v>
      </c>
      <c r="T51" s="126">
        <f>'test modello'!AA17/100</f>
        <v>0.88496210143349952</v>
      </c>
      <c r="U51" s="127"/>
      <c r="V51" s="58"/>
      <c r="Y51" s="351" t="e">
        <f t="shared" si="23"/>
        <v>#DIV/0!</v>
      </c>
      <c r="Z51" s="335"/>
      <c r="AA51" s="335"/>
      <c r="AB51" s="335"/>
      <c r="AC51" s="334"/>
      <c r="AD51" s="335"/>
      <c r="AE51" s="337"/>
      <c r="AF51" s="351" t="e">
        <f t="shared" si="24"/>
        <v>#DIV/0!</v>
      </c>
    </row>
    <row r="52" spans="1:32" ht="15.75" customHeight="1" thickBot="1" x14ac:dyDescent="0.3">
      <c r="A52" s="165">
        <f>'test modello'!Q52</f>
        <v>0</v>
      </c>
      <c r="B52" s="91"/>
      <c r="C52" s="408">
        <f t="shared" si="25"/>
        <v>2257.5841868421689</v>
      </c>
      <c r="D52" s="408">
        <f t="shared" si="26"/>
        <v>152.26701430152806</v>
      </c>
      <c r="E52" s="403">
        <f t="shared" ref="E52:E56" si="27">C52/3600*D52*9.806/F52*100</f>
        <v>3070.1682917598573</v>
      </c>
      <c r="F52" s="408">
        <f>$R$42*(1-$S$30)*N52*(D13/('test modello'!Y13*($E$10/'test modello'!$Z$10)^2*($K$8/'test modello'!$AF$8)^2))*100</f>
        <v>30.498395538412442</v>
      </c>
      <c r="G52" s="404" t="s">
        <v>48</v>
      </c>
      <c r="H52" s="404" t="s">
        <v>55</v>
      </c>
      <c r="J52" s="199"/>
      <c r="K52" s="432"/>
      <c r="L52" s="433"/>
      <c r="N52" s="160">
        <f>'test modello'!AI52</f>
        <v>0.35001867047073643</v>
      </c>
      <c r="O52" s="114"/>
      <c r="P52" s="114"/>
      <c r="R52" s="123" t="s">
        <v>168</v>
      </c>
      <c r="S52" s="440" t="s">
        <v>169</v>
      </c>
      <c r="T52" s="128">
        <f>1-0.095*(T47/(T48/3600))^T46-0.3*(0.35-LOG10(T49/23))^2*(T47/(T48/3600))^0.05</f>
        <v>0.90903221651139965</v>
      </c>
      <c r="U52" s="129">
        <f>1-0.095*(U47/(U48/3600))^U46-0.3*(0.35-LOG10(U49/23))^2*(U47/(U48/3600))^0.05</f>
        <v>0.90904031595895196</v>
      </c>
      <c r="V52" s="405"/>
      <c r="W52" s="405"/>
      <c r="Y52" s="351" t="e">
        <f t="shared" si="23"/>
        <v>#DIV/0!</v>
      </c>
      <c r="Z52" s="335"/>
      <c r="AA52" s="335"/>
      <c r="AB52" s="335"/>
      <c r="AC52" s="334"/>
      <c r="AD52" s="335"/>
      <c r="AE52" s="337"/>
      <c r="AF52" s="351" t="e">
        <f t="shared" si="24"/>
        <v>#DIV/0!</v>
      </c>
    </row>
    <row r="53" spans="1:32" ht="15.75" customHeight="1" x14ac:dyDescent="0.2">
      <c r="A53" s="165">
        <f>'test modello'!Q53</f>
        <v>0</v>
      </c>
      <c r="B53" s="91"/>
      <c r="C53" s="408">
        <f t="shared" si="25"/>
        <v>4515.1683736843379</v>
      </c>
      <c r="D53" s="408">
        <f t="shared" si="26"/>
        <v>135.85480510786712</v>
      </c>
      <c r="E53" s="403">
        <f t="shared" si="27"/>
        <v>2961.9448386606396</v>
      </c>
      <c r="F53" s="408">
        <f>$R$42*(1-$S$30)*N53*(D14/('test modello'!Y14*($E$10/'test modello'!$Z$10)^2*($K$8/'test modello'!$AF$8)^2))*100</f>
        <v>56.410685302654997</v>
      </c>
      <c r="G53" s="408">
        <f>'test modello'!AB53*($E$10/'test modello'!$Z$10)^3*($K$8/'test modello'!$AF$8)</f>
        <v>5239.5615780369353</v>
      </c>
      <c r="H53" s="408">
        <f>O53*$H$56</f>
        <v>19.734479961028629</v>
      </c>
      <c r="J53" s="199"/>
      <c r="K53" s="432"/>
      <c r="L53" s="433"/>
      <c r="N53" s="160">
        <f>'test modello'!AI53</f>
        <v>0.64740432148668381</v>
      </c>
      <c r="O53" s="131">
        <f>'test modello'!AJ53</f>
        <v>0.70863309352517978</v>
      </c>
      <c r="P53" s="177">
        <f>('test modello'!AC53*(($E$10/'test modello'!$Z$10)*($K$8/'test modello'!$AF$8))^2)</f>
        <v>19.734479961028633</v>
      </c>
      <c r="T53" s="405"/>
      <c r="V53" s="405"/>
      <c r="W53" s="405"/>
      <c r="Y53" s="351" t="e">
        <f t="shared" si="23"/>
        <v>#DIV/0!</v>
      </c>
      <c r="Z53" s="335"/>
      <c r="AA53" s="335"/>
      <c r="AB53" s="335"/>
      <c r="AC53" s="334"/>
      <c r="AD53" s="337"/>
      <c r="AE53" s="337"/>
    </row>
    <row r="54" spans="1:32" ht="15.75" customHeight="1" x14ac:dyDescent="0.2">
      <c r="A54" s="165">
        <f>'test modello'!Q54</f>
        <v>0</v>
      </c>
      <c r="B54" s="321">
        <f t="shared" ref="B54:B55" si="28">($D$51-D54)/D54</f>
        <v>0.40887709190918264</v>
      </c>
      <c r="C54" s="408">
        <f t="shared" si="25"/>
        <v>6772.7525605265055</v>
      </c>
      <c r="D54" s="408">
        <f t="shared" si="26"/>
        <v>124.5142828996772</v>
      </c>
      <c r="E54" s="403">
        <f t="shared" si="27"/>
        <v>3233.5858418568455</v>
      </c>
      <c r="F54" s="408">
        <f>$R$42*(1-$S$30)*N54*(D15/('test modello'!Y15*($E$10/'test modello'!$Z$10)^2*($K$8/'test modello'!$AF$8)^2))*100</f>
        <v>71.037778943338679</v>
      </c>
      <c r="G54" s="408">
        <f>'test modello'!AB54*($E$10/'test modello'!$Z$10)^3*($K$8/'test modello'!$AF$8)</f>
        <v>6772.7525605265055</v>
      </c>
      <c r="H54" s="408">
        <f>O54*$H$56</f>
        <v>21.537630414320589</v>
      </c>
      <c r="J54" s="199"/>
      <c r="K54" s="432"/>
      <c r="L54" s="433"/>
      <c r="N54" s="160">
        <f>'test modello'!AI54</f>
        <v>0.81527400048388832</v>
      </c>
      <c r="O54" s="131">
        <f>'test modello'!AJ54</f>
        <v>0.77338129496402874</v>
      </c>
      <c r="P54" s="177">
        <f>('test modello'!AC54*(($E$10/'test modello'!$Z$10)*($K$8/'test modello'!$AF$8))^2)</f>
        <v>21.537630414320589</v>
      </c>
      <c r="T54" s="405"/>
      <c r="V54" s="405"/>
      <c r="W54" s="405"/>
      <c r="Y54" s="351" t="e">
        <f t="shared" si="23"/>
        <v>#DIV/0!</v>
      </c>
      <c r="Z54" s="335"/>
      <c r="AA54" s="335"/>
      <c r="AB54" s="335"/>
      <c r="AC54" s="334"/>
    </row>
    <row r="55" spans="1:32" ht="15.75" customHeight="1" thickBot="1" x14ac:dyDescent="0.25">
      <c r="A55" s="165">
        <f>'test modello'!Q55</f>
        <v>0</v>
      </c>
      <c r="B55" s="321">
        <f t="shared" si="28"/>
        <v>0.53085492543042612</v>
      </c>
      <c r="C55" s="408">
        <f t="shared" si="25"/>
        <v>9030.3367473686758</v>
      </c>
      <c r="D55" s="408">
        <f t="shared" si="26"/>
        <v>114.59304071124221</v>
      </c>
      <c r="E55" s="403">
        <f t="shared" si="27"/>
        <v>3444.5508153106603</v>
      </c>
      <c r="F55" s="408">
        <f>$R$42*(1-$S$30)*N55*(D16/('test modello'!Y16*($E$10/'test modello'!$Z$10)^2*($K$8/'test modello'!$AF$8)^2))*100</f>
        <v>81.831211596783305</v>
      </c>
      <c r="G55" s="408">
        <f>'test modello'!AB55*($E$10/'test modello'!$Z$10)^3*($K$8/'test modello'!$AF$8)</f>
        <v>9030.3367473686758</v>
      </c>
      <c r="H55" s="408">
        <f>O55*$H$56</f>
        <v>24.042006043892751</v>
      </c>
      <c r="J55" s="199"/>
      <c r="K55" s="432"/>
      <c r="L55" s="433"/>
      <c r="N55" s="160">
        <f>'test modello'!AI55</f>
        <v>0.93914618721633092</v>
      </c>
      <c r="O55" s="131">
        <f>'test modello'!AJ55</f>
        <v>0.86330935251798557</v>
      </c>
      <c r="P55" s="177">
        <f>('test modello'!AC55*(($E$10/'test modello'!$Z$10)*($K$8/'test modello'!$AF$8))^2)</f>
        <v>24.042006043892748</v>
      </c>
      <c r="T55" s="405"/>
      <c r="V55" s="405"/>
      <c r="W55" s="405"/>
      <c r="Y55" s="351" t="e">
        <f t="shared" si="23"/>
        <v>#DIV/0!</v>
      </c>
      <c r="Z55" s="335"/>
      <c r="AA55" s="335"/>
      <c r="AB55" s="335"/>
      <c r="AC55" s="334"/>
      <c r="AD55" s="120"/>
      <c r="AE55" s="120"/>
    </row>
    <row r="56" spans="1:32" ht="15.75" customHeight="1" x14ac:dyDescent="0.2">
      <c r="A56" s="320">
        <f>'test modello'!Q56</f>
        <v>0</v>
      </c>
      <c r="B56" s="321">
        <f>($D$51-D56)/D56</f>
        <v>0.74620886159432231</v>
      </c>
      <c r="C56" s="408">
        <f t="shared" si="25"/>
        <v>11287.920934210842</v>
      </c>
      <c r="D56" s="408">
        <f t="shared" si="26"/>
        <v>100.46067492332377</v>
      </c>
      <c r="E56" s="403">
        <f t="shared" si="27"/>
        <v>3544.9789175266956</v>
      </c>
      <c r="F56" s="408">
        <f>$R$42*(1-$S$30)*N56*(D17/('test modello'!Y17*($E$10/'test modello'!$Z$10)^2*($K$8/'test modello'!$AF$8)^2))*100</f>
        <v>87.133624893196327</v>
      </c>
      <c r="G56" s="408">
        <f>'test modello'!AB56*($E$10/'test modello'!$Z$10)^3*($K$8/'test modello'!$AF$8)</f>
        <v>11287.920934210844</v>
      </c>
      <c r="H56" s="408">
        <f>H17*'test modello'!AC56/'test modello'!AC17</f>
        <v>27.848657000842437</v>
      </c>
      <c r="I56" s="322"/>
      <c r="J56" s="199"/>
      <c r="K56" s="432"/>
      <c r="L56" s="433"/>
      <c r="N56" s="160">
        <f>'test modello'!AI56</f>
        <v>1</v>
      </c>
      <c r="O56" s="131">
        <f>'test modello'!AJ56</f>
        <v>1</v>
      </c>
      <c r="P56" s="177">
        <f>('test modello'!AC56*(($E$10/'test modello'!$Z$10)*($K$8/'test modello'!$AF$8))^2)</f>
        <v>27.848657000842437</v>
      </c>
      <c r="R56" s="616" t="s">
        <v>170</v>
      </c>
      <c r="S56" s="617"/>
      <c r="T56" s="617"/>
      <c r="U56" s="617"/>
      <c r="V56" s="618"/>
      <c r="W56" s="405"/>
      <c r="Z56" s="335"/>
      <c r="AA56" s="335"/>
      <c r="AB56" s="335"/>
      <c r="AC56" s="337"/>
      <c r="AD56" s="45" t="s">
        <v>136</v>
      </c>
      <c r="AE56" s="354" t="e">
        <f>AD48/(INDEX(AA48:AA55,MATCH(MAX(Z48:Z55),Z48:Z55,0)))</f>
        <v>#N/A</v>
      </c>
    </row>
    <row r="57" spans="1:32" ht="15.75" customHeight="1" x14ac:dyDescent="0.2">
      <c r="A57" s="165">
        <f>'test modello'!Q57</f>
        <v>0</v>
      </c>
      <c r="B57" s="91"/>
      <c r="C57" s="408">
        <f t="shared" si="25"/>
        <v>12981.109074342467</v>
      </c>
      <c r="D57" s="408">
        <f t="shared" si="26"/>
        <v>82.59529046938448</v>
      </c>
      <c r="E57" s="403">
        <f t="shared" ref="E57:E58" si="29">C57/3600*D57*9.806/F57*100</f>
        <v>3471.9627625420626</v>
      </c>
      <c r="F57" s="408">
        <f>$R$42*(1-$S$30)*N57*(D18/('test modello'!Y18*($E$10/'test modello'!$Z$10)^2*($K$8/'test modello'!$AF$8)^2))*100</f>
        <v>84.116542533363344</v>
      </c>
      <c r="G57" s="408">
        <f>'test modello'!AB57*($E$10/'test modello'!$Z$10)^3*($K$8/'test modello'!$AF$8)</f>
        <v>12981.109074342468</v>
      </c>
      <c r="H57" s="408">
        <f>O57*$H$56</f>
        <v>34.059508562181392</v>
      </c>
      <c r="J57" s="199"/>
      <c r="K57" s="432"/>
      <c r="L57" s="433"/>
      <c r="N57" s="160">
        <f>'test modello'!AI57</f>
        <v>0.96537407500799888</v>
      </c>
      <c r="O57" s="131">
        <f>'test modello'!AJ57</f>
        <v>1.2230215827338129</v>
      </c>
      <c r="P57" s="177">
        <f>('test modello'!AC57*(($E$10/'test modello'!$Z$10)*($K$8/'test modello'!$AF$8))^2)</f>
        <v>34.059508562181392</v>
      </c>
      <c r="R57" s="180" t="s">
        <v>171</v>
      </c>
      <c r="S57" s="63" t="s">
        <v>172</v>
      </c>
      <c r="T57" s="194" t="s">
        <v>173</v>
      </c>
      <c r="V57" s="288"/>
      <c r="W57" s="405"/>
      <c r="Z57" s="335"/>
      <c r="AA57" s="335"/>
      <c r="AB57" s="335"/>
      <c r="AC57" s="337"/>
      <c r="AD57" s="46" t="s">
        <v>138</v>
      </c>
      <c r="AE57" s="352" t="e">
        <f>MAX(AA48:AA55)/(INDEX(AA48:AA55,MATCH(MAX(Z48:Z55),Z48:Z55,0)))</f>
        <v>#N/A</v>
      </c>
    </row>
    <row r="58" spans="1:32" ht="15.75" customHeight="1" thickBot="1" x14ac:dyDescent="0.25">
      <c r="A58" s="165">
        <f>'test modello'!Q58</f>
        <v>0</v>
      </c>
      <c r="B58" s="91"/>
      <c r="C58" s="408">
        <f t="shared" si="25"/>
        <v>14674.297214474096</v>
      </c>
      <c r="D58" s="408">
        <f t="shared" si="26"/>
        <v>54.182035435804423</v>
      </c>
      <c r="E58" s="403">
        <f t="shared" si="29"/>
        <v>3057.4137897867017</v>
      </c>
      <c r="F58" s="408">
        <f>$R$42*(1-$S$30)*N58*(D19/('test modello'!Y19*($E$10/'test modello'!$Z$10)^2*($K$8/'test modello'!$AF$8)^2))*100</f>
        <v>70.834983185990211</v>
      </c>
      <c r="G58" s="410">
        <f>'test modello'!AB58*($E$10/'test modello'!$Z$10)^3*($K$8/'test modello'!$AF$8)</f>
        <v>14674.297214474098</v>
      </c>
      <c r="H58" s="410">
        <f>O58*$H$56</f>
        <v>48.484712188517044</v>
      </c>
      <c r="I58" s="68"/>
      <c r="J58" s="199"/>
      <c r="K58" s="432"/>
      <c r="L58" s="433"/>
      <c r="N58" s="162">
        <f>'test modello'!AI58</f>
        <v>0.8129465894804202</v>
      </c>
      <c r="O58" s="132">
        <f>'test modello'!AJ58</f>
        <v>1.7410071942446042</v>
      </c>
      <c r="P58" s="178">
        <f>('test modello'!AC58*(($E$10/'test modello'!$Z$10)*($K$8/'test modello'!$AF$8))^2)</f>
        <v>48.484712188517044</v>
      </c>
      <c r="R58" s="234">
        <v>679</v>
      </c>
      <c r="S58" s="237">
        <f t="shared" ref="S58:S64" si="30">(R58/$K$8)^$P$7</f>
        <v>0.33111246768170061</v>
      </c>
      <c r="T58" s="238">
        <f>1/($F$17/100+(1-$F$17/100)*($K$8/R58)^0.17)</f>
        <v>0.98879811593454237</v>
      </c>
      <c r="U58" s="53">
        <f>IF($K$8&gt;R58,1,0)</f>
        <v>1</v>
      </c>
      <c r="V58" s="288"/>
      <c r="W58" s="405"/>
      <c r="Z58" s="335"/>
      <c r="AA58" s="335"/>
      <c r="AB58" s="335"/>
      <c r="AC58" s="337"/>
      <c r="AD58" s="46" t="s">
        <v>148</v>
      </c>
      <c r="AE58" s="353">
        <f>AE45/AE1</f>
        <v>0</v>
      </c>
    </row>
    <row r="59" spans="1:32" ht="15.75" customHeight="1" x14ac:dyDescent="0.2">
      <c r="B59" s="64"/>
      <c r="L59" s="65"/>
      <c r="R59" s="234">
        <v>1450</v>
      </c>
      <c r="S59" s="237">
        <f t="shared" si="30"/>
        <v>1.5099827635736858</v>
      </c>
      <c r="T59" s="238">
        <f t="shared" ref="T59:T64" si="31">1/($F$17/100+(1-$F$17/100)*($K$8/R59)^0.17)</f>
        <v>1.0039745042213162</v>
      </c>
      <c r="U59" s="53">
        <f t="shared" ref="U59:U64" si="32">IF($K$8&gt;R59,1,0)</f>
        <v>0</v>
      </c>
      <c r="V59" s="288"/>
      <c r="W59" s="405"/>
      <c r="Z59" s="335"/>
      <c r="AA59" s="335"/>
      <c r="AB59" s="335"/>
      <c r="AC59" s="337"/>
      <c r="AD59" s="76" t="s">
        <v>149</v>
      </c>
      <c r="AE59" s="209" t="e">
        <f>MAX(Z48:Z55)/MAX(Z4:Z11)</f>
        <v>#DIV/0!</v>
      </c>
    </row>
    <row r="60" spans="1:32" ht="15" x14ac:dyDescent="0.2">
      <c r="B60" s="183" t="s">
        <v>174</v>
      </c>
      <c r="C60" s="184"/>
      <c r="D60" s="83" t="s">
        <v>73</v>
      </c>
      <c r="E60" s="83" t="s">
        <v>74</v>
      </c>
      <c r="F60" s="185" t="s">
        <v>32</v>
      </c>
      <c r="G60" s="185" t="s">
        <v>75</v>
      </c>
      <c r="H60" s="185" t="s">
        <v>76</v>
      </c>
      <c r="I60" s="185" t="s">
        <v>77</v>
      </c>
      <c r="J60" s="185" t="s">
        <v>78</v>
      </c>
      <c r="K60" s="185" t="s">
        <v>34</v>
      </c>
      <c r="L60" s="186" t="s">
        <v>79</v>
      </c>
      <c r="N60" s="53"/>
      <c r="O60" s="53"/>
      <c r="P60" s="53"/>
      <c r="R60" s="234">
        <v>1750</v>
      </c>
      <c r="S60" s="237">
        <f t="shared" si="30"/>
        <v>2.1994398161447859</v>
      </c>
      <c r="T60" s="238">
        <f t="shared" si="31"/>
        <v>1.0075086748697792</v>
      </c>
      <c r="U60" s="53">
        <f t="shared" si="32"/>
        <v>0</v>
      </c>
      <c r="V60" s="288"/>
      <c r="W60" s="405"/>
      <c r="Z60" s="335"/>
      <c r="AA60" s="335"/>
      <c r="AB60" s="335"/>
      <c r="AC60" s="335"/>
      <c r="AD60" s="313" t="s">
        <v>154</v>
      </c>
      <c r="AE60" s="313" t="e">
        <f>Y47/$Y$3</f>
        <v>#N/A</v>
      </c>
    </row>
    <row r="61" spans="1:32" ht="15" x14ac:dyDescent="0.2">
      <c r="B61" s="187"/>
      <c r="C61"/>
      <c r="D61" s="157">
        <f>H8</f>
        <v>56.845454164807485</v>
      </c>
      <c r="E61" s="157">
        <f>K5</f>
        <v>487.42599999999999</v>
      </c>
      <c r="F61" s="171">
        <f>K8</f>
        <v>1180</v>
      </c>
      <c r="G61" s="157">
        <f>C17</f>
        <v>11880.121708664878</v>
      </c>
      <c r="H61" s="157">
        <f>D17</f>
        <v>126.45245975841671</v>
      </c>
      <c r="I61" s="157">
        <f>F17</f>
        <v>88.499288633370568</v>
      </c>
      <c r="J61" s="157">
        <f>E17</f>
        <v>4623.7865773964631</v>
      </c>
      <c r="K61" s="157">
        <f>C19</f>
        <v>15444.158221264341</v>
      </c>
      <c r="L61" s="188">
        <f>K61/G61</f>
        <v>1.3</v>
      </c>
      <c r="N61" s="53"/>
      <c r="O61" s="53"/>
      <c r="P61" s="53"/>
      <c r="R61" s="234">
        <v>1801</v>
      </c>
      <c r="S61" s="237">
        <f t="shared" si="30"/>
        <v>2.3295037345590348</v>
      </c>
      <c r="T61" s="238">
        <f t="shared" si="31"/>
        <v>1.0080408117646846</v>
      </c>
      <c r="U61" s="53">
        <f t="shared" si="32"/>
        <v>0</v>
      </c>
      <c r="V61" s="288"/>
      <c r="W61" s="405"/>
      <c r="Z61" s="335"/>
      <c r="AA61" s="335"/>
      <c r="AB61" s="335"/>
      <c r="AC61" s="335"/>
      <c r="AD61" s="53" t="s">
        <v>30</v>
      </c>
      <c r="AE61" s="351" t="e">
        <f>Y47</f>
        <v>#N/A</v>
      </c>
    </row>
    <row r="62" spans="1:32" ht="15" x14ac:dyDescent="0.2">
      <c r="B62" s="64" t="s">
        <v>82</v>
      </c>
      <c r="C62" s="53" t="s">
        <v>83</v>
      </c>
      <c r="D62" s="53" t="s">
        <v>84</v>
      </c>
      <c r="E62" s="76" t="s">
        <v>85</v>
      </c>
      <c r="F62" s="76" t="s">
        <v>86</v>
      </c>
      <c r="G62" s="76" t="s">
        <v>87</v>
      </c>
      <c r="H62" s="76" t="s">
        <v>88</v>
      </c>
      <c r="I62" s="76" t="s">
        <v>89</v>
      </c>
      <c r="J62" s="76" t="s">
        <v>90</v>
      </c>
      <c r="K62" s="76" t="s">
        <v>91</v>
      </c>
      <c r="L62" s="65"/>
      <c r="N62" s="53"/>
      <c r="O62" s="53"/>
      <c r="P62" s="53"/>
      <c r="R62" s="234">
        <v>2950</v>
      </c>
      <c r="S62" s="237">
        <f t="shared" si="30"/>
        <v>6.25</v>
      </c>
      <c r="T62" s="238">
        <f t="shared" si="31"/>
        <v>1.0168688685945613</v>
      </c>
      <c r="U62" s="53">
        <f t="shared" si="32"/>
        <v>0</v>
      </c>
      <c r="V62" s="288"/>
      <c r="W62" s="405"/>
      <c r="Z62" s="335"/>
      <c r="AA62" s="335"/>
      <c r="AB62" s="335"/>
      <c r="AC62" s="335"/>
      <c r="AD62" s="53" t="s">
        <v>75</v>
      </c>
      <c r="AE62" s="53" t="e">
        <f>INDEX(AA48:AA55,MATCH(MAX(Z48:Z55),Z48:Z55,0))</f>
        <v>#N/A</v>
      </c>
    </row>
    <row r="63" spans="1:32" ht="15" x14ac:dyDescent="0.2">
      <c r="B63" s="170">
        <f>D12</f>
        <v>220.81240580054671</v>
      </c>
      <c r="C63" s="168">
        <f>D12/D17</f>
        <v>1.7462088615943225</v>
      </c>
      <c r="D63" s="157">
        <f>E19</f>
        <v>3987.845674587471</v>
      </c>
      <c r="E63" s="157">
        <f>E51</f>
        <v>3178.3917448590755</v>
      </c>
      <c r="F63" s="157">
        <f>H17</f>
        <v>27.711776052616258</v>
      </c>
      <c r="G63" s="157">
        <f>K8/60*(G17/H65)^0.5/H17^0.75</f>
        <v>177.47734833526007</v>
      </c>
      <c r="H63" s="157">
        <f>G19</f>
        <v>15444.158221264341</v>
      </c>
      <c r="I63" s="168">
        <f>H19</f>
        <v>48.464654873365504</v>
      </c>
      <c r="J63" s="157">
        <f>G14</f>
        <v>0</v>
      </c>
      <c r="K63" s="168">
        <f>H14</f>
        <v>0</v>
      </c>
      <c r="L63" s="172"/>
      <c r="N63" s="53"/>
      <c r="O63" s="53"/>
      <c r="P63" s="53"/>
      <c r="R63" s="180">
        <v>3550</v>
      </c>
      <c r="S63" s="237">
        <f t="shared" si="30"/>
        <v>9.0509192760700952</v>
      </c>
      <c r="T63" s="238">
        <f t="shared" si="31"/>
        <v>1.0200318151048615</v>
      </c>
      <c r="U63" s="53">
        <f t="shared" si="32"/>
        <v>0</v>
      </c>
      <c r="V63" s="288"/>
      <c r="W63" s="405"/>
      <c r="Z63" s="335"/>
      <c r="AA63" s="335"/>
      <c r="AB63" s="335"/>
      <c r="AC63" s="335"/>
      <c r="AD63" s="53" t="s">
        <v>76</v>
      </c>
      <c r="AE63" s="53" t="e">
        <f>INDEX(AB48:AB55,MATCH(MAX(Z48:Z55),Z48:Z55,0))</f>
        <v>#N/A</v>
      </c>
    </row>
    <row r="64" spans="1:32" thickBot="1" x14ac:dyDescent="0.25">
      <c r="B64" s="153" t="s">
        <v>92</v>
      </c>
      <c r="C64" s="76" t="s">
        <v>93</v>
      </c>
      <c r="D64" s="76" t="s">
        <v>94</v>
      </c>
      <c r="E64" s="76" t="s">
        <v>80</v>
      </c>
      <c r="F64" s="76" t="s">
        <v>81</v>
      </c>
      <c r="H64" s="70" t="s">
        <v>95</v>
      </c>
      <c r="J64" s="76" t="s">
        <v>96</v>
      </c>
      <c r="L64" s="65"/>
      <c r="N64" s="53"/>
      <c r="O64" s="53"/>
      <c r="P64" s="53"/>
      <c r="R64" s="235">
        <v>3601</v>
      </c>
      <c r="S64" s="239">
        <f t="shared" si="30"/>
        <v>9.3128418557885659</v>
      </c>
      <c r="T64" s="240">
        <f t="shared" si="31"/>
        <v>1.0202721953778424</v>
      </c>
      <c r="U64" s="53">
        <f t="shared" si="32"/>
        <v>0</v>
      </c>
      <c r="V64" s="288"/>
      <c r="W64" s="405"/>
      <c r="Z64" s="337"/>
      <c r="AA64" s="337"/>
      <c r="AB64" s="337"/>
      <c r="AC64" s="337"/>
      <c r="AD64" s="53" t="s">
        <v>139</v>
      </c>
      <c r="AE64" s="351">
        <f>MAX(Z48:Z55)</f>
        <v>0</v>
      </c>
    </row>
    <row r="65" spans="2:31" thickBot="1" x14ac:dyDescent="0.3">
      <c r="B65" s="173">
        <f>F30</f>
        <v>88.032939829020592</v>
      </c>
      <c r="C65" s="174">
        <f>F43</f>
        <v>88.032939829020592</v>
      </c>
      <c r="D65" s="174">
        <f>F56</f>
        <v>87.133624893196327</v>
      </c>
      <c r="E65" s="174">
        <f>(G61/3600)/(((L7/1000)^2)*(3.14/4))</f>
        <v>105.09661808797661</v>
      </c>
      <c r="F65" s="174">
        <f>(G61/3600)/(((L6/1000)^2)*(3.14/4))</f>
        <v>67.261835576305032</v>
      </c>
      <c r="G65" s="48"/>
      <c r="H65" s="414">
        <v>1</v>
      </c>
      <c r="I65" s="48"/>
      <c r="J65" s="414">
        <v>1</v>
      </c>
      <c r="K65" s="48"/>
      <c r="L65" s="102"/>
      <c r="N65" s="53"/>
      <c r="O65" s="53"/>
      <c r="P65" s="53"/>
      <c r="R65" s="187"/>
      <c r="S65" s="262">
        <f ca="1">AVERAGE(U66:INDIRECT("U"&amp;(U65+65)))</f>
        <v>2.0383835030771746E-2</v>
      </c>
      <c r="T65" s="262">
        <f ca="1">AVERAGE(V66:INDIRECT("V"&amp;(U65+65)))</f>
        <v>2</v>
      </c>
      <c r="U65" s="53">
        <f>SUM(U58:U64)</f>
        <v>1</v>
      </c>
      <c r="V65" s="65"/>
      <c r="W65" s="405"/>
      <c r="Z65" s="337"/>
      <c r="AA65" s="337"/>
      <c r="AB65" s="337"/>
      <c r="AC65" s="337"/>
      <c r="AD65" s="53" t="s">
        <v>125</v>
      </c>
      <c r="AE65" s="351" t="e">
        <f>AF47</f>
        <v>#N/A</v>
      </c>
    </row>
    <row r="66" spans="2:31" ht="13.5" thickBot="1" x14ac:dyDescent="0.25">
      <c r="B66" s="49"/>
      <c r="C66" s="50"/>
      <c r="D66" s="50" t="s">
        <v>97</v>
      </c>
      <c r="E66" s="50"/>
      <c r="F66" s="51"/>
      <c r="G66" s="51"/>
      <c r="H66" s="51"/>
      <c r="I66" s="154" t="s">
        <v>98</v>
      </c>
      <c r="J66" s="155"/>
      <c r="K66" s="325" t="s">
        <v>225</v>
      </c>
      <c r="L66" s="52"/>
      <c r="N66" s="53"/>
      <c r="O66" s="53"/>
      <c r="P66" s="53"/>
      <c r="R66" s="187">
        <f t="shared" ref="R66:R72" si="33">(R58/$K$8)</f>
        <v>0.5754237288135593</v>
      </c>
      <c r="S66" s="263">
        <f>IF(R66&lt;&gt;1,LOG(T58,R66),0)</f>
        <v>2.0383835030771746E-2</v>
      </c>
      <c r="T66" s="263">
        <f>ROUND(IF(R66&lt;&gt;1,LOG(S58,R66),0),2)</f>
        <v>2</v>
      </c>
      <c r="U66" s="285">
        <f t="shared" ref="U66:V72" si="34">IF(S66&lt;&gt;0,S66,"")</f>
        <v>2.0383835030771746E-2</v>
      </c>
      <c r="V66" s="286">
        <f t="shared" si="34"/>
        <v>2</v>
      </c>
    </row>
    <row r="67" spans="2:31" ht="12.75" x14ac:dyDescent="0.2">
      <c r="N67" s="53"/>
      <c r="O67" s="53"/>
      <c r="P67" s="53"/>
      <c r="R67" s="187">
        <f t="shared" si="33"/>
        <v>1.228813559322034</v>
      </c>
      <c r="S67" s="263">
        <f>IF(R67&lt;&gt;1,LOG(T59,R67),0)</f>
        <v>1.9250879521313755E-2</v>
      </c>
      <c r="T67" s="263">
        <f>ROUND(IF(R67&lt;&gt;1,LOG(S59,R67),0),2)</f>
        <v>2</v>
      </c>
      <c r="U67" s="285">
        <f t="shared" si="34"/>
        <v>1.9250879521313755E-2</v>
      </c>
      <c r="V67" s="286">
        <f t="shared" si="34"/>
        <v>2</v>
      </c>
    </row>
    <row r="68" spans="2:31" ht="15.75" customHeight="1" thickBot="1" x14ac:dyDescent="0.25">
      <c r="R68" s="187">
        <f t="shared" si="33"/>
        <v>1.4830508474576272</v>
      </c>
      <c r="S68" s="263">
        <f>IF(R68&lt;&gt;1,LOG(T60,R68),0)</f>
        <v>1.8981475461853439E-2</v>
      </c>
      <c r="T68" s="263">
        <f>ROUND(IF(R68&lt;&gt;1,LOG(S60,R68),0),2)</f>
        <v>2</v>
      </c>
      <c r="U68" s="285">
        <f t="shared" si="34"/>
        <v>1.8981475461853439E-2</v>
      </c>
      <c r="V68" s="286">
        <f t="shared" si="34"/>
        <v>2</v>
      </c>
    </row>
    <row r="69" spans="2:31" ht="15.75" customHeight="1" x14ac:dyDescent="0.2">
      <c r="B69" s="242"/>
      <c r="C69" s="244"/>
      <c r="D69" s="244"/>
      <c r="E69" s="244" t="s">
        <v>175</v>
      </c>
      <c r="F69" s="244"/>
      <c r="G69" s="244"/>
      <c r="H69" s="244"/>
      <c r="I69" s="244"/>
      <c r="J69" s="243"/>
      <c r="R69" s="187">
        <f t="shared" si="33"/>
        <v>1.5262711864406779</v>
      </c>
      <c r="S69" s="263">
        <f>IF(AND(R69&lt;&gt;1,T61&lt;&gt;0),LOG(T61,R69),0)</f>
        <v>1.8940712873025265E-2</v>
      </c>
      <c r="T69" s="263">
        <f>IF(AND(R69&lt;&gt;1,R69&lt;&gt;0),LOG(S61,R69),0)</f>
        <v>2.0000000000000004</v>
      </c>
      <c r="U69" s="285">
        <f t="shared" si="34"/>
        <v>1.8940712873025265E-2</v>
      </c>
      <c r="V69" s="286">
        <f t="shared" si="34"/>
        <v>2.0000000000000004</v>
      </c>
    </row>
    <row r="70" spans="2:31" ht="15.75" customHeight="1" x14ac:dyDescent="0.2">
      <c r="B70" s="241" t="s">
        <v>176</v>
      </c>
      <c r="C70" s="247" t="s">
        <v>177</v>
      </c>
      <c r="D70" s="247" t="s">
        <v>76</v>
      </c>
      <c r="E70" s="247" t="s">
        <v>178</v>
      </c>
      <c r="F70" s="247" t="s">
        <v>179</v>
      </c>
      <c r="G70" s="247" t="s">
        <v>34</v>
      </c>
      <c r="H70" s="247" t="s">
        <v>82</v>
      </c>
      <c r="I70" s="247" t="s">
        <v>180</v>
      </c>
      <c r="J70" s="248" t="s">
        <v>84</v>
      </c>
      <c r="R70" s="187">
        <f t="shared" si="33"/>
        <v>2.5</v>
      </c>
      <c r="S70" s="263">
        <f>IF(AND(R70&lt;&gt;1,T62&lt;&gt;0),LOG(T62,R70),0)</f>
        <v>1.8256399127557468E-2</v>
      </c>
      <c r="T70" s="263">
        <f>IF(AND(R70&lt;&gt;1,R70&lt;&gt;0),LOG(S62,R70),0)</f>
        <v>2</v>
      </c>
      <c r="U70" s="285">
        <f t="shared" si="34"/>
        <v>1.8256399127557468E-2</v>
      </c>
      <c r="V70" s="286">
        <f t="shared" si="34"/>
        <v>2</v>
      </c>
    </row>
    <row r="71" spans="2:31" ht="15.75" customHeight="1" thickBot="1" x14ac:dyDescent="0.25">
      <c r="B71" s="235">
        <f t="shared" ref="B71:G71" si="35">F61</f>
        <v>1180</v>
      </c>
      <c r="C71" s="245">
        <f t="shared" si="35"/>
        <v>11880.121708664878</v>
      </c>
      <c r="D71" s="245">
        <f t="shared" si="35"/>
        <v>126.45245975841671</v>
      </c>
      <c r="E71" s="245">
        <f t="shared" si="35"/>
        <v>88.499288633370568</v>
      </c>
      <c r="F71" s="245">
        <f t="shared" si="35"/>
        <v>4623.7865773964631</v>
      </c>
      <c r="G71" s="245">
        <f t="shared" si="35"/>
        <v>15444.158221264341</v>
      </c>
      <c r="H71" s="245">
        <f>B63</f>
        <v>220.81240580054671</v>
      </c>
      <c r="I71" s="245">
        <f>D19</f>
        <v>68.20033471609176</v>
      </c>
      <c r="J71" s="246">
        <f>D63</f>
        <v>3987.845674587471</v>
      </c>
      <c r="R71" s="187">
        <f t="shared" si="33"/>
        <v>3.0084745762711864</v>
      </c>
      <c r="S71" s="263">
        <f>IF(AND(R71&lt;&gt;1,T63&lt;&gt;0),LOG(T63,R71),0)</f>
        <v>1.8007282438097169E-2</v>
      </c>
      <c r="T71" s="263">
        <f>IF(AND(R71&lt;&gt;1,R71&lt;&gt;0),LOG(S63,R71),0)</f>
        <v>2</v>
      </c>
      <c r="U71" s="285">
        <f t="shared" si="34"/>
        <v>1.8007282438097169E-2</v>
      </c>
      <c r="V71" s="286">
        <f t="shared" si="34"/>
        <v>2</v>
      </c>
    </row>
    <row r="72" spans="2:31" ht="15.75" customHeight="1" x14ac:dyDescent="0.2">
      <c r="R72" s="187">
        <f t="shared" si="33"/>
        <v>3.0516949152542372</v>
      </c>
      <c r="S72" s="263">
        <f>IF(AND(R72&lt;&gt;1,T64&lt;&gt;0),LOG(T64,R72),0)</f>
        <v>1.7988259607888465E-2</v>
      </c>
      <c r="T72" s="263">
        <f>IF(AND(R72&lt;&gt;1,R72&lt;&gt;0),LOG(S64,R72),0)</f>
        <v>2</v>
      </c>
      <c r="U72" s="285">
        <f t="shared" si="34"/>
        <v>1.7988259607888465E-2</v>
      </c>
      <c r="V72" s="286">
        <f t="shared" si="34"/>
        <v>2</v>
      </c>
    </row>
    <row r="73" spans="2:31" ht="12.75" x14ac:dyDescent="0.2">
      <c r="R73" s="289"/>
      <c r="S73" s="404"/>
      <c r="V73" s="65"/>
    </row>
    <row r="74" spans="2:31" ht="25.5" x14ac:dyDescent="0.2">
      <c r="R74" s="153"/>
      <c r="S74" s="103" t="s">
        <v>181</v>
      </c>
      <c r="V74" s="65"/>
      <c r="Z74" s="355" t="s">
        <v>182</v>
      </c>
      <c r="AA74" s="355"/>
      <c r="AB74" s="355"/>
      <c r="AC74" s="355"/>
    </row>
    <row r="75" spans="2:31" ht="15.75" customHeight="1" thickBot="1" x14ac:dyDescent="0.3">
      <c r="R75" s="290"/>
      <c r="S75" s="287">
        <f ca="1">AVERAGE(INDIRECT("U"&amp;(66+U65)):U72)</f>
        <v>1.8570834838289262E-2</v>
      </c>
      <c r="T75" s="287">
        <f>ROUND(IF(K8=1450,V68,AVERAGE(V69:V72)),2)</f>
        <v>2</v>
      </c>
      <c r="U75" s="287">
        <f>IF(K8=1450,U68,AVERAGE(U71:U72))</f>
        <v>1.7997771022992819E-2</v>
      </c>
      <c r="V75" s="102"/>
    </row>
    <row r="76" spans="2:31" ht="15.75" customHeight="1" x14ac:dyDescent="0.2">
      <c r="Z76" s="53" t="s">
        <v>183</v>
      </c>
      <c r="AA76" s="53" t="s">
        <v>184</v>
      </c>
      <c r="AB76" s="53" t="s">
        <v>119</v>
      </c>
      <c r="AD76" s="53" t="s">
        <v>117</v>
      </c>
      <c r="AE76" s="53" t="s">
        <v>118</v>
      </c>
    </row>
    <row r="77" spans="2:31" ht="15.75" customHeight="1" thickBot="1" x14ac:dyDescent="0.25">
      <c r="Z77" s="53">
        <f>'test modello'!AG10/L10</f>
        <v>0.99912602118065108</v>
      </c>
      <c r="AA77" s="53">
        <f>'test modello'!AF8/AC1</f>
        <v>0.79461279461279466</v>
      </c>
      <c r="AB77" s="53" t="e">
        <f>(1-(1-AE20/100)*(0.3+0.7*Z77^-0.4*AA77^-0.2))/(AE20/100)</f>
        <v>#DIV/0!</v>
      </c>
      <c r="AD77" s="53">
        <f>AC1*$AA$77</f>
        <v>1180</v>
      </c>
      <c r="AE77" s="53">
        <f>AE1*$Z$77</f>
        <v>398.95102025743398</v>
      </c>
    </row>
    <row r="78" spans="2:31" ht="15.75" customHeight="1" x14ac:dyDescent="0.2">
      <c r="Z78" s="328" t="s">
        <v>123</v>
      </c>
      <c r="AA78" s="329" t="s">
        <v>15</v>
      </c>
      <c r="AB78" s="329" t="s">
        <v>16</v>
      </c>
      <c r="AC78" s="329" t="s">
        <v>124</v>
      </c>
      <c r="AD78" s="329" t="s">
        <v>15</v>
      </c>
      <c r="AE78" s="330" t="s">
        <v>108</v>
      </c>
    </row>
    <row r="79" spans="2:31" ht="15.75" customHeight="1" thickBot="1" x14ac:dyDescent="0.25">
      <c r="Z79" s="331" t="s">
        <v>79</v>
      </c>
      <c r="AA79" s="249" t="s">
        <v>17</v>
      </c>
      <c r="AB79" s="249" t="s">
        <v>8</v>
      </c>
      <c r="AC79" s="249" t="s">
        <v>29</v>
      </c>
      <c r="AD79" s="249" t="s">
        <v>103</v>
      </c>
      <c r="AE79" s="332" t="s">
        <v>8</v>
      </c>
    </row>
    <row r="80" spans="2:31" ht="15.75" customHeight="1" x14ac:dyDescent="0.2">
      <c r="Z80" s="333">
        <f>IF(Z4=0,Z26,Z4*$AB$77)</f>
        <v>0</v>
      </c>
      <c r="AA80" s="333" t="e">
        <f>IF(AA4=0,(AA26*($AE$1/$AE$23)^'test modello'!$AN$10)*$Z$77^3*$AA$77^1,AA4*$Z$77^3*$AA$77^1)</f>
        <v>#DIV/0!</v>
      </c>
      <c r="AB80" s="333" t="e">
        <f>IF(AB4=0,(AB26*($AE$1/$AE$23)^'test modello'!$AO$10)*$Z$77^2*$AA$77^2,AB4*$Z$77^2*$AA$77^2)</f>
        <v>#DIV/0!</v>
      </c>
      <c r="AC80" s="334" t="e">
        <f>1000*9.81*AA80/3600*AB80/Z80/10</f>
        <v>#DIV/0!</v>
      </c>
      <c r="AD80" s="333" t="e">
        <f>IF(AD4=0,(AD26*($AE$1/$AE$23)^2)*$Z$77^3*$AA$77^1,AD4*$Z$77^3*$AA$77^1)</f>
        <v>#DIV/0!</v>
      </c>
      <c r="AE80" s="333">
        <f>IF(AE4=0,AE26*($Z$77^2*$AA$77^2),AE4*$Z$77^2*$AA$77^2)</f>
        <v>0</v>
      </c>
    </row>
    <row r="81" spans="26:31" ht="15.75" customHeight="1" x14ac:dyDescent="0.2">
      <c r="Z81" s="333">
        <f t="shared" ref="Z81:Z87" si="36">IF(Z5=0,Z27,Z5*$AB$77)</f>
        <v>0</v>
      </c>
      <c r="AA81" s="333" t="e">
        <f>IF(AA5=0,(AA27*($AE$1/$AE$23)^'test modello'!$AN$10)*$Z$77^3*$AA$77^1,AA5*$Z$77^3*$AA$77^1)</f>
        <v>#DIV/0!</v>
      </c>
      <c r="AB81" s="333" t="e">
        <f>IF(AB5=0,(AB27*($AE$1/$AE$23)^'test modello'!$AO$10)*$Z$77^2*$AA$77^2,AB5*$Z$77^2*$AA$77^2)</f>
        <v>#DIV/0!</v>
      </c>
      <c r="AC81" s="334" t="e">
        <f t="shared" ref="AC81:AC87" si="37">1000*9.81*AA81/3600*AB81/Z81/10</f>
        <v>#DIV/0!</v>
      </c>
      <c r="AD81" s="333" t="e">
        <f t="shared" ref="AD81:AD84" si="38">IF(AD5=0,(AD27*($AE$1/$AE$23)^2)*$Z$77^3*$AA$77^1,AD5*$Z$77^3*$AA$77^1)</f>
        <v>#DIV/0!</v>
      </c>
      <c r="AE81" s="333">
        <f t="shared" ref="AE81:AE84" si="39">IF(AE5=0,AE27*($Z$77^2*$AA$77^2),AE5*$Z$77^2*$AA$77^2)</f>
        <v>0</v>
      </c>
    </row>
    <row r="82" spans="26:31" ht="15.75" customHeight="1" x14ac:dyDescent="0.2">
      <c r="Z82" s="333">
        <f t="shared" si="36"/>
        <v>0</v>
      </c>
      <c r="AA82" s="333" t="e">
        <f>IF(AA6=0,(AA28*($AE$1/$AE$23)^'test modello'!$AN$10)*$Z$77^3*$AA$77^1,AA6*$Z$77^3*$AA$77^1)</f>
        <v>#DIV/0!</v>
      </c>
      <c r="AB82" s="333" t="e">
        <f>IF(AB6=0,(AB28*($AE$1/$AE$23)^'test modello'!$AO$10)*$Z$77^2*$AA$77^2,AB6*$Z$77^2*$AA$77^2)</f>
        <v>#DIV/0!</v>
      </c>
      <c r="AC82" s="334" t="e">
        <f t="shared" si="37"/>
        <v>#DIV/0!</v>
      </c>
      <c r="AD82" s="333" t="e">
        <f t="shared" si="38"/>
        <v>#DIV/0!</v>
      </c>
      <c r="AE82" s="333">
        <f t="shared" si="39"/>
        <v>0</v>
      </c>
    </row>
    <row r="83" spans="26:31" ht="15.75" customHeight="1" x14ac:dyDescent="0.2">
      <c r="Z83" s="333">
        <f t="shared" si="36"/>
        <v>0</v>
      </c>
      <c r="AA83" s="333" t="e">
        <f>IF(AA7=0,(AA29*($AE$1/$AE$23)^'test modello'!$AN$10)*$Z$77^3*$AA$77^1,AA7*$Z$77^3*$AA$77^1)</f>
        <v>#DIV/0!</v>
      </c>
      <c r="AB83" s="333" t="e">
        <f>IF(AB7=0,(AB29*($AE$1/$AE$23)^'test modello'!$AO$10)*$Z$77^2*$AA$77^2,AB7*$Z$77^2*$AA$77^2)</f>
        <v>#DIV/0!</v>
      </c>
      <c r="AC83" s="334" t="e">
        <f t="shared" si="37"/>
        <v>#DIV/0!</v>
      </c>
      <c r="AD83" s="333" t="e">
        <f t="shared" si="38"/>
        <v>#DIV/0!</v>
      </c>
      <c r="AE83" s="333">
        <f t="shared" si="39"/>
        <v>0</v>
      </c>
    </row>
    <row r="84" spans="26:31" ht="15.75" customHeight="1" x14ac:dyDescent="0.2">
      <c r="Z84" s="333">
        <f t="shared" si="36"/>
        <v>0</v>
      </c>
      <c r="AA84" s="333" t="e">
        <f>IF(AA8=0,(AA30*($AE$1/$AE$23)^'test modello'!$AN$10)*$Z$77^3*$AA$77^1,AA8*$Z$77^3*$AA$77^1)</f>
        <v>#DIV/0!</v>
      </c>
      <c r="AB84" s="333" t="e">
        <f>IF(AB8=0,(AB30*($AE$1/$AE$23)^'test modello'!$AO$10)*$Z$77^2*$AA$77^2,AB8*$Z$77^2*$AA$77^2)</f>
        <v>#DIV/0!</v>
      </c>
      <c r="AC84" s="334" t="e">
        <f t="shared" si="37"/>
        <v>#DIV/0!</v>
      </c>
      <c r="AD84" s="333" t="e">
        <f t="shared" si="38"/>
        <v>#DIV/0!</v>
      </c>
      <c r="AE84" s="333">
        <f t="shared" si="39"/>
        <v>0</v>
      </c>
    </row>
    <row r="85" spans="26:31" ht="15.75" customHeight="1" x14ac:dyDescent="0.2">
      <c r="Z85" s="333">
        <f t="shared" si="36"/>
        <v>0</v>
      </c>
      <c r="AA85" s="333" t="e">
        <f>IF(AA9=0,(AA31*($AE$1/$AE$23)^'test modello'!$AN$10)*$Z$77^3*$AA$77^1,AA9*$Z$77^3*$AA$77^1)</f>
        <v>#DIV/0!</v>
      </c>
      <c r="AB85" s="333" t="e">
        <f>IF(AB9=0,(AB31*($AE$1/$AE$23)^'test modello'!$AO$10)*$Z$77^2*$AA$77^2,AB9*$Z$77^2*$AA$77^2)</f>
        <v>#DIV/0!</v>
      </c>
      <c r="AC85" s="334" t="e">
        <f t="shared" si="37"/>
        <v>#DIV/0!</v>
      </c>
      <c r="AD85" s="337"/>
      <c r="AE85" s="337"/>
    </row>
    <row r="86" spans="26:31" ht="15.75" customHeight="1" x14ac:dyDescent="0.2">
      <c r="Z86" s="333">
        <f t="shared" si="36"/>
        <v>0</v>
      </c>
      <c r="AA86" s="333" t="e">
        <f>IF(AA10=0,(AA32*($AE$1/$AE$23)^'test modello'!$AN$10)*$Z$77^3*$AA$77^1,AA10*$Z$77^3*$AA$77^1)</f>
        <v>#DIV/0!</v>
      </c>
      <c r="AB86" s="333" t="e">
        <f>IF(AB10=0,(AB32*($AE$1/$AE$23)^'test modello'!$AO$10)*$Z$77^2*$AA$77^2,AB10*$Z$77^2*$AA$77^2)</f>
        <v>#DIV/0!</v>
      </c>
      <c r="AC86" s="334" t="e">
        <f t="shared" si="37"/>
        <v>#DIV/0!</v>
      </c>
    </row>
    <row r="87" spans="26:31" ht="15.75" customHeight="1" x14ac:dyDescent="0.2">
      <c r="Z87" s="333">
        <f t="shared" si="36"/>
        <v>0</v>
      </c>
      <c r="AA87" s="333" t="e">
        <f>IF(AA11=0,(AA33*($AE$1/$AE$23)^'test modello'!$AN$10)*$Z$77^3*$AA$77^1,AA11*$Z$77^3*$AA$77^1)</f>
        <v>#DIV/0!</v>
      </c>
      <c r="AB87" s="333" t="e">
        <f>IF(AB11=0,(AB33*($AE$1/$AE$23)^'test modello'!$AO$10)*$Z$77^2*$AA$77^2,AB11*$Z$77^2*$AA$77^2)</f>
        <v>#DIV/0!</v>
      </c>
      <c r="AC87" s="334" t="e">
        <f t="shared" si="37"/>
        <v>#DIV/0!</v>
      </c>
      <c r="AD87" s="120"/>
      <c r="AE87" s="120"/>
    </row>
    <row r="88" spans="26:31" ht="15.75" customHeight="1" x14ac:dyDescent="0.2">
      <c r="Z88" s="335"/>
      <c r="AA88" s="333" t="e">
        <f>IF(AA12=0,(AA34*($AE$1/$AE$23)^'test modello'!$AN$10)*$Z$77^3*$AA$77^1,AA12*$Z$77^3*$AA$77^1)</f>
        <v>#DIV/0!</v>
      </c>
      <c r="AB88" s="333" t="e">
        <f>IF(AB12=0,(AB34*($AE$1/$AE$23)^'test modello'!$AO$10)*$Z$77^2*$AA$77^2,AB12*$Z$77^2*$AA$77^2)</f>
        <v>#DIV/0!</v>
      </c>
      <c r="AC88" s="337"/>
      <c r="AD88" s="45"/>
      <c r="AE88" s="354"/>
    </row>
    <row r="89" spans="26:31" ht="15.75" customHeight="1" x14ac:dyDescent="0.2">
      <c r="Z89" s="335"/>
      <c r="AA89" s="333" t="e">
        <f>IF(AA13=0,(AA35*($AE$1/$AE$23)^'test modello'!$AN$10)*$Z$77^3*$AA$77^1,AA13*$Z$77^3*$AA$77^1)</f>
        <v>#DIV/0!</v>
      </c>
      <c r="AB89" s="333" t="e">
        <f>IF(AB13=0,(AB35*($AE$1/$AE$23)^'test modello'!$AO$10)*$Z$77^2*$AA$77^2,AB13*$Z$77^2*$AA$77^2)</f>
        <v>#DIV/0!</v>
      </c>
      <c r="AC89" s="337"/>
      <c r="AD89" s="46"/>
      <c r="AE89" s="352"/>
    </row>
    <row r="90" spans="26:31" ht="15.75" customHeight="1" x14ac:dyDescent="0.2">
      <c r="Z90" s="335"/>
      <c r="AA90" s="333" t="e">
        <f>IF(AA14=0,(AA36*($AE$1/$AE$23)^'test modello'!$AN$10)*$Z$77^3*$AA$77^1,AA14*$Z$77^3*$AA$77^1)</f>
        <v>#DIV/0!</v>
      </c>
      <c r="AB90" s="333" t="e">
        <f>IF(AB14=0,(AB36*($AE$1/$AE$23)^'test modello'!$AO$10)*$Z$77^2*$AA$77^2,AB14*$Z$77^2*$AA$77^2)</f>
        <v>#DIV/0!</v>
      </c>
      <c r="AC90" s="337"/>
      <c r="AD90" s="46"/>
      <c r="AE90" s="46"/>
    </row>
    <row r="91" spans="26:31" ht="15.75" customHeight="1" x14ac:dyDescent="0.2">
      <c r="Z91" s="335"/>
      <c r="AA91" s="333" t="e">
        <f>IF(AA15=0,(AA37*($AE$1/$AE$23)^'test modello'!$AN$10)*$Z$77^3*$AA$77^1,AA15*$Z$77^3*$AA$77^1)</f>
        <v>#DIV/0!</v>
      </c>
      <c r="AB91" s="333" t="e">
        <f>IF(AB15=0,(AB37*($AE$1/$AE$23)^'test modello'!$AO$10)*$Z$77^2*$AA$77^2,AB15*$Z$77^2*$AA$77^2)</f>
        <v>#DIV/0!</v>
      </c>
      <c r="AC91" s="337"/>
    </row>
    <row r="92" spans="26:31" ht="15.75" customHeight="1" x14ac:dyDescent="0.2">
      <c r="Z92" s="335"/>
      <c r="AA92" s="333" t="e">
        <f>IF(AA16=0,(AA38*($AE$1/$AE$23)^'test modello'!$AN$10)*$Z$77^3*$AA$77^1,AA16*$Z$77^3*$AA$77^1)</f>
        <v>#DIV/0!</v>
      </c>
      <c r="AB92" s="333" t="e">
        <f>IF(AB16=0,(AB38*($AE$1/$AE$23)^'test modello'!$AO$10)*$Z$77^2*$AA$77^2,AB16*$Z$77^2*$AA$77^2)</f>
        <v>#DIV/0!</v>
      </c>
      <c r="AC92" s="335"/>
    </row>
    <row r="93" spans="26:31" ht="15.75" customHeight="1" x14ac:dyDescent="0.2">
      <c r="Z93" s="335"/>
      <c r="AA93" s="333" t="e">
        <f>IF(AA17=0,(AA39*($AE$1/$AE$23)^'test modello'!$AN$10)*$Z$77^3*$AA$77^1,AA17*$Z$77^3*$AA$77^1)</f>
        <v>#DIV/0!</v>
      </c>
      <c r="AB93" s="333" t="e">
        <f>IF(AB17=0,(AB39*($AE$1/$AE$23)^'test modello'!$AO$10)*$Z$77^2*$AA$77^2,AB17*$Z$77^2*$AA$77^2)</f>
        <v>#DIV/0!</v>
      </c>
      <c r="AC93" s="335"/>
      <c r="AE93" s="351"/>
    </row>
    <row r="94" spans="26:31" ht="15.75" customHeight="1" x14ac:dyDescent="0.2">
      <c r="Z94" s="335"/>
      <c r="AA94" s="333" t="e">
        <f>IF(AA18=0,(AA40*($AE$1/$AE$23)^'test modello'!$AN$10)*$Z$77^3*$AA$77^1,AA18*$Z$77^3*$AA$77^1)</f>
        <v>#DIV/0!</v>
      </c>
      <c r="AB94" s="333" t="e">
        <f>IF(AB18=0,(AB40*($AE$1/$AE$23)^'test modello'!$AO$10)*$Z$77^2*$AA$77^2,AB18*$Z$77^2*$AA$77^2)</f>
        <v>#DIV/0!</v>
      </c>
      <c r="AC94" s="335"/>
    </row>
    <row r="95" spans="26:31" ht="15.75" customHeight="1" x14ac:dyDescent="0.2">
      <c r="Z95" s="335"/>
      <c r="AA95" s="333" t="e">
        <f>IF(AA19=0,(AA41*($AE$1/$AE$23)^'test modello'!$AN$10)*$Z$77^3*$AA$77^1,AA19*$Z$77^3*$AA$77^1)</f>
        <v>#DIV/0!</v>
      </c>
      <c r="AB95" s="333" t="e">
        <f>IF(AB19=0,(AB41*($AE$1/$AE$23)^'test modello'!$AO$10)*$Z$77^2*$AA$77^2,AB19*$Z$77^2*$AA$77^2)</f>
        <v>#DIV/0!</v>
      </c>
      <c r="AC95" s="335"/>
    </row>
    <row r="96" spans="26:31" ht="15.75" customHeight="1" x14ac:dyDescent="0.2">
      <c r="Z96" s="337"/>
      <c r="AA96" s="337"/>
      <c r="AB96" s="337"/>
      <c r="AC96" s="337"/>
      <c r="AE96" s="351"/>
    </row>
    <row r="97" spans="26:31" ht="15.75" customHeight="1" x14ac:dyDescent="0.2">
      <c r="Z97" s="337"/>
      <c r="AA97" s="337"/>
      <c r="AB97" s="337"/>
      <c r="AC97" s="337"/>
      <c r="AE97" s="351"/>
    </row>
    <row r="99" spans="26:31" ht="15.75" customHeight="1" thickBot="1" x14ac:dyDescent="0.25">
      <c r="AB99" s="53" t="s">
        <v>117</v>
      </c>
      <c r="AC99" s="53">
        <f>AC23*$AA$77</f>
        <v>0</v>
      </c>
      <c r="AD99" s="53" t="s">
        <v>118</v>
      </c>
      <c r="AE99" s="351">
        <f>AE23*$Z$77</f>
        <v>0</v>
      </c>
    </row>
    <row r="100" spans="26:31" ht="15.75" customHeight="1" x14ac:dyDescent="0.2">
      <c r="Z100" s="328" t="s">
        <v>123</v>
      </c>
      <c r="AA100" s="329" t="s">
        <v>15</v>
      </c>
      <c r="AB100" s="329" t="s">
        <v>16</v>
      </c>
      <c r="AC100" s="329" t="s">
        <v>124</v>
      </c>
      <c r="AD100" s="329" t="s">
        <v>15</v>
      </c>
      <c r="AE100" s="330" t="s">
        <v>108</v>
      </c>
    </row>
    <row r="101" spans="26:31" ht="15.75" customHeight="1" thickBot="1" x14ac:dyDescent="0.25">
      <c r="Z101" s="331" t="s">
        <v>79</v>
      </c>
      <c r="AA101" s="249" t="s">
        <v>17</v>
      </c>
      <c r="AB101" s="249" t="s">
        <v>8</v>
      </c>
      <c r="AC101" s="249" t="s">
        <v>29</v>
      </c>
      <c r="AD101" s="249" t="s">
        <v>103</v>
      </c>
      <c r="AE101" s="332" t="s">
        <v>8</v>
      </c>
    </row>
    <row r="102" spans="26:31" ht="15.75" customHeight="1" x14ac:dyDescent="0.2">
      <c r="Z102" s="333" t="e">
        <f t="shared" ref="Z102:Z109" si="40">Z26*$AB$77</f>
        <v>#DIV/0!</v>
      </c>
      <c r="AA102" s="333">
        <f>AA26*$Z$77^3*$AA$77^1</f>
        <v>0</v>
      </c>
      <c r="AB102" s="333">
        <f>AB26*$Z$77^2*$AA$77^2</f>
        <v>0</v>
      </c>
      <c r="AC102" s="334" t="e">
        <f>1000*9.81*AA102/3600*AB102/Z102/10</f>
        <v>#DIV/0!</v>
      </c>
      <c r="AD102" s="333">
        <f>AD26*$Z$77^3*$AA$77^1</f>
        <v>0</v>
      </c>
      <c r="AE102" s="333">
        <f>AE26*$Z$77^2*$AA$77^2</f>
        <v>0</v>
      </c>
    </row>
    <row r="103" spans="26:31" ht="15.75" customHeight="1" x14ac:dyDescent="0.2">
      <c r="Z103" s="335" t="e">
        <f t="shared" si="40"/>
        <v>#DIV/0!</v>
      </c>
      <c r="AA103" s="333">
        <f t="shared" ref="AA103:AA109" si="41">AA27*$Z$77^3*$AA$77^1</f>
        <v>0</v>
      </c>
      <c r="AB103" s="333">
        <f t="shared" ref="AB103:AB109" si="42">AB27*$Z$77^2*$AA$77^2</f>
        <v>0</v>
      </c>
      <c r="AC103" s="334" t="e">
        <f t="shared" ref="AC103:AC109" si="43">1000*9.81*AA103/3600*AB103/Z103/10</f>
        <v>#DIV/0!</v>
      </c>
      <c r="AD103" s="333">
        <f t="shared" ref="AD103:AD106" si="44">AD27*$Z$77^3*$AA$77^1</f>
        <v>0</v>
      </c>
      <c r="AE103" s="333">
        <f t="shared" ref="AE103:AE106" si="45">AE27*$Z$77^2*$AA$77^2</f>
        <v>0</v>
      </c>
    </row>
    <row r="104" spans="26:31" ht="15.75" customHeight="1" x14ac:dyDescent="0.2">
      <c r="Z104" s="335" t="e">
        <f t="shared" si="40"/>
        <v>#DIV/0!</v>
      </c>
      <c r="AA104" s="333">
        <f t="shared" si="41"/>
        <v>0</v>
      </c>
      <c r="AB104" s="333">
        <f t="shared" si="42"/>
        <v>0</v>
      </c>
      <c r="AC104" s="334" t="e">
        <f t="shared" si="43"/>
        <v>#DIV/0!</v>
      </c>
      <c r="AD104" s="333">
        <f t="shared" si="44"/>
        <v>0</v>
      </c>
      <c r="AE104" s="333">
        <f t="shared" si="45"/>
        <v>0</v>
      </c>
    </row>
    <row r="105" spans="26:31" ht="15.75" customHeight="1" x14ac:dyDescent="0.2">
      <c r="Z105" s="335" t="e">
        <f t="shared" si="40"/>
        <v>#DIV/0!</v>
      </c>
      <c r="AA105" s="333">
        <f t="shared" si="41"/>
        <v>0</v>
      </c>
      <c r="AB105" s="333">
        <f t="shared" si="42"/>
        <v>0</v>
      </c>
      <c r="AC105" s="334" t="e">
        <f t="shared" si="43"/>
        <v>#DIV/0!</v>
      </c>
      <c r="AD105" s="333">
        <f>AD29*$Z$77^3*$AA$77^1</f>
        <v>0</v>
      </c>
      <c r="AE105" s="333">
        <f>AE29*$Z$77^2*$AA$77^2</f>
        <v>0</v>
      </c>
    </row>
    <row r="106" spans="26:31" ht="15.75" customHeight="1" x14ac:dyDescent="0.2">
      <c r="Z106" s="335" t="e">
        <f t="shared" si="40"/>
        <v>#DIV/0!</v>
      </c>
      <c r="AA106" s="333">
        <f t="shared" si="41"/>
        <v>0</v>
      </c>
      <c r="AB106" s="333">
        <f t="shared" si="42"/>
        <v>0</v>
      </c>
      <c r="AC106" s="334" t="e">
        <f t="shared" si="43"/>
        <v>#DIV/0!</v>
      </c>
      <c r="AD106" s="333">
        <f t="shared" si="44"/>
        <v>0</v>
      </c>
      <c r="AE106" s="333">
        <f t="shared" si="45"/>
        <v>0</v>
      </c>
    </row>
    <row r="107" spans="26:31" ht="15.75" customHeight="1" x14ac:dyDescent="0.2">
      <c r="Z107" s="335" t="e">
        <f t="shared" si="40"/>
        <v>#DIV/0!</v>
      </c>
      <c r="AA107" s="333">
        <f t="shared" si="41"/>
        <v>0</v>
      </c>
      <c r="AB107" s="333">
        <f t="shared" si="42"/>
        <v>0</v>
      </c>
      <c r="AC107" s="334" t="e">
        <f t="shared" si="43"/>
        <v>#DIV/0!</v>
      </c>
      <c r="AD107" s="337"/>
      <c r="AE107" s="337"/>
    </row>
    <row r="108" spans="26:31" ht="15.75" customHeight="1" x14ac:dyDescent="0.2">
      <c r="Z108" s="335" t="e">
        <f t="shared" si="40"/>
        <v>#DIV/0!</v>
      </c>
      <c r="AA108" s="333">
        <f t="shared" si="41"/>
        <v>0</v>
      </c>
      <c r="AB108" s="333">
        <f t="shared" si="42"/>
        <v>0</v>
      </c>
      <c r="AC108" s="334" t="e">
        <f t="shared" si="43"/>
        <v>#DIV/0!</v>
      </c>
    </row>
    <row r="109" spans="26:31" ht="15.75" customHeight="1" x14ac:dyDescent="0.2">
      <c r="Z109" s="335" t="e">
        <f t="shared" si="40"/>
        <v>#DIV/0!</v>
      </c>
      <c r="AA109" s="333">
        <f t="shared" si="41"/>
        <v>0</v>
      </c>
      <c r="AB109" s="333">
        <f t="shared" si="42"/>
        <v>0</v>
      </c>
      <c r="AC109" s="334" t="e">
        <f t="shared" si="43"/>
        <v>#DIV/0!</v>
      </c>
      <c r="AD109" s="120"/>
      <c r="AE109" s="120"/>
    </row>
    <row r="110" spans="26:31" ht="15.75" customHeight="1" x14ac:dyDescent="0.2">
      <c r="Z110" s="335"/>
      <c r="AA110" s="335"/>
      <c r="AB110" s="335"/>
      <c r="AC110" s="337"/>
      <c r="AD110" s="45"/>
      <c r="AE110" s="354"/>
    </row>
    <row r="111" spans="26:31" ht="15.75" customHeight="1" x14ac:dyDescent="0.2">
      <c r="Z111" s="335"/>
      <c r="AA111" s="335"/>
      <c r="AB111" s="335"/>
      <c r="AC111" s="337"/>
      <c r="AD111" s="46"/>
      <c r="AE111" s="352"/>
    </row>
    <row r="112" spans="26:31" ht="15.75" customHeight="1" x14ac:dyDescent="0.2">
      <c r="Z112" s="335"/>
      <c r="AA112" s="335"/>
      <c r="AB112" s="335"/>
      <c r="AC112" s="337"/>
      <c r="AD112" s="46"/>
      <c r="AE112" s="46"/>
    </row>
    <row r="113" spans="26:31" ht="15.75" customHeight="1" x14ac:dyDescent="0.2">
      <c r="Z113" s="335"/>
      <c r="AA113" s="335"/>
      <c r="AB113" s="335"/>
      <c r="AC113" s="337"/>
    </row>
    <row r="114" spans="26:31" ht="15.75" customHeight="1" x14ac:dyDescent="0.2">
      <c r="Z114" s="335"/>
      <c r="AA114" s="335"/>
      <c r="AB114" s="335"/>
      <c r="AC114" s="335"/>
    </row>
    <row r="115" spans="26:31" ht="15.75" customHeight="1" x14ac:dyDescent="0.2">
      <c r="Z115" s="335"/>
      <c r="AA115" s="335"/>
      <c r="AB115" s="335"/>
      <c r="AC115" s="335"/>
      <c r="AE115" s="351"/>
    </row>
    <row r="116" spans="26:31" ht="15.75" customHeight="1" x14ac:dyDescent="0.2">
      <c r="Z116" s="335"/>
      <c r="AA116" s="335"/>
      <c r="AB116" s="335"/>
      <c r="AC116" s="335"/>
    </row>
    <row r="117" spans="26:31" ht="15.75" customHeight="1" x14ac:dyDescent="0.2">
      <c r="Z117" s="335"/>
      <c r="AA117" s="335"/>
      <c r="AB117" s="335"/>
      <c r="AC117" s="335"/>
    </row>
    <row r="118" spans="26:31" ht="15.75" customHeight="1" x14ac:dyDescent="0.2">
      <c r="Z118" s="337"/>
      <c r="AA118" s="337"/>
      <c r="AB118" s="337"/>
      <c r="AC118" s="337"/>
      <c r="AE118" s="351"/>
    </row>
    <row r="119" spans="26:31" ht="15.75" customHeight="1" x14ac:dyDescent="0.2">
      <c r="Z119" s="337"/>
      <c r="AA119" s="337"/>
      <c r="AB119" s="337"/>
      <c r="AC119" s="337"/>
      <c r="AE119" s="351"/>
    </row>
    <row r="121" spans="26:31" ht="15.75" customHeight="1" thickBot="1" x14ac:dyDescent="0.25">
      <c r="AB121" s="53" t="s">
        <v>117</v>
      </c>
      <c r="AC121" s="53">
        <f>AC45*$AA$77</f>
        <v>0</v>
      </c>
      <c r="AD121" s="53" t="s">
        <v>118</v>
      </c>
      <c r="AE121" s="351">
        <f>AE45*$Z$77</f>
        <v>0</v>
      </c>
    </row>
    <row r="122" spans="26:31" ht="15.75" customHeight="1" x14ac:dyDescent="0.2">
      <c r="Z122" s="328" t="s">
        <v>123</v>
      </c>
      <c r="AA122" s="329" t="s">
        <v>15</v>
      </c>
      <c r="AB122" s="329" t="s">
        <v>16</v>
      </c>
      <c r="AC122" s="329" t="s">
        <v>124</v>
      </c>
      <c r="AD122" s="329" t="s">
        <v>15</v>
      </c>
      <c r="AE122" s="330" t="s">
        <v>108</v>
      </c>
    </row>
    <row r="123" spans="26:31" ht="15.75" customHeight="1" thickBot="1" x14ac:dyDescent="0.25">
      <c r="Z123" s="331" t="s">
        <v>79</v>
      </c>
      <c r="AA123" s="249" t="s">
        <v>17</v>
      </c>
      <c r="AB123" s="249" t="s">
        <v>8</v>
      </c>
      <c r="AC123" s="249" t="s">
        <v>29</v>
      </c>
      <c r="AD123" s="249" t="s">
        <v>103</v>
      </c>
      <c r="AE123" s="332" t="s">
        <v>8</v>
      </c>
    </row>
    <row r="124" spans="26:31" ht="15.75" customHeight="1" x14ac:dyDescent="0.2">
      <c r="Z124" s="333" t="e">
        <f t="shared" ref="Z124:Z131" si="46">Z48*$AB$77</f>
        <v>#DIV/0!</v>
      </c>
      <c r="AA124" s="333">
        <f>AA48*$Z$77^3*$AA$77^1</f>
        <v>0</v>
      </c>
      <c r="AB124" s="333">
        <f>AB48*$Z$77^2*$AA$77^2</f>
        <v>0</v>
      </c>
      <c r="AC124" s="334" t="e">
        <f>1000*9.81*AA124/3600*AB124/Z124/10</f>
        <v>#DIV/0!</v>
      </c>
      <c r="AD124" s="333">
        <f>AD48*$Z$77^3*$AA$77^1</f>
        <v>0</v>
      </c>
      <c r="AE124" s="333">
        <f>AE48*$Z$77^2*$AA$77^2</f>
        <v>0</v>
      </c>
    </row>
    <row r="125" spans="26:31" ht="15.75" customHeight="1" x14ac:dyDescent="0.2">
      <c r="Z125" s="335" t="e">
        <f t="shared" si="46"/>
        <v>#DIV/0!</v>
      </c>
      <c r="AA125" s="333">
        <f t="shared" ref="AA125:AA131" si="47">AA49*$Z$77^3*$AA$77^1</f>
        <v>0</v>
      </c>
      <c r="AB125" s="333">
        <f t="shared" ref="AB125:AB131" si="48">AB49*$Z$77^2*$AA$77^2</f>
        <v>0</v>
      </c>
      <c r="AC125" s="334" t="e">
        <f t="shared" ref="AC125:AC131" si="49">1000*9.81*AA125/3600*AB125/Z125/10</f>
        <v>#DIV/0!</v>
      </c>
      <c r="AD125" s="333">
        <f t="shared" ref="AD125:AD128" si="50">AD49*$Z$77^3*$AA$77^1</f>
        <v>0</v>
      </c>
      <c r="AE125" s="333">
        <f t="shared" ref="AE125:AE128" si="51">AE49*$Z$77^2*$AA$77^2</f>
        <v>0</v>
      </c>
    </row>
    <row r="126" spans="26:31" ht="15.75" customHeight="1" x14ac:dyDescent="0.2">
      <c r="Z126" s="335" t="e">
        <f t="shared" si="46"/>
        <v>#DIV/0!</v>
      </c>
      <c r="AA126" s="333">
        <f t="shared" si="47"/>
        <v>0</v>
      </c>
      <c r="AB126" s="333">
        <f t="shared" si="48"/>
        <v>0</v>
      </c>
      <c r="AC126" s="334" t="e">
        <f t="shared" si="49"/>
        <v>#DIV/0!</v>
      </c>
      <c r="AD126" s="333">
        <f t="shared" si="50"/>
        <v>0</v>
      </c>
      <c r="AE126" s="333">
        <f t="shared" si="51"/>
        <v>0</v>
      </c>
    </row>
    <row r="127" spans="26:31" ht="15.75" customHeight="1" x14ac:dyDescent="0.2">
      <c r="Z127" s="335" t="e">
        <f t="shared" si="46"/>
        <v>#DIV/0!</v>
      </c>
      <c r="AA127" s="333">
        <f t="shared" si="47"/>
        <v>0</v>
      </c>
      <c r="AB127" s="333">
        <f t="shared" si="48"/>
        <v>0</v>
      </c>
      <c r="AC127" s="334" t="e">
        <f t="shared" si="49"/>
        <v>#DIV/0!</v>
      </c>
      <c r="AD127" s="333">
        <f>AD51*$Z$77^3*$AA$77^1</f>
        <v>0</v>
      </c>
      <c r="AE127" s="333">
        <f>AE51*$Z$77^2*$AA$77^2</f>
        <v>0</v>
      </c>
    </row>
    <row r="128" spans="26:31" ht="15.75" customHeight="1" x14ac:dyDescent="0.2">
      <c r="Z128" s="335" t="e">
        <f t="shared" si="46"/>
        <v>#DIV/0!</v>
      </c>
      <c r="AA128" s="333">
        <f t="shared" si="47"/>
        <v>0</v>
      </c>
      <c r="AB128" s="333">
        <f t="shared" si="48"/>
        <v>0</v>
      </c>
      <c r="AC128" s="334" t="e">
        <f t="shared" si="49"/>
        <v>#DIV/0!</v>
      </c>
      <c r="AD128" s="333">
        <f t="shared" si="50"/>
        <v>0</v>
      </c>
      <c r="AE128" s="333">
        <f t="shared" si="51"/>
        <v>0</v>
      </c>
    </row>
    <row r="129" spans="26:31" ht="15.75" customHeight="1" x14ac:dyDescent="0.2">
      <c r="Z129" s="335" t="e">
        <f t="shared" si="46"/>
        <v>#DIV/0!</v>
      </c>
      <c r="AA129" s="333">
        <f t="shared" si="47"/>
        <v>0</v>
      </c>
      <c r="AB129" s="333">
        <f t="shared" si="48"/>
        <v>0</v>
      </c>
      <c r="AC129" s="334" t="e">
        <f t="shared" si="49"/>
        <v>#DIV/0!</v>
      </c>
      <c r="AD129" s="337"/>
      <c r="AE129" s="337"/>
    </row>
    <row r="130" spans="26:31" ht="15.75" customHeight="1" x14ac:dyDescent="0.2">
      <c r="Z130" s="335" t="e">
        <f t="shared" si="46"/>
        <v>#DIV/0!</v>
      </c>
      <c r="AA130" s="333">
        <f t="shared" si="47"/>
        <v>0</v>
      </c>
      <c r="AB130" s="333">
        <f t="shared" si="48"/>
        <v>0</v>
      </c>
      <c r="AC130" s="334" t="e">
        <f t="shared" si="49"/>
        <v>#DIV/0!</v>
      </c>
    </row>
    <row r="131" spans="26:31" ht="15.75" customHeight="1" x14ac:dyDescent="0.2">
      <c r="Z131" s="335" t="e">
        <f t="shared" si="46"/>
        <v>#DIV/0!</v>
      </c>
      <c r="AA131" s="333">
        <f t="shared" si="47"/>
        <v>0</v>
      </c>
      <c r="AB131" s="333">
        <f t="shared" si="48"/>
        <v>0</v>
      </c>
      <c r="AC131" s="334" t="e">
        <f t="shared" si="49"/>
        <v>#DIV/0!</v>
      </c>
      <c r="AD131" s="120"/>
      <c r="AE131" s="120"/>
    </row>
    <row r="132" spans="26:31" ht="15.75" customHeight="1" x14ac:dyDescent="0.2">
      <c r="Z132" s="335"/>
      <c r="AA132" s="335"/>
      <c r="AB132" s="335"/>
      <c r="AC132" s="337"/>
      <c r="AD132" s="45"/>
      <c r="AE132" s="354"/>
    </row>
    <row r="133" spans="26:31" ht="15.75" customHeight="1" x14ac:dyDescent="0.2">
      <c r="Z133" s="335"/>
      <c r="AA133" s="335"/>
      <c r="AB133" s="335"/>
      <c r="AC133" s="337"/>
      <c r="AD133" s="46"/>
      <c r="AE133" s="352"/>
    </row>
    <row r="134" spans="26:31" ht="15.75" customHeight="1" x14ac:dyDescent="0.2">
      <c r="Z134" s="335"/>
      <c r="AA134" s="335"/>
      <c r="AB134" s="335"/>
      <c r="AC134" s="337"/>
      <c r="AD134" s="46"/>
      <c r="AE134" s="46"/>
    </row>
    <row r="135" spans="26:31" ht="15.75" customHeight="1" x14ac:dyDescent="0.2">
      <c r="Z135" s="335"/>
      <c r="AA135" s="335"/>
      <c r="AB135" s="335"/>
      <c r="AC135" s="337"/>
    </row>
    <row r="136" spans="26:31" ht="15.75" customHeight="1" x14ac:dyDescent="0.2">
      <c r="Z136" s="335"/>
      <c r="AA136" s="335"/>
      <c r="AB136" s="335"/>
      <c r="AC136" s="335"/>
    </row>
    <row r="137" spans="26:31" ht="15.75" customHeight="1" x14ac:dyDescent="0.2">
      <c r="Z137" s="335"/>
      <c r="AA137" s="335"/>
      <c r="AB137" s="335"/>
      <c r="AC137" s="335"/>
      <c r="AE137" s="351"/>
    </row>
    <row r="138" spans="26:31" ht="15.75" customHeight="1" x14ac:dyDescent="0.2">
      <c r="Z138" s="335"/>
      <c r="AA138" s="335"/>
      <c r="AB138" s="335"/>
      <c r="AC138" s="335"/>
    </row>
    <row r="139" spans="26:31" ht="15.75" customHeight="1" x14ac:dyDescent="0.2">
      <c r="Z139" s="335"/>
      <c r="AA139" s="335"/>
      <c r="AB139" s="335"/>
      <c r="AC139" s="335"/>
    </row>
    <row r="140" spans="26:31" ht="15.75" customHeight="1" x14ac:dyDescent="0.2">
      <c r="Z140" s="337"/>
      <c r="AA140" s="337"/>
      <c r="AB140" s="337"/>
      <c r="AC140" s="337"/>
      <c r="AE140" s="351"/>
    </row>
    <row r="141" spans="26:31" ht="15.75" customHeight="1" x14ac:dyDescent="0.2">
      <c r="Z141" s="337"/>
      <c r="AA141" s="337"/>
      <c r="AB141" s="337"/>
      <c r="AC141" s="337"/>
      <c r="AE141" s="351"/>
    </row>
  </sheetData>
  <mergeCells count="45">
    <mergeCell ref="C2:L2"/>
    <mergeCell ref="AR1:AU1"/>
    <mergeCell ref="AY1:BB1"/>
    <mergeCell ref="R2:S3"/>
    <mergeCell ref="B3:L3"/>
    <mergeCell ref="N3:N6"/>
    <mergeCell ref="O3:O6"/>
    <mergeCell ref="P3:P6"/>
    <mergeCell ref="B6:D6"/>
    <mergeCell ref="I6:K6"/>
    <mergeCell ref="B4:C4"/>
    <mergeCell ref="I4:J4"/>
    <mergeCell ref="R4:S4"/>
    <mergeCell ref="I5:J5"/>
    <mergeCell ref="B7:C7"/>
    <mergeCell ref="I7:K7"/>
    <mergeCell ref="R7:U7"/>
    <mergeCell ref="B8:D8"/>
    <mergeCell ref="I8:J8"/>
    <mergeCell ref="A10:A11"/>
    <mergeCell ref="N10:N11"/>
    <mergeCell ref="O10:O11"/>
    <mergeCell ref="P10:P11"/>
    <mergeCell ref="Q10:Q11"/>
    <mergeCell ref="V32:V33"/>
    <mergeCell ref="N23:N24"/>
    <mergeCell ref="R25:R26"/>
    <mergeCell ref="S25:S26"/>
    <mergeCell ref="T25:U25"/>
    <mergeCell ref="T26:U26"/>
    <mergeCell ref="T27:U27"/>
    <mergeCell ref="R32:R33"/>
    <mergeCell ref="S32:S33"/>
    <mergeCell ref="T32:T33"/>
    <mergeCell ref="U32:U33"/>
    <mergeCell ref="R56:V56"/>
    <mergeCell ref="N36:N37"/>
    <mergeCell ref="R38:R41"/>
    <mergeCell ref="S38:S41"/>
    <mergeCell ref="T38:T41"/>
    <mergeCell ref="U38:U41"/>
    <mergeCell ref="R44:U44"/>
    <mergeCell ref="N49:N50"/>
    <mergeCell ref="O49:O50"/>
    <mergeCell ref="P49:P50"/>
  </mergeCells>
  <conditionalFormatting sqref="L11">
    <cfRule type="cellIs" dxfId="1" priority="1" operator="notBetween">
      <formula>$L$10-$P$22</formula>
      <formula>$L$10+$P$22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E736E-A36C-4E63-BFA8-56786E7AFCAC}">
  <sheetPr codeName="Foglio20"/>
  <dimension ref="A1:BD141"/>
  <sheetViews>
    <sheetView zoomScale="55" zoomScaleNormal="55" workbookViewId="0">
      <selection activeCell="E29" sqref="E29"/>
    </sheetView>
  </sheetViews>
  <sheetFormatPr defaultColWidth="9.140625" defaultRowHeight="15.75" customHeight="1" x14ac:dyDescent="0.2"/>
  <cols>
    <col min="1" max="1" width="13.5703125" style="53" customWidth="1"/>
    <col min="2" max="2" width="9.28515625" style="53" bestFit="1" customWidth="1"/>
    <col min="3" max="3" width="12.7109375" style="53" bestFit="1" customWidth="1"/>
    <col min="4" max="4" width="12.140625" style="53" customWidth="1"/>
    <col min="5" max="6" width="9.28515625" style="53" bestFit="1" customWidth="1"/>
    <col min="7" max="8" width="10.28515625" style="53" bestFit="1" customWidth="1"/>
    <col min="9" max="9" width="9.28515625" style="53" bestFit="1" customWidth="1"/>
    <col min="10" max="10" width="9.42578125" style="53" bestFit="1" customWidth="1"/>
    <col min="11" max="12" width="9.28515625" style="53" bestFit="1" customWidth="1"/>
    <col min="13" max="13" width="3.7109375" style="53" customWidth="1"/>
    <col min="14" max="14" width="16.85546875" style="76" customWidth="1"/>
    <col min="15" max="15" width="11.7109375" style="76" customWidth="1"/>
    <col min="16" max="16" width="22" style="76" bestFit="1" customWidth="1"/>
    <col min="17" max="17" width="2.42578125" style="53" customWidth="1"/>
    <col min="18" max="18" width="20.7109375" style="53" customWidth="1"/>
    <col min="19" max="19" width="24.42578125" style="53" customWidth="1"/>
    <col min="20" max="20" width="18.5703125" style="53" customWidth="1"/>
    <col min="21" max="21" width="18.85546875" style="53" customWidth="1"/>
    <col min="22" max="22" width="17" style="53" customWidth="1"/>
    <col min="23" max="23" width="19" style="53" customWidth="1"/>
    <col min="24" max="24" width="3.28515625" style="569" customWidth="1"/>
    <col min="25" max="34" width="9.140625" style="53"/>
    <col min="35" max="49" width="9.140625" style="53" customWidth="1"/>
    <col min="50" max="16384" width="9.140625" style="53"/>
  </cols>
  <sheetData>
    <row r="1" spans="1:56" ht="15.75" customHeight="1" thickBot="1" x14ac:dyDescent="0.25">
      <c r="A1" s="189"/>
      <c r="B1" s="189"/>
      <c r="Z1" s="348" t="s">
        <v>116</v>
      </c>
      <c r="AA1" s="349"/>
      <c r="AB1" s="349" t="s">
        <v>117</v>
      </c>
      <c r="AC1" s="350">
        <v>1485</v>
      </c>
      <c r="AD1" s="326" t="s">
        <v>118</v>
      </c>
      <c r="AE1" s="327">
        <v>399.3</v>
      </c>
      <c r="AH1" s="53" t="s">
        <v>119</v>
      </c>
      <c r="AI1" s="358" t="str">
        <f>+AI23</f>
        <v>P27348.01-27C1PP53.B</v>
      </c>
      <c r="AJ1" s="358"/>
      <c r="AK1" s="358" t="s">
        <v>117</v>
      </c>
      <c r="AL1" s="358">
        <f>+$K$8</f>
        <v>1180</v>
      </c>
      <c r="AM1" s="326" t="s">
        <v>120</v>
      </c>
      <c r="AN1" s="359">
        <f>+AN23</f>
        <v>895.42599999999993</v>
      </c>
      <c r="AR1" s="656"/>
      <c r="AS1" s="656"/>
      <c r="AT1" s="656"/>
      <c r="AU1" s="656"/>
      <c r="AV1" s="326"/>
      <c r="AW1" s="327"/>
      <c r="AY1" s="656"/>
      <c r="AZ1" s="656"/>
      <c r="BA1" s="656"/>
      <c r="BB1" s="656"/>
      <c r="BC1" s="326"/>
      <c r="BD1" s="327"/>
    </row>
    <row r="2" spans="1:56" ht="26.25" thickBot="1" x14ac:dyDescent="0.25">
      <c r="B2" s="347" t="s">
        <v>121</v>
      </c>
      <c r="C2" s="654"/>
      <c r="D2" s="655"/>
      <c r="E2" s="655"/>
      <c r="F2" s="655"/>
      <c r="G2" s="655"/>
      <c r="H2" s="655"/>
      <c r="I2" s="655"/>
      <c r="J2" s="655"/>
      <c r="K2" s="655"/>
      <c r="L2" s="655"/>
      <c r="R2" s="657" t="s">
        <v>122</v>
      </c>
      <c r="S2" s="658"/>
      <c r="U2" s="229" t="s">
        <v>10</v>
      </c>
      <c r="V2" s="197" t="s">
        <v>8</v>
      </c>
      <c r="Y2" s="53" t="s">
        <v>30</v>
      </c>
      <c r="Z2" s="328" t="s">
        <v>123</v>
      </c>
      <c r="AA2" s="329" t="s">
        <v>15</v>
      </c>
      <c r="AB2" s="329" t="s">
        <v>16</v>
      </c>
      <c r="AC2" s="329" t="s">
        <v>124</v>
      </c>
      <c r="AD2" s="329" t="s">
        <v>15</v>
      </c>
      <c r="AE2" s="330" t="s">
        <v>108</v>
      </c>
      <c r="AF2" s="53" t="s">
        <v>125</v>
      </c>
      <c r="AH2" s="53" t="e">
        <f>+(1-(1-MAX(AI$26:AI$43)/100)*(0.3+0.7*(AL$1/AL$23)^-0.2))/(MAX(AI$26:AI$43)/100)</f>
        <v>#DIV/0!</v>
      </c>
      <c r="AI2" s="328" t="s">
        <v>123</v>
      </c>
      <c r="AJ2" s="329" t="s">
        <v>15</v>
      </c>
      <c r="AK2" s="329" t="s">
        <v>16</v>
      </c>
      <c r="AL2" s="329" t="s">
        <v>124</v>
      </c>
      <c r="AM2" s="329" t="s">
        <v>15</v>
      </c>
      <c r="AN2" s="330" t="s">
        <v>108</v>
      </c>
      <c r="AR2" s="328" t="s">
        <v>123</v>
      </c>
      <c r="AS2" s="329" t="s">
        <v>15</v>
      </c>
      <c r="AT2" s="329" t="s">
        <v>16</v>
      </c>
      <c r="AU2" s="329" t="s">
        <v>124</v>
      </c>
      <c r="AV2" s="329" t="s">
        <v>15</v>
      </c>
      <c r="AW2" s="330" t="s">
        <v>108</v>
      </c>
      <c r="AY2" s="328" t="s">
        <v>123</v>
      </c>
      <c r="AZ2" s="329" t="s">
        <v>15</v>
      </c>
      <c r="BA2" s="329" t="s">
        <v>16</v>
      </c>
      <c r="BB2" s="329" t="s">
        <v>124</v>
      </c>
      <c r="BC2" s="329" t="s">
        <v>15</v>
      </c>
      <c r="BD2" s="330" t="s">
        <v>108</v>
      </c>
    </row>
    <row r="3" spans="1:56" ht="15.75" customHeight="1" thickBot="1" x14ac:dyDescent="0.25">
      <c r="B3" s="661" t="s">
        <v>1</v>
      </c>
      <c r="C3" s="662"/>
      <c r="D3" s="662"/>
      <c r="E3" s="662"/>
      <c r="F3" s="662"/>
      <c r="G3" s="662"/>
      <c r="H3" s="662"/>
      <c r="I3" s="662"/>
      <c r="J3" s="662"/>
      <c r="K3" s="662"/>
      <c r="L3" s="663"/>
      <c r="N3" s="664" t="s">
        <v>126</v>
      </c>
      <c r="O3" s="619" t="s">
        <v>127</v>
      </c>
      <c r="P3" s="619" t="s">
        <v>128</v>
      </c>
      <c r="R3" s="659"/>
      <c r="S3" s="660"/>
      <c r="U3" s="230"/>
      <c r="V3" s="231"/>
      <c r="Y3" s="351" t="e">
        <f>INDEX(Y4:Y11,MATCH(MAX(Z4:Z11),Z4:Z11,0))</f>
        <v>#N/A</v>
      </c>
      <c r="Z3" s="331" t="s">
        <v>79</v>
      </c>
      <c r="AA3" s="249" t="s">
        <v>17</v>
      </c>
      <c r="AB3" s="249" t="s">
        <v>8</v>
      </c>
      <c r="AC3" s="249" t="s">
        <v>29</v>
      </c>
      <c r="AD3" s="249" t="s">
        <v>103</v>
      </c>
      <c r="AE3" s="332" t="s">
        <v>8</v>
      </c>
      <c r="AF3" s="351" t="e">
        <f>INDEX(AF4:AF11,MATCH(AE18,AD4:AD11,0))</f>
        <v>#N/A</v>
      </c>
      <c r="AI3" s="331" t="s">
        <v>79</v>
      </c>
      <c r="AJ3" s="249" t="s">
        <v>17</v>
      </c>
      <c r="AK3" s="249" t="s">
        <v>8</v>
      </c>
      <c r="AL3" s="249" t="s">
        <v>29</v>
      </c>
      <c r="AM3" s="249" t="s">
        <v>103</v>
      </c>
      <c r="AN3" s="332" t="s">
        <v>8</v>
      </c>
      <c r="AR3" s="331" t="s">
        <v>79</v>
      </c>
      <c r="AS3" s="249" t="s">
        <v>17</v>
      </c>
      <c r="AT3" s="249" t="s">
        <v>8</v>
      </c>
      <c r="AU3" s="249" t="s">
        <v>29</v>
      </c>
      <c r="AV3" s="249" t="s">
        <v>103</v>
      </c>
      <c r="AW3" s="332" t="s">
        <v>8</v>
      </c>
      <c r="AY3" s="331" t="s">
        <v>79</v>
      </c>
      <c r="AZ3" s="249" t="s">
        <v>17</v>
      </c>
      <c r="BA3" s="249" t="s">
        <v>8</v>
      </c>
      <c r="BB3" s="249" t="s">
        <v>29</v>
      </c>
      <c r="BC3" s="249" t="s">
        <v>103</v>
      </c>
      <c r="BD3" s="332" t="s">
        <v>8</v>
      </c>
    </row>
    <row r="4" spans="1:56" ht="15" x14ac:dyDescent="0.2">
      <c r="B4" s="671" t="s">
        <v>2</v>
      </c>
      <c r="C4" s="672"/>
      <c r="D4" s="146" t="s">
        <v>185</v>
      </c>
      <c r="E4" s="8" t="s">
        <v>3</v>
      </c>
      <c r="F4" s="9"/>
      <c r="G4" s="10"/>
      <c r="H4" s="148" t="s">
        <v>186</v>
      </c>
      <c r="I4" s="673" t="s">
        <v>4</v>
      </c>
      <c r="J4" s="674"/>
      <c r="K4" s="13" t="s">
        <v>5</v>
      </c>
      <c r="L4" s="14" t="s">
        <v>6</v>
      </c>
      <c r="M4" s="58"/>
      <c r="N4" s="665"/>
      <c r="O4" s="667"/>
      <c r="P4" s="667"/>
      <c r="Q4" s="58"/>
      <c r="R4" s="675" t="s">
        <v>129</v>
      </c>
      <c r="S4" s="676"/>
      <c r="U4" s="227">
        <f>E10*(1.05)^-(1/V4)</f>
        <v>431.45493782948904</v>
      </c>
      <c r="V4" s="193">
        <f>S10</f>
        <v>0.4</v>
      </c>
      <c r="Y4" s="351" t="e">
        <f t="shared" ref="Y4:Y11" si="0">$AC$1/60*(AA4/2)^0.5/AB4^0.75</f>
        <v>#DIV/0!</v>
      </c>
      <c r="Z4" s="333"/>
      <c r="AA4" s="333"/>
      <c r="AB4" s="333"/>
      <c r="AC4" s="334"/>
      <c r="AD4" s="335"/>
      <c r="AE4" s="333"/>
      <c r="AF4" s="351" t="e">
        <f>$AC$1/60*(AD4/2)^0.5/AE4^0.75</f>
        <v>#DIV/0!</v>
      </c>
      <c r="AG4" s="351"/>
      <c r="AI4" s="333" t="e">
        <f>+AI26*AH$2</f>
        <v>#DIV/0!</v>
      </c>
      <c r="AJ4" s="333">
        <f>+AJ26*(AL$1/AL$23)^1</f>
        <v>0</v>
      </c>
      <c r="AK4" s="333">
        <f>+AK26*(AL$1/AL$23)^2</f>
        <v>0</v>
      </c>
      <c r="AL4" s="334" t="e">
        <f>1000*9.81/3600*AJ4*AK4/AI4/10</f>
        <v>#DIV/0!</v>
      </c>
      <c r="AM4" s="333">
        <f>+AM26*(AL$1/AL$23)^1</f>
        <v>0</v>
      </c>
      <c r="AN4" s="333">
        <f>+AN26*(AL$1/AL$23)^2</f>
        <v>0</v>
      </c>
      <c r="AR4" s="333"/>
      <c r="AS4" s="333"/>
      <c r="AT4" s="333"/>
      <c r="AU4" s="334"/>
      <c r="AV4" s="335"/>
      <c r="AW4" s="333"/>
      <c r="AY4" s="333"/>
      <c r="AZ4" s="333"/>
      <c r="BA4" s="333"/>
      <c r="BB4" s="334"/>
      <c r="BC4" s="333"/>
      <c r="BD4" s="333"/>
    </row>
    <row r="5" spans="1:56" thickBot="1" x14ac:dyDescent="0.25">
      <c r="B5" s="15" t="s">
        <v>11</v>
      </c>
      <c r="C5" s="147" t="e">
        <v>#N/A</v>
      </c>
      <c r="D5" s="16"/>
      <c r="E5" s="17" t="s">
        <v>12</v>
      </c>
      <c r="F5" s="18"/>
      <c r="G5" s="19"/>
      <c r="H5" s="149" t="s">
        <v>187</v>
      </c>
      <c r="I5" s="677" t="s">
        <v>13</v>
      </c>
      <c r="J5" s="678"/>
      <c r="K5" s="135">
        <f>E10</f>
        <v>487.42599999999999</v>
      </c>
      <c r="L5" s="136">
        <f>E49</f>
        <v>428.93487999999996</v>
      </c>
      <c r="M5" s="92"/>
      <c r="N5" s="665"/>
      <c r="O5" s="667"/>
      <c r="P5" s="667"/>
      <c r="Q5" s="92"/>
      <c r="R5" s="428" t="s">
        <v>17</v>
      </c>
      <c r="S5" s="429" t="s">
        <v>8</v>
      </c>
      <c r="U5" s="228">
        <f>E10*(1.05)^-(1/V5)</f>
        <v>477.19507482706769</v>
      </c>
      <c r="V5" s="198">
        <v>2.2999999999999998</v>
      </c>
      <c r="Y5" s="351" t="e">
        <f t="shared" si="0"/>
        <v>#DIV/0!</v>
      </c>
      <c r="Z5" s="335"/>
      <c r="AA5" s="335"/>
      <c r="AB5" s="335"/>
      <c r="AC5" s="336"/>
      <c r="AD5" s="335"/>
      <c r="AE5" s="337"/>
      <c r="AF5" s="351" t="e">
        <f t="shared" ref="AF5:AF8" si="1">$AC$1/60*(AD5/2)^0.5/AE5^0.75</f>
        <v>#DIV/0!</v>
      </c>
      <c r="AI5" s="333" t="e">
        <f t="shared" ref="AI5:AI21" si="2">+AI27*AH$2</f>
        <v>#DIV/0!</v>
      </c>
      <c r="AJ5" s="333">
        <f t="shared" ref="AJ5:AJ21" si="3">+AJ27*(AL$1/AL$23)^1</f>
        <v>0</v>
      </c>
      <c r="AK5" s="333">
        <f t="shared" ref="AK5:AK21" si="4">+AK27*(AL$1/AL$23)^2</f>
        <v>0</v>
      </c>
      <c r="AL5" s="334" t="e">
        <f t="shared" ref="AL5:AL21" si="5">1000*9.81/3600*AJ5*AK5/AI5/10</f>
        <v>#DIV/0!</v>
      </c>
      <c r="AM5" s="333">
        <f t="shared" ref="AM5:AM21" si="6">+AM27*(AL$1/AL$23)^1</f>
        <v>0</v>
      </c>
      <c r="AN5" s="333">
        <f t="shared" ref="AN5:AN21" si="7">+AN27*(AL$1/AL$23)^2</f>
        <v>0</v>
      </c>
      <c r="AR5" s="335"/>
      <c r="AS5" s="335"/>
      <c r="AT5" s="335"/>
      <c r="AU5" s="336"/>
      <c r="AV5" s="335"/>
      <c r="AW5" s="337"/>
      <c r="AY5" s="335"/>
      <c r="AZ5" s="335"/>
      <c r="BA5" s="335"/>
      <c r="BB5" s="336"/>
      <c r="BC5" s="335"/>
      <c r="BD5" s="337"/>
    </row>
    <row r="6" spans="1:56" thickBot="1" x14ac:dyDescent="0.25">
      <c r="B6" s="644" t="s">
        <v>20</v>
      </c>
      <c r="C6" s="645"/>
      <c r="D6" s="645"/>
      <c r="E6" s="150"/>
      <c r="F6" s="25" t="s">
        <v>21</v>
      </c>
      <c r="G6" s="26" t="s">
        <v>22</v>
      </c>
      <c r="H6" s="156">
        <f>'test modello'!AC6</f>
        <v>0</v>
      </c>
      <c r="I6" s="669" t="s">
        <v>23</v>
      </c>
      <c r="J6" s="670"/>
      <c r="K6" s="670"/>
      <c r="L6" s="144">
        <v>250</v>
      </c>
      <c r="M6" s="93"/>
      <c r="N6" s="666"/>
      <c r="O6" s="668"/>
      <c r="P6" s="668"/>
      <c r="Q6" s="93"/>
      <c r="R6" s="217"/>
      <c r="S6" s="218"/>
      <c r="Y6" s="351" t="e">
        <f t="shared" si="0"/>
        <v>#DIV/0!</v>
      </c>
      <c r="Z6" s="335"/>
      <c r="AA6" s="335"/>
      <c r="AB6" s="335"/>
      <c r="AC6" s="336"/>
      <c r="AD6" s="335"/>
      <c r="AE6" s="337"/>
      <c r="AF6" s="351" t="e">
        <f t="shared" si="1"/>
        <v>#DIV/0!</v>
      </c>
      <c r="AI6" s="333" t="e">
        <f t="shared" si="2"/>
        <v>#DIV/0!</v>
      </c>
      <c r="AJ6" s="333">
        <f t="shared" si="3"/>
        <v>0</v>
      </c>
      <c r="AK6" s="333">
        <f t="shared" si="4"/>
        <v>0</v>
      </c>
      <c r="AL6" s="334" t="e">
        <f t="shared" si="5"/>
        <v>#DIV/0!</v>
      </c>
      <c r="AM6" s="333">
        <f t="shared" si="6"/>
        <v>0</v>
      </c>
      <c r="AN6" s="333">
        <f t="shared" si="7"/>
        <v>0</v>
      </c>
      <c r="AR6" s="335"/>
      <c r="AS6" s="335"/>
      <c r="AT6" s="335"/>
      <c r="AU6" s="336"/>
      <c r="AV6" s="335"/>
      <c r="AW6" s="337"/>
      <c r="AY6" s="335"/>
      <c r="AZ6" s="335"/>
      <c r="BA6" s="335"/>
      <c r="BB6" s="336"/>
      <c r="BC6" s="335"/>
      <c r="BD6" s="337"/>
    </row>
    <row r="7" spans="1:56" ht="15.75" customHeight="1" thickBot="1" x14ac:dyDescent="0.25">
      <c r="B7" s="644" t="s">
        <v>24</v>
      </c>
      <c r="C7" s="645"/>
      <c r="D7" s="32"/>
      <c r="E7" s="33" t="s">
        <v>25</v>
      </c>
      <c r="F7" s="34" t="s">
        <v>26</v>
      </c>
      <c r="G7" s="35"/>
      <c r="H7" s="36"/>
      <c r="I7" s="646" t="s">
        <v>27</v>
      </c>
      <c r="J7" s="647"/>
      <c r="K7" s="647"/>
      <c r="L7" s="145">
        <v>200</v>
      </c>
      <c r="M7" s="94"/>
      <c r="N7" s="179">
        <f>H17/('test modello'!AC17*(($E$10/'test modello'!$Z$10)*($K$8/'test modello'!$AF$8))^2)</f>
        <v>1</v>
      </c>
      <c r="O7" s="158">
        <f>MIN(2*(H17/20)^0.3,2)</f>
        <v>2</v>
      </c>
      <c r="P7" s="190">
        <v>2</v>
      </c>
      <c r="Q7" s="94"/>
      <c r="R7" s="648" t="s">
        <v>130</v>
      </c>
      <c r="S7" s="649"/>
      <c r="T7" s="649"/>
      <c r="U7" s="650"/>
      <c r="Y7" s="351" t="e">
        <f t="shared" si="0"/>
        <v>#DIV/0!</v>
      </c>
      <c r="Z7" s="335"/>
      <c r="AA7" s="335"/>
      <c r="AB7" s="335"/>
      <c r="AC7" s="336"/>
      <c r="AD7" s="335"/>
      <c r="AE7" s="337"/>
      <c r="AF7" s="351" t="e">
        <f t="shared" si="1"/>
        <v>#DIV/0!</v>
      </c>
      <c r="AI7" s="333" t="e">
        <f t="shared" si="2"/>
        <v>#DIV/0!</v>
      </c>
      <c r="AJ7" s="333">
        <f t="shared" si="3"/>
        <v>0</v>
      </c>
      <c r="AK7" s="333">
        <f t="shared" si="4"/>
        <v>0</v>
      </c>
      <c r="AL7" s="334" t="e">
        <f t="shared" si="5"/>
        <v>#DIV/0!</v>
      </c>
      <c r="AM7" s="333">
        <f t="shared" si="6"/>
        <v>0</v>
      </c>
      <c r="AN7" s="333">
        <f t="shared" si="7"/>
        <v>0</v>
      </c>
      <c r="AR7" s="335"/>
      <c r="AS7" s="335"/>
      <c r="AT7" s="335"/>
      <c r="AU7" s="336"/>
      <c r="AV7" s="335"/>
      <c r="AW7" s="337"/>
      <c r="AY7" s="335"/>
      <c r="AZ7" s="335"/>
      <c r="BA7" s="335"/>
      <c r="BB7" s="336"/>
      <c r="BC7" s="335"/>
      <c r="BD7" s="337"/>
    </row>
    <row r="8" spans="1:56" ht="15.75" customHeight="1" thickBot="1" x14ac:dyDescent="0.25">
      <c r="B8" s="651" t="s">
        <v>28</v>
      </c>
      <c r="C8" s="652"/>
      <c r="D8" s="652"/>
      <c r="E8" s="151"/>
      <c r="F8" s="40" t="s">
        <v>29</v>
      </c>
      <c r="G8" s="41" t="s">
        <v>30</v>
      </c>
      <c r="H8" s="134">
        <f>K8/60*(C17/H65)^0.5/(D17/J65)^0.75</f>
        <v>56.845454164807485</v>
      </c>
      <c r="I8" s="653" t="s">
        <v>31</v>
      </c>
      <c r="J8" s="652"/>
      <c r="K8" s="137">
        <v>1180</v>
      </c>
      <c r="L8" s="44" t="s">
        <v>32</v>
      </c>
      <c r="M8" s="58"/>
      <c r="N8" s="58"/>
      <c r="O8" s="158">
        <f>IF($E$10&lt;'test modello'!$Z$10,2*('test modello'!AC17/20)^0.3,2)</f>
        <v>2</v>
      </c>
      <c r="P8" s="190">
        <v>2</v>
      </c>
      <c r="Q8" s="58"/>
      <c r="R8" s="232" t="s">
        <v>33</v>
      </c>
      <c r="S8" s="233" t="s">
        <v>8</v>
      </c>
      <c r="T8" s="233" t="s">
        <v>8</v>
      </c>
      <c r="U8" s="65"/>
      <c r="Y8" s="351" t="e">
        <f t="shared" si="0"/>
        <v>#DIV/0!</v>
      </c>
      <c r="Z8" s="335"/>
      <c r="AA8" s="335"/>
      <c r="AB8" s="335"/>
      <c r="AC8" s="336"/>
      <c r="AD8" s="335"/>
      <c r="AE8" s="337"/>
      <c r="AF8" s="351" t="e">
        <f t="shared" si="1"/>
        <v>#DIV/0!</v>
      </c>
      <c r="AI8" s="333" t="e">
        <f t="shared" si="2"/>
        <v>#DIV/0!</v>
      </c>
      <c r="AJ8" s="333">
        <f t="shared" si="3"/>
        <v>0</v>
      </c>
      <c r="AK8" s="333">
        <f t="shared" si="4"/>
        <v>0</v>
      </c>
      <c r="AL8" s="334" t="e">
        <f t="shared" si="5"/>
        <v>#DIV/0!</v>
      </c>
      <c r="AM8" s="333">
        <f t="shared" si="6"/>
        <v>0</v>
      </c>
      <c r="AN8" s="333">
        <f t="shared" si="7"/>
        <v>0</v>
      </c>
      <c r="AR8" s="335"/>
      <c r="AS8" s="335"/>
      <c r="AT8" s="335"/>
      <c r="AU8" s="336"/>
      <c r="AV8" s="335"/>
      <c r="AW8" s="337"/>
      <c r="AY8" s="335"/>
      <c r="AZ8" s="335"/>
      <c r="BA8" s="335"/>
      <c r="BB8" s="336"/>
      <c r="BC8" s="335"/>
      <c r="BD8" s="337"/>
    </row>
    <row r="9" spans="1:56" ht="15.75" customHeight="1" thickBot="1" x14ac:dyDescent="0.25">
      <c r="B9" s="64"/>
      <c r="L9" s="65"/>
      <c r="R9" s="180" t="s">
        <v>14</v>
      </c>
      <c r="S9" s="194" t="s">
        <v>15</v>
      </c>
      <c r="T9" s="194" t="s">
        <v>16</v>
      </c>
      <c r="U9" s="65"/>
      <c r="V9" s="53" t="s">
        <v>131</v>
      </c>
      <c r="Y9" s="351" t="e">
        <f t="shared" si="0"/>
        <v>#DIV/0!</v>
      </c>
      <c r="Z9" s="335"/>
      <c r="AA9" s="335"/>
      <c r="AB9" s="335"/>
      <c r="AC9" s="336"/>
      <c r="AD9" s="337"/>
      <c r="AE9" s="337"/>
      <c r="AI9" s="333" t="e">
        <f t="shared" si="2"/>
        <v>#DIV/0!</v>
      </c>
      <c r="AJ9" s="333">
        <f t="shared" si="3"/>
        <v>0</v>
      </c>
      <c r="AK9" s="333">
        <f t="shared" si="4"/>
        <v>0</v>
      </c>
      <c r="AL9" s="334" t="e">
        <f t="shared" si="5"/>
        <v>#DIV/0!</v>
      </c>
      <c r="AM9" s="333">
        <f t="shared" si="6"/>
        <v>0</v>
      </c>
      <c r="AN9" s="333">
        <f t="shared" si="7"/>
        <v>0</v>
      </c>
      <c r="AR9" s="335"/>
      <c r="AS9" s="335"/>
      <c r="AT9" s="335"/>
      <c r="AU9" s="336"/>
      <c r="AV9" s="337"/>
      <c r="AW9" s="337"/>
      <c r="AY9" s="335"/>
      <c r="AZ9" s="335"/>
      <c r="BA9" s="335"/>
      <c r="BB9" s="336"/>
      <c r="BC9" s="337"/>
      <c r="BD9" s="337"/>
    </row>
    <row r="10" spans="1:56" ht="15.75" customHeight="1" thickBot="1" x14ac:dyDescent="0.25">
      <c r="A10" s="585" t="s">
        <v>132</v>
      </c>
      <c r="B10" s="64"/>
      <c r="C10" s="66" t="s">
        <v>4</v>
      </c>
      <c r="D10" s="67"/>
      <c r="E10" s="236">
        <f>19.19*25.4</f>
        <v>487.42599999999999</v>
      </c>
      <c r="F10" s="133">
        <f>'test modello'!AA10/'test modello'!$AG$10*'master for scaling'!$L$13</f>
        <v>0</v>
      </c>
      <c r="G10" s="133">
        <f>'test modello'!AB10/'test modello'!$AG$10*'master for scaling'!$L$13</f>
        <v>0</v>
      </c>
      <c r="H10" s="69" t="s">
        <v>36</v>
      </c>
      <c r="I10" s="68"/>
      <c r="J10" s="68"/>
      <c r="K10" s="323" t="s">
        <v>38</v>
      </c>
      <c r="L10" s="324">
        <f>E10/'test modello'!Z10*'test modello'!AG10</f>
        <v>1.0008747433264886</v>
      </c>
      <c r="N10" s="585" t="s">
        <v>133</v>
      </c>
      <c r="O10" s="639" t="s">
        <v>40</v>
      </c>
      <c r="P10" s="641" t="s">
        <v>134</v>
      </c>
      <c r="Q10" s="643"/>
      <c r="R10" s="217"/>
      <c r="S10" s="218">
        <f>'test modello'!AN10</f>
        <v>0.4</v>
      </c>
      <c r="T10" s="218">
        <f>'test modello'!AO10</f>
        <v>1.8</v>
      </c>
      <c r="U10" s="65"/>
      <c r="V10" s="279">
        <f>1-R10/E10</f>
        <v>1</v>
      </c>
      <c r="Y10" s="351" t="e">
        <f t="shared" si="0"/>
        <v>#DIV/0!</v>
      </c>
      <c r="Z10" s="335"/>
      <c r="AA10" s="335"/>
      <c r="AB10" s="335"/>
      <c r="AC10" s="337"/>
      <c r="AI10" s="333" t="e">
        <f t="shared" si="2"/>
        <v>#DIV/0!</v>
      </c>
      <c r="AJ10" s="333">
        <f t="shared" si="3"/>
        <v>0</v>
      </c>
      <c r="AK10" s="333">
        <f t="shared" si="4"/>
        <v>0</v>
      </c>
      <c r="AL10" s="334" t="e">
        <f t="shared" si="5"/>
        <v>#DIV/0!</v>
      </c>
      <c r="AM10" s="333">
        <f t="shared" si="6"/>
        <v>0</v>
      </c>
      <c r="AN10" s="333">
        <f t="shared" si="7"/>
        <v>0</v>
      </c>
      <c r="AR10" s="335"/>
      <c r="AS10" s="335"/>
      <c r="AT10" s="335"/>
      <c r="AU10" s="337"/>
      <c r="AY10" s="335"/>
      <c r="AZ10" s="335"/>
      <c r="BA10" s="335"/>
      <c r="BB10" s="337"/>
    </row>
    <row r="11" spans="1:56" ht="15.75" customHeight="1" thickBot="1" x14ac:dyDescent="0.25">
      <c r="A11" s="638"/>
      <c r="B11" s="64"/>
      <c r="C11" s="58" t="s">
        <v>48</v>
      </c>
      <c r="D11" s="58" t="s">
        <v>49</v>
      </c>
      <c r="E11" s="25" t="s">
        <v>50</v>
      </c>
      <c r="F11" s="58" t="s">
        <v>51</v>
      </c>
      <c r="G11" s="70"/>
      <c r="H11" s="70"/>
      <c r="J11" s="71"/>
      <c r="K11" s="71"/>
      <c r="L11" s="144">
        <v>1</v>
      </c>
      <c r="N11" s="586"/>
      <c r="O11" s="640"/>
      <c r="P11" s="642"/>
      <c r="Q11" s="643"/>
      <c r="R11" s="221" t="s">
        <v>15</v>
      </c>
      <c r="S11" s="222" t="s">
        <v>16</v>
      </c>
      <c r="T11" s="223" t="s">
        <v>124</v>
      </c>
      <c r="U11" s="224" t="s">
        <v>107</v>
      </c>
      <c r="Y11" s="351" t="e">
        <f t="shared" si="0"/>
        <v>#DIV/0!</v>
      </c>
      <c r="Z11" s="335"/>
      <c r="AA11" s="335"/>
      <c r="AB11" s="335"/>
      <c r="AC11" s="337"/>
      <c r="AD11" s="120"/>
      <c r="AE11" s="120"/>
      <c r="AI11" s="333" t="e">
        <f t="shared" si="2"/>
        <v>#DIV/0!</v>
      </c>
      <c r="AJ11" s="333">
        <f t="shared" si="3"/>
        <v>0</v>
      </c>
      <c r="AK11" s="333">
        <f t="shared" si="4"/>
        <v>0</v>
      </c>
      <c r="AL11" s="334" t="e">
        <f t="shared" si="5"/>
        <v>#DIV/0!</v>
      </c>
      <c r="AM11" s="333">
        <f t="shared" si="6"/>
        <v>0</v>
      </c>
      <c r="AN11" s="333">
        <f t="shared" si="7"/>
        <v>0</v>
      </c>
      <c r="AR11" s="335"/>
      <c r="AS11" s="335"/>
      <c r="AT11" s="335"/>
      <c r="AU11" s="337"/>
      <c r="AV11" s="120"/>
      <c r="AW11" s="120"/>
      <c r="AY11" s="335"/>
      <c r="AZ11" s="335"/>
      <c r="BA11" s="335"/>
      <c r="BB11" s="337"/>
      <c r="BC11" s="120"/>
      <c r="BD11" s="120"/>
    </row>
    <row r="12" spans="1:56" ht="15.75" customHeight="1" x14ac:dyDescent="0.2">
      <c r="A12" s="167">
        <f>'test modello'!Q12</f>
        <v>0</v>
      </c>
      <c r="B12" s="64"/>
      <c r="C12" s="408">
        <f>'test modello'!X12*($E$10/'test modello'!$Z$10)^3*($K$8/'test modello'!$AF$8)</f>
        <v>0</v>
      </c>
      <c r="D12" s="408">
        <f>'test modello'!Y12*($E$10/'test modello'!$Z$10)^2*($K$8/'test modello'!$AF$8)^2</f>
        <v>220.81240580054671</v>
      </c>
      <c r="E12" s="168">
        <f>FORECAST(C12,E13:E14,C13:C14)</f>
        <v>4145.6396298798127</v>
      </c>
      <c r="F12" s="408">
        <f>$F$17*N12</f>
        <v>0</v>
      </c>
      <c r="G12" s="70"/>
      <c r="H12" s="70"/>
      <c r="I12" s="78"/>
      <c r="J12" s="71"/>
      <c r="K12" s="432"/>
      <c r="L12" s="65"/>
      <c r="N12" s="131">
        <f>'test modello'!AI12</f>
        <v>0</v>
      </c>
      <c r="O12" s="112"/>
      <c r="P12" s="110"/>
      <c r="R12" s="219">
        <f t="shared" ref="R12:R19" si="8">C12*($R$10/$E$10)^$S$10</f>
        <v>0</v>
      </c>
      <c r="S12" s="220">
        <f t="shared" ref="S12:S19" si="9">D12*($R$10/$E$10)^$T$10</f>
        <v>0</v>
      </c>
      <c r="T12" s="225"/>
      <c r="U12" s="226">
        <v>0</v>
      </c>
      <c r="V12" s="58"/>
      <c r="Z12" s="335"/>
      <c r="AA12" s="335"/>
      <c r="AB12" s="335"/>
      <c r="AC12" s="337"/>
      <c r="AD12" s="45" t="s">
        <v>136</v>
      </c>
      <c r="AE12" s="354" t="e">
        <f>AD4/(INDEX(AA4:AA11,MATCH(MAX(Z4:Z11),Z4:Z11,0)))</f>
        <v>#N/A</v>
      </c>
      <c r="AI12" s="333" t="e">
        <f t="shared" si="2"/>
        <v>#DIV/0!</v>
      </c>
      <c r="AJ12" s="333">
        <f t="shared" si="3"/>
        <v>0</v>
      </c>
      <c r="AK12" s="333">
        <f t="shared" si="4"/>
        <v>0</v>
      </c>
      <c r="AL12" s="334" t="e">
        <f t="shared" si="5"/>
        <v>#DIV/0!</v>
      </c>
      <c r="AM12" s="333">
        <f t="shared" si="6"/>
        <v>0</v>
      </c>
      <c r="AN12" s="333">
        <f t="shared" si="7"/>
        <v>0</v>
      </c>
      <c r="AR12" s="335"/>
      <c r="AS12" s="335"/>
      <c r="AT12" s="335"/>
      <c r="AU12" s="337"/>
      <c r="AV12"/>
      <c r="AW12"/>
      <c r="AY12" s="335"/>
      <c r="AZ12" s="335"/>
      <c r="BA12" s="335"/>
      <c r="BB12" s="337"/>
      <c r="BC12"/>
      <c r="BD12"/>
    </row>
    <row r="13" spans="1:56" ht="15.75" customHeight="1" x14ac:dyDescent="0.2">
      <c r="A13" s="165">
        <f>'test modello'!Q13</f>
        <v>0</v>
      </c>
      <c r="B13" s="64"/>
      <c r="C13" s="408">
        <f>'test modello'!X13*($E$10/'test modello'!$Z$10)^3*($K$8/'test modello'!$AF$8)</f>
        <v>2376.0243417329757</v>
      </c>
      <c r="D13" s="408">
        <f>$D$12-($D$12-('test modello'!Y13*($E$10/'test modello'!$Z$10)^2*($K$8/'test modello'!$AF$8)^2))*(1+$S$42)</f>
        <v>191.66244416727434</v>
      </c>
      <c r="E13" s="403">
        <f t="shared" ref="E13:E19" si="10">C13/3600*D13*9.806/F13*100</f>
        <v>4004.4816254342513</v>
      </c>
      <c r="F13" s="408">
        <f>$R$42*N13*(D13/('test modello'!Y13*($E$10/'test modello'!$Z$10)^2*($K$8/'test modello'!$AF$8)^2))*100</f>
        <v>30.976403345058323</v>
      </c>
      <c r="G13" s="75" t="s">
        <v>48</v>
      </c>
      <c r="H13" s="404" t="s">
        <v>55</v>
      </c>
      <c r="I13" s="78"/>
      <c r="J13" s="71"/>
      <c r="K13" s="430"/>
      <c r="L13" s="431"/>
      <c r="N13" s="131">
        <f>'test modello'!AI13</f>
        <v>0.35001867047073643</v>
      </c>
      <c r="O13" s="113"/>
      <c r="P13" s="114"/>
      <c r="R13" s="195">
        <f t="shared" si="8"/>
        <v>0</v>
      </c>
      <c r="S13" s="220">
        <f t="shared" si="9"/>
        <v>0</v>
      </c>
      <c r="T13" s="369">
        <f t="shared" ref="T13:T19" si="11">R13/3600*S13*9.806/U13*100</f>
        <v>0</v>
      </c>
      <c r="U13" s="138">
        <f>$F$17*(1-($T$28*$V$10^2+$T$29*$V$10+$T$30))*N13*(D13/('test modello'!Y13*($E$10/'test modello'!$Z$10)^2*($K$8/'test modello'!$AF$8)^2))</f>
        <v>8.4706879933166661</v>
      </c>
      <c r="V13" s="76"/>
      <c r="W13" s="192"/>
      <c r="Z13" s="335"/>
      <c r="AA13" s="335"/>
      <c r="AB13" s="335"/>
      <c r="AC13" s="337"/>
      <c r="AD13" s="46" t="s">
        <v>138</v>
      </c>
      <c r="AE13" s="352" t="e">
        <f>MAX(AA4:AA11)/(INDEX(AA4:AA11,MATCH(MAX(Z4:Z11),Z4:Z11,0)))</f>
        <v>#N/A</v>
      </c>
      <c r="AI13" s="333" t="e">
        <f t="shared" si="2"/>
        <v>#DIV/0!</v>
      </c>
      <c r="AJ13" s="333">
        <f t="shared" si="3"/>
        <v>0</v>
      </c>
      <c r="AK13" s="333">
        <f t="shared" si="4"/>
        <v>0</v>
      </c>
      <c r="AL13" s="334" t="e">
        <f t="shared" si="5"/>
        <v>#DIV/0!</v>
      </c>
      <c r="AM13" s="333">
        <f t="shared" si="6"/>
        <v>0</v>
      </c>
      <c r="AN13" s="333">
        <f t="shared" si="7"/>
        <v>0</v>
      </c>
      <c r="AR13" s="335"/>
      <c r="AS13" s="335"/>
      <c r="AT13" s="335"/>
      <c r="AU13" s="337"/>
      <c r="AV13" s="46"/>
      <c r="AW13" s="46"/>
      <c r="AY13" s="335"/>
      <c r="AZ13" s="335"/>
      <c r="BA13" s="335"/>
      <c r="BB13" s="337"/>
      <c r="BC13" s="46"/>
      <c r="BD13" s="46"/>
    </row>
    <row r="14" spans="1:56" ht="15.75" customHeight="1" x14ac:dyDescent="0.2">
      <c r="A14" s="165">
        <f>'test modello'!Q14</f>
        <v>0</v>
      </c>
      <c r="B14" s="64"/>
      <c r="C14" s="408">
        <f>'test modello'!X14*($E$10/'test modello'!$Z$10)^3*($K$8/'test modello'!$AF$8)</f>
        <v>4752.0486834659514</v>
      </c>
      <c r="D14" s="408">
        <f>$D$12-($D$12-('test modello'!Y14*($E$10/'test modello'!$Z$10)^2*($K$8/'test modello'!$AF$8)^2))*(1+$S$42)</f>
        <v>171.00397034961244</v>
      </c>
      <c r="E14" s="403">
        <f t="shared" si="10"/>
        <v>3863.3236209886895</v>
      </c>
      <c r="F14" s="408">
        <f>$R$42*N14*(D14/('test modello'!Y14*($E$10/'test modello'!$Z$10)^2*($K$8/'test modello'!$AF$8)^2))*100</f>
        <v>57.294821909741458</v>
      </c>
      <c r="G14" s="408"/>
      <c r="H14" s="408"/>
      <c r="I14" s="78"/>
      <c r="J14" s="71"/>
      <c r="K14" s="432"/>
      <c r="L14" s="433"/>
      <c r="N14" s="131">
        <f>'test modello'!AI14</f>
        <v>0.64740432148668381</v>
      </c>
      <c r="O14" s="175">
        <f>'test modello'!AJ14</f>
        <v>0.71281342411299309</v>
      </c>
      <c r="P14" s="177">
        <f>('test modello'!AC14*(($E$10/'test modello'!$Z$10)*($K$8/'test modello'!$AF$8))^2)</f>
        <v>19.753325976317839</v>
      </c>
      <c r="R14" s="195">
        <f t="shared" si="8"/>
        <v>0</v>
      </c>
      <c r="S14" s="220">
        <f t="shared" si="9"/>
        <v>0</v>
      </c>
      <c r="T14" s="369">
        <f t="shared" si="11"/>
        <v>0</v>
      </c>
      <c r="U14" s="138">
        <f>$F$17*(1-($T$28*$V$10^2+$T$29*$V$10+$T$30))*N14*(D14/('test modello'!Y14*($E$10/'test modello'!$Z$10)^2*($K$8/'test modello'!$AF$8)^2))</f>
        <v>15.667621402776186</v>
      </c>
      <c r="V14" s="76"/>
      <c r="W14" s="192"/>
      <c r="Z14" s="335"/>
      <c r="AA14" s="335"/>
      <c r="AB14" s="335"/>
      <c r="AC14" s="337"/>
      <c r="AD14" s="46"/>
      <c r="AE14" s="46"/>
      <c r="AI14" s="333" t="e">
        <f t="shared" si="2"/>
        <v>#DIV/0!</v>
      </c>
      <c r="AJ14" s="333">
        <f t="shared" si="3"/>
        <v>0</v>
      </c>
      <c r="AK14" s="333">
        <f t="shared" si="4"/>
        <v>0</v>
      </c>
      <c r="AL14" s="334" t="e">
        <f t="shared" si="5"/>
        <v>#DIV/0!</v>
      </c>
      <c r="AM14" s="333">
        <f t="shared" si="6"/>
        <v>0</v>
      </c>
      <c r="AN14" s="333">
        <f t="shared" si="7"/>
        <v>0</v>
      </c>
      <c r="AR14" s="335"/>
      <c r="AS14" s="335"/>
      <c r="AT14" s="335"/>
      <c r="AU14" s="337"/>
      <c r="AV14" s="46"/>
      <c r="AW14" s="46"/>
      <c r="AY14" s="335"/>
      <c r="AZ14" s="335"/>
      <c r="BA14" s="335"/>
      <c r="BB14" s="337"/>
      <c r="BC14" s="46"/>
      <c r="BD14" s="46"/>
    </row>
    <row r="15" spans="1:56" ht="15.75" customHeight="1" x14ac:dyDescent="0.2">
      <c r="A15" s="165">
        <f>'test modello'!Q15</f>
        <v>0</v>
      </c>
      <c r="B15" s="319">
        <f>($D$12-D15)/D15</f>
        <v>0.4088770919091827</v>
      </c>
      <c r="C15" s="408">
        <f>'test modello'!X15*($E$10/'test modello'!$Z$10)^3*($K$8/'test modello'!$AF$8)</f>
        <v>7128.0730251989262</v>
      </c>
      <c r="D15" s="408">
        <f>$D$12-($D$12-('test modello'!Y15*($E$10/'test modello'!$Z$10)^2*($K$8/'test modello'!$AF$8)^2))*(1+$S$42)</f>
        <v>156.72936061535484</v>
      </c>
      <c r="E15" s="403">
        <f t="shared" si="10"/>
        <v>4217.6303894265211</v>
      </c>
      <c r="F15" s="408">
        <f>$R$42*N15*(D15/('test modello'!Y15*($E$10/'test modello'!$Z$10)^2*($K$8/'test modello'!$AF$8)^2))*100</f>
        <v>72.151169084106328</v>
      </c>
      <c r="G15" s="408">
        <f>'test modello'!AB15*($E$10/'test modello'!$Z$10)^3*($K$8/'test modello'!$AF$8)</f>
        <v>7128.0730251989262</v>
      </c>
      <c r="H15" s="408">
        <f>'test modello'!AC15*($E$10/'test modello'!$Z$10)^$P$8*($K$8/'test modello'!$AF$8)^$P$7</f>
        <v>21.474514900895439</v>
      </c>
      <c r="I15" s="78"/>
      <c r="J15" s="71"/>
      <c r="K15" s="432"/>
      <c r="L15" s="433"/>
      <c r="N15" s="131">
        <f>'test modello'!AI15</f>
        <v>0.81527400048388832</v>
      </c>
      <c r="O15" s="175">
        <f>'test modello'!AJ15</f>
        <v>0.77492380351666557</v>
      </c>
      <c r="P15" s="177">
        <f>('test modello'!AC15*(($E$10/'test modello'!$Z$10)*($K$8/'test modello'!$AF$8))^2)</f>
        <v>21.474514900895439</v>
      </c>
      <c r="R15" s="195">
        <f t="shared" si="8"/>
        <v>0</v>
      </c>
      <c r="S15" s="220">
        <f t="shared" si="9"/>
        <v>0</v>
      </c>
      <c r="T15" s="369">
        <f t="shared" si="11"/>
        <v>0</v>
      </c>
      <c r="U15" s="138">
        <f>$F$17*(1-($T$28*$V$10^2+$T$29*$V$10+$T$30))*N15*(D15/('test modello'!Y15*($E$10/'test modello'!$Z$10)^2*($K$8/'test modello'!$AF$8)^2))</f>
        <v>19.730180901134226</v>
      </c>
      <c r="V15" s="76"/>
      <c r="W15" s="192"/>
      <c r="Z15" s="335"/>
      <c r="AA15" s="335"/>
      <c r="AB15" s="335"/>
      <c r="AC15" s="337"/>
      <c r="AI15" s="333" t="e">
        <f t="shared" si="2"/>
        <v>#DIV/0!</v>
      </c>
      <c r="AJ15" s="333">
        <f t="shared" si="3"/>
        <v>0</v>
      </c>
      <c r="AK15" s="333">
        <f t="shared" si="4"/>
        <v>0</v>
      </c>
      <c r="AL15" s="334" t="e">
        <f t="shared" si="5"/>
        <v>#DIV/0!</v>
      </c>
      <c r="AM15" s="333">
        <f t="shared" si="6"/>
        <v>0</v>
      </c>
      <c r="AN15" s="333">
        <f t="shared" si="7"/>
        <v>0</v>
      </c>
      <c r="AR15" s="335"/>
      <c r="AS15" s="335"/>
      <c r="AT15" s="335"/>
      <c r="AU15" s="337"/>
      <c r="AY15" s="335"/>
      <c r="AZ15" s="335"/>
      <c r="BA15" s="335"/>
      <c r="BB15" s="337"/>
    </row>
    <row r="16" spans="1:56" ht="15.75" customHeight="1" x14ac:dyDescent="0.2">
      <c r="A16" s="165">
        <f>'test modello'!Q16</f>
        <v>0</v>
      </c>
      <c r="B16" s="319">
        <f>($D$12-D16)/D16</f>
        <v>0.53085492543042634</v>
      </c>
      <c r="C16" s="408">
        <f>'test modello'!X16*($E$10/'test modello'!$Z$10)^3*($K$8/'test modello'!$AF$8)</f>
        <v>9504.0973669319028</v>
      </c>
      <c r="D16" s="408">
        <f>$D$12-($D$12-('test modello'!Y16*($E$10/'test modello'!$Z$10)^2*($K$8/'test modello'!$AF$8)^2))*(1+$S$42)</f>
        <v>144.24123549033328</v>
      </c>
      <c r="E16" s="403">
        <f t="shared" si="10"/>
        <v>4492.796204301696</v>
      </c>
      <c r="F16" s="408">
        <f>$R$42*N16*(D16/('test modello'!Y16*($E$10/'test modello'!$Z$10)^2*($K$8/'test modello'!$AF$8)^2))*100</f>
        <v>83.113769491387529</v>
      </c>
      <c r="G16" s="408">
        <f>'test modello'!AB16*($E$10/'test modello'!$Z$10)^3*($K$8/'test modello'!$AF$8)</f>
        <v>9504.0973669319028</v>
      </c>
      <c r="H16" s="408">
        <f>'test modello'!AC16*($E$10/'test modello'!$Z$10)^$P$8*($K$8/'test modello'!$AF$8)^$P$7</f>
        <v>24.154326025835811</v>
      </c>
      <c r="I16" s="78"/>
      <c r="J16" s="71"/>
      <c r="K16" s="432"/>
      <c r="L16" s="433"/>
      <c r="N16" s="131">
        <f>'test modello'!AI16</f>
        <v>0.93914618721633092</v>
      </c>
      <c r="O16" s="175">
        <f>'test modello'!AJ16</f>
        <v>0.87162677628363017</v>
      </c>
      <c r="P16" s="177">
        <f>('test modello'!AC16*(($E$10/'test modello'!$Z$10)*($K$8/'test modello'!$AF$8))^2)</f>
        <v>24.154326025835811</v>
      </c>
      <c r="R16" s="195">
        <f t="shared" si="8"/>
        <v>0</v>
      </c>
      <c r="S16" s="220">
        <f t="shared" si="9"/>
        <v>0</v>
      </c>
      <c r="T16" s="369">
        <f t="shared" si="11"/>
        <v>0</v>
      </c>
      <c r="U16" s="138">
        <f>$F$17*(1-($T$28*$V$10^2+$T$29*$V$10+$T$30))*N16*(D16/('test modello'!Y16*($E$10/'test modello'!$Z$10)^2*($K$8/'test modello'!$AF$8)^2))</f>
        <v>22.727971400278779</v>
      </c>
      <c r="V16" s="76"/>
      <c r="W16" s="192"/>
      <c r="Z16" s="335"/>
      <c r="AA16" s="335"/>
      <c r="AB16" s="335"/>
      <c r="AC16" s="335"/>
      <c r="AI16" s="333" t="e">
        <f t="shared" si="2"/>
        <v>#DIV/0!</v>
      </c>
      <c r="AJ16" s="333">
        <f t="shared" si="3"/>
        <v>0</v>
      </c>
      <c r="AK16" s="333">
        <f t="shared" si="4"/>
        <v>0</v>
      </c>
      <c r="AL16" s="334" t="e">
        <f t="shared" si="5"/>
        <v>#DIV/0!</v>
      </c>
      <c r="AM16" s="333">
        <f t="shared" si="6"/>
        <v>0</v>
      </c>
      <c r="AN16" s="333">
        <f t="shared" si="7"/>
        <v>0</v>
      </c>
      <c r="AR16" s="335"/>
      <c r="AS16" s="335"/>
      <c r="AT16" s="335"/>
      <c r="AU16" s="335"/>
      <c r="AY16" s="335"/>
      <c r="AZ16" s="335"/>
      <c r="BA16" s="335"/>
      <c r="BB16" s="335"/>
    </row>
    <row r="17" spans="1:54" ht="15.75" customHeight="1" x14ac:dyDescent="0.2">
      <c r="A17" s="320">
        <f>'test modello'!Q17</f>
        <v>0</v>
      </c>
      <c r="B17" s="319">
        <f>($D$12-D17)/D17</f>
        <v>0.74620886159432243</v>
      </c>
      <c r="C17" s="408">
        <f>'test modello'!X17*($E$10/'test modello'!$Z$10)^3*($K$8/'test modello'!$AF$8)</f>
        <v>11880.121708664878</v>
      </c>
      <c r="D17" s="408">
        <f>$D$12-($D$12-('test modello'!Y17*($E$10/'test modello'!$Z$10)^2*($K$8/'test modello'!$AF$8)^2))*(1+$S$42)</f>
        <v>126.45245975841671</v>
      </c>
      <c r="E17" s="403">
        <f t="shared" si="10"/>
        <v>4623.7865773964631</v>
      </c>
      <c r="F17" s="408">
        <f>$R$42*N17*(D17/('test modello'!Y17*($E$10/'test modello'!$Z$10)^2*($K$8/'test modello'!$AF$8)^2))*100</f>
        <v>88.499288633370568</v>
      </c>
      <c r="G17" s="408">
        <f>'test modello'!AB17*($E$10/'test modello'!$Z$10)^3*($K$8/'test modello'!$AF$8)</f>
        <v>11880.121708664878</v>
      </c>
      <c r="H17" s="408">
        <f>'test modello'!AC17*($E$10/'test modello'!$Z$10)^$P$8*($K$8/'test modello'!$AF$8)^$P$7</f>
        <v>27.711776052616258</v>
      </c>
      <c r="I17" s="441"/>
      <c r="J17" s="71"/>
      <c r="K17" s="432"/>
      <c r="L17" s="433"/>
      <c r="N17" s="131">
        <f>'test modello'!AI17</f>
        <v>1</v>
      </c>
      <c r="O17" s="175">
        <f>'test modello'!AJ17</f>
        <v>1</v>
      </c>
      <c r="P17" s="177">
        <f>('test modello'!AC17*(($E$10/'test modello'!$Z$10)*($K$8/'test modello'!$AF$8))^2)</f>
        <v>27.711776052616258</v>
      </c>
      <c r="R17" s="195">
        <f t="shared" si="8"/>
        <v>0</v>
      </c>
      <c r="S17" s="220">
        <f t="shared" si="9"/>
        <v>0</v>
      </c>
      <c r="T17" s="369">
        <f t="shared" si="11"/>
        <v>0</v>
      </c>
      <c r="U17" s="138">
        <f>$F$17*(1-($T$28*$V$10^2+$T$29*$V$10+$T$30))*N17*(D17/('test modello'!Y17*($E$10/'test modello'!$Z$10)^2*($K$8/'test modello'!$AF$8)^2))</f>
        <v>24.200674729506648</v>
      </c>
      <c r="V17" s="76"/>
      <c r="W17" s="192"/>
      <c r="Z17" s="335"/>
      <c r="AA17" s="335"/>
      <c r="AB17" s="335"/>
      <c r="AC17" s="335"/>
      <c r="AD17" s="53" t="s">
        <v>30</v>
      </c>
      <c r="AE17" s="351" t="e">
        <f>Y3</f>
        <v>#N/A</v>
      </c>
      <c r="AI17" s="333" t="e">
        <f t="shared" si="2"/>
        <v>#DIV/0!</v>
      </c>
      <c r="AJ17" s="333">
        <f t="shared" si="3"/>
        <v>0</v>
      </c>
      <c r="AK17" s="333">
        <f t="shared" si="4"/>
        <v>0</v>
      </c>
      <c r="AL17" s="334" t="e">
        <f t="shared" si="5"/>
        <v>#DIV/0!</v>
      </c>
      <c r="AM17" s="333">
        <f t="shared" si="6"/>
        <v>0</v>
      </c>
      <c r="AN17" s="333">
        <f t="shared" si="7"/>
        <v>0</v>
      </c>
      <c r="AR17" s="335"/>
      <c r="AS17" s="335"/>
      <c r="AT17" s="335"/>
      <c r="AU17" s="335"/>
      <c r="AY17" s="335"/>
      <c r="AZ17" s="335"/>
      <c r="BA17" s="335"/>
      <c r="BB17" s="335"/>
    </row>
    <row r="18" spans="1:54" ht="15.75" customHeight="1" x14ac:dyDescent="0.2">
      <c r="A18" s="165">
        <f>'test modello'!Q18</f>
        <v>0</v>
      </c>
      <c r="B18" s="64"/>
      <c r="C18" s="408">
        <f>'test modello'!X18*($E$10/'test modello'!$Z$10)^3*($K$8/'test modello'!$AF$8)</f>
        <v>13662.139964964606</v>
      </c>
      <c r="D18" s="408">
        <f>$D$12-($D$12-('test modello'!Y18*($E$10/'test modello'!$Z$10)^2*($K$8/'test modello'!$AF$8)^2))*(1+$S$42)</f>
        <v>103.96483651225927</v>
      </c>
      <c r="E18" s="403">
        <f t="shared" si="10"/>
        <v>4528.5501528067807</v>
      </c>
      <c r="F18" s="408">
        <f>$R$42*N18*(D18/('test modello'!Y18*($E$10/'test modello'!$Z$10)^2*($K$8/'test modello'!$AF$8)^2))*100</f>
        <v>85.434918903306027</v>
      </c>
      <c r="G18" s="408">
        <f>'test modello'!AB18*($E$10/'test modello'!$Z$10)^3*($K$8/'test modello'!$AF$8)</f>
        <v>13662.139964964606</v>
      </c>
      <c r="H18" s="408">
        <f>'test modello'!AC18*($E$10/'test modello'!$Z$10)^$P$8*($K$8/'test modello'!$AF$8)^$P$7</f>
        <v>34.148396341751607</v>
      </c>
      <c r="I18" s="78"/>
      <c r="J18" s="71"/>
      <c r="K18" s="432"/>
      <c r="L18" s="433"/>
      <c r="N18" s="131">
        <f>'test modello'!AI18</f>
        <v>0.96537407500799888</v>
      </c>
      <c r="O18" s="175">
        <f>'test modello'!AJ18</f>
        <v>1.2322702188742489</v>
      </c>
      <c r="P18" s="177">
        <f>('test modello'!AC18*(($E$10/'test modello'!$Z$10)*($K$8/'test modello'!$AF$8))^2)</f>
        <v>34.148396341751607</v>
      </c>
      <c r="R18" s="195">
        <f t="shared" si="8"/>
        <v>0</v>
      </c>
      <c r="S18" s="220">
        <f t="shared" si="9"/>
        <v>0</v>
      </c>
      <c r="T18" s="369">
        <f t="shared" si="11"/>
        <v>0</v>
      </c>
      <c r="U18" s="138">
        <f>$F$17*(1-($T$28*$V$10^2+$T$29*$V$10+$T$30))*N18*(D18/('test modello'!Y18*($E$10/'test modello'!$Z$10)^2*($K$8/'test modello'!$AF$8)^2))</f>
        <v>23.362703981566934</v>
      </c>
      <c r="V18" s="76"/>
      <c r="W18" s="192"/>
      <c r="Z18" s="335"/>
      <c r="AA18" s="335"/>
      <c r="AB18" s="335"/>
      <c r="AC18" s="335"/>
      <c r="AD18" s="53" t="s">
        <v>75</v>
      </c>
      <c r="AE18" s="53" t="e">
        <f>INDEX(AA4:AA11,MATCH(MAX(Z4:Z11),Z4:Z11,0))</f>
        <v>#N/A</v>
      </c>
      <c r="AI18" s="333" t="e">
        <f t="shared" si="2"/>
        <v>#DIV/0!</v>
      </c>
      <c r="AJ18" s="333">
        <f t="shared" si="3"/>
        <v>0</v>
      </c>
      <c r="AK18" s="333">
        <f t="shared" si="4"/>
        <v>0</v>
      </c>
      <c r="AL18" s="334" t="e">
        <f t="shared" si="5"/>
        <v>#DIV/0!</v>
      </c>
      <c r="AM18" s="333">
        <f t="shared" si="6"/>
        <v>0</v>
      </c>
      <c r="AN18" s="333">
        <f t="shared" si="7"/>
        <v>0</v>
      </c>
      <c r="AR18" s="335"/>
      <c r="AS18" s="335"/>
      <c r="AT18" s="335"/>
      <c r="AU18" s="335"/>
      <c r="AY18" s="335"/>
      <c r="AZ18" s="335"/>
      <c r="BA18" s="335"/>
      <c r="BB18" s="335"/>
    </row>
    <row r="19" spans="1:54" ht="15.75" customHeight="1" thickBot="1" x14ac:dyDescent="0.25">
      <c r="A19" s="165">
        <f>'test modello'!Q19</f>
        <v>0</v>
      </c>
      <c r="B19" s="64"/>
      <c r="C19" s="410">
        <f>'test modello'!X19*($E$10/'test modello'!$Z$10)^3*($K$8/'test modello'!$AF$8)</f>
        <v>15444.158221264341</v>
      </c>
      <c r="D19" s="410">
        <f>$D$12-($D$12-('test modello'!Y19*($E$10/'test modello'!$Z$10)^2*($K$8/'test modello'!$AF$8)^2))*(1+$S$42)</f>
        <v>68.20033471609176</v>
      </c>
      <c r="E19" s="406">
        <f t="shared" si="10"/>
        <v>3987.845674587471</v>
      </c>
      <c r="F19" s="410">
        <f>$R$42*N19*(D19/('test modello'!Y19*($E$10/'test modello'!$Z$10)^2*($K$8/'test modello'!$AF$8)^2))*100</f>
        <v>71.945194865941929</v>
      </c>
      <c r="G19" s="410">
        <f>'test modello'!AB19*($E$10/'test modello'!$Z$10)^3*($K$8/'test modello'!$AF$8)</f>
        <v>15444.158221264341</v>
      </c>
      <c r="H19" s="410">
        <f>'test modello'!AC19*($E$10/'test modello'!$Z$10)^$P$8*($K$8/'test modello'!$AF$8)^$P$7</f>
        <v>48.464654873365504</v>
      </c>
      <c r="I19" s="78"/>
      <c r="J19" s="71"/>
      <c r="K19" s="432"/>
      <c r="L19" s="433"/>
      <c r="N19" s="132">
        <f>'test modello'!AI19</f>
        <v>0.8129465894804202</v>
      </c>
      <c r="O19" s="176">
        <f>'test modello'!AJ19</f>
        <v>1.7488830301365681</v>
      </c>
      <c r="P19" s="178">
        <f>('test modello'!AC19*(($E$10/'test modello'!$Z$10)*($K$8/'test modello'!$AF$8))^2)</f>
        <v>48.464654873365504</v>
      </c>
      <c r="R19" s="196">
        <f t="shared" si="8"/>
        <v>0</v>
      </c>
      <c r="S19" s="220">
        <f t="shared" si="9"/>
        <v>0</v>
      </c>
      <c r="T19" s="434">
        <f t="shared" si="11"/>
        <v>0</v>
      </c>
      <c r="U19" s="138">
        <f>$F$17*(1-($T$28*$V$10^2+$T$29*$V$10+$T$30))*N19*(D19/('test modello'!Y19*($E$10/'test modello'!$Z$10)^2*($K$8/'test modello'!$AF$8)^2))</f>
        <v>19.673855984477424</v>
      </c>
      <c r="V19" s="76"/>
      <c r="W19" s="192"/>
      <c r="Z19" s="335"/>
      <c r="AA19" s="335"/>
      <c r="AB19" s="335"/>
      <c r="AC19" s="335"/>
      <c r="AD19" s="53" t="s">
        <v>76</v>
      </c>
      <c r="AE19" s="53" t="e">
        <f>INDEX(AB4:AB11,MATCH(MAX(Z4:Z11),Z4:Z11,0))</f>
        <v>#N/A</v>
      </c>
      <c r="AI19" s="333" t="e">
        <f t="shared" si="2"/>
        <v>#DIV/0!</v>
      </c>
      <c r="AJ19" s="333">
        <f t="shared" si="3"/>
        <v>0</v>
      </c>
      <c r="AK19" s="333">
        <f t="shared" si="4"/>
        <v>0</v>
      </c>
      <c r="AL19" s="334" t="e">
        <f t="shared" si="5"/>
        <v>#DIV/0!</v>
      </c>
      <c r="AM19" s="333">
        <f t="shared" si="6"/>
        <v>0</v>
      </c>
      <c r="AN19" s="333">
        <f t="shared" si="7"/>
        <v>0</v>
      </c>
      <c r="AR19" s="335"/>
      <c r="AS19" s="335"/>
      <c r="AT19" s="335"/>
      <c r="AU19" s="335"/>
      <c r="AY19" s="335"/>
      <c r="AZ19" s="335"/>
      <c r="BA19" s="335"/>
      <c r="BB19" s="335"/>
    </row>
    <row r="20" spans="1:54" ht="15.75" customHeight="1" thickBot="1" x14ac:dyDescent="0.25">
      <c r="A20" s="166"/>
      <c r="B20" s="64"/>
      <c r="C20" s="70"/>
      <c r="D20" s="70"/>
      <c r="E20" s="70"/>
      <c r="F20" s="70"/>
      <c r="G20" s="78"/>
      <c r="H20" s="70"/>
      <c r="J20" s="71"/>
      <c r="K20" s="435"/>
      <c r="L20" s="433"/>
      <c r="N20" s="111"/>
      <c r="O20" s="111"/>
      <c r="P20" s="111"/>
      <c r="S20" s="405"/>
      <c r="T20" s="405"/>
      <c r="U20" s="75"/>
      <c r="V20" s="404"/>
      <c r="W20" s="89"/>
      <c r="Z20" s="337"/>
      <c r="AA20" s="337"/>
      <c r="AB20" s="337"/>
      <c r="AC20" s="337"/>
      <c r="AD20" s="53" t="s">
        <v>139</v>
      </c>
      <c r="AE20" s="351">
        <f>MAX(Z4:Z11)</f>
        <v>0</v>
      </c>
      <c r="AI20" s="333" t="e">
        <f t="shared" si="2"/>
        <v>#DIV/0!</v>
      </c>
      <c r="AJ20" s="333">
        <f t="shared" si="3"/>
        <v>0</v>
      </c>
      <c r="AK20" s="333">
        <f t="shared" si="4"/>
        <v>0</v>
      </c>
      <c r="AL20" s="334" t="e">
        <f t="shared" si="5"/>
        <v>#DIV/0!</v>
      </c>
      <c r="AM20" s="333">
        <f t="shared" si="6"/>
        <v>0</v>
      </c>
      <c r="AN20" s="333">
        <f t="shared" si="7"/>
        <v>0</v>
      </c>
      <c r="AR20" s="337"/>
      <c r="AS20" s="337"/>
      <c r="AT20" s="337"/>
      <c r="AU20" s="337"/>
      <c r="AY20" s="337"/>
      <c r="AZ20" s="337"/>
      <c r="BA20" s="337"/>
      <c r="BB20" s="337"/>
    </row>
    <row r="21" spans="1:54" ht="15.75" customHeight="1" x14ac:dyDescent="0.2">
      <c r="A21" s="166"/>
      <c r="B21" s="64"/>
      <c r="C21" s="70"/>
      <c r="D21" s="70"/>
      <c r="E21" s="70"/>
      <c r="F21" s="70"/>
      <c r="G21" s="78"/>
      <c r="H21" s="70"/>
      <c r="J21" s="74"/>
      <c r="K21" s="74"/>
      <c r="L21" s="65"/>
      <c r="N21" s="111"/>
      <c r="O21" s="111"/>
      <c r="P21" s="340" t="s">
        <v>58</v>
      </c>
      <c r="R21" s="115" t="s">
        <v>34</v>
      </c>
      <c r="S21" s="116"/>
      <c r="T21" s="116" t="s">
        <v>52</v>
      </c>
      <c r="U21" s="117" t="s">
        <v>53</v>
      </c>
      <c r="W21" s="76"/>
      <c r="Z21" s="337"/>
      <c r="AA21" s="337"/>
      <c r="AB21" s="337"/>
      <c r="AC21" s="337"/>
      <c r="AD21" s="53" t="s">
        <v>125</v>
      </c>
      <c r="AE21" s="351" t="e">
        <f>AF3</f>
        <v>#N/A</v>
      </c>
      <c r="AI21" s="333" t="e">
        <f t="shared" si="2"/>
        <v>#DIV/0!</v>
      </c>
      <c r="AJ21" s="333">
        <f t="shared" si="3"/>
        <v>0</v>
      </c>
      <c r="AK21" s="333">
        <f t="shared" si="4"/>
        <v>0</v>
      </c>
      <c r="AL21" s="334" t="e">
        <f t="shared" si="5"/>
        <v>#DIV/0!</v>
      </c>
      <c r="AM21" s="333">
        <f t="shared" si="6"/>
        <v>0</v>
      </c>
      <c r="AN21" s="333">
        <f t="shared" si="7"/>
        <v>0</v>
      </c>
      <c r="AR21" s="337"/>
      <c r="AS21" s="337"/>
      <c r="AT21" s="337"/>
      <c r="AU21" s="337"/>
      <c r="AY21" s="337"/>
      <c r="AZ21" s="337"/>
      <c r="BA21" s="337"/>
      <c r="BB21" s="337"/>
    </row>
    <row r="22" spans="1:54" ht="13.5" thickBot="1" x14ac:dyDescent="0.25">
      <c r="A22" s="166"/>
      <c r="B22" s="64"/>
      <c r="C22" s="70"/>
      <c r="D22" s="70"/>
      <c r="E22" s="70"/>
      <c r="F22" s="70"/>
      <c r="G22" s="78"/>
      <c r="H22" s="70"/>
      <c r="J22" s="74"/>
      <c r="K22" s="74"/>
      <c r="L22" s="65"/>
      <c r="N22" s="111"/>
      <c r="O22" s="111"/>
      <c r="P22" s="342">
        <f>+'test modello'!AK23</f>
        <v>5.0000000000000001E-3</v>
      </c>
      <c r="R22" s="143">
        <f>MAX(C12:C19)</f>
        <v>15444.158221264341</v>
      </c>
      <c r="S22" s="63" t="s">
        <v>54</v>
      </c>
      <c r="T22" s="215">
        <f>L6</f>
        <v>250</v>
      </c>
      <c r="U22" s="141">
        <f>R22/3600/(T22/1000)^2/PI()*4</f>
        <v>87.396057699824127</v>
      </c>
      <c r="W22" s="76"/>
    </row>
    <row r="23" spans="1:54" ht="15.75" customHeight="1" thickBot="1" x14ac:dyDescent="0.25">
      <c r="A23" s="166"/>
      <c r="B23" s="64"/>
      <c r="C23" s="66" t="s">
        <v>4</v>
      </c>
      <c r="D23" s="67"/>
      <c r="E23" s="345">
        <f>E10*(1-'test modello'!L17)</f>
        <v>458.18043999999998</v>
      </c>
      <c r="F23" s="79"/>
      <c r="G23" s="80"/>
      <c r="H23" s="69" t="s">
        <v>59</v>
      </c>
      <c r="I23" s="68"/>
      <c r="J23" s="77"/>
      <c r="K23" s="77"/>
      <c r="L23" s="65"/>
      <c r="N23" s="585" t="s">
        <v>133</v>
      </c>
      <c r="O23" s="103"/>
      <c r="P23" s="103"/>
      <c r="R23" s="118"/>
      <c r="S23" s="119" t="s">
        <v>56</v>
      </c>
      <c r="T23" s="216">
        <f>L7</f>
        <v>200</v>
      </c>
      <c r="U23" s="142">
        <f>R22/3600/(T23/1000)^2/PI()*4</f>
        <v>136.55634015597516</v>
      </c>
      <c r="W23" s="76"/>
      <c r="Z23" s="348" t="s">
        <v>158</v>
      </c>
      <c r="AA23" s="349"/>
      <c r="AB23" s="349" t="s">
        <v>117</v>
      </c>
      <c r="AC23" s="350"/>
      <c r="AD23" s="326" t="s">
        <v>118</v>
      </c>
      <c r="AE23" s="327"/>
      <c r="AI23" s="348" t="s">
        <v>188</v>
      </c>
      <c r="AJ23" s="349"/>
      <c r="AK23" s="349" t="s">
        <v>117</v>
      </c>
      <c r="AL23" s="350">
        <v>1480</v>
      </c>
      <c r="AM23" s="326" t="s">
        <v>118</v>
      </c>
      <c r="AN23" s="359">
        <f>+AO23-F10+E10</f>
        <v>895.42599999999993</v>
      </c>
      <c r="AO23" s="53">
        <v>408</v>
      </c>
    </row>
    <row r="24" spans="1:54" ht="16.5" thickBot="1" x14ac:dyDescent="0.25">
      <c r="A24" s="166"/>
      <c r="B24" s="64"/>
      <c r="C24" s="25" t="s">
        <v>48</v>
      </c>
      <c r="D24" s="25" t="s">
        <v>49</v>
      </c>
      <c r="E24" s="58" t="s">
        <v>50</v>
      </c>
      <c r="F24" s="58" t="s">
        <v>51</v>
      </c>
      <c r="G24" s="81"/>
      <c r="H24" s="82"/>
      <c r="I24" s="83"/>
      <c r="J24" s="84"/>
      <c r="K24" s="84"/>
      <c r="L24" s="65"/>
      <c r="N24" s="586"/>
      <c r="O24" s="103"/>
      <c r="P24" s="103"/>
      <c r="S24" s="55"/>
      <c r="T24" s="85"/>
      <c r="U24" s="86"/>
      <c r="W24" s="76"/>
      <c r="Y24" s="53" t="s">
        <v>30</v>
      </c>
      <c r="Z24" s="328" t="s">
        <v>123</v>
      </c>
      <c r="AA24" s="329" t="s">
        <v>15</v>
      </c>
      <c r="AB24" s="329" t="s">
        <v>16</v>
      </c>
      <c r="AC24" s="329" t="s">
        <v>124</v>
      </c>
      <c r="AD24" s="329" t="s">
        <v>15</v>
      </c>
      <c r="AE24" s="330" t="s">
        <v>108</v>
      </c>
      <c r="AF24" s="53" t="s">
        <v>125</v>
      </c>
      <c r="AI24" s="328" t="s">
        <v>123</v>
      </c>
      <c r="AJ24" s="329" t="s">
        <v>15</v>
      </c>
      <c r="AK24" s="329" t="s">
        <v>16</v>
      </c>
      <c r="AL24" s="329" t="s">
        <v>124</v>
      </c>
      <c r="AM24" s="329" t="s">
        <v>15</v>
      </c>
      <c r="AN24" s="330" t="s">
        <v>108</v>
      </c>
    </row>
    <row r="25" spans="1:54" ht="15.75" customHeight="1" thickBot="1" x14ac:dyDescent="0.25">
      <c r="A25" s="165">
        <f>'test modello'!Q25</f>
        <v>0</v>
      </c>
      <c r="B25" s="91"/>
      <c r="C25" s="408">
        <f t="shared" ref="C25:C32" si="12">C12*($E$23/$E$10)^$S$10</f>
        <v>0</v>
      </c>
      <c r="D25" s="408">
        <f t="shared" ref="D25:D32" si="13">D12*($E$23/$E$10)^$T$10</f>
        <v>197.53934344587279</v>
      </c>
      <c r="E25" s="168">
        <f>FORECAST(C25,E26:E27,C26:C27)</f>
        <v>3637.201820407955</v>
      </c>
      <c r="F25" s="408">
        <f>$R$42*(1-$S$28)*N25*(D12/('test modello'!Y12*($E$10/'test modello'!$Z$10)^2*($K$8/'test modello'!$AF$8)^2))*100</f>
        <v>0</v>
      </c>
      <c r="G25" s="78"/>
      <c r="H25" s="200"/>
      <c r="J25" s="202"/>
      <c r="K25" s="432"/>
      <c r="L25" s="433"/>
      <c r="N25" s="160">
        <f>'test modello'!AI25</f>
        <v>0</v>
      </c>
      <c r="O25" s="161"/>
      <c r="P25" s="161"/>
      <c r="R25" s="628" t="s">
        <v>140</v>
      </c>
      <c r="S25" s="630" t="s">
        <v>61</v>
      </c>
      <c r="T25" s="632" t="s">
        <v>141</v>
      </c>
      <c r="U25" s="633"/>
      <c r="Y25" s="351" t="e">
        <f>INDEX(Y26:Y33,MATCH(MAX(Z26:Z33),Z26:Z33,0))</f>
        <v>#N/A</v>
      </c>
      <c r="Z25" s="331" t="s">
        <v>79</v>
      </c>
      <c r="AA25" s="249" t="s">
        <v>17</v>
      </c>
      <c r="AB25" s="249" t="s">
        <v>8</v>
      </c>
      <c r="AC25" s="249" t="s">
        <v>29</v>
      </c>
      <c r="AD25" s="249" t="s">
        <v>103</v>
      </c>
      <c r="AE25" s="332" t="s">
        <v>8</v>
      </c>
      <c r="AF25" s="351" t="e">
        <f>INDEX(AF26:AF33,MATCH(AE40,AD26:AD33,0))</f>
        <v>#N/A</v>
      </c>
      <c r="AH25" s="351"/>
      <c r="AI25" s="331" t="s">
        <v>79</v>
      </c>
      <c r="AJ25" s="249" t="s">
        <v>17</v>
      </c>
      <c r="AK25" s="249" t="s">
        <v>8</v>
      </c>
      <c r="AL25" s="249" t="s">
        <v>29</v>
      </c>
      <c r="AM25" s="249" t="s">
        <v>103</v>
      </c>
      <c r="AN25" s="332" t="s">
        <v>8</v>
      </c>
      <c r="AO25" s="351"/>
      <c r="AP25" s="351"/>
      <c r="AQ25" s="351"/>
    </row>
    <row r="26" spans="1:54" ht="15.75" customHeight="1" thickBot="1" x14ac:dyDescent="0.25">
      <c r="A26" s="165">
        <f>'test modello'!Q26</f>
        <v>0</v>
      </c>
      <c r="B26" s="91"/>
      <c r="C26" s="408">
        <f t="shared" si="12"/>
        <v>2317.9391298416203</v>
      </c>
      <c r="D26" s="408">
        <f t="shared" si="13"/>
        <v>171.4617131531696</v>
      </c>
      <c r="E26" s="403">
        <f t="shared" ref="E26:E32" si="14">C26/3600*D26*9.806/F26*100</f>
        <v>3513.3559976707202</v>
      </c>
      <c r="F26" s="408">
        <f>$R$42*(1-$S$28)*N26*(D13/('test modello'!Y13*($E$10/'test modello'!$Z$10)^2*($K$8/'test modello'!$AF$8)^2))*100</f>
        <v>30.813172556584124</v>
      </c>
      <c r="G26" s="78"/>
      <c r="H26" s="200"/>
      <c r="J26" s="202"/>
      <c r="K26" s="432"/>
      <c r="L26" s="433"/>
      <c r="N26" s="160">
        <f>'test modello'!AI26</f>
        <v>0.35001867047073643</v>
      </c>
      <c r="O26" s="161"/>
      <c r="P26" s="161"/>
      <c r="R26" s="629"/>
      <c r="S26" s="631"/>
      <c r="T26" s="634">
        <f>'test modello'!AM34</f>
        <v>0.67948777730975252</v>
      </c>
      <c r="U26" s="635"/>
      <c r="Y26" s="351" t="e">
        <f>$AC$23/60*(AA26/2)^0.5/AB26^0.75</f>
        <v>#DIV/0!</v>
      </c>
      <c r="Z26" s="333"/>
      <c r="AA26" s="333"/>
      <c r="AB26" s="333"/>
      <c r="AC26" s="334"/>
      <c r="AD26" s="335"/>
      <c r="AE26" s="333"/>
      <c r="AF26" s="351" t="e">
        <f>$AC$1/60*(AD26/2)^0.5/AE26^0.75</f>
        <v>#DIV/0!</v>
      </c>
      <c r="AH26" s="351"/>
      <c r="AI26" s="333"/>
      <c r="AJ26" s="333"/>
      <c r="AK26" s="333"/>
      <c r="AL26" s="334"/>
      <c r="AM26" s="335"/>
      <c r="AN26" s="333"/>
      <c r="AO26" s="351"/>
      <c r="AP26" s="351"/>
      <c r="AQ26" s="351"/>
    </row>
    <row r="27" spans="1:54" ht="15.75" customHeight="1" thickBot="1" x14ac:dyDescent="0.25">
      <c r="A27" s="165">
        <f>'test modello'!Q27</f>
        <v>0</v>
      </c>
      <c r="B27" s="91"/>
      <c r="C27" s="408">
        <f t="shared" si="12"/>
        <v>4635.8782596832407</v>
      </c>
      <c r="D27" s="408">
        <f t="shared" si="13"/>
        <v>152.98058959609551</v>
      </c>
      <c r="E27" s="403">
        <f t="shared" si="14"/>
        <v>3389.5101749334854</v>
      </c>
      <c r="F27" s="408">
        <f>$R$42*(1-$S$28)*N27*(D14/('test modello'!Y14*($E$10/'test modello'!$Z$10)^2*($K$8/'test modello'!$AF$8)^2))*100</f>
        <v>56.992905678485137</v>
      </c>
      <c r="G27" s="58"/>
      <c r="H27" s="200"/>
      <c r="J27" s="202"/>
      <c r="K27" s="432"/>
      <c r="L27" s="433"/>
      <c r="N27" s="160">
        <f>'test modello'!AI27</f>
        <v>0.64740432148668381</v>
      </c>
      <c r="O27" s="161"/>
      <c r="R27" s="205">
        <f>1-E10/$E$10</f>
        <v>0</v>
      </c>
      <c r="S27" s="206">
        <v>0</v>
      </c>
      <c r="T27" s="636" t="s">
        <v>142</v>
      </c>
      <c r="U27" s="637"/>
      <c r="Y27" s="351" t="e">
        <f t="shared" ref="Y27:Y33" si="15">$AC$23/60*(AA27/2)^0.5/AB27^0.75</f>
        <v>#DIV/0!</v>
      </c>
      <c r="Z27" s="335"/>
      <c r="AA27" s="335"/>
      <c r="AB27" s="335"/>
      <c r="AC27" s="334"/>
      <c r="AD27" s="335"/>
      <c r="AE27" s="337"/>
      <c r="AF27" s="351" t="e">
        <f t="shared" ref="AF27:AF30" si="16">$AC$1/60*(AD27/2)^0.5/AE27^0.75</f>
        <v>#DIV/0!</v>
      </c>
      <c r="AH27" s="351"/>
      <c r="AI27" s="335"/>
      <c r="AJ27" s="335"/>
      <c r="AK27" s="335"/>
      <c r="AL27" s="334"/>
      <c r="AM27" s="335"/>
      <c r="AN27" s="337"/>
      <c r="AO27" s="351"/>
      <c r="AP27" s="351"/>
      <c r="AQ27" s="351"/>
    </row>
    <row r="28" spans="1:54" ht="15.75" customHeight="1" x14ac:dyDescent="0.2">
      <c r="A28" s="165">
        <f>'test modello'!Q28</f>
        <v>0</v>
      </c>
      <c r="B28" s="321">
        <f>($D$25-D28)/D28</f>
        <v>0.40887709190918292</v>
      </c>
      <c r="C28" s="408">
        <f t="shared" si="12"/>
        <v>6953.817389524861</v>
      </c>
      <c r="D28" s="408">
        <f t="shared" si="13"/>
        <v>140.21048718890398</v>
      </c>
      <c r="E28" s="403">
        <f t="shared" si="14"/>
        <v>3700.3633455411536</v>
      </c>
      <c r="F28" s="408">
        <f>$R$42*(1-$S$28)*N28*(D15/('test modello'!Y15*($E$10/'test modello'!$Z$10)^2*($K$8/'test modello'!$AF$8)^2))*100</f>
        <v>71.770967028763039</v>
      </c>
      <c r="G28" s="75"/>
      <c r="H28" s="200"/>
      <c r="I28" s="346"/>
      <c r="J28" s="202"/>
      <c r="K28" s="432"/>
      <c r="L28" s="433"/>
      <c r="N28" s="160">
        <f>'test modello'!AI28</f>
        <v>0.81527400048388832</v>
      </c>
      <c r="O28" s="161"/>
      <c r="R28" s="205">
        <f>1-E23/$E$10</f>
        <v>6.0000000000000053E-2</v>
      </c>
      <c r="S28" s="206">
        <f>$T$28*R28^2+$T$29*R28+$T$30</f>
        <v>5.2695203718748918E-3</v>
      </c>
      <c r="T28" s="212">
        <f>'test modello'!AP29</f>
        <v>0.67948777730975252</v>
      </c>
      <c r="U28" s="436" t="s">
        <v>65</v>
      </c>
      <c r="V28" s="405"/>
      <c r="W28" s="437"/>
      <c r="Y28" s="351" t="e">
        <f t="shared" si="15"/>
        <v>#DIV/0!</v>
      </c>
      <c r="Z28" s="335"/>
      <c r="AA28" s="335"/>
      <c r="AB28" s="335"/>
      <c r="AC28" s="334"/>
      <c r="AD28" s="335"/>
      <c r="AE28" s="337"/>
      <c r="AF28" s="351" t="e">
        <f t="shared" si="16"/>
        <v>#DIV/0!</v>
      </c>
      <c r="AH28" s="351"/>
      <c r="AI28" s="335"/>
      <c r="AJ28" s="335"/>
      <c r="AK28" s="335"/>
      <c r="AL28" s="334"/>
      <c r="AM28" s="335"/>
      <c r="AN28" s="337"/>
      <c r="AO28" s="351"/>
      <c r="AP28" s="351"/>
      <c r="AQ28" s="351"/>
    </row>
    <row r="29" spans="1:54" ht="15.75" customHeight="1" x14ac:dyDescent="0.2">
      <c r="A29" s="165">
        <f>'test modello'!Q29</f>
        <v>0</v>
      </c>
      <c r="B29" s="321">
        <f>($D$25-D29)/D29</f>
        <v>0.53085492543042634</v>
      </c>
      <c r="C29" s="408">
        <f t="shared" si="12"/>
        <v>9271.7565193664814</v>
      </c>
      <c r="D29" s="408">
        <f t="shared" si="13"/>
        <v>129.0385784860255</v>
      </c>
      <c r="E29" s="403">
        <f t="shared" si="14"/>
        <v>3941.7817253647372</v>
      </c>
      <c r="F29" s="408">
        <f>$R$42*(1-$S$28)*N29*(D16/('test modello'!Y16*($E$10/'test modello'!$Z$10)^2*($K$8/'test modello'!$AF$8)^2))*100</f>
        <v>82.675799789869359</v>
      </c>
      <c r="G29" s="75"/>
      <c r="H29" s="200"/>
      <c r="I29" s="346"/>
      <c r="J29" s="202"/>
      <c r="K29" s="432"/>
      <c r="L29" s="433"/>
      <c r="N29" s="160">
        <f>'test modello'!AI29</f>
        <v>0.93914618721633092</v>
      </c>
      <c r="O29" s="161"/>
      <c r="R29" s="205">
        <f>1-E36/$E$10</f>
        <v>6.0000000000000053E-2</v>
      </c>
      <c r="S29" s="206">
        <f>$T$28*R29^2+$T$29*R29+$T$30</f>
        <v>5.2695203718748918E-3</v>
      </c>
      <c r="T29" s="213">
        <f>'test modello'!AP30</f>
        <v>4.7056072892662955E-2</v>
      </c>
      <c r="U29" s="203" t="s">
        <v>66</v>
      </c>
      <c r="V29" s="405"/>
      <c r="W29" s="405"/>
      <c r="Y29" s="351" t="e">
        <f t="shared" si="15"/>
        <v>#DIV/0!</v>
      </c>
      <c r="Z29" s="335"/>
      <c r="AA29" s="335"/>
      <c r="AB29" s="335"/>
      <c r="AC29" s="334"/>
      <c r="AD29" s="335"/>
      <c r="AE29" s="337"/>
      <c r="AF29" s="351" t="e">
        <f t="shared" si="16"/>
        <v>#DIV/0!</v>
      </c>
      <c r="AH29" s="351"/>
      <c r="AI29" s="335"/>
      <c r="AJ29" s="335"/>
      <c r="AK29" s="335"/>
      <c r="AL29" s="334"/>
      <c r="AM29" s="335"/>
      <c r="AN29" s="337"/>
      <c r="AO29" s="351"/>
      <c r="AP29" s="351"/>
      <c r="AQ29" s="351"/>
    </row>
    <row r="30" spans="1:54" ht="15.75" customHeight="1" thickBot="1" x14ac:dyDescent="0.25">
      <c r="A30" s="320">
        <f>'test modello'!Q30</f>
        <v>0</v>
      </c>
      <c r="B30" s="321">
        <f>($D$25-D30)/D30</f>
        <v>0.74620886159432265</v>
      </c>
      <c r="C30" s="408">
        <f t="shared" si="12"/>
        <v>11589.695649208103</v>
      </c>
      <c r="D30" s="408">
        <f t="shared" si="13"/>
        <v>113.12469418206682</v>
      </c>
      <c r="E30" s="403">
        <f t="shared" si="14"/>
        <v>4056.7069156881466</v>
      </c>
      <c r="F30" s="408">
        <f>$R$42*(1-$S$28)*N30*(D17/('test modello'!Y17*($E$10/'test modello'!$Z$10)^2*($K$8/'test modello'!$AF$8)^2))*100</f>
        <v>88.032939829020592</v>
      </c>
      <c r="G30" s="75"/>
      <c r="H30" s="200"/>
      <c r="J30" s="202"/>
      <c r="K30" s="432"/>
      <c r="L30" s="433"/>
      <c r="N30" s="160">
        <f>'test modello'!AI30</f>
        <v>1</v>
      </c>
      <c r="O30" s="161"/>
      <c r="R30" s="207">
        <f>1-E49/$E$10</f>
        <v>0.12000000000000011</v>
      </c>
      <c r="S30" s="208">
        <f>$T$28*R30^2+$T$29*R30+$T$30</f>
        <v>1.5431352740380011E-2</v>
      </c>
      <c r="T30" s="214">
        <f>'test modello'!AP31</f>
        <v>-1.3010426069826053E-18</v>
      </c>
      <c r="U30" s="204" t="s">
        <v>67</v>
      </c>
      <c r="V30" s="405"/>
      <c r="W30" s="405"/>
      <c r="Y30" s="351" t="e">
        <f t="shared" si="15"/>
        <v>#DIV/0!</v>
      </c>
      <c r="Z30" s="335"/>
      <c r="AA30" s="335"/>
      <c r="AB30" s="335"/>
      <c r="AC30" s="334"/>
      <c r="AD30" s="335"/>
      <c r="AE30" s="337"/>
      <c r="AF30" s="351" t="e">
        <f t="shared" si="16"/>
        <v>#DIV/0!</v>
      </c>
      <c r="AH30" s="351"/>
      <c r="AI30" s="335"/>
      <c r="AJ30" s="335"/>
      <c r="AK30" s="335"/>
      <c r="AL30" s="334"/>
      <c r="AM30" s="335"/>
      <c r="AN30" s="337"/>
      <c r="AO30" s="351"/>
      <c r="AP30" s="351"/>
      <c r="AQ30" s="351"/>
    </row>
    <row r="31" spans="1:54" ht="15.75" customHeight="1" thickBot="1" x14ac:dyDescent="0.25">
      <c r="A31" s="165">
        <f>'test modello'!Q31</f>
        <v>0</v>
      </c>
      <c r="B31" s="91"/>
      <c r="C31" s="408">
        <f t="shared" si="12"/>
        <v>13328.149996589314</v>
      </c>
      <c r="D31" s="408">
        <f t="shared" si="13"/>
        <v>93.007208864160432</v>
      </c>
      <c r="E31" s="403">
        <f t="shared" si="14"/>
        <v>3973.1506667585259</v>
      </c>
      <c r="F31" s="408">
        <f>$R$42*(1-$S$28)*N31*(D18/('test modello'!Y18*($E$10/'test modello'!$Z$10)^2*($K$8/'test modello'!$AF$8)^2))*100</f>
        <v>84.984717857675577</v>
      </c>
      <c r="G31" s="75"/>
      <c r="H31" s="200"/>
      <c r="J31" s="202"/>
      <c r="K31" s="432"/>
      <c r="L31" s="433"/>
      <c r="N31" s="160">
        <f>'test modello'!AI31</f>
        <v>0.96537407500799888</v>
      </c>
      <c r="O31" s="161"/>
      <c r="P31" s="161"/>
      <c r="S31" s="2"/>
      <c r="V31" s="405"/>
      <c r="W31" s="405"/>
      <c r="Y31" s="351" t="e">
        <f t="shared" si="15"/>
        <v>#DIV/0!</v>
      </c>
      <c r="Z31" s="335"/>
      <c r="AA31" s="335"/>
      <c r="AB31" s="335"/>
      <c r="AC31" s="334"/>
      <c r="AD31" s="337"/>
      <c r="AE31" s="337"/>
      <c r="AH31" s="351"/>
      <c r="AI31" s="335"/>
      <c r="AJ31" s="335"/>
      <c r="AK31" s="335"/>
      <c r="AL31" s="334"/>
      <c r="AM31" s="337"/>
      <c r="AN31" s="337"/>
    </row>
    <row r="32" spans="1:54" ht="15.75" customHeight="1" thickBot="1" x14ac:dyDescent="0.25">
      <c r="A32" s="165">
        <f>'test modello'!Q32</f>
        <v>0</v>
      </c>
      <c r="B32" s="91"/>
      <c r="C32" s="408">
        <f t="shared" si="12"/>
        <v>15066.604343970532</v>
      </c>
      <c r="D32" s="408">
        <f t="shared" si="13"/>
        <v>61.01219401039728</v>
      </c>
      <c r="E32" s="403">
        <f t="shared" si="14"/>
        <v>3498.76034631019</v>
      </c>
      <c r="F32" s="408">
        <f>$R$42*(1-$S$28)*N32*(D19/('test modello'!Y19*($E$10/'test modello'!$Z$10)^2*($K$8/'test modello'!$AF$8)^2))*100</f>
        <v>71.566078195937337</v>
      </c>
      <c r="G32" s="425"/>
      <c r="H32" s="425"/>
      <c r="I32" s="68"/>
      <c r="J32" s="202"/>
      <c r="K32" s="432"/>
      <c r="L32" s="433"/>
      <c r="N32" s="162">
        <f>'test modello'!AI32</f>
        <v>0.8129465894804202</v>
      </c>
      <c r="O32" s="161"/>
      <c r="P32" s="161"/>
      <c r="R32" s="619" t="s">
        <v>143</v>
      </c>
      <c r="S32" s="619" t="s">
        <v>144</v>
      </c>
      <c r="T32" s="619" t="s">
        <v>145</v>
      </c>
      <c r="U32" s="619" t="s">
        <v>146</v>
      </c>
      <c r="V32" s="619" t="s">
        <v>147</v>
      </c>
      <c r="W32" s="405"/>
      <c r="Y32" s="351" t="e">
        <f t="shared" si="15"/>
        <v>#DIV/0!</v>
      </c>
      <c r="Z32" s="335"/>
      <c r="AA32" s="335"/>
      <c r="AB32" s="335"/>
      <c r="AC32" s="334"/>
      <c r="AH32" s="351"/>
      <c r="AI32" s="335"/>
      <c r="AJ32" s="335"/>
      <c r="AK32" s="335"/>
      <c r="AL32" s="334"/>
    </row>
    <row r="33" spans="1:40" ht="15.75" customHeight="1" x14ac:dyDescent="0.2">
      <c r="A33" s="166"/>
      <c r="B33" s="64"/>
      <c r="C33" s="70"/>
      <c r="D33" s="70"/>
      <c r="E33" s="70"/>
      <c r="F33" s="70"/>
      <c r="G33" s="78"/>
      <c r="H33" s="70"/>
      <c r="J33" s="74"/>
      <c r="K33" s="74"/>
      <c r="L33" s="65"/>
      <c r="R33" s="627"/>
      <c r="S33" s="627"/>
      <c r="T33" s="627"/>
      <c r="U33" s="627"/>
      <c r="V33" s="627"/>
      <c r="W33" s="405"/>
      <c r="Y33" s="351" t="e">
        <f t="shared" si="15"/>
        <v>#DIV/0!</v>
      </c>
      <c r="Z33" s="335"/>
      <c r="AA33" s="335"/>
      <c r="AB33" s="335"/>
      <c r="AC33" s="334"/>
      <c r="AD33" s="120"/>
      <c r="AE33" s="120"/>
      <c r="AH33" s="351"/>
      <c r="AI33" s="335"/>
      <c r="AJ33" s="335"/>
      <c r="AK33" s="335"/>
      <c r="AL33" s="334"/>
      <c r="AM33" s="120"/>
      <c r="AN33" s="120"/>
    </row>
    <row r="34" spans="1:40" ht="15.75" customHeight="1" thickBot="1" x14ac:dyDescent="0.25">
      <c r="A34" s="166"/>
      <c r="B34" s="64"/>
      <c r="C34" s="70"/>
      <c r="D34" s="70"/>
      <c r="E34" s="70"/>
      <c r="F34" s="70"/>
      <c r="G34" s="78"/>
      <c r="H34" s="70"/>
      <c r="J34" s="74"/>
      <c r="K34" s="74"/>
      <c r="L34" s="65"/>
      <c r="R34" s="159">
        <f>IF(($E$10/'test modello'!$Z$10)&gt;1,(1-(1-'test modello'!AA17/100)*(0.3+0.7*($E$10/'test modello'!$Z$10)^-0.4*($K$8/'test modello'!$AF$8)^-0.2))*100,(1-(1-'test modello'!AA17/100)/(0.3+0.7*($E$10/'test modello'!$Z$10)^0.4*($K$8/'test modello'!$AF$8)^0.2))*100)</f>
        <v>88.499026021035363</v>
      </c>
      <c r="S34" s="159">
        <f>IF($E$10/'test modello'!$Z$10&gt;1,(1-(1-'test modello'!AA17/100)*(0.3+0.7*($E$10/'test modello'!$Z$10)^-0.8*($K$8/'test modello'!$AF$8)^-0.4))*100,(1-(1-'test modello'!AA17/100)/(0.3+0.7*($E$10/'test modello'!$Z$10)^0.8*($K$8/'test modello'!$AF$8)^0.4))*100)</f>
        <v>88.501840914055563</v>
      </c>
      <c r="T34" s="159">
        <f>(U52-T52+T51)*100</f>
        <v>88.497020088105188</v>
      </c>
      <c r="U34" s="159">
        <f>(1-(1-'test modello'!AA17/100)*($E$10/'test modello'!$Z$10)^-0.15*($D$17/'test modello'!$Y$17)^(-0.077))*100</f>
        <v>88.499267510286188</v>
      </c>
      <c r="V34" s="159">
        <f>AVERAGE(R34:U34)</f>
        <v>88.499288633370568</v>
      </c>
      <c r="Z34" s="335"/>
      <c r="AA34" s="335"/>
      <c r="AB34" s="335"/>
      <c r="AC34" s="337"/>
      <c r="AD34" s="45" t="s">
        <v>136</v>
      </c>
      <c r="AE34" s="354" t="e">
        <f>AD26/(INDEX(AA26:AA33,MATCH(MAX(Z26:Z33),Z26:Z33,0)))</f>
        <v>#N/A</v>
      </c>
      <c r="AI34" s="335"/>
      <c r="AJ34" s="335"/>
      <c r="AK34" s="335"/>
      <c r="AL34" s="337"/>
      <c r="AM34" s="45"/>
      <c r="AN34" s="354"/>
    </row>
    <row r="35" spans="1:40" ht="15.75" customHeight="1" thickBot="1" x14ac:dyDescent="0.25">
      <c r="A35" s="166"/>
      <c r="B35" s="64"/>
      <c r="C35" s="70"/>
      <c r="D35" s="70"/>
      <c r="E35" s="70"/>
      <c r="F35" s="70"/>
      <c r="G35" s="78"/>
      <c r="H35" s="70"/>
      <c r="J35" s="74"/>
      <c r="K35" s="74"/>
      <c r="L35" s="65"/>
      <c r="Z35" s="335"/>
      <c r="AA35" s="335"/>
      <c r="AB35" s="335"/>
      <c r="AC35" s="337"/>
      <c r="AD35" s="46" t="s">
        <v>138</v>
      </c>
      <c r="AE35" s="352" t="e">
        <f>MAX(AA26:AA33)/(INDEX(AA26:AA33,MATCH(MAX(Z26:Z33),Z26:Z33,0)))</f>
        <v>#N/A</v>
      </c>
      <c r="AI35" s="335"/>
      <c r="AJ35" s="335"/>
      <c r="AK35" s="335"/>
      <c r="AL35" s="337"/>
      <c r="AM35" s="46"/>
      <c r="AN35" s="352"/>
    </row>
    <row r="36" spans="1:40" ht="15.75" customHeight="1" x14ac:dyDescent="0.2">
      <c r="A36" s="166"/>
      <c r="B36" s="64"/>
      <c r="C36" s="66" t="s">
        <v>4</v>
      </c>
      <c r="D36" s="67"/>
      <c r="E36" s="345">
        <f>$E$10*(1-'test modello'!L18)</f>
        <v>458.18043999999998</v>
      </c>
      <c r="F36" s="79"/>
      <c r="G36" s="80"/>
      <c r="H36" s="69" t="s">
        <v>70</v>
      </c>
      <c r="I36" s="68"/>
      <c r="J36" s="77"/>
      <c r="K36" s="77"/>
      <c r="L36" s="65"/>
      <c r="N36" s="585" t="s">
        <v>133</v>
      </c>
      <c r="O36" s="103"/>
      <c r="Z36" s="335"/>
      <c r="AA36" s="335"/>
      <c r="AB36" s="335"/>
      <c r="AC36" s="337"/>
      <c r="AD36" s="46" t="s">
        <v>148</v>
      </c>
      <c r="AE36" s="353">
        <f>AE23/AE1</f>
        <v>0</v>
      </c>
      <c r="AI36" s="335"/>
      <c r="AJ36" s="335"/>
      <c r="AK36" s="335"/>
      <c r="AL36" s="337"/>
      <c r="AM36" s="46"/>
      <c r="AN36" s="353"/>
    </row>
    <row r="37" spans="1:40" ht="15.75" customHeight="1" thickBot="1" x14ac:dyDescent="0.25">
      <c r="A37" s="166"/>
      <c r="B37" s="91"/>
      <c r="C37" s="58" t="s">
        <v>48</v>
      </c>
      <c r="D37" s="58" t="s">
        <v>49</v>
      </c>
      <c r="E37" s="58" t="s">
        <v>50</v>
      </c>
      <c r="F37" s="25" t="s">
        <v>51</v>
      </c>
      <c r="G37" s="78"/>
      <c r="H37" s="70"/>
      <c r="J37" s="74"/>
      <c r="K37" s="74"/>
      <c r="L37" s="65"/>
      <c r="N37" s="586"/>
      <c r="O37" s="103"/>
      <c r="P37" s="103"/>
      <c r="T37" s="85"/>
      <c r="V37" s="55"/>
      <c r="W37" s="85"/>
      <c r="Z37" s="335"/>
      <c r="AA37" s="335"/>
      <c r="AB37" s="335"/>
      <c r="AC37" s="337"/>
      <c r="AD37" s="76" t="s">
        <v>149</v>
      </c>
      <c r="AE37" s="209" t="e">
        <f>MAX(Z26:Z33)/MAX(Z4:Z11)</f>
        <v>#DIV/0!</v>
      </c>
      <c r="AI37" s="335"/>
      <c r="AJ37" s="335"/>
      <c r="AK37" s="335"/>
      <c r="AL37" s="337"/>
      <c r="AM37" s="76"/>
      <c r="AN37" s="209"/>
    </row>
    <row r="38" spans="1:40" ht="15.75" customHeight="1" x14ac:dyDescent="0.2">
      <c r="A38" s="165">
        <f>'test modello'!Q38</f>
        <v>0</v>
      </c>
      <c r="B38" s="91"/>
      <c r="C38" s="408">
        <f t="shared" ref="C38:C45" si="17">C12*($E$36/$E$10)^$S$10</f>
        <v>0</v>
      </c>
      <c r="D38" s="408">
        <f t="shared" ref="D38:D45" si="18">D12*($E$36/$E$10)^$T$10</f>
        <v>197.53934344587279</v>
      </c>
      <c r="E38" s="168">
        <f>FORECAST(C38,E39:E40,C39:C40)</f>
        <v>3637.201820407955</v>
      </c>
      <c r="F38" s="408">
        <f>$R$42*(1-$S$29)*N38*(D12/('test modello'!Y12*($E$10/'test modello'!$Z$10)^2*($K$8/'test modello'!$AF$8)^2))*100</f>
        <v>0</v>
      </c>
      <c r="G38" s="70"/>
      <c r="H38" s="200"/>
      <c r="J38" s="199"/>
      <c r="K38" s="432"/>
      <c r="L38" s="433"/>
      <c r="N38" s="160">
        <f>'test modello'!AI38</f>
        <v>0</v>
      </c>
      <c r="O38" s="161"/>
      <c r="P38" s="161"/>
      <c r="R38" s="619" t="s">
        <v>150</v>
      </c>
      <c r="S38" s="619" t="s">
        <v>151</v>
      </c>
      <c r="T38" s="619" t="s">
        <v>152</v>
      </c>
      <c r="U38" s="619" t="s">
        <v>153</v>
      </c>
      <c r="Z38" s="335"/>
      <c r="AA38" s="335"/>
      <c r="AB38" s="335"/>
      <c r="AC38" s="335"/>
      <c r="AD38" s="313" t="s">
        <v>154</v>
      </c>
      <c r="AE38" s="313" t="e">
        <f>Y25/$Y$3</f>
        <v>#N/A</v>
      </c>
      <c r="AI38" s="335"/>
      <c r="AJ38" s="335"/>
      <c r="AK38" s="335"/>
      <c r="AL38" s="335"/>
      <c r="AM38" s="313"/>
      <c r="AN38" s="313"/>
    </row>
    <row r="39" spans="1:40" ht="15.75" customHeight="1" x14ac:dyDescent="0.2">
      <c r="A39" s="165">
        <f>'test modello'!Q39</f>
        <v>0</v>
      </c>
      <c r="B39" s="91"/>
      <c r="C39" s="408">
        <f t="shared" si="17"/>
        <v>2317.9391298416203</v>
      </c>
      <c r="D39" s="408">
        <f t="shared" si="18"/>
        <v>171.4617131531696</v>
      </c>
      <c r="E39" s="403">
        <f t="shared" ref="E39:E45" si="19">C39/3600*D39*9.806/F39*100</f>
        <v>3513.3559976707202</v>
      </c>
      <c r="F39" s="408">
        <f>$R$42*(1-$S$29)*N39*(D13/('test modello'!Y13*($E$10/'test modello'!$Z$10)^2*($K$8/'test modello'!$AF$8)^2))*100</f>
        <v>30.813172556584124</v>
      </c>
      <c r="G39" s="70"/>
      <c r="H39" s="200"/>
      <c r="J39" s="199"/>
      <c r="K39" s="432"/>
      <c r="L39" s="433"/>
      <c r="N39" s="160">
        <f>'test modello'!AI39</f>
        <v>0.35001867047073643</v>
      </c>
      <c r="O39" s="161"/>
      <c r="P39" s="161"/>
      <c r="R39" s="620"/>
      <c r="S39" s="620"/>
      <c r="T39" s="620"/>
      <c r="U39" s="620"/>
      <c r="Z39" s="335"/>
      <c r="AA39" s="335"/>
      <c r="AB39" s="335"/>
      <c r="AC39" s="335"/>
      <c r="AD39" s="53" t="s">
        <v>30</v>
      </c>
      <c r="AE39" s="351" t="e">
        <f>Y25</f>
        <v>#N/A</v>
      </c>
      <c r="AI39" s="335"/>
      <c r="AJ39" s="335"/>
      <c r="AK39" s="335"/>
      <c r="AL39" s="335"/>
      <c r="AN39" s="351"/>
    </row>
    <row r="40" spans="1:40" ht="15.75" customHeight="1" x14ac:dyDescent="0.2">
      <c r="A40" s="165">
        <f>'test modello'!Q40</f>
        <v>0</v>
      </c>
      <c r="B40" s="91"/>
      <c r="C40" s="408">
        <f t="shared" si="17"/>
        <v>4635.8782596832407</v>
      </c>
      <c r="D40" s="408">
        <f t="shared" si="18"/>
        <v>152.98058959609551</v>
      </c>
      <c r="E40" s="403">
        <f t="shared" si="19"/>
        <v>3389.5101749334854</v>
      </c>
      <c r="F40" s="408">
        <f>$R$42*(1-$S$29)*N40*(D14/('test modello'!Y14*($E$10/'test modello'!$Z$10)^2*($K$8/'test modello'!$AF$8)^2))*100</f>
        <v>56.992905678485137</v>
      </c>
      <c r="G40" s="58"/>
      <c r="H40" s="200"/>
      <c r="J40" s="199"/>
      <c r="K40" s="432"/>
      <c r="L40" s="433"/>
      <c r="N40" s="160">
        <f>'test modello'!AI40</f>
        <v>0.64740432148668381</v>
      </c>
      <c r="O40" s="161"/>
      <c r="P40" s="161"/>
      <c r="R40" s="620"/>
      <c r="S40" s="620"/>
      <c r="T40" s="620"/>
      <c r="U40" s="620"/>
      <c r="Z40" s="335"/>
      <c r="AA40" s="335"/>
      <c r="AB40" s="335"/>
      <c r="AC40" s="335"/>
      <c r="AD40" s="53" t="s">
        <v>75</v>
      </c>
      <c r="AE40" s="53" t="e">
        <f>INDEX(AA26:AA33,MATCH(MAX(Z26:Z33),Z26:Z33,0))</f>
        <v>#N/A</v>
      </c>
      <c r="AI40" s="335"/>
      <c r="AJ40" s="335"/>
      <c r="AK40" s="335"/>
      <c r="AL40" s="335"/>
    </row>
    <row r="41" spans="1:40" ht="15.75" customHeight="1" thickBot="1" x14ac:dyDescent="0.25">
      <c r="A41" s="165">
        <f>'test modello'!Q41</f>
        <v>0</v>
      </c>
      <c r="B41" s="321">
        <f t="shared" ref="B41:B42" si="20">($D$38-D41)/D41</f>
        <v>0.40887709190918292</v>
      </c>
      <c r="C41" s="408">
        <f t="shared" si="17"/>
        <v>6953.817389524861</v>
      </c>
      <c r="D41" s="408">
        <f t="shared" si="18"/>
        <v>140.21048718890398</v>
      </c>
      <c r="E41" s="403">
        <f t="shared" si="19"/>
        <v>3700.3633455411536</v>
      </c>
      <c r="F41" s="408">
        <f>$R$42*(1-$S$29)*N41*(D15/('test modello'!Y15*($E$10/'test modello'!$Z$10)^2*($K$8/'test modello'!$AF$8)^2))*100</f>
        <v>71.770967028763039</v>
      </c>
      <c r="G41" s="404"/>
      <c r="H41" s="200"/>
      <c r="J41" s="199"/>
      <c r="K41" s="432"/>
      <c r="L41" s="433"/>
      <c r="N41" s="160">
        <f>'test modello'!AI41</f>
        <v>0.81527400048388832</v>
      </c>
      <c r="O41" s="161"/>
      <c r="P41" s="161"/>
      <c r="R41" s="621"/>
      <c r="S41" s="621"/>
      <c r="T41" s="621"/>
      <c r="U41" s="621"/>
      <c r="Z41" s="335"/>
      <c r="AA41" s="335"/>
      <c r="AB41" s="335"/>
      <c r="AC41" s="335"/>
      <c r="AD41" s="53" t="s">
        <v>76</v>
      </c>
      <c r="AE41" s="53" t="e">
        <f>INDEX(AB26:AB33,MATCH(MAX(Z26:Z33),Z26:Z33,0))</f>
        <v>#N/A</v>
      </c>
      <c r="AI41" s="335"/>
      <c r="AJ41" s="335"/>
      <c r="AK41" s="335"/>
      <c r="AL41" s="335"/>
    </row>
    <row r="42" spans="1:40" ht="15.75" customHeight="1" thickBot="1" x14ac:dyDescent="0.25">
      <c r="A42" s="165">
        <f>'test modello'!Q42</f>
        <v>0</v>
      </c>
      <c r="B42" s="321">
        <f t="shared" si="20"/>
        <v>0.53085492543042634</v>
      </c>
      <c r="C42" s="408">
        <f t="shared" si="17"/>
        <v>9271.7565193664814</v>
      </c>
      <c r="D42" s="408">
        <f t="shared" si="18"/>
        <v>129.0385784860255</v>
      </c>
      <c r="E42" s="403">
        <f t="shared" si="19"/>
        <v>3941.7817253647372</v>
      </c>
      <c r="F42" s="408">
        <f>$R$42*(1-$S$29)*N42*(D16/('test modello'!Y16*($E$10/'test modello'!$Z$10)^2*($K$8/'test modello'!$AF$8)^2))*100</f>
        <v>82.675799789869359</v>
      </c>
      <c r="G42" s="404"/>
      <c r="H42" s="200"/>
      <c r="J42" s="199"/>
      <c r="K42" s="432"/>
      <c r="L42" s="433"/>
      <c r="N42" s="160">
        <f>'test modello'!AI42</f>
        <v>0.93914618721633092</v>
      </c>
      <c r="O42" s="161"/>
      <c r="R42" s="357">
        <f>V34/100</f>
        <v>0.88499288633370565</v>
      </c>
      <c r="S42" s="182"/>
      <c r="T42" s="181">
        <f>F17/V34</f>
        <v>1</v>
      </c>
      <c r="U42" s="191">
        <f>F17/R34</f>
        <v>1.0000029674036768</v>
      </c>
      <c r="Z42" s="337"/>
      <c r="AA42" s="337"/>
      <c r="AB42" s="337"/>
      <c r="AC42" s="337"/>
      <c r="AD42" s="53" t="s">
        <v>139</v>
      </c>
      <c r="AE42" s="351">
        <f>MAX(Z26:Z33)</f>
        <v>0</v>
      </c>
      <c r="AI42" s="337"/>
      <c r="AJ42" s="337"/>
      <c r="AK42" s="337"/>
      <c r="AL42" s="337"/>
      <c r="AN42" s="351"/>
    </row>
    <row r="43" spans="1:40" ht="15.75" customHeight="1" thickBot="1" x14ac:dyDescent="0.25">
      <c r="A43" s="320">
        <f>'test modello'!Q43</f>
        <v>0</v>
      </c>
      <c r="B43" s="321">
        <f>($D$38-D43)/D43</f>
        <v>0.74620886159432265</v>
      </c>
      <c r="C43" s="408">
        <f t="shared" si="17"/>
        <v>11589.695649208103</v>
      </c>
      <c r="D43" s="408">
        <f t="shared" si="18"/>
        <v>113.12469418206682</v>
      </c>
      <c r="E43" s="403">
        <f t="shared" si="19"/>
        <v>4056.7069156881466</v>
      </c>
      <c r="F43" s="408">
        <f>$R$42*(1-$S$29)*N43*(D17/('test modello'!Y17*($E$10/'test modello'!$Z$10)^2*($K$8/'test modello'!$AF$8)^2))*100</f>
        <v>88.032939829020592</v>
      </c>
      <c r="G43" s="404"/>
      <c r="H43" s="200"/>
      <c r="J43" s="199"/>
      <c r="K43" s="432"/>
      <c r="L43" s="433"/>
      <c r="N43" s="160">
        <f>'test modello'!AI43</f>
        <v>1</v>
      </c>
      <c r="O43" s="161"/>
      <c r="P43" s="161"/>
      <c r="T43" s="405"/>
      <c r="V43" s="405"/>
      <c r="W43" s="405"/>
      <c r="Z43" s="337"/>
      <c r="AA43" s="337"/>
      <c r="AB43" s="337"/>
      <c r="AC43" s="337"/>
      <c r="AD43" s="53" t="s">
        <v>125</v>
      </c>
      <c r="AE43" s="351" t="e">
        <f>AF25</f>
        <v>#N/A</v>
      </c>
      <c r="AI43" s="337"/>
      <c r="AJ43" s="337"/>
      <c r="AK43" s="337"/>
      <c r="AL43" s="337"/>
      <c r="AN43" s="351"/>
    </row>
    <row r="44" spans="1:40" ht="15.75" customHeight="1" x14ac:dyDescent="0.25">
      <c r="A44" s="165">
        <f>'test modello'!Q44</f>
        <v>0</v>
      </c>
      <c r="B44" s="91"/>
      <c r="C44" s="408">
        <f t="shared" si="17"/>
        <v>13328.149996589314</v>
      </c>
      <c r="D44" s="408">
        <f t="shared" si="18"/>
        <v>93.007208864160432</v>
      </c>
      <c r="E44" s="403">
        <f t="shared" si="19"/>
        <v>3973.1506667585259</v>
      </c>
      <c r="F44" s="408">
        <f>$R$42*(1-$S$29)*N44*(D18/('test modello'!Y18*($E$10/'test modello'!$Z$10)^2*($K$8/'test modello'!$AF$8)^2))*100</f>
        <v>84.984717857675577</v>
      </c>
      <c r="G44" s="404"/>
      <c r="H44" s="200"/>
      <c r="J44" s="199"/>
      <c r="K44" s="432"/>
      <c r="L44" s="433"/>
      <c r="N44" s="160">
        <f>'test modello'!AI44</f>
        <v>0.96537407500799888</v>
      </c>
      <c r="O44" s="161"/>
      <c r="P44" s="161"/>
      <c r="R44" s="622" t="s">
        <v>155</v>
      </c>
      <c r="S44" s="623"/>
      <c r="T44" s="623"/>
      <c r="U44" s="624"/>
      <c r="V44" s="405"/>
    </row>
    <row r="45" spans="1:40" ht="15.75" customHeight="1" thickBot="1" x14ac:dyDescent="0.3">
      <c r="A45" s="165">
        <f>'test modello'!Q45</f>
        <v>0</v>
      </c>
      <c r="B45" s="91"/>
      <c r="C45" s="408">
        <f t="shared" si="17"/>
        <v>15066.604343970532</v>
      </c>
      <c r="D45" s="408">
        <f t="shared" si="18"/>
        <v>61.01219401039728</v>
      </c>
      <c r="E45" s="403">
        <f t="shared" si="19"/>
        <v>3498.76034631019</v>
      </c>
      <c r="F45" s="408">
        <f>$R$42*(1-$S$29)*N45*(D19/('test modello'!Y19*($E$10/'test modello'!$Z$10)^2*($K$8/'test modello'!$AF$8)^2))*100</f>
        <v>71.566078195937337</v>
      </c>
      <c r="G45" s="411"/>
      <c r="H45" s="201"/>
      <c r="I45" s="68"/>
      <c r="J45" s="199"/>
      <c r="K45" s="432"/>
      <c r="L45" s="433"/>
      <c r="N45" s="162">
        <f>'test modello'!AI45</f>
        <v>0.8129465894804202</v>
      </c>
      <c r="O45" s="161"/>
      <c r="P45" s="161"/>
      <c r="R45" s="124"/>
      <c r="S45" s="438"/>
      <c r="T45" s="47" t="s">
        <v>156</v>
      </c>
      <c r="U45" s="130" t="s">
        <v>157</v>
      </c>
      <c r="V45" s="405"/>
      <c r="Z45" s="348"/>
      <c r="AA45" s="349"/>
      <c r="AB45" s="349" t="s">
        <v>117</v>
      </c>
      <c r="AC45" s="350"/>
      <c r="AD45" s="326" t="s">
        <v>118</v>
      </c>
      <c r="AE45" s="327"/>
    </row>
    <row r="46" spans="1:40" ht="15.75" customHeight="1" x14ac:dyDescent="0.25">
      <c r="A46" s="166"/>
      <c r="B46" s="64"/>
      <c r="C46" s="70"/>
      <c r="D46" s="70"/>
      <c r="E46" s="70"/>
      <c r="F46" s="70"/>
      <c r="G46" s="78"/>
      <c r="H46" s="70"/>
      <c r="J46" s="74"/>
      <c r="K46" s="74"/>
      <c r="L46" s="65"/>
      <c r="R46" s="125" t="s">
        <v>8</v>
      </c>
      <c r="S46" s="439" t="s">
        <v>159</v>
      </c>
      <c r="T46" s="126">
        <f>0.1*T50*(T47/(T48/3600))^0.15*(45/T49)^0.06</f>
        <v>4.1235772118932076E-2</v>
      </c>
      <c r="U46" s="127">
        <f>0.1*U50*(U47/(U48/3600))^0.15*(45/U49)^0.06</f>
        <v>4.1219550583212479E-2</v>
      </c>
      <c r="V46" s="405"/>
      <c r="Y46" s="53" t="s">
        <v>30</v>
      </c>
      <c r="Z46" s="328" t="s">
        <v>123</v>
      </c>
      <c r="AA46" s="329" t="s">
        <v>15</v>
      </c>
      <c r="AB46" s="329" t="s">
        <v>16</v>
      </c>
      <c r="AC46" s="329" t="s">
        <v>124</v>
      </c>
      <c r="AD46" s="329" t="s">
        <v>15</v>
      </c>
      <c r="AE46" s="330" t="s">
        <v>108</v>
      </c>
      <c r="AF46" s="53" t="s">
        <v>125</v>
      </c>
    </row>
    <row r="47" spans="1:40" ht="15.75" customHeight="1" thickBot="1" x14ac:dyDescent="0.3">
      <c r="A47" s="166"/>
      <c r="B47" s="64"/>
      <c r="C47" s="70"/>
      <c r="D47" s="70"/>
      <c r="E47" s="70"/>
      <c r="F47" s="70"/>
      <c r="G47" s="78"/>
      <c r="H47" s="70"/>
      <c r="J47" s="74"/>
      <c r="K47" s="74"/>
      <c r="L47" s="65"/>
      <c r="R47" s="121" t="s">
        <v>160</v>
      </c>
      <c r="S47" s="439" t="s">
        <v>161</v>
      </c>
      <c r="T47" s="126">
        <v>1</v>
      </c>
      <c r="U47" s="127">
        <v>1</v>
      </c>
      <c r="Y47" s="351" t="e">
        <f>INDEX(Y48:Y55,MATCH(MAX(Z48:Z55),Z48:Z55,0))</f>
        <v>#N/A</v>
      </c>
      <c r="Z47" s="331" t="s">
        <v>79</v>
      </c>
      <c r="AA47" s="249" t="s">
        <v>17</v>
      </c>
      <c r="AB47" s="249" t="s">
        <v>8</v>
      </c>
      <c r="AC47" s="249" t="s">
        <v>29</v>
      </c>
      <c r="AD47" s="249" t="s">
        <v>103</v>
      </c>
      <c r="AE47" s="332" t="s">
        <v>8</v>
      </c>
      <c r="AF47" s="351" t="e">
        <f>INDEX(AF48:AF55,MATCH(AE62,AD48:AD55,0))</f>
        <v>#N/A</v>
      </c>
    </row>
    <row r="48" spans="1:40" ht="15.75" customHeight="1" thickBot="1" x14ac:dyDescent="0.3">
      <c r="A48" s="166"/>
      <c r="B48" s="64"/>
      <c r="C48" s="70"/>
      <c r="D48" s="70"/>
      <c r="E48" s="70"/>
      <c r="F48" s="70"/>
      <c r="G48" s="78"/>
      <c r="H48" s="70"/>
      <c r="J48" s="74"/>
      <c r="K48" s="74"/>
      <c r="L48" s="65"/>
      <c r="R48" s="121" t="s">
        <v>15</v>
      </c>
      <c r="S48" s="439" t="s">
        <v>17</v>
      </c>
      <c r="T48" s="126">
        <f>'test modello'!X17</f>
        <v>11849</v>
      </c>
      <c r="U48" s="127">
        <f>C17</f>
        <v>11880.121708664878</v>
      </c>
      <c r="Y48" s="351" t="e">
        <f>$AC$45/60*(AA48/2)^0.5/AB48^0.75</f>
        <v>#DIV/0!</v>
      </c>
      <c r="Z48" s="333"/>
      <c r="AA48" s="333"/>
      <c r="AB48" s="333"/>
      <c r="AC48" s="334"/>
      <c r="AD48" s="335"/>
      <c r="AE48" s="333"/>
      <c r="AF48" s="351" t="e">
        <f>$AC$1/60*(AD48/2)^0.5/AE48^0.75</f>
        <v>#DIV/0!</v>
      </c>
    </row>
    <row r="49" spans="1:32" ht="15.75" customHeight="1" x14ac:dyDescent="0.25">
      <c r="A49" s="166"/>
      <c r="B49" s="64"/>
      <c r="C49" s="66" t="s">
        <v>4</v>
      </c>
      <c r="D49" s="67"/>
      <c r="E49" s="345">
        <f>$E$10*(1-'test modello'!L19)</f>
        <v>428.93487999999996</v>
      </c>
      <c r="F49" s="79"/>
      <c r="G49" s="80"/>
      <c r="H49" s="69" t="s">
        <v>71</v>
      </c>
      <c r="I49" s="68"/>
      <c r="J49" s="77"/>
      <c r="K49" s="77"/>
      <c r="L49" s="65"/>
      <c r="N49" s="585" t="s">
        <v>133</v>
      </c>
      <c r="O49" s="625" t="s">
        <v>40</v>
      </c>
      <c r="P49" s="625" t="s">
        <v>162</v>
      </c>
      <c r="R49" s="121" t="s">
        <v>73</v>
      </c>
      <c r="S49" s="439" t="s">
        <v>163</v>
      </c>
      <c r="T49" s="126">
        <f>'test modello'!AC8</f>
        <v>56.845454164807492</v>
      </c>
      <c r="U49" s="127">
        <f>T49</f>
        <v>56.845454164807492</v>
      </c>
      <c r="Y49" s="351" t="e">
        <f t="shared" ref="Y49:Y55" si="21">$AC$45/60*(AA49/2)^0.5/AB49^0.75</f>
        <v>#DIV/0!</v>
      </c>
      <c r="Z49" s="335"/>
      <c r="AA49" s="335"/>
      <c r="AB49" s="335"/>
      <c r="AC49" s="334"/>
      <c r="AD49" s="335"/>
      <c r="AE49" s="337"/>
      <c r="AF49" s="351" t="e">
        <f t="shared" ref="AF49:AF52" si="22">$AC$1/60*(AD49/2)^0.5/AE49^0.75</f>
        <v>#DIV/0!</v>
      </c>
    </row>
    <row r="50" spans="1:32" ht="15.75" customHeight="1" x14ac:dyDescent="0.25">
      <c r="A50" s="166"/>
      <c r="B50" s="64"/>
      <c r="C50" s="58" t="s">
        <v>48</v>
      </c>
      <c r="D50" s="58" t="s">
        <v>49</v>
      </c>
      <c r="E50" s="58" t="s">
        <v>50</v>
      </c>
      <c r="F50" s="25" t="s">
        <v>51</v>
      </c>
      <c r="G50" s="78"/>
      <c r="H50" s="70"/>
      <c r="J50" s="199"/>
      <c r="K50" s="432"/>
      <c r="L50" s="433"/>
      <c r="N50" s="586"/>
      <c r="O50" s="586"/>
      <c r="P50" s="626"/>
      <c r="R50" s="121" t="s">
        <v>164</v>
      </c>
      <c r="S50" s="439" t="s">
        <v>165</v>
      </c>
      <c r="T50" s="126">
        <f>IF(T48/3600&lt;1,1,0.5)</f>
        <v>0.5</v>
      </c>
      <c r="U50" s="127">
        <f>IF(U48/3600&lt;1,1,0.5)</f>
        <v>0.5</v>
      </c>
      <c r="V50" s="55"/>
      <c r="Y50" s="351" t="e">
        <f t="shared" si="21"/>
        <v>#DIV/0!</v>
      </c>
      <c r="Z50" s="335"/>
      <c r="AA50" s="335"/>
      <c r="AB50" s="335"/>
      <c r="AC50" s="334"/>
      <c r="AD50" s="335"/>
      <c r="AE50" s="337"/>
      <c r="AF50" s="351" t="e">
        <f t="shared" si="22"/>
        <v>#DIV/0!</v>
      </c>
    </row>
    <row r="51" spans="1:32" ht="15.75" customHeight="1" x14ac:dyDescent="0.25">
      <c r="A51" s="165">
        <f>'test modello'!Q51</f>
        <v>0</v>
      </c>
      <c r="B51" s="91"/>
      <c r="C51" s="408">
        <f t="shared" ref="C51:C58" si="23">C12*($E$49/$E$10)^$S$10</f>
        <v>0</v>
      </c>
      <c r="D51" s="408">
        <f t="shared" ref="D51:D58" si="24">D12*($E$49/$E$10)^$T$10</f>
        <v>175.42532079285448</v>
      </c>
      <c r="E51" s="168">
        <f>FORECAST(C51,E52:E53,C52:C53)</f>
        <v>3178.3917448590755</v>
      </c>
      <c r="F51" s="408">
        <f>$R$42*(1-$S$30)*N51*(D12/('test modello'!Y12*($E$10/'test modello'!$Z$10)^2*($K$8/'test modello'!$AF$8)^2))*100</f>
        <v>0</v>
      </c>
      <c r="G51" s="78"/>
      <c r="H51" s="70"/>
      <c r="J51" s="199"/>
      <c r="K51" s="432"/>
      <c r="L51" s="433"/>
      <c r="N51" s="160">
        <f>'test modello'!AI51</f>
        <v>0</v>
      </c>
      <c r="O51" s="110"/>
      <c r="P51" s="110"/>
      <c r="R51" s="122" t="s">
        <v>166</v>
      </c>
      <c r="S51" s="439" t="s">
        <v>167</v>
      </c>
      <c r="T51" s="126">
        <f>'test modello'!AA17/100</f>
        <v>0.88496210143349952</v>
      </c>
      <c r="U51" s="127"/>
      <c r="V51" s="58"/>
      <c r="Y51" s="351" t="e">
        <f t="shared" si="21"/>
        <v>#DIV/0!</v>
      </c>
      <c r="Z51" s="335"/>
      <c r="AA51" s="335"/>
      <c r="AB51" s="335"/>
      <c r="AC51" s="334"/>
      <c r="AD51" s="335"/>
      <c r="AE51" s="337"/>
      <c r="AF51" s="351" t="e">
        <f t="shared" si="22"/>
        <v>#DIV/0!</v>
      </c>
    </row>
    <row r="52" spans="1:32" ht="15.75" customHeight="1" thickBot="1" x14ac:dyDescent="0.3">
      <c r="A52" s="165">
        <f>'test modello'!Q52</f>
        <v>0</v>
      </c>
      <c r="B52" s="91"/>
      <c r="C52" s="408">
        <f t="shared" si="23"/>
        <v>2257.5841868421689</v>
      </c>
      <c r="D52" s="408">
        <f t="shared" si="24"/>
        <v>152.26701430152806</v>
      </c>
      <c r="E52" s="403">
        <f t="shared" ref="E52:E58" si="25">C52/3600*D52*9.806/F52*100</f>
        <v>3070.1682917598573</v>
      </c>
      <c r="F52" s="408">
        <f>$R$42*(1-$S$30)*N52*(D13/('test modello'!Y13*($E$10/'test modello'!$Z$10)^2*($K$8/'test modello'!$AF$8)^2))*100</f>
        <v>30.498395538412442</v>
      </c>
      <c r="G52" s="404" t="s">
        <v>48</v>
      </c>
      <c r="H52" s="404" t="s">
        <v>55</v>
      </c>
      <c r="J52" s="199"/>
      <c r="K52" s="432"/>
      <c r="L52" s="433"/>
      <c r="N52" s="160">
        <f>'test modello'!AI52</f>
        <v>0.35001867047073643</v>
      </c>
      <c r="O52" s="114"/>
      <c r="P52" s="114"/>
      <c r="R52" s="123" t="s">
        <v>168</v>
      </c>
      <c r="S52" s="440" t="s">
        <v>169</v>
      </c>
      <c r="T52" s="128">
        <f>1-0.095*(T47/(T48/3600))^T46-0.3*(0.35-LOG10(T49/23))^2*(T47/(T48/3600))^0.05</f>
        <v>0.90903221651139965</v>
      </c>
      <c r="U52" s="129">
        <f>1-0.095*(U47/(U48/3600))^U46-0.3*(0.35-LOG10(U49/23))^2*(U47/(U48/3600))^0.05</f>
        <v>0.90904031595895196</v>
      </c>
      <c r="V52" s="405"/>
      <c r="W52" s="405"/>
      <c r="Y52" s="351" t="e">
        <f t="shared" si="21"/>
        <v>#DIV/0!</v>
      </c>
      <c r="Z52" s="335"/>
      <c r="AA52" s="335"/>
      <c r="AB52" s="335"/>
      <c r="AC52" s="334"/>
      <c r="AD52" s="335"/>
      <c r="AE52" s="337"/>
      <c r="AF52" s="351" t="e">
        <f t="shared" si="22"/>
        <v>#DIV/0!</v>
      </c>
    </row>
    <row r="53" spans="1:32" ht="15.75" customHeight="1" x14ac:dyDescent="0.2">
      <c r="A53" s="165">
        <f>'test modello'!Q53</f>
        <v>0</v>
      </c>
      <c r="B53" s="91"/>
      <c r="C53" s="408">
        <f t="shared" si="23"/>
        <v>4515.1683736843379</v>
      </c>
      <c r="D53" s="408">
        <f t="shared" si="24"/>
        <v>135.85480510786712</v>
      </c>
      <c r="E53" s="403">
        <f t="shared" si="25"/>
        <v>2961.9448386606396</v>
      </c>
      <c r="F53" s="408">
        <f>$R$42*(1-$S$30)*N53*(D14/('test modello'!Y14*($E$10/'test modello'!$Z$10)^2*($K$8/'test modello'!$AF$8)^2))*100</f>
        <v>56.410685302654997</v>
      </c>
      <c r="G53" s="408">
        <f>'test modello'!AB53*($E$10/'test modello'!$Z$10)^3*($K$8/'test modello'!$AF$8)</f>
        <v>5239.5615780369353</v>
      </c>
      <c r="H53" s="408">
        <f>O53*$H$56</f>
        <v>19.734479961028629</v>
      </c>
      <c r="J53" s="199"/>
      <c r="K53" s="432"/>
      <c r="L53" s="433"/>
      <c r="N53" s="160">
        <f>'test modello'!AI53</f>
        <v>0.64740432148668381</v>
      </c>
      <c r="O53" s="131">
        <f>'test modello'!AJ53</f>
        <v>0.70863309352517978</v>
      </c>
      <c r="P53" s="177">
        <f>('test modello'!AC53*(($E$10/'test modello'!$Z$10)*($K$8/'test modello'!$AF$8))^2)</f>
        <v>19.734479961028633</v>
      </c>
      <c r="T53" s="405"/>
      <c r="V53" s="405"/>
      <c r="W53" s="405"/>
      <c r="Y53" s="351" t="e">
        <f t="shared" si="21"/>
        <v>#DIV/0!</v>
      </c>
      <c r="Z53" s="335"/>
      <c r="AA53" s="335"/>
      <c r="AB53" s="335"/>
      <c r="AC53" s="334"/>
      <c r="AD53" s="337"/>
      <c r="AE53" s="337"/>
    </row>
    <row r="54" spans="1:32" ht="15.75" customHeight="1" x14ac:dyDescent="0.2">
      <c r="A54" s="165">
        <f>'test modello'!Q54</f>
        <v>0</v>
      </c>
      <c r="B54" s="321">
        <f t="shared" ref="B54:B55" si="26">($D$51-D54)/D54</f>
        <v>0.40887709190918264</v>
      </c>
      <c r="C54" s="408">
        <f t="shared" si="23"/>
        <v>6772.7525605265055</v>
      </c>
      <c r="D54" s="408">
        <f t="shared" si="24"/>
        <v>124.5142828996772</v>
      </c>
      <c r="E54" s="403">
        <f t="shared" si="25"/>
        <v>3233.5858418568455</v>
      </c>
      <c r="F54" s="408">
        <f>$R$42*(1-$S$30)*N54*(D15/('test modello'!Y15*($E$10/'test modello'!$Z$10)^2*($K$8/'test modello'!$AF$8)^2))*100</f>
        <v>71.037778943338679</v>
      </c>
      <c r="G54" s="408">
        <f>'test modello'!AB54*($E$10/'test modello'!$Z$10)^3*($K$8/'test modello'!$AF$8)</f>
        <v>6772.7525605265055</v>
      </c>
      <c r="H54" s="408">
        <f>O54*$H$56</f>
        <v>21.537630414320589</v>
      </c>
      <c r="J54" s="199"/>
      <c r="K54" s="432"/>
      <c r="L54" s="433"/>
      <c r="N54" s="160">
        <f>'test modello'!AI54</f>
        <v>0.81527400048388832</v>
      </c>
      <c r="O54" s="131">
        <f>'test modello'!AJ54</f>
        <v>0.77338129496402874</v>
      </c>
      <c r="P54" s="177">
        <f>('test modello'!AC54*(($E$10/'test modello'!$Z$10)*($K$8/'test modello'!$AF$8))^2)</f>
        <v>21.537630414320589</v>
      </c>
      <c r="T54" s="405"/>
      <c r="V54" s="405"/>
      <c r="W54" s="405"/>
      <c r="Y54" s="351" t="e">
        <f t="shared" si="21"/>
        <v>#DIV/0!</v>
      </c>
      <c r="Z54" s="335"/>
      <c r="AA54" s="335"/>
      <c r="AB54" s="335"/>
      <c r="AC54" s="334"/>
    </row>
    <row r="55" spans="1:32" ht="15.75" customHeight="1" thickBot="1" x14ac:dyDescent="0.25">
      <c r="A55" s="165">
        <f>'test modello'!Q55</f>
        <v>0</v>
      </c>
      <c r="B55" s="321">
        <f t="shared" si="26"/>
        <v>0.53085492543042612</v>
      </c>
      <c r="C55" s="408">
        <f t="shared" si="23"/>
        <v>9030.3367473686758</v>
      </c>
      <c r="D55" s="408">
        <f t="shared" si="24"/>
        <v>114.59304071124221</v>
      </c>
      <c r="E55" s="403">
        <f t="shared" si="25"/>
        <v>3444.5508153106603</v>
      </c>
      <c r="F55" s="408">
        <f>$R$42*(1-$S$30)*N55*(D16/('test modello'!Y16*($E$10/'test modello'!$Z$10)^2*($K$8/'test modello'!$AF$8)^2))*100</f>
        <v>81.831211596783305</v>
      </c>
      <c r="G55" s="408">
        <f>'test modello'!AB55*($E$10/'test modello'!$Z$10)^3*($K$8/'test modello'!$AF$8)</f>
        <v>9030.3367473686758</v>
      </c>
      <c r="H55" s="408">
        <f>O55*$H$56</f>
        <v>24.042006043892751</v>
      </c>
      <c r="J55" s="199"/>
      <c r="K55" s="432"/>
      <c r="L55" s="433"/>
      <c r="N55" s="160">
        <f>'test modello'!AI55</f>
        <v>0.93914618721633092</v>
      </c>
      <c r="O55" s="131">
        <f>'test modello'!AJ55</f>
        <v>0.86330935251798557</v>
      </c>
      <c r="P55" s="177">
        <f>('test modello'!AC55*(($E$10/'test modello'!$Z$10)*($K$8/'test modello'!$AF$8))^2)</f>
        <v>24.042006043892748</v>
      </c>
      <c r="T55" s="405"/>
      <c r="V55" s="405"/>
      <c r="W55" s="405"/>
      <c r="Y55" s="351" t="e">
        <f t="shared" si="21"/>
        <v>#DIV/0!</v>
      </c>
      <c r="Z55" s="335"/>
      <c r="AA55" s="335"/>
      <c r="AB55" s="335"/>
      <c r="AC55" s="334"/>
      <c r="AD55" s="120"/>
      <c r="AE55" s="120"/>
    </row>
    <row r="56" spans="1:32" ht="15.75" customHeight="1" x14ac:dyDescent="0.2">
      <c r="A56" s="320">
        <f>'test modello'!Q56</f>
        <v>0</v>
      </c>
      <c r="B56" s="321">
        <f>($D$51-D56)/D56</f>
        <v>0.74620886159432231</v>
      </c>
      <c r="C56" s="408">
        <f t="shared" si="23"/>
        <v>11287.920934210842</v>
      </c>
      <c r="D56" s="408">
        <f t="shared" si="24"/>
        <v>100.46067492332377</v>
      </c>
      <c r="E56" s="403">
        <f t="shared" si="25"/>
        <v>3544.9789175266956</v>
      </c>
      <c r="F56" s="408">
        <f>$R$42*(1-$S$30)*N56*(D17/('test modello'!Y17*($E$10/'test modello'!$Z$10)^2*($K$8/'test modello'!$AF$8)^2))*100</f>
        <v>87.133624893196327</v>
      </c>
      <c r="G56" s="408">
        <f>'test modello'!AB56*($E$10/'test modello'!$Z$10)^3*($K$8/'test modello'!$AF$8)</f>
        <v>11287.920934210844</v>
      </c>
      <c r="H56" s="408">
        <f>H17*'test modello'!AC56/'test modello'!AC17</f>
        <v>27.848657000842437</v>
      </c>
      <c r="I56" s="322"/>
      <c r="J56" s="199"/>
      <c r="K56" s="432"/>
      <c r="L56" s="433"/>
      <c r="N56" s="160">
        <f>'test modello'!AI56</f>
        <v>1</v>
      </c>
      <c r="O56" s="131">
        <f>'test modello'!AJ56</f>
        <v>1</v>
      </c>
      <c r="P56" s="177">
        <f>('test modello'!AC56*(($E$10/'test modello'!$Z$10)*($K$8/'test modello'!$AF$8))^2)</f>
        <v>27.848657000842437</v>
      </c>
      <c r="R56" s="616" t="s">
        <v>170</v>
      </c>
      <c r="S56" s="617"/>
      <c r="T56" s="617"/>
      <c r="U56" s="617"/>
      <c r="V56" s="618"/>
      <c r="W56" s="405"/>
      <c r="Z56" s="335"/>
      <c r="AA56" s="335"/>
      <c r="AB56" s="335"/>
      <c r="AC56" s="337"/>
      <c r="AD56" s="45" t="s">
        <v>136</v>
      </c>
      <c r="AE56" s="354" t="e">
        <f>AD48/(INDEX(AA48:AA55,MATCH(MAX(Z48:Z55),Z48:Z55,0)))</f>
        <v>#N/A</v>
      </c>
    </row>
    <row r="57" spans="1:32" ht="15.75" customHeight="1" x14ac:dyDescent="0.2">
      <c r="A57" s="165">
        <f>'test modello'!Q57</f>
        <v>0</v>
      </c>
      <c r="B57" s="91"/>
      <c r="C57" s="408">
        <f t="shared" si="23"/>
        <v>12981.109074342467</v>
      </c>
      <c r="D57" s="408">
        <f t="shared" si="24"/>
        <v>82.59529046938448</v>
      </c>
      <c r="E57" s="403">
        <f t="shared" si="25"/>
        <v>3471.9627625420626</v>
      </c>
      <c r="F57" s="408">
        <f>$R$42*(1-$S$30)*N57*(D18/('test modello'!Y18*($E$10/'test modello'!$Z$10)^2*($K$8/'test modello'!$AF$8)^2))*100</f>
        <v>84.116542533363344</v>
      </c>
      <c r="G57" s="408">
        <f>'test modello'!AB57*($E$10/'test modello'!$Z$10)^3*($K$8/'test modello'!$AF$8)</f>
        <v>12981.109074342468</v>
      </c>
      <c r="H57" s="408">
        <f>O57*$H$56</f>
        <v>34.059508562181392</v>
      </c>
      <c r="J57" s="199"/>
      <c r="K57" s="432"/>
      <c r="L57" s="433"/>
      <c r="N57" s="160">
        <f>'test modello'!AI57</f>
        <v>0.96537407500799888</v>
      </c>
      <c r="O57" s="131">
        <f>'test modello'!AJ57</f>
        <v>1.2230215827338129</v>
      </c>
      <c r="P57" s="177">
        <f>('test modello'!AC57*(($E$10/'test modello'!$Z$10)*($K$8/'test modello'!$AF$8))^2)</f>
        <v>34.059508562181392</v>
      </c>
      <c r="R57" s="180" t="s">
        <v>171</v>
      </c>
      <c r="S57" s="63" t="s">
        <v>172</v>
      </c>
      <c r="T57" s="194" t="s">
        <v>173</v>
      </c>
      <c r="V57" s="288"/>
      <c r="W57" s="405"/>
      <c r="Z57" s="335"/>
      <c r="AA57" s="335"/>
      <c r="AB57" s="335"/>
      <c r="AC57" s="337"/>
      <c r="AD57" s="46" t="s">
        <v>138</v>
      </c>
      <c r="AE57" s="352" t="e">
        <f>MAX(AA48:AA55)/(INDEX(AA48:AA55,MATCH(MAX(Z48:Z55),Z48:Z55,0)))</f>
        <v>#N/A</v>
      </c>
    </row>
    <row r="58" spans="1:32" ht="15.75" customHeight="1" thickBot="1" x14ac:dyDescent="0.25">
      <c r="A58" s="165">
        <f>'test modello'!Q58</f>
        <v>0</v>
      </c>
      <c r="B58" s="91"/>
      <c r="C58" s="408">
        <f t="shared" si="23"/>
        <v>14674.297214474096</v>
      </c>
      <c r="D58" s="408">
        <f t="shared" si="24"/>
        <v>54.182035435804423</v>
      </c>
      <c r="E58" s="403">
        <f t="shared" si="25"/>
        <v>3057.4137897867017</v>
      </c>
      <c r="F58" s="408">
        <f>$R$42*(1-$S$30)*N58*(D19/('test modello'!Y19*($E$10/'test modello'!$Z$10)^2*($K$8/'test modello'!$AF$8)^2))*100</f>
        <v>70.834983185990211</v>
      </c>
      <c r="G58" s="410">
        <f>'test modello'!AB58*($E$10/'test modello'!$Z$10)^3*($K$8/'test modello'!$AF$8)</f>
        <v>14674.297214474098</v>
      </c>
      <c r="H58" s="410">
        <f>O58*$H$56</f>
        <v>48.484712188517044</v>
      </c>
      <c r="I58" s="68"/>
      <c r="J58" s="199"/>
      <c r="K58" s="432"/>
      <c r="L58" s="433"/>
      <c r="N58" s="162">
        <f>'test modello'!AI58</f>
        <v>0.8129465894804202</v>
      </c>
      <c r="O58" s="132">
        <f>'test modello'!AJ58</f>
        <v>1.7410071942446042</v>
      </c>
      <c r="P58" s="178">
        <f>('test modello'!AC58*(($E$10/'test modello'!$Z$10)*($K$8/'test modello'!$AF$8))^2)</f>
        <v>48.484712188517044</v>
      </c>
      <c r="R58" s="234">
        <v>679</v>
      </c>
      <c r="S58" s="237">
        <f t="shared" ref="S58:S64" si="27">(R58/$K$8)^$P$7</f>
        <v>0.33111246768170061</v>
      </c>
      <c r="T58" s="238">
        <f>1/($F$17/100+(1-$F$17/100)*($K$8/R58)^0.17)</f>
        <v>0.98879811593454237</v>
      </c>
      <c r="U58" s="53">
        <f>IF($K$8&gt;R58,1,0)</f>
        <v>1</v>
      </c>
      <c r="V58" s="288"/>
      <c r="W58" s="405"/>
      <c r="Z58" s="335"/>
      <c r="AA58" s="335"/>
      <c r="AB58" s="335"/>
      <c r="AC58" s="337"/>
      <c r="AD58" s="46" t="s">
        <v>148</v>
      </c>
      <c r="AE58" s="353">
        <f>AE45/AE1</f>
        <v>0</v>
      </c>
    </row>
    <row r="59" spans="1:32" ht="15.75" customHeight="1" x14ac:dyDescent="0.2">
      <c r="B59" s="64"/>
      <c r="L59" s="65"/>
      <c r="R59" s="234">
        <v>1450</v>
      </c>
      <c r="S59" s="237">
        <f t="shared" si="27"/>
        <v>1.5099827635736858</v>
      </c>
      <c r="T59" s="238">
        <f t="shared" ref="T59:T64" si="28">1/($F$17/100+(1-$F$17/100)*($K$8/R59)^0.17)</f>
        <v>1.0039745042213162</v>
      </c>
      <c r="U59" s="53">
        <f t="shared" ref="U59:U64" si="29">IF($K$8&gt;R59,1,0)</f>
        <v>0</v>
      </c>
      <c r="V59" s="288"/>
      <c r="W59" s="405"/>
      <c r="Z59" s="335"/>
      <c r="AA59" s="335"/>
      <c r="AB59" s="335"/>
      <c r="AC59" s="337"/>
      <c r="AD59" s="76" t="s">
        <v>149</v>
      </c>
      <c r="AE59" s="209" t="e">
        <f>MAX(Z48:Z55)/MAX(Z4:Z11)</f>
        <v>#DIV/0!</v>
      </c>
    </row>
    <row r="60" spans="1:32" ht="15" x14ac:dyDescent="0.2">
      <c r="B60" s="183" t="s">
        <v>174</v>
      </c>
      <c r="C60" s="184"/>
      <c r="D60" s="83" t="s">
        <v>73</v>
      </c>
      <c r="E60" s="83" t="s">
        <v>74</v>
      </c>
      <c r="F60" s="185" t="s">
        <v>32</v>
      </c>
      <c r="G60" s="185" t="s">
        <v>75</v>
      </c>
      <c r="H60" s="185" t="s">
        <v>76</v>
      </c>
      <c r="I60" s="185" t="s">
        <v>77</v>
      </c>
      <c r="J60" s="185" t="s">
        <v>78</v>
      </c>
      <c r="K60" s="185" t="s">
        <v>34</v>
      </c>
      <c r="L60" s="186" t="s">
        <v>79</v>
      </c>
      <c r="N60" s="53"/>
      <c r="O60" s="53"/>
      <c r="P60" s="53"/>
      <c r="R60" s="234">
        <v>1750</v>
      </c>
      <c r="S60" s="237">
        <f t="shared" si="27"/>
        <v>2.1994398161447859</v>
      </c>
      <c r="T60" s="238">
        <f t="shared" si="28"/>
        <v>1.0075086748697792</v>
      </c>
      <c r="U60" s="53">
        <f t="shared" si="29"/>
        <v>0</v>
      </c>
      <c r="V60" s="288"/>
      <c r="W60" s="405"/>
      <c r="Z60" s="335"/>
      <c r="AA60" s="335"/>
      <c r="AB60" s="335"/>
      <c r="AC60" s="335"/>
      <c r="AD60" s="313" t="s">
        <v>154</v>
      </c>
      <c r="AE60" s="313" t="e">
        <f>Y47/$Y$3</f>
        <v>#N/A</v>
      </c>
    </row>
    <row r="61" spans="1:32" ht="15" x14ac:dyDescent="0.2">
      <c r="B61" s="187"/>
      <c r="C61"/>
      <c r="D61" s="157">
        <f>H8</f>
        <v>56.845454164807485</v>
      </c>
      <c r="E61" s="157">
        <f>K5</f>
        <v>487.42599999999999</v>
      </c>
      <c r="F61" s="171">
        <f>K8</f>
        <v>1180</v>
      </c>
      <c r="G61" s="157">
        <f>C17</f>
        <v>11880.121708664878</v>
      </c>
      <c r="H61" s="157">
        <f>D17</f>
        <v>126.45245975841671</v>
      </c>
      <c r="I61" s="157">
        <f>F17</f>
        <v>88.499288633370568</v>
      </c>
      <c r="J61" s="157">
        <f>E17</f>
        <v>4623.7865773964631</v>
      </c>
      <c r="K61" s="157">
        <f>C19</f>
        <v>15444.158221264341</v>
      </c>
      <c r="L61" s="188">
        <f>K61/G61</f>
        <v>1.3</v>
      </c>
      <c r="N61" s="53"/>
      <c r="O61" s="53"/>
      <c r="P61" s="53"/>
      <c r="R61" s="234">
        <v>1801</v>
      </c>
      <c r="S61" s="237">
        <f t="shared" si="27"/>
        <v>2.3295037345590348</v>
      </c>
      <c r="T61" s="238">
        <f t="shared" si="28"/>
        <v>1.0080408117646846</v>
      </c>
      <c r="U61" s="53">
        <f t="shared" si="29"/>
        <v>0</v>
      </c>
      <c r="V61" s="288"/>
      <c r="W61" s="405"/>
      <c r="Z61" s="335"/>
      <c r="AA61" s="335"/>
      <c r="AB61" s="335"/>
      <c r="AC61" s="335"/>
      <c r="AD61" s="53" t="s">
        <v>30</v>
      </c>
      <c r="AE61" s="351" t="e">
        <f>Y47</f>
        <v>#N/A</v>
      </c>
    </row>
    <row r="62" spans="1:32" ht="15" x14ac:dyDescent="0.2">
      <c r="B62" s="64" t="s">
        <v>82</v>
      </c>
      <c r="C62" s="53" t="s">
        <v>83</v>
      </c>
      <c r="D62" s="53" t="s">
        <v>84</v>
      </c>
      <c r="E62" s="76" t="s">
        <v>85</v>
      </c>
      <c r="F62" s="76" t="s">
        <v>86</v>
      </c>
      <c r="G62" s="76" t="s">
        <v>87</v>
      </c>
      <c r="H62" s="76" t="s">
        <v>88</v>
      </c>
      <c r="I62" s="76" t="s">
        <v>89</v>
      </c>
      <c r="J62" s="76" t="s">
        <v>90</v>
      </c>
      <c r="K62" s="76" t="s">
        <v>91</v>
      </c>
      <c r="L62" s="65"/>
      <c r="N62" s="53"/>
      <c r="O62" s="53"/>
      <c r="P62" s="53"/>
      <c r="R62" s="234">
        <v>2950</v>
      </c>
      <c r="S62" s="237">
        <f t="shared" si="27"/>
        <v>6.25</v>
      </c>
      <c r="T62" s="238">
        <f t="shared" si="28"/>
        <v>1.0168688685945613</v>
      </c>
      <c r="U62" s="53">
        <f t="shared" si="29"/>
        <v>0</v>
      </c>
      <c r="V62" s="288"/>
      <c r="W62" s="405"/>
      <c r="Z62" s="335"/>
      <c r="AA62" s="335"/>
      <c r="AB62" s="335"/>
      <c r="AC62" s="335"/>
      <c r="AD62" s="53" t="s">
        <v>75</v>
      </c>
      <c r="AE62" s="53" t="e">
        <f>INDEX(AA48:AA55,MATCH(MAX(Z48:Z55),Z48:Z55,0))</f>
        <v>#N/A</v>
      </c>
    </row>
    <row r="63" spans="1:32" ht="15" x14ac:dyDescent="0.2">
      <c r="B63" s="170">
        <f>D12</f>
        <v>220.81240580054671</v>
      </c>
      <c r="C63" s="168">
        <f>D12/D17</f>
        <v>1.7462088615943225</v>
      </c>
      <c r="D63" s="157">
        <f>E19</f>
        <v>3987.845674587471</v>
      </c>
      <c r="E63" s="157">
        <f>E51</f>
        <v>3178.3917448590755</v>
      </c>
      <c r="F63" s="157">
        <f>H17</f>
        <v>27.711776052616258</v>
      </c>
      <c r="G63" s="157">
        <f>K8/60*(G17/H65)^0.5/H17^0.75</f>
        <v>177.47734833526007</v>
      </c>
      <c r="H63" s="157">
        <f>G19</f>
        <v>15444.158221264341</v>
      </c>
      <c r="I63" s="168">
        <f>H19</f>
        <v>48.464654873365504</v>
      </c>
      <c r="J63" s="157">
        <f>G14</f>
        <v>0</v>
      </c>
      <c r="K63" s="168">
        <f>H14</f>
        <v>0</v>
      </c>
      <c r="L63" s="172"/>
      <c r="N63" s="53"/>
      <c r="O63" s="53"/>
      <c r="P63" s="53"/>
      <c r="R63" s="180">
        <v>3550</v>
      </c>
      <c r="S63" s="237">
        <f t="shared" si="27"/>
        <v>9.0509192760700952</v>
      </c>
      <c r="T63" s="238">
        <f t="shared" si="28"/>
        <v>1.0200318151048615</v>
      </c>
      <c r="U63" s="53">
        <f t="shared" si="29"/>
        <v>0</v>
      </c>
      <c r="V63" s="288"/>
      <c r="W63" s="405"/>
      <c r="Z63" s="335"/>
      <c r="AA63" s="335"/>
      <c r="AB63" s="335"/>
      <c r="AC63" s="335"/>
      <c r="AD63" s="53" t="s">
        <v>76</v>
      </c>
      <c r="AE63" s="53" t="e">
        <f>INDEX(AB48:AB55,MATCH(MAX(Z48:Z55),Z48:Z55,0))</f>
        <v>#N/A</v>
      </c>
    </row>
    <row r="64" spans="1:32" thickBot="1" x14ac:dyDescent="0.25">
      <c r="B64" s="153" t="s">
        <v>92</v>
      </c>
      <c r="C64" s="76" t="s">
        <v>93</v>
      </c>
      <c r="D64" s="76" t="s">
        <v>94</v>
      </c>
      <c r="E64" s="76" t="s">
        <v>80</v>
      </c>
      <c r="F64" s="76" t="s">
        <v>81</v>
      </c>
      <c r="H64" s="70" t="s">
        <v>95</v>
      </c>
      <c r="J64" s="76" t="s">
        <v>96</v>
      </c>
      <c r="L64" s="65"/>
      <c r="N64" s="53"/>
      <c r="O64" s="53"/>
      <c r="P64" s="53"/>
      <c r="R64" s="235">
        <v>3601</v>
      </c>
      <c r="S64" s="239">
        <f t="shared" si="27"/>
        <v>9.3128418557885659</v>
      </c>
      <c r="T64" s="240">
        <f t="shared" si="28"/>
        <v>1.0202721953778424</v>
      </c>
      <c r="U64" s="53">
        <f t="shared" si="29"/>
        <v>0</v>
      </c>
      <c r="V64" s="288"/>
      <c r="W64" s="405"/>
      <c r="Z64" s="337"/>
      <c r="AA64" s="337"/>
      <c r="AB64" s="337"/>
      <c r="AC64" s="337"/>
      <c r="AD64" s="53" t="s">
        <v>139</v>
      </c>
      <c r="AE64" s="351">
        <f>MAX(Z48:Z55)</f>
        <v>0</v>
      </c>
    </row>
    <row r="65" spans="2:31" thickBot="1" x14ac:dyDescent="0.3">
      <c r="B65" s="173">
        <f>F30</f>
        <v>88.032939829020592</v>
      </c>
      <c r="C65" s="174">
        <f>F43</f>
        <v>88.032939829020592</v>
      </c>
      <c r="D65" s="174">
        <f>F56</f>
        <v>87.133624893196327</v>
      </c>
      <c r="E65" s="174">
        <f>(G61/3600)/(((L7/1000)^2)*(3.14/4))</f>
        <v>105.09661808797661</v>
      </c>
      <c r="F65" s="174">
        <f>(G61/3600)/(((L6/1000)^2)*(3.14/4))</f>
        <v>67.261835576305032</v>
      </c>
      <c r="G65" s="48"/>
      <c r="H65" s="414">
        <v>1</v>
      </c>
      <c r="I65" s="48"/>
      <c r="J65" s="414">
        <v>1</v>
      </c>
      <c r="K65" s="48"/>
      <c r="L65" s="102"/>
      <c r="N65" s="53"/>
      <c r="O65" s="53"/>
      <c r="P65" s="53"/>
      <c r="R65" s="187"/>
      <c r="S65" s="262">
        <f ca="1">AVERAGE(U66:INDIRECT("U"&amp;(U65+65)))</f>
        <v>2.0383835030771746E-2</v>
      </c>
      <c r="T65" s="262">
        <f ca="1">AVERAGE(V66:INDIRECT("V"&amp;(U65+65)))</f>
        <v>2</v>
      </c>
      <c r="U65" s="53">
        <f>SUM(U58:U64)</f>
        <v>1</v>
      </c>
      <c r="V65" s="65"/>
      <c r="W65" s="405"/>
      <c r="Z65" s="337"/>
      <c r="AA65" s="337"/>
      <c r="AB65" s="337"/>
      <c r="AC65" s="337"/>
      <c r="AD65" s="53" t="s">
        <v>125</v>
      </c>
      <c r="AE65" s="351" t="e">
        <f>AF47</f>
        <v>#N/A</v>
      </c>
    </row>
    <row r="66" spans="2:31" ht="13.5" thickBot="1" x14ac:dyDescent="0.25">
      <c r="B66" s="49"/>
      <c r="C66" s="50"/>
      <c r="D66" s="50" t="s">
        <v>97</v>
      </c>
      <c r="E66" s="50"/>
      <c r="F66" s="51"/>
      <c r="G66" s="51"/>
      <c r="H66" s="51"/>
      <c r="I66" s="154" t="s">
        <v>98</v>
      </c>
      <c r="J66" s="155"/>
      <c r="K66" s="325" t="s">
        <v>225</v>
      </c>
      <c r="L66" s="52"/>
      <c r="N66" s="53"/>
      <c r="O66" s="53"/>
      <c r="P66" s="53"/>
      <c r="R66" s="187">
        <f t="shared" ref="R66:R72" si="30">(R58/$K$8)</f>
        <v>0.5754237288135593</v>
      </c>
      <c r="S66" s="263">
        <f>IF(R66&lt;&gt;1,LOG(T58,R66),0)</f>
        <v>2.0383835030771746E-2</v>
      </c>
      <c r="T66" s="263">
        <f>ROUND(IF(R66&lt;&gt;1,LOG(S58,R66),0),2)</f>
        <v>2</v>
      </c>
      <c r="U66" s="285">
        <f t="shared" ref="U66:V72" si="31">IF(S66&lt;&gt;0,S66,"")</f>
        <v>2.0383835030771746E-2</v>
      </c>
      <c r="V66" s="286">
        <f t="shared" si="31"/>
        <v>2</v>
      </c>
    </row>
    <row r="67" spans="2:31" ht="12.75" x14ac:dyDescent="0.2">
      <c r="N67" s="53"/>
      <c r="O67" s="53"/>
      <c r="P67" s="53"/>
      <c r="R67" s="187">
        <f t="shared" si="30"/>
        <v>1.228813559322034</v>
      </c>
      <c r="S67" s="263">
        <f>IF(R67&lt;&gt;1,LOG(T59,R67),0)</f>
        <v>1.9250879521313755E-2</v>
      </c>
      <c r="T67" s="263">
        <f>ROUND(IF(R67&lt;&gt;1,LOG(S59,R67),0),2)</f>
        <v>2</v>
      </c>
      <c r="U67" s="285">
        <f t="shared" si="31"/>
        <v>1.9250879521313755E-2</v>
      </c>
      <c r="V67" s="286">
        <f t="shared" si="31"/>
        <v>2</v>
      </c>
    </row>
    <row r="68" spans="2:31" ht="15.75" customHeight="1" thickBot="1" x14ac:dyDescent="0.25">
      <c r="R68" s="187">
        <f t="shared" si="30"/>
        <v>1.4830508474576272</v>
      </c>
      <c r="S68" s="263">
        <f>IF(R68&lt;&gt;1,LOG(T60,R68),0)</f>
        <v>1.8981475461853439E-2</v>
      </c>
      <c r="T68" s="263">
        <f>ROUND(IF(R68&lt;&gt;1,LOG(S60,R68),0),2)</f>
        <v>2</v>
      </c>
      <c r="U68" s="285">
        <f t="shared" si="31"/>
        <v>1.8981475461853439E-2</v>
      </c>
      <c r="V68" s="286">
        <f t="shared" si="31"/>
        <v>2</v>
      </c>
    </row>
    <row r="69" spans="2:31" ht="15.75" customHeight="1" x14ac:dyDescent="0.2">
      <c r="B69" s="242"/>
      <c r="C69" s="244"/>
      <c r="D69" s="244"/>
      <c r="E69" s="244" t="s">
        <v>175</v>
      </c>
      <c r="F69" s="244"/>
      <c r="G69" s="244"/>
      <c r="H69" s="244"/>
      <c r="I69" s="244"/>
      <c r="J69" s="243"/>
      <c r="R69" s="187">
        <f t="shared" si="30"/>
        <v>1.5262711864406779</v>
      </c>
      <c r="S69" s="263">
        <f>IF(AND(R69&lt;&gt;1,T61&lt;&gt;0),LOG(T61,R69),0)</f>
        <v>1.8940712873025265E-2</v>
      </c>
      <c r="T69" s="263">
        <f>IF(AND(R69&lt;&gt;1,R69&lt;&gt;0),LOG(S61,R69),0)</f>
        <v>2.0000000000000004</v>
      </c>
      <c r="U69" s="285">
        <f t="shared" si="31"/>
        <v>1.8940712873025265E-2</v>
      </c>
      <c r="V69" s="286">
        <f t="shared" si="31"/>
        <v>2.0000000000000004</v>
      </c>
    </row>
    <row r="70" spans="2:31" ht="15.75" customHeight="1" x14ac:dyDescent="0.2">
      <c r="B70" s="241" t="s">
        <v>176</v>
      </c>
      <c r="C70" s="247" t="s">
        <v>177</v>
      </c>
      <c r="D70" s="247" t="s">
        <v>76</v>
      </c>
      <c r="E70" s="247" t="s">
        <v>178</v>
      </c>
      <c r="F70" s="247" t="s">
        <v>179</v>
      </c>
      <c r="G70" s="247" t="s">
        <v>34</v>
      </c>
      <c r="H70" s="247" t="s">
        <v>82</v>
      </c>
      <c r="I70" s="247" t="s">
        <v>180</v>
      </c>
      <c r="J70" s="248" t="s">
        <v>84</v>
      </c>
      <c r="R70" s="187">
        <f t="shared" si="30"/>
        <v>2.5</v>
      </c>
      <c r="S70" s="263">
        <f>IF(AND(R70&lt;&gt;1,T62&lt;&gt;0),LOG(T62,R70),0)</f>
        <v>1.8256399127557468E-2</v>
      </c>
      <c r="T70" s="263">
        <f>IF(AND(R70&lt;&gt;1,R70&lt;&gt;0),LOG(S62,R70),0)</f>
        <v>2</v>
      </c>
      <c r="U70" s="285">
        <f t="shared" si="31"/>
        <v>1.8256399127557468E-2</v>
      </c>
      <c r="V70" s="286">
        <f t="shared" si="31"/>
        <v>2</v>
      </c>
    </row>
    <row r="71" spans="2:31" ht="15.75" customHeight="1" thickBot="1" x14ac:dyDescent="0.25">
      <c r="B71" s="235">
        <f t="shared" ref="B71:G71" si="32">F61</f>
        <v>1180</v>
      </c>
      <c r="C71" s="245">
        <f t="shared" si="32"/>
        <v>11880.121708664878</v>
      </c>
      <c r="D71" s="245">
        <f t="shared" si="32"/>
        <v>126.45245975841671</v>
      </c>
      <c r="E71" s="245">
        <f t="shared" si="32"/>
        <v>88.499288633370568</v>
      </c>
      <c r="F71" s="245">
        <f t="shared" si="32"/>
        <v>4623.7865773964631</v>
      </c>
      <c r="G71" s="245">
        <f t="shared" si="32"/>
        <v>15444.158221264341</v>
      </c>
      <c r="H71" s="245">
        <f>B63</f>
        <v>220.81240580054671</v>
      </c>
      <c r="I71" s="245">
        <f>D19</f>
        <v>68.20033471609176</v>
      </c>
      <c r="J71" s="246">
        <f>D63</f>
        <v>3987.845674587471</v>
      </c>
      <c r="R71" s="187">
        <f t="shared" si="30"/>
        <v>3.0084745762711864</v>
      </c>
      <c r="S71" s="263">
        <f>IF(AND(R71&lt;&gt;1,T63&lt;&gt;0),LOG(T63,R71),0)</f>
        <v>1.8007282438097169E-2</v>
      </c>
      <c r="T71" s="263">
        <f>IF(AND(R71&lt;&gt;1,R71&lt;&gt;0),LOG(S63,R71),0)</f>
        <v>2</v>
      </c>
      <c r="U71" s="285">
        <f t="shared" si="31"/>
        <v>1.8007282438097169E-2</v>
      </c>
      <c r="V71" s="286">
        <f t="shared" si="31"/>
        <v>2</v>
      </c>
    </row>
    <row r="72" spans="2:31" ht="15.75" customHeight="1" x14ac:dyDescent="0.2">
      <c r="R72" s="187">
        <f t="shared" si="30"/>
        <v>3.0516949152542372</v>
      </c>
      <c r="S72" s="263">
        <f>IF(AND(R72&lt;&gt;1,T64&lt;&gt;0),LOG(T64,R72),0)</f>
        <v>1.7988259607888465E-2</v>
      </c>
      <c r="T72" s="263">
        <f>IF(AND(R72&lt;&gt;1,R72&lt;&gt;0),LOG(S64,R72),0)</f>
        <v>2</v>
      </c>
      <c r="U72" s="285">
        <f t="shared" si="31"/>
        <v>1.7988259607888465E-2</v>
      </c>
      <c r="V72" s="286">
        <f t="shared" si="31"/>
        <v>2</v>
      </c>
    </row>
    <row r="73" spans="2:31" ht="12.75" x14ac:dyDescent="0.2">
      <c r="R73" s="289"/>
      <c r="S73" s="404"/>
      <c r="V73" s="65"/>
    </row>
    <row r="74" spans="2:31" ht="25.5" x14ac:dyDescent="0.2">
      <c r="R74" s="153"/>
      <c r="S74" s="103" t="s">
        <v>181</v>
      </c>
      <c r="V74" s="65"/>
      <c r="Z74" s="355" t="s">
        <v>182</v>
      </c>
      <c r="AA74" s="355"/>
      <c r="AB74" s="355"/>
      <c r="AC74" s="355"/>
    </row>
    <row r="75" spans="2:31" ht="15.75" customHeight="1" thickBot="1" x14ac:dyDescent="0.3">
      <c r="R75" s="290"/>
      <c r="S75" s="287">
        <f ca="1">AVERAGE(INDIRECT("U"&amp;(66+U65)):U72)</f>
        <v>1.8570834838289262E-2</v>
      </c>
      <c r="T75" s="287">
        <f>ROUND(IF(K8=1450,V68,AVERAGE(V69:V72)),2)</f>
        <v>2</v>
      </c>
      <c r="U75" s="287">
        <f>IF(K8=1450,U68,AVERAGE(U71:U72))</f>
        <v>1.7997771022992819E-2</v>
      </c>
      <c r="V75" s="102"/>
    </row>
    <row r="76" spans="2:31" ht="15.75" customHeight="1" x14ac:dyDescent="0.2">
      <c r="Z76" s="53" t="s">
        <v>183</v>
      </c>
      <c r="AA76" s="53" t="s">
        <v>184</v>
      </c>
      <c r="AB76" s="53" t="s">
        <v>119</v>
      </c>
      <c r="AD76" s="53" t="s">
        <v>117</v>
      </c>
      <c r="AE76" s="53" t="s">
        <v>118</v>
      </c>
    </row>
    <row r="77" spans="2:31" ht="15.75" customHeight="1" thickBot="1" x14ac:dyDescent="0.25">
      <c r="Z77" s="53">
        <f>'test modello'!AG10/L10</f>
        <v>0.99912602118065108</v>
      </c>
      <c r="AA77" s="53">
        <f>'test modello'!AF8/AC1</f>
        <v>0.79461279461279466</v>
      </c>
      <c r="AB77" s="53" t="e">
        <f>(1-(1-AE20/100)*(0.3+0.7*Z77^-0.4*AA77^-0.2))/(AE20/100)</f>
        <v>#DIV/0!</v>
      </c>
      <c r="AD77" s="53">
        <f>AC1*$AA$77</f>
        <v>1180</v>
      </c>
      <c r="AE77" s="53">
        <f>AE1*$Z$77</f>
        <v>398.95102025743398</v>
      </c>
    </row>
    <row r="78" spans="2:31" ht="15.75" customHeight="1" x14ac:dyDescent="0.2">
      <c r="Z78" s="328" t="s">
        <v>123</v>
      </c>
      <c r="AA78" s="329" t="s">
        <v>15</v>
      </c>
      <c r="AB78" s="329" t="s">
        <v>16</v>
      </c>
      <c r="AC78" s="329" t="s">
        <v>124</v>
      </c>
      <c r="AD78" s="329" t="s">
        <v>15</v>
      </c>
      <c r="AE78" s="330" t="s">
        <v>108</v>
      </c>
    </row>
    <row r="79" spans="2:31" ht="15.75" customHeight="1" thickBot="1" x14ac:dyDescent="0.25">
      <c r="Z79" s="331" t="s">
        <v>79</v>
      </c>
      <c r="AA79" s="249" t="s">
        <v>17</v>
      </c>
      <c r="AB79" s="249" t="s">
        <v>8</v>
      </c>
      <c r="AC79" s="249" t="s">
        <v>29</v>
      </c>
      <c r="AD79" s="249" t="s">
        <v>103</v>
      </c>
      <c r="AE79" s="332" t="s">
        <v>8</v>
      </c>
    </row>
    <row r="80" spans="2:31" ht="15.75" customHeight="1" x14ac:dyDescent="0.2">
      <c r="Z80" s="333">
        <f>IF(Z4=0,Z26,Z4*$AB$77)</f>
        <v>0</v>
      </c>
      <c r="AA80" s="333" t="e">
        <f>IF(AA4=0,(AA26*($AE$1/$AE$23)^'test modello'!$AN$10)*$Z$77^3*$AA$77^1,AA4*$Z$77^3*$AA$77^1)</f>
        <v>#DIV/0!</v>
      </c>
      <c r="AB80" s="333" t="e">
        <f>IF(AB4=0,(AB26*($AE$1/$AE$23)^'test modello'!$AO$10)*$Z$77^2*$AA$77^2,AB4*$Z$77^2*$AA$77^2)</f>
        <v>#DIV/0!</v>
      </c>
      <c r="AC80" s="334" t="e">
        <f>1000*9.81*AA80/3600*AB80/Z80/10</f>
        <v>#DIV/0!</v>
      </c>
      <c r="AD80" s="333" t="e">
        <f>IF(AD4=0,(AD26*($AE$1/$AE$23)^2)*$Z$77^3*$AA$77^1,AD4*$Z$77^3*$AA$77^1)</f>
        <v>#DIV/0!</v>
      </c>
      <c r="AE80" s="333">
        <f>IF(AE4=0,AE26*($Z$77^2*$AA$77^2),AE4*$Z$77^2*$AA$77^2)</f>
        <v>0</v>
      </c>
    </row>
    <row r="81" spans="26:31" ht="15.75" customHeight="1" x14ac:dyDescent="0.2">
      <c r="Z81" s="333">
        <f t="shared" ref="Z81:Z87" si="33">IF(Z5=0,Z27,Z5*$AB$77)</f>
        <v>0</v>
      </c>
      <c r="AA81" s="333" t="e">
        <f>IF(AA5=0,(AA27*($AE$1/$AE$23)^'test modello'!$AN$10)*$Z$77^3*$AA$77^1,AA5*$Z$77^3*$AA$77^1)</f>
        <v>#DIV/0!</v>
      </c>
      <c r="AB81" s="333" t="e">
        <f>IF(AB5=0,(AB27*($AE$1/$AE$23)^'test modello'!$AO$10)*$Z$77^2*$AA$77^2,AB5*$Z$77^2*$AA$77^2)</f>
        <v>#DIV/0!</v>
      </c>
      <c r="AC81" s="334" t="e">
        <f t="shared" ref="AC81:AC87" si="34">1000*9.81*AA81/3600*AB81/Z81/10</f>
        <v>#DIV/0!</v>
      </c>
      <c r="AD81" s="333" t="e">
        <f t="shared" ref="AD81:AD84" si="35">IF(AD5=0,(AD27*($AE$1/$AE$23)^2)*$Z$77^3*$AA$77^1,AD5*$Z$77^3*$AA$77^1)</f>
        <v>#DIV/0!</v>
      </c>
      <c r="AE81" s="333">
        <f t="shared" ref="AE81:AE84" si="36">IF(AE5=0,AE27*($Z$77^2*$AA$77^2),AE5*$Z$77^2*$AA$77^2)</f>
        <v>0</v>
      </c>
    </row>
    <row r="82" spans="26:31" ht="15.75" customHeight="1" x14ac:dyDescent="0.2">
      <c r="Z82" s="333">
        <f t="shared" si="33"/>
        <v>0</v>
      </c>
      <c r="AA82" s="333" t="e">
        <f>IF(AA6=0,(AA28*($AE$1/$AE$23)^'test modello'!$AN$10)*$Z$77^3*$AA$77^1,AA6*$Z$77^3*$AA$77^1)</f>
        <v>#DIV/0!</v>
      </c>
      <c r="AB82" s="333" t="e">
        <f>IF(AB6=0,(AB28*($AE$1/$AE$23)^'test modello'!$AO$10)*$Z$77^2*$AA$77^2,AB6*$Z$77^2*$AA$77^2)</f>
        <v>#DIV/0!</v>
      </c>
      <c r="AC82" s="334" t="e">
        <f t="shared" si="34"/>
        <v>#DIV/0!</v>
      </c>
      <c r="AD82" s="333" t="e">
        <f t="shared" si="35"/>
        <v>#DIV/0!</v>
      </c>
      <c r="AE82" s="333">
        <f t="shared" si="36"/>
        <v>0</v>
      </c>
    </row>
    <row r="83" spans="26:31" ht="15.75" customHeight="1" x14ac:dyDescent="0.2">
      <c r="Z83" s="333">
        <f t="shared" si="33"/>
        <v>0</v>
      </c>
      <c r="AA83" s="333" t="e">
        <f>IF(AA7=0,(AA29*($AE$1/$AE$23)^'test modello'!$AN$10)*$Z$77^3*$AA$77^1,AA7*$Z$77^3*$AA$77^1)</f>
        <v>#DIV/0!</v>
      </c>
      <c r="AB83" s="333" t="e">
        <f>IF(AB7=0,(AB29*($AE$1/$AE$23)^'test modello'!$AO$10)*$Z$77^2*$AA$77^2,AB7*$Z$77^2*$AA$77^2)</f>
        <v>#DIV/0!</v>
      </c>
      <c r="AC83" s="334" t="e">
        <f t="shared" si="34"/>
        <v>#DIV/0!</v>
      </c>
      <c r="AD83" s="333" t="e">
        <f t="shared" si="35"/>
        <v>#DIV/0!</v>
      </c>
      <c r="AE83" s="333">
        <f t="shared" si="36"/>
        <v>0</v>
      </c>
    </row>
    <row r="84" spans="26:31" ht="15.75" customHeight="1" x14ac:dyDescent="0.2">
      <c r="Z84" s="333">
        <f t="shared" si="33"/>
        <v>0</v>
      </c>
      <c r="AA84" s="333" t="e">
        <f>IF(AA8=0,(AA30*($AE$1/$AE$23)^'test modello'!$AN$10)*$Z$77^3*$AA$77^1,AA8*$Z$77^3*$AA$77^1)</f>
        <v>#DIV/0!</v>
      </c>
      <c r="AB84" s="333" t="e">
        <f>IF(AB8=0,(AB30*($AE$1/$AE$23)^'test modello'!$AO$10)*$Z$77^2*$AA$77^2,AB8*$Z$77^2*$AA$77^2)</f>
        <v>#DIV/0!</v>
      </c>
      <c r="AC84" s="334" t="e">
        <f t="shared" si="34"/>
        <v>#DIV/0!</v>
      </c>
      <c r="AD84" s="333" t="e">
        <f t="shared" si="35"/>
        <v>#DIV/0!</v>
      </c>
      <c r="AE84" s="333">
        <f t="shared" si="36"/>
        <v>0</v>
      </c>
    </row>
    <row r="85" spans="26:31" ht="15.75" customHeight="1" x14ac:dyDescent="0.2">
      <c r="Z85" s="333">
        <f t="shared" si="33"/>
        <v>0</v>
      </c>
      <c r="AA85" s="333" t="e">
        <f>IF(AA9=0,(AA31*($AE$1/$AE$23)^'test modello'!$AN$10)*$Z$77^3*$AA$77^1,AA9*$Z$77^3*$AA$77^1)</f>
        <v>#DIV/0!</v>
      </c>
      <c r="AB85" s="333" t="e">
        <f>IF(AB9=0,(AB31*($AE$1/$AE$23)^'test modello'!$AO$10)*$Z$77^2*$AA$77^2,AB9*$Z$77^2*$AA$77^2)</f>
        <v>#DIV/0!</v>
      </c>
      <c r="AC85" s="334" t="e">
        <f t="shared" si="34"/>
        <v>#DIV/0!</v>
      </c>
      <c r="AD85" s="337"/>
      <c r="AE85" s="337"/>
    </row>
    <row r="86" spans="26:31" ht="15.75" customHeight="1" x14ac:dyDescent="0.2">
      <c r="Z86" s="333">
        <f t="shared" si="33"/>
        <v>0</v>
      </c>
      <c r="AA86" s="333" t="e">
        <f>IF(AA10=0,(AA32*($AE$1/$AE$23)^'test modello'!$AN$10)*$Z$77^3*$AA$77^1,AA10*$Z$77^3*$AA$77^1)</f>
        <v>#DIV/0!</v>
      </c>
      <c r="AB86" s="333" t="e">
        <f>IF(AB10=0,(AB32*($AE$1/$AE$23)^'test modello'!$AO$10)*$Z$77^2*$AA$77^2,AB10*$Z$77^2*$AA$77^2)</f>
        <v>#DIV/0!</v>
      </c>
      <c r="AC86" s="334" t="e">
        <f t="shared" si="34"/>
        <v>#DIV/0!</v>
      </c>
    </row>
    <row r="87" spans="26:31" ht="15.75" customHeight="1" x14ac:dyDescent="0.2">
      <c r="Z87" s="333">
        <f t="shared" si="33"/>
        <v>0</v>
      </c>
      <c r="AA87" s="333" t="e">
        <f>IF(AA11=0,(AA33*($AE$1/$AE$23)^'test modello'!$AN$10)*$Z$77^3*$AA$77^1,AA11*$Z$77^3*$AA$77^1)</f>
        <v>#DIV/0!</v>
      </c>
      <c r="AB87" s="333" t="e">
        <f>IF(AB11=0,(AB33*($AE$1/$AE$23)^'test modello'!$AO$10)*$Z$77^2*$AA$77^2,AB11*$Z$77^2*$AA$77^2)</f>
        <v>#DIV/0!</v>
      </c>
      <c r="AC87" s="334" t="e">
        <f t="shared" si="34"/>
        <v>#DIV/0!</v>
      </c>
      <c r="AD87" s="120"/>
      <c r="AE87" s="120"/>
    </row>
    <row r="88" spans="26:31" ht="15.75" customHeight="1" x14ac:dyDescent="0.2">
      <c r="Z88" s="335"/>
      <c r="AA88" s="333" t="e">
        <f>IF(AA12=0,(AA34*($AE$1/$AE$23)^'test modello'!$AN$10)*$Z$77^3*$AA$77^1,AA12*$Z$77^3*$AA$77^1)</f>
        <v>#DIV/0!</v>
      </c>
      <c r="AB88" s="333" t="e">
        <f>IF(AB12=0,(AB34*($AE$1/$AE$23)^'test modello'!$AO$10)*$Z$77^2*$AA$77^2,AB12*$Z$77^2*$AA$77^2)</f>
        <v>#DIV/0!</v>
      </c>
      <c r="AC88" s="337"/>
      <c r="AD88" s="45"/>
      <c r="AE88" s="354"/>
    </row>
    <row r="89" spans="26:31" ht="15.75" customHeight="1" x14ac:dyDescent="0.2">
      <c r="Z89" s="335"/>
      <c r="AA89" s="333" t="e">
        <f>IF(AA13=0,(AA35*($AE$1/$AE$23)^'test modello'!$AN$10)*$Z$77^3*$AA$77^1,AA13*$Z$77^3*$AA$77^1)</f>
        <v>#DIV/0!</v>
      </c>
      <c r="AB89" s="333" t="e">
        <f>IF(AB13=0,(AB35*($AE$1/$AE$23)^'test modello'!$AO$10)*$Z$77^2*$AA$77^2,AB13*$Z$77^2*$AA$77^2)</f>
        <v>#DIV/0!</v>
      </c>
      <c r="AC89" s="337"/>
      <c r="AD89" s="46"/>
      <c r="AE89" s="352"/>
    </row>
    <row r="90" spans="26:31" ht="15.75" customHeight="1" x14ac:dyDescent="0.2">
      <c r="Z90" s="335"/>
      <c r="AA90" s="333" t="e">
        <f>IF(AA14=0,(AA36*($AE$1/$AE$23)^'test modello'!$AN$10)*$Z$77^3*$AA$77^1,AA14*$Z$77^3*$AA$77^1)</f>
        <v>#DIV/0!</v>
      </c>
      <c r="AB90" s="333" t="e">
        <f>IF(AB14=0,(AB36*($AE$1/$AE$23)^'test modello'!$AO$10)*$Z$77^2*$AA$77^2,AB14*$Z$77^2*$AA$77^2)</f>
        <v>#DIV/0!</v>
      </c>
      <c r="AC90" s="337"/>
      <c r="AD90" s="46"/>
      <c r="AE90" s="46"/>
    </row>
    <row r="91" spans="26:31" ht="15.75" customHeight="1" x14ac:dyDescent="0.2">
      <c r="Z91" s="335"/>
      <c r="AA91" s="333" t="e">
        <f>IF(AA15=0,(AA37*($AE$1/$AE$23)^'test modello'!$AN$10)*$Z$77^3*$AA$77^1,AA15*$Z$77^3*$AA$77^1)</f>
        <v>#DIV/0!</v>
      </c>
      <c r="AB91" s="333" t="e">
        <f>IF(AB15=0,(AB37*($AE$1/$AE$23)^'test modello'!$AO$10)*$Z$77^2*$AA$77^2,AB15*$Z$77^2*$AA$77^2)</f>
        <v>#DIV/0!</v>
      </c>
      <c r="AC91" s="337"/>
    </row>
    <row r="92" spans="26:31" ht="15.75" customHeight="1" x14ac:dyDescent="0.2">
      <c r="Z92" s="335"/>
      <c r="AA92" s="333" t="e">
        <f>IF(AA16=0,(AA38*($AE$1/$AE$23)^'test modello'!$AN$10)*$Z$77^3*$AA$77^1,AA16*$Z$77^3*$AA$77^1)</f>
        <v>#DIV/0!</v>
      </c>
      <c r="AB92" s="333" t="e">
        <f>IF(AB16=0,(AB38*($AE$1/$AE$23)^'test modello'!$AO$10)*$Z$77^2*$AA$77^2,AB16*$Z$77^2*$AA$77^2)</f>
        <v>#DIV/0!</v>
      </c>
      <c r="AC92" s="335"/>
    </row>
    <row r="93" spans="26:31" ht="15.75" customHeight="1" x14ac:dyDescent="0.2">
      <c r="Z93" s="335"/>
      <c r="AA93" s="333" t="e">
        <f>IF(AA17=0,(AA39*($AE$1/$AE$23)^'test modello'!$AN$10)*$Z$77^3*$AA$77^1,AA17*$Z$77^3*$AA$77^1)</f>
        <v>#DIV/0!</v>
      </c>
      <c r="AB93" s="333" t="e">
        <f>IF(AB17=0,(AB39*($AE$1/$AE$23)^'test modello'!$AO$10)*$Z$77^2*$AA$77^2,AB17*$Z$77^2*$AA$77^2)</f>
        <v>#DIV/0!</v>
      </c>
      <c r="AC93" s="335"/>
      <c r="AE93" s="351"/>
    </row>
    <row r="94" spans="26:31" ht="15.75" customHeight="1" x14ac:dyDescent="0.2">
      <c r="Z94" s="335"/>
      <c r="AA94" s="333" t="e">
        <f>IF(AA18=0,(AA40*($AE$1/$AE$23)^'test modello'!$AN$10)*$Z$77^3*$AA$77^1,AA18*$Z$77^3*$AA$77^1)</f>
        <v>#DIV/0!</v>
      </c>
      <c r="AB94" s="333" t="e">
        <f>IF(AB18=0,(AB40*($AE$1/$AE$23)^'test modello'!$AO$10)*$Z$77^2*$AA$77^2,AB18*$Z$77^2*$AA$77^2)</f>
        <v>#DIV/0!</v>
      </c>
      <c r="AC94" s="335"/>
    </row>
    <row r="95" spans="26:31" ht="15.75" customHeight="1" x14ac:dyDescent="0.2">
      <c r="Z95" s="335"/>
      <c r="AA95" s="333" t="e">
        <f>IF(AA19=0,(AA41*($AE$1/$AE$23)^'test modello'!$AN$10)*$Z$77^3*$AA$77^1,AA19*$Z$77^3*$AA$77^1)</f>
        <v>#DIV/0!</v>
      </c>
      <c r="AB95" s="333" t="e">
        <f>IF(AB19=0,(AB41*($AE$1/$AE$23)^'test modello'!$AO$10)*$Z$77^2*$AA$77^2,AB19*$Z$77^2*$AA$77^2)</f>
        <v>#DIV/0!</v>
      </c>
      <c r="AC95" s="335"/>
    </row>
    <row r="96" spans="26:31" ht="15.75" customHeight="1" x14ac:dyDescent="0.2">
      <c r="Z96" s="337"/>
      <c r="AA96" s="337"/>
      <c r="AB96" s="337"/>
      <c r="AC96" s="337"/>
      <c r="AE96" s="351"/>
    </row>
    <row r="97" spans="26:31" ht="15.75" customHeight="1" x14ac:dyDescent="0.2">
      <c r="Z97" s="337"/>
      <c r="AA97" s="337"/>
      <c r="AB97" s="337"/>
      <c r="AC97" s="337"/>
      <c r="AE97" s="351"/>
    </row>
    <row r="99" spans="26:31" ht="15.75" customHeight="1" thickBot="1" x14ac:dyDescent="0.25">
      <c r="AB99" s="53" t="s">
        <v>117</v>
      </c>
      <c r="AC99" s="53">
        <f>AC23*$AA$77</f>
        <v>0</v>
      </c>
      <c r="AD99" s="53" t="s">
        <v>118</v>
      </c>
      <c r="AE99" s="351">
        <f>AE23*$Z$77</f>
        <v>0</v>
      </c>
    </row>
    <row r="100" spans="26:31" ht="15.75" customHeight="1" x14ac:dyDescent="0.2">
      <c r="Z100" s="328" t="s">
        <v>123</v>
      </c>
      <c r="AA100" s="329" t="s">
        <v>15</v>
      </c>
      <c r="AB100" s="329" t="s">
        <v>16</v>
      </c>
      <c r="AC100" s="329" t="s">
        <v>124</v>
      </c>
      <c r="AD100" s="329" t="s">
        <v>15</v>
      </c>
      <c r="AE100" s="330" t="s">
        <v>108</v>
      </c>
    </row>
    <row r="101" spans="26:31" ht="15.75" customHeight="1" thickBot="1" x14ac:dyDescent="0.25">
      <c r="Z101" s="331" t="s">
        <v>79</v>
      </c>
      <c r="AA101" s="249" t="s">
        <v>17</v>
      </c>
      <c r="AB101" s="249" t="s">
        <v>8</v>
      </c>
      <c r="AC101" s="249" t="s">
        <v>29</v>
      </c>
      <c r="AD101" s="249" t="s">
        <v>103</v>
      </c>
      <c r="AE101" s="332" t="s">
        <v>8</v>
      </c>
    </row>
    <row r="102" spans="26:31" ht="15.75" customHeight="1" x14ac:dyDescent="0.2">
      <c r="Z102" s="333" t="e">
        <f t="shared" ref="Z102:Z109" si="37">Z26*$AB$77</f>
        <v>#DIV/0!</v>
      </c>
      <c r="AA102" s="333">
        <f>AA26*$Z$77^3*$AA$77^1</f>
        <v>0</v>
      </c>
      <c r="AB102" s="333">
        <f>AB26*$Z$77^2*$AA$77^2</f>
        <v>0</v>
      </c>
      <c r="AC102" s="334" t="e">
        <f>1000*9.81*AA102/3600*AB102/Z102/10</f>
        <v>#DIV/0!</v>
      </c>
      <c r="AD102" s="333">
        <f>AD26*$Z$77^3*$AA$77^1</f>
        <v>0</v>
      </c>
      <c r="AE102" s="333">
        <f>AE26*$Z$77^2*$AA$77^2</f>
        <v>0</v>
      </c>
    </row>
    <row r="103" spans="26:31" ht="15.75" customHeight="1" x14ac:dyDescent="0.2">
      <c r="Z103" s="335" t="e">
        <f t="shared" si="37"/>
        <v>#DIV/0!</v>
      </c>
      <c r="AA103" s="333">
        <f t="shared" ref="AA103:AA109" si="38">AA27*$Z$77^3*$AA$77^1</f>
        <v>0</v>
      </c>
      <c r="AB103" s="333">
        <f t="shared" ref="AB103:AB109" si="39">AB27*$Z$77^2*$AA$77^2</f>
        <v>0</v>
      </c>
      <c r="AC103" s="334" t="e">
        <f t="shared" ref="AC103:AC109" si="40">1000*9.81*AA103/3600*AB103/Z103/10</f>
        <v>#DIV/0!</v>
      </c>
      <c r="AD103" s="333">
        <f t="shared" ref="AD103:AD106" si="41">AD27*$Z$77^3*$AA$77^1</f>
        <v>0</v>
      </c>
      <c r="AE103" s="333">
        <f t="shared" ref="AE103:AE106" si="42">AE27*$Z$77^2*$AA$77^2</f>
        <v>0</v>
      </c>
    </row>
    <row r="104" spans="26:31" ht="15.75" customHeight="1" x14ac:dyDescent="0.2">
      <c r="Z104" s="335" t="e">
        <f t="shared" si="37"/>
        <v>#DIV/0!</v>
      </c>
      <c r="AA104" s="333">
        <f t="shared" si="38"/>
        <v>0</v>
      </c>
      <c r="AB104" s="333">
        <f t="shared" si="39"/>
        <v>0</v>
      </c>
      <c r="AC104" s="334" t="e">
        <f t="shared" si="40"/>
        <v>#DIV/0!</v>
      </c>
      <c r="AD104" s="333">
        <f t="shared" si="41"/>
        <v>0</v>
      </c>
      <c r="AE104" s="333">
        <f t="shared" si="42"/>
        <v>0</v>
      </c>
    </row>
    <row r="105" spans="26:31" ht="15.75" customHeight="1" x14ac:dyDescent="0.2">
      <c r="Z105" s="335" t="e">
        <f t="shared" si="37"/>
        <v>#DIV/0!</v>
      </c>
      <c r="AA105" s="333">
        <f t="shared" si="38"/>
        <v>0</v>
      </c>
      <c r="AB105" s="333">
        <f t="shared" si="39"/>
        <v>0</v>
      </c>
      <c r="AC105" s="334" t="e">
        <f t="shared" si="40"/>
        <v>#DIV/0!</v>
      </c>
      <c r="AD105" s="333">
        <f>AD29*$Z$77^3*$AA$77^1</f>
        <v>0</v>
      </c>
      <c r="AE105" s="333">
        <f>AE29*$Z$77^2*$AA$77^2</f>
        <v>0</v>
      </c>
    </row>
    <row r="106" spans="26:31" ht="15.75" customHeight="1" x14ac:dyDescent="0.2">
      <c r="Z106" s="335" t="e">
        <f t="shared" si="37"/>
        <v>#DIV/0!</v>
      </c>
      <c r="AA106" s="333">
        <f t="shared" si="38"/>
        <v>0</v>
      </c>
      <c r="AB106" s="333">
        <f t="shared" si="39"/>
        <v>0</v>
      </c>
      <c r="AC106" s="334" t="e">
        <f t="shared" si="40"/>
        <v>#DIV/0!</v>
      </c>
      <c r="AD106" s="333">
        <f t="shared" si="41"/>
        <v>0</v>
      </c>
      <c r="AE106" s="333">
        <f t="shared" si="42"/>
        <v>0</v>
      </c>
    </row>
    <row r="107" spans="26:31" ht="15.75" customHeight="1" x14ac:dyDescent="0.2">
      <c r="Z107" s="335" t="e">
        <f t="shared" si="37"/>
        <v>#DIV/0!</v>
      </c>
      <c r="AA107" s="333">
        <f t="shared" si="38"/>
        <v>0</v>
      </c>
      <c r="AB107" s="333">
        <f t="shared" si="39"/>
        <v>0</v>
      </c>
      <c r="AC107" s="334" t="e">
        <f t="shared" si="40"/>
        <v>#DIV/0!</v>
      </c>
      <c r="AD107" s="337"/>
      <c r="AE107" s="337"/>
    </row>
    <row r="108" spans="26:31" ht="15.75" customHeight="1" x14ac:dyDescent="0.2">
      <c r="Z108" s="335" t="e">
        <f t="shared" si="37"/>
        <v>#DIV/0!</v>
      </c>
      <c r="AA108" s="333">
        <f t="shared" si="38"/>
        <v>0</v>
      </c>
      <c r="AB108" s="333">
        <f t="shared" si="39"/>
        <v>0</v>
      </c>
      <c r="AC108" s="334" t="e">
        <f t="shared" si="40"/>
        <v>#DIV/0!</v>
      </c>
    </row>
    <row r="109" spans="26:31" ht="15.75" customHeight="1" x14ac:dyDescent="0.2">
      <c r="Z109" s="335" t="e">
        <f t="shared" si="37"/>
        <v>#DIV/0!</v>
      </c>
      <c r="AA109" s="333">
        <f t="shared" si="38"/>
        <v>0</v>
      </c>
      <c r="AB109" s="333">
        <f t="shared" si="39"/>
        <v>0</v>
      </c>
      <c r="AC109" s="334" t="e">
        <f t="shared" si="40"/>
        <v>#DIV/0!</v>
      </c>
      <c r="AD109" s="120"/>
      <c r="AE109" s="120"/>
    </row>
    <row r="110" spans="26:31" ht="15.75" customHeight="1" x14ac:dyDescent="0.2">
      <c r="Z110" s="335"/>
      <c r="AA110" s="335"/>
      <c r="AB110" s="335"/>
      <c r="AC110" s="337"/>
      <c r="AD110" s="45"/>
      <c r="AE110" s="354"/>
    </row>
    <row r="111" spans="26:31" ht="15.75" customHeight="1" x14ac:dyDescent="0.2">
      <c r="Z111" s="335"/>
      <c r="AA111" s="335"/>
      <c r="AB111" s="335"/>
      <c r="AC111" s="337"/>
      <c r="AD111" s="46"/>
      <c r="AE111" s="352"/>
    </row>
    <row r="112" spans="26:31" ht="15.75" customHeight="1" x14ac:dyDescent="0.2">
      <c r="Z112" s="335"/>
      <c r="AA112" s="335"/>
      <c r="AB112" s="335"/>
      <c r="AC112" s="337"/>
      <c r="AD112" s="46"/>
      <c r="AE112" s="46"/>
    </row>
    <row r="113" spans="26:31" ht="15.75" customHeight="1" x14ac:dyDescent="0.2">
      <c r="Z113" s="335"/>
      <c r="AA113" s="335"/>
      <c r="AB113" s="335"/>
      <c r="AC113" s="337"/>
    </row>
    <row r="114" spans="26:31" ht="15.75" customHeight="1" x14ac:dyDescent="0.2">
      <c r="Z114" s="335"/>
      <c r="AA114" s="335"/>
      <c r="AB114" s="335"/>
      <c r="AC114" s="335"/>
    </row>
    <row r="115" spans="26:31" ht="15.75" customHeight="1" x14ac:dyDescent="0.2">
      <c r="Z115" s="335"/>
      <c r="AA115" s="335"/>
      <c r="AB115" s="335"/>
      <c r="AC115" s="335"/>
      <c r="AE115" s="351"/>
    </row>
    <row r="116" spans="26:31" ht="15.75" customHeight="1" x14ac:dyDescent="0.2">
      <c r="Z116" s="335"/>
      <c r="AA116" s="335"/>
      <c r="AB116" s="335"/>
      <c r="AC116" s="335"/>
    </row>
    <row r="117" spans="26:31" ht="15.75" customHeight="1" x14ac:dyDescent="0.2">
      <c r="Z117" s="335"/>
      <c r="AA117" s="335"/>
      <c r="AB117" s="335"/>
      <c r="AC117" s="335"/>
    </row>
    <row r="118" spans="26:31" ht="15.75" customHeight="1" x14ac:dyDescent="0.2">
      <c r="Z118" s="337"/>
      <c r="AA118" s="337"/>
      <c r="AB118" s="337"/>
      <c r="AC118" s="337"/>
      <c r="AE118" s="351"/>
    </row>
    <row r="119" spans="26:31" ht="15.75" customHeight="1" x14ac:dyDescent="0.2">
      <c r="Z119" s="337"/>
      <c r="AA119" s="337"/>
      <c r="AB119" s="337"/>
      <c r="AC119" s="337"/>
      <c r="AE119" s="351"/>
    </row>
    <row r="121" spans="26:31" ht="15.75" customHeight="1" thickBot="1" x14ac:dyDescent="0.25">
      <c r="AB121" s="53" t="s">
        <v>117</v>
      </c>
      <c r="AC121" s="53">
        <f>AC45*$AA$77</f>
        <v>0</v>
      </c>
      <c r="AD121" s="53" t="s">
        <v>118</v>
      </c>
      <c r="AE121" s="351">
        <f>AE45*$Z$77</f>
        <v>0</v>
      </c>
    </row>
    <row r="122" spans="26:31" ht="15.75" customHeight="1" x14ac:dyDescent="0.2">
      <c r="Z122" s="328" t="s">
        <v>123</v>
      </c>
      <c r="AA122" s="329" t="s">
        <v>15</v>
      </c>
      <c r="AB122" s="329" t="s">
        <v>16</v>
      </c>
      <c r="AC122" s="329" t="s">
        <v>124</v>
      </c>
      <c r="AD122" s="329" t="s">
        <v>15</v>
      </c>
      <c r="AE122" s="330" t="s">
        <v>108</v>
      </c>
    </row>
    <row r="123" spans="26:31" ht="15.75" customHeight="1" thickBot="1" x14ac:dyDescent="0.25">
      <c r="Z123" s="331" t="s">
        <v>79</v>
      </c>
      <c r="AA123" s="249" t="s">
        <v>17</v>
      </c>
      <c r="AB123" s="249" t="s">
        <v>8</v>
      </c>
      <c r="AC123" s="249" t="s">
        <v>29</v>
      </c>
      <c r="AD123" s="249" t="s">
        <v>103</v>
      </c>
      <c r="AE123" s="332" t="s">
        <v>8</v>
      </c>
    </row>
    <row r="124" spans="26:31" ht="15.75" customHeight="1" x14ac:dyDescent="0.2">
      <c r="Z124" s="333" t="e">
        <f t="shared" ref="Z124:Z131" si="43">Z48*$AB$77</f>
        <v>#DIV/0!</v>
      </c>
      <c r="AA124" s="333">
        <f>AA48*$Z$77^3*$AA$77^1</f>
        <v>0</v>
      </c>
      <c r="AB124" s="333">
        <f>AB48*$Z$77^2*$AA$77^2</f>
        <v>0</v>
      </c>
      <c r="AC124" s="334" t="e">
        <f>1000*9.81*AA124/3600*AB124/Z124/10</f>
        <v>#DIV/0!</v>
      </c>
      <c r="AD124" s="333">
        <f>AD48*$Z$77^3*$AA$77^1</f>
        <v>0</v>
      </c>
      <c r="AE124" s="333">
        <f>AE48*$Z$77^2*$AA$77^2</f>
        <v>0</v>
      </c>
    </row>
    <row r="125" spans="26:31" ht="15.75" customHeight="1" x14ac:dyDescent="0.2">
      <c r="Z125" s="335" t="e">
        <f t="shared" si="43"/>
        <v>#DIV/0!</v>
      </c>
      <c r="AA125" s="333">
        <f t="shared" ref="AA125:AA131" si="44">AA49*$Z$77^3*$AA$77^1</f>
        <v>0</v>
      </c>
      <c r="AB125" s="333">
        <f t="shared" ref="AB125:AB131" si="45">AB49*$Z$77^2*$AA$77^2</f>
        <v>0</v>
      </c>
      <c r="AC125" s="334" t="e">
        <f t="shared" ref="AC125:AC131" si="46">1000*9.81*AA125/3600*AB125/Z125/10</f>
        <v>#DIV/0!</v>
      </c>
      <c r="AD125" s="333">
        <f t="shared" ref="AD125:AD128" si="47">AD49*$Z$77^3*$AA$77^1</f>
        <v>0</v>
      </c>
      <c r="AE125" s="333">
        <f t="shared" ref="AE125:AE128" si="48">AE49*$Z$77^2*$AA$77^2</f>
        <v>0</v>
      </c>
    </row>
    <row r="126" spans="26:31" ht="15.75" customHeight="1" x14ac:dyDescent="0.2">
      <c r="Z126" s="335" t="e">
        <f t="shared" si="43"/>
        <v>#DIV/0!</v>
      </c>
      <c r="AA126" s="333">
        <f t="shared" si="44"/>
        <v>0</v>
      </c>
      <c r="AB126" s="333">
        <f t="shared" si="45"/>
        <v>0</v>
      </c>
      <c r="AC126" s="334" t="e">
        <f t="shared" si="46"/>
        <v>#DIV/0!</v>
      </c>
      <c r="AD126" s="333">
        <f t="shared" si="47"/>
        <v>0</v>
      </c>
      <c r="AE126" s="333">
        <f t="shared" si="48"/>
        <v>0</v>
      </c>
    </row>
    <row r="127" spans="26:31" ht="15.75" customHeight="1" x14ac:dyDescent="0.2">
      <c r="Z127" s="335" t="e">
        <f t="shared" si="43"/>
        <v>#DIV/0!</v>
      </c>
      <c r="AA127" s="333">
        <f t="shared" si="44"/>
        <v>0</v>
      </c>
      <c r="AB127" s="333">
        <f t="shared" si="45"/>
        <v>0</v>
      </c>
      <c r="AC127" s="334" t="e">
        <f t="shared" si="46"/>
        <v>#DIV/0!</v>
      </c>
      <c r="AD127" s="333">
        <f>AD51*$Z$77^3*$AA$77^1</f>
        <v>0</v>
      </c>
      <c r="AE127" s="333">
        <f>AE51*$Z$77^2*$AA$77^2</f>
        <v>0</v>
      </c>
    </row>
    <row r="128" spans="26:31" ht="15.75" customHeight="1" x14ac:dyDescent="0.2">
      <c r="Z128" s="335" t="e">
        <f t="shared" si="43"/>
        <v>#DIV/0!</v>
      </c>
      <c r="AA128" s="333">
        <f t="shared" si="44"/>
        <v>0</v>
      </c>
      <c r="AB128" s="333">
        <f t="shared" si="45"/>
        <v>0</v>
      </c>
      <c r="AC128" s="334" t="e">
        <f t="shared" si="46"/>
        <v>#DIV/0!</v>
      </c>
      <c r="AD128" s="333">
        <f t="shared" si="47"/>
        <v>0</v>
      </c>
      <c r="AE128" s="333">
        <f t="shared" si="48"/>
        <v>0</v>
      </c>
    </row>
    <row r="129" spans="26:31" ht="15.75" customHeight="1" x14ac:dyDescent="0.2">
      <c r="Z129" s="335" t="e">
        <f t="shared" si="43"/>
        <v>#DIV/0!</v>
      </c>
      <c r="AA129" s="333">
        <f t="shared" si="44"/>
        <v>0</v>
      </c>
      <c r="AB129" s="333">
        <f t="shared" si="45"/>
        <v>0</v>
      </c>
      <c r="AC129" s="334" t="e">
        <f t="shared" si="46"/>
        <v>#DIV/0!</v>
      </c>
      <c r="AD129" s="337"/>
      <c r="AE129" s="337"/>
    </row>
    <row r="130" spans="26:31" ht="15.75" customHeight="1" x14ac:dyDescent="0.2">
      <c r="Z130" s="335" t="e">
        <f t="shared" si="43"/>
        <v>#DIV/0!</v>
      </c>
      <c r="AA130" s="333">
        <f t="shared" si="44"/>
        <v>0</v>
      </c>
      <c r="AB130" s="333">
        <f t="shared" si="45"/>
        <v>0</v>
      </c>
      <c r="AC130" s="334" t="e">
        <f t="shared" si="46"/>
        <v>#DIV/0!</v>
      </c>
    </row>
    <row r="131" spans="26:31" ht="15.75" customHeight="1" x14ac:dyDescent="0.2">
      <c r="Z131" s="335" t="e">
        <f t="shared" si="43"/>
        <v>#DIV/0!</v>
      </c>
      <c r="AA131" s="333">
        <f t="shared" si="44"/>
        <v>0</v>
      </c>
      <c r="AB131" s="333">
        <f t="shared" si="45"/>
        <v>0</v>
      </c>
      <c r="AC131" s="334" t="e">
        <f t="shared" si="46"/>
        <v>#DIV/0!</v>
      </c>
      <c r="AD131" s="120"/>
      <c r="AE131" s="120"/>
    </row>
    <row r="132" spans="26:31" ht="15.75" customHeight="1" x14ac:dyDescent="0.2">
      <c r="Z132" s="335"/>
      <c r="AA132" s="335"/>
      <c r="AB132" s="335"/>
      <c r="AC132" s="337"/>
      <c r="AD132" s="45"/>
      <c r="AE132" s="354"/>
    </row>
    <row r="133" spans="26:31" ht="15.75" customHeight="1" x14ac:dyDescent="0.2">
      <c r="Z133" s="335"/>
      <c r="AA133" s="335"/>
      <c r="AB133" s="335"/>
      <c r="AC133" s="337"/>
      <c r="AD133" s="46"/>
      <c r="AE133" s="352"/>
    </row>
    <row r="134" spans="26:31" ht="15.75" customHeight="1" x14ac:dyDescent="0.2">
      <c r="Z134" s="335"/>
      <c r="AA134" s="335"/>
      <c r="AB134" s="335"/>
      <c r="AC134" s="337"/>
      <c r="AD134" s="46"/>
      <c r="AE134" s="46"/>
    </row>
    <row r="135" spans="26:31" ht="15.75" customHeight="1" x14ac:dyDescent="0.2">
      <c r="Z135" s="335"/>
      <c r="AA135" s="335"/>
      <c r="AB135" s="335"/>
      <c r="AC135" s="337"/>
    </row>
    <row r="136" spans="26:31" ht="15.75" customHeight="1" x14ac:dyDescent="0.2">
      <c r="Z136" s="335"/>
      <c r="AA136" s="335"/>
      <c r="AB136" s="335"/>
      <c r="AC136" s="335"/>
    </row>
    <row r="137" spans="26:31" ht="15.75" customHeight="1" x14ac:dyDescent="0.2">
      <c r="Z137" s="335"/>
      <c r="AA137" s="335"/>
      <c r="AB137" s="335"/>
      <c r="AC137" s="335"/>
      <c r="AE137" s="351"/>
    </row>
    <row r="138" spans="26:31" ht="15.75" customHeight="1" x14ac:dyDescent="0.2">
      <c r="Z138" s="335"/>
      <c r="AA138" s="335"/>
      <c r="AB138" s="335"/>
      <c r="AC138" s="335"/>
    </row>
    <row r="139" spans="26:31" ht="15.75" customHeight="1" x14ac:dyDescent="0.2">
      <c r="Z139" s="335"/>
      <c r="AA139" s="335"/>
      <c r="AB139" s="335"/>
      <c r="AC139" s="335"/>
    </row>
    <row r="140" spans="26:31" ht="15.75" customHeight="1" x14ac:dyDescent="0.2">
      <c r="Z140" s="337"/>
      <c r="AA140" s="337"/>
      <c r="AB140" s="337"/>
      <c r="AC140" s="337"/>
      <c r="AE140" s="351"/>
    </row>
    <row r="141" spans="26:31" ht="15.75" customHeight="1" x14ac:dyDescent="0.2">
      <c r="Z141" s="337"/>
      <c r="AA141" s="337"/>
      <c r="AB141" s="337"/>
      <c r="AC141" s="337"/>
      <c r="AE141" s="351"/>
    </row>
  </sheetData>
  <mergeCells count="45">
    <mergeCell ref="AR1:AU1"/>
    <mergeCell ref="AY1:BB1"/>
    <mergeCell ref="C2:L2"/>
    <mergeCell ref="R2:S3"/>
    <mergeCell ref="B3:L3"/>
    <mergeCell ref="N3:N6"/>
    <mergeCell ref="O3:O6"/>
    <mergeCell ref="P3:P6"/>
    <mergeCell ref="B4:C4"/>
    <mergeCell ref="I4:J4"/>
    <mergeCell ref="R4:S4"/>
    <mergeCell ref="I5:J5"/>
    <mergeCell ref="B6:D6"/>
    <mergeCell ref="I6:K6"/>
    <mergeCell ref="B7:C7"/>
    <mergeCell ref="I7:K7"/>
    <mergeCell ref="R7:U7"/>
    <mergeCell ref="B8:D8"/>
    <mergeCell ref="I8:J8"/>
    <mergeCell ref="A10:A11"/>
    <mergeCell ref="N10:N11"/>
    <mergeCell ref="O10:O11"/>
    <mergeCell ref="V32:V33"/>
    <mergeCell ref="Q10:Q11"/>
    <mergeCell ref="N23:N24"/>
    <mergeCell ref="R25:R26"/>
    <mergeCell ref="S25:S26"/>
    <mergeCell ref="T25:U25"/>
    <mergeCell ref="T26:U26"/>
    <mergeCell ref="P10:P11"/>
    <mergeCell ref="T27:U27"/>
    <mergeCell ref="R32:R33"/>
    <mergeCell ref="S32:S33"/>
    <mergeCell ref="T32:T33"/>
    <mergeCell ref="U32:U33"/>
    <mergeCell ref="N49:N50"/>
    <mergeCell ref="O49:O50"/>
    <mergeCell ref="P49:P50"/>
    <mergeCell ref="R56:V56"/>
    <mergeCell ref="N36:N37"/>
    <mergeCell ref="R38:R41"/>
    <mergeCell ref="S38:S41"/>
    <mergeCell ref="T38:T41"/>
    <mergeCell ref="U38:U41"/>
    <mergeCell ref="R44:U44"/>
  </mergeCells>
  <conditionalFormatting sqref="L11">
    <cfRule type="cellIs" dxfId="0" priority="1" operator="notBetween">
      <formula>$L$10-$P$22</formula>
      <formula>$L$10+$P$22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16D288-7C7B-4DCB-B98A-D5079D862851}"/>
</file>

<file path=customXml/itemProps2.xml><?xml version="1.0" encoding="utf-8"?>
<ds:datastoreItem xmlns:ds="http://schemas.openxmlformats.org/officeDocument/2006/customXml" ds:itemID="{B2EC43C0-6D7C-41E9-85BA-6EAF72320BC0}">
  <ds:schemaRefs>
    <ds:schemaRef ds:uri="http://schemas.microsoft.com/office/2006/metadata/properties"/>
    <ds:schemaRef ds:uri="http://schemas.microsoft.com/office/infopath/2007/PartnerControls"/>
    <ds:schemaRef ds:uri="f8eb8a0b-9c79-4b80-8520-32294fe498f6"/>
  </ds:schemaRefs>
</ds:datastoreItem>
</file>

<file path=customXml/itemProps3.xml><?xml version="1.0" encoding="utf-8"?>
<ds:datastoreItem xmlns:ds="http://schemas.openxmlformats.org/officeDocument/2006/customXml" ds:itemID="{78373523-F79E-4949-B9A5-600E1A74A6F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test modello</vt:lpstr>
      <vt:lpstr>example </vt:lpstr>
      <vt:lpstr>master for scaling</vt:lpstr>
      <vt:lpstr>'test modello'!Area_stampa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Carmine Delli Quadri</cp:lastModifiedBy>
  <cp:revision/>
  <dcterms:created xsi:type="dcterms:W3CDTF">1996-11-05T10:16:36Z</dcterms:created>
  <dcterms:modified xsi:type="dcterms:W3CDTF">2024-06-17T11:31:08Z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